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36781843-5783-45D9-AB49-B100B617FFF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Sheet'!$A$27:$X$30</definedName>
    <definedName name="_xlnm._FilterDatabase" localSheetId="2" hidden="1">'Progress Sheet '!$A$211:$DD$280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'!$A$1:$Q$249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12" l="1"/>
  <c r="A69" i="12"/>
  <c r="F39" i="4"/>
  <c r="K37" i="1"/>
  <c r="L37" i="1" s="1"/>
  <c r="K36" i="1"/>
  <c r="L36" i="1" s="1"/>
  <c r="G37" i="1"/>
  <c r="G36" i="1"/>
  <c r="G35" i="1"/>
  <c r="I11" i="1"/>
  <c r="J11" i="1" s="1"/>
  <c r="K35" i="1"/>
  <c r="L35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3" i="2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6" i="2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<sst xmlns="http://schemas.openxmlformats.org/spreadsheetml/2006/main" count="3619" uniqueCount="823">
  <si>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</si>
  <si>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</si>
  <si>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</si>
  <si>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</si>
  <si>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</si>
  <si>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</si>
  <si>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</si>
  <si>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</si>
  <si>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</si>
  <si>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</si>
  <si>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</si>
  <si>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</si>
  <si>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</si>
  <si>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</si>
  <si>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</si>
  <si>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</si>
  <si>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</si>
  <si>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</si>
  <si>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</si>
  <si>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</si>
  <si>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</si>
  <si>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</si>
  <si>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</si>
  <si>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</si>
  <si>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</si>
  <si>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</si>
  <si>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</si>
  <si>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</si>
  <si>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</si>
  <si>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</si>
  <si>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</si>
  <si>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</si>
  <si>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</si>
  <si>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</si>
  <si>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</si>
  <si>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</si>
  <si>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</si>
  <si>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</si>
  <si>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</si>
  <si>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</si>
  <si>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</si>
  <si>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</si>
  <si>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</si>
  <si>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</si>
  <si>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</si>
  <si>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</si>
  <si>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</si>
  <si>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</si>
  <si>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</si>
  <si>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</si>
  <si>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</si>
  <si>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</si>
  <si>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</si>
  <si>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</si>
  <si>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</si>
  <si>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</si>
  <si>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</si>
  <si>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</si>
  <si>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</si>
  <si>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</si>
  <si>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</si>
  <si>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</si>
  <si>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</si>
  <si>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</si>
  <si>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</si>
  <si>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</si>
  <si>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</si>
  <si>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</si>
  <si>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</si>
  <si>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</si>
  <si>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</si>
  <si>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</si>
  <si>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</si>
  <si>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</si>
  <si>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</si>
  <si>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</si>
  <si>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</si>
  <si>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</si>
  <si>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</si>
  <si>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</si>
  <si>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</si>
  <si>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</si>
  <si>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</si>
  <si>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</si>
  <si>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</si>
  <si>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</si>
  <si>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</si>
  <si>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</si>
  <si>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</si>
  <si>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</si>
  <si>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</si>
  <si>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</si>
  <si>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</si>
  <si>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</si>
  <si>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</si>
  <si>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</si>
  <si>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</si>
  <si>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</si>
  <si>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</si>
  <si>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</si>
  <si>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</si>
  <si>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</si>
  <si>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</si>
  <si>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</si>
  <si>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</si>
  <si>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</si>
  <si>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</si>
  <si>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</si>
  <si>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</si>
  <si>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</si>
  <si>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</si>
  <si>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</si>
  <si>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</si>
  <si>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</si>
  <si>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</si>
  <si>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</si>
  <si>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</si>
  <si>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</si>
  <si>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</si>
  <si>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</si>
  <si>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</si>
  <si>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</si>
  <si>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</si>
  <si>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</si>
  <si>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</si>
  <si>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</si>
  <si>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</si>
  <si>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</si>
  <si>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</si>
  <si>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</si>
  <si>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</si>
  <si>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</si>
  <si>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</si>
  <si>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</si>
  <si>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</si>
  <si>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</si>
  <si>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</si>
  <si>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</si>
  <si>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</si>
  <si>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</si>
  <si>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</si>
  <si>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</si>
  <si>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</si>
  <si>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</si>
  <si>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</si>
  <si>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</si>
  <si>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</si>
  <si>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</si>
  <si>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</si>
  <si>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</si>
  <si>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</si>
  <si>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</si>
  <si>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</si>
  <si>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</si>
  <si>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</si>
  <si>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</si>
  <si>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</si>
  <si>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</si>
  <si>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</si>
  <si>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</si>
  <si>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</si>
  <si>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</si>
  <si>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</si>
  <si>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</si>
  <si>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</si>
  <si>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</si>
  <si>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</si>
  <si>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</si>
  <si>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</si>
  <si>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</si>
  <si>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</si>
  <si>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</si>
  <si>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</si>
  <si>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</si>
  <si>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</si>
  <si>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</si>
  <si>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</si>
  <si>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</si>
  <si>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</si>
  <si>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</si>
  <si>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</si>
  <si>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</si>
  <si>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</si>
  <si>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</si>
  <si>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</si>
  <si>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</si>
  <si>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</si>
  <si>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</si>
  <si>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</si>
  <si>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</si>
  <si>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</si>
  <si>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</si>
  <si>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</si>
  <si>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</si>
  <si>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</si>
  <si>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</si>
  <si>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</si>
  <si>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</si>
  <si>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</si>
  <si>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</si>
  <si>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</si>
  <si>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</si>
  <si>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</si>
  <si>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</si>
  <si>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</si>
  <si>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</si>
  <si>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</si>
  <si>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</si>
  <si>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</si>
  <si>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</si>
  <si>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</si>
  <si>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</si>
  <si>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</si>
  <si>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</si>
  <si>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</si>
  <si>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</si>
  <si>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</si>
  <si>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</si>
  <si>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</si>
  <si>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</si>
  <si>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</si>
  <si>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</si>
  <si>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</si>
  <si>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</si>
  <si>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</si>
  <si>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</si>
  <si>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</si>
  <si>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</si>
  <si>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</si>
  <si>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</si>
  <si>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</si>
  <si>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</si>
  <si>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</si>
  <si>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</si>
  <si>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</si>
  <si>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</si>
  <si>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</si>
  <si>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</si>
  <si>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</si>
  <si>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</si>
  <si>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</si>
  <si>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</si>
  <si>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</si>
  <si>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</si>
  <si>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</si>
  <si>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</si>
  <si>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</si>
  <si>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</si>
  <si>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</si>
  <si>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</si>
  <si>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</si>
  <si>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</si>
  <si>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</si>
  <si>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</si>
  <si>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</si>
  <si>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</si>
  <si>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</si>
  <si>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</si>
  <si>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</si>
  <si>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</si>
  <si>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</si>
  <si>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</si>
  <si>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</si>
  <si>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</si>
  <si>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</si>
  <si>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</si>
  <si>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</si>
  <si>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</si>
  <si>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</si>
  <si>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</si>
  <si>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</si>
  <si>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</si>
  <si>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</si>
  <si>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</si>
  <si>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</si>
  <si>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</si>
  <si>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</si>
  <si>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</si>
  <si>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</si>
  <si>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</si>
  <si>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</si>
  <si>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</si>
  <si>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</si>
  <si>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</si>
  <si>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</si>
  <si>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</si>
  <si>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</si>
  <si>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</si>
  <si>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</si>
  <si>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</si>
  <si>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</si>
  <si>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</si>
  <si>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</si>
  <si>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</si>
  <si>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</si>
  <si>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</si>
  <si>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</si>
  <si>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</si>
  <si>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</si>
  <si>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</si>
  <si>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</si>
  <si>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</si>
  <si>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</si>
  <si>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</si>
  <si>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</si>
  <si>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</si>
  <si>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</si>
  <si>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</si>
  <si>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</si>
  <si>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</si>
  <si>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</si>
  <si>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</si>
  <si>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</si>
  <si>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</si>
  <si>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</si>
  <si>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</si>
  <si>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</si>
  <si>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</si>
  <si>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</si>
  <si>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</si>
  <si>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</si>
  <si>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</si>
  <si>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</si>
  <si>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</si>
  <si>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</si>
  <si>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</si>
  <si>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</si>
  <si>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</si>
  <si>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</si>
  <si>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</si>
  <si>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</si>
  <si>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</si>
  <si>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</si>
  <si>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</si>
  <si>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</si>
  <si>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</si>
  <si>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</si>
  <si>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</si>
  <si>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</si>
  <si>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</si>
  <si>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</si>
  <si>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</si>
  <si>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</si>
  <si>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</si>
  <si>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</si>
  <si>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</si>
  <si>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</si>
  <si>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</si>
  <si>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</si>
  <si>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</si>
  <si>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</si>
  <si>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</si>
  <si>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</si>
  <si>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</si>
  <si>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</si>
  <si>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</si>
  <si>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</si>
  <si>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</si>
  <si>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</si>
  <si>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</si>
  <si>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</si>
  <si>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</si>
  <si>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</si>
  <si>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</si>
  <si>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</si>
  <si>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</si>
  <si>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</si>
  <si>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</si>
  <si>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</si>
  <si>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</si>
  <si>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</si>
  <si>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</si>
  <si>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</si>
  <si>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</si>
  <si>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</si>
  <si>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</si>
  <si>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</si>
  <si>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</si>
  <si>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</si>
  <si>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</si>
  <si>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</si>
  <si>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</si>
  <si>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</si>
  <si>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</si>
  <si>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</si>
  <si>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</si>
  <si>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</si>
  <si>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</si>
  <si>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</si>
  <si>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</si>
  <si>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</si>
  <si>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</si>
  <si>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</si>
  <si>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</si>
  <si>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</si>
  <si>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</si>
  <si>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</si>
  <si>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</si>
  <si>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</si>
  <si>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</si>
  <si>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</si>
  <si>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</si>
  <si>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</si>
  <si>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</si>
  <si>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</si>
  <si>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</si>
  <si>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</si>
  <si>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</si>
  <si>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</si>
  <si>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</si>
  <si>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</si>
  <si>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</si>
  <si>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</si>
  <si>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</si>
  <si>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</si>
  <si>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</si>
  <si>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</si>
  <si>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</si>
  <si>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</si>
  <si>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</si>
  <si>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</si>
  <si>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</si>
  <si>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</si>
  <si>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</si>
  <si>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</si>
  <si>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</si>
  <si>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</si>
  <si>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</si>
  <si>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</si>
  <si>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</si>
  <si>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</si>
  <si>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</si>
  <si>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</si>
  <si>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</si>
  <si>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</si>
  <si>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</si>
  <si>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</si>
  <si>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</si>
  <si>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</si>
  <si>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</si>
  <si>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</si>
  <si>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</si>
  <si>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</si>
  <si>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</si>
  <si>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</si>
  <si>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</si>
  <si>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</si>
  <si>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</si>
  <si>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</si>
  <si>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</si>
  <si>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</si>
  <si>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</si>
  <si>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</si>
  <si>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</si>
  <si>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</si>
  <si>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</si>
  <si>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</si>
  <si>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</si>
  <si>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</si>
  <si>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</si>
  <si>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</si>
  <si>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</si>
  <si>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</si>
  <si>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</si>
  <si>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</si>
  <si>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</si>
  <si>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</si>
  <si>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</si>
  <si>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</si>
  <si>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</si>
  <si>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</si>
  <si>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</si>
  <si>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</si>
  <si>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</si>
  <si>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</si>
  <si>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</si>
  <si>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</si>
  <si>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</si>
  <si>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</si>
  <si>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</si>
  <si>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</si>
  <si>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</si>
  <si>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</si>
  <si>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</si>
  <si>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</si>
  <si>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</si>
  <si>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</si>
  <si>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</si>
  <si>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</si>
  <si>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</si>
  <si>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</si>
  <si>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</si>
  <si>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</si>
  <si>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</si>
  <si>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</si>
  <si>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</si>
  <si>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</si>
  <si>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</si>
  <si>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</si>
  <si>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</si>
  <si>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</si>
  <si>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</si>
  <si>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</si>
  <si>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</si>
  <si>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</si>
  <si>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</si>
  <si>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</si>
  <si>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</si>
  <si>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</si>
  <si>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</si>
  <si>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</si>
  <si>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</si>
  <si>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</si>
  <si>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</si>
  <si>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</si>
  <si>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</si>
  <si>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</si>
  <si>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</si>
  <si>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</si>
  <si>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</si>
  <si>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</si>
  <si>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</si>
  <si>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</si>
  <si>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</si>
  <si>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</si>
  <si>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</si>
  <si>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</si>
  <si>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</si>
  <si>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</si>
  <si>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</si>
  <si>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</si>
  <si>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</si>
  <si>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</si>
  <si>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</si>
  <si>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</si>
  <si>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</si>
  <si>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</si>
  <si>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</si>
  <si>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</si>
  <si>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</si>
  <si>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</si>
  <si>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</si>
  <si>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</si>
  <si>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</si>
  <si>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</si>
  <si>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</si>
  <si>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</si>
  <si>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</si>
  <si>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</si>
  <si>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</si>
  <si>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</si>
  <si>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</si>
  <si>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</si>
  <si>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</si>
  <si>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</si>
  <si>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</si>
  <si>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</si>
  <si>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</si>
  <si>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</si>
  <si>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</si>
  <si>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</si>
  <si>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</si>
  <si>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</si>
  <si>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</si>
  <si>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</si>
  <si>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</si>
  <si>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</si>
  <si>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</si>
  <si>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</si>
  <si>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</si>
  <si>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</si>
  <si>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</si>
  <si>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</si>
  <si>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</si>
  <si>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</si>
  <si>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</si>
  <si>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</si>
  <si>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</si>
  <si>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</si>
  <si>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</si>
  <si>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</si>
  <si>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</si>
  <si>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</si>
  <si>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</si>
  <si>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</si>
  <si>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</si>
  <si>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</si>
  <si>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</si>
  <si>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</si>
  <si>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</si>
  <si>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</si>
  <si>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</si>
  <si>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</si>
  <si>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</si>
  <si>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</si>
  <si>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</si>
  <si>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</si>
  <si>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</si>
  <si>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</si>
  <si>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</si>
  <si>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</si>
  <si>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</si>
  <si>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</si>
  <si>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</si>
  <si>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</si>
  <si>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</si>
  <si>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</si>
  <si>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</si>
  <si>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</si>
  <si>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</si>
  <si>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</si>
  <si>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</si>
  <si>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</si>
  <si>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</si>
  <si>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</si>
  <si>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</si>
  <si>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</si>
  <si>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</si>
  <si>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</si>
  <si>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</si>
  <si>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</si>
  <si>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</si>
  <si>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</si>
  <si>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</si>
  <si>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</si>
  <si>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</si>
  <si>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</si>
  <si>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</si>
  <si>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</si>
  <si>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</si>
  <si>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</si>
  <si>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</si>
  <si>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</si>
  <si>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</si>
  <si>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</si>
  <si>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</si>
  <si>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</si>
  <si>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</si>
  <si>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</si>
  <si>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</si>
  <si>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</si>
  <si>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</si>
  <si>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</si>
  <si>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</si>
  <si>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</si>
  <si>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</si>
  <si>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</si>
  <si>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</si>
  <si>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</si>
  <si>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</si>
  <si>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</si>
  <si>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</si>
  <si>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</si>
  <si>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</si>
  <si>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</si>
  <si>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</si>
  <si>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</si>
  <si>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</si>
  <si>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</si>
  <si>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</si>
  <si>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</si>
  <si>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</si>
  <si>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</si>
  <si>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</si>
  <si>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</si>
  <si>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</si>
  <si>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</si>
  <si>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</si>
  <si>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</si>
  <si>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</si>
  <si>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</si>
  <si>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</si>
  <si>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</si>
  <si>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</si>
  <si>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</si>
  <si>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</si>
  <si>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</si>
  <si>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</si>
  <si>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</si>
  <si>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</si>
  <si>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</si>
  <si>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</si>
  <si>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</si>
  <si>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</si>
  <si>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</si>
  <si>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</si>
  <si>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</si>
  <si>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</si>
  <si>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</si>
  <si>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</si>
  <si>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</si>
  <si>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</si>
  <si>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</si>
  <si>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</si>
  <si>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</si>
  <si>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</si>
  <si>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</si>
  <si>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</si>
  <si>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</si>
  <si>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</si>
  <si>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</si>
  <si>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</si>
  <si>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</si>
  <si>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</si>
  <si>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</si>
  <si>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</si>
  <si>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</si>
  <si>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</si>
  <si>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</si>
  <si>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</si>
  <si>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</si>
  <si>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</si>
  <si>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</si>
  <si>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</si>
  <si>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</si>
  <si>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</si>
  <si>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</si>
  <si>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</si>
  <si>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</si>
  <si>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</si>
  <si>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</si>
  <si>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</si>
  <si>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</si>
  <si>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</si>
  <si>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</si>
  <si>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</si>
  <si>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</si>
  <si>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</si>
  <si>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</si>
  <si>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</si>
  <si>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</si>
  <si>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</si>
  <si>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</si>
  <si>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</si>
  <si>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</si>
  <si>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</si>
  <si>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</si>
  <si>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</si>
  <si>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</si>
  <si>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</si>
  <si>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</si>
  <si>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</si>
  <si>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</si>
  <si>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</si>
  <si>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</si>
  <si>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</si>
  <si>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</si>
  <si>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</si>
  <si>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</si>
  <si>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</si>
  <si>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</si>
  <si>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</si>
  <si>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</si>
  <si>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</si>
  <si>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</si>
  <si>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</si>
  <si>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</si>
  <si>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</si>
  <si>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</si>
  <si>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</si>
  <si>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</si>
  <si>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</si>
  <si>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</si>
  <si>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</si>
  <si>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</si>
  <si>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</si>
  <si>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</si>
  <si>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</si>
  <si>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</si>
  <si>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</si>
  <si>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</si>
  <si>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</si>
  <si>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</si>
  <si>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</si>
  <si>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</si>
  <si>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</si>
  <si>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</si>
  <si>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</si>
  <si>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</si>
  <si>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</si>
  <si>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</si>
  <si>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</si>
  <si>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</si>
  <si>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</si>
  <si>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</si>
  <si>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</si>
  <si>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</si>
  <si>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</si>
  <si>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</si>
  <si>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</si>
  <si>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</si>
  <si>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</si>
  <si>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</si>
  <si>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</si>
  <si>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</si>
  <si>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</si>
  <si>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</si>
  <si>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</si>
  <si>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</si>
  <si>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</si>
  <si>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</si>
  <si>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</si>
  <si>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</si>
  <si>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</si>
  <si>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WIP:  Trial Pit</t>
  </si>
  <si>
    <t xml:space="preserve">Trail pit </t>
  </si>
  <si>
    <t>02.04-2026</t>
  </si>
  <si>
    <t>964              Drums Received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</si>
  <si>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</si>
  <si>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</si>
  <si>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</si>
  <si>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</si>
  <si>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</si>
  <si>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WIP: RCC (F&amp;B)</t>
  </si>
  <si>
    <t>RCC (F&amp;B)</t>
  </si>
  <si>
    <t>Prop Set</t>
  </si>
  <si>
    <t>Steel Binding</t>
  </si>
  <si>
    <t>Completed</t>
  </si>
  <si>
    <t>2nd Section Completed</t>
  </si>
  <si>
    <t>Steel</t>
  </si>
  <si>
    <t>Excavation</t>
  </si>
  <si>
    <t>WIP:  PCC, Steel Binding</t>
  </si>
  <si>
    <t>WIP: 2nd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</si>
</sst>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rgb="FF92D050"/>
        <bgColor theme="0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63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1" fillId="0" borderId="120" xfId="0" applyFont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61" fillId="16" borderId="75" xfId="4" applyFill="1" applyAlignment="1">
      <alignment horizontal="center" vertical="center"/>
    </xf>
    <xf numFmtId="0" fontId="4" fillId="16" borderId="75" xfId="4" applyFont="1" applyFill="1" applyAlignment="1">
      <alignment vertical="center"/>
    </xf>
    <xf numFmtId="0" fontId="4" fillId="16" borderId="75" xfId="4" applyFont="1" applyFill="1" applyAlignment="1">
      <alignment horizontal="left" vertical="center"/>
    </xf>
    <xf numFmtId="0" fontId="4" fillId="16" borderId="75" xfId="4" applyFont="1" applyFill="1" applyAlignment="1">
      <alignment horizontal="center" vertical="center"/>
    </xf>
    <xf numFmtId="0" fontId="112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left" vertical="center"/>
    </xf>
    <xf numFmtId="0" fontId="112" fillId="17" borderId="75" xfId="4" applyFont="1" applyFill="1" applyAlignment="1">
      <alignment horizontal="center"/>
    </xf>
    <xf numFmtId="0" fontId="12" fillId="17" borderId="75" xfId="0" applyFont="1" applyFill="1" applyBorder="1" applyAlignment="1">
      <alignment horizontal="center" vertical="center"/>
    </xf>
    <xf numFmtId="0" fontId="12" fillId="17" borderId="75" xfId="0" applyFont="1" applyFill="1" applyBorder="1" applyAlignment="1">
      <alignment horizontal="center" wrapText="1"/>
    </xf>
    <xf numFmtId="165" fontId="12" fillId="17" borderId="75" xfId="0" applyNumberFormat="1" applyFont="1" applyFill="1" applyBorder="1" applyAlignment="1">
      <alignment horizont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9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7" fillId="17" borderId="120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5" fillId="0" borderId="120" xfId="0" applyFont="1" applyBorder="1" applyAlignment="1">
      <alignment horizontal="left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105" fillId="17" borderId="18" xfId="4" applyNumberFormat="1" applyFont="1" applyFill="1" applyBorder="1" applyAlignment="1">
      <alignment horizontal="center" vertical="center"/>
    </xf>
    <xf numFmtId="0" fontId="105" fillId="17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9" fillId="16" borderId="138" xfId="4" applyNumberFormat="1" applyFont="1" applyFill="1" applyBorder="1" applyAlignment="1">
      <alignment horizontal="center" vertical="center"/>
    </xf>
    <xf numFmtId="0" fontId="109" fillId="16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12" fillId="23" borderId="120" xfId="0" applyFont="1" applyFill="1" applyBorder="1" applyAlignment="1">
      <alignment horizontal="center" vertical="center" wrapText="1"/>
    </xf>
    <xf numFmtId="0" fontId="13" fillId="37" borderId="120" xfId="0" applyFont="1" applyFill="1" applyBorder="1" applyAlignment="1">
      <alignment horizontal="center" vertical="center"/>
    </xf>
    <xf numFmtId="0" fontId="101" fillId="23" borderId="120" xfId="0" applyFont="1" applyFill="1" applyBorder="1" applyAlignment="1">
      <alignment horizontal="center" vertical="center"/>
    </xf>
    <xf numFmtId="0" fontId="85" fillId="19" borderId="75" xfId="0" applyFont="1" applyFill="1" applyBorder="1" applyAlignment="1"/>
    <xf numFmtId="0" fontId="4" fillId="0" borderId="124" xfId="0" applyFont="1" applyBorder="1" applyAlignment="1">
      <alignment horizontal="left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90" t="s">
        <v>164</v>
      </c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1091"/>
      <c r="O1" s="1091"/>
      <c r="P1" s="1091"/>
      <c r="Q1" s="1091"/>
      <c r="R1" s="1091"/>
      <c r="S1" s="1091"/>
      <c r="T1" s="1091"/>
      <c r="U1" s="1091"/>
      <c r="V1" s="1091"/>
      <c r="W1" s="1091"/>
      <c r="X1" s="1091"/>
      <c r="Y1" s="1092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93" t="s">
        <v>415</v>
      </c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  <c r="U2" s="1094"/>
      <c r="V2" s="1094"/>
      <c r="W2" s="1094"/>
      <c r="X2" s="1094"/>
      <c r="Y2" s="1095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84" t="s">
        <v>165</v>
      </c>
      <c r="C3" s="1085"/>
      <c r="D3" s="159">
        <f>H15</f>
        <v>0</v>
      </c>
      <c r="E3" s="160" t="s">
        <v>416</v>
      </c>
      <c r="F3" s="1096" t="s">
        <v>166</v>
      </c>
      <c r="G3" s="1085"/>
      <c r="H3" s="161"/>
      <c r="I3" s="162" t="s">
        <v>416</v>
      </c>
      <c r="J3" s="1097" t="s">
        <v>167</v>
      </c>
      <c r="K3" s="1085"/>
      <c r="L3" s="161"/>
      <c r="M3" s="160" t="s">
        <v>416</v>
      </c>
      <c r="N3" s="1096" t="s">
        <v>168</v>
      </c>
      <c r="O3" s="1085"/>
      <c r="P3" s="163"/>
      <c r="Q3" s="162">
        <v>113.292</v>
      </c>
      <c r="R3" s="1096" t="s">
        <v>169</v>
      </c>
      <c r="S3" s="1085"/>
      <c r="T3" s="159"/>
      <c r="U3" s="162">
        <v>113.292</v>
      </c>
      <c r="V3" s="164" t="s">
        <v>170</v>
      </c>
      <c r="W3" s="1098">
        <f>'Master Sheet'!H2</f>
        <v>46116</v>
      </c>
      <c r="X3" s="1099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74" t="s">
        <v>171</v>
      </c>
      <c r="C4" s="1086" t="s">
        <v>417</v>
      </c>
      <c r="D4" s="1086" t="s">
        <v>172</v>
      </c>
      <c r="E4" s="1086" t="s">
        <v>173</v>
      </c>
      <c r="F4" s="1087" t="s">
        <v>174</v>
      </c>
      <c r="G4" s="1088" t="s">
        <v>175</v>
      </c>
      <c r="H4" s="1100" t="s">
        <v>176</v>
      </c>
      <c r="I4" s="1103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75"/>
      <c r="C5" s="1075"/>
      <c r="D5" s="1075"/>
      <c r="E5" s="1075"/>
      <c r="F5" s="1075"/>
      <c r="G5" s="1075"/>
      <c r="H5" s="1101"/>
      <c r="I5" s="1075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04"/>
      <c r="W5" s="1080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68"/>
      <c r="C6" s="1068"/>
      <c r="D6" s="1068"/>
      <c r="E6" s="1068"/>
      <c r="F6" s="1068"/>
      <c r="G6" s="1068"/>
      <c r="H6" s="1102"/>
      <c r="I6" s="1075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78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79"/>
      <c r="W7" s="1080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57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81" t="s">
        <v>198</v>
      </c>
      <c r="W13" s="1080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82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89" t="s">
        <v>203</v>
      </c>
      <c r="C15" s="983"/>
      <c r="D15" s="983"/>
      <c r="E15" s="983"/>
      <c r="F15" s="983"/>
      <c r="G15" s="984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83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76"/>
      <c r="C19" s="225">
        <v>411</v>
      </c>
      <c r="D19" s="1063"/>
      <c r="E19" s="226">
        <v>432</v>
      </c>
      <c r="F19" s="1063"/>
      <c r="G19" s="227">
        <v>408</v>
      </c>
      <c r="H19" s="1063"/>
      <c r="I19" s="228">
        <v>433</v>
      </c>
      <c r="J19" s="1063"/>
      <c r="K19" s="228">
        <v>409</v>
      </c>
      <c r="L19" s="1063"/>
      <c r="M19" s="228">
        <v>432</v>
      </c>
      <c r="N19" s="1063"/>
      <c r="O19" s="229">
        <v>375</v>
      </c>
      <c r="P19" s="1061"/>
      <c r="Q19" s="225">
        <v>414</v>
      </c>
      <c r="R19" s="1061"/>
      <c r="S19" s="225">
        <v>403</v>
      </c>
      <c r="T19" s="1061"/>
      <c r="U19" s="226">
        <v>406</v>
      </c>
      <c r="V19" s="1063"/>
      <c r="W19" s="228">
        <v>319</v>
      </c>
      <c r="X19" s="1063"/>
      <c r="Y19" s="230">
        <v>384</v>
      </c>
    </row>
    <row r="20" spans="1:27" ht="15.6" x14ac:dyDescent="0.3">
      <c r="A20" s="156"/>
      <c r="B20" s="1077"/>
      <c r="C20" s="221"/>
      <c r="D20" s="1055"/>
      <c r="E20" s="221"/>
      <c r="F20" s="1055"/>
      <c r="G20" s="231"/>
      <c r="H20" s="1055"/>
      <c r="I20" s="221"/>
      <c r="J20" s="1055"/>
      <c r="K20" s="221"/>
      <c r="L20" s="1055"/>
      <c r="M20" s="221"/>
      <c r="N20" s="1055"/>
      <c r="O20" s="221"/>
      <c r="P20" s="1057"/>
      <c r="Q20" s="221"/>
      <c r="R20" s="1057"/>
      <c r="S20" s="221"/>
      <c r="T20" s="1057"/>
      <c r="U20" s="221"/>
      <c r="V20" s="1055"/>
      <c r="W20" s="221"/>
      <c r="X20" s="105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62"/>
      <c r="C25" s="226">
        <v>385</v>
      </c>
      <c r="D25" s="1060"/>
      <c r="E25" s="228">
        <v>409</v>
      </c>
      <c r="F25" s="1060"/>
      <c r="G25" s="240">
        <v>369</v>
      </c>
      <c r="H25" s="1060"/>
      <c r="I25" s="240">
        <v>350</v>
      </c>
      <c r="J25" s="1060"/>
      <c r="K25" s="225">
        <v>395</v>
      </c>
      <c r="L25" s="1063"/>
      <c r="M25" s="241">
        <v>412</v>
      </c>
      <c r="N25" s="1062"/>
      <c r="O25" s="242">
        <v>366</v>
      </c>
      <c r="P25" s="1062"/>
      <c r="Q25" s="243">
        <v>383</v>
      </c>
      <c r="R25" s="1060"/>
      <c r="S25" s="228">
        <v>300</v>
      </c>
      <c r="T25" s="1063"/>
      <c r="U25" s="244">
        <v>393</v>
      </c>
      <c r="V25" s="1060"/>
      <c r="W25" s="244">
        <v>414</v>
      </c>
      <c r="X25" s="1063"/>
      <c r="Y25" s="245">
        <v>412</v>
      </c>
    </row>
    <row r="26" spans="1:27" ht="15.6" x14ac:dyDescent="0.3">
      <c r="A26" s="156"/>
      <c r="B26" s="1057"/>
      <c r="C26" s="221"/>
      <c r="D26" s="1055"/>
      <c r="E26" s="221"/>
      <c r="F26" s="1055"/>
      <c r="G26" s="221"/>
      <c r="H26" s="1055"/>
      <c r="I26" s="179"/>
      <c r="J26" s="1055"/>
      <c r="K26" s="221"/>
      <c r="L26" s="1055"/>
      <c r="M26" s="231"/>
      <c r="N26" s="1057"/>
      <c r="O26" s="231"/>
      <c r="P26" s="1057"/>
      <c r="Q26" s="231"/>
      <c r="R26" s="1055"/>
      <c r="S26" s="231"/>
      <c r="T26" s="1055"/>
      <c r="U26" s="231"/>
      <c r="V26" s="1055"/>
      <c r="W26" s="231"/>
      <c r="X26" s="105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61"/>
      <c r="C32" s="243">
        <v>377</v>
      </c>
      <c r="D32" s="1060"/>
      <c r="E32" s="244">
        <v>369</v>
      </c>
      <c r="F32" s="1060"/>
      <c r="G32" s="244">
        <v>369</v>
      </c>
      <c r="H32" s="1060"/>
      <c r="I32" s="244">
        <v>403</v>
      </c>
      <c r="J32" s="1060"/>
      <c r="K32" s="244">
        <v>374</v>
      </c>
      <c r="L32" s="1060"/>
      <c r="M32" s="244">
        <v>416</v>
      </c>
      <c r="N32" s="1060"/>
      <c r="O32" s="244">
        <v>424</v>
      </c>
      <c r="P32" s="1060"/>
      <c r="Q32" s="244">
        <v>401</v>
      </c>
      <c r="R32" s="1060"/>
      <c r="S32" s="228">
        <v>437</v>
      </c>
      <c r="T32" s="1060"/>
      <c r="U32" s="244">
        <v>369</v>
      </c>
      <c r="V32" s="1061"/>
      <c r="W32" s="255">
        <v>361</v>
      </c>
      <c r="X32" s="1061"/>
      <c r="Y32" s="256">
        <v>458</v>
      </c>
    </row>
    <row r="33" spans="1:27" ht="15.6" x14ac:dyDescent="0.3">
      <c r="A33" s="156"/>
      <c r="B33" s="1057"/>
      <c r="C33" s="231"/>
      <c r="D33" s="1055"/>
      <c r="E33" s="231"/>
      <c r="F33" s="1055"/>
      <c r="G33" s="231"/>
      <c r="H33" s="1055"/>
      <c r="I33" s="231"/>
      <c r="J33" s="1055"/>
      <c r="K33" s="221"/>
      <c r="L33" s="1055"/>
      <c r="M33" s="231"/>
      <c r="N33" s="1055"/>
      <c r="O33" s="231"/>
      <c r="P33" s="1055"/>
      <c r="Q33" s="221"/>
      <c r="R33" s="1055"/>
      <c r="S33" s="221"/>
      <c r="T33" s="1055"/>
      <c r="U33" s="221"/>
      <c r="V33" s="1057"/>
      <c r="W33" s="231"/>
      <c r="X33" s="1057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61"/>
      <c r="C39" s="225">
        <v>355</v>
      </c>
      <c r="D39" s="1062"/>
      <c r="E39" s="225">
        <v>347</v>
      </c>
      <c r="F39" s="1061"/>
      <c r="G39" s="226">
        <v>430</v>
      </c>
      <c r="H39" s="1060"/>
      <c r="I39" s="244">
        <v>408</v>
      </c>
      <c r="J39" s="1060"/>
      <c r="K39" s="262">
        <v>402</v>
      </c>
      <c r="L39" s="1063"/>
      <c r="M39" s="228">
        <v>411</v>
      </c>
      <c r="N39" s="1063"/>
      <c r="O39" s="244">
        <v>397</v>
      </c>
      <c r="P39" s="1063"/>
      <c r="Q39" s="244">
        <v>404</v>
      </c>
      <c r="R39" s="1060"/>
      <c r="S39" s="255">
        <v>398</v>
      </c>
      <c r="T39" s="1060"/>
      <c r="U39" s="244">
        <v>430</v>
      </c>
      <c r="V39" s="1063"/>
      <c r="W39" s="244">
        <v>320</v>
      </c>
      <c r="X39" s="1060"/>
      <c r="Y39" s="230">
        <v>230</v>
      </c>
    </row>
    <row r="40" spans="1:27" ht="15.6" x14ac:dyDescent="0.3">
      <c r="A40" s="156"/>
      <c r="B40" s="1057"/>
      <c r="C40" s="231"/>
      <c r="D40" s="1057"/>
      <c r="E40" s="231"/>
      <c r="F40" s="1057"/>
      <c r="G40" s="231"/>
      <c r="H40" s="1055"/>
      <c r="I40" s="231"/>
      <c r="J40" s="1055"/>
      <c r="K40" s="231"/>
      <c r="L40" s="1055"/>
      <c r="M40" s="231"/>
      <c r="N40" s="1055"/>
      <c r="O40" s="231"/>
      <c r="P40" s="1055"/>
      <c r="Q40" s="221"/>
      <c r="R40" s="1055"/>
      <c r="S40" s="231"/>
      <c r="T40" s="1055"/>
      <c r="U40" s="221"/>
      <c r="V40" s="1055"/>
      <c r="W40" s="221"/>
      <c r="X40" s="105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61"/>
      <c r="C46" s="242">
        <v>339</v>
      </c>
      <c r="D46" s="1061"/>
      <c r="E46" s="242">
        <v>365</v>
      </c>
      <c r="F46" s="1061"/>
      <c r="G46" s="243">
        <v>409</v>
      </c>
      <c r="H46" s="1060"/>
      <c r="I46" s="244">
        <v>343</v>
      </c>
      <c r="J46" s="1060"/>
      <c r="K46" s="255">
        <v>352</v>
      </c>
      <c r="L46" s="1061"/>
      <c r="M46" s="242">
        <v>419</v>
      </c>
      <c r="N46" s="1061"/>
      <c r="O46" s="266">
        <v>410</v>
      </c>
      <c r="P46" s="1067"/>
      <c r="Q46" s="242">
        <v>413</v>
      </c>
      <c r="R46" s="1061"/>
      <c r="S46" s="243">
        <v>407</v>
      </c>
      <c r="T46" s="1067"/>
      <c r="U46" s="243">
        <v>352</v>
      </c>
      <c r="V46" s="1067"/>
      <c r="W46" s="244">
        <v>405</v>
      </c>
      <c r="X46" s="1067"/>
      <c r="Y46" s="267">
        <v>393</v>
      </c>
    </row>
    <row r="47" spans="1:27" ht="15.6" x14ac:dyDescent="0.3">
      <c r="A47" s="156"/>
      <c r="B47" s="1057"/>
      <c r="C47" s="221"/>
      <c r="D47" s="1057"/>
      <c r="E47" s="221"/>
      <c r="F47" s="1057"/>
      <c r="G47" s="221"/>
      <c r="H47" s="1055"/>
      <c r="I47" s="221"/>
      <c r="J47" s="1055"/>
      <c r="K47" s="231"/>
      <c r="L47" s="1057"/>
      <c r="M47" s="221"/>
      <c r="N47" s="1057"/>
      <c r="O47" s="231"/>
      <c r="P47" s="1068"/>
      <c r="Q47" s="231"/>
      <c r="R47" s="1057"/>
      <c r="S47" s="231"/>
      <c r="T47" s="1068"/>
      <c r="U47" s="231"/>
      <c r="V47" s="1068"/>
      <c r="W47" s="231"/>
      <c r="X47" s="1068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61"/>
      <c r="C53" s="242">
        <v>439</v>
      </c>
      <c r="D53" s="1067"/>
      <c r="E53" s="243">
        <v>398</v>
      </c>
      <c r="F53" s="1061"/>
      <c r="G53" s="244">
        <v>445</v>
      </c>
      <c r="H53" s="1061"/>
      <c r="I53" s="228">
        <v>355</v>
      </c>
      <c r="J53" s="1060"/>
      <c r="K53" s="244">
        <v>447</v>
      </c>
      <c r="L53" s="1060"/>
      <c r="M53" s="270">
        <v>215</v>
      </c>
      <c r="N53" s="1060"/>
      <c r="O53" s="255">
        <v>498</v>
      </c>
      <c r="P53" s="1061"/>
      <c r="Q53" s="255">
        <v>325</v>
      </c>
      <c r="R53" s="1060"/>
      <c r="S53" s="228">
        <v>388</v>
      </c>
      <c r="T53" s="1060"/>
      <c r="U53" s="244">
        <v>381</v>
      </c>
      <c r="V53" s="1061"/>
      <c r="W53" s="240">
        <v>349</v>
      </c>
      <c r="X53" s="1061"/>
      <c r="Y53" s="256">
        <v>373</v>
      </c>
    </row>
    <row r="54" spans="1:25" ht="15.6" x14ac:dyDescent="0.3">
      <c r="A54" s="156"/>
      <c r="B54" s="1057"/>
      <c r="C54" s="231"/>
      <c r="D54" s="1068"/>
      <c r="E54" s="231"/>
      <c r="F54" s="1057"/>
      <c r="G54" s="231"/>
      <c r="H54" s="1057"/>
      <c r="I54" s="221"/>
      <c r="J54" s="1055"/>
      <c r="K54" s="271"/>
      <c r="L54" s="1055"/>
      <c r="M54" s="221"/>
      <c r="N54" s="1055"/>
      <c r="O54" s="221"/>
      <c r="P54" s="1057"/>
      <c r="Q54" s="221"/>
      <c r="R54" s="1055"/>
      <c r="S54" s="221"/>
      <c r="T54" s="1055"/>
      <c r="U54" s="221"/>
      <c r="V54" s="1057"/>
      <c r="W54" s="231"/>
      <c r="X54" s="1057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61"/>
      <c r="C60" s="275">
        <v>386</v>
      </c>
      <c r="D60" s="1061"/>
      <c r="E60" s="275">
        <v>429</v>
      </c>
      <c r="F60" s="1060"/>
      <c r="G60" s="262">
        <v>377</v>
      </c>
      <c r="H60" s="1060"/>
      <c r="I60" s="262">
        <v>405</v>
      </c>
      <c r="J60" s="1060"/>
      <c r="K60" s="262">
        <v>425</v>
      </c>
      <c r="L60" s="1060"/>
      <c r="M60" s="276">
        <v>344</v>
      </c>
      <c r="N60" s="1060"/>
      <c r="O60" s="276">
        <v>399</v>
      </c>
      <c r="P60" s="1060"/>
      <c r="Q60" s="262">
        <v>439</v>
      </c>
      <c r="R60" s="1060"/>
      <c r="S60" s="277">
        <v>403</v>
      </c>
      <c r="T60" s="1060"/>
      <c r="U60" s="262">
        <v>480</v>
      </c>
      <c r="V60" s="1060"/>
      <c r="W60" s="262">
        <v>535</v>
      </c>
      <c r="X60" s="1060"/>
      <c r="Y60" s="245">
        <v>389</v>
      </c>
    </row>
    <row r="61" spans="1:25" ht="15.6" x14ac:dyDescent="0.3">
      <c r="A61" s="156"/>
      <c r="B61" s="1057"/>
      <c r="C61" s="231"/>
      <c r="D61" s="1057"/>
      <c r="E61" s="231"/>
      <c r="F61" s="1055"/>
      <c r="G61" s="231"/>
      <c r="H61" s="1055"/>
      <c r="I61" s="231"/>
      <c r="J61" s="1055"/>
      <c r="K61" s="231"/>
      <c r="L61" s="1055"/>
      <c r="M61" s="231"/>
      <c r="N61" s="1055"/>
      <c r="O61" s="231"/>
      <c r="P61" s="1055"/>
      <c r="Q61" s="231"/>
      <c r="R61" s="1055"/>
      <c r="S61" s="231"/>
      <c r="T61" s="1055"/>
      <c r="U61" s="219"/>
      <c r="V61" s="1055"/>
      <c r="W61" s="219"/>
      <c r="X61" s="105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61"/>
      <c r="C67" s="242">
        <v>454</v>
      </c>
      <c r="D67" s="1072"/>
      <c r="E67" s="278">
        <v>247</v>
      </c>
      <c r="F67" s="1060"/>
      <c r="G67" s="244">
        <v>373</v>
      </c>
      <c r="H67" s="1060"/>
      <c r="I67" s="244">
        <v>401</v>
      </c>
      <c r="J67" s="1069"/>
      <c r="K67" s="255">
        <v>388</v>
      </c>
      <c r="L67" s="1073"/>
      <c r="M67" s="242">
        <v>328</v>
      </c>
      <c r="N67" s="1073"/>
      <c r="O67" s="279">
        <v>330</v>
      </c>
      <c r="P67" s="1060"/>
      <c r="Q67" s="242">
        <v>331</v>
      </c>
      <c r="R67" s="1060"/>
      <c r="S67" s="244">
        <v>361</v>
      </c>
      <c r="T67" s="1060"/>
      <c r="U67" s="244">
        <v>306</v>
      </c>
      <c r="V67" s="1060"/>
      <c r="W67" s="244">
        <v>336</v>
      </c>
      <c r="X67" s="1060"/>
      <c r="Y67" s="280">
        <v>278</v>
      </c>
    </row>
    <row r="68" spans="1:25" ht="15.6" x14ac:dyDescent="0.3">
      <c r="A68" s="156"/>
      <c r="B68" s="1057"/>
      <c r="C68" s="221"/>
      <c r="D68" s="1057"/>
      <c r="E68" s="221"/>
      <c r="F68" s="1055"/>
      <c r="G68" s="221"/>
      <c r="H68" s="1055"/>
      <c r="I68" s="221"/>
      <c r="J68" s="1055"/>
      <c r="K68" s="231"/>
      <c r="L68" s="1057"/>
      <c r="M68" s="221"/>
      <c r="N68" s="1057"/>
      <c r="O68" s="231"/>
      <c r="P68" s="1055"/>
      <c r="Q68" s="231"/>
      <c r="R68" s="1055"/>
      <c r="S68" s="231"/>
      <c r="T68" s="1055"/>
      <c r="U68" s="231"/>
      <c r="V68" s="1055"/>
      <c r="W68" s="231"/>
      <c r="X68" s="105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61"/>
      <c r="C74" s="242">
        <v>439</v>
      </c>
      <c r="D74" s="1070"/>
      <c r="E74" s="243">
        <v>401</v>
      </c>
      <c r="F74" s="1070"/>
      <c r="G74" s="244">
        <v>350</v>
      </c>
      <c r="H74" s="1060"/>
      <c r="I74" s="244">
        <v>335</v>
      </c>
      <c r="J74" s="1060"/>
      <c r="K74" s="244">
        <v>314</v>
      </c>
      <c r="L74" s="1060"/>
      <c r="M74" s="244">
        <v>421</v>
      </c>
      <c r="N74" s="1060"/>
      <c r="O74" s="244">
        <v>466</v>
      </c>
      <c r="P74" s="1060"/>
      <c r="Q74" s="244">
        <v>352</v>
      </c>
      <c r="R74" s="1060"/>
      <c r="S74" s="244">
        <v>403</v>
      </c>
      <c r="T74" s="1060"/>
      <c r="U74" s="244">
        <v>373</v>
      </c>
      <c r="V74" s="1060"/>
      <c r="W74" s="255">
        <v>362</v>
      </c>
      <c r="X74" s="1060"/>
      <c r="Y74" s="256">
        <v>351</v>
      </c>
    </row>
    <row r="75" spans="1:25" ht="15.6" x14ac:dyDescent="0.3">
      <c r="A75" s="156"/>
      <c r="B75" s="1057"/>
      <c r="C75" s="231"/>
      <c r="D75" s="1071"/>
      <c r="E75" s="231"/>
      <c r="F75" s="1071"/>
      <c r="G75" s="231"/>
      <c r="H75" s="1055"/>
      <c r="I75" s="221"/>
      <c r="J75" s="1055"/>
      <c r="K75" s="221"/>
      <c r="L75" s="1055"/>
      <c r="M75" s="221"/>
      <c r="N75" s="1055"/>
      <c r="O75" s="221"/>
      <c r="P75" s="1055"/>
      <c r="Q75" s="221"/>
      <c r="R75" s="1055"/>
      <c r="S75" s="221"/>
      <c r="T75" s="1055"/>
      <c r="U75" s="221"/>
      <c r="V75" s="1055"/>
      <c r="W75" s="231"/>
      <c r="X75" s="105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61"/>
      <c r="C81" s="242">
        <v>361</v>
      </c>
      <c r="D81" s="1070"/>
      <c r="E81" s="242">
        <v>375</v>
      </c>
      <c r="F81" s="1070"/>
      <c r="G81" s="255">
        <v>425</v>
      </c>
      <c r="H81" s="1061"/>
      <c r="I81" s="243">
        <v>429</v>
      </c>
      <c r="J81" s="1060"/>
      <c r="K81" s="244">
        <v>350</v>
      </c>
      <c r="L81" s="1060"/>
      <c r="M81" s="244">
        <v>483</v>
      </c>
      <c r="N81" s="1060"/>
      <c r="O81" s="244">
        <v>453</v>
      </c>
      <c r="P81" s="1060"/>
      <c r="Q81" s="244">
        <v>388</v>
      </c>
      <c r="R81" s="1060"/>
      <c r="S81" s="255">
        <v>317</v>
      </c>
      <c r="T81" s="1060"/>
      <c r="U81" s="244">
        <v>324</v>
      </c>
      <c r="V81" s="1069"/>
      <c r="W81" s="244">
        <v>485</v>
      </c>
      <c r="X81" s="1060"/>
      <c r="Y81" s="245">
        <v>249</v>
      </c>
    </row>
    <row r="82" spans="1:25" ht="15.6" x14ac:dyDescent="0.3">
      <c r="A82" s="156"/>
      <c r="B82" s="1057"/>
      <c r="C82" s="231"/>
      <c r="D82" s="1071"/>
      <c r="E82" s="231"/>
      <c r="F82" s="1071"/>
      <c r="G82" s="231"/>
      <c r="H82" s="1057"/>
      <c r="I82" s="231"/>
      <c r="J82" s="1055"/>
      <c r="K82" s="231"/>
      <c r="L82" s="1055"/>
      <c r="M82" s="231"/>
      <c r="N82" s="1055"/>
      <c r="O82" s="231"/>
      <c r="P82" s="1055"/>
      <c r="Q82" s="231"/>
      <c r="R82" s="1055"/>
      <c r="S82" s="231"/>
      <c r="T82" s="1055"/>
      <c r="U82" s="221"/>
      <c r="V82" s="1055"/>
      <c r="W82" s="221"/>
      <c r="X82" s="105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61"/>
      <c r="C88" s="242">
        <v>429</v>
      </c>
      <c r="D88" s="1069"/>
      <c r="E88" s="243">
        <v>399</v>
      </c>
      <c r="F88" s="1060"/>
      <c r="G88" s="244">
        <v>435</v>
      </c>
      <c r="H88" s="1060"/>
      <c r="I88" s="244">
        <v>404</v>
      </c>
      <c r="J88" s="1061"/>
      <c r="K88" s="287">
        <v>374</v>
      </c>
      <c r="L88" s="1061"/>
      <c r="M88" s="278">
        <v>250</v>
      </c>
      <c r="N88" s="1060"/>
      <c r="O88" s="255">
        <v>398</v>
      </c>
      <c r="P88" s="1067"/>
      <c r="Q88" s="242">
        <v>364</v>
      </c>
      <c r="R88" s="1061"/>
      <c r="S88" s="244">
        <v>380</v>
      </c>
      <c r="T88" s="1060"/>
      <c r="U88" s="270">
        <v>459</v>
      </c>
      <c r="V88" s="1060"/>
      <c r="W88" s="244">
        <v>206</v>
      </c>
      <c r="X88" s="1060"/>
      <c r="Y88" s="280">
        <v>385</v>
      </c>
    </row>
    <row r="89" spans="1:25" ht="15.6" x14ac:dyDescent="0.3">
      <c r="A89" s="156"/>
      <c r="B89" s="1057"/>
      <c r="C89" s="221"/>
      <c r="D89" s="1055"/>
      <c r="E89" s="221"/>
      <c r="F89" s="1055"/>
      <c r="G89" s="221"/>
      <c r="H89" s="1055"/>
      <c r="I89" s="221"/>
      <c r="J89" s="1057"/>
      <c r="K89" s="231"/>
      <c r="L89" s="1057"/>
      <c r="M89" s="221"/>
      <c r="N89" s="1055"/>
      <c r="O89" s="231"/>
      <c r="P89" s="1068"/>
      <c r="Q89" s="231"/>
      <c r="R89" s="1057"/>
      <c r="S89" s="231"/>
      <c r="T89" s="1055"/>
      <c r="U89" s="231"/>
      <c r="V89" s="1055"/>
      <c r="W89" s="231"/>
      <c r="X89" s="105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66"/>
      <c r="C95" s="291">
        <v>372</v>
      </c>
      <c r="D95" s="1061"/>
      <c r="E95" s="292">
        <v>384</v>
      </c>
      <c r="F95" s="1060"/>
      <c r="G95" s="293">
        <v>400</v>
      </c>
      <c r="H95" s="1060"/>
      <c r="I95" s="294">
        <v>386</v>
      </c>
      <c r="J95" s="1060"/>
      <c r="K95" s="294">
        <v>398</v>
      </c>
      <c r="L95" s="1060"/>
      <c r="M95" s="244">
        <v>393</v>
      </c>
      <c r="N95" s="1060"/>
      <c r="O95" s="243">
        <v>387</v>
      </c>
      <c r="P95" s="1060"/>
      <c r="Q95" s="244">
        <v>378</v>
      </c>
      <c r="R95" s="1060"/>
      <c r="S95" s="244">
        <v>410</v>
      </c>
      <c r="T95" s="1060"/>
      <c r="U95" s="244">
        <v>368</v>
      </c>
      <c r="V95" s="1060"/>
      <c r="W95" s="255">
        <v>396</v>
      </c>
      <c r="X95" s="1060"/>
      <c r="Y95" s="295">
        <v>395</v>
      </c>
    </row>
    <row r="96" spans="1:25" ht="15.6" x14ac:dyDescent="0.3">
      <c r="A96" s="156"/>
      <c r="B96" s="1057"/>
      <c r="C96" s="296"/>
      <c r="D96" s="1057"/>
      <c r="E96" s="257"/>
      <c r="F96" s="1055"/>
      <c r="G96" s="296"/>
      <c r="H96" s="1055"/>
      <c r="I96" s="257"/>
      <c r="J96" s="1055"/>
      <c r="K96" s="257"/>
      <c r="L96" s="1055"/>
      <c r="M96" s="221"/>
      <c r="N96" s="1055"/>
      <c r="O96" s="221"/>
      <c r="P96" s="1055"/>
      <c r="Q96" s="221"/>
      <c r="R96" s="1055"/>
      <c r="S96" s="221"/>
      <c r="T96" s="1055"/>
      <c r="U96" s="221"/>
      <c r="V96" s="1055"/>
      <c r="W96" s="231"/>
      <c r="X96" s="105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61"/>
      <c r="C103" s="242">
        <v>414</v>
      </c>
      <c r="D103" s="1062"/>
      <c r="E103" s="242">
        <v>350</v>
      </c>
      <c r="F103" s="1063"/>
      <c r="G103" s="244">
        <v>356</v>
      </c>
      <c r="H103" s="1063"/>
      <c r="I103" s="244">
        <v>460</v>
      </c>
      <c r="J103" s="1063"/>
      <c r="K103" s="244">
        <v>379</v>
      </c>
      <c r="L103" s="1063"/>
      <c r="M103" s="244">
        <v>383</v>
      </c>
      <c r="N103" s="1063"/>
      <c r="O103" s="270">
        <v>400</v>
      </c>
      <c r="P103" s="1063"/>
      <c r="Q103" s="244">
        <v>421</v>
      </c>
      <c r="R103" s="1060"/>
      <c r="S103" s="255">
        <v>323</v>
      </c>
      <c r="T103" s="1061"/>
      <c r="U103" s="244">
        <v>312</v>
      </c>
      <c r="V103" s="1060"/>
      <c r="W103" s="270">
        <v>360</v>
      </c>
      <c r="X103" s="1060"/>
      <c r="Y103" s="245">
        <v>301</v>
      </c>
    </row>
    <row r="104" spans="1:27" ht="15.6" x14ac:dyDescent="0.3">
      <c r="A104" s="156"/>
      <c r="B104" s="1057"/>
      <c r="C104" s="231"/>
      <c r="D104" s="1057"/>
      <c r="E104" s="231"/>
      <c r="F104" s="1055"/>
      <c r="G104" s="231"/>
      <c r="H104" s="1055"/>
      <c r="I104" s="231"/>
      <c r="J104" s="1055"/>
      <c r="K104" s="231"/>
      <c r="L104" s="1055"/>
      <c r="M104" s="231"/>
      <c r="N104" s="1055"/>
      <c r="O104" s="231"/>
      <c r="P104" s="1055"/>
      <c r="Q104" s="231"/>
      <c r="R104" s="1055"/>
      <c r="S104" s="231"/>
      <c r="T104" s="1057"/>
      <c r="U104" s="221"/>
      <c r="V104" s="1055"/>
      <c r="W104" s="221"/>
      <c r="X104" s="105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61"/>
      <c r="C110" s="242">
        <v>379</v>
      </c>
      <c r="D110" s="1061"/>
      <c r="E110" s="243">
        <v>394</v>
      </c>
      <c r="F110" s="1060"/>
      <c r="G110" s="244">
        <v>410</v>
      </c>
      <c r="H110" s="1064"/>
      <c r="I110" s="244">
        <v>404</v>
      </c>
      <c r="J110" s="1060"/>
      <c r="K110" s="255">
        <v>436</v>
      </c>
      <c r="L110" s="1060"/>
      <c r="M110" s="242">
        <v>437</v>
      </c>
      <c r="N110" s="1065"/>
      <c r="O110" s="266">
        <v>406</v>
      </c>
      <c r="P110" s="1062"/>
      <c r="Q110" s="242">
        <v>438</v>
      </c>
      <c r="R110" s="1061"/>
      <c r="S110" s="243">
        <v>412</v>
      </c>
      <c r="T110" s="1061"/>
      <c r="U110" s="244">
        <v>413</v>
      </c>
      <c r="V110" s="1061"/>
      <c r="W110" s="244">
        <v>328</v>
      </c>
      <c r="X110" s="1061"/>
      <c r="Y110" s="303">
        <v>385</v>
      </c>
    </row>
    <row r="111" spans="1:27" ht="15.6" x14ac:dyDescent="0.3">
      <c r="A111" s="156"/>
      <c r="B111" s="1057"/>
      <c r="C111" s="221"/>
      <c r="D111" s="1057"/>
      <c r="E111" s="221"/>
      <c r="F111" s="1055"/>
      <c r="G111" s="221"/>
      <c r="H111" s="1055"/>
      <c r="I111" s="221"/>
      <c r="J111" s="1055"/>
      <c r="K111" s="231"/>
      <c r="L111" s="1055"/>
      <c r="M111" s="221"/>
      <c r="N111" s="1055"/>
      <c r="O111" s="304"/>
      <c r="P111" s="1057"/>
      <c r="Q111" s="231"/>
      <c r="R111" s="1057"/>
      <c r="S111" s="231"/>
      <c r="T111" s="1057"/>
      <c r="U111" s="231"/>
      <c r="V111" s="1057"/>
      <c r="W111" s="231"/>
      <c r="X111" s="1057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61"/>
      <c r="C117" s="242">
        <v>415</v>
      </c>
      <c r="D117" s="1062"/>
      <c r="E117" s="243">
        <v>394</v>
      </c>
      <c r="F117" s="1061"/>
      <c r="G117" s="255">
        <v>362</v>
      </c>
      <c r="H117" s="1060"/>
      <c r="I117" s="244">
        <v>386</v>
      </c>
      <c r="J117" s="1063"/>
      <c r="K117" s="244">
        <v>425</v>
      </c>
      <c r="L117" s="1060"/>
      <c r="M117" s="244">
        <v>412</v>
      </c>
      <c r="N117" s="1060"/>
      <c r="O117" s="244">
        <v>337</v>
      </c>
      <c r="P117" s="1060"/>
      <c r="Q117" s="255">
        <v>323</v>
      </c>
      <c r="R117" s="1061"/>
      <c r="S117" s="255">
        <v>329</v>
      </c>
      <c r="T117" s="1060"/>
      <c r="U117" s="244">
        <v>315</v>
      </c>
      <c r="V117" s="1060"/>
      <c r="W117" s="255">
        <v>465</v>
      </c>
      <c r="X117" s="1061"/>
      <c r="Y117" s="256">
        <v>374</v>
      </c>
    </row>
    <row r="118" spans="1:25" ht="15.6" x14ac:dyDescent="0.3">
      <c r="A118" s="156"/>
      <c r="B118" s="1057"/>
      <c r="C118" s="231"/>
      <c r="D118" s="1057"/>
      <c r="E118" s="231"/>
      <c r="F118" s="1057"/>
      <c r="G118" s="231"/>
      <c r="H118" s="1055"/>
      <c r="I118" s="221"/>
      <c r="J118" s="1055"/>
      <c r="K118" s="221"/>
      <c r="L118" s="1055"/>
      <c r="M118" s="221"/>
      <c r="N118" s="1055"/>
      <c r="O118" s="221"/>
      <c r="P118" s="1055"/>
      <c r="Q118" s="221"/>
      <c r="R118" s="1057"/>
      <c r="S118" s="221"/>
      <c r="T118" s="1055"/>
      <c r="U118" s="221"/>
      <c r="V118" s="1055"/>
      <c r="W118" s="231"/>
      <c r="X118" s="1057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61"/>
      <c r="C124" s="242">
        <v>400</v>
      </c>
      <c r="D124" s="1062"/>
      <c r="E124" s="243">
        <v>359</v>
      </c>
      <c r="F124" s="1061"/>
      <c r="G124" s="255">
        <v>468</v>
      </c>
      <c r="H124" s="1060"/>
      <c r="I124" s="244">
        <v>287</v>
      </c>
      <c r="J124" s="1063"/>
      <c r="K124" s="244">
        <v>416</v>
      </c>
      <c r="L124" s="1060"/>
      <c r="M124" s="244">
        <v>352</v>
      </c>
      <c r="N124" s="1060"/>
      <c r="O124" s="244">
        <v>361</v>
      </c>
      <c r="P124" s="1060"/>
      <c r="Q124" s="255">
        <v>426</v>
      </c>
      <c r="R124" s="1061"/>
      <c r="S124" s="255">
        <v>394</v>
      </c>
      <c r="T124" s="1060"/>
      <c r="U124" s="244">
        <v>384</v>
      </c>
      <c r="V124" s="1060"/>
      <c r="W124" s="255">
        <v>414</v>
      </c>
      <c r="X124" s="1061"/>
      <c r="Y124" s="256">
        <v>480</v>
      </c>
    </row>
    <row r="125" spans="1:25" ht="15.6" x14ac:dyDescent="0.3">
      <c r="A125" s="156"/>
      <c r="B125" s="1057"/>
      <c r="C125" s="231"/>
      <c r="D125" s="1057"/>
      <c r="E125" s="231"/>
      <c r="F125" s="1057"/>
      <c r="G125" s="231"/>
      <c r="H125" s="1055"/>
      <c r="I125" s="221"/>
      <c r="J125" s="1055"/>
      <c r="K125" s="221"/>
      <c r="L125" s="1055"/>
      <c r="M125" s="221"/>
      <c r="N125" s="1055"/>
      <c r="O125" s="221"/>
      <c r="P125" s="1055"/>
      <c r="Q125" s="221"/>
      <c r="R125" s="1057"/>
      <c r="S125" s="221"/>
      <c r="T125" s="1055"/>
      <c r="U125" s="221"/>
      <c r="V125" s="1055"/>
      <c r="W125" s="231"/>
      <c r="X125" s="1057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61"/>
      <c r="C131" s="242">
        <v>395</v>
      </c>
      <c r="D131" s="1062"/>
      <c r="E131" s="243">
        <v>329</v>
      </c>
      <c r="F131" s="1061"/>
      <c r="G131" s="255">
        <v>418</v>
      </c>
      <c r="H131" s="1060"/>
      <c r="I131" s="244">
        <v>467</v>
      </c>
      <c r="J131" s="1063"/>
      <c r="K131" s="244">
        <v>443</v>
      </c>
      <c r="L131" s="1060"/>
      <c r="M131" s="244">
        <v>311</v>
      </c>
      <c r="N131" s="1060"/>
      <c r="O131" s="244">
        <v>479</v>
      </c>
      <c r="P131" s="1060"/>
      <c r="Q131" s="255">
        <v>321</v>
      </c>
      <c r="R131" s="1061"/>
      <c r="S131" s="255">
        <v>506</v>
      </c>
      <c r="T131" s="1060"/>
      <c r="U131" s="244">
        <v>421</v>
      </c>
      <c r="V131" s="1060"/>
      <c r="W131" s="255">
        <v>421</v>
      </c>
      <c r="X131" s="1061"/>
      <c r="Y131" s="256">
        <v>406</v>
      </c>
    </row>
    <row r="132" spans="1:32" ht="15.6" x14ac:dyDescent="0.3">
      <c r="A132" s="156"/>
      <c r="B132" s="1057"/>
      <c r="C132" s="231"/>
      <c r="D132" s="1057"/>
      <c r="E132" s="231"/>
      <c r="F132" s="1057"/>
      <c r="G132" s="231"/>
      <c r="H132" s="1055"/>
      <c r="I132" s="221"/>
      <c r="J132" s="1055"/>
      <c r="K132" s="221"/>
      <c r="L132" s="1055"/>
      <c r="M132" s="221"/>
      <c r="N132" s="1055"/>
      <c r="O132" s="221"/>
      <c r="P132" s="1055"/>
      <c r="Q132" s="221"/>
      <c r="R132" s="1057"/>
      <c r="S132" s="221"/>
      <c r="T132" s="1055"/>
      <c r="U132" s="221"/>
      <c r="V132" s="1055"/>
      <c r="W132" s="231"/>
      <c r="X132" s="1057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56"/>
      <c r="C138" s="311">
        <v>435</v>
      </c>
      <c r="D138" s="1058"/>
      <c r="E138" s="312">
        <v>533</v>
      </c>
      <c r="F138" s="1056"/>
      <c r="G138" s="313">
        <v>265</v>
      </c>
      <c r="H138" s="1054"/>
      <c r="I138" s="314">
        <v>484</v>
      </c>
      <c r="J138" s="1059"/>
      <c r="K138" s="314">
        <v>611</v>
      </c>
      <c r="L138" s="1054"/>
      <c r="M138" s="314">
        <v>367</v>
      </c>
      <c r="N138" s="1054"/>
      <c r="O138" s="314">
        <v>469</v>
      </c>
      <c r="P138" s="1054"/>
      <c r="Q138" s="313">
        <v>371</v>
      </c>
      <c r="R138" s="1056"/>
      <c r="S138" s="313">
        <v>370</v>
      </c>
      <c r="T138" s="1054"/>
      <c r="U138" s="314">
        <v>327</v>
      </c>
      <c r="V138" s="1054"/>
      <c r="W138" s="313">
        <v>318</v>
      </c>
      <c r="X138" s="1056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57"/>
      <c r="C139" s="308"/>
      <c r="D139" s="1057"/>
      <c r="E139" s="308"/>
      <c r="F139" s="1057"/>
      <c r="G139" s="308"/>
      <c r="H139" s="1055"/>
      <c r="I139" s="316"/>
      <c r="J139" s="1055"/>
      <c r="K139" s="316"/>
      <c r="L139" s="1055"/>
      <c r="M139" s="316"/>
      <c r="N139" s="1055"/>
      <c r="O139" s="316"/>
      <c r="P139" s="1055"/>
      <c r="Q139" s="316"/>
      <c r="R139" s="1057"/>
      <c r="S139" s="316"/>
      <c r="T139" s="1055"/>
      <c r="U139" s="316"/>
      <c r="V139" s="1055"/>
      <c r="W139" s="308"/>
      <c r="X139" s="1057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56"/>
      <c r="C144" s="311">
        <v>396</v>
      </c>
      <c r="D144" s="1058"/>
      <c r="E144" s="312">
        <v>377</v>
      </c>
      <c r="F144" s="1056"/>
      <c r="G144" s="313">
        <v>398</v>
      </c>
      <c r="H144" s="1054"/>
      <c r="I144" s="314">
        <v>393</v>
      </c>
      <c r="J144" s="1059"/>
      <c r="K144" s="314">
        <v>374</v>
      </c>
      <c r="L144" s="1054"/>
      <c r="M144" s="314">
        <v>363</v>
      </c>
      <c r="N144" s="1054"/>
      <c r="O144" s="314">
        <v>349</v>
      </c>
      <c r="P144" s="1054"/>
      <c r="Q144" s="313">
        <v>386</v>
      </c>
      <c r="R144" s="1056"/>
      <c r="S144" s="313">
        <v>390</v>
      </c>
      <c r="T144" s="1054"/>
      <c r="U144" s="314">
        <v>417</v>
      </c>
      <c r="V144" s="1054"/>
      <c r="W144" s="313">
        <v>423</v>
      </c>
      <c r="X144" s="1056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57"/>
      <c r="C145" s="308"/>
      <c r="D145" s="1057"/>
      <c r="E145" s="308"/>
      <c r="F145" s="1057"/>
      <c r="G145" s="308"/>
      <c r="H145" s="1055"/>
      <c r="I145" s="316"/>
      <c r="J145" s="1055"/>
      <c r="K145" s="316"/>
      <c r="L145" s="1055"/>
      <c r="M145" s="316"/>
      <c r="N145" s="1055"/>
      <c r="O145" s="316"/>
      <c r="P145" s="1055"/>
      <c r="Q145" s="316"/>
      <c r="R145" s="1057"/>
      <c r="S145" s="316"/>
      <c r="T145" s="1055"/>
      <c r="U145" s="316"/>
      <c r="V145" s="1055"/>
      <c r="W145" s="308"/>
      <c r="X145" s="1057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56"/>
      <c r="C150" s="311">
        <v>365</v>
      </c>
      <c r="D150" s="1058"/>
      <c r="E150" s="312">
        <v>403</v>
      </c>
      <c r="F150" s="1056"/>
      <c r="G150" s="313">
        <v>382</v>
      </c>
      <c r="H150" s="1054"/>
      <c r="I150" s="314">
        <v>395</v>
      </c>
      <c r="J150" s="1059"/>
      <c r="K150" s="314">
        <v>385</v>
      </c>
      <c r="L150" s="1054"/>
      <c r="M150" s="314">
        <v>381</v>
      </c>
      <c r="N150" s="1054"/>
      <c r="O150" s="314">
        <v>395</v>
      </c>
      <c r="P150" s="1054"/>
      <c r="Q150" s="313">
        <v>403</v>
      </c>
      <c r="R150" s="1056"/>
      <c r="S150" s="313">
        <v>383</v>
      </c>
      <c r="T150" s="1054"/>
      <c r="U150" s="314">
        <v>386</v>
      </c>
      <c r="V150" s="1054"/>
      <c r="W150" s="313">
        <v>397</v>
      </c>
      <c r="X150" s="1056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57"/>
      <c r="C151" s="308"/>
      <c r="D151" s="1057"/>
      <c r="E151" s="308"/>
      <c r="F151" s="1057"/>
      <c r="G151" s="308"/>
      <c r="H151" s="1055"/>
      <c r="I151" s="316"/>
      <c r="J151" s="1055"/>
      <c r="K151" s="316"/>
      <c r="L151" s="1055"/>
      <c r="M151" s="316"/>
      <c r="N151" s="1055"/>
      <c r="O151" s="316"/>
      <c r="P151" s="1055"/>
      <c r="Q151" s="316"/>
      <c r="R151" s="1057"/>
      <c r="S151" s="316"/>
      <c r="T151" s="1055"/>
      <c r="U151" s="316"/>
      <c r="V151" s="1055"/>
      <c r="W151" s="308"/>
      <c r="X151" s="1057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56"/>
      <c r="C156" s="311">
        <v>422</v>
      </c>
      <c r="D156" s="1058"/>
      <c r="E156" s="312">
        <v>417</v>
      </c>
      <c r="F156" s="1056"/>
      <c r="G156" s="313">
        <v>400</v>
      </c>
      <c r="H156" s="1054"/>
      <c r="I156" s="314">
        <v>421</v>
      </c>
      <c r="J156" s="1059"/>
      <c r="K156" s="314">
        <v>419</v>
      </c>
      <c r="L156" s="1054"/>
      <c r="M156" s="314">
        <v>402</v>
      </c>
      <c r="N156" s="1054"/>
      <c r="O156" s="314">
        <v>402</v>
      </c>
      <c r="P156" s="1054"/>
      <c r="Q156" s="313">
        <v>411</v>
      </c>
      <c r="R156" s="1056"/>
      <c r="S156" s="313">
        <v>355</v>
      </c>
      <c r="T156" s="1054"/>
      <c r="U156" s="314">
        <v>390</v>
      </c>
      <c r="V156" s="1054"/>
      <c r="W156" s="313">
        <v>380</v>
      </c>
      <c r="X156" s="1056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57"/>
      <c r="C157" s="308"/>
      <c r="D157" s="1057"/>
      <c r="E157" s="308"/>
      <c r="F157" s="1057"/>
      <c r="G157" s="308"/>
      <c r="H157" s="1055"/>
      <c r="I157" s="316"/>
      <c r="J157" s="1055"/>
      <c r="K157" s="316"/>
      <c r="L157" s="1055"/>
      <c r="M157" s="316"/>
      <c r="N157" s="1055"/>
      <c r="O157" s="316"/>
      <c r="P157" s="1055"/>
      <c r="Q157" s="316"/>
      <c r="R157" s="1057"/>
      <c r="S157" s="316"/>
      <c r="T157" s="1055"/>
      <c r="U157" s="316"/>
      <c r="V157" s="1055"/>
      <c r="W157" s="308"/>
      <c r="X157" s="1057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56"/>
      <c r="C162" s="311">
        <v>422</v>
      </c>
      <c r="D162" s="1058"/>
      <c r="E162" s="312">
        <v>417</v>
      </c>
      <c r="F162" s="1056"/>
      <c r="G162" s="313">
        <v>400</v>
      </c>
      <c r="H162" s="1054"/>
      <c r="I162" s="314">
        <v>421</v>
      </c>
      <c r="J162" s="1059"/>
      <c r="K162" s="314">
        <v>419</v>
      </c>
      <c r="L162" s="1054"/>
      <c r="M162" s="314">
        <v>402</v>
      </c>
      <c r="N162" s="1054"/>
      <c r="O162" s="314">
        <v>402</v>
      </c>
      <c r="P162" s="1054"/>
      <c r="Q162" s="313">
        <v>411</v>
      </c>
      <c r="R162" s="1056"/>
      <c r="S162" s="313">
        <v>355</v>
      </c>
      <c r="T162" s="1054"/>
      <c r="U162" s="314">
        <v>390</v>
      </c>
      <c r="V162" s="1054"/>
      <c r="W162" s="313">
        <v>380</v>
      </c>
      <c r="X162" s="1056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57"/>
      <c r="C163" s="308"/>
      <c r="D163" s="1057"/>
      <c r="E163" s="308"/>
      <c r="F163" s="1057"/>
      <c r="G163" s="308"/>
      <c r="H163" s="1055"/>
      <c r="I163" s="316"/>
      <c r="J163" s="1055"/>
      <c r="K163" s="316"/>
      <c r="L163" s="1055"/>
      <c r="M163" s="316"/>
      <c r="N163" s="1055"/>
      <c r="O163" s="316"/>
      <c r="P163" s="1055"/>
      <c r="Q163" s="316"/>
      <c r="R163" s="1057"/>
      <c r="S163" s="316"/>
      <c r="T163" s="1055"/>
      <c r="U163" s="316"/>
      <c r="V163" s="1055"/>
      <c r="W163" s="308"/>
      <c r="X163" s="1057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tabSelected="1" zoomScale="63" zoomScaleNormal="100" workbookViewId="0">
      <selection activeCell="I27" sqref="I2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07"/>
      <c r="C2" s="497" t="s">
        <v>0</v>
      </c>
      <c r="D2" s="1108" t="s">
        <v>1</v>
      </c>
      <c r="E2" s="983"/>
      <c r="F2" s="984"/>
      <c r="G2" s="3" t="s">
        <v>2</v>
      </c>
      <c r="H2" s="449">
        <v>46116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75"/>
      <c r="C3" s="497" t="s">
        <v>5</v>
      </c>
      <c r="D3" s="1109" t="s">
        <v>6</v>
      </c>
      <c r="E3" s="983"/>
      <c r="F3" s="984"/>
      <c r="G3" s="3" t="s">
        <v>7</v>
      </c>
      <c r="H3" s="4" t="s">
        <v>8</v>
      </c>
      <c r="I3" s="3" t="s">
        <v>9</v>
      </c>
      <c r="J3" s="5" t="s">
        <v>801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75"/>
      <c r="C4" s="497" t="s">
        <v>10</v>
      </c>
      <c r="D4" s="1109" t="s">
        <v>11</v>
      </c>
      <c r="E4" s="983"/>
      <c r="F4" s="98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68"/>
      <c r="C5" s="497" t="s">
        <v>16</v>
      </c>
      <c r="D5" s="1109" t="s">
        <v>17</v>
      </c>
      <c r="E5" s="983"/>
      <c r="F5" s="984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1" t="s">
        <v>21</v>
      </c>
      <c r="C8" s="892"/>
      <c r="D8" s="892"/>
      <c r="E8" s="892"/>
      <c r="F8" s="892"/>
      <c r="G8" s="892"/>
      <c r="H8" s="892"/>
      <c r="I8" s="892"/>
      <c r="J8" s="892"/>
      <c r="K8" s="892"/>
      <c r="L8" s="892"/>
      <c r="M8" s="893"/>
      <c r="N8" s="684"/>
      <c r="O8" s="914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95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96" t="s">
        <v>34</v>
      </c>
      <c r="C10" s="886" t="s">
        <v>35</v>
      </c>
      <c r="D10" s="887">
        <v>113.286</v>
      </c>
      <c r="E10" s="888">
        <v>113.286</v>
      </c>
      <c r="F10" s="888">
        <v>113.286</v>
      </c>
      <c r="G10" s="888">
        <v>113.286</v>
      </c>
      <c r="H10" s="887">
        <v>0</v>
      </c>
      <c r="I10" s="887">
        <v>0</v>
      </c>
      <c r="J10" s="887">
        <v>0</v>
      </c>
      <c r="K10" s="890">
        <v>0</v>
      </c>
      <c r="L10" s="889">
        <v>113.286</v>
      </c>
      <c r="M10" s="902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97" t="s">
        <v>36</v>
      </c>
      <c r="C11" s="898" t="s">
        <v>35</v>
      </c>
      <c r="D11" s="899">
        <v>113.286</v>
      </c>
      <c r="E11" s="900">
        <v>113.286</v>
      </c>
      <c r="F11" s="901">
        <v>113.286</v>
      </c>
      <c r="G11" s="901">
        <v>106.43900000000005</v>
      </c>
      <c r="H11" s="899">
        <f>E11-F11</f>
        <v>0</v>
      </c>
      <c r="I11" s="899">
        <f>F11-G11</f>
        <v>6.8469999999999516</v>
      </c>
      <c r="J11" s="899">
        <f>I11</f>
        <v>6.8469999999999516</v>
      </c>
      <c r="K11" s="917">
        <v>0</v>
      </c>
      <c r="L11" s="901">
        <v>106.43900000000005</v>
      </c>
      <c r="M11" s="903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931">
        <v>0</v>
      </c>
      <c r="I16" s="456">
        <v>0</v>
      </c>
      <c r="J16" s="455">
        <v>252</v>
      </c>
      <c r="K16" s="486">
        <f>E16+I16</f>
        <v>101</v>
      </c>
      <c r="L16" s="455">
        <f>292-K16</f>
        <v>191</v>
      </c>
      <c r="M16" s="618">
        <v>2</v>
      </c>
      <c r="N16" s="618">
        <v>2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67</v>
      </c>
      <c r="F17" s="455">
        <v>40</v>
      </c>
      <c r="G17" s="455">
        <v>40</v>
      </c>
      <c r="H17" s="931">
        <v>0</v>
      </c>
      <c r="I17" s="456">
        <v>0</v>
      </c>
      <c r="J17" s="455">
        <f>J16</f>
        <v>252</v>
      </c>
      <c r="K17" s="486">
        <f>E17+I17</f>
        <v>67</v>
      </c>
      <c r="L17" s="616">
        <f t="shared" ref="L17:L25" si="0">C17-K17</f>
        <v>225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730">
        <v>1</v>
      </c>
      <c r="I18" s="456">
        <v>2</v>
      </c>
      <c r="J18" s="455">
        <v>190</v>
      </c>
      <c r="K18" s="486">
        <f>E18+I18</f>
        <v>68</v>
      </c>
      <c r="L18" s="455">
        <f t="shared" si="0"/>
        <v>224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695</v>
      </c>
      <c r="H27" s="367"/>
      <c r="I27" s="485"/>
      <c r="J27" s="485"/>
      <c r="K27" s="904" t="s">
        <v>694</v>
      </c>
      <c r="L27" s="701" t="s">
        <v>65</v>
      </c>
      <c r="M27" s="704" t="s">
        <v>695</v>
      </c>
      <c r="N27" s="704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941" t="s">
        <v>421</v>
      </c>
      <c r="C28" s="939" t="s">
        <v>815</v>
      </c>
      <c r="D28" s="939" t="s">
        <v>820</v>
      </c>
      <c r="E28" s="939" t="s">
        <v>816</v>
      </c>
      <c r="F28" s="939" t="s">
        <v>820</v>
      </c>
      <c r="G28" s="940" t="s">
        <v>773</v>
      </c>
      <c r="H28" s="367"/>
      <c r="I28" s="485"/>
      <c r="J28" s="485"/>
      <c r="K28" s="1258" t="s">
        <v>412</v>
      </c>
      <c r="L28" s="1259" t="s">
        <v>87</v>
      </c>
      <c r="M28" s="1260" t="s">
        <v>769</v>
      </c>
      <c r="N28" s="1260" t="s">
        <v>817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68"/>
      <c r="B29" s="941" t="s">
        <v>435</v>
      </c>
      <c r="C29" s="939" t="s">
        <v>814</v>
      </c>
      <c r="D29" s="939" t="s">
        <v>814</v>
      </c>
      <c r="E29" s="939" t="s">
        <v>814</v>
      </c>
      <c r="F29" s="939" t="s">
        <v>819</v>
      </c>
      <c r="G29" s="940" t="s">
        <v>763</v>
      </c>
      <c r="H29" s="367"/>
      <c r="I29" s="485"/>
      <c r="J29" s="485"/>
      <c r="K29" s="878" t="s">
        <v>251</v>
      </c>
      <c r="L29" s="878" t="s">
        <v>87</v>
      </c>
      <c r="M29" s="878" t="s">
        <v>678</v>
      </c>
      <c r="N29" s="878" t="s">
        <v>818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51"/>
      <c r="C30" s="952"/>
      <c r="D30" s="952"/>
      <c r="E30" s="952"/>
      <c r="F30" s="952"/>
      <c r="G30" s="953"/>
      <c r="H30" s="367"/>
      <c r="I30" s="485"/>
      <c r="J30" s="485"/>
      <c r="K30" s="911"/>
      <c r="L30" s="911"/>
      <c r="M30" s="911"/>
      <c r="N30" s="911"/>
      <c r="O30" s="1"/>
      <c r="P30" s="1"/>
      <c r="Q30" s="1"/>
      <c r="R30" s="1"/>
      <c r="S30" s="1"/>
    </row>
    <row r="31" spans="1:24" ht="15.6" x14ac:dyDescent="0.3">
      <c r="A31" s="368"/>
      <c r="B31" s="934"/>
      <c r="C31" s="934"/>
      <c r="D31" s="934"/>
      <c r="E31" s="934"/>
      <c r="F31" s="934"/>
      <c r="G31" s="361"/>
      <c r="H31" s="367"/>
      <c r="I31" s="485"/>
      <c r="J31" s="485"/>
      <c r="K31" s="911"/>
      <c r="L31" s="911"/>
      <c r="M31" s="911"/>
      <c r="N31" s="911"/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thickBot="1" x14ac:dyDescent="0.45">
      <c r="A32" s="368"/>
      <c r="B32" s="684"/>
      <c r="C32" s="684"/>
      <c r="D32" s="684"/>
      <c r="E32" s="684"/>
      <c r="F32" s="684"/>
      <c r="G32" s="684"/>
      <c r="H32" s="366"/>
      <c r="I32" s="367"/>
      <c r="J32" s="363"/>
      <c r="K32" s="364"/>
      <c r="L32" s="692"/>
      <c r="M32" s="692"/>
      <c r="N32" s="35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x14ac:dyDescent="0.4">
      <c r="A33" s="1"/>
      <c r="B33" s="685" t="s">
        <v>55</v>
      </c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8.6" customHeight="1" x14ac:dyDescent="0.3">
      <c r="A34" s="1"/>
      <c r="B34" s="688" t="s">
        <v>22</v>
      </c>
      <c r="C34" s="12" t="s">
        <v>23</v>
      </c>
      <c r="D34" s="12" t="s">
        <v>24</v>
      </c>
      <c r="E34" s="12" t="s">
        <v>25</v>
      </c>
      <c r="F34" s="12" t="s">
        <v>56</v>
      </c>
      <c r="G34" s="12" t="s">
        <v>57</v>
      </c>
      <c r="H34" s="12" t="s">
        <v>58</v>
      </c>
      <c r="I34" s="12" t="s">
        <v>59</v>
      </c>
      <c r="J34" s="12" t="s">
        <v>60</v>
      </c>
      <c r="K34" s="12" t="s">
        <v>61</v>
      </c>
      <c r="L34" s="682" t="s">
        <v>550</v>
      </c>
      <c r="M34" s="689" t="s">
        <v>33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4" customHeight="1" x14ac:dyDescent="0.3">
      <c r="A35" s="1"/>
      <c r="B35" s="690" t="s">
        <v>63</v>
      </c>
      <c r="C35" s="8" t="s">
        <v>64</v>
      </c>
      <c r="D35" s="8">
        <v>292</v>
      </c>
      <c r="E35" s="8">
        <v>292</v>
      </c>
      <c r="F35" s="8">
        <v>235</v>
      </c>
      <c r="G35" s="8">
        <f>D35-F35</f>
        <v>57</v>
      </c>
      <c r="H35" s="475">
        <v>0</v>
      </c>
      <c r="I35" s="475">
        <v>0</v>
      </c>
      <c r="J35" s="8">
        <v>0</v>
      </c>
      <c r="K35" s="680">
        <f>F35+J35</f>
        <v>235</v>
      </c>
      <c r="L35" s="683">
        <f>E35+H35-K35</f>
        <v>57</v>
      </c>
      <c r="M35" s="69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1.2" customHeight="1" x14ac:dyDescent="0.3">
      <c r="A36" s="1"/>
      <c r="B36" s="690" t="s">
        <v>65</v>
      </c>
      <c r="C36" s="476" t="s">
        <v>66</v>
      </c>
      <c r="D36" s="476">
        <v>292</v>
      </c>
      <c r="E36" s="476">
        <v>230</v>
      </c>
      <c r="F36" s="476">
        <v>221</v>
      </c>
      <c r="G36" s="476">
        <f>D36-F36</f>
        <v>71</v>
      </c>
      <c r="H36" s="477">
        <v>0</v>
      </c>
      <c r="I36" s="477">
        <v>0</v>
      </c>
      <c r="J36" s="476">
        <v>0</v>
      </c>
      <c r="K36" s="681">
        <f>F36+J36</f>
        <v>221</v>
      </c>
      <c r="L36" s="683">
        <f>E36+H36-K36</f>
        <v>9</v>
      </c>
      <c r="M36" s="691"/>
      <c r="N36" s="355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.4" customHeight="1" thickBot="1" x14ac:dyDescent="0.35">
      <c r="A37" s="1"/>
      <c r="B37" s="474" t="s">
        <v>683</v>
      </c>
      <c r="C37" s="478" t="s">
        <v>35</v>
      </c>
      <c r="D37" s="478">
        <v>4314</v>
      </c>
      <c r="E37" s="478">
        <v>2700</v>
      </c>
      <c r="F37" s="478">
        <v>2870.6149999999998</v>
      </c>
      <c r="G37" s="478">
        <f>D37-F37</f>
        <v>1443.3850000000002</v>
      </c>
      <c r="H37" s="478">
        <v>300</v>
      </c>
      <c r="I37" s="478">
        <v>300</v>
      </c>
      <c r="J37" s="478">
        <v>0</v>
      </c>
      <c r="K37" s="479">
        <f>F37-J37</f>
        <v>2870.6149999999998</v>
      </c>
      <c r="L37" s="478">
        <f>E37+H37-K37</f>
        <v>129.38500000000022</v>
      </c>
      <c r="M37" s="938" t="s">
        <v>807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678"/>
      <c r="M38" s="679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411" t="s">
        <v>677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412" t="s">
        <v>760</v>
      </c>
      <c r="C40" s="412"/>
      <c r="D40" s="412"/>
      <c r="E40" s="410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761</v>
      </c>
      <c r="C41" s="412"/>
      <c r="D41" s="412"/>
      <c r="E41" s="410"/>
      <c r="F41" s="410"/>
      <c r="G41" s="409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767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/>
      <c r="C43" s="410"/>
      <c r="D43" s="410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624"/>
      <c r="M48" s="1106"/>
      <c r="N48" s="1106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485"/>
      <c r="K49" s="623"/>
      <c r="L49" s="662"/>
      <c r="M49" s="1105"/>
      <c r="N49" s="1105"/>
      <c r="O49" s="368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412"/>
      <c r="D50" s="412"/>
      <c r="E50" s="412"/>
      <c r="F50" s="2"/>
      <c r="G50" s="2"/>
      <c r="H50" s="485"/>
      <c r="I50" s="623"/>
      <c r="J50" s="624"/>
      <c r="K50" s="662"/>
      <c r="L50" s="623"/>
      <c r="M50" s="624"/>
      <c r="N50" s="1106"/>
      <c r="O50" s="1106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485"/>
      <c r="I51" s="631"/>
      <c r="J51" s="631"/>
      <c r="K51" s="485"/>
      <c r="L51" s="658"/>
      <c r="M51" s="659"/>
      <c r="N51" s="1111"/>
      <c r="O51" s="111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485"/>
      <c r="G52" s="623"/>
      <c r="H52" s="624"/>
      <c r="I52" s="1106"/>
      <c r="J52" s="1106"/>
      <c r="K52" s="485"/>
      <c r="L52" s="658"/>
      <c r="M52" s="659"/>
      <c r="N52" s="1110"/>
      <c r="O52" s="1110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662"/>
      <c r="J53" s="662"/>
      <c r="K53" s="485"/>
      <c r="L53" s="657"/>
      <c r="M53" s="657"/>
      <c r="N53" s="1110"/>
      <c r="O53" s="1110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C54" s="2"/>
      <c r="D54" s="2"/>
      <c r="E54" s="2"/>
      <c r="F54" s="485"/>
      <c r="G54" s="631"/>
      <c r="H54" s="631"/>
      <c r="I54" s="625"/>
      <c r="J54" s="625"/>
      <c r="K54" s="485"/>
      <c r="L54" s="631"/>
      <c r="M54" s="631"/>
      <c r="N54" s="1110"/>
      <c r="O54" s="1110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31"/>
      <c r="H55" s="485"/>
      <c r="I55" s="623"/>
      <c r="J55" s="624"/>
      <c r="K55" s="485"/>
      <c r="L55" s="657"/>
      <c r="M55" s="631"/>
      <c r="N55" s="1111"/>
      <c r="O55" s="1111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5"/>
      <c r="G56" s="631"/>
      <c r="H56" s="485"/>
      <c r="I56" s="658"/>
      <c r="J56" s="659"/>
      <c r="K56" s="485"/>
      <c r="L56" s="657"/>
      <c r="M56" s="657"/>
      <c r="N56" s="1110"/>
      <c r="O56" s="1110"/>
      <c r="P56" s="1"/>
      <c r="Q56" s="1"/>
      <c r="R56" s="1"/>
      <c r="S56" s="1"/>
      <c r="T56" s="1"/>
      <c r="U56" s="1"/>
      <c r="V56" s="1"/>
      <c r="W56" s="1"/>
      <c r="X56" s="1"/>
    </row>
    <row r="57" spans="1:24" ht="15.6" customHeight="1" x14ac:dyDescent="0.3">
      <c r="A57" s="1"/>
      <c r="C57" s="2"/>
      <c r="D57" s="2"/>
      <c r="E57" s="2"/>
      <c r="F57" s="485"/>
      <c r="G57" s="648"/>
      <c r="H57" s="485"/>
      <c r="I57" s="657"/>
      <c r="J57" s="656"/>
      <c r="K57" s="485"/>
      <c r="L57" s="657"/>
      <c r="M57" s="657"/>
      <c r="N57" s="1110"/>
      <c r="O57" s="1110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B58" s="2"/>
      <c r="C58" s="2"/>
      <c r="D58" s="2"/>
      <c r="E58" s="2"/>
      <c r="F58" s="485"/>
      <c r="G58" s="648"/>
      <c r="H58" s="485"/>
      <c r="I58" s="657"/>
      <c r="J58" s="657"/>
      <c r="K58" s="485"/>
      <c r="L58" s="668"/>
      <c r="M58" s="619"/>
      <c r="N58" s="368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6"/>
      <c r="K59" s="668"/>
      <c r="L59" s="668"/>
      <c r="M59" s="1113"/>
      <c r="N59" s="1113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2"/>
      <c r="G60" s="2"/>
      <c r="H60" s="485"/>
      <c r="I60" s="631"/>
      <c r="J60" s="631"/>
      <c r="K60" s="668"/>
      <c r="L60" s="668"/>
      <c r="M60" s="488"/>
      <c r="N60" s="487"/>
      <c r="O60" s="62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9"/>
      <c r="M61" s="1112"/>
      <c r="N61" s="1112"/>
      <c r="O61" s="1"/>
      <c r="P61" s="368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2"/>
      <c r="G62" s="2"/>
      <c r="H62" s="485"/>
      <c r="I62" s="657"/>
      <c r="J62" s="631"/>
      <c r="K62" s="669"/>
      <c r="L62" s="668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57"/>
      <c r="J63" s="657"/>
      <c r="K63" s="668"/>
      <c r="L63" s="35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352"/>
      <c r="I64" s="352"/>
      <c r="J64" s="352"/>
      <c r="K64" s="35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3"/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</sheetData>
  <mergeCells count="18">
    <mergeCell ref="M61:N61"/>
    <mergeCell ref="M59:N59"/>
    <mergeCell ref="N50:O50"/>
    <mergeCell ref="N51:O51"/>
    <mergeCell ref="N56:O56"/>
    <mergeCell ref="N57:O57"/>
    <mergeCell ref="I52:J52"/>
    <mergeCell ref="N52:O52"/>
    <mergeCell ref="N53:O53"/>
    <mergeCell ref="N54:O54"/>
    <mergeCell ref="N55:O55"/>
    <mergeCell ref="M49:N49"/>
    <mergeCell ref="M48:N48"/>
    <mergeCell ref="B2:B5"/>
    <mergeCell ref="D2:F2"/>
    <mergeCell ref="D3:F3"/>
    <mergeCell ref="D4:F4"/>
    <mergeCell ref="D5:F5"/>
  </mergeCells>
  <phoneticPr fontId="58" type="noConversion"/>
  <conditionalFormatting sqref="K28:K29">
    <cfRule type="duplicateValues" dxfId="8" priority="2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48"/>
  <sheetViews>
    <sheetView zoomScale="85" zoomScaleNormal="91" workbookViewId="0">
      <selection activeCell="H284" sqref="H284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10" t="s">
        <v>21</v>
      </c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6.8469999999999516</v>
      </c>
      <c r="K5" s="30">
        <v>20</v>
      </c>
      <c r="L5" s="30">
        <f>'Master Sheet'!I11</f>
        <v>6.8469999999999516</v>
      </c>
      <c r="M5" s="30">
        <f>'Master Sheet'!L11</f>
        <v>106.43900000000005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13" t="s">
        <v>68</v>
      </c>
      <c r="C7" s="1014"/>
      <c r="D7" s="1014"/>
      <c r="E7" s="1014"/>
      <c r="F7" s="1014"/>
      <c r="G7" s="1014"/>
      <c r="H7" s="101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16" t="s">
        <v>70</v>
      </c>
      <c r="D8" s="984"/>
      <c r="E8" s="1017" t="s">
        <v>71</v>
      </c>
      <c r="F8" s="1018"/>
      <c r="G8" s="1016" t="s">
        <v>72</v>
      </c>
      <c r="H8" s="98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19"/>
      <c r="D9" s="984"/>
      <c r="E9" s="1019"/>
      <c r="F9" s="984"/>
      <c r="G9" s="1020"/>
      <c r="H9" s="98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COUNTIFS($I$13:$L$130,"Foundation Completed.")</f>
        <v>101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21" t="s">
        <v>73</v>
      </c>
      <c r="C11" s="1022"/>
      <c r="D11" s="1022"/>
      <c r="E11" s="1022"/>
      <c r="F11" s="1022"/>
      <c r="G11" s="1022"/>
      <c r="H11" s="1022"/>
      <c r="I11" s="1022"/>
      <c r="J11" s="1023"/>
      <c r="K11" s="1022"/>
      <c r="L11" s="1023"/>
      <c r="M11" s="1022"/>
      <c r="N11" s="1022"/>
      <c r="O11" s="1022"/>
      <c r="P11" s="1022"/>
      <c r="Q11" s="102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25" t="s">
        <v>80</v>
      </c>
      <c r="J12" s="1026"/>
      <c r="K12" s="1026"/>
      <c r="L12" s="1027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2">
        <v>26.43</v>
      </c>
      <c r="I13" s="1004" t="s">
        <v>553</v>
      </c>
      <c r="J13" s="1005"/>
      <c r="K13" s="1005"/>
      <c r="L13" s="1006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4">
        <v>22.4</v>
      </c>
      <c r="I14" s="1004" t="s">
        <v>553</v>
      </c>
      <c r="J14" s="1005"/>
      <c r="K14" s="1005"/>
      <c r="L14" s="1006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04" t="s">
        <v>553</v>
      </c>
      <c r="J15" s="1005"/>
      <c r="K15" s="1005"/>
      <c r="L15" s="1006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04" t="s">
        <v>553</v>
      </c>
      <c r="J16" s="1005"/>
      <c r="K16" s="1005"/>
      <c r="L16" s="1006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04" t="s">
        <v>553</v>
      </c>
      <c r="J17" s="1005"/>
      <c r="K17" s="1005"/>
      <c r="L17" s="1006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04" t="s">
        <v>553</v>
      </c>
      <c r="J18" s="1005"/>
      <c r="K18" s="1005"/>
      <c r="L18" s="1006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04" t="s">
        <v>553</v>
      </c>
      <c r="J19" s="1005"/>
      <c r="K19" s="1005"/>
      <c r="L19" s="1006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04" t="s">
        <v>553</v>
      </c>
      <c r="J20" s="1005"/>
      <c r="K20" s="1005"/>
      <c r="L20" s="1006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04" t="s">
        <v>553</v>
      </c>
      <c r="J21" s="1005"/>
      <c r="K21" s="1005"/>
      <c r="L21" s="1006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04" t="s">
        <v>553</v>
      </c>
      <c r="J22" s="1005"/>
      <c r="K22" s="1005"/>
      <c r="L22" s="1006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04" t="s">
        <v>553</v>
      </c>
      <c r="J23" s="1005"/>
      <c r="K23" s="1005"/>
      <c r="L23" s="1006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04" t="s">
        <v>553</v>
      </c>
      <c r="J24" s="1005"/>
      <c r="K24" s="1005"/>
      <c r="L24" s="1006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04" t="s">
        <v>553</v>
      </c>
      <c r="J25" s="1005"/>
      <c r="K25" s="1005"/>
      <c r="L25" s="1006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04" t="s">
        <v>553</v>
      </c>
      <c r="J26" s="1005"/>
      <c r="K26" s="1005"/>
      <c r="L26" s="1006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04" t="s">
        <v>553</v>
      </c>
      <c r="J27" s="1005"/>
      <c r="K27" s="1005"/>
      <c r="L27" s="1006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04" t="s">
        <v>553</v>
      </c>
      <c r="J28" s="1005"/>
      <c r="K28" s="1005"/>
      <c r="L28" s="1006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04" t="s">
        <v>553</v>
      </c>
      <c r="J29" s="1005"/>
      <c r="K29" s="1005"/>
      <c r="L29" s="1006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04" t="s">
        <v>553</v>
      </c>
      <c r="J30" s="1005"/>
      <c r="K30" s="1005"/>
      <c r="L30" s="1006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2">
        <v>26.43</v>
      </c>
      <c r="I31" s="1004" t="s">
        <v>553</v>
      </c>
      <c r="J31" s="1005"/>
      <c r="K31" s="1005"/>
      <c r="L31" s="1006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04" t="s">
        <v>553</v>
      </c>
      <c r="J32" s="1005"/>
      <c r="K32" s="1005"/>
      <c r="L32" s="1006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04" t="s">
        <v>553</v>
      </c>
      <c r="J33" s="1005"/>
      <c r="K33" s="1005"/>
      <c r="L33" s="1006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04" t="s">
        <v>553</v>
      </c>
      <c r="J34" s="1005"/>
      <c r="K34" s="1005"/>
      <c r="L34" s="1006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04" t="s">
        <v>553</v>
      </c>
      <c r="J35" s="1005"/>
      <c r="K35" s="1005"/>
      <c r="L35" s="1006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04" t="s">
        <v>553</v>
      </c>
      <c r="J36" s="1005"/>
      <c r="K36" s="1005"/>
      <c r="L36" s="1006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4">
        <v>22.4</v>
      </c>
      <c r="I37" s="1004" t="s">
        <v>553</v>
      </c>
      <c r="J37" s="1005"/>
      <c r="K37" s="1005"/>
      <c r="L37" s="1006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04" t="s">
        <v>553</v>
      </c>
      <c r="J38" s="1005"/>
      <c r="K38" s="1005"/>
      <c r="L38" s="1006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91" t="s">
        <v>555</v>
      </c>
      <c r="J39" s="992"/>
      <c r="K39" s="992"/>
      <c r="L39" s="993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04" t="s">
        <v>553</v>
      </c>
      <c r="J40" s="1005"/>
      <c r="K40" s="1005"/>
      <c r="L40" s="1006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91" t="s">
        <v>555</v>
      </c>
      <c r="J41" s="992"/>
      <c r="K41" s="992"/>
      <c r="L41" s="993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91" t="s">
        <v>555</v>
      </c>
      <c r="J42" s="992"/>
      <c r="K42" s="992"/>
      <c r="L42" s="993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91" t="s">
        <v>555</v>
      </c>
      <c r="J43" s="992"/>
      <c r="K43" s="992"/>
      <c r="L43" s="993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4">
        <v>22.4</v>
      </c>
      <c r="I44" s="1004" t="s">
        <v>553</v>
      </c>
      <c r="J44" s="1005"/>
      <c r="K44" s="1005"/>
      <c r="L44" s="1006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2">
        <v>26.43</v>
      </c>
      <c r="I45" s="991" t="s">
        <v>555</v>
      </c>
      <c r="J45" s="992"/>
      <c r="K45" s="992"/>
      <c r="L45" s="993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991" t="s">
        <v>555</v>
      </c>
      <c r="J46" s="992"/>
      <c r="K46" s="992"/>
      <c r="L46" s="993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91" t="s">
        <v>555</v>
      </c>
      <c r="J47" s="992"/>
      <c r="K47" s="992"/>
      <c r="L47" s="993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91" t="s">
        <v>555</v>
      </c>
      <c r="J48" s="992"/>
      <c r="K48" s="992"/>
      <c r="L48" s="993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94" t="s">
        <v>555</v>
      </c>
      <c r="J49" s="995"/>
      <c r="K49" s="995"/>
      <c r="L49" s="996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2">
        <v>26.43</v>
      </c>
      <c r="I50" s="991" t="s">
        <v>555</v>
      </c>
      <c r="J50" s="992"/>
      <c r="K50" s="992"/>
      <c r="L50" s="993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91" t="s">
        <v>555</v>
      </c>
      <c r="J51" s="992"/>
      <c r="K51" s="992"/>
      <c r="L51" s="993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91" t="s">
        <v>555</v>
      </c>
      <c r="J52" s="992"/>
      <c r="K52" s="992"/>
      <c r="L52" s="993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94" t="s">
        <v>555</v>
      </c>
      <c r="J53" s="995"/>
      <c r="K53" s="995"/>
      <c r="L53" s="996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4">
        <v>22.4</v>
      </c>
      <c r="I54" s="1000" t="s">
        <v>555</v>
      </c>
      <c r="J54" s="1000"/>
      <c r="K54" s="1000"/>
      <c r="L54" s="1000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2">
        <v>26.43</v>
      </c>
      <c r="I55" s="991" t="s">
        <v>555</v>
      </c>
      <c r="J55" s="992"/>
      <c r="K55" s="992"/>
      <c r="L55" s="993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00" t="s">
        <v>555</v>
      </c>
      <c r="J56" s="1000"/>
      <c r="K56" s="1000"/>
      <c r="L56" s="1000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90" t="s">
        <v>555</v>
      </c>
      <c r="J57" s="990"/>
      <c r="K57" s="990"/>
      <c r="L57" s="990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94" t="s">
        <v>555</v>
      </c>
      <c r="J58" s="995"/>
      <c r="K58" s="995"/>
      <c r="L58" s="996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90" t="s">
        <v>555</v>
      </c>
      <c r="J59" s="990"/>
      <c r="K59" s="990"/>
      <c r="L59" s="990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6">
        <v>26.43</v>
      </c>
      <c r="I60" s="990" t="s">
        <v>555</v>
      </c>
      <c r="J60" s="990"/>
      <c r="K60" s="990"/>
      <c r="L60" s="990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90" t="s">
        <v>555</v>
      </c>
      <c r="J61" s="990"/>
      <c r="K61" s="990"/>
      <c r="L61" s="990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001" t="s">
        <v>555</v>
      </c>
      <c r="J62" s="1002"/>
      <c r="K62" s="1002"/>
      <c r="L62" s="1003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990" t="s">
        <v>555</v>
      </c>
      <c r="J63" s="990"/>
      <c r="K63" s="990"/>
      <c r="L63" s="990"/>
      <c r="M63" s="520">
        <v>46036</v>
      </c>
      <c r="N63" s="491" t="s">
        <v>89</v>
      </c>
      <c r="O63" s="373"/>
      <c r="P63" s="913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997" t="s">
        <v>555</v>
      </c>
      <c r="J64" s="998"/>
      <c r="K64" s="998"/>
      <c r="L64" s="999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97" t="s">
        <v>555</v>
      </c>
      <c r="J65" s="998"/>
      <c r="K65" s="998"/>
      <c r="L65" s="999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4">
        <v>22.4</v>
      </c>
      <c r="I66" s="990" t="s">
        <v>555</v>
      </c>
      <c r="J66" s="990"/>
      <c r="K66" s="990"/>
      <c r="L66" s="990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5">
        <v>33.655000000000001</v>
      </c>
      <c r="I67" s="997" t="s">
        <v>555</v>
      </c>
      <c r="J67" s="998"/>
      <c r="K67" s="998"/>
      <c r="L67" s="999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90" t="s">
        <v>555</v>
      </c>
      <c r="J68" s="990"/>
      <c r="K68" s="990"/>
      <c r="L68" s="990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90" t="s">
        <v>555</v>
      </c>
      <c r="J69" s="990"/>
      <c r="K69" s="990"/>
      <c r="L69" s="990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97" t="s">
        <v>555</v>
      </c>
      <c r="J70" s="998"/>
      <c r="K70" s="998"/>
      <c r="L70" s="999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990" t="s">
        <v>555</v>
      </c>
      <c r="J71" s="990"/>
      <c r="K71" s="990"/>
      <c r="L71" s="990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997" t="s">
        <v>555</v>
      </c>
      <c r="J72" s="998"/>
      <c r="K72" s="998"/>
      <c r="L72" s="999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97" t="s">
        <v>555</v>
      </c>
      <c r="J73" s="998"/>
      <c r="K73" s="998"/>
      <c r="L73" s="999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90" t="s">
        <v>555</v>
      </c>
      <c r="J74" s="990"/>
      <c r="K74" s="990"/>
      <c r="L74" s="990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90" t="s">
        <v>555</v>
      </c>
      <c r="J75" s="990"/>
      <c r="K75" s="990"/>
      <c r="L75" s="990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91" t="s">
        <v>555</v>
      </c>
      <c r="J76" s="992"/>
      <c r="K76" s="992"/>
      <c r="L76" s="993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90" t="s">
        <v>555</v>
      </c>
      <c r="J77" s="990"/>
      <c r="K77" s="990"/>
      <c r="L77" s="990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90" t="s">
        <v>555</v>
      </c>
      <c r="J78" s="990"/>
      <c r="K78" s="990"/>
      <c r="L78" s="990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990" t="s">
        <v>555</v>
      </c>
      <c r="J79" s="990"/>
      <c r="K79" s="990"/>
      <c r="L79" s="990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990" t="s">
        <v>555</v>
      </c>
      <c r="J80" s="990"/>
      <c r="K80" s="990"/>
      <c r="L80" s="990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990" t="s">
        <v>555</v>
      </c>
      <c r="J81" s="990"/>
      <c r="K81" s="990"/>
      <c r="L81" s="990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2">
        <v>26.43</v>
      </c>
      <c r="I82" s="990" t="s">
        <v>555</v>
      </c>
      <c r="J82" s="990"/>
      <c r="K82" s="990"/>
      <c r="L82" s="990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90" t="s">
        <v>555</v>
      </c>
      <c r="J83" s="990"/>
      <c r="K83" s="990"/>
      <c r="L83" s="990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2">
        <v>26.43</v>
      </c>
      <c r="I84" s="990" t="s">
        <v>555</v>
      </c>
      <c r="J84" s="990"/>
      <c r="K84" s="990"/>
      <c r="L84" s="990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90" t="s">
        <v>555</v>
      </c>
      <c r="J85" s="990"/>
      <c r="K85" s="990"/>
      <c r="L85" s="990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90" t="s">
        <v>555</v>
      </c>
      <c r="J86" s="990"/>
      <c r="K86" s="990"/>
      <c r="L86" s="990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90" t="s">
        <v>555</v>
      </c>
      <c r="J87" s="990"/>
      <c r="K87" s="990"/>
      <c r="L87" s="990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90" t="s">
        <v>555</v>
      </c>
      <c r="J88" s="990"/>
      <c r="K88" s="990"/>
      <c r="L88" s="990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90" t="s">
        <v>555</v>
      </c>
      <c r="J89" s="990"/>
      <c r="K89" s="990"/>
      <c r="L89" s="990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90" t="s">
        <v>555</v>
      </c>
      <c r="J90" s="990"/>
      <c r="K90" s="990"/>
      <c r="L90" s="990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90" t="s">
        <v>555</v>
      </c>
      <c r="J91" s="990"/>
      <c r="K91" s="990"/>
      <c r="L91" s="990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3">
        <v>34.299999999999997</v>
      </c>
      <c r="I92" s="990" t="s">
        <v>555</v>
      </c>
      <c r="J92" s="990"/>
      <c r="K92" s="990"/>
      <c r="L92" s="990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90" t="s">
        <v>555</v>
      </c>
      <c r="J93" s="990"/>
      <c r="K93" s="990"/>
      <c r="L93" s="990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90" t="s">
        <v>555</v>
      </c>
      <c r="J94" s="990"/>
      <c r="K94" s="990"/>
      <c r="L94" s="990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990" t="s">
        <v>555</v>
      </c>
      <c r="J95" s="990"/>
      <c r="K95" s="990"/>
      <c r="L95" s="990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90" t="s">
        <v>555</v>
      </c>
      <c r="J96" s="990"/>
      <c r="K96" s="990"/>
      <c r="L96" s="990"/>
      <c r="M96" s="842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90" t="s">
        <v>555</v>
      </c>
      <c r="J97" s="990"/>
      <c r="K97" s="990"/>
      <c r="L97" s="990"/>
      <c r="M97" s="842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52">
        <v>26.43</v>
      </c>
      <c r="I98" s="990" t="s">
        <v>555</v>
      </c>
      <c r="J98" s="990"/>
      <c r="K98" s="990"/>
      <c r="L98" s="990"/>
      <c r="M98" s="842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60" customFormat="1" ht="13.8" x14ac:dyDescent="0.3">
      <c r="A99" s="954"/>
      <c r="B99" s="37">
        <f t="shared" si="1"/>
        <v>87</v>
      </c>
      <c r="C99" s="660" t="s">
        <v>358</v>
      </c>
      <c r="D99" s="650" t="s">
        <v>87</v>
      </c>
      <c r="E99" s="434" t="s">
        <v>92</v>
      </c>
      <c r="F99" s="515"/>
      <c r="G99" s="515">
        <v>46076</v>
      </c>
      <c r="H99" s="505">
        <v>23.27</v>
      </c>
      <c r="I99" s="1043" t="s">
        <v>555</v>
      </c>
      <c r="J99" s="1043"/>
      <c r="K99" s="1043"/>
      <c r="L99" s="1043"/>
      <c r="M99" s="961">
        <v>46084</v>
      </c>
      <c r="N99" s="491" t="s">
        <v>89</v>
      </c>
      <c r="O99" s="373"/>
      <c r="P99" s="374">
        <v>18</v>
      </c>
      <c r="Q99" s="959"/>
      <c r="R99" s="959"/>
      <c r="S99" s="959"/>
      <c r="T99" s="959"/>
      <c r="U99" s="959"/>
      <c r="V99" s="959"/>
      <c r="W99" s="959"/>
      <c r="X99" s="959"/>
      <c r="Y99" s="959"/>
      <c r="Z99" s="959"/>
    </row>
    <row r="100" spans="1:26" s="407" customFormat="1" ht="13.8" x14ac:dyDescent="0.3">
      <c r="A100" s="398"/>
      <c r="B100" s="37">
        <f t="shared" ref="B100:B129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53">
        <v>34.299999999999997</v>
      </c>
      <c r="I100" s="990" t="s">
        <v>555</v>
      </c>
      <c r="J100" s="990"/>
      <c r="K100" s="990"/>
      <c r="L100" s="990"/>
      <c r="M100" s="842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90" t="s">
        <v>555</v>
      </c>
      <c r="J101" s="990"/>
      <c r="K101" s="990"/>
      <c r="L101" s="990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90" t="s">
        <v>555</v>
      </c>
      <c r="J102" s="990"/>
      <c r="K102" s="990"/>
      <c r="L102" s="990"/>
      <c r="M102" s="905">
        <v>46092</v>
      </c>
      <c r="N102" s="491" t="s">
        <v>771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37" t="s">
        <v>218</v>
      </c>
      <c r="E103" s="434" t="s">
        <v>92</v>
      </c>
      <c r="F103" s="515"/>
      <c r="G103" s="515">
        <v>46087</v>
      </c>
      <c r="H103" s="856">
        <v>26.43</v>
      </c>
      <c r="I103" s="990" t="s">
        <v>555</v>
      </c>
      <c r="J103" s="990"/>
      <c r="K103" s="990"/>
      <c r="L103" s="990"/>
      <c r="M103" s="842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990" t="s">
        <v>555</v>
      </c>
      <c r="J104" s="990"/>
      <c r="K104" s="990"/>
      <c r="L104" s="990"/>
      <c r="M104" s="842">
        <v>46095</v>
      </c>
      <c r="N104" s="491" t="s">
        <v>771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37" t="s">
        <v>87</v>
      </c>
      <c r="E105" s="434" t="s">
        <v>92</v>
      </c>
      <c r="F105" s="515"/>
      <c r="G105" s="515">
        <v>46088</v>
      </c>
      <c r="H105" s="505">
        <v>23.27</v>
      </c>
      <c r="I105" s="990" t="s">
        <v>555</v>
      </c>
      <c r="J105" s="990"/>
      <c r="K105" s="990"/>
      <c r="L105" s="990"/>
      <c r="M105" s="842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37" t="s">
        <v>87</v>
      </c>
      <c r="E106" s="434" t="s">
        <v>676</v>
      </c>
      <c r="F106" s="515"/>
      <c r="G106" s="515">
        <v>46090</v>
      </c>
      <c r="H106" s="853">
        <v>34.299999999999997</v>
      </c>
      <c r="I106" s="909" t="s">
        <v>555</v>
      </c>
      <c r="J106" s="884"/>
      <c r="K106" s="884"/>
      <c r="L106" s="885"/>
      <c r="M106" s="842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37" t="s">
        <v>701</v>
      </c>
      <c r="E107" s="434" t="s">
        <v>92</v>
      </c>
      <c r="F107" s="515"/>
      <c r="G107" s="515">
        <v>46087</v>
      </c>
      <c r="H107" s="434">
        <v>55.59</v>
      </c>
      <c r="I107" s="909" t="s">
        <v>555</v>
      </c>
      <c r="J107" s="884"/>
      <c r="K107" s="884"/>
      <c r="L107" s="885"/>
      <c r="M107" s="905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37" t="s">
        <v>242</v>
      </c>
      <c r="E108" s="434" t="s">
        <v>92</v>
      </c>
      <c r="F108" s="515"/>
      <c r="G108" s="515">
        <v>46105</v>
      </c>
      <c r="H108" s="434">
        <v>55.59</v>
      </c>
      <c r="I108" s="909" t="s">
        <v>555</v>
      </c>
      <c r="J108" s="884"/>
      <c r="K108" s="884"/>
      <c r="L108" s="885"/>
      <c r="M108" s="905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37" t="s">
        <v>91</v>
      </c>
      <c r="E109" s="434" t="s">
        <v>92</v>
      </c>
      <c r="F109" s="515"/>
      <c r="G109" s="515">
        <v>46092</v>
      </c>
      <c r="H109" s="856">
        <v>26.43</v>
      </c>
      <c r="I109" s="909" t="s">
        <v>555</v>
      </c>
      <c r="J109" s="884"/>
      <c r="K109" s="884"/>
      <c r="L109" s="885"/>
      <c r="M109" s="842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37" t="s">
        <v>113</v>
      </c>
      <c r="E110" s="434" t="s">
        <v>92</v>
      </c>
      <c r="F110" s="515"/>
      <c r="G110" s="515">
        <v>46098</v>
      </c>
      <c r="H110" s="856">
        <v>26.43</v>
      </c>
      <c r="I110" s="909" t="s">
        <v>555</v>
      </c>
      <c r="J110" s="884"/>
      <c r="K110" s="884"/>
      <c r="L110" s="885"/>
      <c r="M110" s="905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7" t="s">
        <v>91</v>
      </c>
      <c r="E111" s="434" t="s">
        <v>92</v>
      </c>
      <c r="F111" s="515"/>
      <c r="G111" s="515">
        <v>46101</v>
      </c>
      <c r="H111" s="856">
        <v>26.43</v>
      </c>
      <c r="I111" s="909" t="s">
        <v>555</v>
      </c>
      <c r="J111" s="884"/>
      <c r="K111" s="884"/>
      <c r="L111" s="885"/>
      <c r="M111" s="905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7" t="s">
        <v>87</v>
      </c>
      <c r="E112" s="434" t="s">
        <v>92</v>
      </c>
      <c r="F112" s="515"/>
      <c r="G112" s="515">
        <v>46102</v>
      </c>
      <c r="H112" s="505">
        <v>23.27</v>
      </c>
      <c r="I112" s="909" t="s">
        <v>555</v>
      </c>
      <c r="J112" s="884"/>
      <c r="K112" s="884"/>
      <c r="L112" s="885"/>
      <c r="M112" s="905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60" customFormat="1" ht="13.8" x14ac:dyDescent="0.3">
      <c r="A113" s="954"/>
      <c r="B113" s="37">
        <f t="shared" si="2"/>
        <v>101</v>
      </c>
      <c r="C113" s="375" t="s">
        <v>249</v>
      </c>
      <c r="D113" s="837" t="s">
        <v>91</v>
      </c>
      <c r="E113" s="434" t="s">
        <v>676</v>
      </c>
      <c r="F113" s="515"/>
      <c r="G113" s="955"/>
      <c r="H113" s="434">
        <v>38.979999999999997</v>
      </c>
      <c r="I113" s="956" t="s">
        <v>555</v>
      </c>
      <c r="J113" s="957"/>
      <c r="K113" s="957"/>
      <c r="L113" s="958"/>
      <c r="M113" s="520">
        <v>46112</v>
      </c>
      <c r="N113" s="491" t="s">
        <v>706</v>
      </c>
      <c r="O113" s="374"/>
      <c r="P113" s="374">
        <v>20</v>
      </c>
      <c r="Q113" s="959"/>
      <c r="R113" s="959"/>
      <c r="S113" s="959"/>
      <c r="T113" s="959"/>
      <c r="U113" s="959"/>
      <c r="V113" s="959"/>
      <c r="W113" s="959"/>
      <c r="X113" s="959"/>
      <c r="Y113" s="959"/>
      <c r="Z113" s="959"/>
    </row>
    <row r="114" spans="1:26" s="407" customFormat="1" ht="13.8" x14ac:dyDescent="0.3">
      <c r="A114" s="398"/>
      <c r="B114" s="37">
        <f t="shared" si="2"/>
        <v>102</v>
      </c>
      <c r="C114" s="434" t="s">
        <v>114</v>
      </c>
      <c r="D114" s="375" t="s">
        <v>87</v>
      </c>
      <c r="E114" s="434"/>
      <c r="F114" s="515"/>
      <c r="G114" s="515"/>
      <c r="H114" s="434"/>
      <c r="I114" s="1007" t="s">
        <v>703</v>
      </c>
      <c r="J114" s="1008"/>
      <c r="K114" s="1008"/>
      <c r="L114" s="1009"/>
      <c r="M114" s="373"/>
      <c r="N114" s="491" t="s">
        <v>704</v>
      </c>
      <c r="O114" s="373"/>
      <c r="P114" s="374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661" t="s">
        <v>280</v>
      </c>
      <c r="D115" s="375" t="s">
        <v>87</v>
      </c>
      <c r="E115" s="434"/>
      <c r="F115" s="515"/>
      <c r="G115" s="515"/>
      <c r="H115" s="434"/>
      <c r="I115" s="1007" t="s">
        <v>702</v>
      </c>
      <c r="J115" s="1008"/>
      <c r="K115" s="1008"/>
      <c r="L115" s="1009"/>
      <c r="M115" s="373"/>
      <c r="N115" s="491" t="s">
        <v>802</v>
      </c>
      <c r="O115" s="373"/>
      <c r="P115" s="374">
        <v>15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434" t="s">
        <v>622</v>
      </c>
      <c r="D116" s="375" t="s">
        <v>87</v>
      </c>
      <c r="E116" s="434"/>
      <c r="F116" s="515"/>
      <c r="G116" s="515">
        <v>46052</v>
      </c>
      <c r="H116" s="434"/>
      <c r="I116" s="973" t="s">
        <v>793</v>
      </c>
      <c r="J116" s="974"/>
      <c r="K116" s="974"/>
      <c r="L116" s="975"/>
      <c r="M116" s="528" t="s">
        <v>180</v>
      </c>
      <c r="N116" s="492" t="s">
        <v>673</v>
      </c>
      <c r="O116" s="373"/>
      <c r="P116" s="374">
        <v>11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471</v>
      </c>
      <c r="D117" s="375" t="s">
        <v>565</v>
      </c>
      <c r="E117" s="434"/>
      <c r="F117" s="515"/>
      <c r="G117" s="515">
        <v>46067</v>
      </c>
      <c r="H117" s="434"/>
      <c r="I117" s="1028" t="s">
        <v>764</v>
      </c>
      <c r="J117" s="1029"/>
      <c r="K117" s="1029"/>
      <c r="L117" s="1030"/>
      <c r="M117" s="673" t="s">
        <v>180</v>
      </c>
      <c r="N117" s="491" t="s">
        <v>89</v>
      </c>
      <c r="O117" s="373"/>
      <c r="P117" s="374">
        <v>18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421</v>
      </c>
      <c r="D118" s="605" t="s">
        <v>231</v>
      </c>
      <c r="E118" s="920" t="s">
        <v>547</v>
      </c>
      <c r="F118" s="515"/>
      <c r="G118" s="515">
        <v>46077</v>
      </c>
      <c r="H118" s="434"/>
      <c r="I118" s="1028" t="s">
        <v>821</v>
      </c>
      <c r="J118" s="1029"/>
      <c r="K118" s="1029"/>
      <c r="L118" s="1030"/>
      <c r="M118" s="673" t="s">
        <v>180</v>
      </c>
      <c r="N118" s="491" t="s">
        <v>771</v>
      </c>
      <c r="O118" s="373"/>
      <c r="P118" s="374">
        <v>10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359</v>
      </c>
      <c r="D119" s="375" t="s">
        <v>91</v>
      </c>
      <c r="E119" s="434"/>
      <c r="F119" s="515"/>
      <c r="G119" s="515">
        <v>46077</v>
      </c>
      <c r="H119" s="434"/>
      <c r="I119" s="1028" t="s">
        <v>764</v>
      </c>
      <c r="J119" s="1029"/>
      <c r="K119" s="1029"/>
      <c r="L119" s="1030"/>
      <c r="M119" s="673" t="s">
        <v>180</v>
      </c>
      <c r="N119" s="491" t="s">
        <v>89</v>
      </c>
      <c r="O119" s="373"/>
      <c r="P119" s="374">
        <v>18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543" t="s">
        <v>770</v>
      </c>
      <c r="D120" s="837" t="s">
        <v>242</v>
      </c>
      <c r="E120" s="434"/>
      <c r="F120" s="515"/>
      <c r="G120" s="515">
        <v>46090</v>
      </c>
      <c r="H120" s="434"/>
      <c r="I120" s="1028" t="s">
        <v>764</v>
      </c>
      <c r="J120" s="1029"/>
      <c r="K120" s="1029"/>
      <c r="L120" s="1030"/>
      <c r="M120" s="673" t="s">
        <v>180</v>
      </c>
      <c r="N120" s="491" t="s">
        <v>673</v>
      </c>
      <c r="O120" s="373"/>
      <c r="P120" s="374">
        <v>10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660" t="s">
        <v>361</v>
      </c>
      <c r="D121" s="837" t="s">
        <v>91</v>
      </c>
      <c r="E121" s="434" t="s">
        <v>92</v>
      </c>
      <c r="F121" s="515"/>
      <c r="G121" s="515">
        <v>46083</v>
      </c>
      <c r="H121" s="856">
        <v>26.43</v>
      </c>
      <c r="I121" s="973" t="s">
        <v>797</v>
      </c>
      <c r="J121" s="974"/>
      <c r="K121" s="974"/>
      <c r="L121" s="975"/>
      <c r="M121" s="673" t="s">
        <v>180</v>
      </c>
      <c r="N121" s="491" t="s">
        <v>89</v>
      </c>
      <c r="O121" s="373"/>
      <c r="P121" s="374">
        <v>18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660" t="s">
        <v>360</v>
      </c>
      <c r="D122" s="837" t="s">
        <v>87</v>
      </c>
      <c r="E122" s="434"/>
      <c r="F122" s="515"/>
      <c r="G122" s="515">
        <v>46079</v>
      </c>
      <c r="H122" s="434"/>
      <c r="I122" s="973" t="s">
        <v>797</v>
      </c>
      <c r="J122" s="974"/>
      <c r="K122" s="974"/>
      <c r="L122" s="975"/>
      <c r="M122" s="673" t="s">
        <v>180</v>
      </c>
      <c r="N122" s="491" t="s">
        <v>89</v>
      </c>
      <c r="O122" s="373"/>
      <c r="P122" s="374">
        <v>18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375" t="s">
        <v>397</v>
      </c>
      <c r="D123" s="837" t="s">
        <v>87</v>
      </c>
      <c r="E123" s="434"/>
      <c r="F123" s="515"/>
      <c r="G123" s="515">
        <v>46094</v>
      </c>
      <c r="H123" s="853"/>
      <c r="I123" s="1028" t="s">
        <v>772</v>
      </c>
      <c r="J123" s="1029"/>
      <c r="K123" s="1029"/>
      <c r="L123" s="1030"/>
      <c r="M123" s="673" t="s">
        <v>180</v>
      </c>
      <c r="N123" s="491" t="s">
        <v>704</v>
      </c>
      <c r="O123" s="373"/>
      <c r="P123" s="374">
        <v>16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435</v>
      </c>
      <c r="D124" s="837" t="s">
        <v>701</v>
      </c>
      <c r="E124" s="434" t="s">
        <v>92</v>
      </c>
      <c r="F124" s="515"/>
      <c r="G124" s="515">
        <v>46097</v>
      </c>
      <c r="H124" s="856"/>
      <c r="I124" s="973" t="s">
        <v>813</v>
      </c>
      <c r="J124" s="974"/>
      <c r="K124" s="974"/>
      <c r="L124" s="975"/>
      <c r="M124" s="673" t="s">
        <v>180</v>
      </c>
      <c r="N124" s="491" t="s">
        <v>688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7" t="s">
        <v>113</v>
      </c>
      <c r="E125" s="434" t="s">
        <v>92</v>
      </c>
      <c r="F125" s="515"/>
      <c r="G125" s="515">
        <v>46106</v>
      </c>
      <c r="H125" s="856"/>
      <c r="I125" s="1028" t="s">
        <v>772</v>
      </c>
      <c r="J125" s="1029"/>
      <c r="K125" s="1029"/>
      <c r="L125" s="1030"/>
      <c r="M125" s="673" t="s">
        <v>180</v>
      </c>
      <c r="N125" s="491" t="s">
        <v>803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7" t="s">
        <v>87</v>
      </c>
      <c r="E126" s="434" t="s">
        <v>92</v>
      </c>
      <c r="F126" s="515"/>
      <c r="G126" s="515">
        <v>46107</v>
      </c>
      <c r="H126" s="856"/>
      <c r="I126" s="1028" t="s">
        <v>772</v>
      </c>
      <c r="J126" s="1029"/>
      <c r="K126" s="1029"/>
      <c r="L126" s="1030"/>
      <c r="M126" s="673" t="s">
        <v>180</v>
      </c>
      <c r="N126" s="491" t="s">
        <v>803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7" t="s">
        <v>95</v>
      </c>
      <c r="E127" s="434" t="s">
        <v>92</v>
      </c>
      <c r="F127" s="515"/>
      <c r="G127" s="515">
        <v>46107</v>
      </c>
      <c r="H127" s="856"/>
      <c r="I127" s="1028" t="s">
        <v>804</v>
      </c>
      <c r="J127" s="1029"/>
      <c r="K127" s="1029"/>
      <c r="L127" s="1030"/>
      <c r="M127" s="673" t="s">
        <v>180</v>
      </c>
      <c r="N127" s="491" t="s">
        <v>803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37" t="s">
        <v>796</v>
      </c>
      <c r="E128" s="434" t="s">
        <v>92</v>
      </c>
      <c r="F128" s="515"/>
      <c r="G128" s="515">
        <v>46111</v>
      </c>
      <c r="H128" s="856"/>
      <c r="I128" s="935" t="s">
        <v>793</v>
      </c>
      <c r="J128" s="936"/>
      <c r="K128" s="936"/>
      <c r="L128" s="937"/>
      <c r="M128" s="673" t="s">
        <v>180</v>
      </c>
      <c r="N128" s="491" t="s">
        <v>799</v>
      </c>
      <c r="O128" s="373"/>
      <c r="P128" s="374">
        <v>20</v>
      </c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37" t="s">
        <v>87</v>
      </c>
      <c r="E129" s="434"/>
      <c r="F129" s="515"/>
      <c r="G129" s="515">
        <v>46112</v>
      </c>
      <c r="H129" s="856"/>
      <c r="I129" s="1028" t="s">
        <v>764</v>
      </c>
      <c r="J129" s="1029"/>
      <c r="K129" s="1029"/>
      <c r="L129" s="1030"/>
      <c r="M129" s="673" t="s">
        <v>180</v>
      </c>
      <c r="N129" s="491" t="s">
        <v>771</v>
      </c>
      <c r="O129" s="373"/>
      <c r="P129" s="374">
        <v>10</v>
      </c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/>
      <c r="C130" s="482" t="s">
        <v>685</v>
      </c>
      <c r="D130" s="375"/>
      <c r="E130" s="434"/>
      <c r="F130" s="515"/>
      <c r="G130" s="515"/>
      <c r="H130" s="434"/>
      <c r="I130" s="1047"/>
      <c r="J130" s="1048"/>
      <c r="K130" s="1048"/>
      <c r="L130" s="1049"/>
      <c r="M130" s="520"/>
      <c r="N130" s="492"/>
      <c r="O130" s="373"/>
      <c r="P130" s="374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405"/>
      <c r="C131" s="923"/>
      <c r="D131" s="405"/>
      <c r="E131" s="924"/>
      <c r="F131" s="925"/>
      <c r="G131" s="925"/>
      <c r="H131" s="924"/>
      <c r="I131" s="926"/>
      <c r="J131" s="926"/>
      <c r="K131" s="926"/>
      <c r="L131" s="926"/>
      <c r="M131" s="927"/>
      <c r="N131" s="928"/>
      <c r="O131" s="929"/>
      <c r="P131" s="930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ht="14.4" thickBot="1" x14ac:dyDescent="0.35"/>
    <row r="133" spans="1:97" ht="15" customHeight="1" thickBot="1" x14ac:dyDescent="0.35">
      <c r="B133" s="536" t="s">
        <v>97</v>
      </c>
      <c r="C133" s="438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38"/>
      <c r="O133" s="438"/>
      <c r="P133" s="405"/>
      <c r="Q133" s="368"/>
      <c r="R133" s="1"/>
      <c r="S133" s="1"/>
      <c r="T133" s="1"/>
      <c r="U133" s="1"/>
      <c r="V133" s="1"/>
      <c r="W133" s="1"/>
      <c r="X133" s="1"/>
      <c r="Y133" s="1"/>
      <c r="Z133" s="1"/>
    </row>
    <row r="134" spans="1:97" ht="13.8" x14ac:dyDescent="0.3">
      <c r="B134" s="36" t="s">
        <v>98</v>
      </c>
      <c r="C134" s="36" t="s">
        <v>74</v>
      </c>
      <c r="D134" s="36" t="s">
        <v>75</v>
      </c>
      <c r="E134" s="36" t="s">
        <v>76</v>
      </c>
      <c r="F134" s="36" t="s">
        <v>77</v>
      </c>
      <c r="G134" s="36" t="s">
        <v>78</v>
      </c>
      <c r="H134" s="1044" t="s">
        <v>99</v>
      </c>
      <c r="I134" s="1045"/>
      <c r="J134" s="1045"/>
      <c r="K134" s="1046"/>
      <c r="L134" s="36" t="s">
        <v>81</v>
      </c>
      <c r="M134" s="36" t="s">
        <v>82</v>
      </c>
      <c r="N134" s="44" t="s">
        <v>100</v>
      </c>
      <c r="O134" s="395" t="s">
        <v>762</v>
      </c>
      <c r="P134" s="43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8">
        <v>1</v>
      </c>
      <c r="C135" s="539" t="s">
        <v>86</v>
      </c>
      <c r="D135" s="379" t="s">
        <v>87</v>
      </c>
      <c r="E135" s="379" t="s">
        <v>88</v>
      </c>
      <c r="F135" s="529">
        <v>45848</v>
      </c>
      <c r="G135" s="380">
        <v>45908</v>
      </c>
      <c r="H135" s="1037" t="s">
        <v>554</v>
      </c>
      <c r="I135" s="1038"/>
      <c r="J135" s="1038"/>
      <c r="K135" s="1039"/>
      <c r="L135" s="380">
        <v>45908</v>
      </c>
      <c r="M135" s="493" t="s">
        <v>89</v>
      </c>
      <c r="N135" s="382"/>
      <c r="O135" s="382"/>
      <c r="P135" s="375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521" customFormat="1" ht="13.8" x14ac:dyDescent="0.3">
      <c r="A136" s="398"/>
      <c r="B136" s="378">
        <f>B135+1</f>
        <v>2</v>
      </c>
      <c r="C136" s="385" t="s">
        <v>96</v>
      </c>
      <c r="D136" s="388" t="s">
        <v>87</v>
      </c>
      <c r="E136" s="386" t="s">
        <v>548</v>
      </c>
      <c r="F136" s="530">
        <v>45898</v>
      </c>
      <c r="G136" s="387">
        <v>45924</v>
      </c>
      <c r="H136" s="1050" t="s">
        <v>554</v>
      </c>
      <c r="I136" s="1051"/>
      <c r="J136" s="1051"/>
      <c r="K136" s="1052"/>
      <c r="L136" s="387">
        <v>45924</v>
      </c>
      <c r="M136" s="494" t="s">
        <v>89</v>
      </c>
      <c r="N136" s="384"/>
      <c r="O136" s="396"/>
      <c r="P136" s="37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  <c r="AA136" s="407"/>
      <c r="AB136" s="407"/>
      <c r="AC136" s="407"/>
      <c r="AD136" s="407"/>
      <c r="AE136" s="407"/>
      <c r="AF136" s="407"/>
      <c r="AG136" s="407"/>
      <c r="AH136" s="407"/>
      <c r="AI136" s="407"/>
      <c r="AJ136" s="407"/>
      <c r="AK136" s="407"/>
      <c r="AL136" s="407"/>
      <c r="AM136" s="407"/>
      <c r="AN136" s="407"/>
      <c r="AO136" s="407"/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407"/>
      <c r="BB136" s="407"/>
      <c r="BC136" s="407"/>
      <c r="BD136" s="407"/>
      <c r="BE136" s="407"/>
      <c r="BF136" s="407"/>
      <c r="BG136" s="407"/>
      <c r="BH136" s="407"/>
      <c r="BI136" s="407"/>
      <c r="BJ136" s="407"/>
      <c r="BK136" s="407"/>
      <c r="BL136" s="407"/>
      <c r="BM136" s="407"/>
      <c r="BN136" s="407"/>
      <c r="BO136" s="407"/>
      <c r="BP136" s="407"/>
      <c r="BQ136" s="407"/>
      <c r="BR136" s="407"/>
      <c r="BS136" s="407"/>
      <c r="BT136" s="407"/>
      <c r="BU136" s="407"/>
      <c r="BV136" s="407"/>
      <c r="BW136" s="407"/>
      <c r="BX136" s="407"/>
      <c r="BY136" s="407"/>
      <c r="BZ136" s="407"/>
      <c r="CA136" s="407"/>
      <c r="CB136" s="407"/>
      <c r="CC136" s="407"/>
      <c r="CD136" s="407"/>
      <c r="CE136" s="407"/>
      <c r="CF136" s="407"/>
      <c r="CG136" s="407"/>
      <c r="CH136" s="407"/>
      <c r="CI136" s="407"/>
      <c r="CJ136" s="407"/>
      <c r="CK136" s="407"/>
      <c r="CL136" s="407"/>
      <c r="CM136" s="407"/>
      <c r="CN136" s="407"/>
      <c r="CO136" s="407"/>
      <c r="CP136" s="407"/>
      <c r="CQ136" s="407"/>
      <c r="CR136" s="407"/>
      <c r="CS136" s="531"/>
    </row>
    <row r="137" spans="1:97" s="407" customFormat="1" ht="13.8" x14ac:dyDescent="0.3">
      <c r="A137" s="398"/>
      <c r="B137" s="378">
        <f t="shared" ref="B137:B201" si="3">B136+1</f>
        <v>3</v>
      </c>
      <c r="C137" s="385" t="s">
        <v>278</v>
      </c>
      <c r="D137" s="386" t="s">
        <v>95</v>
      </c>
      <c r="E137" s="386" t="s">
        <v>548</v>
      </c>
      <c r="F137" s="530">
        <v>45933</v>
      </c>
      <c r="G137" s="387">
        <v>45949</v>
      </c>
      <c r="H137" s="1034" t="s">
        <v>554</v>
      </c>
      <c r="I137" s="1035"/>
      <c r="J137" s="1035"/>
      <c r="K137" s="1036"/>
      <c r="L137" s="387">
        <v>45949</v>
      </c>
      <c r="M137" s="491" t="s">
        <v>686</v>
      </c>
      <c r="N137" s="384"/>
      <c r="O137" s="384"/>
      <c r="P137" s="37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f t="shared" si="3"/>
        <v>4</v>
      </c>
      <c r="C138" s="385" t="s">
        <v>323</v>
      </c>
      <c r="D138" s="386" t="s">
        <v>87</v>
      </c>
      <c r="E138" s="386" t="s">
        <v>548</v>
      </c>
      <c r="F138" s="387"/>
      <c r="G138" s="387">
        <v>45992</v>
      </c>
      <c r="H138" s="1034" t="s">
        <v>554</v>
      </c>
      <c r="I138" s="1035"/>
      <c r="J138" s="1035"/>
      <c r="K138" s="1036"/>
      <c r="L138" s="387">
        <v>45992</v>
      </c>
      <c r="M138" s="491" t="s">
        <v>89</v>
      </c>
      <c r="N138" s="384"/>
      <c r="O138" s="384"/>
      <c r="P138" s="375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378">
        <f t="shared" si="3"/>
        <v>5</v>
      </c>
      <c r="C139" s="385" t="s">
        <v>325</v>
      </c>
      <c r="D139" s="386" t="s">
        <v>87</v>
      </c>
      <c r="E139" s="386" t="s">
        <v>548</v>
      </c>
      <c r="F139" s="387"/>
      <c r="G139" s="387">
        <v>46010</v>
      </c>
      <c r="H139" s="1034" t="s">
        <v>554</v>
      </c>
      <c r="I139" s="1035"/>
      <c r="J139" s="1035"/>
      <c r="K139" s="1036"/>
      <c r="L139" s="387">
        <v>46010</v>
      </c>
      <c r="M139" s="491" t="s">
        <v>89</v>
      </c>
      <c r="N139" s="384"/>
      <c r="O139" s="384"/>
      <c r="P139" s="375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3.8" x14ac:dyDescent="0.3">
      <c r="A140" s="398"/>
      <c r="B140" s="378">
        <f t="shared" si="3"/>
        <v>6</v>
      </c>
      <c r="C140" s="540" t="s">
        <v>329</v>
      </c>
      <c r="D140" s="386" t="s">
        <v>87</v>
      </c>
      <c r="E140" s="375" t="s">
        <v>88</v>
      </c>
      <c r="F140" s="387"/>
      <c r="G140" s="387">
        <v>46011</v>
      </c>
      <c r="H140" s="1034" t="s">
        <v>554</v>
      </c>
      <c r="I140" s="1035"/>
      <c r="J140" s="1035"/>
      <c r="K140" s="1036"/>
      <c r="L140" s="387">
        <v>46011</v>
      </c>
      <c r="M140" s="491" t="s">
        <v>89</v>
      </c>
      <c r="N140" s="375"/>
      <c r="O140" s="385"/>
      <c r="P140" s="38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7</v>
      </c>
      <c r="C141" s="719" t="s">
        <v>260</v>
      </c>
      <c r="D141" s="386" t="s">
        <v>87</v>
      </c>
      <c r="E141" s="384" t="s">
        <v>92</v>
      </c>
      <c r="F141" s="439"/>
      <c r="G141" s="439">
        <v>46016</v>
      </c>
      <c r="H141" s="1034" t="s">
        <v>554</v>
      </c>
      <c r="I141" s="1035"/>
      <c r="J141" s="1035"/>
      <c r="K141" s="1036"/>
      <c r="L141" s="439">
        <v>46016</v>
      </c>
      <c r="M141" s="491" t="s">
        <v>686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8</v>
      </c>
      <c r="C142" s="385" t="s">
        <v>337</v>
      </c>
      <c r="D142" s="386" t="s">
        <v>91</v>
      </c>
      <c r="E142" s="384" t="s">
        <v>676</v>
      </c>
      <c r="F142" s="439"/>
      <c r="G142" s="439">
        <v>46020</v>
      </c>
      <c r="H142" s="1040" t="s">
        <v>554</v>
      </c>
      <c r="I142" s="1041"/>
      <c r="J142" s="1041"/>
      <c r="K142" s="1042"/>
      <c r="L142" s="439">
        <v>46020</v>
      </c>
      <c r="M142" s="493" t="s">
        <v>89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9</v>
      </c>
      <c r="C143" s="541" t="s">
        <v>94</v>
      </c>
      <c r="D143" s="437" t="s">
        <v>95</v>
      </c>
      <c r="E143" s="443" t="s">
        <v>547</v>
      </c>
      <c r="F143" s="444"/>
      <c r="G143" s="444">
        <v>46021</v>
      </c>
      <c r="H143" s="1040" t="s">
        <v>554</v>
      </c>
      <c r="I143" s="1041"/>
      <c r="J143" s="1041"/>
      <c r="K143" s="1042"/>
      <c r="L143" s="444">
        <v>46021</v>
      </c>
      <c r="M143" s="493" t="s">
        <v>89</v>
      </c>
      <c r="N143" s="445"/>
      <c r="O143" s="445"/>
      <c r="P143" s="44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10</v>
      </c>
      <c r="C144" s="385" t="s">
        <v>401</v>
      </c>
      <c r="D144" s="386" t="s">
        <v>87</v>
      </c>
      <c r="E144" s="384" t="s">
        <v>548</v>
      </c>
      <c r="F144" s="439"/>
      <c r="G144" s="439">
        <v>46023</v>
      </c>
      <c r="H144" s="1034" t="s">
        <v>554</v>
      </c>
      <c r="I144" s="1035"/>
      <c r="J144" s="1035"/>
      <c r="K144" s="1036"/>
      <c r="L144" s="439">
        <v>46023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11</v>
      </c>
      <c r="C145" s="385" t="s">
        <v>400</v>
      </c>
      <c r="D145" s="386" t="s">
        <v>87</v>
      </c>
      <c r="E145" s="384" t="s">
        <v>92</v>
      </c>
      <c r="F145" s="439"/>
      <c r="G145" s="439">
        <v>46028</v>
      </c>
      <c r="H145" s="1034" t="s">
        <v>554</v>
      </c>
      <c r="I145" s="1035"/>
      <c r="J145" s="1035"/>
      <c r="K145" s="1036"/>
      <c r="L145" s="439">
        <v>46028</v>
      </c>
      <c r="M145" s="491" t="s">
        <v>674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12</v>
      </c>
      <c r="C146" s="385" t="s">
        <v>402</v>
      </c>
      <c r="D146" s="386" t="s">
        <v>87</v>
      </c>
      <c r="E146" s="384" t="s">
        <v>92</v>
      </c>
      <c r="F146" s="439"/>
      <c r="G146" s="439">
        <v>46028</v>
      </c>
      <c r="H146" s="1034" t="s">
        <v>554</v>
      </c>
      <c r="I146" s="1035"/>
      <c r="J146" s="1035"/>
      <c r="K146" s="1036"/>
      <c r="L146" s="439">
        <v>46028</v>
      </c>
      <c r="M146" s="491" t="s">
        <v>674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13</v>
      </c>
      <c r="C147" s="385" t="s">
        <v>403</v>
      </c>
      <c r="D147" s="386" t="s">
        <v>87</v>
      </c>
      <c r="E147" s="384" t="s">
        <v>92</v>
      </c>
      <c r="F147" s="439"/>
      <c r="G147" s="439">
        <v>46028</v>
      </c>
      <c r="H147" s="976" t="s">
        <v>554</v>
      </c>
      <c r="I147" s="977"/>
      <c r="J147" s="977"/>
      <c r="K147" s="977"/>
      <c r="L147" s="439">
        <v>46028</v>
      </c>
      <c r="M147" s="491" t="s">
        <v>674</v>
      </c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14</v>
      </c>
      <c r="C148" s="385" t="s">
        <v>398</v>
      </c>
      <c r="D148" s="386" t="s">
        <v>87</v>
      </c>
      <c r="E148" s="384" t="s">
        <v>92</v>
      </c>
      <c r="F148" s="439"/>
      <c r="G148" s="439">
        <v>46029</v>
      </c>
      <c r="H148" s="1040" t="s">
        <v>554</v>
      </c>
      <c r="I148" s="1041"/>
      <c r="J148" s="1041"/>
      <c r="K148" s="1042"/>
      <c r="L148" s="439">
        <v>46029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15</v>
      </c>
      <c r="C149" s="385" t="s">
        <v>399</v>
      </c>
      <c r="D149" s="386" t="s">
        <v>87</v>
      </c>
      <c r="E149" s="384" t="s">
        <v>548</v>
      </c>
      <c r="F149" s="439"/>
      <c r="G149" s="439">
        <v>46029</v>
      </c>
      <c r="H149" s="1034" t="s">
        <v>554</v>
      </c>
      <c r="I149" s="1035"/>
      <c r="J149" s="1035"/>
      <c r="K149" s="1036"/>
      <c r="L149" s="439">
        <v>46029</v>
      </c>
      <c r="M149" s="491" t="s">
        <v>674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16</v>
      </c>
      <c r="C150" s="385" t="s">
        <v>318</v>
      </c>
      <c r="D150" s="386" t="s">
        <v>95</v>
      </c>
      <c r="E150" s="384" t="s">
        <v>676</v>
      </c>
      <c r="F150" s="439"/>
      <c r="G150" s="439">
        <v>46033</v>
      </c>
      <c r="H150" s="976" t="s">
        <v>554</v>
      </c>
      <c r="I150" s="977"/>
      <c r="J150" s="977"/>
      <c r="K150" s="977"/>
      <c r="L150" s="439">
        <v>46033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17</v>
      </c>
      <c r="C151" s="385" t="s">
        <v>319</v>
      </c>
      <c r="D151" s="386" t="s">
        <v>87</v>
      </c>
      <c r="E151" s="384" t="s">
        <v>88</v>
      </c>
      <c r="F151" s="439"/>
      <c r="G151" s="439">
        <v>46033</v>
      </c>
      <c r="H151" s="976" t="s">
        <v>554</v>
      </c>
      <c r="I151" s="977"/>
      <c r="J151" s="977"/>
      <c r="K151" s="977"/>
      <c r="L151" s="439">
        <v>46033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18</v>
      </c>
      <c r="C152" s="719" t="s">
        <v>259</v>
      </c>
      <c r="D152" s="386" t="s">
        <v>91</v>
      </c>
      <c r="E152" s="384" t="s">
        <v>548</v>
      </c>
      <c r="F152" s="439"/>
      <c r="G152" s="439">
        <v>46037</v>
      </c>
      <c r="H152" s="976" t="s">
        <v>554</v>
      </c>
      <c r="I152" s="977"/>
      <c r="J152" s="977"/>
      <c r="K152" s="977"/>
      <c r="L152" s="439">
        <v>46037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19</v>
      </c>
      <c r="C153" s="719" t="s">
        <v>261</v>
      </c>
      <c r="D153" s="386" t="s">
        <v>91</v>
      </c>
      <c r="E153" s="384" t="s">
        <v>676</v>
      </c>
      <c r="F153" s="439"/>
      <c r="G153" s="439">
        <v>46037</v>
      </c>
      <c r="H153" s="976" t="s">
        <v>554</v>
      </c>
      <c r="I153" s="977"/>
      <c r="J153" s="977"/>
      <c r="K153" s="977"/>
      <c r="L153" s="439">
        <v>46037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20</v>
      </c>
      <c r="C154" s="719" t="s">
        <v>271</v>
      </c>
      <c r="D154" s="386" t="s">
        <v>87</v>
      </c>
      <c r="E154" s="384" t="s">
        <v>548</v>
      </c>
      <c r="F154" s="439"/>
      <c r="G154" s="439">
        <v>46038</v>
      </c>
      <c r="H154" s="976" t="s">
        <v>554</v>
      </c>
      <c r="I154" s="977"/>
      <c r="J154" s="977"/>
      <c r="K154" s="977"/>
      <c r="L154" s="439">
        <v>46038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21</v>
      </c>
      <c r="C155" s="719" t="s">
        <v>272</v>
      </c>
      <c r="D155" s="386" t="s">
        <v>87</v>
      </c>
      <c r="E155" s="384" t="s">
        <v>548</v>
      </c>
      <c r="F155" s="439"/>
      <c r="G155" s="439">
        <v>46038</v>
      </c>
      <c r="H155" s="976" t="s">
        <v>554</v>
      </c>
      <c r="I155" s="977"/>
      <c r="J155" s="977"/>
      <c r="K155" s="977"/>
      <c r="L155" s="439">
        <v>46038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22</v>
      </c>
      <c r="C156" s="719" t="s">
        <v>264</v>
      </c>
      <c r="D156" s="386" t="s">
        <v>565</v>
      </c>
      <c r="E156" s="384" t="s">
        <v>548</v>
      </c>
      <c r="F156" s="439"/>
      <c r="G156" s="439">
        <v>46040</v>
      </c>
      <c r="H156" s="976" t="s">
        <v>554</v>
      </c>
      <c r="I156" s="977"/>
      <c r="J156" s="977"/>
      <c r="K156" s="977"/>
      <c r="L156" s="439">
        <v>46040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23</v>
      </c>
      <c r="C157" s="719" t="s">
        <v>263</v>
      </c>
      <c r="D157" s="386" t="s">
        <v>87</v>
      </c>
      <c r="E157" s="384" t="s">
        <v>548</v>
      </c>
      <c r="F157" s="439"/>
      <c r="G157" s="439">
        <v>46043</v>
      </c>
      <c r="H157" s="976" t="s">
        <v>554</v>
      </c>
      <c r="I157" s="977"/>
      <c r="J157" s="977"/>
      <c r="K157" s="977"/>
      <c r="L157" s="439">
        <v>46043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24</v>
      </c>
      <c r="C158" s="719" t="s">
        <v>273</v>
      </c>
      <c r="D158" s="386" t="s">
        <v>87</v>
      </c>
      <c r="E158" s="384" t="s">
        <v>92</v>
      </c>
      <c r="F158" s="439"/>
      <c r="G158" s="439">
        <v>46044</v>
      </c>
      <c r="H158" s="976" t="s">
        <v>554</v>
      </c>
      <c r="I158" s="977"/>
      <c r="J158" s="977"/>
      <c r="K158" s="977"/>
      <c r="L158" s="439">
        <v>46044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25</v>
      </c>
      <c r="C159" s="719" t="s">
        <v>270</v>
      </c>
      <c r="D159" s="386" t="s">
        <v>95</v>
      </c>
      <c r="E159" s="384" t="s">
        <v>548</v>
      </c>
      <c r="F159" s="439"/>
      <c r="G159" s="439">
        <v>46044</v>
      </c>
      <c r="H159" s="976" t="s">
        <v>554</v>
      </c>
      <c r="I159" s="977"/>
      <c r="J159" s="977"/>
      <c r="K159" s="977"/>
      <c r="L159" s="439">
        <v>46044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26</v>
      </c>
      <c r="C160" s="385" t="s">
        <v>281</v>
      </c>
      <c r="D160" s="386" t="s">
        <v>87</v>
      </c>
      <c r="E160" s="384" t="s">
        <v>92</v>
      </c>
      <c r="F160" s="439"/>
      <c r="G160" s="439">
        <v>46045</v>
      </c>
      <c r="H160" s="976" t="s">
        <v>554</v>
      </c>
      <c r="I160" s="977"/>
      <c r="J160" s="977"/>
      <c r="K160" s="977"/>
      <c r="L160" s="439">
        <v>46045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27</v>
      </c>
      <c r="C161" s="385" t="s">
        <v>289</v>
      </c>
      <c r="D161" s="386" t="s">
        <v>91</v>
      </c>
      <c r="E161" s="384" t="s">
        <v>92</v>
      </c>
      <c r="F161" s="439"/>
      <c r="G161" s="439">
        <v>46046</v>
      </c>
      <c r="H161" s="976" t="s">
        <v>554</v>
      </c>
      <c r="I161" s="977"/>
      <c r="J161" s="977"/>
      <c r="K161" s="977"/>
      <c r="L161" s="439">
        <v>46046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28</v>
      </c>
      <c r="C162" s="719" t="s">
        <v>407</v>
      </c>
      <c r="D162" s="386" t="s">
        <v>91</v>
      </c>
      <c r="E162" s="384" t="s">
        <v>548</v>
      </c>
      <c r="F162" s="439"/>
      <c r="G162" s="439">
        <v>46045</v>
      </c>
      <c r="H162" s="976" t="s">
        <v>554</v>
      </c>
      <c r="I162" s="977"/>
      <c r="J162" s="977"/>
      <c r="K162" s="977"/>
      <c r="L162" s="439">
        <v>46047</v>
      </c>
      <c r="M162" s="491" t="s">
        <v>674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29</v>
      </c>
      <c r="C163" s="434" t="s">
        <v>434</v>
      </c>
      <c r="D163" s="375" t="s">
        <v>681</v>
      </c>
      <c r="E163" s="434" t="s">
        <v>92</v>
      </c>
      <c r="F163" s="439"/>
      <c r="G163" s="439">
        <v>46050</v>
      </c>
      <c r="H163" s="976" t="s">
        <v>554</v>
      </c>
      <c r="I163" s="977"/>
      <c r="J163" s="977"/>
      <c r="K163" s="977"/>
      <c r="L163" s="439">
        <v>46050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30</v>
      </c>
      <c r="C164" s="434" t="s">
        <v>487</v>
      </c>
      <c r="D164" s="375" t="s">
        <v>565</v>
      </c>
      <c r="E164" s="434" t="s">
        <v>548</v>
      </c>
      <c r="G164" s="439">
        <v>46054</v>
      </c>
      <c r="H164" s="976" t="s">
        <v>554</v>
      </c>
      <c r="I164" s="977"/>
      <c r="J164" s="977"/>
      <c r="K164" s="977"/>
      <c r="L164" s="439">
        <v>46054</v>
      </c>
      <c r="M164" s="491" t="s">
        <v>674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31</v>
      </c>
      <c r="C165" s="543" t="s">
        <v>409</v>
      </c>
      <c r="D165" s="375" t="s">
        <v>87</v>
      </c>
      <c r="E165" s="434" t="s">
        <v>92</v>
      </c>
      <c r="F165" s="439"/>
      <c r="G165" s="439">
        <v>46055</v>
      </c>
      <c r="H165" s="976" t="s">
        <v>554</v>
      </c>
      <c r="I165" s="977"/>
      <c r="J165" s="977"/>
      <c r="K165" s="977"/>
      <c r="L165" s="439">
        <v>46055</v>
      </c>
      <c r="M165" s="491" t="s">
        <v>674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32</v>
      </c>
      <c r="C166" s="434" t="s">
        <v>423</v>
      </c>
      <c r="D166" s="375" t="s">
        <v>701</v>
      </c>
      <c r="E166" s="434" t="s">
        <v>92</v>
      </c>
      <c r="G166" s="439">
        <v>46056</v>
      </c>
      <c r="H166" s="976" t="s">
        <v>554</v>
      </c>
      <c r="I166" s="977"/>
      <c r="J166" s="977"/>
      <c r="K166" s="977"/>
      <c r="L166" s="439">
        <v>46056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33</v>
      </c>
      <c r="C167" s="434" t="s">
        <v>332</v>
      </c>
      <c r="D167" s="375" t="s">
        <v>87</v>
      </c>
      <c r="E167" s="434" t="s">
        <v>92</v>
      </c>
      <c r="G167" s="439">
        <v>46066</v>
      </c>
      <c r="H167" s="976" t="s">
        <v>554</v>
      </c>
      <c r="I167" s="977"/>
      <c r="J167" s="977"/>
      <c r="K167" s="977"/>
      <c r="L167" s="439">
        <v>46066</v>
      </c>
      <c r="M167" s="717" t="s">
        <v>89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34</v>
      </c>
      <c r="C168" s="660" t="s">
        <v>632</v>
      </c>
      <c r="D168" s="375" t="s">
        <v>87</v>
      </c>
      <c r="E168" s="434" t="s">
        <v>92</v>
      </c>
      <c r="G168" s="439">
        <v>46067</v>
      </c>
      <c r="H168" s="976" t="s">
        <v>554</v>
      </c>
      <c r="I168" s="977"/>
      <c r="J168" s="977"/>
      <c r="K168" s="977"/>
      <c r="L168" s="439">
        <v>46067</v>
      </c>
      <c r="M168" s="717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35</v>
      </c>
      <c r="C169" s="543" t="s">
        <v>336</v>
      </c>
      <c r="D169" s="375" t="s">
        <v>87</v>
      </c>
      <c r="E169" s="434" t="s">
        <v>548</v>
      </c>
      <c r="G169" s="439">
        <v>46067</v>
      </c>
      <c r="H169" s="976" t="s">
        <v>554</v>
      </c>
      <c r="I169" s="977"/>
      <c r="J169" s="977"/>
      <c r="K169" s="977"/>
      <c r="L169" s="439">
        <v>46067</v>
      </c>
      <c r="M169" s="717" t="s">
        <v>89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36</v>
      </c>
      <c r="C170" s="718" t="s">
        <v>228</v>
      </c>
      <c r="D170" s="375" t="s">
        <v>87</v>
      </c>
      <c r="E170" s="434" t="s">
        <v>92</v>
      </c>
      <c r="G170" s="439">
        <v>46068</v>
      </c>
      <c r="H170" s="976" t="s">
        <v>554</v>
      </c>
      <c r="I170" s="977"/>
      <c r="J170" s="977"/>
      <c r="K170" s="977"/>
      <c r="L170" s="439">
        <v>46068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37</v>
      </c>
      <c r="C171" s="718" t="s">
        <v>240</v>
      </c>
      <c r="D171" s="375" t="s">
        <v>91</v>
      </c>
      <c r="E171" s="434" t="s">
        <v>92</v>
      </c>
      <c r="G171" s="439">
        <v>46069</v>
      </c>
      <c r="H171" s="976" t="s">
        <v>554</v>
      </c>
      <c r="I171" s="977"/>
      <c r="J171" s="977"/>
      <c r="K171" s="977"/>
      <c r="L171" s="439">
        <v>46069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38</v>
      </c>
      <c r="C172" s="718" t="s">
        <v>247</v>
      </c>
      <c r="D172" s="375" t="s">
        <v>218</v>
      </c>
      <c r="E172" s="434" t="s">
        <v>92</v>
      </c>
      <c r="G172" s="439">
        <v>46070</v>
      </c>
      <c r="H172" s="976" t="s">
        <v>554</v>
      </c>
      <c r="I172" s="977"/>
      <c r="J172" s="977"/>
      <c r="K172" s="977"/>
      <c r="L172" s="439">
        <v>46070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39</v>
      </c>
      <c r="C173" s="434" t="s">
        <v>629</v>
      </c>
      <c r="D173" s="650" t="s">
        <v>87</v>
      </c>
      <c r="E173" s="434" t="s">
        <v>92</v>
      </c>
      <c r="G173" s="439">
        <v>46071</v>
      </c>
      <c r="H173" s="976" t="s">
        <v>554</v>
      </c>
      <c r="I173" s="977"/>
      <c r="J173" s="977"/>
      <c r="K173" s="977"/>
      <c r="L173" s="439">
        <v>46070</v>
      </c>
      <c r="M173" s="491" t="s">
        <v>704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40</v>
      </c>
      <c r="C174" s="434" t="s">
        <v>229</v>
      </c>
      <c r="D174" s="670" t="s">
        <v>87</v>
      </c>
      <c r="E174" s="543" t="s">
        <v>676</v>
      </c>
      <c r="F174" s="439"/>
      <c r="G174" s="439">
        <v>46071</v>
      </c>
      <c r="H174" s="976" t="s">
        <v>554</v>
      </c>
      <c r="I174" s="977"/>
      <c r="J174" s="977"/>
      <c r="K174" s="977"/>
      <c r="L174" s="439">
        <v>46070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41</v>
      </c>
      <c r="C175" s="660" t="s">
        <v>265</v>
      </c>
      <c r="D175" s="375" t="s">
        <v>87</v>
      </c>
      <c r="E175" s="434" t="s">
        <v>88</v>
      </c>
      <c r="F175" s="439"/>
      <c r="G175" s="439">
        <v>46072</v>
      </c>
      <c r="H175" s="976" t="s">
        <v>554</v>
      </c>
      <c r="I175" s="977"/>
      <c r="J175" s="977"/>
      <c r="K175" s="977"/>
      <c r="L175" s="439">
        <v>46072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42</v>
      </c>
      <c r="C176" s="434" t="s">
        <v>266</v>
      </c>
      <c r="D176" s="375" t="s">
        <v>95</v>
      </c>
      <c r="E176" s="434" t="s">
        <v>548</v>
      </c>
      <c r="F176" s="439"/>
      <c r="G176" s="439">
        <v>46072</v>
      </c>
      <c r="H176" s="976" t="s">
        <v>554</v>
      </c>
      <c r="I176" s="977"/>
      <c r="J176" s="977"/>
      <c r="K176" s="977"/>
      <c r="L176" s="439">
        <v>46072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43</v>
      </c>
      <c r="C177" s="660" t="s">
        <v>248</v>
      </c>
      <c r="D177" s="375" t="s">
        <v>87</v>
      </c>
      <c r="E177" s="434" t="s">
        <v>548</v>
      </c>
      <c r="F177" s="439"/>
      <c r="G177" s="439">
        <v>46072</v>
      </c>
      <c r="H177" s="976" t="s">
        <v>554</v>
      </c>
      <c r="I177" s="977"/>
      <c r="J177" s="977"/>
      <c r="K177" s="977"/>
      <c r="L177" s="439">
        <v>46072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44</v>
      </c>
      <c r="C178" s="660" t="s">
        <v>255</v>
      </c>
      <c r="D178" s="375" t="s">
        <v>87</v>
      </c>
      <c r="E178" s="434" t="s">
        <v>548</v>
      </c>
      <c r="F178" s="439"/>
      <c r="G178" s="439">
        <v>46072</v>
      </c>
      <c r="H178" s="976" t="s">
        <v>554</v>
      </c>
      <c r="I178" s="977"/>
      <c r="J178" s="977"/>
      <c r="K178" s="977"/>
      <c r="L178" s="439">
        <v>46072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45</v>
      </c>
      <c r="C179" s="448" t="s">
        <v>257</v>
      </c>
      <c r="D179" s="517" t="s">
        <v>87</v>
      </c>
      <c r="E179" s="448" t="s">
        <v>548</v>
      </c>
      <c r="F179" s="444"/>
      <c r="G179" s="444">
        <v>46075</v>
      </c>
      <c r="H179" s="980" t="s">
        <v>554</v>
      </c>
      <c r="I179" s="981"/>
      <c r="J179" s="981"/>
      <c r="K179" s="981"/>
      <c r="L179" s="444">
        <v>46075</v>
      </c>
      <c r="M179" s="724" t="s">
        <v>686</v>
      </c>
      <c r="N179" s="445"/>
      <c r="O179" s="445"/>
      <c r="P179" s="44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46</v>
      </c>
      <c r="C180" s="434" t="s">
        <v>282</v>
      </c>
      <c r="D180" s="375" t="s">
        <v>95</v>
      </c>
      <c r="E180" s="434" t="s">
        <v>548</v>
      </c>
      <c r="F180" s="439"/>
      <c r="G180" s="439">
        <v>46075</v>
      </c>
      <c r="H180" s="976" t="s">
        <v>554</v>
      </c>
      <c r="I180" s="977"/>
      <c r="J180" s="977"/>
      <c r="K180" s="977"/>
      <c r="L180" s="439">
        <v>46075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47</v>
      </c>
      <c r="C181" s="434" t="s">
        <v>279</v>
      </c>
      <c r="D181" s="375" t="s">
        <v>87</v>
      </c>
      <c r="E181" s="434" t="s">
        <v>548</v>
      </c>
      <c r="F181" s="439"/>
      <c r="G181" s="439">
        <v>46075</v>
      </c>
      <c r="H181" s="976" t="s">
        <v>554</v>
      </c>
      <c r="I181" s="977"/>
      <c r="J181" s="977"/>
      <c r="K181" s="977"/>
      <c r="L181" s="439">
        <v>46075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48</v>
      </c>
      <c r="C182" s="434" t="s">
        <v>276</v>
      </c>
      <c r="D182" s="375" t="s">
        <v>87</v>
      </c>
      <c r="E182" s="434" t="s">
        <v>548</v>
      </c>
      <c r="F182" s="439"/>
      <c r="G182" s="439">
        <v>46075</v>
      </c>
      <c r="H182" s="976" t="s">
        <v>554</v>
      </c>
      <c r="I182" s="977"/>
      <c r="J182" s="977"/>
      <c r="K182" s="977"/>
      <c r="L182" s="439">
        <v>46075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49</v>
      </c>
      <c r="C183" s="661" t="s">
        <v>345</v>
      </c>
      <c r="D183" s="650" t="s">
        <v>87</v>
      </c>
      <c r="E183" s="434" t="s">
        <v>92</v>
      </c>
      <c r="F183" s="439"/>
      <c r="G183" s="439">
        <v>46077</v>
      </c>
      <c r="H183" s="976" t="s">
        <v>554</v>
      </c>
      <c r="I183" s="977"/>
      <c r="J183" s="977"/>
      <c r="K183" s="977"/>
      <c r="L183" s="439">
        <v>46077</v>
      </c>
      <c r="M183" s="491" t="s">
        <v>89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50</v>
      </c>
      <c r="C184" s="434" t="s">
        <v>413</v>
      </c>
      <c r="D184" s="375" t="s">
        <v>87</v>
      </c>
      <c r="E184" s="434" t="s">
        <v>548</v>
      </c>
      <c r="F184" s="439"/>
      <c r="G184" s="439">
        <v>46083</v>
      </c>
      <c r="H184" s="976" t="s">
        <v>554</v>
      </c>
      <c r="I184" s="977"/>
      <c r="J184" s="977"/>
      <c r="K184" s="977"/>
      <c r="L184" s="439">
        <v>46083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51</v>
      </c>
      <c r="C185" s="434" t="s">
        <v>414</v>
      </c>
      <c r="D185" s="649" t="s">
        <v>87</v>
      </c>
      <c r="E185" s="844" t="s">
        <v>92</v>
      </c>
      <c r="F185" s="439"/>
      <c r="G185" s="439">
        <v>46083</v>
      </c>
      <c r="H185" s="976" t="s">
        <v>554</v>
      </c>
      <c r="I185" s="977"/>
      <c r="J185" s="977"/>
      <c r="K185" s="977"/>
      <c r="L185" s="439">
        <v>46083</v>
      </c>
      <c r="M185" s="491" t="s">
        <v>673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52</v>
      </c>
      <c r="C186" s="434" t="s">
        <v>621</v>
      </c>
      <c r="D186" s="375" t="s">
        <v>87</v>
      </c>
      <c r="E186" s="434" t="s">
        <v>548</v>
      </c>
      <c r="F186" s="439"/>
      <c r="G186" s="439">
        <v>46083</v>
      </c>
      <c r="H186" s="976" t="s">
        <v>554</v>
      </c>
      <c r="I186" s="977"/>
      <c r="J186" s="977"/>
      <c r="K186" s="977"/>
      <c r="L186" s="439">
        <v>46083</v>
      </c>
      <c r="M186" s="491" t="s">
        <v>673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53</v>
      </c>
      <c r="C187" s="434" t="s">
        <v>623</v>
      </c>
      <c r="D187" s="650" t="s">
        <v>87</v>
      </c>
      <c r="E187" s="434" t="s">
        <v>548</v>
      </c>
      <c r="F187" s="439"/>
      <c r="G187" s="439">
        <v>46083</v>
      </c>
      <c r="H187" s="976" t="s">
        <v>554</v>
      </c>
      <c r="I187" s="977"/>
      <c r="J187" s="977"/>
      <c r="K187" s="977"/>
      <c r="L187" s="439">
        <v>46083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54</v>
      </c>
      <c r="C188" s="434" t="s">
        <v>624</v>
      </c>
      <c r="D188" s="670" t="s">
        <v>87</v>
      </c>
      <c r="E188" s="434" t="s">
        <v>92</v>
      </c>
      <c r="F188" s="439"/>
      <c r="G188" s="439">
        <v>46084</v>
      </c>
      <c r="H188" s="976" t="s">
        <v>554</v>
      </c>
      <c r="I188" s="977"/>
      <c r="J188" s="977"/>
      <c r="K188" s="977"/>
      <c r="L188" s="439">
        <v>46084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55</v>
      </c>
      <c r="C189" s="718" t="s">
        <v>625</v>
      </c>
      <c r="D189" s="670" t="s">
        <v>87</v>
      </c>
      <c r="E189" s="434" t="s">
        <v>92</v>
      </c>
      <c r="F189" s="439"/>
      <c r="G189" s="439">
        <v>46084</v>
      </c>
      <c r="H189" s="976" t="s">
        <v>554</v>
      </c>
      <c r="I189" s="977"/>
      <c r="J189" s="977"/>
      <c r="K189" s="977"/>
      <c r="L189" s="439">
        <v>46084</v>
      </c>
      <c r="M189" s="491" t="s">
        <v>673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56</v>
      </c>
      <c r="C190" s="434" t="s">
        <v>412</v>
      </c>
      <c r="D190" s="375" t="s">
        <v>87</v>
      </c>
      <c r="E190" s="434" t="s">
        <v>92</v>
      </c>
      <c r="F190" s="439"/>
      <c r="G190" s="439">
        <v>46084</v>
      </c>
      <c r="H190" s="976" t="s">
        <v>554</v>
      </c>
      <c r="I190" s="977"/>
      <c r="J190" s="977"/>
      <c r="K190" s="977"/>
      <c r="L190" s="439">
        <v>46084</v>
      </c>
      <c r="M190" s="717" t="s">
        <v>687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57</v>
      </c>
      <c r="C191" s="434" t="s">
        <v>410</v>
      </c>
      <c r="D191" s="375" t="s">
        <v>87</v>
      </c>
      <c r="E191" s="434" t="s">
        <v>92</v>
      </c>
      <c r="F191" s="723"/>
      <c r="G191" s="439">
        <v>46088</v>
      </c>
      <c r="H191" s="976" t="s">
        <v>554</v>
      </c>
      <c r="I191" s="977"/>
      <c r="J191" s="977"/>
      <c r="K191" s="977"/>
      <c r="L191" s="439">
        <v>46088</v>
      </c>
      <c r="M191" s="717" t="s">
        <v>687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443">
        <f t="shared" si="3"/>
        <v>58</v>
      </c>
      <c r="C192" s="664" t="s">
        <v>411</v>
      </c>
      <c r="D192" s="517" t="s">
        <v>91</v>
      </c>
      <c r="E192" s="448" t="s">
        <v>92</v>
      </c>
      <c r="F192" s="723"/>
      <c r="G192" s="444">
        <v>46088</v>
      </c>
      <c r="H192" s="980" t="s">
        <v>554</v>
      </c>
      <c r="I192" s="981"/>
      <c r="J192" s="981"/>
      <c r="K192" s="981"/>
      <c r="L192" s="444">
        <v>46088</v>
      </c>
      <c r="M192" s="880" t="s">
        <v>687</v>
      </c>
      <c r="N192" s="445"/>
      <c r="O192" s="445"/>
      <c r="P192" s="44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59</v>
      </c>
      <c r="C193" s="660" t="s">
        <v>351</v>
      </c>
      <c r="D193" s="375" t="s">
        <v>113</v>
      </c>
      <c r="E193" s="434" t="s">
        <v>676</v>
      </c>
      <c r="F193" s="439"/>
      <c r="G193" s="439">
        <v>46089</v>
      </c>
      <c r="H193" s="976" t="s">
        <v>554</v>
      </c>
      <c r="I193" s="977"/>
      <c r="J193" s="977"/>
      <c r="K193" s="977"/>
      <c r="L193" s="439">
        <v>46089</v>
      </c>
      <c r="M193" s="717" t="s">
        <v>89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60</v>
      </c>
      <c r="C194" s="543" t="s">
        <v>358</v>
      </c>
      <c r="D194" s="670" t="s">
        <v>87</v>
      </c>
      <c r="E194" s="434" t="s">
        <v>92</v>
      </c>
      <c r="F194" s="439"/>
      <c r="G194" s="439">
        <v>46094</v>
      </c>
      <c r="H194" s="976" t="s">
        <v>554</v>
      </c>
      <c r="I194" s="977"/>
      <c r="J194" s="977"/>
      <c r="K194" s="977"/>
      <c r="L194" s="439">
        <v>46094</v>
      </c>
      <c r="M194" s="717" t="s">
        <v>89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61</v>
      </c>
      <c r="C195" s="375" t="s">
        <v>238</v>
      </c>
      <c r="D195" s="837" t="s">
        <v>218</v>
      </c>
      <c r="E195" s="434" t="s">
        <v>92</v>
      </c>
      <c r="F195" s="515"/>
      <c r="G195" s="515">
        <v>46094</v>
      </c>
      <c r="H195" s="976" t="s">
        <v>554</v>
      </c>
      <c r="I195" s="977"/>
      <c r="J195" s="977"/>
      <c r="K195" s="977"/>
      <c r="L195" s="910">
        <v>46095</v>
      </c>
      <c r="M195" s="908" t="s">
        <v>799</v>
      </c>
      <c r="N195" s="491"/>
      <c r="O195" s="373"/>
      <c r="P195" s="37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62</v>
      </c>
      <c r="C196" s="375" t="s">
        <v>239</v>
      </c>
      <c r="D196" s="375" t="s">
        <v>239</v>
      </c>
      <c r="E196" s="837" t="s">
        <v>87</v>
      </c>
      <c r="F196" s="482" t="s">
        <v>92</v>
      </c>
      <c r="G196" s="515">
        <v>46098</v>
      </c>
      <c r="H196" s="976" t="s">
        <v>554</v>
      </c>
      <c r="I196" s="977"/>
      <c r="J196" s="977"/>
      <c r="K196" s="977"/>
      <c r="L196" s="515">
        <v>46098</v>
      </c>
      <c r="M196" s="908" t="s">
        <v>799</v>
      </c>
      <c r="N196" s="491"/>
      <c r="O196" s="373"/>
      <c r="P196" s="37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63</v>
      </c>
      <c r="C197" s="660" t="s">
        <v>486</v>
      </c>
      <c r="D197" s="837" t="s">
        <v>242</v>
      </c>
      <c r="E197" s="434" t="s">
        <v>92</v>
      </c>
      <c r="F197" s="515"/>
      <c r="G197" s="515">
        <v>46101</v>
      </c>
      <c r="H197" s="976" t="s">
        <v>554</v>
      </c>
      <c r="I197" s="977"/>
      <c r="J197" s="977"/>
      <c r="K197" s="977"/>
      <c r="L197" s="921">
        <v>45008</v>
      </c>
      <c r="M197" s="491" t="s">
        <v>672</v>
      </c>
      <c r="N197" s="491"/>
      <c r="O197" s="373"/>
      <c r="P197" s="37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64</v>
      </c>
      <c r="C198" s="922" t="s">
        <v>243</v>
      </c>
      <c r="D198" s="837" t="s">
        <v>113</v>
      </c>
      <c r="E198" s="434" t="s">
        <v>92</v>
      </c>
      <c r="F198" s="515">
        <v>46098</v>
      </c>
      <c r="G198" s="535">
        <v>46112</v>
      </c>
      <c r="H198" s="976" t="s">
        <v>554</v>
      </c>
      <c r="I198" s="977"/>
      <c r="J198" s="977"/>
      <c r="K198" s="977"/>
      <c r="L198" s="535">
        <v>46112</v>
      </c>
      <c r="M198" s="491" t="s">
        <v>706</v>
      </c>
      <c r="N198" s="491"/>
      <c r="O198" s="373"/>
      <c r="P198" s="37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B199" s="384">
        <f t="shared" si="3"/>
        <v>65</v>
      </c>
      <c r="C199" s="718" t="s">
        <v>237</v>
      </c>
      <c r="D199" s="837" t="s">
        <v>91</v>
      </c>
      <c r="E199" s="434" t="s">
        <v>92</v>
      </c>
      <c r="F199" s="518"/>
      <c r="G199" s="535">
        <v>46110</v>
      </c>
      <c r="H199" s="976" t="s">
        <v>554</v>
      </c>
      <c r="I199" s="977"/>
      <c r="J199" s="977"/>
      <c r="K199" s="977"/>
      <c r="L199" s="535">
        <v>46110</v>
      </c>
      <c r="M199" s="491" t="s">
        <v>706</v>
      </c>
      <c r="N199" s="491"/>
      <c r="O199" s="373"/>
      <c r="P199" s="37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943" customFormat="1" ht="15.6" customHeight="1" x14ac:dyDescent="0.3">
      <c r="B200" s="384">
        <f t="shared" si="3"/>
        <v>66</v>
      </c>
      <c r="C200" s="375" t="s">
        <v>230</v>
      </c>
      <c r="D200" s="837" t="s">
        <v>91</v>
      </c>
      <c r="E200" s="434" t="s">
        <v>92</v>
      </c>
      <c r="G200" s="535">
        <v>46110</v>
      </c>
      <c r="H200" s="976" t="s">
        <v>554</v>
      </c>
      <c r="I200" s="977"/>
      <c r="J200" s="977"/>
      <c r="K200" s="977"/>
      <c r="L200" s="535">
        <v>46110</v>
      </c>
      <c r="M200" s="491" t="s">
        <v>706</v>
      </c>
      <c r="N200" s="942"/>
      <c r="O200" s="942"/>
      <c r="P200" s="942"/>
    </row>
    <row r="201" spans="1:26" s="943" customFormat="1" ht="15.6" customHeight="1" x14ac:dyDescent="0.3">
      <c r="B201" s="384">
        <f t="shared" si="3"/>
        <v>67</v>
      </c>
      <c r="C201" s="375" t="s">
        <v>233</v>
      </c>
      <c r="D201" s="375" t="s">
        <v>233</v>
      </c>
      <c r="E201" s="837" t="s">
        <v>87</v>
      </c>
      <c r="F201" s="729" t="s">
        <v>92</v>
      </c>
      <c r="G201" s="535">
        <v>46112</v>
      </c>
      <c r="H201" s="976" t="s">
        <v>554</v>
      </c>
      <c r="I201" s="977"/>
      <c r="J201" s="977"/>
      <c r="K201" s="977"/>
      <c r="L201" s="535">
        <v>46112</v>
      </c>
      <c r="M201" s="491" t="s">
        <v>706</v>
      </c>
      <c r="N201" s="942"/>
      <c r="O201" s="942"/>
      <c r="P201" s="942"/>
    </row>
    <row r="202" spans="1:26" s="407" customFormat="1" ht="13.5" customHeight="1" thickBot="1" x14ac:dyDescent="0.35">
      <c r="A202" s="398"/>
      <c r="B202" s="403"/>
      <c r="C202" s="404"/>
      <c r="D202" s="405"/>
      <c r="E202" s="405"/>
      <c r="F202" s="405"/>
      <c r="G202" s="383"/>
      <c r="H202" s="532"/>
      <c r="I202" s="532"/>
      <c r="J202" s="532"/>
      <c r="K202" s="532"/>
      <c r="L202" s="383"/>
      <c r="M202" s="405"/>
      <c r="N202" s="405"/>
      <c r="O202" s="383"/>
      <c r="P202" s="383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ht="13.5" customHeight="1" thickBot="1" x14ac:dyDescent="0.35">
      <c r="B203" s="538" t="s">
        <v>101</v>
      </c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41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B204" s="431" t="s">
        <v>69</v>
      </c>
      <c r="C204" s="430" t="s">
        <v>70</v>
      </c>
      <c r="D204" s="430" t="s">
        <v>71</v>
      </c>
      <c r="E204" s="430" t="s">
        <v>99</v>
      </c>
      <c r="F204" s="712"/>
      <c r="G204" s="712"/>
      <c r="H204" s="712"/>
      <c r="I204" s="712"/>
      <c r="J204" s="430" t="s">
        <v>82</v>
      </c>
      <c r="K204" s="430" t="s">
        <v>84</v>
      </c>
      <c r="L204" s="430" t="s">
        <v>102</v>
      </c>
      <c r="M204" s="430" t="s">
        <v>103</v>
      </c>
      <c r="N204" s="430" t="s">
        <v>104</v>
      </c>
      <c r="O204" s="17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B205" s="426"/>
      <c r="C205" s="427"/>
      <c r="D205" s="428"/>
      <c r="E205" s="713"/>
      <c r="F205" s="709"/>
      <c r="G205" s="709"/>
      <c r="H205" s="709"/>
      <c r="I205" s="714"/>
      <c r="J205" s="427"/>
      <c r="K205" s="427"/>
      <c r="L205" s="426"/>
      <c r="M205" s="429"/>
      <c r="N205" s="429"/>
      <c r="O205" s="17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thickBot="1" x14ac:dyDescent="0.35">
      <c r="B206" s="432"/>
      <c r="C206" s="48"/>
      <c r="D206" s="49"/>
      <c r="E206" s="50"/>
      <c r="F206" s="50"/>
      <c r="G206" s="50"/>
      <c r="H206" s="50"/>
      <c r="I206" s="50"/>
      <c r="J206" s="48"/>
      <c r="K206" s="48"/>
      <c r="L206" s="51"/>
      <c r="M206" s="17"/>
      <c r="N206" s="17"/>
      <c r="O206" s="17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thickBot="1" x14ac:dyDescent="0.35">
      <c r="B207" s="537" t="s">
        <v>105</v>
      </c>
      <c r="C207" s="45"/>
      <c r="D207" s="45"/>
      <c r="E207" s="45"/>
      <c r="F207" s="45"/>
      <c r="G207" s="45"/>
      <c r="H207" s="45"/>
      <c r="I207" s="45"/>
      <c r="J207" s="45"/>
      <c r="K207" s="45"/>
      <c r="L207" s="46"/>
      <c r="M207" s="17"/>
      <c r="N207" s="17"/>
      <c r="O207" s="17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B208" s="47" t="s">
        <v>69</v>
      </c>
      <c r="C208" s="47" t="s">
        <v>70</v>
      </c>
      <c r="D208" s="47" t="s">
        <v>71</v>
      </c>
      <c r="E208" s="716" t="s">
        <v>99</v>
      </c>
      <c r="F208" s="710"/>
      <c r="G208" s="710"/>
      <c r="H208" s="710"/>
      <c r="I208" s="711"/>
      <c r="J208" s="47" t="s">
        <v>82</v>
      </c>
      <c r="K208" s="47" t="s">
        <v>84</v>
      </c>
      <c r="L208" s="47" t="s">
        <v>33</v>
      </c>
      <c r="M208" s="17"/>
      <c r="N208" s="17"/>
      <c r="O208" s="17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thickBot="1" x14ac:dyDescent="0.35">
      <c r="B209" s="381"/>
      <c r="C209" s="379"/>
      <c r="D209" s="626"/>
      <c r="E209" s="715"/>
      <c r="F209" s="707"/>
      <c r="G209" s="707"/>
      <c r="H209" s="707"/>
      <c r="I209" s="708"/>
      <c r="J209" s="41"/>
      <c r="K209" s="39"/>
      <c r="L209" s="37"/>
      <c r="M209" s="17"/>
      <c r="N209" s="17"/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5.6" customHeight="1" thickBot="1" x14ac:dyDescent="0.35">
      <c r="B210" s="1031" t="s">
        <v>106</v>
      </c>
      <c r="C210" s="1032"/>
      <c r="D210" s="1033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433" t="s">
        <v>98</v>
      </c>
      <c r="C211" s="433" t="s">
        <v>74</v>
      </c>
      <c r="D211" s="433" t="s">
        <v>75</v>
      </c>
      <c r="E211" s="54" t="s">
        <v>76</v>
      </c>
      <c r="F211" s="54"/>
      <c r="G211" s="54" t="s">
        <v>78</v>
      </c>
      <c r="H211" s="54" t="s">
        <v>107</v>
      </c>
      <c r="I211" s="982" t="s">
        <v>99</v>
      </c>
      <c r="J211" s="983"/>
      <c r="K211" s="983"/>
      <c r="L211" s="984"/>
      <c r="M211" s="54" t="s">
        <v>81</v>
      </c>
      <c r="N211" s="54" t="s">
        <v>82</v>
      </c>
      <c r="O211" s="54" t="s">
        <v>84</v>
      </c>
      <c r="P211" s="54" t="s">
        <v>100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v>1</v>
      </c>
      <c r="C212" s="424" t="s">
        <v>273</v>
      </c>
      <c r="D212" s="379" t="s">
        <v>87</v>
      </c>
      <c r="E212" s="379" t="s">
        <v>92</v>
      </c>
      <c r="F212" s="379"/>
      <c r="G212" s="529">
        <v>46006</v>
      </c>
      <c r="H212" s="533">
        <v>35.088999999999999</v>
      </c>
      <c r="I212" s="985" t="s">
        <v>679</v>
      </c>
      <c r="J212" s="986"/>
      <c r="K212" s="986"/>
      <c r="L212" s="987"/>
      <c r="M212" s="529">
        <v>46011</v>
      </c>
      <c r="N212" s="499" t="s">
        <v>678</v>
      </c>
      <c r="O212" s="379">
        <v>35</v>
      </c>
      <c r="P212" s="379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>B212+1</f>
        <v>2</v>
      </c>
      <c r="C213" s="375" t="s">
        <v>276</v>
      </c>
      <c r="D213" s="386" t="s">
        <v>87</v>
      </c>
      <c r="E213" s="375" t="s">
        <v>548</v>
      </c>
      <c r="F213" s="375"/>
      <c r="G213" s="535">
        <v>46013</v>
      </c>
      <c r="H213" s="533">
        <v>35.088999999999999</v>
      </c>
      <c r="I213" s="985" t="s">
        <v>679</v>
      </c>
      <c r="J213" s="986"/>
      <c r="K213" s="986"/>
      <c r="L213" s="987"/>
      <c r="M213" s="439">
        <v>46018</v>
      </c>
      <c r="N213" s="499" t="s">
        <v>678</v>
      </c>
      <c r="O213" s="379">
        <v>35</v>
      </c>
      <c r="P213" s="42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ref="B214:B278" si="4">B213+1</f>
        <v>3</v>
      </c>
      <c r="C214" s="436" t="s">
        <v>326</v>
      </c>
      <c r="D214" s="379" t="s">
        <v>87</v>
      </c>
      <c r="E214" s="379" t="s">
        <v>92</v>
      </c>
      <c r="F214" s="437"/>
      <c r="G214" s="534">
        <v>46013</v>
      </c>
      <c r="H214" s="533">
        <v>35.088999999999999</v>
      </c>
      <c r="I214" s="985" t="s">
        <v>679</v>
      </c>
      <c r="J214" s="986"/>
      <c r="K214" s="986"/>
      <c r="L214" s="987"/>
      <c r="M214" s="520">
        <v>46022</v>
      </c>
      <c r="N214" s="500" t="s">
        <v>709</v>
      </c>
      <c r="O214" s="386">
        <v>49</v>
      </c>
      <c r="P214" s="38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4</v>
      </c>
      <c r="C215" s="385" t="s">
        <v>271</v>
      </c>
      <c r="D215" s="386" t="s">
        <v>87</v>
      </c>
      <c r="E215" s="375" t="s">
        <v>548</v>
      </c>
      <c r="F215" s="385"/>
      <c r="G215" s="387">
        <v>46016</v>
      </c>
      <c r="H215" s="533">
        <v>35.088999999999999</v>
      </c>
      <c r="I215" s="978" t="s">
        <v>679</v>
      </c>
      <c r="J215" s="979"/>
      <c r="K215" s="979"/>
      <c r="L215" s="979"/>
      <c r="M215" s="387">
        <v>46032</v>
      </c>
      <c r="N215" s="500" t="s">
        <v>678</v>
      </c>
      <c r="O215" s="386">
        <v>35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2" customHeight="1" x14ac:dyDescent="0.3">
      <c r="B216" s="381">
        <f t="shared" si="4"/>
        <v>5</v>
      </c>
      <c r="C216" s="385" t="s">
        <v>325</v>
      </c>
      <c r="D216" s="386" t="s">
        <v>87</v>
      </c>
      <c r="E216" s="375" t="s">
        <v>548</v>
      </c>
      <c r="F216" s="385"/>
      <c r="G216" s="387">
        <v>46016</v>
      </c>
      <c r="H216" s="533">
        <v>35.088999999999999</v>
      </c>
      <c r="I216" s="985" t="s">
        <v>679</v>
      </c>
      <c r="J216" s="986"/>
      <c r="K216" s="986"/>
      <c r="L216" s="987"/>
      <c r="M216" s="387">
        <v>46030</v>
      </c>
      <c r="N216" s="500" t="s">
        <v>709</v>
      </c>
      <c r="O216" s="386">
        <v>49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2" customHeight="1" x14ac:dyDescent="0.3">
      <c r="B217" s="381">
        <f t="shared" si="4"/>
        <v>6</v>
      </c>
      <c r="C217" s="385" t="s">
        <v>270</v>
      </c>
      <c r="D217" s="385" t="s">
        <v>95</v>
      </c>
      <c r="E217" s="375" t="s">
        <v>548</v>
      </c>
      <c r="F217" s="385"/>
      <c r="G217" s="387">
        <v>46024</v>
      </c>
      <c r="H217" s="498">
        <v>41.88</v>
      </c>
      <c r="I217" s="978" t="s">
        <v>679</v>
      </c>
      <c r="J217" s="979"/>
      <c r="K217" s="979"/>
      <c r="L217" s="979"/>
      <c r="M217" s="387">
        <v>46032</v>
      </c>
      <c r="N217" s="500" t="s">
        <v>678</v>
      </c>
      <c r="O217" s="386">
        <v>35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7</v>
      </c>
      <c r="C218" s="385" t="s">
        <v>323</v>
      </c>
      <c r="D218" s="386" t="s">
        <v>87</v>
      </c>
      <c r="E218" s="375" t="s">
        <v>548</v>
      </c>
      <c r="F218" s="385"/>
      <c r="G218" s="387">
        <v>46023</v>
      </c>
      <c r="H218" s="533">
        <v>35.088999999999999</v>
      </c>
      <c r="I218" s="978" t="s">
        <v>679</v>
      </c>
      <c r="J218" s="979"/>
      <c r="K218" s="979"/>
      <c r="L218" s="979"/>
      <c r="M218" s="387">
        <v>46035</v>
      </c>
      <c r="N218" s="500" t="s">
        <v>709</v>
      </c>
      <c r="O218" s="386">
        <v>49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8</v>
      </c>
      <c r="C219" s="385" t="s">
        <v>272</v>
      </c>
      <c r="D219" s="386" t="s">
        <v>87</v>
      </c>
      <c r="E219" s="375" t="s">
        <v>548</v>
      </c>
      <c r="F219" s="385"/>
      <c r="G219" s="387">
        <v>46031</v>
      </c>
      <c r="H219" s="533">
        <v>35.088999999999999</v>
      </c>
      <c r="I219" s="978" t="s">
        <v>679</v>
      </c>
      <c r="J219" s="979"/>
      <c r="K219" s="979"/>
      <c r="L219" s="979"/>
      <c r="M219" s="387">
        <v>46036</v>
      </c>
      <c r="N219" s="500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2" customHeight="1" x14ac:dyDescent="0.3">
      <c r="B220" s="381">
        <f t="shared" si="4"/>
        <v>9</v>
      </c>
      <c r="C220" s="385" t="s">
        <v>327</v>
      </c>
      <c r="D220" s="447" t="s">
        <v>87</v>
      </c>
      <c r="E220" s="375" t="s">
        <v>548</v>
      </c>
      <c r="F220" s="446"/>
      <c r="G220" s="387">
        <v>46029</v>
      </c>
      <c r="H220" s="533">
        <v>35.088999999999999</v>
      </c>
      <c r="I220" s="978" t="s">
        <v>679</v>
      </c>
      <c r="J220" s="979"/>
      <c r="K220" s="979"/>
      <c r="L220" s="979"/>
      <c r="M220" s="387">
        <v>46038</v>
      </c>
      <c r="N220" s="501" t="s">
        <v>682</v>
      </c>
      <c r="O220" s="385">
        <v>21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10</v>
      </c>
      <c r="C221" s="385" t="s">
        <v>86</v>
      </c>
      <c r="D221" s="386" t="s">
        <v>87</v>
      </c>
      <c r="E221" s="385" t="s">
        <v>88</v>
      </c>
      <c r="F221" s="385"/>
      <c r="G221" s="651">
        <v>46033</v>
      </c>
      <c r="H221" s="621">
        <v>35.088999999999999</v>
      </c>
      <c r="I221" s="978" t="s">
        <v>679</v>
      </c>
      <c r="J221" s="979"/>
      <c r="K221" s="979"/>
      <c r="L221" s="979"/>
      <c r="M221" s="387">
        <v>46038</v>
      </c>
      <c r="N221" s="501" t="s">
        <v>708</v>
      </c>
      <c r="O221" s="385">
        <v>31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11</v>
      </c>
      <c r="C222" s="385" t="s">
        <v>96</v>
      </c>
      <c r="D222" s="385" t="s">
        <v>87</v>
      </c>
      <c r="E222" s="385" t="s">
        <v>92</v>
      </c>
      <c r="F222" s="385"/>
      <c r="G222" s="651">
        <v>46037</v>
      </c>
      <c r="H222" s="621">
        <v>35.088999999999999</v>
      </c>
      <c r="I222" s="978" t="s">
        <v>679</v>
      </c>
      <c r="J222" s="979"/>
      <c r="K222" s="979"/>
      <c r="L222" s="979"/>
      <c r="M222" s="387">
        <v>46042</v>
      </c>
      <c r="N222" s="501" t="s">
        <v>708</v>
      </c>
      <c r="O222" s="385">
        <v>31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12</v>
      </c>
      <c r="C223" s="541" t="s">
        <v>278</v>
      </c>
      <c r="D223" s="541" t="s">
        <v>95</v>
      </c>
      <c r="E223" s="541" t="s">
        <v>548</v>
      </c>
      <c r="F223" s="541"/>
      <c r="G223" s="387">
        <v>46037</v>
      </c>
      <c r="H223" s="646">
        <v>41.88</v>
      </c>
      <c r="I223" s="988" t="s">
        <v>679</v>
      </c>
      <c r="J223" s="989"/>
      <c r="K223" s="989"/>
      <c r="L223" s="989"/>
      <c r="M223" s="627">
        <v>46043</v>
      </c>
      <c r="N223" s="647" t="s">
        <v>678</v>
      </c>
      <c r="O223" s="437">
        <v>35</v>
      </c>
      <c r="P223" s="54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13</v>
      </c>
      <c r="C224" s="385" t="s">
        <v>330</v>
      </c>
      <c r="D224" s="385" t="s">
        <v>87</v>
      </c>
      <c r="E224" s="385" t="s">
        <v>92</v>
      </c>
      <c r="F224" s="385"/>
      <c r="G224" s="651">
        <v>46039</v>
      </c>
      <c r="H224" s="621">
        <v>35.088999999999999</v>
      </c>
      <c r="I224" s="978" t="s">
        <v>679</v>
      </c>
      <c r="J224" s="979"/>
      <c r="K224" s="979"/>
      <c r="L224" s="979"/>
      <c r="M224" s="387">
        <v>46043</v>
      </c>
      <c r="N224" s="501" t="s">
        <v>682</v>
      </c>
      <c r="O224" s="385">
        <v>21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si="4"/>
        <v>14</v>
      </c>
      <c r="C225" s="385" t="s">
        <v>347</v>
      </c>
      <c r="D225" s="385" t="s">
        <v>87</v>
      </c>
      <c r="E225" s="385" t="s">
        <v>548</v>
      </c>
      <c r="F225" s="385"/>
      <c r="G225" s="651">
        <v>46038</v>
      </c>
      <c r="H225" s="621">
        <v>35.088999999999999</v>
      </c>
      <c r="I225" s="978" t="s">
        <v>679</v>
      </c>
      <c r="J225" s="979"/>
      <c r="K225" s="979"/>
      <c r="L225" s="979"/>
      <c r="M225" s="387">
        <v>46043</v>
      </c>
      <c r="N225" s="501" t="s">
        <v>711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4"/>
        <v>15</v>
      </c>
      <c r="C226" s="385" t="s">
        <v>403</v>
      </c>
      <c r="D226" s="385" t="s">
        <v>87</v>
      </c>
      <c r="E226" s="385" t="s">
        <v>92</v>
      </c>
      <c r="F226" s="385"/>
      <c r="G226" s="651">
        <v>46039</v>
      </c>
      <c r="H226" s="621">
        <v>35.088999999999999</v>
      </c>
      <c r="I226" s="978" t="s">
        <v>679</v>
      </c>
      <c r="J226" s="979"/>
      <c r="K226" s="979"/>
      <c r="L226" s="979"/>
      <c r="M226" s="387">
        <v>46043</v>
      </c>
      <c r="N226" s="542" t="s">
        <v>710</v>
      </c>
      <c r="O226" s="385">
        <v>45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si="4"/>
        <v>16</v>
      </c>
      <c r="C227" s="385" t="s">
        <v>348</v>
      </c>
      <c r="D227" s="386" t="s">
        <v>87</v>
      </c>
      <c r="E227" s="385" t="s">
        <v>548</v>
      </c>
      <c r="F227" s="385"/>
      <c r="G227" s="651">
        <v>46041</v>
      </c>
      <c r="H227" s="621">
        <v>35.088999999999999</v>
      </c>
      <c r="I227" s="978" t="s">
        <v>679</v>
      </c>
      <c r="J227" s="979"/>
      <c r="K227" s="979"/>
      <c r="L227" s="979"/>
      <c r="M227" s="387">
        <v>46046</v>
      </c>
      <c r="N227" s="501" t="s">
        <v>711</v>
      </c>
      <c r="O227" s="385">
        <v>32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17</v>
      </c>
      <c r="C228" s="385" t="s">
        <v>94</v>
      </c>
      <c r="D228" s="385" t="s">
        <v>95</v>
      </c>
      <c r="E228" s="385" t="s">
        <v>547</v>
      </c>
      <c r="F228" s="385"/>
      <c r="G228" s="651">
        <v>46041</v>
      </c>
      <c r="H228" s="498">
        <v>41.88</v>
      </c>
      <c r="I228" s="978" t="s">
        <v>679</v>
      </c>
      <c r="J228" s="979"/>
      <c r="K228" s="979"/>
      <c r="L228" s="979"/>
      <c r="M228" s="387">
        <v>46047</v>
      </c>
      <c r="N228" s="501" t="s">
        <v>708</v>
      </c>
      <c r="O228" s="385">
        <v>31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18</v>
      </c>
      <c r="C229" s="385" t="s">
        <v>279</v>
      </c>
      <c r="D229" s="386" t="s">
        <v>87</v>
      </c>
      <c r="E229" s="385" t="s">
        <v>548</v>
      </c>
      <c r="F229" s="385"/>
      <c r="G229" s="387">
        <v>46044</v>
      </c>
      <c r="H229" s="533">
        <v>35.088999999999999</v>
      </c>
      <c r="I229" s="978" t="s">
        <v>679</v>
      </c>
      <c r="J229" s="979"/>
      <c r="K229" s="979"/>
      <c r="L229" s="979"/>
      <c r="M229" s="387">
        <v>46049</v>
      </c>
      <c r="N229" s="501" t="s">
        <v>678</v>
      </c>
      <c r="O229" s="386">
        <v>35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19</v>
      </c>
      <c r="C230" s="385" t="s">
        <v>402</v>
      </c>
      <c r="D230" s="385" t="s">
        <v>87</v>
      </c>
      <c r="E230" s="385" t="s">
        <v>92</v>
      </c>
      <c r="F230" s="385"/>
      <c r="G230" s="651">
        <v>46045</v>
      </c>
      <c r="H230" s="621">
        <v>35.088999999999999</v>
      </c>
      <c r="I230" s="978" t="s">
        <v>679</v>
      </c>
      <c r="J230" s="979"/>
      <c r="K230" s="979"/>
      <c r="L230" s="979"/>
      <c r="M230" s="387">
        <v>46049</v>
      </c>
      <c r="N230" s="542" t="s">
        <v>710</v>
      </c>
      <c r="O230" s="385">
        <v>45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4"/>
        <v>20</v>
      </c>
      <c r="C231" s="385" t="s">
        <v>346</v>
      </c>
      <c r="D231" s="385" t="s">
        <v>95</v>
      </c>
      <c r="E231" s="385" t="s">
        <v>548</v>
      </c>
      <c r="F231" s="385"/>
      <c r="G231" s="651">
        <v>46047</v>
      </c>
      <c r="H231" s="498">
        <v>41.88</v>
      </c>
      <c r="I231" s="978" t="s">
        <v>679</v>
      </c>
      <c r="J231" s="979"/>
      <c r="K231" s="979"/>
      <c r="L231" s="979"/>
      <c r="M231" s="387">
        <v>46050</v>
      </c>
      <c r="N231" s="501" t="s">
        <v>711</v>
      </c>
      <c r="O231" s="385">
        <v>32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4"/>
        <v>21</v>
      </c>
      <c r="C232" s="385" t="s">
        <v>399</v>
      </c>
      <c r="D232" s="386" t="s">
        <v>87</v>
      </c>
      <c r="E232" s="375" t="s">
        <v>548</v>
      </c>
      <c r="F232" s="385"/>
      <c r="G232" s="387">
        <v>46034</v>
      </c>
      <c r="H232" s="621">
        <v>35.088999999999999</v>
      </c>
      <c r="I232" s="978" t="s">
        <v>679</v>
      </c>
      <c r="J232" s="979"/>
      <c r="K232" s="979"/>
      <c r="L232" s="979"/>
      <c r="M232" s="387">
        <v>46051</v>
      </c>
      <c r="N232" s="500" t="s">
        <v>709</v>
      </c>
      <c r="O232" s="386">
        <v>49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75">
        <f t="shared" si="4"/>
        <v>22</v>
      </c>
      <c r="C233" s="385" t="s">
        <v>333</v>
      </c>
      <c r="D233" s="385" t="s">
        <v>91</v>
      </c>
      <c r="E233" s="385" t="s">
        <v>548</v>
      </c>
      <c r="F233" s="385"/>
      <c r="G233" s="651">
        <v>46048</v>
      </c>
      <c r="H233" s="498">
        <v>36.771000000000001</v>
      </c>
      <c r="I233" s="978" t="s">
        <v>679</v>
      </c>
      <c r="J233" s="979"/>
      <c r="K233" s="979"/>
      <c r="L233" s="979"/>
      <c r="M233" s="387">
        <v>46052</v>
      </c>
      <c r="N233" s="501" t="s">
        <v>682</v>
      </c>
      <c r="O233" s="385">
        <v>21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907">
        <f t="shared" si="4"/>
        <v>23</v>
      </c>
      <c r="C234" s="385" t="s">
        <v>338</v>
      </c>
      <c r="D234" s="385" t="s">
        <v>95</v>
      </c>
      <c r="E234" s="385" t="s">
        <v>92</v>
      </c>
      <c r="F234" s="385"/>
      <c r="G234" s="651">
        <v>46049</v>
      </c>
      <c r="H234" s="498">
        <v>41.88</v>
      </c>
      <c r="I234" s="978" t="s">
        <v>679</v>
      </c>
      <c r="J234" s="979"/>
      <c r="K234" s="979"/>
      <c r="L234" s="979"/>
      <c r="M234" s="387">
        <v>46053</v>
      </c>
      <c r="N234" s="501" t="s">
        <v>708</v>
      </c>
      <c r="O234" s="385">
        <v>31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4.4" customHeight="1" x14ac:dyDescent="0.3">
      <c r="B235" s="907">
        <f t="shared" si="4"/>
        <v>24</v>
      </c>
      <c r="C235" s="385" t="s">
        <v>406</v>
      </c>
      <c r="D235" s="385" t="s">
        <v>91</v>
      </c>
      <c r="E235" s="385" t="s">
        <v>92</v>
      </c>
      <c r="F235" s="385"/>
      <c r="G235" s="387">
        <v>46049</v>
      </c>
      <c r="H235" s="498">
        <v>36.771000000000001</v>
      </c>
      <c r="I235" s="978" t="s">
        <v>679</v>
      </c>
      <c r="J235" s="979"/>
      <c r="K235" s="979"/>
      <c r="L235" s="979"/>
      <c r="M235" s="387">
        <v>46053</v>
      </c>
      <c r="N235" s="500" t="s">
        <v>710</v>
      </c>
      <c r="O235" s="385">
        <v>45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s="857" customFormat="1" ht="13.5" customHeight="1" x14ac:dyDescent="0.3">
      <c r="B236" s="906">
        <f t="shared" si="4"/>
        <v>25</v>
      </c>
      <c r="C236" s="719" t="s">
        <v>281</v>
      </c>
      <c r="D236" s="719" t="s">
        <v>87</v>
      </c>
      <c r="E236" s="719" t="s">
        <v>92</v>
      </c>
      <c r="F236" s="719"/>
      <c r="G236" s="859">
        <v>46049</v>
      </c>
      <c r="H236" s="860">
        <v>35.088999999999999</v>
      </c>
      <c r="I236" s="978" t="s">
        <v>679</v>
      </c>
      <c r="J236" s="979"/>
      <c r="K236" s="979"/>
      <c r="L236" s="979"/>
      <c r="M236" s="859">
        <v>46055</v>
      </c>
      <c r="N236" s="861" t="s">
        <v>678</v>
      </c>
      <c r="O236" s="862">
        <v>35</v>
      </c>
      <c r="P236" s="719"/>
      <c r="Q236" s="863"/>
      <c r="R236" s="863"/>
      <c r="S236" s="863"/>
      <c r="T236" s="863"/>
      <c r="U236" s="863"/>
      <c r="V236" s="863"/>
      <c r="W236" s="863"/>
      <c r="X236" s="863"/>
      <c r="Y236" s="863"/>
      <c r="Z236" s="863"/>
    </row>
    <row r="237" spans="2:26" ht="13.5" customHeight="1" x14ac:dyDescent="0.3">
      <c r="B237" s="381">
        <f t="shared" si="4"/>
        <v>26</v>
      </c>
      <c r="C237" s="385" t="s">
        <v>400</v>
      </c>
      <c r="D237" s="385" t="s">
        <v>87</v>
      </c>
      <c r="E237" s="385" t="s">
        <v>92</v>
      </c>
      <c r="F237" s="385"/>
      <c r="G237" s="387">
        <v>46052</v>
      </c>
      <c r="H237" s="621">
        <v>35.088999999999999</v>
      </c>
      <c r="I237" s="978" t="s">
        <v>679</v>
      </c>
      <c r="J237" s="979"/>
      <c r="K237" s="979"/>
      <c r="L237" s="979"/>
      <c r="M237" s="387">
        <v>46056</v>
      </c>
      <c r="N237" s="500" t="s">
        <v>709</v>
      </c>
      <c r="O237" s="386">
        <v>49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81">
        <f t="shared" si="4"/>
        <v>27</v>
      </c>
      <c r="C238" s="434" t="s">
        <v>352</v>
      </c>
      <c r="D238" s="375" t="s">
        <v>87</v>
      </c>
      <c r="E238" s="434" t="s">
        <v>700</v>
      </c>
      <c r="F238" s="385"/>
      <c r="G238" s="387">
        <v>46053</v>
      </c>
      <c r="H238" s="621">
        <v>35.088999999999999</v>
      </c>
      <c r="I238" s="978" t="s">
        <v>679</v>
      </c>
      <c r="J238" s="979"/>
      <c r="K238" s="979"/>
      <c r="L238" s="979"/>
      <c r="M238" s="387">
        <v>46056</v>
      </c>
      <c r="N238" s="501" t="s">
        <v>711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4"/>
        <v>28</v>
      </c>
      <c r="C239" s="434" t="s">
        <v>339</v>
      </c>
      <c r="D239" s="375" t="s">
        <v>113</v>
      </c>
      <c r="E239" s="434" t="s">
        <v>92</v>
      </c>
      <c r="F239" s="385"/>
      <c r="G239" s="387">
        <v>46054</v>
      </c>
      <c r="H239" s="621">
        <v>43.575000000000003</v>
      </c>
      <c r="I239" s="978" t="s">
        <v>679</v>
      </c>
      <c r="J239" s="979"/>
      <c r="K239" s="979"/>
      <c r="L239" s="979"/>
      <c r="M239" s="387">
        <v>46057</v>
      </c>
      <c r="N239" s="501" t="s">
        <v>708</v>
      </c>
      <c r="O239" s="385">
        <v>31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858">
        <f t="shared" si="4"/>
        <v>29</v>
      </c>
      <c r="C240" s="385" t="s">
        <v>349</v>
      </c>
      <c r="D240" s="385" t="s">
        <v>113</v>
      </c>
      <c r="E240" s="385" t="s">
        <v>548</v>
      </c>
      <c r="F240" s="385"/>
      <c r="G240" s="387">
        <v>46050</v>
      </c>
      <c r="H240" s="621">
        <v>43.575000000000003</v>
      </c>
      <c r="I240" s="978" t="s">
        <v>679</v>
      </c>
      <c r="J240" s="979"/>
      <c r="K240" s="979"/>
      <c r="L240" s="979"/>
      <c r="M240" s="387">
        <v>46058</v>
      </c>
      <c r="N240" s="501" t="s">
        <v>711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customHeight="1" x14ac:dyDescent="0.3">
      <c r="B241" s="381">
        <f t="shared" si="4"/>
        <v>30</v>
      </c>
      <c r="C241" s="434" t="s">
        <v>405</v>
      </c>
      <c r="D241" s="375" t="s">
        <v>91</v>
      </c>
      <c r="E241" s="434" t="s">
        <v>547</v>
      </c>
      <c r="F241" s="385"/>
      <c r="G241" s="387">
        <v>46052</v>
      </c>
      <c r="H241" s="498">
        <v>36.771000000000001</v>
      </c>
      <c r="I241" s="978" t="s">
        <v>679</v>
      </c>
      <c r="J241" s="979"/>
      <c r="K241" s="979"/>
      <c r="L241" s="979"/>
      <c r="M241" s="387">
        <v>46058</v>
      </c>
      <c r="N241" s="500" t="s">
        <v>710</v>
      </c>
      <c r="O241" s="385">
        <v>45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B242" s="381">
        <f t="shared" si="4"/>
        <v>31</v>
      </c>
      <c r="C242" s="660" t="s">
        <v>265</v>
      </c>
      <c r="D242" s="375" t="s">
        <v>87</v>
      </c>
      <c r="E242" s="434" t="s">
        <v>88</v>
      </c>
      <c r="F242" s="385"/>
      <c r="G242" s="387">
        <v>46059</v>
      </c>
      <c r="H242" s="621">
        <v>35.088999999999999</v>
      </c>
      <c r="I242" s="978" t="s">
        <v>679</v>
      </c>
      <c r="J242" s="979"/>
      <c r="K242" s="979"/>
      <c r="L242" s="979"/>
      <c r="M242" s="387">
        <v>46062</v>
      </c>
      <c r="N242" s="501" t="s">
        <v>708</v>
      </c>
      <c r="O242" s="385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customHeight="1" x14ac:dyDescent="0.3">
      <c r="B243" s="381">
        <f t="shared" si="4"/>
        <v>32</v>
      </c>
      <c r="C243" s="385" t="s">
        <v>398</v>
      </c>
      <c r="D243" s="385" t="s">
        <v>87</v>
      </c>
      <c r="E243" s="385" t="s">
        <v>92</v>
      </c>
      <c r="F243" s="385"/>
      <c r="G243" s="387">
        <v>46361</v>
      </c>
      <c r="H243" s="621">
        <v>35.088999999999999</v>
      </c>
      <c r="I243" s="978" t="s">
        <v>679</v>
      </c>
      <c r="J243" s="979"/>
      <c r="K243" s="979"/>
      <c r="L243" s="979"/>
      <c r="M243" s="387">
        <v>46062</v>
      </c>
      <c r="N243" s="500" t="s">
        <v>709</v>
      </c>
      <c r="O243" s="386">
        <v>49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B244" s="381">
        <f t="shared" si="4"/>
        <v>33</v>
      </c>
      <c r="C244" s="385" t="s">
        <v>469</v>
      </c>
      <c r="D244" s="385" t="s">
        <v>565</v>
      </c>
      <c r="E244" s="434" t="s">
        <v>92</v>
      </c>
      <c r="F244" s="385"/>
      <c r="G244" s="387">
        <v>46058</v>
      </c>
      <c r="H244" s="621">
        <v>54.72</v>
      </c>
      <c r="I244" s="978" t="s">
        <v>679</v>
      </c>
      <c r="J244" s="979"/>
      <c r="K244" s="979"/>
      <c r="L244" s="979"/>
      <c r="M244" s="387">
        <v>46063</v>
      </c>
      <c r="N244" s="501" t="s">
        <v>711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34</v>
      </c>
      <c r="C245" s="385" t="s">
        <v>263</v>
      </c>
      <c r="D245" s="437" t="s">
        <v>87</v>
      </c>
      <c r="E245" s="384" t="s">
        <v>548</v>
      </c>
      <c r="F245" s="385"/>
      <c r="G245" s="387">
        <v>46056</v>
      </c>
      <c r="H245" s="621">
        <v>35.088999999999999</v>
      </c>
      <c r="I245" s="978" t="s">
        <v>679</v>
      </c>
      <c r="J245" s="979"/>
      <c r="K245" s="979"/>
      <c r="L245" s="979"/>
      <c r="M245" s="387">
        <v>46064</v>
      </c>
      <c r="N245" s="500" t="s">
        <v>678</v>
      </c>
      <c r="O245" s="386">
        <v>35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35</v>
      </c>
      <c r="C246" s="664" t="s">
        <v>414</v>
      </c>
      <c r="D246" s="517" t="s">
        <v>87</v>
      </c>
      <c r="E246" s="448" t="s">
        <v>92</v>
      </c>
      <c r="F246" s="541"/>
      <c r="G246" s="387">
        <v>46058</v>
      </c>
      <c r="H246" s="665">
        <v>35.088999999999999</v>
      </c>
      <c r="I246" s="978" t="s">
        <v>679</v>
      </c>
      <c r="J246" s="979"/>
      <c r="K246" s="979"/>
      <c r="L246" s="979"/>
      <c r="M246" s="627">
        <v>46065</v>
      </c>
      <c r="N246" s="647" t="s">
        <v>710</v>
      </c>
      <c r="O246" s="541">
        <v>45</v>
      </c>
      <c r="P246" s="54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36</v>
      </c>
      <c r="C247" s="385" t="s">
        <v>266</v>
      </c>
      <c r="D247" s="385" t="s">
        <v>95</v>
      </c>
      <c r="E247" s="385" t="s">
        <v>548</v>
      </c>
      <c r="F247" s="385"/>
      <c r="G247" s="387">
        <v>46063</v>
      </c>
      <c r="H247" s="498">
        <v>41.88</v>
      </c>
      <c r="I247" s="978" t="s">
        <v>679</v>
      </c>
      <c r="J247" s="979"/>
      <c r="K247" s="979"/>
      <c r="L247" s="979"/>
      <c r="M247" s="627">
        <v>46066</v>
      </c>
      <c r="N247" s="501" t="s">
        <v>708</v>
      </c>
      <c r="O247" s="541">
        <v>31</v>
      </c>
      <c r="P247" s="54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37</v>
      </c>
      <c r="C248" s="385" t="s">
        <v>93</v>
      </c>
      <c r="D248" s="375" t="s">
        <v>87</v>
      </c>
      <c r="E248" s="434" t="s">
        <v>92</v>
      </c>
      <c r="F248" s="385"/>
      <c r="G248" s="387">
        <v>46063</v>
      </c>
      <c r="H248" s="621">
        <v>35.088999999999999</v>
      </c>
      <c r="I248" s="978" t="s">
        <v>679</v>
      </c>
      <c r="J248" s="979"/>
      <c r="K248" s="979"/>
      <c r="L248" s="979"/>
      <c r="M248" s="627">
        <v>46066</v>
      </c>
      <c r="N248" s="501" t="s">
        <v>711</v>
      </c>
      <c r="O248" s="385">
        <v>32</v>
      </c>
      <c r="P248" s="54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38</v>
      </c>
      <c r="C249" s="434" t="s">
        <v>401</v>
      </c>
      <c r="D249" s="375" t="s">
        <v>87</v>
      </c>
      <c r="E249" s="434" t="s">
        <v>548</v>
      </c>
      <c r="F249" s="385"/>
      <c r="G249" s="387">
        <v>46053</v>
      </c>
      <c r="H249" s="621">
        <v>35.088999999999999</v>
      </c>
      <c r="I249" s="978" t="s">
        <v>679</v>
      </c>
      <c r="J249" s="979"/>
      <c r="K249" s="979"/>
      <c r="L249" s="979"/>
      <c r="M249" s="387">
        <v>46069</v>
      </c>
      <c r="N249" s="500" t="s">
        <v>709</v>
      </c>
      <c r="O249" s="385">
        <v>49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39</v>
      </c>
      <c r="C250" s="385" t="s">
        <v>621</v>
      </c>
      <c r="D250" s="375" t="s">
        <v>87</v>
      </c>
      <c r="E250" s="434" t="s">
        <v>548</v>
      </c>
      <c r="F250" s="385"/>
      <c r="G250" s="387">
        <v>46065</v>
      </c>
      <c r="H250" s="621">
        <v>35.088999999999999</v>
      </c>
      <c r="I250" s="978" t="s">
        <v>679</v>
      </c>
      <c r="J250" s="979"/>
      <c r="K250" s="979"/>
      <c r="L250" s="979"/>
      <c r="M250" s="387">
        <v>46069</v>
      </c>
      <c r="N250" s="500" t="s">
        <v>710</v>
      </c>
      <c r="O250" s="385">
        <v>45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40</v>
      </c>
      <c r="C251" s="375" t="s">
        <v>632</v>
      </c>
      <c r="D251" s="375" t="s">
        <v>87</v>
      </c>
      <c r="E251" s="375" t="s">
        <v>92</v>
      </c>
      <c r="F251" s="375"/>
      <c r="G251" s="535">
        <v>46067</v>
      </c>
      <c r="H251" s="621">
        <v>35.088999999999999</v>
      </c>
      <c r="I251" s="978" t="s">
        <v>679</v>
      </c>
      <c r="J251" s="979"/>
      <c r="K251" s="979"/>
      <c r="L251" s="979"/>
      <c r="M251" s="387">
        <v>46070</v>
      </c>
      <c r="N251" s="500" t="s">
        <v>711</v>
      </c>
      <c r="O251" s="385">
        <v>32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41</v>
      </c>
      <c r="C252" s="385" t="s">
        <v>255</v>
      </c>
      <c r="D252" s="375" t="s">
        <v>87</v>
      </c>
      <c r="E252" s="434" t="s">
        <v>548</v>
      </c>
      <c r="F252" s="385"/>
      <c r="G252" s="387">
        <v>46067</v>
      </c>
      <c r="H252" s="621">
        <v>35.088999999999999</v>
      </c>
      <c r="I252" s="978" t="s">
        <v>679</v>
      </c>
      <c r="J252" s="979"/>
      <c r="K252" s="979"/>
      <c r="L252" s="979"/>
      <c r="M252" s="387">
        <v>46070</v>
      </c>
      <c r="N252" s="500" t="s">
        <v>708</v>
      </c>
      <c r="O252" s="385">
        <v>35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42</v>
      </c>
      <c r="C253" s="541" t="s">
        <v>633</v>
      </c>
      <c r="D253" s="517" t="s">
        <v>87</v>
      </c>
      <c r="E253" s="448" t="s">
        <v>547</v>
      </c>
      <c r="F253" s="541"/>
      <c r="G253" s="627">
        <v>46068</v>
      </c>
      <c r="H253" s="665">
        <v>35.088999999999999</v>
      </c>
      <c r="I253" s="978" t="s">
        <v>679</v>
      </c>
      <c r="J253" s="979"/>
      <c r="K253" s="979"/>
      <c r="L253" s="979"/>
      <c r="M253" s="627">
        <v>46072</v>
      </c>
      <c r="N253" s="647" t="s">
        <v>711</v>
      </c>
      <c r="O253" s="541">
        <v>32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43</v>
      </c>
      <c r="C254" s="541" t="s">
        <v>264</v>
      </c>
      <c r="D254" s="375" t="s">
        <v>565</v>
      </c>
      <c r="E254" s="448" t="s">
        <v>548</v>
      </c>
      <c r="F254" s="541"/>
      <c r="G254" s="627">
        <v>46065</v>
      </c>
      <c r="H254" s="665">
        <v>54.72</v>
      </c>
      <c r="I254" s="978" t="s">
        <v>679</v>
      </c>
      <c r="J254" s="979"/>
      <c r="K254" s="979"/>
      <c r="L254" s="979"/>
      <c r="M254" s="627">
        <v>46073</v>
      </c>
      <c r="N254" s="647" t="s">
        <v>678</v>
      </c>
      <c r="O254" s="541">
        <v>35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75">
        <f t="shared" si="4"/>
        <v>44</v>
      </c>
      <c r="C255" s="919" t="s">
        <v>413</v>
      </c>
      <c r="D255" s="375" t="s">
        <v>87</v>
      </c>
      <c r="E255" s="375" t="s">
        <v>548</v>
      </c>
      <c r="F255" s="375"/>
      <c r="G255" s="535">
        <v>46069</v>
      </c>
      <c r="H255" s="621">
        <v>35.088999999999999</v>
      </c>
      <c r="I255" s="978" t="s">
        <v>679</v>
      </c>
      <c r="J255" s="979"/>
      <c r="K255" s="979"/>
      <c r="L255" s="979"/>
      <c r="M255" s="627">
        <v>46073</v>
      </c>
      <c r="N255" s="500" t="s">
        <v>710</v>
      </c>
      <c r="O255" s="385">
        <v>45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879">
        <f t="shared" si="4"/>
        <v>45</v>
      </c>
      <c r="C256" s="385" t="s">
        <v>423</v>
      </c>
      <c r="D256" s="375" t="s">
        <v>701</v>
      </c>
      <c r="E256" s="434" t="s">
        <v>92</v>
      </c>
      <c r="F256" s="385"/>
      <c r="G256" s="387">
        <v>46070</v>
      </c>
      <c r="H256" s="621">
        <v>54.72</v>
      </c>
      <c r="I256" s="978" t="s">
        <v>679</v>
      </c>
      <c r="J256" s="979"/>
      <c r="K256" s="979"/>
      <c r="L256" s="979"/>
      <c r="M256" s="387">
        <v>46074</v>
      </c>
      <c r="N256" s="500" t="s">
        <v>708</v>
      </c>
      <c r="O256" s="385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517">
        <f t="shared" si="4"/>
        <v>46</v>
      </c>
      <c r="C257" s="446" t="s">
        <v>630</v>
      </c>
      <c r="D257" s="375" t="s">
        <v>87</v>
      </c>
      <c r="E257" s="434" t="s">
        <v>92</v>
      </c>
      <c r="F257" s="385"/>
      <c r="G257" s="387">
        <v>46073</v>
      </c>
      <c r="H257" s="621">
        <v>35.088999999999999</v>
      </c>
      <c r="I257" s="978" t="s">
        <v>679</v>
      </c>
      <c r="J257" s="979"/>
      <c r="K257" s="979"/>
      <c r="L257" s="979"/>
      <c r="M257" s="387">
        <v>46075</v>
      </c>
      <c r="N257" s="500" t="s">
        <v>711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75">
        <f t="shared" si="4"/>
        <v>47</v>
      </c>
      <c r="C258" s="446" t="s">
        <v>409</v>
      </c>
      <c r="D258" s="375" t="s">
        <v>87</v>
      </c>
      <c r="E258" s="434" t="s">
        <v>92</v>
      </c>
      <c r="F258" s="385"/>
      <c r="G258" s="387">
        <v>46061</v>
      </c>
      <c r="H258" s="621">
        <v>35.088999999999999</v>
      </c>
      <c r="I258" s="978" t="s">
        <v>679</v>
      </c>
      <c r="J258" s="979"/>
      <c r="K258" s="979"/>
      <c r="L258" s="979"/>
      <c r="M258" s="387">
        <v>46077</v>
      </c>
      <c r="N258" s="500" t="s">
        <v>710</v>
      </c>
      <c r="O258" s="385">
        <v>45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695">
        <f t="shared" si="4"/>
        <v>48</v>
      </c>
      <c r="C259" s="918" t="s">
        <v>631</v>
      </c>
      <c r="D259" s="375" t="s">
        <v>87</v>
      </c>
      <c r="E259" s="434" t="s">
        <v>92</v>
      </c>
      <c r="F259" s="385"/>
      <c r="G259" s="387">
        <v>46075</v>
      </c>
      <c r="H259" s="621">
        <v>35.088999999999999</v>
      </c>
      <c r="I259" s="978" t="s">
        <v>679</v>
      </c>
      <c r="J259" s="979"/>
      <c r="K259" s="979"/>
      <c r="L259" s="979"/>
      <c r="M259" s="387">
        <v>46077</v>
      </c>
      <c r="N259" s="500" t="s">
        <v>711</v>
      </c>
      <c r="O259" s="385">
        <v>32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879">
        <f t="shared" si="4"/>
        <v>49</v>
      </c>
      <c r="C260" s="543" t="s">
        <v>247</v>
      </c>
      <c r="D260" s="695" t="s">
        <v>218</v>
      </c>
      <c r="E260" s="694" t="s">
        <v>92</v>
      </c>
      <c r="F260" s="385"/>
      <c r="G260" s="725">
        <v>46075</v>
      </c>
      <c r="H260" s="726">
        <v>36.771000000000001</v>
      </c>
      <c r="I260" s="978" t="s">
        <v>679</v>
      </c>
      <c r="J260" s="979"/>
      <c r="K260" s="979"/>
      <c r="L260" s="979"/>
      <c r="M260" s="725">
        <v>46078</v>
      </c>
      <c r="N260" s="728" t="s">
        <v>708</v>
      </c>
      <c r="O260" s="727">
        <v>40</v>
      </c>
      <c r="P260" s="72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f t="shared" si="4"/>
        <v>50</v>
      </c>
      <c r="C261" s="543" t="s">
        <v>259</v>
      </c>
      <c r="D261" s="375" t="s">
        <v>91</v>
      </c>
      <c r="E261" s="434" t="s">
        <v>548</v>
      </c>
      <c r="F261" s="17"/>
      <c r="G261" s="387">
        <v>46073</v>
      </c>
      <c r="H261" s="498">
        <v>36.771000000000001</v>
      </c>
      <c r="I261" s="978" t="s">
        <v>679</v>
      </c>
      <c r="J261" s="979"/>
      <c r="K261" s="979"/>
      <c r="L261" s="979"/>
      <c r="M261" s="387">
        <v>46079</v>
      </c>
      <c r="N261" s="647" t="s">
        <v>678</v>
      </c>
      <c r="O261" s="541">
        <v>30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51</v>
      </c>
      <c r="C262" s="446" t="s">
        <v>629</v>
      </c>
      <c r="D262" s="650" t="s">
        <v>87</v>
      </c>
      <c r="E262" s="434" t="s">
        <v>92</v>
      </c>
      <c r="F262" s="385"/>
      <c r="G262" s="387">
        <v>46077</v>
      </c>
      <c r="H262" s="621">
        <v>35.088999999999999</v>
      </c>
      <c r="I262" s="978" t="s">
        <v>679</v>
      </c>
      <c r="J262" s="979"/>
      <c r="K262" s="979"/>
      <c r="L262" s="979"/>
      <c r="M262" s="387">
        <v>46080</v>
      </c>
      <c r="N262" s="500" t="s">
        <v>711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879">
        <f t="shared" si="4"/>
        <v>52</v>
      </c>
      <c r="C263" s="385" t="s">
        <v>332</v>
      </c>
      <c r="D263" s="650" t="s">
        <v>87</v>
      </c>
      <c r="E263" s="434" t="s">
        <v>92</v>
      </c>
      <c r="F263" s="385"/>
      <c r="G263" s="387">
        <v>46077</v>
      </c>
      <c r="H263" s="621">
        <v>35.088999999999999</v>
      </c>
      <c r="I263" s="978" t="s">
        <v>679</v>
      </c>
      <c r="J263" s="979"/>
      <c r="K263" s="979"/>
      <c r="L263" s="979"/>
      <c r="M263" s="387">
        <v>46081</v>
      </c>
      <c r="N263" s="501" t="s">
        <v>768</v>
      </c>
      <c r="O263" s="385">
        <v>24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53</v>
      </c>
      <c r="C264" s="729" t="s">
        <v>248</v>
      </c>
      <c r="D264" s="375" t="s">
        <v>87</v>
      </c>
      <c r="E264" s="434" t="s">
        <v>548</v>
      </c>
      <c r="F264" s="17"/>
      <c r="G264" s="387">
        <v>46078</v>
      </c>
      <c r="H264" s="621">
        <v>35.088999999999999</v>
      </c>
      <c r="I264" s="978" t="s">
        <v>679</v>
      </c>
      <c r="J264" s="979"/>
      <c r="K264" s="979"/>
      <c r="L264" s="979"/>
      <c r="M264" s="387">
        <v>46081</v>
      </c>
      <c r="N264" s="501" t="s">
        <v>708</v>
      </c>
      <c r="O264" s="385">
        <v>40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879">
        <f t="shared" si="4"/>
        <v>54</v>
      </c>
      <c r="C265" s="375" t="s">
        <v>623</v>
      </c>
      <c r="D265" s="375" t="s">
        <v>87</v>
      </c>
      <c r="E265" s="375" t="s">
        <v>548</v>
      </c>
      <c r="F265" s="967"/>
      <c r="G265" s="968">
        <v>46080</v>
      </c>
      <c r="H265" s="969">
        <v>35.088999999999999</v>
      </c>
      <c r="I265" s="971" t="s">
        <v>679</v>
      </c>
      <c r="J265" s="972"/>
      <c r="K265" s="972"/>
      <c r="L265" s="972"/>
      <c r="M265" s="968">
        <v>46083</v>
      </c>
      <c r="N265" s="970" t="s">
        <v>711</v>
      </c>
      <c r="O265" s="933">
        <v>32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4"/>
        <v>55</v>
      </c>
      <c r="C266" s="375" t="s">
        <v>487</v>
      </c>
      <c r="D266" s="375" t="s">
        <v>565</v>
      </c>
      <c r="E266" s="434" t="s">
        <v>548</v>
      </c>
      <c r="F266" s="383"/>
      <c r="G266" s="387">
        <v>46073</v>
      </c>
      <c r="H266" s="621">
        <v>54.72</v>
      </c>
      <c r="I266" s="978" t="s">
        <v>679</v>
      </c>
      <c r="J266" s="979"/>
      <c r="K266" s="979"/>
      <c r="L266" s="979"/>
      <c r="M266" s="387">
        <v>46084</v>
      </c>
      <c r="N266" s="500" t="s">
        <v>710</v>
      </c>
      <c r="O266" s="385">
        <v>45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879">
        <f t="shared" si="4"/>
        <v>56</v>
      </c>
      <c r="C267" s="375" t="s">
        <v>240</v>
      </c>
      <c r="D267" s="385" t="s">
        <v>91</v>
      </c>
      <c r="E267" s="434" t="s">
        <v>92</v>
      </c>
      <c r="F267" s="385"/>
      <c r="G267" s="671">
        <v>46081</v>
      </c>
      <c r="H267" s="498">
        <v>36.771000000000001</v>
      </c>
      <c r="I267" s="978" t="s">
        <v>679</v>
      </c>
      <c r="J267" s="979"/>
      <c r="K267" s="979"/>
      <c r="L267" s="979"/>
      <c r="M267" s="387">
        <v>46086</v>
      </c>
      <c r="N267" s="501" t="s">
        <v>708</v>
      </c>
      <c r="O267" s="385">
        <v>40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81">
        <f t="shared" si="4"/>
        <v>57</v>
      </c>
      <c r="C268" s="375" t="s">
        <v>260</v>
      </c>
      <c r="D268" s="517" t="s">
        <v>87</v>
      </c>
      <c r="E268" s="448" t="s">
        <v>92</v>
      </c>
      <c r="F268" s="383"/>
      <c r="G268" s="627">
        <v>46078</v>
      </c>
      <c r="H268" s="665">
        <v>35.088999999999999</v>
      </c>
      <c r="I268" s="978" t="s">
        <v>679</v>
      </c>
      <c r="J268" s="979"/>
      <c r="K268" s="979"/>
      <c r="L268" s="979"/>
      <c r="M268" s="627">
        <v>46088</v>
      </c>
      <c r="N268" s="647" t="s">
        <v>678</v>
      </c>
      <c r="O268" s="541">
        <v>30</v>
      </c>
      <c r="P268" s="54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4"/>
        <v>58</v>
      </c>
      <c r="C269" s="375" t="s">
        <v>345</v>
      </c>
      <c r="D269" s="650" t="s">
        <v>87</v>
      </c>
      <c r="E269" s="434" t="s">
        <v>92</v>
      </c>
      <c r="F269" s="385"/>
      <c r="G269" s="387">
        <v>46077</v>
      </c>
      <c r="H269" s="621">
        <v>35.088999999999999</v>
      </c>
      <c r="I269" s="978" t="s">
        <v>679</v>
      </c>
      <c r="J269" s="979"/>
      <c r="K269" s="979"/>
      <c r="L269" s="979"/>
      <c r="M269" s="387">
        <v>46090</v>
      </c>
      <c r="N269" s="501" t="s">
        <v>768</v>
      </c>
      <c r="O269" s="385">
        <v>24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59</v>
      </c>
      <c r="C270" s="375" t="s">
        <v>351</v>
      </c>
      <c r="D270" s="375" t="s">
        <v>113</v>
      </c>
      <c r="E270" s="434" t="s">
        <v>676</v>
      </c>
      <c r="F270" s="385"/>
      <c r="G270" s="387">
        <v>46089</v>
      </c>
      <c r="H270" s="621">
        <v>43.575000000000003</v>
      </c>
      <c r="I270" s="978" t="s">
        <v>679</v>
      </c>
      <c r="J270" s="979"/>
      <c r="K270" s="979"/>
      <c r="L270" s="979"/>
      <c r="M270" s="387">
        <v>46092</v>
      </c>
      <c r="N270" s="501" t="s">
        <v>708</v>
      </c>
      <c r="O270" s="385">
        <v>40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4"/>
        <v>60</v>
      </c>
      <c r="C271" s="375" t="s">
        <v>410</v>
      </c>
      <c r="D271" s="375" t="s">
        <v>87</v>
      </c>
      <c r="E271" s="434" t="s">
        <v>92</v>
      </c>
      <c r="F271" s="385"/>
      <c r="G271" s="387">
        <v>46091</v>
      </c>
      <c r="H271" s="621">
        <v>35.088999999999999</v>
      </c>
      <c r="I271" s="978" t="s">
        <v>679</v>
      </c>
      <c r="J271" s="979"/>
      <c r="K271" s="979"/>
      <c r="L271" s="979"/>
      <c r="M271" s="387">
        <v>46097</v>
      </c>
      <c r="N271" s="501" t="s">
        <v>768</v>
      </c>
      <c r="O271" s="385">
        <v>24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75">
        <f t="shared" si="4"/>
        <v>61</v>
      </c>
      <c r="C272" s="375" t="s">
        <v>624</v>
      </c>
      <c r="D272" s="375" t="s">
        <v>87</v>
      </c>
      <c r="E272" s="434" t="s">
        <v>92</v>
      </c>
      <c r="F272" s="385"/>
      <c r="G272" s="387">
        <v>46094</v>
      </c>
      <c r="H272" s="621">
        <v>35.088999999999999</v>
      </c>
      <c r="I272" s="978" t="s">
        <v>679</v>
      </c>
      <c r="J272" s="979"/>
      <c r="K272" s="979"/>
      <c r="L272" s="979"/>
      <c r="M272" s="387">
        <v>46097</v>
      </c>
      <c r="N272" s="501" t="s">
        <v>708</v>
      </c>
      <c r="O272" s="385">
        <v>40</v>
      </c>
      <c r="P272" s="54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62</v>
      </c>
      <c r="C273" s="375" t="s">
        <v>257</v>
      </c>
      <c r="D273" s="375" t="s">
        <v>87</v>
      </c>
      <c r="E273" s="434" t="s">
        <v>548</v>
      </c>
      <c r="F273" s="385"/>
      <c r="G273" s="387">
        <v>46092</v>
      </c>
      <c r="H273" s="621">
        <v>35.088999999999999</v>
      </c>
      <c r="I273" s="978" t="s">
        <v>679</v>
      </c>
      <c r="J273" s="979"/>
      <c r="K273" s="979"/>
      <c r="L273" s="979"/>
      <c r="M273" s="387">
        <v>46099</v>
      </c>
      <c r="N273" s="500" t="s">
        <v>678</v>
      </c>
      <c r="O273" s="385">
        <v>30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75">
        <f t="shared" si="4"/>
        <v>63</v>
      </c>
      <c r="C274" s="375" t="s">
        <v>625</v>
      </c>
      <c r="D274" s="670" t="s">
        <v>87</v>
      </c>
      <c r="E274" s="434" t="s">
        <v>92</v>
      </c>
      <c r="F274" s="17"/>
      <c r="G274" s="387">
        <v>46097</v>
      </c>
      <c r="H274" s="621">
        <v>35.088999999999999</v>
      </c>
      <c r="I274" s="978" t="s">
        <v>679</v>
      </c>
      <c r="J274" s="979"/>
      <c r="K274" s="979"/>
      <c r="L274" s="979"/>
      <c r="M274" s="387">
        <v>46101</v>
      </c>
      <c r="N274" s="501" t="s">
        <v>708</v>
      </c>
      <c r="O274" s="385">
        <v>40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4"/>
        <v>64</v>
      </c>
      <c r="C275" s="375" t="s">
        <v>411</v>
      </c>
      <c r="D275" s="375" t="s">
        <v>91</v>
      </c>
      <c r="E275" s="434" t="s">
        <v>92</v>
      </c>
      <c r="F275" s="17"/>
      <c r="G275" s="387">
        <v>46097</v>
      </c>
      <c r="H275" s="498">
        <v>36.771000000000001</v>
      </c>
      <c r="I275" s="978" t="s">
        <v>679</v>
      </c>
      <c r="J275" s="979"/>
      <c r="K275" s="979"/>
      <c r="L275" s="979"/>
      <c r="M275" s="387">
        <v>46104</v>
      </c>
      <c r="N275" s="501" t="s">
        <v>768</v>
      </c>
      <c r="O275" s="385">
        <v>24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912">
        <f t="shared" si="4"/>
        <v>65</v>
      </c>
      <c r="C276" s="375" t="s">
        <v>261</v>
      </c>
      <c r="D276" s="375" t="s">
        <v>91</v>
      </c>
      <c r="E276" s="385" t="s">
        <v>676</v>
      </c>
      <c r="F276" s="383"/>
      <c r="G276" s="387">
        <v>46099</v>
      </c>
      <c r="H276" s="498">
        <v>36.771000000000001</v>
      </c>
      <c r="I276" s="978" t="s">
        <v>679</v>
      </c>
      <c r="J276" s="979"/>
      <c r="K276" s="979"/>
      <c r="L276" s="979"/>
      <c r="M276" s="387">
        <v>46106</v>
      </c>
      <c r="N276" s="500" t="s">
        <v>678</v>
      </c>
      <c r="O276" s="385">
        <v>30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932">
        <f>B276+1</f>
        <v>66</v>
      </c>
      <c r="C277" s="664" t="s">
        <v>408</v>
      </c>
      <c r="D277" s="517" t="s">
        <v>87</v>
      </c>
      <c r="E277" s="448" t="s">
        <v>92</v>
      </c>
      <c r="F277" s="962"/>
      <c r="G277" s="963">
        <v>46101</v>
      </c>
      <c r="H277" s="964">
        <v>35.088999999999999</v>
      </c>
      <c r="I277" s="971" t="s">
        <v>679</v>
      </c>
      <c r="J277" s="972"/>
      <c r="K277" s="972"/>
      <c r="L277" s="972"/>
      <c r="M277" s="963">
        <v>46110</v>
      </c>
      <c r="N277" s="965" t="s">
        <v>768</v>
      </c>
      <c r="O277" s="966">
        <v>24</v>
      </c>
      <c r="P277" s="54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75">
        <f t="shared" si="4"/>
        <v>67</v>
      </c>
      <c r="C278" s="385" t="s">
        <v>250</v>
      </c>
      <c r="D278" s="375" t="s">
        <v>87</v>
      </c>
      <c r="E278" s="385" t="s">
        <v>676</v>
      </c>
      <c r="F278" s="385"/>
      <c r="G278" s="387">
        <v>46107</v>
      </c>
      <c r="H278" s="621">
        <v>35.088999999999999</v>
      </c>
      <c r="I278" s="978" t="s">
        <v>679</v>
      </c>
      <c r="J278" s="979"/>
      <c r="K278" s="979"/>
      <c r="L278" s="979"/>
      <c r="M278" s="387">
        <v>46113</v>
      </c>
      <c r="N278" s="500" t="s">
        <v>678</v>
      </c>
      <c r="O278" s="385">
        <v>30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517">
        <f>B278+1</f>
        <v>68</v>
      </c>
      <c r="C279" s="448" t="s">
        <v>412</v>
      </c>
      <c r="D279" s="517" t="s">
        <v>87</v>
      </c>
      <c r="E279" s="448" t="s">
        <v>92</v>
      </c>
      <c r="F279" s="383"/>
      <c r="G279" s="627">
        <v>46111</v>
      </c>
      <c r="H279" s="665">
        <v>35.088999999999999</v>
      </c>
      <c r="I279" s="978" t="s">
        <v>679</v>
      </c>
      <c r="J279" s="979"/>
      <c r="K279" s="979"/>
      <c r="L279" s="979"/>
      <c r="M279" s="627">
        <v>46085</v>
      </c>
      <c r="N279" s="883" t="s">
        <v>768</v>
      </c>
      <c r="O279" s="541">
        <v>24</v>
      </c>
      <c r="P279" s="54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75">
        <f>B279+1</f>
        <v>69</v>
      </c>
      <c r="C280" s="385" t="s">
        <v>251</v>
      </c>
      <c r="D280" s="375" t="s">
        <v>87</v>
      </c>
      <c r="E280" s="434" t="s">
        <v>548</v>
      </c>
      <c r="F280" s="385"/>
      <c r="G280" s="387" t="s">
        <v>806</v>
      </c>
      <c r="H280" s="621">
        <v>35.088999999999999</v>
      </c>
      <c r="I280" s="1053" t="s">
        <v>822</v>
      </c>
      <c r="J280" s="1053"/>
      <c r="K280" s="1053"/>
      <c r="L280" s="1053"/>
      <c r="M280" s="385"/>
      <c r="N280" s="500" t="s">
        <v>678</v>
      </c>
      <c r="O280" s="385">
        <v>30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</sheetData>
  <autoFilter ref="A211:DD280" xr:uid="{00000000-0001-0000-0100-000000000000}">
    <filterColumn colId="8" showButton="0"/>
    <filterColumn colId="9" showButton="0"/>
    <filterColumn colId="10" showButton="0"/>
  </autoFilter>
  <mergeCells count="258">
    <mergeCell ref="I280:L280"/>
    <mergeCell ref="I279:L279"/>
    <mergeCell ref="I278:L278"/>
    <mergeCell ref="H199:K199"/>
    <mergeCell ref="H200:K200"/>
    <mergeCell ref="H198:K198"/>
    <mergeCell ref="I126:L126"/>
    <mergeCell ref="I127:L127"/>
    <mergeCell ref="I125:L125"/>
    <mergeCell ref="I276:L276"/>
    <mergeCell ref="I275:L275"/>
    <mergeCell ref="I274:L274"/>
    <mergeCell ref="H181:K181"/>
    <mergeCell ref="I238:L238"/>
    <mergeCell ref="I255:L255"/>
    <mergeCell ref="I251:L251"/>
    <mergeCell ref="I252:L252"/>
    <mergeCell ref="I256:L256"/>
    <mergeCell ref="I248:L248"/>
    <mergeCell ref="I235:L235"/>
    <mergeCell ref="I236:L236"/>
    <mergeCell ref="I247:L247"/>
    <mergeCell ref="I254:L254"/>
    <mergeCell ref="I250:L250"/>
    <mergeCell ref="I273:L273"/>
    <mergeCell ref="I269:L269"/>
    <mergeCell ref="I258:L258"/>
    <mergeCell ref="I259:L259"/>
    <mergeCell ref="I272:L272"/>
    <mergeCell ref="I267:L267"/>
    <mergeCell ref="I266:L266"/>
    <mergeCell ref="H136:K136"/>
    <mergeCell ref="H144:K144"/>
    <mergeCell ref="H166:K166"/>
    <mergeCell ref="H163:K163"/>
    <mergeCell ref="H149:K149"/>
    <mergeCell ref="H162:K162"/>
    <mergeCell ref="H158:K158"/>
    <mergeCell ref="H167:K167"/>
    <mergeCell ref="H169:K169"/>
    <mergeCell ref="H170:K170"/>
    <mergeCell ref="H194:K194"/>
    <mergeCell ref="H187:K187"/>
    <mergeCell ref="H182:K182"/>
    <mergeCell ref="H150:K150"/>
    <mergeCell ref="H188:K188"/>
    <mergeCell ref="I226:L226"/>
    <mergeCell ref="I225:L225"/>
    <mergeCell ref="I97:L97"/>
    <mergeCell ref="I103:L103"/>
    <mergeCell ref="I116:L116"/>
    <mergeCell ref="I98:L98"/>
    <mergeCell ref="I99:L99"/>
    <mergeCell ref="H139:K139"/>
    <mergeCell ref="H142:K142"/>
    <mergeCell ref="H141:K141"/>
    <mergeCell ref="H134:K134"/>
    <mergeCell ref="I130:L130"/>
    <mergeCell ref="I115:L115"/>
    <mergeCell ref="B210:D210"/>
    <mergeCell ref="H168:K168"/>
    <mergeCell ref="H151:K151"/>
    <mergeCell ref="H140:K140"/>
    <mergeCell ref="H172:K172"/>
    <mergeCell ref="H176:K176"/>
    <mergeCell ref="H178:K178"/>
    <mergeCell ref="H177:K177"/>
    <mergeCell ref="H173:K173"/>
    <mergeCell ref="H171:K171"/>
    <mergeCell ref="H153:K153"/>
    <mergeCell ref="H156:K156"/>
    <mergeCell ref="H154:K154"/>
    <mergeCell ref="H160:K160"/>
    <mergeCell ref="H161:K161"/>
    <mergeCell ref="H174:K174"/>
    <mergeCell ref="H147:K147"/>
    <mergeCell ref="H157:K157"/>
    <mergeCell ref="H159:K159"/>
    <mergeCell ref="H175:K175"/>
    <mergeCell ref="H155:K155"/>
    <mergeCell ref="H165:K165"/>
    <mergeCell ref="H164:K164"/>
    <mergeCell ref="H186:K186"/>
    <mergeCell ref="H183:K183"/>
    <mergeCell ref="I104:L104"/>
    <mergeCell ref="I94:L94"/>
    <mergeCell ref="I118:L118"/>
    <mergeCell ref="I119:L119"/>
    <mergeCell ref="I120:L120"/>
    <mergeCell ref="I117:L117"/>
    <mergeCell ref="I102:L102"/>
    <mergeCell ref="I105:L105"/>
    <mergeCell ref="I101:L101"/>
    <mergeCell ref="I129:L129"/>
    <mergeCell ref="I123:L123"/>
    <mergeCell ref="H135:K135"/>
    <mergeCell ref="H152:K152"/>
    <mergeCell ref="I100:L100"/>
    <mergeCell ref="I96:L96"/>
    <mergeCell ref="H145:K145"/>
    <mergeCell ref="H146:K146"/>
    <mergeCell ref="H138:K138"/>
    <mergeCell ref="H148:K148"/>
    <mergeCell ref="H137:K137"/>
    <mergeCell ref="H143:K143"/>
    <mergeCell ref="I122:L122"/>
    <mergeCell ref="I121:L121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14:L114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214:L214"/>
    <mergeCell ref="H184:K184"/>
    <mergeCell ref="H185:K185"/>
    <mergeCell ref="H191:K191"/>
    <mergeCell ref="H192:K192"/>
    <mergeCell ref="I213:L213"/>
    <mergeCell ref="H197:K197"/>
    <mergeCell ref="H193:K193"/>
    <mergeCell ref="H195:K195"/>
    <mergeCell ref="H201:K201"/>
    <mergeCell ref="I271:L271"/>
    <mergeCell ref="I270:L270"/>
    <mergeCell ref="I265:L265"/>
    <mergeCell ref="I263:L263"/>
    <mergeCell ref="I264:L264"/>
    <mergeCell ref="I262:L262"/>
    <mergeCell ref="I268:L268"/>
    <mergeCell ref="I215:L215"/>
    <mergeCell ref="I260:L260"/>
    <mergeCell ref="I261:L261"/>
    <mergeCell ref="I257:L257"/>
    <mergeCell ref="I253:L253"/>
    <mergeCell ref="I229:L229"/>
    <mergeCell ref="I223:L223"/>
    <mergeCell ref="I224:L224"/>
    <mergeCell ref="I222:L222"/>
    <mergeCell ref="I242:L242"/>
    <mergeCell ref="I243:L243"/>
    <mergeCell ref="I240:L240"/>
    <mergeCell ref="I241:L241"/>
    <mergeCell ref="I239:L239"/>
    <mergeCell ref="I237:L237"/>
    <mergeCell ref="I218:L218"/>
    <mergeCell ref="I227:L227"/>
    <mergeCell ref="I277:L277"/>
    <mergeCell ref="I124:L124"/>
    <mergeCell ref="H196:K196"/>
    <mergeCell ref="I244:L244"/>
    <mergeCell ref="I245:L245"/>
    <mergeCell ref="I249:L249"/>
    <mergeCell ref="I246:L246"/>
    <mergeCell ref="H179:K179"/>
    <mergeCell ref="H180:K180"/>
    <mergeCell ref="H190:K190"/>
    <mergeCell ref="H189:K189"/>
    <mergeCell ref="I221:L221"/>
    <mergeCell ref="I211:L211"/>
    <mergeCell ref="I234:L234"/>
    <mergeCell ref="I228:L228"/>
    <mergeCell ref="I232:L232"/>
    <mergeCell ref="I231:L231"/>
    <mergeCell ref="I233:L233"/>
    <mergeCell ref="I217:L217"/>
    <mergeCell ref="I212:L212"/>
    <mergeCell ref="I219:L219"/>
    <mergeCell ref="I220:L220"/>
    <mergeCell ref="I216:L216"/>
    <mergeCell ref="I230:L230"/>
  </mergeCells>
  <phoneticPr fontId="58" type="noConversion"/>
  <conditionalFormatting sqref="C13:C131">
    <cfRule type="duplicateValues" dxfId="7" priority="28"/>
  </conditionalFormatting>
  <conditionalFormatting sqref="C198">
    <cfRule type="duplicateValues" dxfId="6" priority="4"/>
  </conditionalFormatting>
  <conditionalFormatting sqref="C199">
    <cfRule type="duplicateValues" dxfId="5" priority="3"/>
  </conditionalFormatting>
  <conditionalFormatting sqref="C200:C201">
    <cfRule type="duplicateValues" dxfId="4" priority="2"/>
  </conditionalFormatting>
  <conditionalFormatting sqref="D201">
    <cfRule type="duplicateValues" dxfId="3" priority="1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4" t="s">
        <v>108</v>
      </c>
      <c r="B1" s="1115"/>
      <c r="C1" s="1115"/>
      <c r="D1" s="1115"/>
    </row>
    <row r="2" spans="1:4" ht="15.75" customHeight="1" x14ac:dyDescent="0.3">
      <c r="A2" s="1116" t="s">
        <v>45</v>
      </c>
      <c r="B2" s="983"/>
      <c r="C2" s="983"/>
      <c r="D2" s="984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794</v>
      </c>
    </row>
    <row r="4" spans="1:4" ht="15.75" customHeight="1" x14ac:dyDescent="0.3">
      <c r="A4" s="57">
        <v>1</v>
      </c>
      <c r="B4" s="57" t="s">
        <v>421</v>
      </c>
      <c r="C4" s="58" t="s">
        <v>795</v>
      </c>
      <c r="D4" s="873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3"/>
    </row>
    <row r="6" spans="1:4" ht="15.75" customHeight="1" x14ac:dyDescent="0.3">
      <c r="A6" s="57">
        <f t="shared" si="0"/>
        <v>3</v>
      </c>
      <c r="B6" s="57" t="s">
        <v>422</v>
      </c>
      <c r="C6" s="58" t="s">
        <v>795</v>
      </c>
      <c r="D6" s="873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3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3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3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3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796</v>
      </c>
      <c r="D11" s="873"/>
    </row>
    <row r="12" spans="1:4" ht="15.75" customHeight="1" x14ac:dyDescent="0.3">
      <c r="A12" s="369">
        <f t="shared" si="0"/>
        <v>9</v>
      </c>
      <c r="B12" s="864" t="s">
        <v>353</v>
      </c>
      <c r="C12" s="865" t="s">
        <v>87</v>
      </c>
      <c r="D12" s="874"/>
    </row>
    <row r="13" spans="1:4" ht="15.75" customHeight="1" x14ac:dyDescent="0.3">
      <c r="A13" s="370">
        <f t="shared" si="0"/>
        <v>10</v>
      </c>
      <c r="B13" s="392" t="s">
        <v>354</v>
      </c>
      <c r="C13" s="872" t="s">
        <v>87</v>
      </c>
      <c r="D13" s="875"/>
    </row>
    <row r="14" spans="1:4" ht="15.75" customHeight="1" x14ac:dyDescent="0.3">
      <c r="A14" s="667"/>
      <c r="B14" s="866"/>
      <c r="C14" s="667"/>
      <c r="D14" s="867"/>
    </row>
    <row r="15" spans="1:4" ht="15.75" customHeight="1" x14ac:dyDescent="0.3">
      <c r="A15" s="667"/>
      <c r="B15" s="868"/>
      <c r="C15" s="667"/>
      <c r="D15" s="867"/>
    </row>
    <row r="16" spans="1:4" ht="15.75" customHeight="1" x14ac:dyDescent="0.3">
      <c r="A16" s="869"/>
      <c r="B16" s="866"/>
      <c r="C16" s="667"/>
      <c r="D16" s="870"/>
    </row>
    <row r="17" spans="1:4" ht="15.75" customHeight="1" x14ac:dyDescent="0.3">
      <c r="A17" s="869"/>
      <c r="B17" s="871"/>
      <c r="C17" s="667"/>
      <c r="D17" s="870"/>
    </row>
    <row r="18" spans="1:4" ht="15.75" customHeight="1" x14ac:dyDescent="0.3">
      <c r="A18" s="869"/>
      <c r="B18" s="871"/>
      <c r="C18" s="667"/>
      <c r="D18" s="870"/>
    </row>
    <row r="19" spans="1:4" ht="15.75" customHeight="1" x14ac:dyDescent="0.3">
      <c r="A19" s="869"/>
      <c r="B19" s="869"/>
      <c r="C19" s="869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G70" sqref="G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18" t="s">
        <v>115</v>
      </c>
      <c r="C1" s="1085"/>
      <c r="D1" s="1085"/>
      <c r="E1" s="1085"/>
      <c r="F1" s="1085"/>
      <c r="G1" s="1085"/>
      <c r="H1" s="1085"/>
      <c r="I1" s="1099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19" t="s">
        <v>116</v>
      </c>
      <c r="C2" s="1120"/>
      <c r="D2" s="1120"/>
      <c r="E2" s="1120"/>
      <c r="F2" s="1120"/>
      <c r="G2" s="1120"/>
      <c r="H2" s="1120"/>
      <c r="I2" s="112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17" t="s">
        <v>127</v>
      </c>
      <c r="C11" s="1085"/>
      <c r="D11" s="1085"/>
      <c r="E11" s="1085"/>
      <c r="F11" s="1085"/>
      <c r="G11" s="1085"/>
      <c r="H11" s="1085"/>
      <c r="I11" s="1085"/>
      <c r="J11" s="1099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19">
        <v>1</v>
      </c>
      <c r="C13" s="1124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22"/>
      <c r="C14" s="1125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22"/>
      <c r="C15" s="1125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22"/>
      <c r="C16" s="1125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23"/>
      <c r="C17" s="1126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19">
        <v>2</v>
      </c>
      <c r="C18" s="1124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27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22"/>
      <c r="C19" s="1125"/>
      <c r="D19" s="82" t="s">
        <v>132</v>
      </c>
      <c r="E19" s="83"/>
      <c r="F19" s="400">
        <v>27</v>
      </c>
      <c r="G19" s="69"/>
      <c r="H19" s="69"/>
      <c r="I19" s="84"/>
      <c r="J19" s="413"/>
      <c r="K19" s="1128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22"/>
      <c r="C20" s="1125"/>
      <c r="D20" s="82" t="s">
        <v>133</v>
      </c>
      <c r="E20" s="86"/>
      <c r="F20" s="69">
        <v>0</v>
      </c>
      <c r="G20" s="69"/>
      <c r="H20" s="69"/>
      <c r="I20" s="84"/>
      <c r="J20" s="413"/>
      <c r="K20" s="1128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22"/>
      <c r="C21" s="1125"/>
      <c r="D21" s="82" t="s">
        <v>134</v>
      </c>
      <c r="E21" s="83"/>
      <c r="F21" s="69">
        <v>0</v>
      </c>
      <c r="G21" s="69"/>
      <c r="H21" s="69"/>
      <c r="I21" s="84"/>
      <c r="J21" s="413"/>
      <c r="K21" s="1128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23"/>
      <c r="C22" s="1126"/>
      <c r="D22" s="82" t="s">
        <v>135</v>
      </c>
      <c r="E22" s="83"/>
      <c r="F22" s="401">
        <v>7</v>
      </c>
      <c r="G22" s="69"/>
      <c r="H22" s="69"/>
      <c r="I22" s="84"/>
      <c r="J22" s="413"/>
      <c r="K22" s="1128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19">
        <v>3</v>
      </c>
      <c r="C23" s="1124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28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22"/>
      <c r="C24" s="1125"/>
      <c r="D24" s="82" t="s">
        <v>132</v>
      </c>
      <c r="E24" s="83"/>
      <c r="F24" s="401">
        <v>18</v>
      </c>
      <c r="G24" s="69"/>
      <c r="H24" s="69"/>
      <c r="I24" s="84"/>
      <c r="J24" s="413"/>
      <c r="K24" s="1128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22"/>
      <c r="C25" s="1125"/>
      <c r="D25" s="82" t="s">
        <v>133</v>
      </c>
      <c r="E25" s="83"/>
      <c r="F25" s="401">
        <v>3</v>
      </c>
      <c r="G25" s="69"/>
      <c r="H25" s="69"/>
      <c r="I25" s="84"/>
      <c r="J25" s="413"/>
      <c r="K25" s="1128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22"/>
      <c r="C26" s="1125"/>
      <c r="D26" s="82" t="s">
        <v>134</v>
      </c>
      <c r="E26" s="83"/>
      <c r="F26" s="69">
        <v>0</v>
      </c>
      <c r="G26" s="69"/>
      <c r="H26" s="69"/>
      <c r="I26" s="84"/>
      <c r="J26" s="413"/>
      <c r="K26" s="1128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22"/>
      <c r="C27" s="1125"/>
      <c r="D27" s="82" t="s">
        <v>135</v>
      </c>
      <c r="E27" s="83"/>
      <c r="F27" s="401">
        <v>3</v>
      </c>
      <c r="G27" s="69"/>
      <c r="H27" s="69"/>
      <c r="I27" s="84"/>
      <c r="J27" s="413"/>
      <c r="K27" s="1128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19">
        <v>4</v>
      </c>
      <c r="C28" s="1124" t="s">
        <v>138</v>
      </c>
      <c r="D28" s="65" t="s">
        <v>131</v>
      </c>
      <c r="E28" s="79"/>
      <c r="F28" s="65"/>
      <c r="G28" s="65"/>
      <c r="H28" s="65"/>
      <c r="I28" s="87"/>
      <c r="J28" s="87"/>
      <c r="K28" s="1129"/>
      <c r="L28" s="1128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22"/>
      <c r="C29" s="1125"/>
      <c r="D29" s="82" t="s">
        <v>132</v>
      </c>
      <c r="E29" s="83"/>
      <c r="G29" s="69"/>
      <c r="H29" s="69"/>
      <c r="I29" s="88"/>
      <c r="J29" s="413"/>
      <c r="K29" s="1130"/>
      <c r="L29" s="1131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22"/>
      <c r="C30" s="1125"/>
      <c r="D30" s="82" t="s">
        <v>133</v>
      </c>
      <c r="E30" s="83"/>
      <c r="F30" s="69"/>
      <c r="G30" s="69"/>
      <c r="H30" s="69"/>
      <c r="I30" s="84"/>
      <c r="J30" s="413"/>
      <c r="K30" s="1128"/>
      <c r="L30" s="1128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22"/>
      <c r="C31" s="1125"/>
      <c r="D31" s="82" t="s">
        <v>134</v>
      </c>
      <c r="E31" s="83"/>
      <c r="F31" s="69"/>
      <c r="G31" s="69"/>
      <c r="H31" s="69"/>
      <c r="I31" s="84"/>
      <c r="J31" s="413"/>
      <c r="K31" s="1128"/>
      <c r="L31" s="1128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22"/>
      <c r="C32" s="1125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33">
        <v>5</v>
      </c>
      <c r="C33" s="1133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75"/>
      <c r="C34" s="1075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75"/>
      <c r="C35" s="1075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75"/>
      <c r="C36" s="1075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68"/>
      <c r="C37" s="1068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32"/>
      <c r="C43" s="1085"/>
      <c r="D43" s="1085"/>
      <c r="E43" s="1085"/>
      <c r="F43" s="1085"/>
      <c r="G43" s="1085"/>
      <c r="H43" s="1085"/>
      <c r="I43" s="1085"/>
      <c r="J43" s="1085"/>
      <c r="K43" s="1099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Sheet'!D35</f>
        <v>292</v>
      </c>
      <c r="E45" s="13">
        <f>'Master Sheet'!E35</f>
        <v>292</v>
      </c>
      <c r="F45" s="13">
        <f>'Master Sheet'!F35</f>
        <v>235</v>
      </c>
      <c r="G45" s="13">
        <f>'Master Sheet'!G35</f>
        <v>57</v>
      </c>
      <c r="H45" s="13">
        <f>'Master Sheet'!H35</f>
        <v>0</v>
      </c>
      <c r="I45" s="13">
        <f>'Master Sheet'!I35</f>
        <v>0</v>
      </c>
      <c r="J45" s="13">
        <f>'Master Sheet'!J35</f>
        <v>0</v>
      </c>
      <c r="K45" s="13">
        <f>'Master Sheet'!K35</f>
        <v>235</v>
      </c>
      <c r="L45" s="13" t="str">
        <f>'Master Sheet'!L34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Sheet'!D36</f>
        <v>292</v>
      </c>
      <c r="E46" s="354">
        <f>'Master Sheet'!E36</f>
        <v>230</v>
      </c>
      <c r="F46" s="354">
        <f>'Master Sheet'!F36</f>
        <v>221</v>
      </c>
      <c r="G46" s="354">
        <f>'Master Sheet'!G36</f>
        <v>71</v>
      </c>
      <c r="H46" s="354">
        <f>'Master Sheet'!H36</f>
        <v>0</v>
      </c>
      <c r="I46" s="354">
        <f>'Master Sheet'!I36</f>
        <v>0</v>
      </c>
      <c r="J46" s="354">
        <f>'Master Sheet'!J36</f>
        <v>0</v>
      </c>
      <c r="K46" s="354">
        <f>'Master Sheet'!K36</f>
        <v>221</v>
      </c>
      <c r="L46" s="354">
        <f>'Master Sheet'!L35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Sheet'!D37</f>
        <v>4314</v>
      </c>
      <c r="E47" s="356">
        <f>'Master Sheet'!E37</f>
        <v>2700</v>
      </c>
      <c r="F47" s="356">
        <f>'Master Sheet'!F37</f>
        <v>2870.6149999999998</v>
      </c>
      <c r="G47" s="356">
        <f>'Master Sheet'!G37</f>
        <v>1443.3850000000002</v>
      </c>
      <c r="H47" s="356">
        <f>'Master Sheet'!H37</f>
        <v>300</v>
      </c>
      <c r="I47" s="356">
        <f>'Master Sheet'!I37</f>
        <v>300</v>
      </c>
      <c r="J47" s="356">
        <f>'Master Sheet'!J37</f>
        <v>0</v>
      </c>
      <c r="K47" s="356">
        <f>'Master Sheet'!K37</f>
        <v>2870.6149999999998</v>
      </c>
      <c r="L47" s="356">
        <f>'Master Sheet'!L36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17" t="s">
        <v>140</v>
      </c>
      <c r="C50" s="1085"/>
      <c r="D50" s="1085"/>
      <c r="E50" s="1085"/>
      <c r="F50" s="1085"/>
      <c r="G50" s="1085"/>
      <c r="H50" s="1085"/>
      <c r="I50" s="1085"/>
      <c r="J50" s="1099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808</v>
      </c>
      <c r="G51" s="111" t="s">
        <v>809</v>
      </c>
      <c r="H51" s="111" t="s">
        <v>144</v>
      </c>
      <c r="I51" s="112" t="s">
        <v>812</v>
      </c>
      <c r="J51" s="113" t="s">
        <v>810</v>
      </c>
      <c r="K51" s="113" t="s">
        <v>811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Sheet'!E35</f>
        <v>292</v>
      </c>
      <c r="G52" s="39">
        <f>'Master Sheet'!F35</f>
        <v>235</v>
      </c>
      <c r="H52" s="118">
        <f>'Master Sheet'!H35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Sheet'!E36</f>
        <v>230</v>
      </c>
      <c r="G53" s="39">
        <f>'Master Sheet'!F36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Sheet'!E37</f>
        <v>2700</v>
      </c>
      <c r="G55" s="39">
        <f>'Master Sheet'!F37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2856</v>
      </c>
      <c r="M55" s="121">
        <f t="shared" si="2"/>
        <v>1458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49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8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8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0"/>
  <sheetViews>
    <sheetView zoomScale="87" workbookViewId="0">
      <selection activeCell="E79" sqref="E79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34"/>
      <c r="E1" s="1135"/>
      <c r="F1" s="731"/>
      <c r="G1" s="838"/>
    </row>
    <row r="2" spans="1:20" s="398" customFormat="1" ht="13.5" customHeight="1" x14ac:dyDescent="0.3">
      <c r="A2" s="839" t="s">
        <v>98</v>
      </c>
      <c r="B2" s="839" t="s">
        <v>74</v>
      </c>
      <c r="C2" s="839" t="s">
        <v>75</v>
      </c>
      <c r="D2" s="839" t="s">
        <v>76</v>
      </c>
      <c r="E2" s="839" t="s">
        <v>78</v>
      </c>
      <c r="F2" s="839" t="s">
        <v>107</v>
      </c>
      <c r="G2" s="840" t="s">
        <v>99</v>
      </c>
      <c r="H2" s="839" t="s">
        <v>81</v>
      </c>
      <c r="I2" s="839" t="s">
        <v>82</v>
      </c>
      <c r="J2" s="839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1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1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1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1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6">
        <v>46016</v>
      </c>
      <c r="F7" s="621">
        <v>35.088999999999999</v>
      </c>
      <c r="G7" s="841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6">
        <v>46024</v>
      </c>
      <c r="F8" s="498">
        <v>41.88</v>
      </c>
      <c r="G8" s="841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6">
        <v>46023</v>
      </c>
      <c r="F9" s="621">
        <v>35.088999999999999</v>
      </c>
      <c r="G9" s="841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6">
        <v>46031</v>
      </c>
      <c r="F10" s="621">
        <v>35.088999999999999</v>
      </c>
      <c r="G10" s="841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6">
        <v>46029</v>
      </c>
      <c r="F11" s="621">
        <v>35.088999999999999</v>
      </c>
      <c r="G11" s="841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77">
        <v>46033</v>
      </c>
      <c r="F12" s="621">
        <v>35.088999999999999</v>
      </c>
      <c r="G12" s="841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77">
        <v>46037</v>
      </c>
      <c r="F13" s="621">
        <v>35.088999999999999</v>
      </c>
      <c r="G13" s="841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6">
        <v>46037</v>
      </c>
      <c r="F14" s="498">
        <v>41.88</v>
      </c>
      <c r="G14" s="841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77">
        <v>46039</v>
      </c>
      <c r="F15" s="621">
        <v>35.088999999999999</v>
      </c>
      <c r="G15" s="841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77">
        <v>46038</v>
      </c>
      <c r="F16" s="621">
        <v>35.088999999999999</v>
      </c>
      <c r="G16" s="841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77">
        <v>46039</v>
      </c>
      <c r="F17" s="621">
        <v>35.088999999999999</v>
      </c>
      <c r="G17" s="841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77">
        <v>46041</v>
      </c>
      <c r="F18" s="621">
        <v>35.088999999999999</v>
      </c>
      <c r="G18" s="841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77">
        <v>46041</v>
      </c>
      <c r="F19" s="498">
        <v>41.88</v>
      </c>
      <c r="G19" s="841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6">
        <v>46044</v>
      </c>
      <c r="F20" s="621">
        <v>35.088999999999999</v>
      </c>
      <c r="G20" s="841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77">
        <v>46045</v>
      </c>
      <c r="F21" s="621">
        <v>35.088999999999999</v>
      </c>
      <c r="G21" s="841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77">
        <v>46047</v>
      </c>
      <c r="F22" s="498">
        <v>41.88</v>
      </c>
      <c r="G22" s="841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6">
        <v>46034</v>
      </c>
      <c r="F23" s="621">
        <v>35.088999999999999</v>
      </c>
      <c r="G23" s="841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77">
        <v>46048</v>
      </c>
      <c r="F24" s="498">
        <v>36.771000000000001</v>
      </c>
      <c r="G24" s="841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77">
        <v>46049</v>
      </c>
      <c r="F25" s="498">
        <v>41.88</v>
      </c>
      <c r="G25" s="841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6">
        <v>46049</v>
      </c>
      <c r="F26" s="498">
        <v>36.771000000000001</v>
      </c>
      <c r="G26" s="841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6">
        <v>46049</v>
      </c>
      <c r="F27" s="621">
        <v>35.088999999999999</v>
      </c>
      <c r="G27" s="841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6">
        <v>46052</v>
      </c>
      <c r="F28" s="621">
        <v>35.088999999999999</v>
      </c>
      <c r="G28" s="841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6">
        <v>46053</v>
      </c>
      <c r="F29" s="621">
        <v>35.088999999999999</v>
      </c>
      <c r="G29" s="841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6">
        <v>46054</v>
      </c>
      <c r="F30" s="621">
        <v>43.575000000000003</v>
      </c>
      <c r="G30" s="841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6">
        <v>46050</v>
      </c>
      <c r="F31" s="621">
        <v>43.575000000000003</v>
      </c>
      <c r="G31" s="841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6">
        <v>46052</v>
      </c>
      <c r="F32" s="498">
        <v>36.771000000000001</v>
      </c>
      <c r="G32" s="841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6">
        <v>46059</v>
      </c>
      <c r="F33" s="621">
        <v>35.088999999999999</v>
      </c>
      <c r="G33" s="841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6">
        <v>46361</v>
      </c>
      <c r="F34" s="621">
        <v>35.088999999999999</v>
      </c>
      <c r="G34" s="841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6">
        <v>46058</v>
      </c>
      <c r="F35" s="621">
        <v>54.72</v>
      </c>
      <c r="G35" s="841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6">
        <v>46056</v>
      </c>
      <c r="F36" s="621">
        <v>35.088999999999999</v>
      </c>
      <c r="G36" s="841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6">
        <v>46058</v>
      </c>
      <c r="F37" s="621">
        <v>35.088999999999999</v>
      </c>
      <c r="G37" s="841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6">
        <v>46063</v>
      </c>
      <c r="F38" s="498">
        <v>41.88</v>
      </c>
      <c r="G38" s="841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6">
        <v>46063</v>
      </c>
      <c r="F39" s="621">
        <v>35.088999999999999</v>
      </c>
      <c r="G39" s="841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6">
        <v>46053</v>
      </c>
      <c r="F40" s="621">
        <v>35.088999999999999</v>
      </c>
      <c r="G40" s="841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6">
        <v>46065</v>
      </c>
      <c r="F41" s="621">
        <v>35.088999999999999</v>
      </c>
      <c r="G41" s="841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1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6">
        <v>46067</v>
      </c>
      <c r="F43" s="621">
        <v>35.088999999999999</v>
      </c>
      <c r="G43" s="841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6">
        <v>46068</v>
      </c>
      <c r="F44" s="621">
        <v>35.088999999999999</v>
      </c>
      <c r="G44" s="841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6">
        <v>46065</v>
      </c>
      <c r="F45" s="621">
        <v>54.72</v>
      </c>
      <c r="G45" s="841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1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6">
        <v>46070</v>
      </c>
      <c r="F47" s="621">
        <v>54.72</v>
      </c>
      <c r="G47" s="841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6">
        <v>46073</v>
      </c>
      <c r="F48" s="621">
        <v>35.088999999999999</v>
      </c>
      <c r="G48" s="841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6">
        <v>46061</v>
      </c>
      <c r="F49" s="621">
        <v>35.088999999999999</v>
      </c>
      <c r="G49" s="841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6">
        <v>46075</v>
      </c>
      <c r="F50" s="621">
        <v>35.088999999999999</v>
      </c>
      <c r="G50" s="841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6">
        <v>46075</v>
      </c>
      <c r="F51" s="498">
        <v>36.771000000000001</v>
      </c>
      <c r="G51" s="841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6">
        <v>46073</v>
      </c>
      <c r="F52" s="498">
        <v>36.771000000000001</v>
      </c>
      <c r="G52" s="841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6">
        <v>46077</v>
      </c>
      <c r="F53" s="621">
        <v>35.088999999999999</v>
      </c>
      <c r="G53" s="845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6">
        <v>46077</v>
      </c>
      <c r="F54" s="621">
        <v>35.088999999999999</v>
      </c>
      <c r="G54" s="845" t="s">
        <v>679</v>
      </c>
      <c r="H54" s="387">
        <v>46081</v>
      </c>
      <c r="I54" s="501" t="s">
        <v>768</v>
      </c>
      <c r="J54" s="385">
        <v>24</v>
      </c>
      <c r="K54" s="847"/>
      <c r="L54" s="846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76">
        <v>46078</v>
      </c>
      <c r="F55" s="621">
        <v>35.088999999999999</v>
      </c>
      <c r="G55" s="845" t="s">
        <v>679</v>
      </c>
      <c r="H55" s="387">
        <v>46081</v>
      </c>
      <c r="I55" s="501" t="s">
        <v>708</v>
      </c>
      <c r="J55" s="385">
        <v>40</v>
      </c>
      <c r="K55" s="847"/>
      <c r="L55" s="846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3">
        <v>46080</v>
      </c>
      <c r="F56" s="621">
        <v>35.088999999999999</v>
      </c>
      <c r="G56" s="845" t="s">
        <v>679</v>
      </c>
      <c r="H56" s="843">
        <v>46083</v>
      </c>
      <c r="I56" s="500" t="s">
        <v>711</v>
      </c>
      <c r="J56" s="385">
        <v>32</v>
      </c>
      <c r="K56" s="850"/>
      <c r="L56" s="522"/>
      <c r="M56" s="851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5" t="s">
        <v>679</v>
      </c>
      <c r="H57" s="387">
        <v>46084</v>
      </c>
      <c r="I57" s="500" t="s">
        <v>710</v>
      </c>
      <c r="J57" s="385">
        <v>45</v>
      </c>
      <c r="K57" s="847"/>
      <c r="L57" s="846"/>
      <c r="M57" s="851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1">
        <v>46081</v>
      </c>
      <c r="F58" s="646">
        <v>36.771000000000001</v>
      </c>
      <c r="G58" s="882" t="s">
        <v>679</v>
      </c>
      <c r="H58" s="627">
        <v>46086</v>
      </c>
      <c r="I58" s="883" t="s">
        <v>708</v>
      </c>
      <c r="J58" s="541">
        <v>40</v>
      </c>
      <c r="K58" s="847"/>
      <c r="L58" s="846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2" t="s">
        <v>679</v>
      </c>
      <c r="H59" s="387">
        <v>46089</v>
      </c>
      <c r="I59" s="500" t="s">
        <v>678</v>
      </c>
      <c r="J59" s="385">
        <v>30</v>
      </c>
      <c r="K59" s="847"/>
      <c r="L59" s="846"/>
      <c r="M59" s="851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1" t="s">
        <v>679</v>
      </c>
      <c r="H60" s="387">
        <v>46090</v>
      </c>
      <c r="I60" s="501" t="s">
        <v>768</v>
      </c>
      <c r="J60" s="385">
        <v>24</v>
      </c>
      <c r="K60" s="847"/>
      <c r="L60" s="846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1" t="s">
        <v>679</v>
      </c>
      <c r="H61" s="387">
        <v>46092</v>
      </c>
      <c r="I61" s="501" t="s">
        <v>708</v>
      </c>
      <c r="J61" s="385">
        <v>40</v>
      </c>
      <c r="K61" s="847"/>
      <c r="L61" s="846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1" t="s">
        <v>679</v>
      </c>
      <c r="H62" s="387">
        <v>46097</v>
      </c>
      <c r="I62" s="501" t="s">
        <v>768</v>
      </c>
      <c r="J62" s="385">
        <v>24</v>
      </c>
      <c r="K62" s="847"/>
      <c r="L62" s="846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1" t="s">
        <v>679</v>
      </c>
      <c r="H63" s="387">
        <v>46097</v>
      </c>
      <c r="I63" s="501" t="s">
        <v>708</v>
      </c>
      <c r="J63" s="385">
        <v>40</v>
      </c>
      <c r="K63" s="847"/>
      <c r="L63" s="846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1" t="s">
        <v>679</v>
      </c>
      <c r="H64" s="387">
        <v>46099</v>
      </c>
      <c r="I64" s="500" t="s">
        <v>678</v>
      </c>
      <c r="J64" s="385">
        <v>30</v>
      </c>
      <c r="K64" s="847"/>
      <c r="L64" s="846"/>
      <c r="M64" s="851"/>
      <c r="N64" s="383"/>
    </row>
    <row r="65" spans="1:14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1" t="s">
        <v>679</v>
      </c>
      <c r="H65" s="387">
        <v>46101</v>
      </c>
      <c r="I65" s="501" t="s">
        <v>708</v>
      </c>
      <c r="J65" s="385">
        <v>40</v>
      </c>
      <c r="K65" s="915"/>
      <c r="L65" s="846"/>
      <c r="M65" s="656"/>
      <c r="N65" s="383"/>
    </row>
    <row r="66" spans="1:14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1" t="s">
        <v>679</v>
      </c>
      <c r="H66" s="387">
        <v>45739</v>
      </c>
      <c r="I66" s="501" t="s">
        <v>768</v>
      </c>
      <c r="J66" s="541">
        <v>24</v>
      </c>
      <c r="K66" s="847"/>
      <c r="L66" s="846"/>
      <c r="M66" s="656"/>
      <c r="N66" s="383"/>
    </row>
    <row r="67" spans="1:14" x14ac:dyDescent="0.3">
      <c r="A67" s="375">
        <f t="shared" si="0"/>
        <v>65</v>
      </c>
      <c r="B67" s="933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1" t="s">
        <v>679</v>
      </c>
      <c r="H67" s="387">
        <v>46106</v>
      </c>
      <c r="I67" s="500" t="s">
        <v>678</v>
      </c>
      <c r="J67" s="541">
        <v>24</v>
      </c>
      <c r="K67" s="847"/>
      <c r="L67" s="846"/>
      <c r="M67" s="851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41" t="s">
        <v>679</v>
      </c>
      <c r="H68" s="387">
        <v>46110</v>
      </c>
      <c r="I68" s="501" t="s">
        <v>768</v>
      </c>
      <c r="J68" s="385">
        <v>24</v>
      </c>
      <c r="K68" s="847"/>
      <c r="L68" s="846"/>
      <c r="M68" s="656"/>
      <c r="N68" s="383"/>
    </row>
    <row r="69" spans="1:14" ht="13.8" customHeight="1" x14ac:dyDescent="0.3">
      <c r="A69" s="375">
        <f t="shared" ref="A69:A70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41" t="s">
        <v>679</v>
      </c>
      <c r="H69" s="387">
        <v>46113</v>
      </c>
      <c r="I69" s="500" t="s">
        <v>678</v>
      </c>
      <c r="J69" s="541">
        <v>30</v>
      </c>
    </row>
    <row r="70" spans="1:14" ht="13.8" customHeight="1" x14ac:dyDescent="0.3">
      <c r="A70" s="375">
        <f t="shared" si="1"/>
        <v>68</v>
      </c>
      <c r="B70" s="434" t="s">
        <v>412</v>
      </c>
      <c r="C70" s="375" t="s">
        <v>87</v>
      </c>
      <c r="D70" s="434" t="s">
        <v>92</v>
      </c>
      <c r="E70" s="387">
        <v>46111</v>
      </c>
      <c r="F70" s="621">
        <v>35.088999999999999</v>
      </c>
      <c r="G70" s="841" t="s">
        <v>679</v>
      </c>
      <c r="H70" s="387">
        <v>46085</v>
      </c>
      <c r="I70" s="1262" t="s">
        <v>768</v>
      </c>
      <c r="J70" s="385">
        <v>24</v>
      </c>
      <c r="K70" s="1261"/>
      <c r="L70" s="846"/>
      <c r="M70" s="656"/>
      <c r="N70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0" sqref="F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36" t="s">
        <v>488</v>
      </c>
      <c r="C2" s="1137"/>
      <c r="D2" s="1137"/>
      <c r="E2" s="1137"/>
      <c r="F2" s="1137"/>
      <c r="G2" s="1137"/>
      <c r="H2" s="1137"/>
      <c r="I2" s="1137"/>
      <c r="J2" s="1137"/>
      <c r="K2" s="1138"/>
    </row>
    <row r="3" spans="2:11" ht="14.25" customHeight="1" x14ac:dyDescent="0.3">
      <c r="B3" s="1139"/>
      <c r="C3" s="983"/>
      <c r="D3" s="983"/>
      <c r="E3" s="983"/>
      <c r="F3" s="983"/>
      <c r="G3" s="983"/>
      <c r="H3" s="984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40" t="s">
        <v>499</v>
      </c>
      <c r="C12" s="1026"/>
      <c r="D12" s="1026"/>
      <c r="E12" s="1026"/>
      <c r="F12" s="1026"/>
      <c r="G12" s="1026"/>
      <c r="H12" s="1026"/>
      <c r="I12" s="1141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Z193" sqref="Z193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48" t="s">
        <v>164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  <c r="M1" s="1149"/>
      <c r="N1" s="1149"/>
      <c r="O1" s="1149"/>
      <c r="P1" s="1149"/>
      <c r="Q1" s="1149"/>
      <c r="R1" s="1149"/>
      <c r="S1" s="1149"/>
      <c r="T1" s="1149"/>
      <c r="U1" s="1149"/>
      <c r="V1" s="1149"/>
      <c r="W1" s="1149"/>
      <c r="X1" s="1149"/>
      <c r="Y1" s="1150"/>
    </row>
    <row r="2" spans="1:28" ht="15" thickBot="1" x14ac:dyDescent="0.35">
      <c r="A2" s="1151" t="s">
        <v>557</v>
      </c>
      <c r="B2" s="1152"/>
      <c r="C2" s="1152"/>
      <c r="D2" s="1152"/>
      <c r="E2" s="1152"/>
      <c r="F2" s="1152"/>
      <c r="G2" s="1152"/>
      <c r="H2" s="1152"/>
      <c r="I2" s="1152"/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3"/>
    </row>
    <row r="3" spans="1:28" ht="14.25" customHeight="1" thickBot="1" x14ac:dyDescent="0.35">
      <c r="A3" s="749"/>
      <c r="B3" s="1154" t="s">
        <v>165</v>
      </c>
      <c r="C3" s="1155"/>
      <c r="D3" s="545">
        <v>101</v>
      </c>
      <c r="E3" s="546" t="s">
        <v>558</v>
      </c>
      <c r="F3" s="1154" t="s">
        <v>166</v>
      </c>
      <c r="G3" s="1155"/>
      <c r="H3" s="547">
        <v>68</v>
      </c>
      <c r="I3" s="548" t="s">
        <v>558</v>
      </c>
      <c r="J3" s="1156" t="s">
        <v>167</v>
      </c>
      <c r="K3" s="1155"/>
      <c r="L3" s="547">
        <v>67</v>
      </c>
      <c r="M3" s="550" t="s">
        <v>558</v>
      </c>
      <c r="N3" s="1154" t="s">
        <v>168</v>
      </c>
      <c r="O3" s="1155"/>
      <c r="P3" s="551" t="s">
        <v>559</v>
      </c>
      <c r="Q3" s="548">
        <v>113.292</v>
      </c>
      <c r="R3" s="1154" t="s">
        <v>169</v>
      </c>
      <c r="S3" s="1155"/>
      <c r="T3" s="545" t="s">
        <v>560</v>
      </c>
      <c r="U3" s="548">
        <v>113.292</v>
      </c>
      <c r="V3" s="549" t="s">
        <v>170</v>
      </c>
      <c r="W3" s="1157">
        <f ca="1">TODAY()</f>
        <v>46117</v>
      </c>
      <c r="X3" s="1158"/>
      <c r="Y3" s="750"/>
    </row>
    <row r="4" spans="1:28" ht="14.25" customHeight="1" x14ac:dyDescent="0.3">
      <c r="A4" s="749"/>
      <c r="B4" s="1174" t="s">
        <v>171</v>
      </c>
      <c r="C4" s="1177" t="s">
        <v>23</v>
      </c>
      <c r="D4" s="1180" t="s">
        <v>172</v>
      </c>
      <c r="E4" s="1180" t="s">
        <v>173</v>
      </c>
      <c r="F4" s="1180" t="s">
        <v>174</v>
      </c>
      <c r="G4" s="1181" t="s">
        <v>175</v>
      </c>
      <c r="H4" s="1159" t="s">
        <v>176</v>
      </c>
      <c r="I4" s="1162" t="s">
        <v>119</v>
      </c>
      <c r="J4" s="552"/>
      <c r="K4" s="552"/>
      <c r="L4" s="553"/>
      <c r="M4" s="1165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175"/>
      <c r="C5" s="1178"/>
      <c r="D5" s="1160"/>
      <c r="E5" s="1160"/>
      <c r="F5" s="1160"/>
      <c r="G5" s="1160"/>
      <c r="H5" s="1160"/>
      <c r="I5" s="1163"/>
      <c r="J5" s="751" t="s">
        <v>177</v>
      </c>
      <c r="K5" s="752"/>
      <c r="L5" s="558"/>
      <c r="M5" s="1166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167"/>
      <c r="W5" s="1168"/>
      <c r="X5" s="563"/>
      <c r="Y5" s="750"/>
    </row>
    <row r="6" spans="1:28" ht="14.25" customHeight="1" thickBot="1" x14ac:dyDescent="0.35">
      <c r="A6" s="749"/>
      <c r="B6" s="1176"/>
      <c r="C6" s="1179"/>
      <c r="D6" s="1161"/>
      <c r="E6" s="1161"/>
      <c r="F6" s="1161"/>
      <c r="G6" s="1161"/>
      <c r="H6" s="1161"/>
      <c r="I6" s="1164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69" t="s">
        <v>187</v>
      </c>
      <c r="K7" s="1171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173"/>
      <c r="W7" s="1168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70"/>
      <c r="K8" s="1172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188" t="s">
        <v>713</v>
      </c>
      <c r="W13" s="1168"/>
      <c r="X13" s="576"/>
      <c r="Y13" s="750"/>
      <c r="Z13" s="1142" t="s">
        <v>45</v>
      </c>
      <c r="AA13" s="1144" t="s">
        <v>106</v>
      </c>
      <c r="AB13" s="1146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189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143"/>
      <c r="AA14" s="1145"/>
      <c r="AB14" s="1147"/>
    </row>
    <row r="15" spans="1:28" ht="14.25" customHeight="1" thickBot="1" x14ac:dyDescent="0.35">
      <c r="A15" s="749"/>
      <c r="B15" s="1191" t="s">
        <v>203</v>
      </c>
      <c r="C15" s="1190"/>
      <c r="D15" s="1190"/>
      <c r="E15" s="1190"/>
      <c r="F15" s="1190"/>
      <c r="G15" s="1192"/>
      <c r="H15" s="582">
        <v>101</v>
      </c>
      <c r="I15" s="583">
        <f>292-H15</f>
        <v>191</v>
      </c>
      <c r="J15" s="584"/>
      <c r="K15" s="585"/>
      <c r="L15" s="586"/>
      <c r="M15" s="587"/>
      <c r="N15" s="588"/>
      <c r="O15" s="589"/>
      <c r="P15" s="1190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101</v>
      </c>
      <c r="AA16" s="634">
        <f>SUM(AA18:AA254)</f>
        <v>68</v>
      </c>
      <c r="AB16" s="635">
        <f>SUM(AB18:AB254)</f>
        <v>67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49"/>
      <c r="B21" s="1184"/>
      <c r="C21" s="602">
        <v>411</v>
      </c>
      <c r="D21" s="1182"/>
      <c r="E21" s="603">
        <v>432</v>
      </c>
      <c r="F21" s="1182"/>
      <c r="G21" s="603">
        <v>411</v>
      </c>
      <c r="H21" s="1182"/>
      <c r="I21" s="603">
        <v>432</v>
      </c>
      <c r="J21" s="1182"/>
      <c r="K21" s="603">
        <v>411</v>
      </c>
      <c r="L21" s="1182"/>
      <c r="M21" s="603">
        <v>432</v>
      </c>
      <c r="N21" s="1182"/>
      <c r="O21" s="603">
        <v>411</v>
      </c>
      <c r="P21" s="1182"/>
      <c r="Q21" s="603">
        <v>374.43700000000001</v>
      </c>
      <c r="R21" s="1184"/>
      <c r="S21" s="603">
        <v>376.00299999999999</v>
      </c>
      <c r="T21" s="1182"/>
      <c r="U21" s="603">
        <v>405</v>
      </c>
      <c r="V21" s="1186"/>
      <c r="W21" s="603">
        <v>340</v>
      </c>
      <c r="X21" s="1182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85"/>
      <c r="C22" s="769"/>
      <c r="D22" s="1183"/>
      <c r="E22" s="769"/>
      <c r="F22" s="1183"/>
      <c r="G22" s="769"/>
      <c r="H22" s="1183"/>
      <c r="I22" s="769"/>
      <c r="J22" s="1183"/>
      <c r="K22" s="769"/>
      <c r="L22" s="1183"/>
      <c r="M22" s="769"/>
      <c r="N22" s="1183"/>
      <c r="O22" s="769"/>
      <c r="P22" s="1183"/>
      <c r="Q22" s="769"/>
      <c r="R22" s="1185"/>
      <c r="S22" s="769"/>
      <c r="T22" s="1183"/>
      <c r="U22" s="769"/>
      <c r="V22" s="1187"/>
      <c r="W22" s="769"/>
      <c r="X22" s="1183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805</v>
      </c>
      <c r="I27" s="605"/>
      <c r="J27" s="605"/>
      <c r="K27" s="605"/>
      <c r="L27" s="605" t="s">
        <v>805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82"/>
      <c r="C30" s="602">
        <v>399</v>
      </c>
      <c r="D30" s="1186"/>
      <c r="E30" s="603">
        <v>393</v>
      </c>
      <c r="F30" s="1186"/>
      <c r="G30" s="603">
        <v>370</v>
      </c>
      <c r="H30" s="1199"/>
      <c r="I30" s="603">
        <v>350</v>
      </c>
      <c r="J30" s="1186"/>
      <c r="K30" s="603">
        <v>395</v>
      </c>
      <c r="L30" s="1182"/>
      <c r="M30" s="603">
        <v>413</v>
      </c>
      <c r="N30" s="1193" t="s">
        <v>773</v>
      </c>
      <c r="O30" s="603">
        <v>366</v>
      </c>
      <c r="P30" s="1193" t="s">
        <v>773</v>
      </c>
      <c r="Q30" s="603">
        <v>377.77</v>
      </c>
      <c r="R30" s="1195" t="s">
        <v>773</v>
      </c>
      <c r="S30" s="603">
        <v>300</v>
      </c>
      <c r="T30" s="1197" t="s">
        <v>728</v>
      </c>
      <c r="U30" s="603">
        <v>393</v>
      </c>
      <c r="V30" s="1197" t="s">
        <v>728</v>
      </c>
      <c r="W30" s="603">
        <v>415</v>
      </c>
      <c r="X30" s="1197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83"/>
      <c r="C31" s="769"/>
      <c r="D31" s="1187"/>
      <c r="E31" s="769"/>
      <c r="F31" s="1187"/>
      <c r="G31" s="769"/>
      <c r="H31" s="1200"/>
      <c r="I31" s="769"/>
      <c r="J31" s="1187"/>
      <c r="K31" s="769"/>
      <c r="L31" s="1183"/>
      <c r="M31" s="769"/>
      <c r="N31" s="1194"/>
      <c r="O31" s="769"/>
      <c r="P31" s="1194"/>
      <c r="Q31" s="769"/>
      <c r="R31" s="1196"/>
      <c r="S31" s="769"/>
      <c r="T31" s="1198"/>
      <c r="U31" s="769"/>
      <c r="V31" s="1198"/>
      <c r="W31" s="769"/>
      <c r="X31" s="1198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84"/>
      <c r="C39" s="602">
        <v>378</v>
      </c>
      <c r="D39" s="1182"/>
      <c r="E39" s="603">
        <v>370</v>
      </c>
      <c r="F39" s="1197" t="s">
        <v>728</v>
      </c>
      <c r="G39" s="603">
        <v>370</v>
      </c>
      <c r="H39" s="1182"/>
      <c r="I39" s="603">
        <v>404</v>
      </c>
      <c r="J39" s="1182"/>
      <c r="K39" s="603">
        <v>374</v>
      </c>
      <c r="L39" s="1182"/>
      <c r="M39" s="603">
        <v>416</v>
      </c>
      <c r="N39" s="1197" t="s">
        <v>728</v>
      </c>
      <c r="O39" s="603">
        <v>425</v>
      </c>
      <c r="P39" s="1197" t="s">
        <v>728</v>
      </c>
      <c r="Q39" s="603">
        <v>411</v>
      </c>
      <c r="R39" s="1197" t="s">
        <v>728</v>
      </c>
      <c r="S39" s="603">
        <v>427</v>
      </c>
      <c r="T39" s="1197" t="s">
        <v>728</v>
      </c>
      <c r="U39" s="603">
        <v>370</v>
      </c>
      <c r="V39" s="1197" t="s">
        <v>728</v>
      </c>
      <c r="W39" s="603">
        <v>356</v>
      </c>
      <c r="X39" s="1201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85"/>
      <c r="C40" s="777"/>
      <c r="D40" s="1183"/>
      <c r="E40" s="777"/>
      <c r="F40" s="1198"/>
      <c r="G40" s="777"/>
      <c r="H40" s="1183"/>
      <c r="I40" s="777"/>
      <c r="J40" s="1183"/>
      <c r="K40" s="777"/>
      <c r="L40" s="1183"/>
      <c r="M40" s="777"/>
      <c r="N40" s="1198"/>
      <c r="O40" s="777"/>
      <c r="P40" s="1198"/>
      <c r="Q40" s="777"/>
      <c r="R40" s="1198"/>
      <c r="S40" s="777"/>
      <c r="T40" s="1198"/>
      <c r="U40" s="777"/>
      <c r="V40" s="1198"/>
      <c r="W40" s="777"/>
      <c r="X40" s="1202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197" t="s">
        <v>728</v>
      </c>
      <c r="C48" s="602">
        <v>355</v>
      </c>
      <c r="D48" s="1186"/>
      <c r="E48" s="603">
        <v>348</v>
      </c>
      <c r="F48" s="1182"/>
      <c r="G48" s="603">
        <v>434</v>
      </c>
      <c r="H48" s="1186"/>
      <c r="I48" s="603">
        <v>401</v>
      </c>
      <c r="J48" s="1256" t="s">
        <v>728</v>
      </c>
      <c r="K48" s="603">
        <v>400</v>
      </c>
      <c r="L48" s="1197" t="s">
        <v>728</v>
      </c>
      <c r="M48" s="603">
        <v>413</v>
      </c>
      <c r="N48" s="1197" t="s">
        <v>728</v>
      </c>
      <c r="O48" s="603">
        <v>406</v>
      </c>
      <c r="P48" s="1197" t="s">
        <v>728</v>
      </c>
      <c r="Q48" s="603">
        <v>390</v>
      </c>
      <c r="R48" s="1197" t="s">
        <v>728</v>
      </c>
      <c r="S48" s="603">
        <v>390</v>
      </c>
      <c r="T48" s="1197" t="s">
        <v>728</v>
      </c>
      <c r="U48" s="603">
        <v>430</v>
      </c>
      <c r="V48" s="1186"/>
      <c r="W48" s="603">
        <v>332</v>
      </c>
      <c r="X48" s="1184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198"/>
      <c r="C49" s="777"/>
      <c r="D49" s="1187"/>
      <c r="E49" s="777"/>
      <c r="F49" s="1183"/>
      <c r="G49" s="777"/>
      <c r="H49" s="1187"/>
      <c r="I49" s="777"/>
      <c r="J49" s="1257"/>
      <c r="K49" s="777"/>
      <c r="L49" s="1198"/>
      <c r="M49" s="777"/>
      <c r="N49" s="1198"/>
      <c r="O49" s="777"/>
      <c r="P49" s="1198"/>
      <c r="Q49" s="777"/>
      <c r="R49" s="1198"/>
      <c r="S49" s="777"/>
      <c r="T49" s="1198"/>
      <c r="U49" s="777"/>
      <c r="V49" s="1187"/>
      <c r="W49" s="777"/>
      <c r="X49" s="1185"/>
      <c r="Y49" s="774"/>
      <c r="Z49" s="746">
        <v>6</v>
      </c>
      <c r="AA49" s="637">
        <v>3</v>
      </c>
      <c r="AB49" s="642">
        <v>3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84"/>
      <c r="C57" s="602">
        <v>339</v>
      </c>
      <c r="D57" s="1197" t="s">
        <v>728</v>
      </c>
      <c r="E57" s="603">
        <v>365</v>
      </c>
      <c r="F57" s="1208"/>
      <c r="G57" s="603">
        <v>409</v>
      </c>
      <c r="H57" s="1197" t="s">
        <v>728</v>
      </c>
      <c r="I57" s="603">
        <v>340.46199999999999</v>
      </c>
      <c r="J57" s="1210"/>
      <c r="K57" s="603">
        <v>352</v>
      </c>
      <c r="L57" s="1197" t="s">
        <v>728</v>
      </c>
      <c r="M57" s="603">
        <v>419</v>
      </c>
      <c r="N57" s="1197" t="s">
        <v>728</v>
      </c>
      <c r="O57" s="603">
        <v>410</v>
      </c>
      <c r="P57" s="1197" t="s">
        <v>728</v>
      </c>
      <c r="Q57" s="603">
        <v>413</v>
      </c>
      <c r="R57" s="1197" t="s">
        <v>728</v>
      </c>
      <c r="S57" s="603">
        <v>407</v>
      </c>
      <c r="T57" s="1205" t="s">
        <v>562</v>
      </c>
      <c r="U57" s="603">
        <v>351</v>
      </c>
      <c r="V57" s="1197" t="s">
        <v>728</v>
      </c>
      <c r="W57" s="603">
        <v>405</v>
      </c>
      <c r="X57" s="1201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85"/>
      <c r="C58" s="777"/>
      <c r="D58" s="1198"/>
      <c r="E58" s="777"/>
      <c r="F58" s="1209"/>
      <c r="G58" s="777"/>
      <c r="H58" s="1198"/>
      <c r="I58" s="777"/>
      <c r="J58" s="1211"/>
      <c r="K58" s="777"/>
      <c r="L58" s="1198"/>
      <c r="M58" s="777"/>
      <c r="N58" s="1198"/>
      <c r="O58" s="777"/>
      <c r="P58" s="1198"/>
      <c r="Q58" s="777"/>
      <c r="R58" s="1198"/>
      <c r="S58" s="777"/>
      <c r="T58" s="1206"/>
      <c r="U58" s="777"/>
      <c r="V58" s="1198"/>
      <c r="W58" s="777"/>
      <c r="X58" s="1207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197" t="s">
        <v>728</v>
      </c>
      <c r="C66" s="602">
        <v>439</v>
      </c>
      <c r="D66" s="1197" t="s">
        <v>728</v>
      </c>
      <c r="E66" s="603">
        <v>398</v>
      </c>
      <c r="F66" s="1205" t="s">
        <v>562</v>
      </c>
      <c r="G66" s="603">
        <v>445</v>
      </c>
      <c r="H66" s="1205" t="s">
        <v>562</v>
      </c>
      <c r="I66" s="603">
        <v>355</v>
      </c>
      <c r="J66" s="1182"/>
      <c r="K66" s="603">
        <v>445.64499999999998</v>
      </c>
      <c r="L66" s="1186"/>
      <c r="M66" s="603">
        <v>214.74199999999999</v>
      </c>
      <c r="N66" s="1184"/>
      <c r="O66" s="603">
        <v>498</v>
      </c>
      <c r="P66" s="1197" t="s">
        <v>728</v>
      </c>
      <c r="Q66" s="603">
        <v>325</v>
      </c>
      <c r="R66" s="1197" t="s">
        <v>728</v>
      </c>
      <c r="S66" s="603">
        <v>372</v>
      </c>
      <c r="T66" s="1197" t="s">
        <v>728</v>
      </c>
      <c r="U66" s="603">
        <v>393.05399999999997</v>
      </c>
      <c r="V66" s="1201" t="s">
        <v>728</v>
      </c>
      <c r="W66" s="603">
        <v>349</v>
      </c>
      <c r="X66" s="1197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198"/>
      <c r="C67" s="777"/>
      <c r="D67" s="1198"/>
      <c r="E67" s="777"/>
      <c r="F67" s="1206"/>
      <c r="G67" s="777"/>
      <c r="H67" s="1206"/>
      <c r="I67" s="777"/>
      <c r="J67" s="1183"/>
      <c r="K67" s="777"/>
      <c r="L67" s="1187"/>
      <c r="M67" s="777"/>
      <c r="N67" s="1185"/>
      <c r="O67" s="777"/>
      <c r="P67" s="1198"/>
      <c r="Q67" s="777"/>
      <c r="R67" s="1198"/>
      <c r="S67" s="777"/>
      <c r="T67" s="1198"/>
      <c r="U67" s="777" t="s">
        <v>734</v>
      </c>
      <c r="V67" s="1212"/>
      <c r="W67" s="777"/>
      <c r="X67" s="1198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197" t="s">
        <v>728</v>
      </c>
      <c r="C76" s="602">
        <v>386</v>
      </c>
      <c r="D76" s="1216" t="s">
        <v>732</v>
      </c>
      <c r="E76" s="603">
        <v>429</v>
      </c>
      <c r="F76" s="1197" t="s">
        <v>728</v>
      </c>
      <c r="G76" s="603">
        <v>377</v>
      </c>
      <c r="H76" s="1197" t="s">
        <v>728</v>
      </c>
      <c r="I76" s="603">
        <v>401.83699999999999</v>
      </c>
      <c r="J76" s="1218" t="s">
        <v>800</v>
      </c>
      <c r="K76" s="603">
        <v>402</v>
      </c>
      <c r="L76" s="1220" t="s">
        <v>728</v>
      </c>
      <c r="M76" s="603">
        <v>344</v>
      </c>
      <c r="N76" s="1197" t="s">
        <v>728</v>
      </c>
      <c r="O76" s="603">
        <v>399</v>
      </c>
      <c r="P76" s="1197" t="s">
        <v>728</v>
      </c>
      <c r="Q76" s="603">
        <v>439</v>
      </c>
      <c r="R76" s="1186"/>
      <c r="S76" s="603">
        <v>403</v>
      </c>
      <c r="T76" s="1184"/>
      <c r="U76" s="603">
        <v>480</v>
      </c>
      <c r="V76" s="1213" t="s">
        <v>562</v>
      </c>
      <c r="W76" s="603">
        <v>535</v>
      </c>
      <c r="X76" s="1213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198"/>
      <c r="C77" s="777"/>
      <c r="D77" s="1217"/>
      <c r="E77" s="777"/>
      <c r="F77" s="1198"/>
      <c r="G77" s="777"/>
      <c r="H77" s="1198"/>
      <c r="I77" s="777"/>
      <c r="J77" s="1219"/>
      <c r="K77" s="777"/>
      <c r="L77" s="1221"/>
      <c r="M77" s="777"/>
      <c r="N77" s="1198"/>
      <c r="O77" s="777"/>
      <c r="P77" s="1198"/>
      <c r="Q77" s="777"/>
      <c r="R77" s="1187"/>
      <c r="S77" s="777"/>
      <c r="T77" s="1185"/>
      <c r="U77" s="777"/>
      <c r="V77" s="1214"/>
      <c r="W77" s="777"/>
      <c r="X77" s="1215"/>
      <c r="Y77" s="774"/>
      <c r="Z77" s="746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197" t="s">
        <v>728</v>
      </c>
      <c r="C86" s="602">
        <v>454.04700000000003</v>
      </c>
      <c r="D86" s="1184"/>
      <c r="E86" s="603">
        <v>247.49199999999999</v>
      </c>
      <c r="F86" s="1210"/>
      <c r="G86" s="603">
        <v>373</v>
      </c>
      <c r="H86" s="1205" t="s">
        <v>562</v>
      </c>
      <c r="I86" s="603">
        <v>401</v>
      </c>
      <c r="J86" s="1186"/>
      <c r="K86" s="603">
        <v>388</v>
      </c>
      <c r="L86" s="1205" t="s">
        <v>562</v>
      </c>
      <c r="M86" s="603">
        <v>328</v>
      </c>
      <c r="N86" s="1205" t="s">
        <v>562</v>
      </c>
      <c r="O86" s="603">
        <v>329.98200000000003</v>
      </c>
      <c r="P86" s="1210"/>
      <c r="Q86" s="603">
        <v>433</v>
      </c>
      <c r="R86" s="1182"/>
      <c r="S86" s="603">
        <v>410</v>
      </c>
      <c r="T86" s="1205" t="s">
        <v>562</v>
      </c>
      <c r="U86" s="603">
        <v>307</v>
      </c>
      <c r="V86" s="1205" t="s">
        <v>562</v>
      </c>
      <c r="W86" s="603">
        <v>461.92700000000002</v>
      </c>
      <c r="X86" s="1213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198"/>
      <c r="C87" s="777"/>
      <c r="D87" s="1185"/>
      <c r="E87" s="777"/>
      <c r="F87" s="1211"/>
      <c r="G87" s="777"/>
      <c r="H87" s="1206"/>
      <c r="I87" s="777"/>
      <c r="J87" s="1187"/>
      <c r="K87" s="777"/>
      <c r="L87" s="1206"/>
      <c r="M87" s="777"/>
      <c r="N87" s="1206"/>
      <c r="O87" s="777"/>
      <c r="P87" s="1222"/>
      <c r="Q87" s="777"/>
      <c r="R87" s="1183"/>
      <c r="S87" s="777"/>
      <c r="T87" s="1206"/>
      <c r="U87" s="777"/>
      <c r="V87" s="1206"/>
      <c r="W87" s="777"/>
      <c r="X87" s="1214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213" t="s">
        <v>562</v>
      </c>
      <c r="C96" s="602">
        <v>401</v>
      </c>
      <c r="D96" s="1182"/>
      <c r="E96" s="603">
        <v>350</v>
      </c>
      <c r="F96" s="1205" t="s">
        <v>562</v>
      </c>
      <c r="G96" s="603">
        <v>335</v>
      </c>
      <c r="H96" s="1182"/>
      <c r="I96" s="603">
        <v>313.49</v>
      </c>
      <c r="J96" s="1223"/>
      <c r="K96" s="603">
        <v>421</v>
      </c>
      <c r="L96" s="1184"/>
      <c r="M96" s="603">
        <v>465.81799999999998</v>
      </c>
      <c r="N96" s="1210"/>
      <c r="O96" s="603">
        <v>352</v>
      </c>
      <c r="P96" s="1182"/>
      <c r="Q96" s="603">
        <v>403</v>
      </c>
      <c r="R96" s="1205" t="s">
        <v>562</v>
      </c>
      <c r="S96" s="603">
        <v>373</v>
      </c>
      <c r="T96" s="1205" t="s">
        <v>562</v>
      </c>
      <c r="U96" s="603">
        <v>362</v>
      </c>
      <c r="V96" s="1205" t="s">
        <v>562</v>
      </c>
      <c r="W96" s="603">
        <v>351.24</v>
      </c>
      <c r="X96" s="1210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214"/>
      <c r="C97" s="777"/>
      <c r="D97" s="1183"/>
      <c r="E97" s="777"/>
      <c r="F97" s="1206"/>
      <c r="G97" s="777"/>
      <c r="H97" s="1183"/>
      <c r="I97" s="777"/>
      <c r="J97" s="1224"/>
      <c r="K97" s="777"/>
      <c r="L97" s="1185"/>
      <c r="M97" s="777"/>
      <c r="N97" s="1211"/>
      <c r="O97" s="777"/>
      <c r="P97" s="1183"/>
      <c r="Q97" s="777"/>
      <c r="R97" s="1206"/>
      <c r="S97" s="777"/>
      <c r="T97" s="1206"/>
      <c r="U97" s="777"/>
      <c r="V97" s="1206"/>
      <c r="W97" s="777"/>
      <c r="X97" s="1211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765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205" t="s">
        <v>562</v>
      </c>
      <c r="C106" s="602">
        <v>375</v>
      </c>
      <c r="D106" s="1186"/>
      <c r="E106" s="603">
        <v>424.851</v>
      </c>
      <c r="F106" s="1184"/>
      <c r="G106" s="603">
        <v>414</v>
      </c>
      <c r="H106" s="1182"/>
      <c r="I106" s="603">
        <v>345</v>
      </c>
      <c r="J106" s="1186"/>
      <c r="K106" s="603">
        <v>502.62799999999999</v>
      </c>
      <c r="L106" s="1205" t="s">
        <v>562</v>
      </c>
      <c r="M106" s="603">
        <v>453</v>
      </c>
      <c r="N106" s="1225" t="s">
        <v>803</v>
      </c>
      <c r="O106" s="603">
        <v>388</v>
      </c>
      <c r="P106" s="1225" t="s">
        <v>803</v>
      </c>
      <c r="Q106" s="603">
        <v>317</v>
      </c>
      <c r="R106" s="1182"/>
      <c r="S106" s="603">
        <v>324</v>
      </c>
      <c r="T106" s="1225" t="s">
        <v>803</v>
      </c>
      <c r="U106" s="603">
        <v>484.98399999999998</v>
      </c>
      <c r="V106" s="1210" t="s">
        <v>562</v>
      </c>
      <c r="W106" s="603">
        <v>248.518</v>
      </c>
      <c r="X106" s="1184"/>
      <c r="Y106" s="773">
        <v>429</v>
      </c>
      <c r="Z106" s="746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206"/>
      <c r="C107" s="777"/>
      <c r="D107" s="1187"/>
      <c r="E107" s="777"/>
      <c r="F107" s="1185"/>
      <c r="G107" s="777"/>
      <c r="H107" s="1183"/>
      <c r="I107" s="777"/>
      <c r="J107" s="1187"/>
      <c r="K107" s="777"/>
      <c r="L107" s="1206"/>
      <c r="M107" s="777"/>
      <c r="N107" s="1226"/>
      <c r="O107" s="777"/>
      <c r="P107" s="1226"/>
      <c r="Q107" s="777"/>
      <c r="R107" s="1183"/>
      <c r="S107" s="777"/>
      <c r="T107" s="1226"/>
      <c r="U107" s="777"/>
      <c r="V107" s="1222"/>
      <c r="W107" s="777"/>
      <c r="X107" s="1185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250" t="s">
        <v>766</v>
      </c>
      <c r="C111" s="1250"/>
      <c r="D111" s="1250"/>
      <c r="E111" s="1250"/>
      <c r="F111" s="1250"/>
      <c r="G111" s="1250"/>
      <c r="H111" s="1250"/>
      <c r="I111" s="1250"/>
      <c r="J111" s="1250"/>
      <c r="K111" s="1250"/>
      <c r="L111" s="1250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227"/>
      <c r="M112" s="1227"/>
      <c r="N112" s="1227"/>
      <c r="O112" s="1227"/>
      <c r="P112" s="1227"/>
      <c r="Q112" s="1227"/>
      <c r="R112" s="1227"/>
      <c r="S112" s="1227"/>
      <c r="T112" s="1227"/>
      <c r="U112" s="1227"/>
      <c r="V112" s="1227"/>
      <c r="W112" s="1227"/>
      <c r="X112" s="1227"/>
      <c r="Y112" s="1228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82"/>
      <c r="C116" s="602">
        <v>398.68400000000003</v>
      </c>
      <c r="D116" s="1184"/>
      <c r="E116" s="603">
        <v>435</v>
      </c>
      <c r="F116" s="1229" t="s">
        <v>739</v>
      </c>
      <c r="G116" s="603">
        <v>404</v>
      </c>
      <c r="H116" s="1231" t="s">
        <v>739</v>
      </c>
      <c r="I116" s="603">
        <v>374.35300000000001</v>
      </c>
      <c r="J116" s="1184"/>
      <c r="K116" s="603">
        <v>250.119</v>
      </c>
      <c r="L116" s="1213" t="s">
        <v>562</v>
      </c>
      <c r="M116" s="603">
        <v>398</v>
      </c>
      <c r="N116" s="1205" t="s">
        <v>562</v>
      </c>
      <c r="O116" s="603">
        <v>364</v>
      </c>
      <c r="P116" s="1233"/>
      <c r="Q116" s="603">
        <v>380</v>
      </c>
      <c r="R116" s="1205" t="s">
        <v>562</v>
      </c>
      <c r="S116" s="603">
        <v>459.27199999999999</v>
      </c>
      <c r="T116" s="1213" t="s">
        <v>562</v>
      </c>
      <c r="U116" s="603">
        <v>206.441</v>
      </c>
      <c r="V116" s="1213" t="s">
        <v>562</v>
      </c>
      <c r="W116" s="603">
        <v>385</v>
      </c>
      <c r="X116" s="1197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83"/>
      <c r="C117" s="777"/>
      <c r="D117" s="1185"/>
      <c r="E117" s="777"/>
      <c r="F117" s="1230"/>
      <c r="G117" s="777"/>
      <c r="H117" s="1232"/>
      <c r="I117" s="777"/>
      <c r="J117" s="1185"/>
      <c r="K117" s="777"/>
      <c r="L117" s="1214"/>
      <c r="M117" s="777"/>
      <c r="N117" s="1206"/>
      <c r="O117" s="777"/>
      <c r="P117" s="1234"/>
      <c r="Q117" s="777"/>
      <c r="R117" s="1206"/>
      <c r="S117" s="777"/>
      <c r="T117" s="1215"/>
      <c r="U117" s="777"/>
      <c r="V117" s="1215"/>
      <c r="W117" s="777"/>
      <c r="X117" s="1198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605"/>
      <c r="U121" s="779"/>
      <c r="V121" s="605"/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235"/>
      <c r="B122" s="1227"/>
      <c r="C122" s="1227"/>
      <c r="D122" s="1227"/>
      <c r="E122" s="1227"/>
      <c r="F122" s="1227"/>
      <c r="G122" s="1227"/>
      <c r="H122" s="1227"/>
      <c r="I122" s="1227"/>
      <c r="J122" s="1227"/>
      <c r="K122" s="1227"/>
      <c r="L122" s="1227"/>
      <c r="M122" s="1227"/>
      <c r="N122" s="1227"/>
      <c r="O122" s="1227"/>
      <c r="P122" s="1227"/>
      <c r="Q122" s="1227"/>
      <c r="R122" s="1227"/>
      <c r="S122" s="1227"/>
      <c r="T122" s="1227"/>
      <c r="U122" s="1227"/>
      <c r="V122" s="1227"/>
      <c r="W122" s="1227"/>
      <c r="X122" s="1227"/>
      <c r="Y122" s="1228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197" t="s">
        <v>89</v>
      </c>
      <c r="C126" s="602">
        <v>384</v>
      </c>
      <c r="D126" s="1197" t="s">
        <v>89</v>
      </c>
      <c r="E126" s="603">
        <v>400</v>
      </c>
      <c r="F126" s="1197" t="s">
        <v>670</v>
      </c>
      <c r="G126" s="603">
        <v>386</v>
      </c>
      <c r="H126" s="1182"/>
      <c r="I126" s="603">
        <v>398</v>
      </c>
      <c r="J126" s="1197" t="s">
        <v>89</v>
      </c>
      <c r="K126" s="603">
        <v>393</v>
      </c>
      <c r="L126" s="1197" t="s">
        <v>670</v>
      </c>
      <c r="M126" s="603">
        <v>387</v>
      </c>
      <c r="N126" s="1197" t="s">
        <v>89</v>
      </c>
      <c r="O126" s="603">
        <v>378</v>
      </c>
      <c r="P126" s="1197" t="s">
        <v>89</v>
      </c>
      <c r="Q126" s="603">
        <v>410</v>
      </c>
      <c r="R126" s="1197" t="s">
        <v>670</v>
      </c>
      <c r="S126" s="603">
        <v>367.58</v>
      </c>
      <c r="T126" s="1210" t="s">
        <v>562</v>
      </c>
      <c r="U126" s="603">
        <v>396</v>
      </c>
      <c r="V126" s="1186" t="s">
        <v>562</v>
      </c>
      <c r="W126" s="603">
        <v>395</v>
      </c>
      <c r="X126" s="1182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198"/>
      <c r="C127" s="777"/>
      <c r="D127" s="1198"/>
      <c r="E127" s="777"/>
      <c r="F127" s="1198"/>
      <c r="G127" s="777"/>
      <c r="H127" s="1183"/>
      <c r="I127" s="777"/>
      <c r="J127" s="1198"/>
      <c r="K127" s="777"/>
      <c r="L127" s="1198"/>
      <c r="M127" s="777"/>
      <c r="N127" s="1198"/>
      <c r="O127" s="777"/>
      <c r="P127" s="1198"/>
      <c r="Q127" s="777"/>
      <c r="R127" s="1198"/>
      <c r="S127" s="777"/>
      <c r="T127" s="1211"/>
      <c r="U127" s="777"/>
      <c r="V127" s="1187"/>
      <c r="W127" s="777"/>
      <c r="X127" s="1183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235"/>
      <c r="B132" s="1227"/>
      <c r="C132" s="1227"/>
      <c r="D132" s="1227"/>
      <c r="E132" s="1227"/>
      <c r="F132" s="1227"/>
      <c r="G132" s="1227"/>
      <c r="H132" s="1227"/>
      <c r="I132" s="1227"/>
      <c r="J132" s="1227"/>
      <c r="K132" s="1227"/>
      <c r="L132" s="1227"/>
      <c r="M132" s="1227"/>
      <c r="N132" s="1227"/>
      <c r="O132" s="1227"/>
      <c r="P132" s="1227"/>
      <c r="Q132" s="1227"/>
      <c r="R132" s="1227"/>
      <c r="S132" s="1227"/>
      <c r="T132" s="1227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197" t="s">
        <v>89</v>
      </c>
      <c r="C136" s="602">
        <v>350.09</v>
      </c>
      <c r="D136" s="1210"/>
      <c r="E136" s="603">
        <v>364</v>
      </c>
      <c r="F136" s="1197" t="s">
        <v>89</v>
      </c>
      <c r="G136" s="603">
        <v>452</v>
      </c>
      <c r="H136" s="1197" t="s">
        <v>89</v>
      </c>
      <c r="I136" s="603">
        <v>392</v>
      </c>
      <c r="J136" s="1197" t="s">
        <v>89</v>
      </c>
      <c r="K136" s="603">
        <v>369.64499999999998</v>
      </c>
      <c r="L136" s="1213" t="s">
        <v>562</v>
      </c>
      <c r="M136" s="603">
        <v>446</v>
      </c>
      <c r="N136" s="1197" t="s">
        <v>89</v>
      </c>
      <c r="O136" s="603">
        <v>386</v>
      </c>
      <c r="P136" s="1182"/>
      <c r="Q136" s="603">
        <v>451</v>
      </c>
      <c r="R136" s="1184"/>
      <c r="S136" s="603">
        <v>428.50400000000002</v>
      </c>
      <c r="T136" s="1197" t="s">
        <v>89</v>
      </c>
      <c r="U136" s="603">
        <v>354.49599999999998</v>
      </c>
      <c r="V136" s="1197" t="s">
        <v>89</v>
      </c>
      <c r="W136" s="603">
        <v>430.20699999999999</v>
      </c>
      <c r="X136" s="1213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198"/>
      <c r="C137" s="777"/>
      <c r="D137" s="1211"/>
      <c r="E137" s="777"/>
      <c r="F137" s="1198"/>
      <c r="G137" s="777"/>
      <c r="H137" s="1198"/>
      <c r="I137" s="777"/>
      <c r="J137" s="1198"/>
      <c r="K137" s="777"/>
      <c r="L137" s="1214"/>
      <c r="M137" s="777"/>
      <c r="N137" s="1198"/>
      <c r="O137" s="777"/>
      <c r="P137" s="1183"/>
      <c r="Q137" s="777"/>
      <c r="R137" s="1185"/>
      <c r="S137" s="777"/>
      <c r="T137" s="1198"/>
      <c r="U137" s="777"/>
      <c r="V137" s="1198"/>
      <c r="W137" s="777"/>
      <c r="X137" s="1214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197" t="s">
        <v>89</v>
      </c>
      <c r="C145" s="602">
        <v>415</v>
      </c>
      <c r="D145" s="1197" t="s">
        <v>89</v>
      </c>
      <c r="E145" s="603">
        <v>399</v>
      </c>
      <c r="F145" s="1182"/>
      <c r="G145" s="603">
        <v>436.29500000000002</v>
      </c>
      <c r="H145" s="1236"/>
      <c r="I145" s="603">
        <v>437</v>
      </c>
      <c r="J145" s="1197" t="s">
        <v>89</v>
      </c>
      <c r="K145" s="603">
        <v>406</v>
      </c>
      <c r="L145" s="1205" t="s">
        <v>562</v>
      </c>
      <c r="M145" s="603">
        <v>437.79599999999999</v>
      </c>
      <c r="N145" s="1201" t="s">
        <v>89</v>
      </c>
      <c r="O145" s="603">
        <v>412</v>
      </c>
      <c r="P145" s="1197" t="s">
        <v>89</v>
      </c>
      <c r="Q145" s="603">
        <v>356.62799999999999</v>
      </c>
      <c r="R145" s="1205" t="s">
        <v>562</v>
      </c>
      <c r="S145" s="603">
        <v>384.62400000000002</v>
      </c>
      <c r="T145" s="1239" t="s">
        <v>89</v>
      </c>
      <c r="U145" s="603">
        <v>391</v>
      </c>
      <c r="V145" s="1197" t="s">
        <v>742</v>
      </c>
      <c r="W145" s="603">
        <v>436</v>
      </c>
      <c r="X145" s="1241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198"/>
      <c r="C146" s="777"/>
      <c r="D146" s="1198"/>
      <c r="E146" s="777"/>
      <c r="F146" s="1183"/>
      <c r="G146" s="777"/>
      <c r="H146" s="1237"/>
      <c r="I146" s="777"/>
      <c r="J146" s="1198"/>
      <c r="K146" s="777"/>
      <c r="L146" s="1238"/>
      <c r="M146" s="777"/>
      <c r="N146" s="1212"/>
      <c r="O146" s="777"/>
      <c r="P146" s="1198"/>
      <c r="Q146" s="777"/>
      <c r="R146" s="1206"/>
      <c r="S146" s="777"/>
      <c r="T146" s="1240"/>
      <c r="U146" s="777"/>
      <c r="V146" s="1198"/>
      <c r="W146" s="777"/>
      <c r="X146" s="1242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16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197" t="s">
        <v>670</v>
      </c>
      <c r="C154" s="602">
        <v>359</v>
      </c>
      <c r="D154" s="1197" t="s">
        <v>670</v>
      </c>
      <c r="E154" s="603">
        <v>439</v>
      </c>
      <c r="F154" s="1197" t="s">
        <v>670</v>
      </c>
      <c r="G154" s="603">
        <v>393</v>
      </c>
      <c r="H154" s="1243" t="s">
        <v>744</v>
      </c>
      <c r="I154" s="603">
        <v>314.94900000000001</v>
      </c>
      <c r="J154" s="1203" t="s">
        <v>89</v>
      </c>
      <c r="K154" s="603">
        <v>437.00099999999998</v>
      </c>
      <c r="L154" s="1243" t="s">
        <v>743</v>
      </c>
      <c r="M154" s="603">
        <v>399</v>
      </c>
      <c r="N154" s="1243" t="s">
        <v>743</v>
      </c>
      <c r="O154" s="603">
        <v>303</v>
      </c>
      <c r="P154" s="1216" t="s">
        <v>732</v>
      </c>
      <c r="Q154" s="603">
        <v>337</v>
      </c>
      <c r="R154" s="1216" t="s">
        <v>732</v>
      </c>
      <c r="S154" s="603">
        <v>339.16899999999998</v>
      </c>
      <c r="T154" s="1213" t="s">
        <v>562</v>
      </c>
      <c r="U154" s="603">
        <v>400</v>
      </c>
      <c r="V154" s="1186"/>
      <c r="W154" s="603">
        <v>358.84899999999999</v>
      </c>
      <c r="X154" s="1210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198"/>
      <c r="C155" s="777"/>
      <c r="D155" s="1198"/>
      <c r="E155" s="777"/>
      <c r="F155" s="1198"/>
      <c r="G155" s="777"/>
      <c r="H155" s="1198"/>
      <c r="I155" s="777"/>
      <c r="J155" s="1204"/>
      <c r="K155" s="777"/>
      <c r="L155" s="1198"/>
      <c r="M155" s="777"/>
      <c r="N155" s="1198"/>
      <c r="O155" s="777"/>
      <c r="P155" s="1217"/>
      <c r="Q155" s="777"/>
      <c r="R155" s="1217"/>
      <c r="S155" s="777"/>
      <c r="T155" s="1214"/>
      <c r="U155" s="777"/>
      <c r="V155" s="1187"/>
      <c r="W155" s="777"/>
      <c r="X155" s="1211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210"/>
      <c r="C163" s="602">
        <v>287.35199999999998</v>
      </c>
      <c r="D163" s="1210"/>
      <c r="E163" s="603">
        <v>416</v>
      </c>
      <c r="F163" s="1244" t="s">
        <v>89</v>
      </c>
      <c r="G163" s="603">
        <v>352.35399999999998</v>
      </c>
      <c r="H163" s="1201" t="s">
        <v>89</v>
      </c>
      <c r="I163" s="603">
        <v>361</v>
      </c>
      <c r="J163" s="1241"/>
      <c r="K163" s="603">
        <v>426</v>
      </c>
      <c r="L163" s="1241"/>
      <c r="M163" s="603">
        <v>394</v>
      </c>
      <c r="N163" s="1241"/>
      <c r="O163" s="603">
        <v>384</v>
      </c>
      <c r="P163" s="1186" t="s">
        <v>562</v>
      </c>
      <c r="Q163" s="603">
        <v>414</v>
      </c>
      <c r="R163" s="1210" t="s">
        <v>562</v>
      </c>
      <c r="S163" s="603">
        <v>480</v>
      </c>
      <c r="T163" s="1210"/>
      <c r="U163" s="603">
        <v>395</v>
      </c>
      <c r="V163" s="1186"/>
      <c r="W163" s="603">
        <v>329</v>
      </c>
      <c r="X163" s="1186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211"/>
      <c r="C164" s="777"/>
      <c r="D164" s="1211"/>
      <c r="E164" s="777"/>
      <c r="F164" s="1245"/>
      <c r="G164" s="777"/>
      <c r="H164" s="1212"/>
      <c r="I164" s="777"/>
      <c r="J164" s="1246"/>
      <c r="K164" s="777"/>
      <c r="L164" s="1242"/>
      <c r="M164" s="777"/>
      <c r="N164" s="1242"/>
      <c r="O164" s="777"/>
      <c r="P164" s="1187"/>
      <c r="Q164" s="777"/>
      <c r="R164" s="1211"/>
      <c r="S164" s="777"/>
      <c r="T164" s="1211"/>
      <c r="U164" s="777"/>
      <c r="V164" s="1187"/>
      <c r="W164" s="777"/>
      <c r="X164" s="1187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210"/>
      <c r="C172" s="602">
        <v>467</v>
      </c>
      <c r="D172" s="1210"/>
      <c r="E172" s="603">
        <v>443</v>
      </c>
      <c r="F172" s="1186"/>
      <c r="G172" s="603">
        <v>310.74299999999999</v>
      </c>
      <c r="H172" s="1210"/>
      <c r="I172" s="603">
        <v>479</v>
      </c>
      <c r="J172" s="1186" t="s">
        <v>562</v>
      </c>
      <c r="K172" s="603">
        <v>321</v>
      </c>
      <c r="L172" s="1182"/>
      <c r="M172" s="603">
        <v>506</v>
      </c>
      <c r="N172" s="1210"/>
      <c r="O172" s="603">
        <v>421.20699999999999</v>
      </c>
      <c r="P172" s="1210"/>
      <c r="Q172" s="603">
        <v>421</v>
      </c>
      <c r="R172" s="1197" t="s">
        <v>745</v>
      </c>
      <c r="S172" s="603">
        <v>406</v>
      </c>
      <c r="T172" s="1208"/>
      <c r="U172" s="603">
        <v>435</v>
      </c>
      <c r="V172" s="1210"/>
      <c r="W172" s="603">
        <v>532.75900000000001</v>
      </c>
      <c r="X172" s="1210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211"/>
      <c r="C173" s="777"/>
      <c r="D173" s="1211"/>
      <c r="E173" s="777"/>
      <c r="F173" s="1187"/>
      <c r="G173" s="777"/>
      <c r="H173" s="1211"/>
      <c r="I173" s="777"/>
      <c r="J173" s="1187"/>
      <c r="K173" s="777"/>
      <c r="L173" s="1183"/>
      <c r="M173" s="777"/>
      <c r="N173" s="1211"/>
      <c r="O173" s="777"/>
      <c r="P173" s="1211"/>
      <c r="Q173" s="777"/>
      <c r="R173" s="1198"/>
      <c r="S173" s="777"/>
      <c r="T173" s="1209"/>
      <c r="U173" s="777"/>
      <c r="V173" s="1211"/>
      <c r="W173" s="777"/>
      <c r="X173" s="1211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16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210"/>
      <c r="C182" s="602">
        <v>484</v>
      </c>
      <c r="D182" s="1210" t="s">
        <v>562</v>
      </c>
      <c r="E182" s="603">
        <v>611</v>
      </c>
      <c r="F182" s="1210"/>
      <c r="G182" s="603">
        <v>367</v>
      </c>
      <c r="H182" s="1186" t="s">
        <v>562</v>
      </c>
      <c r="I182" s="603">
        <v>468.584</v>
      </c>
      <c r="J182" s="1186"/>
      <c r="K182" s="603">
        <v>371.416</v>
      </c>
      <c r="L182" s="1186"/>
      <c r="M182" s="603">
        <v>370</v>
      </c>
      <c r="N182" s="1182"/>
      <c r="O182" s="603">
        <v>327</v>
      </c>
      <c r="P182" s="1186"/>
      <c r="Q182" s="603">
        <v>318</v>
      </c>
      <c r="R182" s="1186"/>
      <c r="S182" s="603">
        <v>339.76900000000001</v>
      </c>
      <c r="T182" s="1184"/>
      <c r="U182" s="603">
        <v>395.99900000000002</v>
      </c>
      <c r="V182" s="1182"/>
      <c r="W182" s="603">
        <v>377</v>
      </c>
      <c r="X182" s="1182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211"/>
      <c r="C183" s="777"/>
      <c r="D183" s="1211"/>
      <c r="E183" s="777"/>
      <c r="F183" s="1211"/>
      <c r="G183" s="777"/>
      <c r="H183" s="1187"/>
      <c r="I183" s="777"/>
      <c r="J183" s="1187"/>
      <c r="K183" s="777"/>
      <c r="L183" s="1187"/>
      <c r="M183" s="777"/>
      <c r="N183" s="1183"/>
      <c r="O183" s="777"/>
      <c r="P183" s="1187"/>
      <c r="Q183" s="777"/>
      <c r="R183" s="1187"/>
      <c r="S183" s="777"/>
      <c r="T183" s="1185"/>
      <c r="U183" s="777"/>
      <c r="V183" s="1183"/>
      <c r="W183" s="777"/>
      <c r="X183" s="1183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250" t="s">
        <v>749</v>
      </c>
      <c r="U187" s="1250"/>
      <c r="V187" s="1250"/>
      <c r="W187" s="1250"/>
      <c r="X187" s="1250"/>
      <c r="Y187" s="1250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82"/>
      <c r="C191" s="602">
        <v>393</v>
      </c>
      <c r="D191" s="1182"/>
      <c r="E191" s="603">
        <v>373.66</v>
      </c>
      <c r="F191" s="1184"/>
      <c r="G191" s="603">
        <v>363</v>
      </c>
      <c r="H191" s="1182"/>
      <c r="I191" s="603">
        <v>349</v>
      </c>
      <c r="J191" s="1182"/>
      <c r="K191" s="603">
        <v>386</v>
      </c>
      <c r="L191" s="1182"/>
      <c r="M191" s="603">
        <v>390</v>
      </c>
      <c r="N191" s="1182"/>
      <c r="O191" s="603">
        <v>417</v>
      </c>
      <c r="P191" s="1182"/>
      <c r="Q191" s="603">
        <v>422.99700000000001</v>
      </c>
      <c r="R191" s="1184"/>
      <c r="S191" s="603">
        <v>340</v>
      </c>
      <c r="T191" s="1182"/>
      <c r="U191" s="603">
        <v>365</v>
      </c>
      <c r="V191" s="1186"/>
      <c r="W191" s="603">
        <v>403</v>
      </c>
      <c r="X191" s="1182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83"/>
      <c r="C192" s="777"/>
      <c r="D192" s="1183"/>
      <c r="E192" s="777"/>
      <c r="F192" s="1185"/>
      <c r="G192" s="777"/>
      <c r="H192" s="1183"/>
      <c r="I192" s="777"/>
      <c r="J192" s="1183"/>
      <c r="K192" s="777"/>
      <c r="L192" s="1183"/>
      <c r="M192" s="777"/>
      <c r="N192" s="1183"/>
      <c r="O192" s="777"/>
      <c r="P192" s="1183"/>
      <c r="Q192" s="777"/>
      <c r="R192" s="1185"/>
      <c r="S192" s="777"/>
      <c r="T192" s="1183"/>
      <c r="U192" s="777"/>
      <c r="V192" s="1187"/>
      <c r="W192" s="777"/>
      <c r="X192" s="1183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251" t="s">
        <v>749</v>
      </c>
      <c r="C196" s="1252"/>
      <c r="D196" s="1252"/>
      <c r="E196" s="1252"/>
      <c r="F196" s="1252"/>
      <c r="G196" s="1252"/>
      <c r="H196" s="1252"/>
      <c r="I196" s="1252"/>
      <c r="J196" s="1252"/>
      <c r="K196" s="1252"/>
      <c r="L196" s="1252"/>
      <c r="M196" s="1252"/>
      <c r="N196" s="1252"/>
      <c r="O196" s="1252"/>
      <c r="P196" s="1252"/>
      <c r="Q196" s="1252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86"/>
      <c r="C200" s="602">
        <v>395</v>
      </c>
      <c r="D200" s="1247"/>
      <c r="E200" s="603">
        <v>385</v>
      </c>
      <c r="F200" s="1243" t="s">
        <v>747</v>
      </c>
      <c r="G200" s="603">
        <v>381</v>
      </c>
      <c r="H200" s="1243" t="s">
        <v>747</v>
      </c>
      <c r="I200" s="603">
        <v>395</v>
      </c>
      <c r="J200" s="1243" t="s">
        <v>747</v>
      </c>
      <c r="K200" s="603">
        <v>403</v>
      </c>
      <c r="L200" s="1243" t="s">
        <v>747</v>
      </c>
      <c r="M200" s="603">
        <v>383</v>
      </c>
      <c r="N200" s="1243" t="s">
        <v>747</v>
      </c>
      <c r="O200" s="603">
        <v>386</v>
      </c>
      <c r="P200" s="1243" t="s">
        <v>747</v>
      </c>
      <c r="Q200" s="603">
        <v>397</v>
      </c>
      <c r="R200" s="1243" t="s">
        <v>747</v>
      </c>
      <c r="S200" s="603">
        <v>370.834</v>
      </c>
      <c r="T200" s="1201" t="s">
        <v>798</v>
      </c>
      <c r="U200" s="603">
        <v>422</v>
      </c>
      <c r="V200" s="1197" t="s">
        <v>748</v>
      </c>
      <c r="W200" s="603">
        <v>417</v>
      </c>
      <c r="X200" s="1197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87"/>
      <c r="C201" s="777"/>
      <c r="D201" s="1248"/>
      <c r="E201" s="777"/>
      <c r="F201" s="1198"/>
      <c r="G201" s="777"/>
      <c r="H201" s="1198"/>
      <c r="I201" s="777"/>
      <c r="J201" s="1198"/>
      <c r="K201" s="777"/>
      <c r="L201" s="1198"/>
      <c r="M201" s="777"/>
      <c r="N201" s="1198"/>
      <c r="O201" s="777"/>
      <c r="P201" s="1198"/>
      <c r="Q201" s="777"/>
      <c r="R201" s="1198"/>
      <c r="S201" s="777"/>
      <c r="T201" s="1207"/>
      <c r="U201" s="777"/>
      <c r="V201" s="1198"/>
      <c r="W201" s="777"/>
      <c r="X201" s="1198"/>
      <c r="Y201" s="774"/>
      <c r="Z201" s="746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197" t="s">
        <v>748</v>
      </c>
      <c r="C209" s="602">
        <v>421</v>
      </c>
      <c r="D209" s="1197" t="s">
        <v>748</v>
      </c>
      <c r="E209" s="603">
        <v>419</v>
      </c>
      <c r="F209" s="1197" t="s">
        <v>748</v>
      </c>
      <c r="G209" s="603">
        <v>402</v>
      </c>
      <c r="H209" s="1249" t="s">
        <v>699</v>
      </c>
      <c r="I209" s="603">
        <v>402</v>
      </c>
      <c r="J209" s="1249" t="s">
        <v>699</v>
      </c>
      <c r="K209" s="603">
        <v>411</v>
      </c>
      <c r="L209" s="1249" t="s">
        <v>699</v>
      </c>
      <c r="M209" s="603">
        <v>355.16899999999998</v>
      </c>
      <c r="N209" s="1197" t="s">
        <v>748</v>
      </c>
      <c r="O209" s="603">
        <v>390</v>
      </c>
      <c r="P209" s="1197" t="s">
        <v>745</v>
      </c>
      <c r="Q209" s="603">
        <v>380</v>
      </c>
      <c r="R209" s="1197" t="s">
        <v>745</v>
      </c>
      <c r="S209" s="603">
        <v>390</v>
      </c>
      <c r="T209" s="1197" t="s">
        <v>745</v>
      </c>
      <c r="U209" s="603">
        <v>398</v>
      </c>
      <c r="V209" s="1241"/>
      <c r="W209" s="603">
        <v>406</v>
      </c>
      <c r="X209" s="1197" t="s">
        <v>745</v>
      </c>
      <c r="Y209" s="773">
        <v>371</v>
      </c>
      <c r="Z209" s="746">
        <v>11</v>
      </c>
      <c r="AA209" s="637">
        <v>10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198"/>
      <c r="C210" s="777"/>
      <c r="D210" s="1198"/>
      <c r="E210" s="777"/>
      <c r="F210" s="1198"/>
      <c r="G210" s="777"/>
      <c r="H210" s="1232"/>
      <c r="I210" s="777"/>
      <c r="J210" s="1232"/>
      <c r="K210" s="777"/>
      <c r="L210" s="1232"/>
      <c r="M210" s="777"/>
      <c r="N210" s="1198"/>
      <c r="O210" s="777"/>
      <c r="P210" s="1198"/>
      <c r="Q210" s="777"/>
      <c r="R210" s="1198"/>
      <c r="S210" s="777"/>
      <c r="T210" s="1198"/>
      <c r="U210" s="777"/>
      <c r="V210" s="1242"/>
      <c r="W210" s="777"/>
      <c r="X210" s="1198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16"/>
      <c r="C214" s="916"/>
      <c r="D214" s="916"/>
      <c r="E214" s="916"/>
      <c r="F214" s="916"/>
      <c r="G214" s="916"/>
      <c r="H214" s="916"/>
      <c r="I214" s="916"/>
      <c r="J214" s="916"/>
      <c r="K214" s="916"/>
      <c r="L214" s="916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197" t="s">
        <v>745</v>
      </c>
      <c r="C218" s="602">
        <v>392</v>
      </c>
      <c r="D218" s="1197" t="s">
        <v>745</v>
      </c>
      <c r="E218" s="603">
        <v>390</v>
      </c>
      <c r="F218" s="1186" t="s">
        <v>562</v>
      </c>
      <c r="G218" s="603">
        <v>401</v>
      </c>
      <c r="H218" s="1186" t="s">
        <v>562</v>
      </c>
      <c r="I218" s="603">
        <v>406.005</v>
      </c>
      <c r="J218" s="1203"/>
      <c r="K218" s="603">
        <v>385</v>
      </c>
      <c r="L218" s="1249" t="s">
        <v>699</v>
      </c>
      <c r="M218" s="603">
        <v>380</v>
      </c>
      <c r="N218" s="1249" t="s">
        <v>699</v>
      </c>
      <c r="O218" s="603">
        <v>380</v>
      </c>
      <c r="P218" s="1249" t="s">
        <v>699</v>
      </c>
      <c r="Q218" s="603">
        <v>382</v>
      </c>
      <c r="R218" s="1249" t="s">
        <v>699</v>
      </c>
      <c r="S218" s="603">
        <v>383.99099999999999</v>
      </c>
      <c r="T218" s="1249" t="s">
        <v>699</v>
      </c>
      <c r="U218" s="603">
        <v>392.29500000000002</v>
      </c>
      <c r="V218" s="1186"/>
      <c r="W218" s="603">
        <v>401.31</v>
      </c>
      <c r="X218" s="1184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198"/>
      <c r="C219" s="777"/>
      <c r="D219" s="1198"/>
      <c r="E219" s="777"/>
      <c r="F219" s="1187"/>
      <c r="G219" s="777"/>
      <c r="H219" s="1187"/>
      <c r="I219" s="777"/>
      <c r="J219" s="1204"/>
      <c r="K219" s="777"/>
      <c r="L219" s="1232"/>
      <c r="M219" s="777"/>
      <c r="N219" s="1232"/>
      <c r="O219" s="777"/>
      <c r="P219" s="1232"/>
      <c r="Q219" s="777"/>
      <c r="R219" s="1232"/>
      <c r="S219" s="777"/>
      <c r="T219" s="1232"/>
      <c r="U219" s="777"/>
      <c r="V219" s="1187"/>
      <c r="W219" s="777"/>
      <c r="X219" s="1185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82"/>
      <c r="C227" s="602">
        <v>368</v>
      </c>
      <c r="D227" s="1182"/>
      <c r="E227" s="603">
        <v>440</v>
      </c>
      <c r="F227" s="1182"/>
      <c r="G227" s="603">
        <v>364.13200000000001</v>
      </c>
      <c r="H227" s="1184"/>
      <c r="I227" s="603">
        <v>407</v>
      </c>
      <c r="J227" s="1182"/>
      <c r="K227" s="603">
        <v>375</v>
      </c>
      <c r="L227" s="1182"/>
      <c r="M227" s="603">
        <v>313</v>
      </c>
      <c r="N227" s="1182"/>
      <c r="O227" s="603">
        <v>388</v>
      </c>
      <c r="P227" s="1186" t="s">
        <v>562</v>
      </c>
      <c r="Q227" s="603">
        <v>414</v>
      </c>
      <c r="R227" s="1186" t="s">
        <v>562</v>
      </c>
      <c r="S227" s="603">
        <v>385</v>
      </c>
      <c r="T227" s="1182"/>
      <c r="U227" s="603">
        <v>360</v>
      </c>
      <c r="V227" s="1182"/>
      <c r="W227" s="612">
        <v>382</v>
      </c>
      <c r="X227" s="1182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83"/>
      <c r="C228" s="777"/>
      <c r="D228" s="1183"/>
      <c r="E228" s="777"/>
      <c r="F228" s="1183"/>
      <c r="G228" s="777"/>
      <c r="H228" s="1185"/>
      <c r="I228" s="777"/>
      <c r="J228" s="1183"/>
      <c r="K228" s="777"/>
      <c r="L228" s="1183"/>
      <c r="M228" s="777"/>
      <c r="N228" s="1183"/>
      <c r="O228" s="777"/>
      <c r="P228" s="1187"/>
      <c r="Q228" s="777"/>
      <c r="R228" s="1187"/>
      <c r="S228" s="777"/>
      <c r="T228" s="1183"/>
      <c r="U228" s="777"/>
      <c r="V228" s="1183"/>
      <c r="W228" s="777"/>
      <c r="X228" s="1183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86" t="s">
        <v>562</v>
      </c>
      <c r="C236" s="602">
        <v>429</v>
      </c>
      <c r="D236" s="1182"/>
      <c r="E236" s="603">
        <v>383</v>
      </c>
      <c r="F236" s="1182"/>
      <c r="G236" s="603">
        <v>447.10700000000003</v>
      </c>
      <c r="H236" s="1210" t="s">
        <v>562</v>
      </c>
      <c r="I236" s="603">
        <v>416</v>
      </c>
      <c r="J236" s="1182"/>
      <c r="K236" s="603">
        <v>389</v>
      </c>
      <c r="L236" s="1182"/>
      <c r="M236" s="603">
        <v>380</v>
      </c>
      <c r="N236" s="1186" t="s">
        <v>562</v>
      </c>
      <c r="O236" s="603">
        <v>362.38400000000001</v>
      </c>
      <c r="P236" s="1210" t="s">
        <v>562</v>
      </c>
      <c r="Q236" s="603">
        <v>263.31</v>
      </c>
      <c r="R236" s="1184"/>
      <c r="S236" s="603">
        <v>393</v>
      </c>
      <c r="T236" s="1186" t="s">
        <v>562</v>
      </c>
      <c r="U236" s="603">
        <v>384.17</v>
      </c>
      <c r="V236" s="1184"/>
      <c r="W236" s="603">
        <v>348</v>
      </c>
      <c r="X236" s="1182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87"/>
      <c r="C237" s="777"/>
      <c r="D237" s="1183"/>
      <c r="E237" s="777"/>
      <c r="F237" s="1183"/>
      <c r="G237" s="777"/>
      <c r="H237" s="1211"/>
      <c r="I237" s="777"/>
      <c r="J237" s="1183"/>
      <c r="K237" s="777"/>
      <c r="L237" s="1183"/>
      <c r="M237" s="777"/>
      <c r="N237" s="1187"/>
      <c r="O237" s="777"/>
      <c r="P237" s="1211"/>
      <c r="Q237" s="777"/>
      <c r="R237" s="1185"/>
      <c r="S237" s="777"/>
      <c r="T237" s="1187"/>
      <c r="U237" s="777"/>
      <c r="V237" s="1185"/>
      <c r="W237" s="777"/>
      <c r="X237" s="1183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253" t="s">
        <v>749</v>
      </c>
      <c r="S241" s="1253"/>
      <c r="T241" s="1253"/>
      <c r="U241" s="1253"/>
      <c r="V241" s="1253"/>
      <c r="W241" s="1253"/>
      <c r="X241" s="1253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82"/>
      <c r="C245" s="602">
        <v>428.52600000000001</v>
      </c>
      <c r="D245" s="1254" t="s">
        <v>562</v>
      </c>
      <c r="E245" s="603">
        <v>194.62799999999999</v>
      </c>
      <c r="F245" s="1184"/>
      <c r="G245" s="603">
        <v>203.14099999999999</v>
      </c>
      <c r="H245" s="1184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944">
        <v>1</v>
      </c>
      <c r="T245" s="829" t="s">
        <v>666</v>
      </c>
      <c r="U245" s="829" t="s">
        <v>89</v>
      </c>
      <c r="V245" s="829"/>
      <c r="W245" s="816" t="s">
        <v>752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83"/>
      <c r="C246" s="769"/>
      <c r="D246" s="1255"/>
      <c r="E246" s="769"/>
      <c r="F246" s="1185"/>
      <c r="G246" s="769"/>
      <c r="H246" s="1185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948">
        <f>S245+1</f>
        <v>2</v>
      </c>
      <c r="T246" s="782" t="s">
        <v>669</v>
      </c>
      <c r="U246" s="949" t="s">
        <v>753</v>
      </c>
      <c r="V246" s="763"/>
      <c r="W246" s="950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7"/>
      <c r="K247" s="598"/>
      <c r="L247" s="598"/>
      <c r="M247" s="598"/>
      <c r="N247" s="598"/>
      <c r="O247" s="598"/>
      <c r="P247" s="776"/>
      <c r="Q247" s="776"/>
      <c r="R247" s="776"/>
      <c r="S247" s="944">
        <f>S246+1</f>
        <v>3</v>
      </c>
      <c r="T247" s="945" t="s">
        <v>671</v>
      </c>
      <c r="U247" s="946" t="s">
        <v>672</v>
      </c>
      <c r="V247" s="947"/>
      <c r="W247" s="816" t="s">
        <v>752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7"/>
      <c r="K248" s="598"/>
      <c r="L248" s="598"/>
      <c r="M248" s="598"/>
      <c r="N248" s="598"/>
      <c r="O248" s="598"/>
      <c r="P248" s="605"/>
      <c r="Q248" s="605"/>
      <c r="R248" s="605"/>
      <c r="S248" s="815">
        <v>4</v>
      </c>
      <c r="T248" s="820" t="s">
        <v>698</v>
      </c>
      <c r="U248" s="821" t="s">
        <v>673</v>
      </c>
      <c r="V248" s="822"/>
      <c r="W248" s="816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948">
        <v>5</v>
      </c>
      <c r="T249" s="782" t="s">
        <v>792</v>
      </c>
      <c r="U249" s="949" t="s">
        <v>773</v>
      </c>
      <c r="V249" s="948"/>
      <c r="W249" s="948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51" t="s">
        <v>749</v>
      </c>
      <c r="B250" s="1252"/>
      <c r="C250" s="1252"/>
      <c r="D250" s="1252"/>
      <c r="E250" s="1252"/>
      <c r="F250" s="1252"/>
      <c r="G250" s="1252"/>
      <c r="H250" s="1252"/>
      <c r="I250" s="607"/>
      <c r="J250" s="817"/>
      <c r="K250" s="598"/>
      <c r="L250" s="598"/>
      <c r="M250" s="598"/>
      <c r="N250" s="598"/>
      <c r="O250" s="598"/>
      <c r="P250" s="605"/>
      <c r="Q250" s="605"/>
      <c r="R250" s="605"/>
      <c r="S250" s="815">
        <f>S249+1</f>
        <v>6</v>
      </c>
      <c r="T250" s="820" t="s">
        <v>697</v>
      </c>
      <c r="U250" s="821" t="s">
        <v>755</v>
      </c>
      <c r="V250" s="822"/>
      <c r="W250" s="816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3"/>
      <c r="B251" s="824"/>
      <c r="C251" s="824"/>
      <c r="D251" s="824"/>
      <c r="E251" s="824"/>
      <c r="F251" s="824"/>
      <c r="G251" s="824"/>
      <c r="H251" s="824"/>
      <c r="I251" s="607"/>
      <c r="J251" s="817"/>
      <c r="K251" s="598"/>
      <c r="L251" s="598"/>
      <c r="M251" s="598"/>
      <c r="N251" s="598"/>
      <c r="O251" s="598"/>
      <c r="P251" s="605"/>
      <c r="Q251" s="605"/>
      <c r="R251" s="605"/>
      <c r="S251" s="815">
        <v>7</v>
      </c>
      <c r="T251" s="820" t="s">
        <v>757</v>
      </c>
      <c r="U251" s="821" t="s">
        <v>758</v>
      </c>
      <c r="V251" s="815"/>
      <c r="W251" s="815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5" t="s">
        <v>756</v>
      </c>
      <c r="B252" s="826"/>
      <c r="C252" s="826"/>
      <c r="D252" s="826"/>
      <c r="E252" s="826"/>
      <c r="F252" s="826"/>
      <c r="G252" s="826"/>
      <c r="H252" s="826"/>
      <c r="I252" s="827"/>
      <c r="J252" s="828"/>
      <c r="K252" s="829"/>
      <c r="L252" s="829"/>
      <c r="M252" s="598"/>
      <c r="N252" s="598"/>
      <c r="O252" s="598"/>
      <c r="P252" s="605"/>
      <c r="Q252" s="605"/>
      <c r="R252" s="605"/>
      <c r="S252" s="815">
        <f>S251+1</f>
        <v>8</v>
      </c>
      <c r="T252" s="816" t="s">
        <v>667</v>
      </c>
      <c r="U252" s="816" t="s">
        <v>751</v>
      </c>
      <c r="V252" s="816"/>
      <c r="W252" s="816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3"/>
      <c r="B253" s="824"/>
      <c r="C253" s="824"/>
      <c r="D253" s="824"/>
      <c r="E253" s="824"/>
      <c r="F253" s="824"/>
      <c r="G253" s="824"/>
      <c r="H253" s="824"/>
      <c r="I253" s="607"/>
      <c r="J253" s="817"/>
      <c r="K253" s="598"/>
      <c r="L253" s="598"/>
      <c r="M253" s="598"/>
      <c r="N253" s="598"/>
      <c r="O253" s="598"/>
      <c r="P253" s="605"/>
      <c r="Q253" s="605"/>
      <c r="R253" s="605"/>
      <c r="S253" s="815">
        <f>S252+1</f>
        <v>9</v>
      </c>
      <c r="T253" s="818" t="s">
        <v>668</v>
      </c>
      <c r="U253" s="816" t="s">
        <v>670</v>
      </c>
      <c r="V253" s="819"/>
      <c r="W253" s="816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0"/>
      <c r="B254" s="831"/>
      <c r="C254" s="831"/>
      <c r="D254" s="832"/>
      <c r="E254" s="831"/>
      <c r="F254" s="832"/>
      <c r="G254" s="831"/>
      <c r="H254" s="831"/>
      <c r="I254" s="831"/>
      <c r="J254" s="831"/>
      <c r="K254" s="831"/>
      <c r="L254" s="831"/>
      <c r="M254" s="831"/>
      <c r="N254" s="831"/>
      <c r="O254" s="831"/>
      <c r="P254" s="832"/>
      <c r="Q254" s="833"/>
      <c r="R254" s="832"/>
      <c r="S254" s="834"/>
      <c r="T254" s="834"/>
      <c r="U254" s="834"/>
      <c r="V254" s="834"/>
      <c r="W254" s="834"/>
      <c r="X254" s="835"/>
      <c r="Y254" s="836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774</v>
      </c>
      <c r="B1" s="734" t="s">
        <v>775</v>
      </c>
      <c r="C1" s="734" t="s">
        <v>776</v>
      </c>
      <c r="D1" s="734" t="s">
        <v>777</v>
      </c>
      <c r="E1" s="734" t="s">
        <v>778</v>
      </c>
      <c r="F1" s="735" t="s">
        <v>779</v>
      </c>
      <c r="G1" s="736" t="s">
        <v>780</v>
      </c>
      <c r="H1" s="737" t="s">
        <v>781</v>
      </c>
      <c r="I1" s="738" t="s">
        <v>782</v>
      </c>
      <c r="J1" s="735" t="s">
        <v>783</v>
      </c>
      <c r="K1" s="734" t="s">
        <v>784</v>
      </c>
      <c r="L1" s="735" t="s">
        <v>785</v>
      </c>
      <c r="M1" s="739" t="s">
        <v>786</v>
      </c>
      <c r="N1" s="733" t="s">
        <v>787</v>
      </c>
      <c r="O1" s="740" t="s">
        <v>788</v>
      </c>
      <c r="P1" s="741" t="s">
        <v>789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790</v>
      </c>
      <c r="V1" s="734" t="s">
        <v>791</v>
      </c>
      <c r="W1" s="741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2026-04-05T04:32:26Z</dcterms:modified>
</cp:coreProperties>
</file>