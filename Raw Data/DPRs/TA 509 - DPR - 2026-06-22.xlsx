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Dass32\Downloads\"/>
    </mc:Choice>
  </mc:AlternateContent>
  <xr:revisionPtr revIDLastSave="0" documentId="13_ncr:1_{94AB5B39-4F4E-4067-8891-6088C3E78A7E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Visual Chart" sheetId="36" r:id="rId1"/>
    <sheet name="VC-765kV MKTL" sheetId="30" state="hidden" r:id="rId2"/>
    <sheet name="DPR" sheetId="34" r:id="rId3"/>
    <sheet name="FDN pivot" sheetId="31" state="hidden" r:id="rId4"/>
    <sheet name="Erc pivot" sheetId="32" state="hidden" r:id="rId5"/>
    <sheet name="SUMMARY" sheetId="13" r:id="rId6"/>
    <sheet name="FOUNDATION" sheetId="33" r:id="rId7"/>
    <sheet name="ERECTION" sheetId="16" r:id="rId8"/>
    <sheet name="Sheet2" sheetId="35" state="hidden" r:id="rId9"/>
    <sheet name="XING" sheetId="20" state="hidden" r:id="rId10"/>
    <sheet name="EARTHING" sheetId="12" state="hidden" r:id="rId11"/>
    <sheet name="SUPPLY" sheetId="19" state="hidden" r:id="rId12"/>
    <sheet name="CST Gantry To AP 68 Common Poin" sheetId="28" state="hidden" r:id="rId13"/>
    <sheet name="Sheet1" sheetId="17" state="hidden" r:id="rId14"/>
    <sheet name="SURVEY SUMMARY" sheetId="14" state="hidden" r:id="rId15"/>
    <sheet name="SURVEY STATUS " sheetId="15" state="hidden" r:id="rId16"/>
    <sheet name="Erection productivity" sheetId="22" state="hidden" r:id="rId17"/>
  </sheets>
  <externalReferences>
    <externalReference r:id="rId18"/>
    <externalReference r:id="rId19"/>
    <externalReference r:id="rId20"/>
    <externalReference r:id="rId21"/>
  </externalReferences>
  <definedNames>
    <definedName name="\0" localSheetId="2">#REF!</definedName>
    <definedName name="\0" localSheetId="6">#REF!</definedName>
    <definedName name="\0" localSheetId="0">#REF!</definedName>
    <definedName name="\0">#REF!</definedName>
    <definedName name="\2">#REF!</definedName>
    <definedName name="\A" localSheetId="6">#REF!</definedName>
    <definedName name="\A">#REF!</definedName>
    <definedName name="\A_1">"#REF!"</definedName>
    <definedName name="\B" localSheetId="2">#REF!</definedName>
    <definedName name="\B" localSheetId="6">#REF!</definedName>
    <definedName name="\B">#REF!</definedName>
    <definedName name="\C" localSheetId="2">#REF!</definedName>
    <definedName name="\C">#REF!</definedName>
    <definedName name="\c1" localSheetId="2">#REF!</definedName>
    <definedName name="\c1">#REF!</definedName>
    <definedName name="\d" localSheetId="2">#N/A</definedName>
    <definedName name="\D">#REF!</definedName>
    <definedName name="\g" localSheetId="2">#REF!</definedName>
    <definedName name="\g">#REF!</definedName>
    <definedName name="\H" localSheetId="2">#REF!</definedName>
    <definedName name="\H">#REF!</definedName>
    <definedName name="\i" localSheetId="2">#REF!</definedName>
    <definedName name="\i">#REF!</definedName>
    <definedName name="\KWS123">#N/A</definedName>
    <definedName name="\l">#REF!</definedName>
    <definedName name="\M" localSheetId="2">#REF!</definedName>
    <definedName name="\M">#REF!</definedName>
    <definedName name="\N" localSheetId="2">#REF!</definedName>
    <definedName name="\N">#REF!</definedName>
    <definedName name="\P">#REF!</definedName>
    <definedName name="\q">#N/A</definedName>
    <definedName name="\R" localSheetId="2">#REF!</definedName>
    <definedName name="\R">#REF!</definedName>
    <definedName name="\S" localSheetId="2">#REF!</definedName>
    <definedName name="\S">#REF!</definedName>
    <definedName name="\t">#N/A</definedName>
    <definedName name="\U" localSheetId="2">#REF!</definedName>
    <definedName name="\U">#REF!</definedName>
    <definedName name="\V" localSheetId="2">#REF!</definedName>
    <definedName name="\V">#REF!</definedName>
    <definedName name="\z" localSheetId="2">#REF!</definedName>
    <definedName name="\z">#REF!</definedName>
    <definedName name="_" localSheetId="2">#REF!</definedName>
    <definedName name="_">"tcap"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0">(#REF!,#REF!)</definedName>
    <definedName name="______________________________________________xlnm.Print_Titles_2">(#REF!,#REF!)</definedName>
    <definedName name="_____________________________________________dol12">#REF!</definedName>
    <definedName name="_____________________________________________dol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>#REF!</definedName>
    <definedName name="___________________________________________dol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>(#REF!,#REF!)</definedName>
    <definedName name="___________________________________________xlnm.Print_Titles_3">(#REF!,#REF!)</definedName>
    <definedName name="__________________________________________dol12">#REF!</definedName>
    <definedName name="__________________________________________dol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>#REF!</definedName>
    <definedName name="_________________________________________dol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>#REF!</definedName>
    <definedName name="________________________________________dol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>(#REF!,#REF!)</definedName>
    <definedName name="________________________________________xlnm.Print_Titles_3">(#REF!,#REF!)</definedName>
    <definedName name="_______________________________________dol12">#REF!</definedName>
    <definedName name="_______________________________________dol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>(#REF!,#REF!)</definedName>
    <definedName name="_______________________________________xlnm.Print_Titles_3">(#REF!,#REF!)</definedName>
    <definedName name="______________________________________dol12">#REF!</definedName>
    <definedName name="______________________________________dol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>(#REF!,#REF!)</definedName>
    <definedName name="______________________________________xlnm.Print_Titles_3">(#REF!,#REF!)</definedName>
    <definedName name="_____________________________________dol12">#REF!</definedName>
    <definedName name="_____________________________________dol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>(#REF!,#REF!)</definedName>
    <definedName name="_____________________________________xlnm.Print_Titles_3">(#REF!,#REF!)</definedName>
    <definedName name="____________________________________dol12">#REF!</definedName>
    <definedName name="____________________________________dol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>(#REF!,#REF!)</definedName>
    <definedName name="____________________________________xlnm.Print_Titles_3">(#REF!,#REF!)</definedName>
    <definedName name="___________________________________dol12">#REF!</definedName>
    <definedName name="___________________________________dol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>(#REF!,#REF!)</definedName>
    <definedName name="___________________________________xlnm.Print_Titles_3">(#REF!,#REF!)</definedName>
    <definedName name="__________________________________dol12">#REF!</definedName>
    <definedName name="__________________________________dol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>(#REF!,#REF!)</definedName>
    <definedName name="__________________________________xlnm.Print_Titles_3">(#REF!,#REF!)</definedName>
    <definedName name="_________________________________dol12">#REF!</definedName>
    <definedName name="_________________________________dol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>(#REF!,#REF!)</definedName>
    <definedName name="_________________________________xlnm.Print_Titles_3">(#REF!,#REF!)</definedName>
    <definedName name="________________________________dol12">#REF!</definedName>
    <definedName name="________________________________dol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>(#REF!,#REF!)</definedName>
    <definedName name="________________________________xlnm.Print_Titles_3">(#REF!,#REF!)</definedName>
    <definedName name="_______________________________dol12">#REF!</definedName>
    <definedName name="_______________________________dol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>#REF!</definedName>
    <definedName name="______________________________dol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>(#REF!,#REF!)</definedName>
    <definedName name="______________________________xlnm.Print_Titles_3">(#REF!,#REF!)</definedName>
    <definedName name="_____________________________dol12">#REF!</definedName>
    <definedName name="_____________________________dol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>(#REF!,#REF!)</definedName>
    <definedName name="_____________________________xlnm.Print_Titles_3">(#REF!,#REF!)</definedName>
    <definedName name="____________________________dol12">#REF!</definedName>
    <definedName name="____________________________dol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>(#REF!,#REF!)</definedName>
    <definedName name="____________________________xlnm.Print_Titles_3">(#REF!,#REF!)</definedName>
    <definedName name="___________________________dol12">#REF!</definedName>
    <definedName name="___________________________dol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>(#REF!,#REF!)</definedName>
    <definedName name="___________________________xlnm.Print_Titles_3">(#REF!,#REF!)</definedName>
    <definedName name="__________________________b111121">#REF!</definedName>
    <definedName name="__________________________dol12">#REF!</definedName>
    <definedName name="__________________________dol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>(#REF!,#REF!)</definedName>
    <definedName name="__________________________xlnm.Print_Titles_3">(#REF!,#REF!)</definedName>
    <definedName name="_________________________b111121">#REF!</definedName>
    <definedName name="_________________________dol12">#REF!</definedName>
    <definedName name="_________________________dol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>(#REF!,#REF!)</definedName>
    <definedName name="_________________________xlnm.Print_Titles_3">(#REF!,#REF!)</definedName>
    <definedName name="________________________b111121">#REF!</definedName>
    <definedName name="________________________dol12">#REF!</definedName>
    <definedName name="________________________dol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>(#REF!,#REF!)</definedName>
    <definedName name="________________________xlnm.Print_Titles_3">(#REF!,#REF!)</definedName>
    <definedName name="_______________________b111121">#REF!</definedName>
    <definedName name="_______________________dol12">#REF!</definedName>
    <definedName name="_______________________dol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>(#REF!,#REF!)</definedName>
    <definedName name="_______________________xlnm.Print_Titles_3">(#REF!,#REF!)</definedName>
    <definedName name="______________________b111121">#REF!</definedName>
    <definedName name="______________________dol12">#REF!</definedName>
    <definedName name="______________________dol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>(#REF!,#REF!)</definedName>
    <definedName name="______________________xlnm.Print_Titles_3">(#REF!,#REF!)</definedName>
    <definedName name="_____________________b111121">#REF!</definedName>
    <definedName name="_____________________dol12">#REF!</definedName>
    <definedName name="_____________________dol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>(#REF!,#REF!)</definedName>
    <definedName name="_____________________xlnm.Print_Titles_3">(#REF!,#REF!)</definedName>
    <definedName name="____________________b111121">#REF!</definedName>
    <definedName name="____________________dol12">#REF!</definedName>
    <definedName name="____________________dol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#REF!</definedName>
    <definedName name="____________________TAB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0" hidden="1">{"'PROFITABILITY'!$A$1:$F$45"}</definedName>
    <definedName name="___________________aa1" hidden="1">{"'PROFITABILITY'!$A$1:$F$45"}</definedName>
    <definedName name="___________________b111121">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#REF!</definedName>
    <definedName name="___________________Nov2007" localSheetId="0" hidden="1">{"'PROFITABILITY'!$A$1:$F$45"}</definedName>
    <definedName name="___________________Nov2007" hidden="1">{"'PROFITABILITY'!$A$1:$F$45"}</definedName>
    <definedName name="___________________TAB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0">(#REF!,#REF!)</definedName>
    <definedName name="___________________xlnm.Print_Titles_2">(#REF!,#REF!)</definedName>
    <definedName name="___________________xlnm.Print_Titles_3">(#REF!,#REF!)</definedName>
    <definedName name="__________________aa1" localSheetId="0" hidden="1">{"'PROFITABILITY'!$A$1:$F$45"}</definedName>
    <definedName name="__________________aa1" hidden="1">{"'PROFITABILITY'!$A$1:$F$45"}</definedName>
    <definedName name="__________________b111121">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0" hidden="1">{"'PROFITABILITY'!$A$1:$F$45"}</definedName>
    <definedName name="__________________Nov2007" hidden="1">{"'PROFITABILITY'!$A$1:$F$45"}</definedName>
    <definedName name="__________________TAB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0">(#REF!,#REF!)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0" hidden="1">{"'PROFITABILITY'!$A$1:$F$45"}</definedName>
    <definedName name="_________________aa1" hidden="1">{"'PROFITABILITY'!$A$1:$F$45"}</definedName>
    <definedName name="_________________b111121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#REF!</definedName>
    <definedName name="_________________m20">#REF!</definedName>
    <definedName name="_________________Nov2007" localSheetId="0" hidden="1">{"'PROFITABILITY'!$A$1:$F$45"}</definedName>
    <definedName name="_________________Nov2007" hidden="1">{"'PROFITABILITY'!$A$1:$F$45"}</definedName>
    <definedName name="_________________TAB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0">(#REF!,#REF!)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0" hidden="1">{"'PROFITABILITY'!$A$1:$F$45"}</definedName>
    <definedName name="________________aa1" hidden="1">{"'PROFITABILITY'!$A$1:$F$45"}</definedName>
    <definedName name="________________b111121">#REF!</definedName>
    <definedName name="________________can430">40.73</definedName>
    <definedName name="________________can435">43.3</definedName>
    <definedName name="________________dol12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0" hidden="1">{"'PROFITABILITY'!$A$1:$F$45"}</definedName>
    <definedName name="________________Nov2007" hidden="1">{"'PROFITABILITY'!$A$1:$F$45"}</definedName>
    <definedName name="________________TAB1">#REF!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0">(#REF!,#REF!)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b111121">#REF!</definedName>
    <definedName name="_______________can430">40.73</definedName>
    <definedName name="_______________can435">43.3</definedName>
    <definedName name="_______________dol12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#REF!</definedName>
    <definedName name="_______________m20">#REF!</definedName>
    <definedName name="_______________m234">#REF!</definedName>
    <definedName name="_______________TAB1">#REF!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0" hidden="1">{"'PROFITABILITY'!$A$1:$F$45"}</definedName>
    <definedName name="______________aa1" hidden="1">{"'PROFITABILITY'!$A$1:$F$45"}</definedName>
    <definedName name="______________b111121">#REF!</definedName>
    <definedName name="______________can430">40.73</definedName>
    <definedName name="______________can435">43.3</definedName>
    <definedName name="______________cem124">#REF!</definedName>
    <definedName name="______________dol12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0" hidden="1">{"'PROFITABILITY'!$A$1:$F$45"}</definedName>
    <definedName name="______________Nov2007" hidden="1">{"'PROFITABILITY'!$A$1:$F$45"}</definedName>
    <definedName name="______________TAB1">#REF!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0">(#REF!,#REF!)</definedName>
    <definedName name="______________xlnm.Print_Titles_2">(#REF!,#REF!)</definedName>
    <definedName name="______________xlnm.Print_Titles_3">(#REF!,#REF!)</definedName>
    <definedName name="_____________A65537" localSheetId="2">#REF!</definedName>
    <definedName name="_____________A65537">#REF!</definedName>
    <definedName name="_____________A71614">#REF!</definedName>
    <definedName name="_____________A81614">#REF!</definedName>
    <definedName name="_____________A91614">#REF!</definedName>
    <definedName name="_____________aa1" localSheetId="0" hidden="1">{"'PROFITABILITY'!$A$1:$F$45"}</definedName>
    <definedName name="_____________aa1" hidden="1">{"'PROFITABILITY'!$A$1:$F$45"}</definedName>
    <definedName name="_____________b111121">#REF!</definedName>
    <definedName name="_____________can430">40.73</definedName>
    <definedName name="_____________can435">43.3</definedName>
    <definedName name="_____________cem124">#REF!</definedName>
    <definedName name="_____________dec05" localSheetId="0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0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hidden="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0">(#REF!,#REF!)</definedName>
    <definedName name="_____________xlnm.Print_Titles_2">(#REF!,#REF!)</definedName>
    <definedName name="_____________xlnm.Print_Titles_3">(#REF!,#REF!)</definedName>
    <definedName name="____________A655600" localSheetId="2">#REF!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0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#REF!</definedName>
    <definedName name="____________can430">40.73</definedName>
    <definedName name="____________can435">43.3</definedName>
    <definedName name="____________dec05" localSheetId="0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 localSheetId="2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0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hidden="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 localSheetId="0">(#REF!,#REF!)</definedName>
    <definedName name="____________xlnm.Print_Titles_2">(#REF!,#REF!)</definedName>
    <definedName name="____________xlnm.Print_Titles_3">(#REF!,#REF!)</definedName>
    <definedName name="___________A65537" localSheetId="2">#REF!</definedName>
    <definedName name="___________A65537">#REF!</definedName>
    <definedName name="___________A655600" localSheetId="2">#REF!</definedName>
    <definedName name="___________A655600">#REF!</definedName>
    <definedName name="___________a655601" localSheetId="2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0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430">40.73</definedName>
    <definedName name="___________can435">43.3</definedName>
    <definedName name="___________cem124">#REF!</definedName>
    <definedName name="___________dec05" localSheetId="0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#REF!</definedName>
    <definedName name="___________Ki2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0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0">(#REF!,#REF!)</definedName>
    <definedName name="___________xlnm.Print_Titles_2">(#REF!,#REF!)</definedName>
    <definedName name="___________xlnm.Print_Titles_3">(#REF!,#REF!)</definedName>
    <definedName name="__________A65537" localSheetId="2">#REF!</definedName>
    <definedName name="__________A65537">#REF!</definedName>
    <definedName name="__________A655600" localSheetId="2">#REF!</definedName>
    <definedName name="__________A655600">#REF!</definedName>
    <definedName name="__________a655601" localSheetId="2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0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#REF!</definedName>
    <definedName name="__________can430">40.73</definedName>
    <definedName name="__________can435">43.3</definedName>
    <definedName name="__________dec05" localSheetId="0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#REF!</definedName>
    <definedName name="__________Ki2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0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hidden="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hidden="1">#REF!</definedName>
    <definedName name="_________2____123Graph_BCHART_1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0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430">40.73</definedName>
    <definedName name="_________can435">43.3</definedName>
    <definedName name="_________cem124">#REF!</definedName>
    <definedName name="_________dec05" localSheetId="0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#REF!</definedName>
    <definedName name="_________Ki2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0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hidden="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0">(#REF!,#REF!)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0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430">40.73</definedName>
    <definedName name="________can435">43.3</definedName>
    <definedName name="________cem124">#REF!</definedName>
    <definedName name="________dec05" localSheetId="0" hidden="1">{"'Sheet1'!$A$4386:$N$4591"}</definedName>
    <definedName name="________dec05" hidden="1">{"'Sheet1'!$A$4386:$N$4591"}</definedName>
    <definedName name="________dol12">#REF!</definedName>
    <definedName name="________dol6">#REF!</definedName>
    <definedName name="________drg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0" hidden="1">{"'PROFITABILITY'!$A$1:$F$45"}</definedName>
    <definedName name="________Nov2007" hidden="1">{"'PROFITABILITY'!$A$1:$F$45"}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hidden="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0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430">40.73</definedName>
    <definedName name="_______can435">43.3</definedName>
    <definedName name="_______cem124">#REF!</definedName>
    <definedName name="_______CFB1" localSheetId="2">#REF!</definedName>
    <definedName name="_______CFB1">#REF!</definedName>
    <definedName name="_______CFB2" localSheetId="2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0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>#REF!</definedName>
    <definedName name="_______dol6">#REF!</definedName>
    <definedName name="_______drg2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#REF!</definedName>
    <definedName name="_______ml33">#REF!</definedName>
    <definedName name="_______mlc33">#REF!</definedName>
    <definedName name="_______mm1">#REF!</definedName>
    <definedName name="_______mm2">#REF!</definedName>
    <definedName name="_______mm3">#REF!</definedName>
    <definedName name="_______mnk1">#REF!</definedName>
    <definedName name="_______Nov2007" localSheetId="0" hidden="1">{"'PROFITABILITY'!$A$1:$F$45"}</definedName>
    <definedName name="_______Nov2007" hidden="1">{"'PROFITABILITY'!$A$1:$F$45"}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2" hidden="1">{"form-D1",#N/A,FALSE,"FORM-D1";"form-D1_amt",#N/A,FALSE,"FORM-D1"}</definedName>
    <definedName name="_______s41" localSheetId="6" hidden="1">{"form-D1",#N/A,FALSE,"FORM-D1";"form-D1_amt",#N/A,FALSE,"FORM-D1"}</definedName>
    <definedName name="_______s41" localSheetId="0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 localSheetId="2">#REF!</definedName>
    <definedName name="_______SS402">#REF!</definedName>
    <definedName name="_______SS403" localSheetId="2">#REF!</definedName>
    <definedName name="_______SS403">#REF!</definedName>
    <definedName name="_______SS404" localSheetId="2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hidden="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0">(#REF!,#REF!)</definedName>
    <definedName name="_______xlnm.Print_Titles_2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0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an430">40.73</definedName>
    <definedName name="______can435">43.3</definedName>
    <definedName name="______cem124">#REF!</definedName>
    <definedName name="______CFB1" localSheetId="2">#REF!</definedName>
    <definedName name="______CFB1">#REF!</definedName>
    <definedName name="______CFB2" localSheetId="2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0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g1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DA1">#REF!</definedName>
    <definedName name="______in18900">#REF!</definedName>
    <definedName name="______Ism3">#REF!</definedName>
    <definedName name="______iv19000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#REF!</definedName>
    <definedName name="______ml33">#REF!</definedName>
    <definedName name="______mlc33">#REF!</definedName>
    <definedName name="______mm1">#REF!</definedName>
    <definedName name="______mm2">#REF!</definedName>
    <definedName name="______mm3">#REF!</definedName>
    <definedName name="______mnk1">#REF!</definedName>
    <definedName name="______Nov2007" localSheetId="0" hidden="1">{"'PROFITABILITY'!$A$1:$F$45"}</definedName>
    <definedName name="______Nov2007" hidden="1">{"'PROFITABILITY'!$A$1:$F$45"}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2" hidden="1">{"form-D1",#N/A,FALSE,"FORM-D1";"form-D1_amt",#N/A,FALSE,"FORM-D1"}</definedName>
    <definedName name="______s41" localSheetId="6" hidden="1">{"form-D1",#N/A,FALSE,"FORM-D1";"form-D1_amt",#N/A,FALSE,"FORM-D1"}</definedName>
    <definedName name="______s41" localSheetId="0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 localSheetId="2">#REF!</definedName>
    <definedName name="______SS402">#REF!</definedName>
    <definedName name="______SS403" localSheetId="2">#REF!</definedName>
    <definedName name="______SS403">#REF!</definedName>
    <definedName name="______SS404" localSheetId="2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hidden="1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2">#REF!</definedName>
    <definedName name="______xlnm.Print_Area_1">#REF!</definedName>
    <definedName name="______xlnm.Print_Area_1_1">"#REF!"</definedName>
    <definedName name="______xlnm.Print_Area_10" localSheetId="2">#REF!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 localSheetId="2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0">(#REF!,#REF!)</definedName>
    <definedName name="______xlnm.Print_Titles_2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0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an430">40.73</definedName>
    <definedName name="_____can435">43.3</definedName>
    <definedName name="_____cdd2" localSheetId="2">#REF!</definedName>
    <definedName name="_____cdd2">#REF!</definedName>
    <definedName name="_____cem124">#REF!</definedName>
    <definedName name="_____CFB1" localSheetId="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0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pi1">#REF!</definedName>
    <definedName name="_____g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DA1">#REF!</definedName>
    <definedName name="_____ifa1">#REF!</definedName>
    <definedName name="_____ifa2">#REF!</definedName>
    <definedName name="_____in18900">#REF!</definedName>
    <definedName name="_____INT1">#REF!</definedName>
    <definedName name="_____Ism3">#REF!</definedName>
    <definedName name="_____iv19000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#REF!</definedName>
    <definedName name="_____ml33">#REF!</definedName>
    <definedName name="_____mlc33">#REF!</definedName>
    <definedName name="_____mm1">#REF!</definedName>
    <definedName name="_____mm2">#REF!</definedName>
    <definedName name="_____mm3">#REF!</definedName>
    <definedName name="_____mnk1">#REF!</definedName>
    <definedName name="_____new1">#REF!</definedName>
    <definedName name="_____Nov2007" localSheetId="0" hidden="1">{"'PROFITABILITY'!$A$1:$F$45"}</definedName>
    <definedName name="_____Nov2007" hidden="1">{"'PROFITABILITY'!$A$1:$F$45"}</definedName>
    <definedName name="_____out2">#REF!</definedName>
    <definedName name="_____pan1">#REF!</definedName>
    <definedName name="_____PAN2">#REF!</definedName>
    <definedName name="_____pep99">#REF!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2" hidden="1">{"form-D1",#N/A,FALSE,"FORM-D1";"form-D1_amt",#N/A,FALSE,"FORM-D1"}</definedName>
    <definedName name="_____s41" localSheetId="6" hidden="1">{"form-D1",#N/A,FALSE,"FORM-D1";"form-D1_amt",#N/A,FALSE,"FORM-D1"}</definedName>
    <definedName name="_____s41" localSheetId="0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 localSheetId="2">#REF!</definedName>
    <definedName name="_____SS402">#REF!</definedName>
    <definedName name="_____SS403" localSheetId="2">#REF!</definedName>
    <definedName name="_____SS403">#REF!</definedName>
    <definedName name="_____SS404" localSheetId="2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VS2004" hidden="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 localSheetId="2">#REF!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 localSheetId="2">#REF!</definedName>
    <definedName name="_____xlnm.Print_Area_2">#REF!</definedName>
    <definedName name="_____xlnm.Print_Area_3" localSheetId="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0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an430">40.73</definedName>
    <definedName name="____can435">43.3</definedName>
    <definedName name="____CBR220">#REF!</definedName>
    <definedName name="____CBR500">#REF!</definedName>
    <definedName name="____cdd2" localSheetId="2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0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ol12">#REF!</definedName>
    <definedName name="____dol6">#REF!</definedName>
    <definedName name="____drg1">#REF!</definedName>
    <definedName name="____drg2">#REF!</definedName>
    <definedName name="____eth2">#REF!</definedName>
    <definedName name="____f1" localSheetId="2">#REF!</definedName>
    <definedName name="____f1" localSheetId="6" hidden="1">{"'PROFITABILITY'!$A$1:$F$45"}</definedName>
    <definedName name="____f1" localSheetId="0" hidden="1">{"'PROFITABILITY'!$A$1:$F$45"}</definedName>
    <definedName name="____f1" hidden="1">{"'PROFITABILITY'!$A$1:$F$45"}</definedName>
    <definedName name="____Fpi1">#REF!</definedName>
    <definedName name="____g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DA1">#REF!</definedName>
    <definedName name="____ifa1">#REF!</definedName>
    <definedName name="____ifa2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 localSheetId="2">#REF!</definedName>
    <definedName name="____MAN1">#REF!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new1">#REF!</definedName>
    <definedName name="____Nov2007" localSheetId="2" hidden="1">{"'PROFITABILITY'!$A$1:$F$45"}</definedName>
    <definedName name="____Nov2007" localSheetId="6" hidden="1">{"'PROFITABILITY'!$A$1:$F$45"}</definedName>
    <definedName name="____Nov2007" localSheetId="0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LC220">#REF!</definedName>
    <definedName name="____pp1">#REF!</definedName>
    <definedName name="____pp2">#REF!</definedName>
    <definedName name="____RAC1">#REF!</definedName>
    <definedName name="____rcu2">#REF!</definedName>
    <definedName name="____Re1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2" hidden="1">{"form-D1",#N/A,FALSE,"FORM-D1";"form-D1_amt",#N/A,FALSE,"FORM-D1"}</definedName>
    <definedName name="____s41" localSheetId="6" hidden="1">{"form-D1",#N/A,FALSE,"FORM-D1";"form-D1_amt",#N/A,FALSE,"FORM-D1"}</definedName>
    <definedName name="____s41" localSheetId="0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 localSheetId="2">#REF!</definedName>
    <definedName name="____SS402">#REF!</definedName>
    <definedName name="____SS403" localSheetId="2">#REF!</definedName>
    <definedName name="____SS403">#REF!</definedName>
    <definedName name="____SS404" localSheetId="2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220">#REF!</definedName>
    <definedName name="____TR500">#REF!</definedName>
    <definedName name="____Vf1">#REF!</definedName>
    <definedName name="____Vf2">#REF!</definedName>
    <definedName name="____vr1">#REF!</definedName>
    <definedName name="____VS2004" hidden="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 localSheetId="2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2">#REF!</definedName>
    <definedName name="____xlnm.Print_Area_10">#REF!</definedName>
    <definedName name="____xlnm.Print_Area_10_1">"#REF!"</definedName>
    <definedName name="____xlnm.Print_Area_11" localSheetId="2">#REF!</definedName>
    <definedName name="____xlnm.Print_Area_11">#REF!</definedName>
    <definedName name="____xlnm.Print_Area_13">#REF!</definedName>
    <definedName name="____xlnm.Print_Area_2" localSheetId="2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 localSheetId="0">(#REF!,#REF!)</definedName>
    <definedName name="____xlnm.Print_Titles_2">(#REF!,#REF!)</definedName>
    <definedName name="____xlnm.Print_Titles_3">(#REF!,#REF!)</definedName>
    <definedName name="____xlnm.Print_Titles_4" localSheetId="2">#REF!</definedName>
    <definedName name="____xlnm.Print_Titles_4">#REF!</definedName>
    <definedName name="____xlnm.Print_Titles_7" localSheetId="2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3____123Graph_CCHART_1" hidden="1">#REF!</definedName>
    <definedName name="___3__123Graph_CCHART_1" hidden="1">#REF!</definedName>
    <definedName name="___4___123Graph_ACHART_1" hidden="1">#REF!</definedName>
    <definedName name="___5___123Graph_BCHART_1" hidden="1">#REF!</definedName>
    <definedName name="___6___123Graph_CCHART_1" hidden="1">#REF!</definedName>
    <definedName name="___7__123Graph_ACHART_1" hidden="1">#REF!</definedName>
    <definedName name="___8__123Graph_BCHART_1" hidden="1">#REF!</definedName>
    <definedName name="___9__123Graph_CCHART_1" hidden="1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0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>#REF!</definedName>
    <definedName name="___can430">40.73</definedName>
    <definedName name="___can435">43.3</definedName>
    <definedName name="___CBR220">#REF!</definedName>
    <definedName name="___CBR500">#REF!</definedName>
    <definedName name="___cdd2" localSheetId="2">#REF!</definedName>
    <definedName name="___cdd2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0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#REF!</definedName>
    <definedName name="___dol12">#REF!</definedName>
    <definedName name="___dol6">#REF!</definedName>
    <definedName name="___drg1">#REF!</definedName>
    <definedName name="___drg2">#REF!</definedName>
    <definedName name="___eth2">#REF!</definedName>
    <definedName name="___f1" localSheetId="2">#REF!</definedName>
    <definedName name="___f1" localSheetId="6" hidden="1">{"'PROFITABILITY'!$A$1:$F$45"}</definedName>
    <definedName name="___f1" localSheetId="0" hidden="1">{"'PROFITABILITY'!$A$1:$F$45"}</definedName>
    <definedName name="___f1" hidden="1">{"'PROFITABILITY'!$A$1:$F$45"}</definedName>
    <definedName name="___Fpi1">#REF!</definedName>
    <definedName name="___g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NT1" localSheetId="2">#REF!</definedName>
    <definedName name="___INT1">#REF!</definedName>
    <definedName name="___Ism3" localSheetId="2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 localSheetId="2">#REF!</definedName>
    <definedName name="___MAN1">#REF!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new1">#REF!</definedName>
    <definedName name="___Nov2007" localSheetId="2" hidden="1">{"'PROFITABILITY'!$A$1:$F$45"}</definedName>
    <definedName name="___Nov2007" localSheetId="6" hidden="1">{"'PROFITABILITY'!$A$1:$F$45"}</definedName>
    <definedName name="___Nov2007" localSheetId="0" hidden="1">{"'PROFITABILITY'!$A$1:$F$45"}</definedName>
    <definedName name="___Nov2007" hidden="1">{"'PROFITABILITY'!$A$1:$F$45"}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#REF!</definedName>
    <definedName name="___PLC220">#REF!</definedName>
    <definedName name="___pp1">#REF!</definedName>
    <definedName name="___pp2">#REF!</definedName>
    <definedName name="___RAC1">#REF!</definedName>
    <definedName name="___rcu2">#REF!</definedName>
    <definedName name="___Re1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2" hidden="1">{"form-D1",#N/A,FALSE,"FORM-D1";"form-D1_amt",#N/A,FALSE,"FORM-D1"}</definedName>
    <definedName name="___s41" localSheetId="6" hidden="1">{"form-D1",#N/A,FALSE,"FORM-D1";"form-D1_amt",#N/A,FALSE,"FORM-D1"}</definedName>
    <definedName name="___s41" localSheetId="0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 localSheetId="2">#REF!</definedName>
    <definedName name="___SS402">#REF!</definedName>
    <definedName name="___SS403" localSheetId="2">#REF!</definedName>
    <definedName name="___SS403">#REF!</definedName>
    <definedName name="___SS404" localSheetId="2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hidden="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 localSheetId="2">#REF!</definedName>
    <definedName name="___xlnm._FilterDatabase_1">#REF!</definedName>
    <definedName name="___xlnm._FilterDatabase_2" localSheetId="2">#REF!</definedName>
    <definedName name="___xlnm._FilterDatabase_2">#REF!</definedName>
    <definedName name="___xlnm._FilterDatabase_3" localSheetId="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2">#REF!</definedName>
    <definedName name="___xlnm.Print_Area_10">#REF!</definedName>
    <definedName name="___xlnm.Print_Area_10_1">"#REF!"</definedName>
    <definedName name="___xlnm.Print_Area_11" localSheetId="2">#REF!</definedName>
    <definedName name="___xlnm.Print_Area_11">#REF!</definedName>
    <definedName name="___xlnm.Print_Area_13">#REF!</definedName>
    <definedName name="___xlnm.Print_Area_2" localSheetId="2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 localSheetId="0">(#REF!,#REF!)</definedName>
    <definedName name="___xlnm.Print_Titles_2">(#REF!,#REF!)</definedName>
    <definedName name="___xlnm.Print_Titles_3">(#REF!,#REF!)</definedName>
    <definedName name="___xlnm.Print_Titles_4" localSheetId="2">#REF!</definedName>
    <definedName name="___xlnm.Print_Titles_4">#REF!</definedName>
    <definedName name="___xlnm.Print_Titles_7" localSheetId="2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0____123Graph_ACHART_1" hidden="1">#REF!</definedName>
    <definedName name="__11____123Graph_BCHART_1" hidden="1">#REF!</definedName>
    <definedName name="__12____123Graph_CCHART_1" hidden="1">#REF!</definedName>
    <definedName name="__123">#REF!</definedName>
    <definedName name="__123Graph_A" hidden="1">#REF!</definedName>
    <definedName name="__123Graph_ASTATPROG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localSheetId="2" hidden="1">#REF!</definedName>
    <definedName name="__123Graph_D" hidden="1">#REF!</definedName>
    <definedName name="__123Graph_E" localSheetId="2" hidden="1">#REF!</definedName>
    <definedName name="__123Graph_E" hidden="1">#REF!</definedName>
    <definedName name="__123Graph_F" localSheetId="2" hidden="1">#REF!</definedName>
    <definedName name="__123Graph_F" hidden="1">#REF!</definedName>
    <definedName name="__123Graph_X" hidden="1">#REF!</definedName>
    <definedName name="__123Graph_XSTATPROG" hidden="1">#REF!</definedName>
    <definedName name="__13___123Graph_ACHART_1" hidden="1">#REF!</definedName>
    <definedName name="__14___123Graph_BCHART_1" hidden="1">#REF!</definedName>
    <definedName name="__15___123Graph_CCHART_1" hidden="1">#REF!</definedName>
    <definedName name="__16__123Graph_ACHART_1" hidden="1">#REF!</definedName>
    <definedName name="__17__123Graph_BCHART_1" hidden="1">#REF!</definedName>
    <definedName name="__18__123Graph_CCHART_1" hidden="1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4______123Graph_ACHART_1" hidden="1">#REF!</definedName>
    <definedName name="__4___123Graph_ACHART_1" hidden="1">#REF!</definedName>
    <definedName name="__5______123Graph_BCHART_1" hidden="1">#REF!</definedName>
    <definedName name="__5___123Graph_BCHART_1" hidden="1">#REF!</definedName>
    <definedName name="__6______123Graph_CCHART_1" hidden="1">#REF!</definedName>
    <definedName name="__6___123Graph_CCHART_1" hidden="1">#REF!</definedName>
    <definedName name="__7_____123Graph_ACHART_1" hidden="1">#REF!</definedName>
    <definedName name="__7__123Graph_ACHART_1" hidden="1">#REF!</definedName>
    <definedName name="__8_____123Graph_BCHART_1" hidden="1">#REF!</definedName>
    <definedName name="__8__123Graph_BCHART_1" hidden="1">#REF!</definedName>
    <definedName name="__9_____123Graph_CCHART_1" hidden="1">#REF!</definedName>
    <definedName name="__9__123Graph_CCHART_1" hidden="1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2" hidden="1">{"'PROFITABILITY'!$A$1:$F$45"}</definedName>
    <definedName name="__aa1" localSheetId="6" hidden="1">{"'PROFITABILITY'!$A$1:$F$45"}</definedName>
    <definedName name="__aa1" localSheetId="0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1">#REF!</definedName>
    <definedName name="__axx2">#REF!</definedName>
    <definedName name="__axx3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an430">40.73</definedName>
    <definedName name="__can435">43.3</definedName>
    <definedName name="__CBR220">#REF!</definedName>
    <definedName name="__CBR500">#REF!</definedName>
    <definedName name="__CCT220" localSheetId="2">#REF!</definedName>
    <definedName name="__CCT220">#REF!</definedName>
    <definedName name="__cdd2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2" hidden="1">{"'Sheet1'!$A$4386:$N$4591"}</definedName>
    <definedName name="__dec05" localSheetId="6" hidden="1">{"'Sheet1'!$A$4386:$N$4591"}</definedName>
    <definedName name="__dec05" localSheetId="0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#REF!</definedName>
    <definedName name="__DKT75">#REF!</definedName>
    <definedName name="__dol12">#REF!</definedName>
    <definedName name="__dol6">#REF!</definedName>
    <definedName name="__drg1">#REF!</definedName>
    <definedName name="__drg2">#REF!</definedName>
    <definedName name="__EdFJsKAA">#REF!</definedName>
    <definedName name="__eth2">#REF!</definedName>
    <definedName name="__f1" localSheetId="2">#REF!</definedName>
    <definedName name="__f1" localSheetId="6" hidden="1">{"'PROFITABILITY'!$A$1:$F$45"}</definedName>
    <definedName name="__f1" localSheetId="0" hidden="1">{"'PROFITABILITY'!$A$1:$F$45"}</definedName>
    <definedName name="__f1" hidden="1">{"'PROFITABILITY'!$A$1:$F$45"}</definedName>
    <definedName name="__Fpi1">#REF!</definedName>
    <definedName name="__g1">#REF!</definedName>
    <definedName name="__HCO2">#REF!</definedName>
    <definedName name="__hfi1">#REF!</definedName>
    <definedName name="__hfi2">#REF!</definedName>
    <definedName name="__hfi3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NT1" localSheetId="2">#REF!</definedName>
    <definedName name="__INT1">#REF!</definedName>
    <definedName name="__IntlFixup">TRUE</definedName>
    <definedName name="__Ism3" localSheetId="2">#REF!</definedName>
    <definedName name="__Ism3">#REF!</definedName>
    <definedName name="__ISO220" localSheetId="2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localSheetId="2" hidden="1">{#N/A,#N/A,FALSE,"COVER1.XLS ";#N/A,#N/A,FALSE,"RACT1.XLS";#N/A,#N/A,FALSE,"RACT2.XLS";#N/A,#N/A,FALSE,"ECCMP";#N/A,#N/A,FALSE,"WELDER.XLS"}</definedName>
    <definedName name="__kvs1" localSheetId="6" hidden="1">{#N/A,#N/A,FALSE,"COVER1.XLS ";#N/A,#N/A,FALSE,"RACT1.XLS";#N/A,#N/A,FALSE,"RACT2.XLS";#N/A,#N/A,FALSE,"ECCMP";#N/A,#N/A,FALSE,"WELDER.XLS"}</definedName>
    <definedName name="__kvs1" localSheetId="0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 localSheetId="2">#REF!</definedName>
    <definedName name="__LMH1">#REF!</definedName>
    <definedName name="__LMH2" localSheetId="2">#REF!</definedName>
    <definedName name="__LMH2">#REF!</definedName>
    <definedName name="__ls1" localSheetId="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 localSheetId="2">#REF!</definedName>
    <definedName name="__MAN1">#REF!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new1">#REF!</definedName>
    <definedName name="__Nov2007" localSheetId="2" hidden="1">{"'PROFITABILITY'!$A$1:$F$45"}</definedName>
    <definedName name="__Nov2007" localSheetId="6" hidden="1">{"'PROFITABILITY'!$A$1:$F$45"}</definedName>
    <definedName name="__Nov2007" localSheetId="0" hidden="1">{"'PROFITABILITY'!$A$1:$F$45"}</definedName>
    <definedName name="__Nov2007" hidden="1">{"'PROFITABILITY'!$A$1:$F$45"}</definedName>
    <definedName name="__ns1" localSheetId="2" hidden="1">{#N/A,#N/A,FALSE,"COVER1.XLS ";#N/A,#N/A,FALSE,"RACT1.XLS";#N/A,#N/A,FALSE,"RACT2.XLS";#N/A,#N/A,FALSE,"ECCMP";#N/A,#N/A,FALSE,"WELDER.XLS"}</definedName>
    <definedName name="__ns1" localSheetId="6" hidden="1">{#N/A,#N/A,FALSE,"COVER1.XLS ";#N/A,#N/A,FALSE,"RACT1.XLS";#N/A,#N/A,FALSE,"RACT2.XLS";#N/A,#N/A,FALSE,"ECCMP";#N/A,#N/A,FALSE,"WELDER.XLS"}</definedName>
    <definedName name="__ns1" localSheetId="0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pfi1">#REF!</definedName>
    <definedName name="__PLC220">#REF!</definedName>
    <definedName name="__pp1">#REF!</definedName>
    <definedName name="__pp2">#REF!</definedName>
    <definedName name="__rcu2">#REF!</definedName>
    <definedName name="__Re1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2" hidden="1">{"form-D1",#N/A,FALSE,"FORM-D1";"form-D1_amt",#N/A,FALSE,"FORM-D1"}</definedName>
    <definedName name="__s41" localSheetId="6" hidden="1">{"form-D1",#N/A,FALSE,"FORM-D1";"form-D1_amt",#N/A,FALSE,"FORM-D1"}</definedName>
    <definedName name="__s41" localSheetId="0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220">#REF!</definedName>
    <definedName name="__TR500">#REF!</definedName>
    <definedName name="__tr75" localSheetId="2">#REF!</definedName>
    <definedName name="__tr75">#REF!</definedName>
    <definedName name="__trt75" localSheetId="2">#REF!</definedName>
    <definedName name="__trt75">#REF!</definedName>
    <definedName name="__tt75" localSheetId="2">#REF!</definedName>
    <definedName name="__tt75">#REF!</definedName>
    <definedName name="__Vf1">#REF!</definedName>
    <definedName name="__Vf2">#REF!</definedName>
    <definedName name="__vr1">#REF!</definedName>
    <definedName name="__VS2004" hidden="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 localSheetId="2">#REF!</definedName>
    <definedName name="__xlnm._FilterDatabase_2">#REF!</definedName>
    <definedName name="__xlnm._FilterDatabase_2_1">"#REF!"</definedName>
    <definedName name="__xlnm._FilterDatabase_3" localSheetId="2">#REF!</definedName>
    <definedName name="__xlnm._FilterDatabase_3">#REF!</definedName>
    <definedName name="__xlnm._FilterDatabase_3_1">"#REF!"</definedName>
    <definedName name="__xlnm._FilterDatabase_4" localSheetId="2">#REF!</definedName>
    <definedName name="__xlnm._FilterDatabase_4">#REF!</definedName>
    <definedName name="__xlnm._FilterDatabase_5">#N/A</definedName>
    <definedName name="__xlnm.Print_Area">#REF!</definedName>
    <definedName name="__xlnm.Print_Area_1" localSheetId="2">#REF!</definedName>
    <definedName name="__xlnm.Print_Area_1">#REF!</definedName>
    <definedName name="__xlnm.Print_Area_1_1">"#REF!"</definedName>
    <definedName name="__xlnm.Print_Area_1_2">"#REF!"</definedName>
    <definedName name="__xlnm.Print_Area_1_3">"#REF!"</definedName>
    <definedName name="__xlnm.Print_Area_10" localSheetId="2">#REF!</definedName>
    <definedName name="__xlnm.Print_Area_10">#REF!</definedName>
    <definedName name="__xlnm.Print_Area_10_1">"#REF!"</definedName>
    <definedName name="__xlnm.Print_Area_11" localSheetId="2">#REF!</definedName>
    <definedName name="__xlnm.Print_Area_11">#REF!</definedName>
    <definedName name="__xlnm.Print_Area_13">#REF!</definedName>
    <definedName name="__xlnm.Print_Area_2" localSheetId="2">#REF!</definedName>
    <definedName name="__xlnm.Print_Area_2">#REF!</definedName>
    <definedName name="__xlnm.Print_Area_3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2">#REF!</definedName>
    <definedName name="__xlnm.Print_Area_4">#REF!</definedName>
    <definedName name="__xlnm.Print_Area_5" localSheetId="2">#REF!</definedName>
    <definedName name="__xlnm.Print_Area_5">#REF!</definedName>
    <definedName name="__xlnm.Print_Area_6" localSheetId="2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2">#REF!</definedName>
    <definedName name="__xlnm.Print_Titles_4">#REF!</definedName>
    <definedName name="__xlnm.Print_Titles_7" localSheetId="2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 localSheetId="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0________123Graph_ACHART_1" hidden="1">#REF!</definedName>
    <definedName name="_10____123Graph_ACHART_1" hidden="1">#REF!</definedName>
    <definedName name="_10__123Graph_BCHART_1" hidden="1">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1">#N/A</definedName>
    <definedName name="_11________123Graph_BCHART_1" hidden="1">#REF!</definedName>
    <definedName name="_11____123Graph_BCHART_1" hidden="1">#REF!</definedName>
    <definedName name="_11_3_0Crite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2________123Graph_CCHART_1" hidden="1">#REF!</definedName>
    <definedName name="_12____123Graph_CCHART_1" hidden="1">#REF!</definedName>
    <definedName name="_12__123Graph_BCHART_1" hidden="1">#REF!</definedName>
    <definedName name="_12__123Graph_CCHART_1" hidden="1">#REF!</definedName>
    <definedName name="_12BS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3____123Graph_ACHART_1" hidden="1">#REF!</definedName>
    <definedName name="_13___123Graph_ACHART_1" hidden="1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4____123Graph_BCHART_1" hidden="1">#REF!</definedName>
    <definedName name="_14___123Graph_BCHART_1" hidden="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6__123Graph_ACHART_1" hidden="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">#REF!</definedName>
    <definedName name="_1Excel_BuiltIn_Print_Area_1_1">#REF!</definedName>
    <definedName name="_1Excel_BuiltIn_Print_Area_10_1">#REF!</definedName>
    <definedName name="_1Excel_BuiltIn_Print_Area_3_1" localSheetId="2">#REF!</definedName>
    <definedName name="_1Excel_BuiltIn_Print_Area_3_1">#REF!</definedName>
    <definedName name="_1Excel_BuiltIn_Print_Area_4_1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123Graph_ACHART_1" hidden="1">#REF!</definedName>
    <definedName name="_2__123Graph_BCHART_1" hidden="1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hidden="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 localSheetId="2">#REF!</definedName>
    <definedName name="_2Excel_BuiltIn_Print_Area_3_1">#REF!</definedName>
    <definedName name="_2Excel_BuiltIn_Print_Area_4_1">#REF!</definedName>
    <definedName name="_3">#REF!</definedName>
    <definedName name="_3____________123Graph_CCHART_1" hidden="1">#REF!</definedName>
    <definedName name="_3_______123Graph_CCHART_1" hidden="1">#REF!</definedName>
    <definedName name="_3____123Graph_CCHART_1" hidden="1">#REF!</definedName>
    <definedName name="_3___123Graph_CCHART_1" hidden="1">#REF!</definedName>
    <definedName name="_3__123Graph_ACHART_1" hidden="1">#REF!</definedName>
    <definedName name="_3__123Graph_CCHART_1" hidden="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 localSheetId="2">#REF!</definedName>
    <definedName name="_3Excel_BuiltIn_Print_Area_4_1_1">#REF!</definedName>
    <definedName name="_3Excel_BuiltIn_Print_Titles_3_1">#REF!</definedName>
    <definedName name="_4">#REF!</definedName>
    <definedName name="_4___________123Graph_ACHART_1" hidden="1">#REF!</definedName>
    <definedName name="_4______123Graph_ACHART_1" hidden="1">#REF!</definedName>
    <definedName name="_4___123Graph_ACHART_1" hidden="1">#REF!</definedName>
    <definedName name="_4__123Graph_ACHART_1" hidden="1">#REF!</definedName>
    <definedName name="_4__123Graph_BCHART_1" hidden="1">#REF!</definedName>
    <definedName name="_4321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 localSheetId="2">#REF!</definedName>
    <definedName name="_4Excel_BuiltIn_Print_Area_4_1_1_1">#REF!</definedName>
    <definedName name="_5.0_Hire_and_running_charges_of_winch___grab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123Graph_ACHART_1" hidden="1">#REF!</definedName>
    <definedName name="_5__123Graph_BCHART_1" hidden="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 localSheetId="2">#REF!</definedName>
    <definedName name="_5Excel_BuiltIn_Print_Area_4_1_1_1_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123Graph_ACHART_1" hidden="1">#REF!</definedName>
    <definedName name="_6__123Graph_BCHART_1" hidden="1">#REF!</definedName>
    <definedName name="_6__123Graph_CCHART_1" hidden="1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 localSheetId="2">#REF!</definedName>
    <definedName name="_6Excel_BuiltIn_Print_Area_4_1_1_1_1_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Excel_BuiltIn_Print_Titles_4_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A" localSheetId="2">#REF!</definedName>
    <definedName name="_A">#REF!</definedName>
    <definedName name="_A1" localSheetId="2">#REF!</definedName>
    <definedName name="_A1">#REF!</definedName>
    <definedName name="_A10" localSheetId="2">#REF!</definedName>
    <definedName name="_A10">#REF!</definedName>
    <definedName name="_A13">#REF!</definedName>
    <definedName name="_A2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0" hidden="1">{"'PROFITABILITY'!$A$1:$F$45"}</definedName>
    <definedName name="_aa1" hidden="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nn1">#REF!</definedName>
    <definedName name="_aoc1">#REF!</definedName>
    <definedName name="_aoc2">#REF!</definedName>
    <definedName name="_aoc3">#REF!</definedName>
    <definedName name="_aoc4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an430">40.73</definedName>
    <definedName name="_can435">43.3</definedName>
    <definedName name="_CBR220">#REF!</definedName>
    <definedName name="_CBR500">#REF!</definedName>
    <definedName name="_CCT220" localSheetId="2">#REF!</definedName>
    <definedName name="_CCT220">#REF!</definedName>
    <definedName name="_cdd2">#REF!</definedName>
    <definedName name="_CDT1">#REF!</definedName>
    <definedName name="_CFB1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2" hidden="1">{"'Sheet1'!$A$4386:$N$4591"}</definedName>
    <definedName name="_dec05" localSheetId="6" hidden="1">{"'Sheet1'!$A$4386:$N$4591"}</definedName>
    <definedName name="_dec05" localSheetId="0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l11">#REF!</definedName>
    <definedName name="_dol12">#REF!</definedName>
    <definedName name="_dol13">#REF!</definedName>
    <definedName name="_dol6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1" localSheetId="2">#REF!</definedName>
    <definedName name="_f1" localSheetId="6" hidden="1">{"'PROFITABILITY'!$A$1:$F$45"}</definedName>
    <definedName name="_f1" localSheetId="0" hidden="1">{"'PROFITABILITY'!$A$1:$F$45"}</definedName>
    <definedName name="_f1" hidden="1">{"'PROFITABILITY'!$A$1:$F$45"}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 hidden="1">#REF!</definedName>
    <definedName name="_Fill_1">"#REF!"</definedName>
    <definedName name="_Fill1" hidden="1">#REF!</definedName>
    <definedName name="_xlnm._FilterDatabase" localSheetId="12" hidden="1">'CST Gantry To AP 68 Common Poin'!$A$6:$O$627</definedName>
    <definedName name="_xlnm._FilterDatabase" localSheetId="10" hidden="1">EARTHING!$A$2:$F$226</definedName>
    <definedName name="_xlnm._FilterDatabase" localSheetId="7" hidden="1">ERECTION!$A$2:$N$217</definedName>
    <definedName name="_xlnm._FilterDatabase" localSheetId="6" hidden="1">FOUNDATION!$A$2:$Q$276</definedName>
    <definedName name="_xlnm._FilterDatabase" localSheetId="8" hidden="1">Sheet2!$B$2:$C$28</definedName>
    <definedName name="_xlnm._FilterDatabase" localSheetId="0" hidden="1">'Visual Chart'!$AV$2:$BB$2</definedName>
    <definedName name="_xlnm._FilterDatabase">#REF!</definedName>
    <definedName name="_FLK1">#REF!</definedName>
    <definedName name="_fos1">#REF!</definedName>
    <definedName name="_Fpi1" localSheetId="2">#REF!</definedName>
    <definedName name="_Fpi1" localSheetId="6">#REF!</definedName>
    <definedName name="_Fpi1">#REF!</definedName>
    <definedName name="_g1">#REF!</definedName>
    <definedName name="_g66666" localSheetId="6">#REF!</definedName>
    <definedName name="_g66666">#REF!</definedName>
    <definedName name="_GEN1">#REF!</definedName>
    <definedName name="_HCO2" localSheetId="6">#REF!</definedName>
    <definedName name="_HCO2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NT1" localSheetId="2">#REF!</definedName>
    <definedName name="_INT1">#REF!</definedName>
    <definedName name="_IPB1">#REF!</definedName>
    <definedName name="_Ism3" localSheetId="2">#REF!</definedName>
    <definedName name="_Ism3">#REF!</definedName>
    <definedName name="_ISO220" localSheetId="2">#REF!</definedName>
    <definedName name="_ISO220">#REF!</definedName>
    <definedName name="_iv19000">#REF!</definedName>
    <definedName name="_kd1">#REF!</definedName>
    <definedName name="_kd2">#REF!</definedName>
    <definedName name="_kd3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AR220">#REF!</definedName>
    <definedName name="_LAR500">#REF!</definedName>
    <definedName name="_lb1">#REF!</definedName>
    <definedName name="_lb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>#REF!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cc1">#REF!</definedName>
    <definedName name="_mcc2">#REF!</definedName>
    <definedName name="_mcl13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 localSheetId="2">360/50</definedName>
    <definedName name="_mix30">352/50</definedName>
    <definedName name="_mix40" localSheetId="2">450/50</definedName>
    <definedName name="_mix40">396/50</definedName>
    <definedName name="_ml3">#REF!</definedName>
    <definedName name="_ml33">#REF!</definedName>
    <definedName name="_mlc33">#REF!</definedName>
    <definedName name="_mm1">#REF!</definedName>
    <definedName name="_mm2">#REF!</definedName>
    <definedName name="_mm3">#REF!</definedName>
    <definedName name="_MMB220" localSheetId="2">#REF!</definedName>
    <definedName name="_MMB220">#REF!</definedName>
    <definedName name="_mnk1" localSheetId="2">#REF!</definedName>
    <definedName name="_mnk1">#REF!</definedName>
    <definedName name="_mp1">#REF!</definedName>
    <definedName name="_N" localSheetId="2">#REF!</definedName>
    <definedName name="_N">#REF!</definedName>
    <definedName name="_new1">#REF!</definedName>
    <definedName name="_ngl3">#REF!</definedName>
    <definedName name="_ngl4">#REF!</definedName>
    <definedName name="_Nov2007" localSheetId="2" hidden="1">{"'PROFITABILITY'!$A$1:$F$45"}</definedName>
    <definedName name="_Nov2007" localSheetId="6" hidden="1">{"'PROFITABILITY'!$A$1:$F$45"}</definedName>
    <definedName name="_Nov2007" localSheetId="0" hidden="1">{"'PROFITABILITY'!$A$1:$F$45"}</definedName>
    <definedName name="_Nov2007" hidden="1">{"'PROFITABILITY'!$A$1:$F$45"}</definedName>
    <definedName name="_nt75">#REF!</definedName>
    <definedName name="_Order1" hidden="1">255</definedName>
    <definedName name="_Order2" localSheetId="2" hidden="1">0</definedName>
    <definedName name="_Order2" hidden="1">255</definedName>
    <definedName name="_out2" localSheetId="2">#REF!</definedName>
    <definedName name="_out2">#REF!</definedName>
    <definedName name="_P" localSheetId="2">#REF!</definedName>
    <definedName name="_P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 localSheetId="2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>#REF!</definedName>
    <definedName name="_pdp2">#REF!</definedName>
    <definedName name="_pdp3">#REF!</definedName>
    <definedName name="_pep99">#REF!</definedName>
    <definedName name="_pfi1">#REF!</definedName>
    <definedName name="_PIN1">#REF!</definedName>
    <definedName name="_PLC220">#REF!</definedName>
    <definedName name="_PM123" localSheetId="0" hidden="1">{"'Sheet1'!$A$4386:$N$4591"}</definedName>
    <definedName name="_PM123" hidden="1">{"'Sheet1'!$A$4386:$N$4591"}</definedName>
    <definedName name="_pp1">#REF!</definedName>
    <definedName name="_pp2">#REF!</definedName>
    <definedName name="_ps1">#REF!</definedName>
    <definedName name="_Q">#REF!</definedName>
    <definedName name="_qqq1">#N/A</definedName>
    <definedName name="_QTY1">#REF!</definedName>
    <definedName name="_qty2">#REF!</definedName>
    <definedName name="_qty3">#REF!</definedName>
    <definedName name="_qty4">#REF!</definedName>
    <definedName name="_R">#REF!</definedName>
    <definedName name="_R1">#REF!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l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2" hidden="1">{"form-D1",#N/A,FALSE,"FORM-D1";"form-D1_amt",#N/A,FALSE,"FORM-D1"}</definedName>
    <definedName name="_s41" localSheetId="6" hidden="1">{"form-D1",#N/A,FALSE,"FORM-D1";"form-D1_amt",#N/A,FALSE,"FORM-D1"}</definedName>
    <definedName name="_s41" localSheetId="0" hidden="1">{"form-D1",#N/A,FALSE,"FORM-D1";"form-D1_amt",#N/A,FALSE,"FORM-D1"}</definedName>
    <definedName name="_s41" hidden="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2">#REF!</definedName>
    <definedName name="_sch2">#REF!</definedName>
    <definedName name="_sch9" localSheetId="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2">#REF!</definedName>
    <definedName name="_sit75">#REF!</definedName>
    <definedName name="_Sort" localSheetId="2" hidden="1">#REF!</definedName>
    <definedName name="_Sort" hidden="1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">#REF!</definedName>
    <definedName name="_SS402">#REF!</definedName>
    <definedName name="_SS403" localSheetId="2">#REF!</definedName>
    <definedName name="_SS403">#REF!</definedName>
    <definedName name="_SS404" localSheetId="2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00">#REF!</definedName>
    <definedName name="_TR220">#REF!</definedName>
    <definedName name="_TR315">#REF!</definedName>
    <definedName name="_TR33">#REF!</definedName>
    <definedName name="_TR500">#REF!</definedName>
    <definedName name="_tr75">#REF!</definedName>
    <definedName name="_trt7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Xl1">#REF!</definedName>
    <definedName name="_ZS1">#REF!</definedName>
    <definedName name="_ZS2">#REF!</definedName>
    <definedName name="¿uº°¿μ¾÷">#REF!</definedName>
    <definedName name="√">"SQRT"</definedName>
    <definedName name="A" localSheetId="2">#REF!</definedName>
    <definedName name="A">#REF!</definedName>
    <definedName name="a._Trimmer">#REF!</definedName>
    <definedName name="A.T.RAJAN" localSheetId="2">#REF!</definedName>
    <definedName name="A.T.RAJAN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 localSheetId="2">#REF!</definedName>
    <definedName name="A_A">#REF!</definedName>
    <definedName name="A_B" localSheetId="2">#REF!</definedName>
    <definedName name="A_B">#REF!</definedName>
    <definedName name="A_D" localSheetId="0">INDEX(#REF!,MATCH(#REF!,#REF!,0))</definedName>
    <definedName name="A_D">INDEX(#REF!,MATCH(#REF!,#REF!,0))</definedName>
    <definedName name="a_dash">#REF!</definedName>
    <definedName name="A_sp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">#REF!</definedName>
    <definedName name="A1_">#REF!</definedName>
    <definedName name="A1____0" localSheetId="2">#REF!</definedName>
    <definedName name="A1____0">#REF!</definedName>
    <definedName name="A1____13" localSheetId="2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 localSheetId="2" hidden="1">{#N/A,#N/A,FALSE,"COVER1.XLS ";#N/A,#N/A,FALSE,"RACT1.XLS";#N/A,#N/A,FALSE,"RACT2.XLS";#N/A,#N/A,FALSE,"ECCMP";#N/A,#N/A,FALSE,"WELDER.XLS"}</definedName>
    <definedName name="aaa">#REF!</definedName>
    <definedName name="aaaa" localSheetId="2">#REF!</definedName>
    <definedName name="aaaa">#REF!</definedName>
    <definedName name="AAAAAA" hidden="1">#REF!</definedName>
    <definedName name="AAAAAAA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c" localSheetId="2" hidden="1">{"'PROFITABILITY'!$A$1:$F$45"}</definedName>
    <definedName name="aac" localSheetId="6" hidden="1">{"'PROFITABILITY'!$A$1:$F$45"}</definedName>
    <definedName name="aac" localSheetId="0" hidden="1">{"'PROFITABILITY'!$A$1:$F$45"}</definedName>
    <definedName name="aac" hidden="1">{"'PROFITABILITY'!$A$1:$F$45"}</definedName>
    <definedName name="aadf" hidden="1">#REF!</definedName>
    <definedName name="aaffa" localSheetId="2" hidden="1">{#N/A,#N/A,FALSE,"COVER.XLS";#N/A,#N/A,FALSE,"RACT1.XLS";#N/A,#N/A,FALSE,"RACT2.XLS";#N/A,#N/A,FALSE,"ECCMP";#N/A,#N/A,FALSE,"WELDER.XLS"}</definedName>
    <definedName name="aaffa" localSheetId="6" hidden="1">{#N/A,#N/A,FALSE,"COVER.XLS";#N/A,#N/A,FALSE,"RACT1.XLS";#N/A,#N/A,FALSE,"RACT2.XLS";#N/A,#N/A,FALSE,"ECCMP";#N/A,#N/A,FALSE,"WELDER.XLS"}</definedName>
    <definedName name="aaffa" localSheetId="0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SDF">#REF!</definedName>
    <definedName name="aav" localSheetId="2" hidden="1">{"'PROFITABILITY'!$A$1:$F$45"}</definedName>
    <definedName name="aav" localSheetId="6" hidden="1">{"'PROFITABILITY'!$A$1:$F$45"}</definedName>
    <definedName name="aav" localSheetId="0" hidden="1">{"'PROFITABILITY'!$A$1:$F$45"}</definedName>
    <definedName name="aav" hidden="1">{"'PROFITABILITY'!$A$1:$F$45"}</definedName>
    <definedName name="aAXX1">#REF!</definedName>
    <definedName name="ab">#REF!</definedName>
    <definedName name="aba" localSheetId="2" hidden="1">{#N/A,#N/A,FALSE,"COVER1.XLS ";#N/A,#N/A,FALSE,"RACT1.XLS";#N/A,#N/A,FALSE,"RACT2.XLS";#N/A,#N/A,FALSE,"ECCMP";#N/A,#N/A,FALSE,"WELDER.XLS"}</definedName>
    <definedName name="aba" localSheetId="6" hidden="1">{#N/A,#N/A,FALSE,"COVER1.XLS ";#N/A,#N/A,FALSE,"RACT1.XLS";#N/A,#N/A,FALSE,"RACT2.XLS";#N/A,#N/A,FALSE,"ECCMP";#N/A,#N/A,FALSE,"WELDER.XLS"}</definedName>
    <definedName name="aba" localSheetId="0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">#REF!</definedName>
    <definedName name="ABACUS">#REF!</definedName>
    <definedName name="abb">#REF!</definedName>
    <definedName name="abc">#REF!</definedName>
    <definedName name="abcd" localSheetId="2">#REF!</definedName>
    <definedName name="abcd">#REF!</definedName>
    <definedName name="abcdefg" localSheetId="0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2">#REF!</definedName>
    <definedName name="Ac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 hidden="1">"C:\WIN95\Desktop\Ramesh\AIC\Aic.mdb"</definedName>
    <definedName name="Accessories" localSheetId="2">#REF!</definedName>
    <definedName name="Accessories">#REF!</definedName>
    <definedName name="accp">#REF!</definedName>
    <definedName name="ACDC">#REF!</definedName>
    <definedName name="ACDC220">#REF!</definedName>
    <definedName name="ACK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ual" localSheetId="0">('Visual Chart'!PeriodInActual*(#REF!&gt;0))*'Visual Chart'!PeriodInPlan</definedName>
    <definedName name="Actual">(PeriodInActual*(#REF!&gt;0))*PeriodInPlan</definedName>
    <definedName name="ActualBeyond" localSheetId="0">'Visual Chart'!PeriodInActual*(#REF!&gt;0)</definedName>
    <definedName name="ActualBeyond">PeriodInActual*(#REF!&gt;0)</definedName>
    <definedName name="AD" localSheetId="2" hidden="1">{"'Sheet1'!$A$4386:$N$4591"}</definedName>
    <definedName name="ad">#REF!</definedName>
    <definedName name="ada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localSheetId="2" hidden="1">{#N/A,#N/A,FALSE,"COVER1.XLS ";#N/A,#N/A,FALSE,"RACT1.XLS";#N/A,#N/A,FALSE,"RACT2.XLS";#N/A,#N/A,FALSE,"ECCMP";#N/A,#N/A,FALSE,"WELDER.XLS"}</definedName>
    <definedName name="adadd" localSheetId="6" hidden="1">{#N/A,#N/A,FALSE,"COVER1.XLS ";#N/A,#N/A,FALSE,"RACT1.XLS";#N/A,#N/A,FALSE,"RACT2.XLS";#N/A,#N/A,FALSE,"ECCMP";#N/A,#N/A,FALSE,"WELDER.XLS"}</definedName>
    <definedName name="adadd" localSheetId="0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 localSheetId="2">#REF!</definedName>
    <definedName name="adasdas">#REF!</definedName>
    <definedName name="adcbef" localSheetId="0" hidden="1">{"'PROFITABILITY'!$A$1:$F$45"}</definedName>
    <definedName name="adcbef" hidden="1">{"'PROFITABILITY'!$A$1:$F$45"}</definedName>
    <definedName name="ADD" localSheetId="2">#REF!</definedName>
    <definedName name="ADD">#REF!</definedName>
    <definedName name="addf" localSheetId="2">#REF!</definedName>
    <definedName name="addf">#REF!</definedName>
    <definedName name="ADF">#REF!</definedName>
    <definedName name="adfa">#REF!</definedName>
    <definedName name="adfa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ITION" localSheetId="0" hidden="1">{"'장비'!$A$3:$M$12"}</definedName>
    <definedName name="ADITION" hidden="1">{"'장비'!$A$3:$M$12"}</definedName>
    <definedName name="adj">#REF!</definedName>
    <definedName name="Admixture">#REF!</definedName>
    <definedName name="ads" localSheetId="2" hidden="1">{#N/A,#N/A,FALSE,"COVER1.XLS ";#N/A,#N/A,FALSE,"RACT1.XLS";#N/A,#N/A,FALSE,"RACT2.XLS";#N/A,#N/A,FALSE,"ECCMP";#N/A,#N/A,FALSE,"WELDER.XLS"}</definedName>
    <definedName name="ads" localSheetId="6" hidden="1">{#N/A,#N/A,FALSE,"COVER1.XLS ";#N/A,#N/A,FALSE,"RACT1.XLS";#N/A,#N/A,FALSE,"RACT2.XLS";#N/A,#N/A,FALSE,"ECCMP";#N/A,#N/A,FALSE,"WELDER.XLS"}</definedName>
    <definedName name="ads" localSheetId="0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D">#REF!</definedName>
    <definedName name="AEDproEUR">1/#REF!</definedName>
    <definedName name="aerawrwaraaa">#REF!</definedName>
    <definedName name="af" localSheetId="2">#REF!</definedName>
    <definedName name="AF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afa" hidden="1">#REF!</definedName>
    <definedName name="AFF">#REF!</definedName>
    <definedName name="afit">#REF!</definedName>
    <definedName name="afsgs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 localSheetId="0">INDEX(#REF!,MATCH(#REF!,#REF!,0))</definedName>
    <definedName name="AJ">INDEX(#REF!,MATCH(#REF!,#REF!,0))</definedName>
    <definedName name="ajslk" localSheetId="2" hidden="1">{"form-D1",#N/A,FALSE,"FORM-D1";"form-D1_amt",#N/A,FALSE,"FORM-D1"}</definedName>
    <definedName name="ajslk" localSheetId="6" hidden="1">{"form-D1",#N/A,FALSE,"FORM-D1";"form-D1_amt",#N/A,FALSE,"FORM-D1"}</definedName>
    <definedName name="ajslk" localSheetId="0" hidden="1">{"form-D1",#N/A,FALSE,"FORM-D1";"form-D1_amt",#N/A,FALSE,"FORM-D1"}</definedName>
    <definedName name="ajslk" hidden="1">{"form-D1",#N/A,FALSE,"FORM-D1";"form-D1_amt",#N/A,FALSE,"FORM-D1"}</definedName>
    <definedName name="AK" localSheetId="2">INDEX(#REF!,MATCH(#REF!,#REF!,0))</definedName>
    <definedName name="AK">#REF!</definedName>
    <definedName name="aks" localSheetId="2">#REF!</definedName>
    <definedName name="aks">#REF!</definedName>
    <definedName name="aksj" localSheetId="2" hidden="1">{"form-D1",#N/A,FALSE,"FORM-D1";"form-D1_amt",#N/A,FALSE,"FORM-D1"}</definedName>
    <definedName name="aksj" localSheetId="6" hidden="1">{"form-D1",#N/A,FALSE,"FORM-D1";"form-D1_amt",#N/A,FALSE,"FORM-D1"}</definedName>
    <definedName name="aksj" localSheetId="0" hidden="1">{"form-D1",#N/A,FALSE,"FORM-D1";"form-D1_amt",#N/A,FALSE,"FORM-D1"}</definedName>
    <definedName name="aksj" hidden="1">{"form-D1",#N/A,FALSE,"FORM-D1";"form-D1_amt",#N/A,FALSE,"FORM-D1"}</definedName>
    <definedName name="AL" localSheetId="2">INDEX(#REF!,MATCH(#REF!,#REF!,0))</definedName>
    <definedName name="AL">#REF!</definedName>
    <definedName name="ALarea" localSheetId="2">#REF!</definedName>
    <definedName name="ALarea">#REF!</definedName>
    <definedName name="alarms">#REF!</definedName>
    <definedName name="ALIM">#REF!</definedName>
    <definedName name="all">#REF!</definedName>
    <definedName name="All_Item">#REF!</definedName>
    <definedName name="alpha">#REF!</definedName>
    <definedName name="alpha_disc">#REF!</definedName>
    <definedName name="alpha_ed">#REF!</definedName>
    <definedName name="alphaa" localSheetId="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w" localSheetId="2">#REF!</definedName>
    <definedName name="Alw">#REF!</definedName>
    <definedName name="alwarsump">#REF!</definedName>
    <definedName name="AM" localSheetId="0">INDEX(#REF!,MATCH(#REF!,#REF!,0))</definedName>
    <definedName name="AM">INDEX(#REF!,MATCH(#REF!,#REF!,0))</definedName>
    <definedName name="ama">#REF!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b">#REF!</definedName>
    <definedName name="anchor">#REF!</definedName>
    <definedName name="Anfang">#REF!</definedName>
    <definedName name="Angeb">#REF!</definedName>
    <definedName name="angle">#REF!</definedName>
    <definedName name="Anhpq" localSheetId="0">{"'Sheet1'!$L$16"}</definedName>
    <definedName name="Anhpq">{"'Sheet1'!$L$16"}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o">#REF!</definedName>
    <definedName name="Aone" localSheetId="2">#REF!</definedName>
    <definedName name="Aone">#REF!</definedName>
    <definedName name="AP" localSheetId="2">#REF!</definedName>
    <definedName name="AP">#REF!</definedName>
    <definedName name="app">#REF!</definedName>
    <definedName name="APPR">#REF!</definedName>
    <definedName name="Approach">#REF!</definedName>
    <definedName name="APRIL" localSheetId="2">#REF!</definedName>
    <definedName name="APRIL">#REF!</definedName>
    <definedName name="april_qty">#REF!</definedName>
    <definedName name="aq">#REF!</definedName>
    <definedName name="ar">#REF!</definedName>
    <definedName name="arb" hidden="1">#REF!</definedName>
    <definedName name="arctanz">#REF!</definedName>
    <definedName name="AREA_000">#REF!</definedName>
    <definedName name="AREA_001">#REF!</definedName>
    <definedName name="arrotonda">#REF!</definedName>
    <definedName name="arwrw">#REF!</definedName>
    <definedName name="AS">#REF!</definedName>
    <definedName name="AS_disc">#REF!</definedName>
    <definedName name="AS2DocOpenMode" hidden="1">"AS2DocumentEdit"</definedName>
    <definedName name="asa">#REF!</definedName>
    <definedName name="asd" localSheetId="2">#REF!</definedName>
    <definedName name="ASD">#REF!</definedName>
    <definedName name="asda">#REF!</definedName>
    <definedName name="asddfr">#REF!</definedName>
    <definedName name="asdff">#REF!</definedName>
    <definedName name="asdfgf">#REF!</definedName>
    <definedName name="ASDFGH" hidden="1">#REF!</definedName>
    <definedName name="ASDGSG" localSheetId="2" hidden="1">{"'PROFITABILITY'!$A$1:$F$45"}</definedName>
    <definedName name="ASDGSG" localSheetId="6" hidden="1">{"'PROFITABILITY'!$A$1:$F$45"}</definedName>
    <definedName name="ASDGSG" localSheetId="0" hidden="1">{"'PROFITABILITY'!$A$1:$F$45"}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fas">#N/A</definedName>
    <definedName name="ASFFFF" localSheetId="2">#REF!</definedName>
    <definedName name="ASFFFF">#REF!</definedName>
    <definedName name="asfsd" localSheetId="2">#REF!</definedName>
    <definedName name="asfsd">#REF!</definedName>
    <definedName name="ASHOKA" localSheetId="2">#REF!</definedName>
    <definedName name="ASHOKA">#REF!</definedName>
    <definedName name="asjk" localSheetId="2" hidden="1">{"form-D1",#N/A,FALSE,"FORM-D1";"form-D1_amt",#N/A,FALSE,"FORM-D1"}</definedName>
    <definedName name="asjk" localSheetId="6" hidden="1">{"form-D1",#N/A,FALSE,"FORM-D1";"form-D1_amt",#N/A,FALSE,"FORM-D1"}</definedName>
    <definedName name="asjk" localSheetId="0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hidden="1">#REF!</definedName>
    <definedName name="assets" localSheetId="2">#REF!</definedName>
    <definedName name="assets">#REF!</definedName>
    <definedName name="ASSSSSS" hidden="1">#REF!</definedName>
    <definedName name="ASSSSSSSSSSSSSSSSSSSSSSSS" localSheetId="2">#REF!</definedName>
    <definedName name="ASSSSSSSSSSSSSSSSSSSSSSSS">#REF!</definedName>
    <definedName name="asw" localSheetId="2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fill_data">#REF!</definedName>
    <definedName name="aux">#REF!</definedName>
    <definedName name="Aux.items">#REF!</definedName>
    <definedName name="AuxRelay">#REF!</definedName>
    <definedName name="aw">#REF!</definedName>
    <definedName name="AWW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>#REF!</definedName>
    <definedName name="azsa" localSheetId="0" hidden="1">{"'PROFITABILITY'!$A$1:$F$45"}</definedName>
    <definedName name="azsa" hidden="1">{"'PROFITABILITY'!$A$1:$F$45"}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s" localSheetId="0" hidden="1">{"'PROFITABILITY'!$A$1:$F$45"}</definedName>
    <definedName name="bas" hidden="1">{"'PROFITABILITY'!$A$1:$F$45"}</definedName>
    <definedName name="BASE_PLATE">#REF!</definedName>
    <definedName name="BaseCement">#REF!</definedName>
    <definedName name="BaseClayProducts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>#REF!</definedName>
    <definedName name="bbb">#REF!</definedName>
    <definedName name="bbbb">#REF!</definedName>
    <definedName name="BBH">#REF!</definedName>
    <definedName name="bc">#REF!</definedName>
    <definedName name="bcgf">#REF!</definedName>
    <definedName name="bcs">#REF!</definedName>
    <definedName name="bct">#REF!</definedName>
    <definedName name="bcv" localSheetId="2" hidden="1">{"'PROFITABILITY'!$A$1:$F$45"}</definedName>
    <definedName name="bcv" localSheetId="6" hidden="1">{"'PROFITABILITY'!$A$1:$F$45"}</definedName>
    <definedName name="bcv" localSheetId="0" hidden="1">{"'PROFITABILITY'!$A$1:$F$45"}</definedName>
    <definedName name="bcv" hidden="1">{"'PROFITABILITY'!$A$1:$F$45"}</definedName>
    <definedName name="BD" localSheetId="0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0">INDEX(#REF!,MATCH(#REF!,#REF!,0))</definedName>
    <definedName name="BE">INDEX(#REF!,MATCH(#REF!,#REF!,0))</definedName>
    <definedName name="Beg_Bal">#REF!</definedName>
    <definedName name="Beldar">#REF!</definedName>
    <definedName name="BEN">#REF!</definedName>
    <definedName name="BEND">#REF!</definedName>
    <definedName name="Benefits">#REF!</definedName>
    <definedName name="BENJ">#REF!</definedName>
    <definedName name="beta">#REF!</definedName>
    <definedName name="BF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>#REF!</definedName>
    <definedName name="bhaska1">#REF!</definedName>
    <definedName name="bhaskar">#REF!</definedName>
    <definedName name="Bhisti">#REF!</definedName>
    <definedName name="bhs">#REF!</definedName>
    <definedName name="BI">#REF!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0">INDEX(#REF!,MATCH(#REF!,#REF!,0))</definedName>
    <definedName name="BJ">INDEX(#REF!,MATCH(#REF!,#REF!,0))</definedName>
    <definedName name="BK" localSheetId="0">INDEX(#REF!,MATCH(#REF!,#REF!,0))</definedName>
    <definedName name="BK">INDEX(#REF!,MATCH(#REF!,#REF!,0))</definedName>
    <definedName name="BL" localSheetId="0">INDEX(#REF!,MATCH(#REF!,#REF!,0))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M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>#REF!</definedName>
    <definedName name="BOM_PR">#REF!</definedName>
    <definedName name="BOM_PR_TOT">#REF!</definedName>
    <definedName name="boml">#REF!</definedName>
    <definedName name="BONPSCHE">#REF!</definedName>
    <definedName name="BOQ">#REF!</definedName>
    <definedName name="boq_br2">#REF!</definedName>
    <definedName name="boq_br3">#REF!</definedName>
    <definedName name="boq_type">#REF!</definedName>
    <definedName name="boq_version">#REF!</definedName>
    <definedName name="BOQAnalysis_LT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>#REF!</definedName>
    <definedName name="BQ">#REF!</definedName>
    <definedName name="BR_Resou">#REF!</definedName>
    <definedName name="br2_selection">#REF!</definedName>
    <definedName name="br3_selection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k">#REF!</definedName>
    <definedName name="bs">#REF!</definedName>
    <definedName name="BS_9A">#REF!</definedName>
    <definedName name="BS_9B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 localSheetId="2">#REF!</definedName>
    <definedName name="BuiltIn_Print_Titles___0">#N/A</definedName>
    <definedName name="BuiltIn_Print_Titles___0___0" localSheetId="2">#REF!</definedName>
    <definedName name="BuiltIn_Print_Titles___0___0">#REF!</definedName>
    <definedName name="BuiltIn_Print_Titles___0___0___0" localSheetId="2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VJIOJ8FYEMF8" localSheetId="2">#REF!</definedName>
    <definedName name="BVJIOJ8FYEMF8">#REF!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c">#REF!</definedName>
    <definedName name="c_margin">#REF!</definedName>
    <definedName name="C_VALUE">#REF!</definedName>
    <definedName name="C0">#REF!</definedName>
    <definedName name="ca" localSheetId="2">#REF!*1.507</definedName>
    <definedName name="CA">#REF!</definedName>
    <definedName name="caa" localSheetId="2" hidden="1">{"'PROFITABILITY'!$A$1:$F$45"}</definedName>
    <definedName name="caa" localSheetId="6" hidden="1">{"'PROFITABILITY'!$A$1:$F$45"}</definedName>
    <definedName name="caa" localSheetId="0" hidden="1">{"'PROFITABILITY'!$A$1:$F$45"}</definedName>
    <definedName name="caa" hidden="1">{"'PROFITABILITY'!$A$1:$F$45"}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 localSheetId="2">#REF!</definedName>
    <definedName name="CAPAPR">#REF!</definedName>
    <definedName name="CAPAUG" localSheetId="2">#REF!</definedName>
    <definedName name="CAPAUG">#REF!</definedName>
    <definedName name="CAPDEC" localSheetId="2">#REF!</definedName>
    <definedName name="CAPDEC">#REF!</definedName>
    <definedName name="capex_br2">#REF!</definedName>
    <definedName name="capex_br3">#REF!</definedName>
    <definedName name="capex_config1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 localSheetId="2">#REF!</definedName>
    <definedName name="cash" localSheetId="6" hidden="1">{"'Sheet1'!$A$4386:$N$4591"}</definedName>
    <definedName name="cash" localSheetId="0" hidden="1">{"'Sheet1'!$A$4386:$N$4591"}</definedName>
    <definedName name="cash" hidden="1">{"'Sheet1'!$A$4386:$N$4591"}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>#REF!</definedName>
    <definedName name="CB" localSheetId="2">INDEX(#REF!,MATCH(#REF!,#REF!,0))</definedName>
    <definedName name="CB">#REF!</definedName>
    <definedName name="CBISO">#REF!</definedName>
    <definedName name="CBISO145">#REF!</definedName>
    <definedName name="CBISO245">#REF!</definedName>
    <definedName name="CBR220CTL">#REF!</definedName>
    <definedName name="CBR500CTL">#REF!</definedName>
    <definedName name="cc">#REF!</definedName>
    <definedName name="CCB">#REF!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d">#REF!</definedName>
    <definedName name="CD_HW">#REF!</definedName>
    <definedName name="CD_SPLADL">#REF!</definedName>
    <definedName name="CD_SW">#REF!</definedName>
    <definedName name="cdds">#REF!</definedName>
    <definedName name="cdfgdf">#REF!</definedName>
    <definedName name="Cdi">#REF!</definedName>
    <definedName name="CDT">#REF!</definedName>
    <definedName name="CE" localSheetId="2">INDEX(#REF!,MATCH(#REF!,#REF!,0))</definedName>
    <definedName name="CE">#REF!</definedName>
    <definedName name="ced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_124">#REF!</definedName>
    <definedName name="Cf" localSheetId="2">#REF!</definedName>
    <definedName name="Cf">#REF!</definedName>
    <definedName name="cf_musd">#REF!</definedName>
    <definedName name="cfre" localSheetId="2">#REF!</definedName>
    <definedName name="cfre">#REF!</definedName>
    <definedName name="CG" localSheetId="0">INDEX(#REF!,MATCH(#REF!,#REF!,0))</definedName>
    <definedName name="CG">INDEX(#REF!,MATCH(#REF!,#REF!,0))</definedName>
    <definedName name="cgxcf">#REF!</definedName>
    <definedName name="CH" localSheetId="0">INDEX(#REF!,MATCH(#REF!,#REF!,0))</definedName>
    <definedName name="CH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ndra" localSheetId="2">#REF!</definedName>
    <definedName name="chandra">#REF!</definedName>
    <definedName name="Charges_of_road_roller">#REF!</definedName>
    <definedName name="ChartData_Monthly">#REF!</definedName>
    <definedName name="ChartData_Weekly">#REF!</definedName>
    <definedName name="check">#REF!</definedName>
    <definedName name="Check_Csummary">#REF!</definedName>
    <definedName name="check_OOHLT">#REF!</definedName>
    <definedName name="checked">#REF!</definedName>
    <definedName name="CHF">#REF!</definedName>
    <definedName name="chk">#REF!</definedName>
    <definedName name="CHW">#REF!</definedName>
    <definedName name="CI" localSheetId="0">INDEX(#REF!,MATCH(#REF!,#REF!,0))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v">#REF!</definedName>
    <definedName name="civil">#REF!</definedName>
    <definedName name="CJ" localSheetId="0">INDEX(#REF!,MATCH(#REF!,#REF!,0))</definedName>
    <definedName name="CJ">INDEX(#REF!,MATCH(#REF!,#REF!,0))</definedName>
    <definedName name="CK" localSheetId="0">INDEX(#REF!,MATCH(#REF!,#REF!,0))</definedName>
    <definedName name="CK">INDEX(#REF!,MATCH(#REF!,#REF!,0))</definedName>
    <definedName name="cl" localSheetId="2">150</definedName>
    <definedName name="CL">#REF!</definedName>
    <definedName name="cl33kv">#REF!</definedName>
    <definedName name="clbs" localSheetId="2">#REF!</definedName>
    <definedName name="clbs">#REF!</definedName>
    <definedName name="cld" localSheetId="2">#REF!</definedName>
    <definedName name="cld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 localSheetId="0">INDEX(#REF!,MATCH(#REF!,#REF!,0))</definedName>
    <definedName name="CM">INDEX(#REF!,MATCH(#REF!,#REF!,0))</definedName>
    <definedName name="CM_14">#REF!</definedName>
    <definedName name="cmort3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>#REF!</definedName>
    <definedName name="Common">#REF!</definedName>
    <definedName name="COMP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D">#REF!</definedName>
    <definedName name="cond.span">#REF!</definedName>
    <definedName name="conductor">#REF!</definedName>
    <definedName name="conductor_E2">#REF!</definedName>
    <definedName name="conductor_L1">#REF!</definedName>
    <definedName name="ConductorType">OFFSET(#REF!,0,0,COUNTA(#REF!),1)</definedName>
    <definedName name="CONDUIT">#REF!</definedName>
    <definedName name="config">#REF!</definedName>
    <definedName name="config1">#REF!</definedName>
    <definedName name="config2">#REF!</definedName>
    <definedName name="CONS">#REF!</definedName>
    <definedName name="const" localSheetId="2" hidden="1">{"'PROFITABILITY'!$A$1:$F$45"}</definedName>
    <definedName name="const" localSheetId="6" hidden="1">{"'PROFITABILITY'!$A$1:$F$45"}</definedName>
    <definedName name="const" localSheetId="0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rd">#REF!</definedName>
    <definedName name="COS">#REF!</definedName>
    <definedName name="cosq">#REF!</definedName>
    <definedName name="cost">#REF!</definedName>
    <definedName name="Cost__Ex_Works">#REF!</definedName>
    <definedName name="Cost_cod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_block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">#REF!</definedName>
    <definedName name="CRB">#REF!</definedName>
    <definedName name="_xlnm.Criteria">#REF!</definedName>
    <definedName name="CRMB60">#REF!</definedName>
    <definedName name="Crore">10000000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d">#REF!</definedName>
    <definedName name="CVD_HW">#REF!</definedName>
    <definedName name="CVD_SW">#REF!</definedName>
    <definedName name="cvdcess">#REF!</definedName>
    <definedName name="cvg">#N/A</definedName>
    <definedName name="CVT" localSheetId="2">#REF!</definedName>
    <definedName name="CVT">#REF!</definedName>
    <definedName name="cw" localSheetId="2">20</definedName>
    <definedName name="cw">10</definedName>
    <definedName name="cx" localSheetId="2">#REF!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 localSheetId="2">#REF!</definedName>
    <definedName name="d___0">#REF!</definedName>
    <definedName name="d___13" localSheetId="2">#REF!</definedName>
    <definedName name="d___13">#REF!</definedName>
    <definedName name="D_D" localSheetId="0">INDEX(#REF!,MATCH(#REF!,#REF!,0))</definedName>
    <definedName name="D_D">INDEX(#REF!,MATCH(#REF!,#REF!,0))</definedName>
    <definedName name="d_jp" localSheetId="2" hidden="1">{"'Sheet1'!$A$4386:$N$4591"}</definedName>
    <definedName name="d_jp" localSheetId="6" hidden="1">{"'Sheet1'!$A$4386:$N$4591"}</definedName>
    <definedName name="d_jp" localSheetId="0" hidden="1">{"'Sheet1'!$A$4386:$N$4591"}</definedName>
    <definedName name="d_jp" hidden="1">{"'Sheet1'!$A$4386:$N$4591"}</definedName>
    <definedName name="D65536A1">#REF!</definedName>
    <definedName name="D8Data">#REF!</definedName>
    <definedName name="Da">#REF!</definedName>
    <definedName name="dam">#REF!</definedName>
    <definedName name="Dampers" localSheetId="0" hidden="1">{"'PROFITABILITY'!$A$1:$F$45"}</definedName>
    <definedName name="Dampers" hidden="1">{"'PROFITABILITY'!$A$1:$F$45"}</definedName>
    <definedName name="DANGA" localSheetId="0">#REF!,#REF!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2" hidden="1">{"'PROFITABILITY'!$A$1:$F$45"}</definedName>
    <definedName name="dd" hidden="1">#REF!</definedName>
    <definedName name="ddash">#REF!</definedName>
    <definedName name="DDD" hidden="1">#REF!</definedName>
    <definedName name="dddd">#REF!</definedName>
    <definedName name="ddddd">#REF!</definedName>
    <definedName name="ddf">#REF!</definedName>
    <definedName name="DDK">#REF!</definedName>
    <definedName name="De" localSheetId="2">#REF!</definedName>
    <definedName name="DE" localSheetId="6" hidden="1">{"'PROFITABILITY'!$A$1:$F$45"}</definedName>
    <definedName name="DE" localSheetId="0" hidden="1">{"'PROFITABILITY'!$A$1:$F$45"}</definedName>
    <definedName name="DE" hidden="1">{"'PROFITABILITY'!$A$1:$F$45"}</definedName>
    <definedName name="de_cost">#REF!</definedName>
    <definedName name="DEBTORS">#REF!</definedName>
    <definedName name="DEC.GH">#REF!</definedName>
    <definedName name="DEED">#REF!</definedName>
    <definedName name="def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t_Price">#REF!</definedName>
    <definedName name="det_act_plan">#REF!</definedName>
    <definedName name="Detailed">#REF!</definedName>
    <definedName name="Details">#REF!</definedName>
    <definedName name="dev">#REF!</definedName>
    <definedName name="df">#REF!</definedName>
    <definedName name="dfadf" localSheetId="0">(#REF!,#REF!)</definedName>
    <definedName name="dfadf">(#REF!,#REF!)</definedName>
    <definedName name="dfaf" localSheetId="2" hidden="1">{"'장비'!$A$3:$M$12"}</definedName>
    <definedName name="dfaf">#REF!</definedName>
    <definedName name="DFD" localSheetId="2" hidden="1">{"'PROFITABILITY'!$A$1:$F$45"}</definedName>
    <definedName name="dfd">#REF!</definedName>
    <definedName name="dfdf">#REF!</definedName>
    <definedName name="dfdfdfd" localSheetId="0" hidden="1">{"'PROFITABILITY'!$A$1:$F$45"}</definedName>
    <definedName name="dfdfdfd" hidden="1">{"'PROFITABILITY'!$A$1:$F$45"}</definedName>
    <definedName name="dfdfs" localSheetId="2" hidden="1">{"'Sheet1'!$A$4386:$N$4591"}</definedName>
    <definedName name="dfdfs" localSheetId="6" hidden="1">{"'Sheet1'!$A$4386:$N$4591"}</definedName>
    <definedName name="dfdfs" localSheetId="0" hidden="1">{"'Sheet1'!$A$4386:$N$4591"}</definedName>
    <definedName name="dfdfs" hidden="1">{"'Sheet1'!$A$4386:$N$4591"}</definedName>
    <definedName name="dff">#REF!</definedName>
    <definedName name="DFHGFKLJHG">#N/A</definedName>
    <definedName name="DFR" localSheetId="2">#REF!</definedName>
    <definedName name="DFR">#REF!</definedName>
    <definedName name="dfrads" localSheetId="2">#REF!</definedName>
    <definedName name="dfrads">#REF!</definedName>
    <definedName name="dfsdf" localSheetId="2">#REF!</definedName>
    <definedName name="dfsdf">#REF!</definedName>
    <definedName name="dfsga">#REF!</definedName>
    <definedName name="dg">#REF!</definedName>
    <definedName name="DG_Total">#REF!</definedName>
    <definedName name="dgfgfd" localSheetId="2" hidden="1">{#N/A,#N/A,FALSE,"COVER.XLS";#N/A,#N/A,FALSE,"RACT1.XLS";#N/A,#N/A,FALSE,"RACT2.XLS";#N/A,#N/A,FALSE,"ECCMP";#N/A,#N/A,FALSE,"WELDER.XLS"}</definedName>
    <definedName name="dgfgfd" localSheetId="6" hidden="1">{#N/A,#N/A,FALSE,"COVER.XLS";#N/A,#N/A,FALSE,"RACT1.XLS";#N/A,#N/A,FALSE,"RACT2.XLS";#N/A,#N/A,FALSE,"ECCMP";#N/A,#N/A,FALSE,"WELDER.XLS"}</definedName>
    <definedName name="dgfgfd" localSheetId="0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n">#REF!</definedName>
    <definedName name="dgp">#REF!</definedName>
    <definedName name="dgv" localSheetId="2">#REF!</definedName>
    <definedName name="dgv">#REF!</definedName>
    <definedName name="DH" localSheetId="0">INDEX(#REF!,MATCH(#REF!,#REF!,0))</definedName>
    <definedName name="DH">INDEX(#REF!,MATCH(#REF!,#REF!,0))</definedName>
    <definedName name="dhgh">#REF!</definedName>
    <definedName name="DHTML" localSheetId="2" hidden="1">{"'Sheet1'!$A$4386:$N$4591"}</definedName>
    <definedName name="DHTML" localSheetId="6" hidden="1">{"'Sheet1'!$A$4386:$N$4591"}</definedName>
    <definedName name="DHTML" localSheetId="0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ff">#REF!</definedName>
    <definedName name="diff1">#REF!</definedName>
    <definedName name="DIns">#REF!</definedName>
    <definedName name="Dis" localSheetId="2" hidden="1">{"'PROFITABILITY'!$A$1:$F$45"}</definedName>
    <definedName name="Dis" localSheetId="6" hidden="1">{"'PROFITABILITY'!$A$1:$F$45"}</definedName>
    <definedName name="Dis" localSheetId="0" hidden="1">{"'PROFITABILITY'!$A$1:$F$45"}</definedName>
    <definedName name="Dis" hidden="1">{"'PROFITABILITY'!$A$1:$F$45"}</definedName>
    <definedName name="disc">#REF!</definedName>
    <definedName name="Discount" hidden="1">#REF!</definedName>
    <definedName name="Discount1">#REF!</definedName>
    <definedName name="disdir">#REF!</definedName>
    <definedName name="display_area_2" hidden="1">#REF!</definedName>
    <definedName name="DIST1">#REF!</definedName>
    <definedName name="Distrib">#REF!</definedName>
    <definedName name="DIV">1000000</definedName>
    <definedName name="DJ" localSheetId="0">INDEX(#REF!,MATCH(#REF!,#REF!,0))</definedName>
    <definedName name="DJ">INDEX(#REF!,MATCH(#REF!,#REF!,0))</definedName>
    <definedName name="DJH">#REF!</definedName>
    <definedName name="dk" localSheetId="2">#REF!</definedName>
    <definedName name="dk">#REF!</definedName>
    <definedName name="dkd">#REF!</definedName>
    <definedName name="DKG" localSheetId="0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2">#REF!</definedName>
    <definedName name="Dm">#REF!</definedName>
    <definedName name="dms" localSheetId="2">#REF!</definedName>
    <definedName name="dms">#REF!</definedName>
    <definedName name="dmt" localSheetId="2">#REF!</definedName>
    <definedName name="dmt">#REF!</definedName>
    <definedName name="DMUSD">#REF!</definedName>
    <definedName name="dn" localSheetId="2" hidden="1">{#N/A,#N/A,FALSE,"COVER1.XLS ";#N/A,#N/A,FALSE,"RACT1.XLS";#N/A,#N/A,FALSE,"RACT2.XLS";#N/A,#N/A,FALSE,"ECCMP";#N/A,#N/A,FALSE,"WELDER.XLS"}</definedName>
    <definedName name="dn" localSheetId="6" hidden="1">{#N/A,#N/A,FALSE,"COVER1.XLS ";#N/A,#N/A,FALSE,"RACT1.XLS";#N/A,#N/A,FALSE,"RACT2.XLS";#N/A,#N/A,FALSE,"ECCMP";#N/A,#N/A,FALSE,"WELDER.XLS"}</definedName>
    <definedName name="dn" localSheetId="0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 localSheetId="2">#REF!</definedName>
    <definedName name="DOLLARS1">#REF!</definedName>
    <definedName name="DOLLARS2" localSheetId="2">#REF!</definedName>
    <definedName name="DOLLARS2">#REF!</definedName>
    <definedName name="Dome1">#REF!</definedName>
    <definedName name="domestic_global">#REF!</definedName>
    <definedName name="Double">#REF!</definedName>
    <definedName name="Doz">#REF!</definedName>
    <definedName name="DPR" localSheetId="0">#REF!&amp;#REF!&amp;#REF!&amp;#REF!&amp;#REF!&amp;#REF!&amp;#REF!&amp;#REF!&amp;#REF!&amp;#REF!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>#REF!</definedName>
    <definedName name="DS">#REF!</definedName>
    <definedName name="Ds___0">#REF!</definedName>
    <definedName name="Ds___13">#REF!</definedName>
    <definedName name="dsada">#REF!</definedName>
    <definedName name="dsat">#REF!</definedName>
    <definedName name="dsdf" hidden="1">#REF!</definedName>
    <definedName name="dsds" hidden="1">#REF!</definedName>
    <definedName name="dsdsdls">#REF!</definedName>
    <definedName name="dsfadsf">#REF!</definedName>
    <definedName name="dsgtgx">#REF!</definedName>
    <definedName name="Dt">#REF!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0">INDEX(#REF!,MATCH(#REF!,#REF!,0))</definedName>
    <definedName name="EA">INDEX(#REF!,MATCH(#REF!,#REF!,0))</definedName>
    <definedName name="Eair">#REF!</definedName>
    <definedName name="Earth" localSheetId="2">#REF!</definedName>
    <definedName name="earth" localSheetId="6" hidden="1">{"'Sheet1'!$A$4386:$N$4591"}</definedName>
    <definedName name="earth" localSheetId="0" hidden="1">{"'Sheet1'!$A$4386:$N$4591"}</definedName>
    <definedName name="earth" hidden="1">{"'Sheet1'!$A$4386:$N$4591"}</definedName>
    <definedName name="EARTH1">#REF!</definedName>
    <definedName name="eawerawea">#REF!</definedName>
    <definedName name="EB" localSheetId="0">INDEX(#REF!,MATCH(#REF!,#REF!,0))</definedName>
    <definedName name="EB">INDEX(#REF!,MATCH(#REF!,#REF!,0))</definedName>
    <definedName name="EB_Total">#REF!</definedName>
    <definedName name="EC" localSheetId="0">INDEX(#REF!,MATCH(#REF!,#REF!,0))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istr_SS">#REF!</definedName>
    <definedName name="Edistr_TL">#REF!</definedName>
    <definedName name="ee">#REF!</definedName>
    <definedName name="eeds">#REF!</definedName>
    <definedName name="eee">#REF!</definedName>
    <definedName name="eeee">#REF!</definedName>
    <definedName name="eehr">#REF!</definedName>
    <definedName name="eehrw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" localSheetId="0">INDEX(#REF!,MATCH(#REF!,#REF!,0))</definedName>
    <definedName name="EF">INDEX(#REF!,MATCH(#REF!,#REF!,0))</definedName>
    <definedName name="EFFECT">#REF!</definedName>
    <definedName name="EFFICIENCY">#REF!</definedName>
    <definedName name="EG" localSheetId="0">INDEX(#REF!,MATCH(#REF!,#REF!,0))</definedName>
    <definedName name="EG">INDEX(#REF!,MATCH(#REF!,#REF!,0))</definedName>
    <definedName name="EH" localSheetId="0">INDEX(#REF!,MATCH(#REF!,#REF!,0))</definedName>
    <definedName name="EH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0">INDEX(#REF!,MATCH(#REF!,#REF!,0))</definedName>
    <definedName name="EI">INDEX(#REF!,MATCH(#REF!,#REF!,0))</definedName>
    <definedName name="EJ" localSheetId="0">INDEX(#REF!,MATCH(#REF!,#REF!,0))</definedName>
    <definedName name="EJ">INDEX(#REF!,MATCH(#REF!,#REF!,0))</definedName>
    <definedName name="EK" localSheetId="0">INDEX(#REF!,MATCH(#REF!,#REF!,0))</definedName>
    <definedName name="EK">INDEX(#REF!,MATCH(#REF!,#REF!,0))</definedName>
    <definedName name="EL" localSheetId="0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>#REF!</definedName>
    <definedName name="EMET">#REF!</definedName>
    <definedName name="eml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>#REF!</definedName>
    <definedName name="EREBOQ132">#REF!</definedName>
    <definedName name="EREBOQ400">#REF!</definedName>
    <definedName name="erec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 localSheetId="2">#REF!</definedName>
    <definedName name="erer">#REF!</definedName>
    <definedName name="ERT">IFERROR(LEFT(INDEX(#REF!,MATCH(#REF!,#REF!,0)),3),"")</definedName>
    <definedName name="ERV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 localSheetId="0">#REF!,#REF!,#REF!,#REF!,#REF!,#REF!,#REF!,#REF!,#REF!,#REF!,#REF!,#REF!,#REF!</definedName>
    <definedName name="ew">#REF!,#REF!,#REF!,#REF!,#REF!,#REF!,#REF!,#REF!,#REF!,#REF!,#REF!,#REF!,#REF!</definedName>
    <definedName name="EWEQEWE">#REF!</definedName>
    <definedName name="ewer" localSheetId="0" hidden="1">{"'PROFITABILITY'!$A$1:$F$45"}</definedName>
    <definedName name="ewer" hidden="1">{"'PROFITABILITY'!$A$1:$F$45"}</definedName>
    <definedName name="ewre" hidden="1">#REF!</definedName>
    <definedName name="ex">#REF!</definedName>
    <definedName name="ex_joint">#REF!</definedName>
    <definedName name="Ex_Rate_LC_per_FC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2">#REF!</definedName>
    <definedName name="Excel_BuiltIn_Print_Area_1">#REF!</definedName>
    <definedName name="Excel_BuiltIn_Print_Area_1_1" localSheetId="2">#REF!</definedName>
    <definedName name="Excel_BuiltIn_Print_Area_1_1">#REF!</definedName>
    <definedName name="Excel_BuiltIn_Print_Area_1_1_1" localSheetId="2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2">"$#REF!.$A$1:$G$149"</definedName>
    <definedName name="Excel_BuiltIn_Print_Area_3_1_1_1">#REF!</definedName>
    <definedName name="Excel_BuiltIn_Print_Area_3_1_1_1_1" localSheetId="2">#REF!</definedName>
    <definedName name="Excel_BuiltIn_Print_Area_3_1_1_1_1">#REF!</definedName>
    <definedName name="Excel_BuiltIn_Print_Area_3_1_1_1_1_1" localSheetId="2">#REF!</definedName>
    <definedName name="Excel_BuiltIn_Print_Area_3_1_1_1_1_1">#REF!</definedName>
    <definedName name="Excel_BuiltIn_Print_Area_3_1_1_1_1_1_1" localSheetId="2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 localSheetId="2">#REF!</definedName>
    <definedName name="Excel_BuiltIn_Print_Area_5_1">#REF!</definedName>
    <definedName name="Excel_BuiltIn_Print_Area_5_1_1" localSheetId="2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 localSheetId="2">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2">#REF!</definedName>
    <definedName name="Excel_BuiltIn_Print_Titles_16" localSheetId="6">#REF!,#REF!</definedName>
    <definedName name="Excel_BuiltIn_Print_Titles_16">#REF!,#REF!</definedName>
    <definedName name="Excel_BuiltIn_Print_Titles_17" localSheetId="2">#REF!,#REF!</definedName>
    <definedName name="Excel_BuiltIn_Print_Titles_17">#REF!,#REF!</definedName>
    <definedName name="Excel_BuiltIn_Print_Titles_18" localSheetId="2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 localSheetId="2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2">"$#REF!.$A$6:$IP$8"</definedName>
    <definedName name="Excel_BuiltIn_Print_Titles_3_1_1">#REF!</definedName>
    <definedName name="Excel_BuiltIn_Print_Titles_4_1">#REF!</definedName>
    <definedName name="Excel_BuiltIn_Print_Titles_4_1_1" localSheetId="2">#REF!</definedName>
    <definedName name="Excel_BuiltIn_Print_Titles_4_1_1">#REF!</definedName>
    <definedName name="Excel_BuiltIn_Print_Titles_4_1_1_16" localSheetId="2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 localSheetId="2">#REF!,#REF!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 localSheetId="2">#REF!</definedName>
    <definedName name="Excel_BuiltIn_Print_Titles_9">#REF!</definedName>
    <definedName name="Excel_BuiltIn_Print_Titles_9_1">#REF!</definedName>
    <definedName name="Excel_BuiltIn_Print_Titles_9_16" localSheetId="2">#REF!</definedName>
    <definedName name="Excel_BuiltIn_Print_Titles_9_16">#REF!</definedName>
    <definedName name="Excel_BuiltIn_Print_Titles_9_2" localSheetId="2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localSheetId="2" hidden="1">{"'PROFITABILITY'!$A$1:$F$45"}</definedName>
    <definedName name="EXF" localSheetId="6" hidden="1">{"'PROFITABILITY'!$A$1:$F$45"}</definedName>
    <definedName name="EXF" localSheetId="0" hidden="1">{"'PROFITABILITY'!$A$1:$F$45"}</definedName>
    <definedName name="EXF" hidden="1">{"'PROFITABILITY'!$A$1:$F$45"}</definedName>
    <definedName name="exist">#REF!</definedName>
    <definedName name="EXIT">#REF!</definedName>
    <definedName name="exp_ch">#REF!</definedName>
    <definedName name="expense">#REF!</definedName>
    <definedName name="EXPHEADS">#REF!</definedName>
    <definedName name="Exrate">#REF!</definedName>
    <definedName name="EXST" localSheetId="2" hidden="1">{"'PROFITABILITY'!$A$1:$F$45"}</definedName>
    <definedName name="EXST" localSheetId="6" hidden="1">{"'PROFITABILITY'!$A$1:$F$45"}</definedName>
    <definedName name="EXST" localSheetId="0" hidden="1">{"'PROFITABILITY'!$A$1:$F$45"}</definedName>
    <definedName name="EXST" hidden="1">{"'PROFITABILITY'!$A$1:$F$45"}</definedName>
    <definedName name="external">#REF!</definedName>
    <definedName name="Extra_Pay">#REF!</definedName>
    <definedName name="_xlnm.Extract">#REF!</definedName>
    <definedName name="exwks">#REF!</definedName>
    <definedName name="F">#REF!</definedName>
    <definedName name="F___0">#REF!</definedName>
    <definedName name="f_1" localSheetId="0" hidden="1">{"'PROFITABILITY'!$A$1:$F$45"}</definedName>
    <definedName name="f_1" hidden="1">{"'PROFITABILITY'!$A$1:$F$45"}</definedName>
    <definedName name="f_shape">#REF!</definedName>
    <definedName name="fa" localSheetId="2">35.31*15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 localSheetId="0">#REF!/#REF!</definedName>
    <definedName name="Factora">#REF!/#REF!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asfa" localSheetId="0" hidden="1">{"'PROFITABILITY'!$A$1:$F$45"}</definedName>
    <definedName name="fasfa" hidden="1">{"'PROFITABILITY'!$A$1:$F$45"}</definedName>
    <definedName name="faultMVA">#REF!</definedName>
    <definedName name="Fb">#REF!</definedName>
    <definedName name="FC">#REF!</definedName>
    <definedName name="FCL">#REF!</definedName>
    <definedName name="FCode" hidden="1">#REF!</definedName>
    <definedName name="FCR">#REF!</definedName>
    <definedName name="FD" localSheetId="2">INDEX(#REF!,MATCH(#REF!,#REF!,0))</definedName>
    <definedName name="FD">#REF!</definedName>
    <definedName name="fda">#REF!</definedName>
    <definedName name="fdb">#REF!</definedName>
    <definedName name="FDF">#REF!</definedName>
    <definedName name="fdfds">#REF!</definedName>
    <definedName name="FDGSDFG" localSheetId="0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 localSheetId="2">#REF!</definedName>
    <definedName name="fdhd">#REF!</definedName>
    <definedName name="Fdl">#REF!</definedName>
    <definedName name="FDN" localSheetId="2">#REF!</definedName>
    <definedName name="Fdn">#REF!</definedName>
    <definedName name="FDN_Conc">IFERROR(IF(#REF!&gt;=44242,(_xlfn.XLOOKUP(#REF!&amp;#REF!,#REF!,#REF!)),0),"")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>VLOOKUP(#REF!&amp;" "&amp;#REF!,#REF!,2,0)/10^7</definedName>
    <definedName name="Fdr">#REF!</definedName>
    <definedName name="Fdr_name">#REF!</definedName>
    <definedName name="fdsdafas" localSheetId="2" hidden="1">{"'TP-SUMMARY'!$I$11:$K$11"}</definedName>
    <definedName name="fdsdafas" localSheetId="6" hidden="1">{"'TP-SUMMARY'!$I$11:$K$11"}</definedName>
    <definedName name="fdsdafas" localSheetId="0" hidden="1">{"'TP-SUMMARY'!$I$11:$K$11"}</definedName>
    <definedName name="fdsdafas" hidden="1">{"'TP-SUMMARY'!$I$11:$K$11"}</definedName>
    <definedName name="fdsd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">#REF!</definedName>
    <definedName name="fffffffff">#REF!</definedName>
    <definedName name="fffffffffff">#REF!</definedName>
    <definedName name="fffffg" localSheetId="2" hidden="1">{"form-D1",#N/A,FALSE,"FORM-D1";"form-D1_amt",#N/A,FALSE,"FORM-D1"}</definedName>
    <definedName name="fffffg" localSheetId="6" hidden="1">{"form-D1",#N/A,FALSE,"FORM-D1";"form-D1_amt",#N/A,FALSE,"FORM-D1"}</definedName>
    <definedName name="fffffg" localSheetId="0" hidden="1">{"form-D1",#N/A,FALSE,"FORM-D1";"form-D1_amt",#N/A,FALSE,"FORM-D1"}</definedName>
    <definedName name="fffffg" hidden="1">{"form-D1",#N/A,FALSE,"FORM-D1";"form-D1_amt",#N/A,FALSE,"FORM-D1"}</definedName>
    <definedName name="ffhfhf">#REF!</definedName>
    <definedName name="FFR">#REF!</definedName>
    <definedName name="ffvvv">#REF!</definedName>
    <definedName name="fg" localSheetId="0" hidden="1">{"'PROFITABILITY'!$A$1:$F$45"}</definedName>
    <definedName name="fg" hidden="1">{"'PROFITABILITY'!$A$1:$F$45"}</definedName>
    <definedName name="FG46TBTB4RTDKDK">#REF!</definedName>
    <definedName name="fgdfgg" localSheetId="2">#REF!</definedName>
    <definedName name="fgdfgg">#REF!</definedName>
    <definedName name="fgf">#REF!</definedName>
    <definedName name="FGNFN" localSheetId="2">#REF!</definedName>
    <definedName name="FGNFN">#REF!</definedName>
    <definedName name="fgRKRKRKRKRKRKRKRKRKRKRKTBTBSPD">#REF!</definedName>
    <definedName name="Fh" localSheetId="2">#REF!</definedName>
    <definedName name="Fh">#REF!</definedName>
    <definedName name="Fha">#REF!</definedName>
    <definedName name="FHH">#REF!</definedName>
    <definedName name="fhhhh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localSheetId="2" hidden="1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0">INDEX(#REF!,MATCH(#REF!,#REF!,0))</definedName>
    <definedName name="FJ">INDEX(#REF!,MATCH(#REF!,#REF!,0))</definedName>
    <definedName name="fjhgfd" localSheetId="2" hidden="1">{"'Sheet1'!$A$4386:$N$4591"}</definedName>
    <definedName name="fjhgfd" localSheetId="6" hidden="1">{"'Sheet1'!$A$4386:$N$4591"}</definedName>
    <definedName name="fjhgfd" localSheetId="0" hidden="1">{"'Sheet1'!$A$4386:$N$4591"}</definedName>
    <definedName name="fjhgfd" hidden="1">{"'Sheet1'!$A$4386:$N$4591"}</definedName>
    <definedName name="FK" localSheetId="0">INDEX(#REF!,MATCH(#REF!,#REF!,0))</definedName>
    <definedName name="FK">INDEX(#REF!,MATCH(#REF!,#REF!,0))</definedName>
    <definedName name="FL" localSheetId="0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>#REF!</definedName>
    <definedName name="flow">#REF!</definedName>
    <definedName name="Fm">#REF!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ststatus">#REF!</definedName>
    <definedName name="formu">#REF!</definedName>
    <definedName name="Formula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">#REF!</definedName>
    <definedName name="Fpi" localSheetId="2">#REF!</definedName>
    <definedName name="Fpi">#REF!</definedName>
    <definedName name="Fpi0" localSheetId="2">#REF!</definedName>
    <definedName name="Fpi0">#REF!</definedName>
    <definedName name="Fr" localSheetId="0" hidden="1">{"'PROFITABILITY'!$A$1:$F$45"}</definedName>
    <definedName name="Fr" hidden="1">{"'PROFITABILITY'!$A$1:$F$45"}</definedName>
    <definedName name="Fr_charges">#REF!</definedName>
    <definedName name="FRANCS">#REF!</definedName>
    <definedName name="free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#REF!</definedName>
    <definedName name="FRRRRR">#REF!</definedName>
    <definedName name="fs">#REF!</definedName>
    <definedName name="fsadfds">#REF!</definedName>
    <definedName name="fsg">#REF!</definedName>
    <definedName name="Fst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2" hidden="1">{"'Sheet1'!$A$4386:$N$4591"}</definedName>
    <definedName name="funds" localSheetId="6" hidden="1">{"'Sheet1'!$A$4386:$N$4591"}</definedName>
    <definedName name="funds" localSheetId="0" hidden="1">{"'Sheet1'!$A$4386:$N$4591"}</definedName>
    <definedName name="funds" hidden="1">{"'Sheet1'!$A$4386:$N$4591"}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>#REF!</definedName>
    <definedName name="G083BAAN1">#REF!</definedName>
    <definedName name="GA" localSheetId="0">INDEX(#REF!,MATCH(#REF!,#REF!,0))</definedName>
    <definedName name="GA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0">INDEX(#REF!,MATCH(#REF!,#REF!,0))</definedName>
    <definedName name="GB">INDEX(#REF!,MATCH(#REF!,#REF!,0))</definedName>
    <definedName name="GBDFG">#REF!</definedName>
    <definedName name="GC" localSheetId="0">INDEX(#REF!,MATCH(#REF!,#REF!,0))</definedName>
    <definedName name="GC">INDEX(#REF!,MATCH(#REF!,#REF!,0))</definedName>
    <definedName name="Gci">#REF!</definedName>
    <definedName name="gcr">#REF!</definedName>
    <definedName name="GD" localSheetId="0">INDEX(#REF!,MATCH(#REF!,#REF!,0))</definedName>
    <definedName name="GD">INDEX(#REF!,MATCH(#REF!,#REF!,0))</definedName>
    <definedName name="GDGSDGG">#REF!</definedName>
    <definedName name="ge">#REF!</definedName>
    <definedName name="ge_1">#REF!</definedName>
    <definedName name="GEN">#REF!</definedName>
    <definedName name="GF" localSheetId="0">INDEX(#REF!,MATCH(#REF!,#REF!,0))</definedName>
    <definedName name="GF">INDEX(#REF!,MATCH(#REF!,#REF!,0))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hidden="1">#REF!</definedName>
    <definedName name="GGGG">#REF!</definedName>
    <definedName name="GH" localSheetId="2">INDEX(#REF!,MATCH(#REF!,#REF!,0))</definedName>
    <definedName name="GH">#REF!</definedName>
    <definedName name="ghmgm" localSheetId="2" hidden="1">{"'PROFITABILITY'!$A$1:$F$45"}</definedName>
    <definedName name="ghmgm" localSheetId="6" hidden="1">{"'PROFITABILITY'!$A$1:$F$45"}</definedName>
    <definedName name="ghmgm" localSheetId="0" hidden="1">{"'PROFITABILITY'!$A$1:$F$45"}</definedName>
    <definedName name="ghmgm" hidden="1">{"'PROFITABILITY'!$A$1:$F$45"}</definedName>
    <definedName name="GI">#REF!</definedName>
    <definedName name="girder.span">#REF!</definedName>
    <definedName name="GJ" localSheetId="0">INDEX(#REF!,MATCH(#REF!,#REF!,0))</definedName>
    <definedName name="GJ">INDEX(#REF!,MATCH(#REF!,#REF!,0))</definedName>
    <definedName name="gk">#REF!</definedName>
    <definedName name="GL" localSheetId="0">INDEX(#REF!,MATCH(#REF!,#REF!,0))</definedName>
    <definedName name="GL">INDEX(#REF!,MATCH(#REF!,#REF!,0))</definedName>
    <definedName name="globe">#REF!</definedName>
    <definedName name="GM" localSheetId="0">INDEX(#REF!,MATCH(#REF!,#REF!,0))</definedName>
    <definedName name="GM">INDEX(#REF!,MATCH(#REF!,#REF!,0))</definedName>
    <definedName name="GMR">#REF!</definedName>
    <definedName name="gn">#REF!</definedName>
    <definedName name="gngn">#REF!</definedName>
    <definedName name="Godavari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dLineMr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0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0" hidden="1">{#N/A,#N/A,FALSE,"CCTV"}</definedName>
    <definedName name="GV" hidden="1">{#N/A,#N/A,FALSE,"CCTV"}</definedName>
    <definedName name="Gw" localSheetId="2">#REF!</definedName>
    <definedName name="Gw">#REF!</definedName>
    <definedName name="h" localSheetId="2">#REF!</definedName>
    <definedName name="H">#REF!</definedName>
    <definedName name="H___0" localSheetId="2">#REF!</definedName>
    <definedName name="H___0">#REF!</definedName>
    <definedName name="H___13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 localSheetId="0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I">#REF!</definedName>
    <definedName name="HB" localSheetId="0">INDEX(#REF!,MATCH(#REF!,#REF!,0))</definedName>
    <definedName name="HB">INDEX(#REF!,MATCH(#REF!,#REF!,0))</definedName>
    <definedName name="HC" localSheetId="0">INDEX(#REF!,MATCH(#REF!,#REF!,0))</definedName>
    <definedName name="HC">INDEX(#REF!,MATCH(#REF!,#REF!,0))</definedName>
    <definedName name="Hcbdw">#REF!</definedName>
    <definedName name="Hcw">#REF!</definedName>
    <definedName name="HD" localSheetId="0">INDEX(#REF!,MATCH(#REF!,#REF!,0))</definedName>
    <definedName name="HD">INDEX(#REF!,MATCH(#REF!,#REF!,0))</definedName>
    <definedName name="HE">#REF!</definedName>
    <definedName name="head1">#REF!</definedName>
    <definedName name="head2">#REF!</definedName>
    <definedName name="head3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#REF!</definedName>
    <definedName name="Herstellerangaben">#REF!</definedName>
    <definedName name="hf">#REF!</definedName>
    <definedName name="hfh" localSheetId="2" hidden="1">{"'PROFITABILITY'!$A$1:$F$45"}</definedName>
    <definedName name="hfh" localSheetId="6" hidden="1">{"'PROFITABILITY'!$A$1:$F$45"}</definedName>
    <definedName name="hfh" localSheetId="0" hidden="1">{"'PROFITABILITY'!$A$1:$F$45"}</definedName>
    <definedName name="hfh" hidden="1">{"'PROFITABILITY'!$A$1:$F$45"}</definedName>
    <definedName name="hfi">#REF!</definedName>
    <definedName name="hfjtyu" localSheetId="2" hidden="1">{"'PROFITABILITY'!$A$1:$F$45"}</definedName>
    <definedName name="hfjtyu" localSheetId="6" hidden="1">{"'PROFITABILITY'!$A$1:$F$45"}</definedName>
    <definedName name="hfjtyu" localSheetId="0" hidden="1">{"'PROFITABILITY'!$A$1:$F$45"}</definedName>
    <definedName name="hfjtyu" hidden="1">{"'PROFITABILITY'!$A$1:$F$45"}</definedName>
    <definedName name="HG" localSheetId="2">INDEX(#REF!,MATCH(#REF!,#REF!,0))</definedName>
    <definedName name="hg">#REF!</definedName>
    <definedName name="hgdfhfjkg">#REF!</definedName>
    <definedName name="hgr">#REF!</definedName>
    <definedName name="hh">#REF!</definedName>
    <definedName name="hh___0">#REF!</definedName>
    <definedName name="hh___13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>#REF!</definedName>
    <definedName name="hhhhhhhhh">#REF!</definedName>
    <definedName name="hhhkh" hidden="1">#REF!</definedName>
    <definedName name="hhmm">#REF!</definedName>
    <definedName name="Hhpc">#REF!</definedName>
    <definedName name="hhs">#REF!</definedName>
    <definedName name="hhss">#REF!</definedName>
    <definedName name="HI">#REF!</definedName>
    <definedName name="HiddenRows" hidden="1">#REF!</definedName>
    <definedName name="hijkl" localSheetId="0" hidden="1">{"'PROFITABILITY'!$A$1:$F$45"}</definedName>
    <definedName name="hijkl" hidden="1">{"'PROFITABILITY'!$A$1:$F$45"}</definedName>
    <definedName name="HINDHUSTAN">#REF!</definedName>
    <definedName name="HINDI">#REF!</definedName>
    <definedName name="HIns">#REF!</definedName>
    <definedName name="Hipc">#REF!</definedName>
    <definedName name="Hire_Amortize">#REF!</definedName>
    <definedName name="hiuhiuhpoho">#REF!</definedName>
    <definedName name="Hiway">#REF!</definedName>
    <definedName name="HJ" localSheetId="2">INDEX(#REF!,MATCH(#REF!,#REF!,0))</definedName>
    <definedName name="HJ">#REF!</definedName>
    <definedName name="hjjjjjj" localSheetId="2" hidden="1">{"form-D1",#N/A,FALSE,"FORM-D1";"form-D1_amt",#N/A,FALSE,"FORM-D1"}</definedName>
    <definedName name="hjjjjjj" localSheetId="6" hidden="1">{"form-D1",#N/A,FALSE,"FORM-D1";"form-D1_amt",#N/A,FALSE,"FORM-D1"}</definedName>
    <definedName name="hjjjjjj" localSheetId="0" hidden="1">{"form-D1",#N/A,FALSE,"FORM-D1";"form-D1_amt",#N/A,FALSE,"FORM-D1"}</definedName>
    <definedName name="hjjjjjj" hidden="1">{"form-D1",#N/A,FALSE,"FORM-D1";"form-D1_amt",#N/A,FALSE,"FORM-D1"}</definedName>
    <definedName name="HK" localSheetId="0">INDEX(#REF!,MATCH(#REF!,#REF!,0))</definedName>
    <definedName name="HK">INDEX(#REF!,MATCH(#REF!,#REF!,0))</definedName>
    <definedName name="hkg" localSheetId="2">#REF!</definedName>
    <definedName name="hkg">#REF!</definedName>
    <definedName name="hl">#REF!</definedName>
    <definedName name="hleft" localSheetId="2">#REF!</definedName>
    <definedName name="hleft">#REF!</definedName>
    <definedName name="Hlp" localSheetId="2">#REF!</definedName>
    <definedName name="Hlp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>#REF!</definedName>
    <definedName name="ho___0">#REF!</definedName>
    <definedName name="ho___13">#REF!</definedName>
    <definedName name="hoi">#REF!</definedName>
    <definedName name="hone">#REF!</definedName>
    <definedName name="hoo">#REF!</definedName>
    <definedName name="hotwo">#REF!</definedName>
    <definedName name="HP" localSheetId="2" hidden="1">{"form-D1",#N/A,FALSE,"FORM-D1";"form-D1_amt",#N/A,FALSE,"FORM-D1"}</definedName>
    <definedName name="HP" localSheetId="6" hidden="1">{"form-D1",#N/A,FALSE,"FORM-D1";"form-D1_amt",#N/A,FALSE,"FORM-D1"}</definedName>
    <definedName name="HP" localSheetId="0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 localSheetId="2">#REF!</definedName>
    <definedName name="hright">#REF!</definedName>
    <definedName name="hs" localSheetId="2">#REF!</definedName>
    <definedName name="hS">#REF!</definedName>
    <definedName name="hS___0" localSheetId="2">#REF!</definedName>
    <definedName name="hS___0">#REF!</definedName>
    <definedName name="hS___13">#REF!</definedName>
    <definedName name="Hs_atm">#REF!</definedName>
    <definedName name="HSn">#REF!</definedName>
    <definedName name="hsnc">1.2*1.675*1.055*1.5/13000</definedName>
    <definedName name="HSS" localSheetId="2">#REF!</definedName>
    <definedName name="HSS">#REF!</definedName>
    <definedName name="ht">#REF!</definedName>
    <definedName name="HTd">#REF!</definedName>
    <definedName name="hthree">#REF!</definedName>
    <definedName name="html" localSheetId="0" hidden="1">{"'PROFITABILITY'!$A$1:$F$45"}</definedName>
    <definedName name="html" hidden="1">{"'PROFITABILITY'!$A$1:$F$45"}</definedName>
    <definedName name="HTML_CodePage" hidden="1">1252</definedName>
    <definedName name="HTML_Control" localSheetId="2" hidden="1">{"'PROFITABILITY'!$A$1:$F$45"}</definedName>
    <definedName name="HTML_Control" localSheetId="6" hidden="1">{"'TP-SUMMARY'!$I$11:$K$11"}</definedName>
    <definedName name="HTML_Control" localSheetId="0" hidden="1">{"'TP-SUMMARY'!$I$11:$K$11"}</definedName>
    <definedName name="HTML_Control" hidden="1">{"'TP-SUMMARY'!$I$11:$K$11"}</definedName>
    <definedName name="HTML_Control_1" localSheetId="0" hidden="1">{"'PROFITABILITY'!$A$1:$F$45"}</definedName>
    <definedName name="HTML_Control_1" hidden="1">{"'PROFITABILITY'!$A$1:$F$45"}</definedName>
    <definedName name="HTML_control2" localSheetId="2" hidden="1">{"'Sheet1'!$A$4386:$N$4591"}</definedName>
    <definedName name="HTML_control2" localSheetId="6" hidden="1">{"'Sheet1'!$A$4386:$N$4591"}</definedName>
    <definedName name="HTML_control2" localSheetId="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2" hidden="1">"PRICE AND PROFOTABILITY"</definedName>
    <definedName name="HTML_Header" hidden="1">"TP-SUMMARY"</definedName>
    <definedName name="HTML_LastUpdate" localSheetId="2" hidden="1">"2/9/99"</definedName>
    <definedName name="HTML_LastUpdate" hidden="1">"12/10/04"</definedName>
    <definedName name="HTML_LineAfter" localSheetId="2" hidden="1">TRUE</definedName>
    <definedName name="HTML_LineAfter" hidden="1">FALSE</definedName>
    <definedName name="HTML_LineBefore" localSheetId="2" hidden="1">TRUE</definedName>
    <definedName name="HTML_LineBefore" hidden="1">FALSE</definedName>
    <definedName name="HTML_Name" localSheetId="2" hidden="1">"KEC  INTERNATIONAL"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localSheetId="2" hidden="1">"C:\My Documents\XLS.htm"</definedName>
    <definedName name="HTML_PathFile" hidden="1">"C:\My Documents\TATA RECORD\TLTS 2385 TATA  POWER\NEW TATA\tata\MyHTML.htm"</definedName>
    <definedName name="HTML_Title" localSheetId="2" hidden="1">"MANANTALI PROJECT"</definedName>
    <definedName name="HTML_Title" hidden="1">"JEERAT - SG INSP"</definedName>
    <definedName name="html2" localSheetId="0" hidden="1">{"'PROFITABILITY'!$A$1:$F$45"}</definedName>
    <definedName name="html2" hidden="1">{"'PROFITABILITY'!$A$1:$F$45"}</definedName>
    <definedName name="HTn">#REF!</definedName>
    <definedName name="htwo">#REF!</definedName>
    <definedName name="Hu" localSheetId="2">#REF!</definedName>
    <definedName name="Hu">#REF!</definedName>
    <definedName name="Hu___0" localSheetId="2">#REF!</definedName>
    <definedName name="Hu___0">#REF!</definedName>
    <definedName name="Hu___13" localSheetId="2">#REF!</definedName>
    <definedName name="Hu___13">#REF!</definedName>
    <definedName name="huy" localSheetId="0">{"'Sheet1'!$L$16"}</definedName>
    <definedName name="huy">{"'Sheet1'!$L$16"}</definedName>
    <definedName name="HV">#REF!</definedName>
    <definedName name="Hw">#REF!</definedName>
    <definedName name="Hw_atm">#REF!</definedName>
    <definedName name="HX">#REF!</definedName>
    <definedName name="hxa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>#REF!</definedName>
    <definedName name="hyio">#REF!</definedName>
    <definedName name="HYSD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0">INDEX(#REF!,MATCH(#REF!,#REF!,0))</definedName>
    <definedName name="IA">INDEX(#REF!,MATCH(#REF!,#REF!,0))</definedName>
    <definedName name="IAH">#REF!</definedName>
    <definedName name="IAM" localSheetId="2" hidden="1">{"'Sheet1'!$A$4386:$N$4591"}</definedName>
    <definedName name="IAM" localSheetId="6" hidden="1">{"'Sheet1'!$A$4386:$N$4591"}</definedName>
    <definedName name="IAM" localSheetId="0" hidden="1">{"'Sheet1'!$A$4386:$N$4591"}</definedName>
    <definedName name="IAM" hidden="1">{"'Sheet1'!$A$4386:$N$4591"}</definedName>
    <definedName name="IB" localSheetId="0">INDEX(#REF!,MATCH(#REF!,#REF!,0))</definedName>
    <definedName name="IB">INDEX(#REF!,MATCH(#REF!,#REF!,0))</definedName>
    <definedName name="ic">5%</definedName>
    <definedName name="icb">#REF!</definedName>
    <definedName name="Icc" localSheetId="0">#REF!*#REF!</definedName>
    <definedName name="Icc">#REF!*#REF!</definedName>
    <definedName name="Icc0">#REF!</definedName>
    <definedName name="IceThickness">#REF!</definedName>
    <definedName name="icfai">#REF!</definedName>
    <definedName name="ICS_DISCUSSION_C_ISSUES_List">#REF!</definedName>
    <definedName name="ID">#REF!</definedName>
    <definedName name="IDA">#REF!</definedName>
    <definedName name="idb" localSheetId="2">#REF!</definedName>
    <definedName name="idb">#REF!</definedName>
    <definedName name="IDIOT">#REF!</definedName>
    <definedName name="IDLandS_Peak_MP">#REF!</definedName>
    <definedName name="idt" localSheetId="2">#REF!</definedName>
    <definedName name="idt">#REF!</definedName>
    <definedName name="idto">#REF!</definedName>
    <definedName name="idyn" localSheetId="2">#REF!</definedName>
    <definedName name="idyn">#REF!</definedName>
    <definedName name="Ie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0">INDEX(#REF!,MATCH(#REF!,#REF!,0))</definedName>
    <definedName name="IH">INDEX(#REF!,MATCH(#REF!,#REF!,0))</definedName>
    <definedName name="II">#REF!</definedName>
    <definedName name="iii">#N/A</definedName>
    <definedName name="IJ" localSheetId="0">INDEX(#REF!,MATCH(#REF!,#REF!,0))</definedName>
    <definedName name="IJ">INDEX(#REF!,MATCH(#REF!,#REF!,0))</definedName>
    <definedName name="ijui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>#REF!</definedName>
    <definedName name="IM" localSheetId="2">INDEX(#REF!,MATCH(#REF!,#REF!,0))</definedName>
    <definedName name="Im">#REF!</definedName>
    <definedName name="IMADO">#REF!</definedName>
    <definedName name="IMADOKH">#REF!</definedName>
    <definedName name="IMo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">#REF!</definedName>
    <definedName name="ipu">#REF!</definedName>
    <definedName name="ipu___0" localSheetId="2">#REF!</definedName>
    <definedName name="ipu___0">#REF!</definedName>
    <definedName name="ipu___13" localSheetId="2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Reference">#REF!</definedName>
    <definedName name="ItemTotalPrice">#REF!</definedName>
    <definedName name="iteration">#N/A</definedName>
    <definedName name="itmax" localSheetId="2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0">INDEX(#REF!,MATCH(#REF!,#REF!,0))</definedName>
    <definedName name="JA">INDEX(#REF!,MATCH(#REF!,#REF!,0))</definedName>
    <definedName name="Jabalpur">#REF!</definedName>
    <definedName name="JAHSGFRE" hidden="1">#REF!</definedName>
    <definedName name="jawed">#REF!</definedName>
    <definedName name="JB" localSheetId="0">INDEX(#REF!,MATCH(#REF!,#REF!,0))</definedName>
    <definedName name="JB">INDEX(#REF!,MATCH(#REF!,#REF!,0))</definedName>
    <definedName name="JC" localSheetId="0">INDEX(#REF!,MATCH(#REF!,#REF!,0))</definedName>
    <definedName name="JC">INDEX(#REF!,MATCH(#REF!,#REF!,0))</definedName>
    <definedName name="JD" localSheetId="0">INDEX(#REF!,MATCH(#REF!,#REF!,0))</definedName>
    <definedName name="JD">INDEX(#REF!,MATCH(#REF!,#REF!,0))</definedName>
    <definedName name="jddd" localSheetId="2" hidden="1">{"form-D1",#N/A,FALSE,"FORM-D1";"form-D1_amt",#N/A,FALSE,"FORM-D1"}</definedName>
    <definedName name="jddd" localSheetId="6" hidden="1">{"form-D1",#N/A,FALSE,"FORM-D1";"form-D1_amt",#N/A,FALSE,"FORM-D1"}</definedName>
    <definedName name="jddd" localSheetId="0" hidden="1">{"form-D1",#N/A,FALSE,"FORM-D1";"form-D1_amt",#N/A,FALSE,"FORM-D1"}</definedName>
    <definedName name="jddd" hidden="1">{"form-D1",#N/A,FALSE,"FORM-D1";"form-D1_amt",#N/A,FALSE,"FORM-D1"}</definedName>
    <definedName name="JDKSK" hidden="1">#REF!</definedName>
    <definedName name="JE" localSheetId="0">INDEX(#REF!,MATCH(#REF!,#REF!,0))</definedName>
    <definedName name="JE">INDEX(#REF!,MATCH(#REF!,#REF!,0))</definedName>
    <definedName name="JEERATE">#REF!</definedName>
    <definedName name="JEJS" localSheetId="2">#REF!</definedName>
    <definedName name="JEJS">#REF!</definedName>
    <definedName name="JEJS___0" localSheetId="2">#REF!</definedName>
    <definedName name="JEJS___0">#REF!</definedName>
    <definedName name="JEJS___11" localSheetId="2">#REF!</definedName>
    <definedName name="JEJS___11">#REF!</definedName>
    <definedName name="JEJS___12">#REF!</definedName>
    <definedName name="JEJS___13">#REF!</definedName>
    <definedName name="JEJS___4">#REF!</definedName>
    <definedName name="JF" localSheetId="0">INDEX(#REF!,MATCH(#REF!,#REF!,0))</definedName>
    <definedName name="JF">INDEX(#REF!,MATCH(#REF!,#REF!,0))</definedName>
    <definedName name="JFHGDT" hidden="1">#REF!</definedName>
    <definedName name="jfjfj">#REF!</definedName>
    <definedName name="JG" localSheetId="0">INDEX(#REF!,MATCH(#REF!,#REF!,0))</definedName>
    <definedName name="JG">INDEX(#REF!,MATCH(#REF!,#REF!,0))</definedName>
    <definedName name="JGGJKGKGJK">#REF!</definedName>
    <definedName name="jgjg" localSheetId="2" hidden="1">{"'PROFITABILITY'!$A$1:$F$45"}</definedName>
    <definedName name="jgjg" localSheetId="6" hidden="1">{"'PROFITABILITY'!$A$1:$F$45"}</definedName>
    <definedName name="jgjg" localSheetId="0" hidden="1">{"'PROFITABILITY'!$A$1:$F$45"}</definedName>
    <definedName name="jgjg" hidden="1">{"'PROFITABILITY'!$A$1:$F$45"}</definedName>
    <definedName name="JH" localSheetId="2">INDEX(#REF!,MATCH(#REF!,#REF!,0))</definedName>
    <definedName name="JH">#REF!</definedName>
    <definedName name="JHA">#REF!</definedName>
    <definedName name="jhdfjhfkhkzfsqsqs">#REF!</definedName>
    <definedName name="JHKDJRFIA">#REF!</definedName>
    <definedName name="JI" localSheetId="0">INDEX(#REF!,MATCH(#REF!,#REF!,0))</definedName>
    <definedName name="JI">INDEX(#REF!,MATCH(#REF!,#REF!,0))</definedName>
    <definedName name="jj">#REF!</definedName>
    <definedName name="jjdzjjklb6f6e8f7f">#REF!</definedName>
    <definedName name="jjj" localSheetId="2">#REF!</definedName>
    <definedName name="jjj" localSheetId="6" hidden="1">{"form-D1",#N/A,FALSE,"FORM-D1";"form-D1_amt",#N/A,FALSE,"FORM-D1"}</definedName>
    <definedName name="jjj" localSheetId="0" hidden="1">{"form-D1",#N/A,FALSE,"FORM-D1";"form-D1_amt",#N/A,FALSE,"FORM-D1"}</definedName>
    <definedName name="jjj" hidden="1">{"form-D1",#N/A,FALSE,"FORM-D1";"form-D1_amt",#N/A,FALSE,"FORM-D1"}</definedName>
    <definedName name="jjjjjj" localSheetId="2" hidden="1">{"form-D1",#N/A,FALSE,"FORM-D1";"form-D1_amt",#N/A,FALSE,"FORM-D1"}</definedName>
    <definedName name="jjjjjj" localSheetId="6" hidden="1">{"form-D1",#N/A,FALSE,"FORM-D1";"form-D1_amt",#N/A,FALSE,"FORM-D1"}</definedName>
    <definedName name="jjjjjj" localSheetId="0" hidden="1">{"form-D1",#N/A,FALSE,"FORM-D1";"form-D1_amt",#N/A,FALSE,"FORM-D1"}</definedName>
    <definedName name="jjjjjj" hidden="1">{"form-D1",#N/A,FALSE,"FORM-D1";"form-D1_amt",#N/A,FALSE,"FORM-D1"}</definedName>
    <definedName name="jjjjjjjjj" localSheetId="2" hidden="1">{"form-D1",#N/A,FALSE,"FORM-D1";"form-D1_amt",#N/A,FALSE,"FORM-D1"}</definedName>
    <definedName name="jjjjjjjjj" localSheetId="6" hidden="1">{"form-D1",#N/A,FALSE,"FORM-D1";"form-D1_amt",#N/A,FALSE,"FORM-D1"}</definedName>
    <definedName name="jjjjjjjjj" localSheetId="0" hidden="1">{"form-D1",#N/A,FALSE,"FORM-D1";"form-D1_amt",#N/A,FALSE,"FORM-D1"}</definedName>
    <definedName name="jjjjjjjjj" hidden="1">{"form-D1",#N/A,FALSE,"FORM-D1";"form-D1_amt",#N/A,FALSE,"FORM-D1"}</definedName>
    <definedName name="jjjjjjjjjjjj" localSheetId="2" hidden="1">{"form-D1",#N/A,FALSE,"FORM-D1";"form-D1_amt",#N/A,FALSE,"FORM-D1"}</definedName>
    <definedName name="jjjjjjjjjjjj" localSheetId="6" hidden="1">{"form-D1",#N/A,FALSE,"FORM-D1";"form-D1_amt",#N/A,FALSE,"FORM-D1"}</definedName>
    <definedName name="jjjjjjjjjjjj" localSheetId="0" hidden="1">{"form-D1",#N/A,FALSE,"FORM-D1";"form-D1_amt",#N/A,FALSE,"FORM-D1"}</definedName>
    <definedName name="jjjjjjjjjjjj" hidden="1">{"form-D1",#N/A,FALSE,"FORM-D1";"form-D1_amt",#N/A,FALSE,"FORM-D1"}</definedName>
    <definedName name="JK" localSheetId="2">INDEX(#REF!,MATCH(#REF!,#REF!,0))</definedName>
    <definedName name="jk">#REF!</definedName>
    <definedName name="JL" localSheetId="0">INDEX(#REF!,MATCH(#REF!,#REF!,0))</definedName>
    <definedName name="JL">INDEX(#REF!,MATCH(#REF!,#REF!,0))</definedName>
    <definedName name="JM" localSheetId="0">INDEX(#REF!,MATCH(#REF!,#REF!,0))</definedName>
    <definedName name="JM">INDEX(#REF!,MATCH(#REF!,#REF!,0))</definedName>
    <definedName name="job">#REF!</definedName>
    <definedName name="job___0" localSheetId="2">#REF!</definedName>
    <definedName name="job___0">#REF!</definedName>
    <definedName name="job___11" localSheetId="2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>#REF!</definedName>
    <definedName name="JR_Line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2" hidden="1">{"'PROFITABILITY'!$A$1:$F$45"}</definedName>
    <definedName name="K">#REF!</definedName>
    <definedName name="K___0">#REF!</definedName>
    <definedName name="K___13">#REF!</definedName>
    <definedName name="K_1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>#REF!</definedName>
    <definedName name="K1V">#REF!</definedName>
    <definedName name="k1x">#REF!</definedName>
    <definedName name="k1y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>#REF!</definedName>
    <definedName name="kailash">#REF!</definedName>
    <definedName name="KALPAN">#REF!</definedName>
    <definedName name="KAMAL" localSheetId="2" hidden="1">{"form-D1",#N/A,FALSE,"FORM-D1";"form-D1_amt",#N/A,FALSE,"FORM-D1"}</definedName>
    <definedName name="KAMAL" localSheetId="6" hidden="1">{"form-D1",#N/A,FALSE,"FORM-D1";"form-D1_amt",#N/A,FALSE,"FORM-D1"}</definedName>
    <definedName name="KAMAL" localSheetId="0" hidden="1">{"form-D1",#N/A,FALSE,"FORM-D1";"form-D1_amt",#N/A,FALSE,"FORM-D1"}</definedName>
    <definedName name="KAMAL" hidden="1">{"form-D1",#N/A,FALSE,"FORM-D1";"form-D1_amt",#N/A,FALSE,"FORM-D1"}</definedName>
    <definedName name="kaml" localSheetId="2" hidden="1">{"form-D1",#N/A,FALSE,"FORM-D1";"form-D1_amt",#N/A,FALSE,"FORM-D1"}</definedName>
    <definedName name="kaml" localSheetId="6" hidden="1">{"form-D1",#N/A,FALSE,"FORM-D1";"form-D1_amt",#N/A,FALSE,"FORM-D1"}</definedName>
    <definedName name="kaml" localSheetId="0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AM">#REF!</definedName>
    <definedName name="KARNA">#REF!</definedName>
    <definedName name="kb" localSheetId="2">#REF!</definedName>
    <definedName name="kb">#REF!</definedName>
    <definedName name="kc" localSheetId="2">#REF!</definedName>
    <definedName name="kc">#REF!</definedName>
    <definedName name="KD" localSheetId="0">INDEX(#REF!,MATCH(#REF!,#REF!,0))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>#REF!</definedName>
    <definedName name="key" localSheetId="2" hidden="1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F">INDEX(#REF!,MATCH(#REF!,#REF!,0))</definedName>
    <definedName name="KG">#REF!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h">#REF!</definedName>
    <definedName name="kjlk">#REF!</definedName>
    <definedName name="kjnol">#REF!</definedName>
    <definedName name="KJU">#REF!</definedName>
    <definedName name="KK">#REF!</definedName>
    <definedName name="KKJ">'[1]Annex-7,Contingent'!#REF!</definedName>
    <definedName name="kkkkk">#REF!</definedName>
    <definedName name="kklhl" localSheetId="2" hidden="1">{"'PROFITABILITY'!$A$1:$F$45"}</definedName>
    <definedName name="kklhl" localSheetId="6" hidden="1">{"'PROFITABILITY'!$A$1:$F$45"}</definedName>
    <definedName name="kklhl" localSheetId="0" hidden="1">{"'PROFITABILITY'!$A$1:$F$45"}</definedName>
    <definedName name="kklhl" hidden="1">{"'PROFITABILITY'!$A$1:$F$45"}</definedName>
    <definedName name="KL" localSheetId="2">INDEX(#REF!,MATCH(#REF!,#REF!,0))</definedName>
    <definedName name="kl">#REF!</definedName>
    <definedName name="klkml">#REF!</definedName>
    <definedName name="klmkl">#REF!</definedName>
    <definedName name="klsasK">#REF!</definedName>
    <definedName name="kltp" localSheetId="2" hidden="1">{"'PROFITABILITY'!$A$1:$F$45"}</definedName>
    <definedName name="kltp" localSheetId="6" hidden="1">{"'PROFITABILITY'!$A$1:$F$45"}</definedName>
    <definedName name="kltp" localSheetId="0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2" hidden="1">{#N/A,#N/A,FALSE,"COVER.XLS";#N/A,#N/A,FALSE,"RACT1.XLS";#N/A,#N/A,FALSE,"RACT2.XLS";#N/A,#N/A,FALSE,"ECCMP";#N/A,#N/A,FALSE,"WELDER.XLS"}</definedName>
    <definedName name="kskk" localSheetId="6" hidden="1">{#N/A,#N/A,FALSE,"COVER.XLS";#N/A,#N/A,FALSE,"RACT1.XLS";#N/A,#N/A,FALSE,"RACT2.XLS";#N/A,#N/A,FALSE,"ECCMP";#N/A,#N/A,FALSE,"WELDER.XLS"}</definedName>
    <definedName name="kskk" localSheetId="0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 localSheetId="2">#REF!</definedName>
    <definedName name="kt">#REF!</definedName>
    <definedName name="KTA">#REF!</definedName>
    <definedName name="KTB">#REF!</definedName>
    <definedName name="ktd" localSheetId="2">#REF!</definedName>
    <definedName name="ktd">#REF!</definedName>
    <definedName name="KTL" localSheetId="2">#REF!</definedName>
    <definedName name="KTL">#REF!</definedName>
    <definedName name="KTX">#REF!</definedName>
    <definedName name="KU">#REF!</definedName>
    <definedName name="KUKULE_GANGA_HYDROPOWER_PROJECT" localSheetId="2">#REF!,#REF!,#REF!,#REF!,#REF!,#REF!,#REF!,#REF!,#REF!</definedName>
    <definedName name="KUKULE_GANGA_HYDROPOWER_PROJECT" localSheetId="6">#REF!,#REF!,#REF!,#REF!,#REF!,#REF!,#REF!,#REF!,#REF!</definedName>
    <definedName name="KUKULE_GANGA_HYDROPOWER_PROJECT">#REF!,#REF!,#REF!,#REF!,#REF!,#REF!,#REF!,#REF!,#REF!</definedName>
    <definedName name="kususdd" localSheetId="0" hidden="1">{"'PROFITABILITY'!$A$1:$F$45"}</definedName>
    <definedName name="kususdd" hidden="1">{"'PROFITABILITY'!$A$1:$F$45"}</definedName>
    <definedName name="kvs" localSheetId="2" hidden="1">{#N/A,#N/A,FALSE,"COVER1.XLS ";#N/A,#N/A,FALSE,"RACT1.XLS";#N/A,#N/A,FALSE,"RACT2.XLS";#N/A,#N/A,FALSE,"ECCMP";#N/A,#N/A,FALSE,"WELDER.XLS"}</definedName>
    <definedName name="kvs" localSheetId="6" hidden="1">{#N/A,#N/A,FALSE,"COVER1.XLS ";#N/A,#N/A,FALSE,"RACT1.XLS";#N/A,#N/A,FALSE,"RACT2.XLS";#N/A,#N/A,FALSE,"ECCMP";#N/A,#N/A,FALSE,"WELDER.XLS"}</definedName>
    <definedName name="kvs" localSheetId="0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localSheetId="2">#REF!</definedName>
    <definedName name="L">#REF!</definedName>
    <definedName name="L_">#REF!</definedName>
    <definedName name="L___0" localSheetId="2">#REF!</definedName>
    <definedName name="L___0">#REF!</definedName>
    <definedName name="L___13" localSheetId="2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bourers">OFFSET(#REF!,0,0,COUNTA(#REF!),1)</definedName>
    <definedName name="LABPOL">#REF!</definedName>
    <definedName name="LACS">#REF!</definedName>
    <definedName name="lakh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p_length_for_side_wall_reiforcemnt">#REF!</definedName>
    <definedName name="LAS">#REF!</definedName>
    <definedName name="Last_Row" localSheetId="2">IF(#REF!,Header_Row+#REF!,Header_Row)</definedName>
    <definedName name="Last_Row">#N/A</definedName>
    <definedName name="LB" localSheetId="0">INDEX(#REF!,MATCH(#REF!,#REF!,0))</definedName>
    <definedName name="LB">INDEX(#REF!,MATCH(#REF!,#REF!,0))</definedName>
    <definedName name="LBA" localSheetId="2">#REF!</definedName>
    <definedName name="LBA">#REF!</definedName>
    <definedName name="LBA_1">#REF!</definedName>
    <definedName name="LC" localSheetId="2">#REF!</definedName>
    <definedName name="lc">#REF!</definedName>
    <definedName name="Lc___0" localSheetId="2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>#REF!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 localSheetId="0">INDEX(#REF!,MATCH(#REF!,#REF!,0))</definedName>
    <definedName name="LF">INDEX(#REF!,MATCH(#REF!,#REF!,0))</definedName>
    <definedName name="LG">#REF!</definedName>
    <definedName name="LH" localSheetId="0">INDEX(#REF!,MATCH(#REF!,#REF!,0))</definedName>
    <definedName name="LH">INDEX(#REF!,MATCH(#REF!,#REF!,0))</definedName>
    <definedName name="li">#REF!</definedName>
    <definedName name="light">#REF!</definedName>
    <definedName name="LIK">#REF!</definedName>
    <definedName name="limcount">1</definedName>
    <definedName name="line" localSheetId="2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cost_config1">#REF!</definedName>
    <definedName name="LineType">OFFSET(#REF!,0,0,COUNTA(#REF!),1)</definedName>
    <definedName name="LineVoltage">OFFSET(#REF!,0,0,COUNTA(#REF!),1)</definedName>
    <definedName name="LIRA" localSheetId="2">#REF!</definedName>
    <definedName name="LIRA">#REF!</definedName>
    <definedName name="LJ">INDEX(#REF!,MATCH(#REF!,#REF!,0))</definedName>
    <definedName name="lk" localSheetId="2" hidden="1">{#N/A,#N/A,FALSE,"CCTV"}</definedName>
    <definedName name="lk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algk">#REF!</definedName>
    <definedName name="LKJ">#REF!</definedName>
    <definedName name="LKJHG">#REF!</definedName>
    <definedName name="LKR">#REF!</definedName>
    <definedName name="lku">#REF!</definedName>
    <definedName name="ll">#REF!</definedName>
    <definedName name="LLL">#REF!</definedName>
    <definedName name="llll" localSheetId="2">#REF!</definedName>
    <definedName name="llll">#REF!</definedName>
    <definedName name="lm" localSheetId="2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 localSheetId="2">#REF!</definedName>
    <definedName name="LMO">#REF!</definedName>
    <definedName name="LMO_1">#REF!</definedName>
    <definedName name="LND_CHGS">#REF!</definedName>
    <definedName name="L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0">City&amp;" "&amp;State</definedName>
    <definedName name="Location">City&amp;" "&amp;State</definedName>
    <definedName name="logo1">"Picture 7"</definedName>
    <definedName name="logoa">#REF!</definedName>
    <definedName name="loi">#REF!</definedName>
    <definedName name="look">#REF!</definedName>
    <definedName name="Lot" localSheetId="0" hidden="1">{"'PROFITABILITY'!$A$1:$F$45"}</definedName>
    <definedName name="Lot" hidden="1">{"'PROFITABILITY'!$A$1:$F$45"}</definedName>
    <definedName name="lp" localSheetId="2">#REF!</definedName>
    <definedName name="Lp">#REF!</definedName>
    <definedName name="LPROT220">#REF!</definedName>
    <definedName name="LPROT500">#REF!</definedName>
    <definedName name="Lr" localSheetId="2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>#REF!</definedName>
    <definedName name="m___0">#REF!</definedName>
    <definedName name="m___13">#REF!</definedName>
    <definedName name="M_01">#REF!</definedName>
    <definedName name="M_A">#REF!</definedName>
    <definedName name="M_B">#REF!</definedName>
    <definedName name="M_F" localSheetId="0">INDEX(#REF!,MATCH(#REF!,#REF!,0))</definedName>
    <definedName name="M_F">INDEX(#REF!,MATCH(#REF!,#REF!,0))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0">#REF!</definedName>
    <definedName name="M1_">#N/A</definedName>
    <definedName name="M10cement">#REF!</definedName>
    <definedName name="M15_Cement">#REF!</definedName>
    <definedName name="M15_Metal20mm">#REF!</definedName>
    <definedName name="M15_Sand">#REF!</definedName>
    <definedName name="M15cement">#REF!</definedName>
    <definedName name="M1x">#REF!</definedName>
    <definedName name="M1y">#REF!</definedName>
    <definedName name="M2_">#N/A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>#REF!</definedName>
    <definedName name="M20_Metal20mm">#REF!</definedName>
    <definedName name="M20_sand">#REF!</definedName>
    <definedName name="M20PCCcement">#REF!</definedName>
    <definedName name="M20RCCcement">#REF!</definedName>
    <definedName name="M25_cement">#REF!</definedName>
    <definedName name="M25_Metal20mm">#REF!</definedName>
    <definedName name="M25_sand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v">#REF!</definedName>
    <definedName name="MAACONSTN">#REF!</definedName>
    <definedName name="mac">75</definedName>
    <definedName name="Machinery">#REF!</definedName>
    <definedName name="MADHU">#REF!</definedName>
    <definedName name="madhu218">#REF!</definedName>
    <definedName name="mahan">#REF!</definedName>
    <definedName name="main" localSheetId="2">#REF!</definedName>
    <definedName name="main">#REF!</definedName>
    <definedName name="MainRelay" localSheetId="2">#REF!</definedName>
    <definedName name="MainRelay">#REF!</definedName>
    <definedName name="majord" localSheetId="2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localSheetId="2" hidden="1">{"form-D1",#N/A,FALSE,"FORM-D1";"form-D1_amt",#N/A,FALSE,"FORM-D1"}</definedName>
    <definedName name="mani" localSheetId="6" hidden="1">{"form-D1",#N/A,FALSE,"FORM-D1";"form-D1_amt",#N/A,FALSE,"FORM-D1"}</definedName>
    <definedName name="mani" localSheetId="0" hidden="1">{"form-D1",#N/A,FALSE,"FORM-D1";"form-D1_amt",#N/A,FALSE,"FORM-D1"}</definedName>
    <definedName name="mani" hidden="1">{"form-D1",#N/A,FALSE,"FORM-D1";"form-D1_amt",#N/A,FALSE,"FORM-D1"}</definedName>
    <definedName name="Manish" localSheetId="2" hidden="1">{"form-D1",#N/A,FALSE,"FORM-D1";"form-D1_amt",#N/A,FALSE,"FORM-D1"}</definedName>
    <definedName name="Manish" localSheetId="6" hidden="1">{"form-D1",#N/A,FALSE,"FORM-D1";"form-D1_amt",#N/A,FALSE,"FORM-D1"}</definedName>
    <definedName name="Manish" localSheetId="0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 localSheetId="2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on1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 localSheetId="2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2">#REF!</definedName>
    <definedName name="MB">#REF!</definedName>
    <definedName name="Mb_v">#REF!</definedName>
    <definedName name="mbn">#REF!</definedName>
    <definedName name="mc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>#REF!</definedName>
    <definedName name="MDVT_ABSP">#REF!</definedName>
    <definedName name="Me">#REF!</definedName>
    <definedName name="Me_v">#REF!</definedName>
    <definedName name="MeanDepth_Inclusive_of_cover_sl._thk.">#REF!</definedName>
    <definedName name="MENU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2" hidden="1">{"'PROFITABILITY'!$A$1:$F$45"}</definedName>
    <definedName name="MF">#REF!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 localSheetId="2">#REF!:#REF!</definedName>
    <definedName name="Mhpc" localSheetId="6">#REF!:#REF!</definedName>
    <definedName name="Mhpc">#REF!:#REF!</definedName>
    <definedName name="Mhpipd" localSheetId="2">#REF!</definedName>
    <definedName name="Mhpipd">#REF!</definedName>
    <definedName name="Mhps">#REF!</definedName>
    <definedName name="mhr">#REF!</definedName>
    <definedName name="MHs_per_MM">#REF!</definedName>
    <definedName name="MI">INDEX(#REF!,MATCH(#REF!,#REF!,0))</definedName>
    <definedName name="mile">#REF!</definedName>
    <definedName name="MinSM">#REF!</definedName>
    <definedName name="MinSNo">#REF!</definedName>
    <definedName name="Mipc">#REF!:#REF!</definedName>
    <definedName name="Mips">#REF!</definedName>
    <definedName name="misc">#REF!</definedName>
    <definedName name="Misc_charges">#REF!</definedName>
    <definedName name="Misc_Sales">#REF!</definedName>
    <definedName name="MJ">INDEX(#REF!,MATCH(#REF!,#REF!,0))</definedName>
    <definedName name="MK" localSheetId="2">INDEX(#REF!,MATCH(#REF!,#REF!,0))</definedName>
    <definedName name="mk">#REF!</definedName>
    <definedName name="MKP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 localSheetId="2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>#REF!</definedName>
    <definedName name="MM3_to_M3">0.000001</definedName>
    <definedName name="mmm" localSheetId="2">#REF!</definedName>
    <definedName name="mmm">#REF!</definedName>
    <definedName name="MN">#REF!</definedName>
    <definedName name="mnk" localSheetId="2">#REF!</definedName>
    <definedName name="mnk">#REF!</definedName>
    <definedName name="mo">#REF!</definedName>
    <definedName name="modassar">#REF!</definedName>
    <definedName name="mode_list">#REF!</definedName>
    <definedName name="model_config1">#REF!</definedName>
    <definedName name="model_config2">#REF!</definedName>
    <definedName name="ModelNo">#REF!</definedName>
    <definedName name="modified">#REF!</definedName>
    <definedName name="modvat">#REF!</definedName>
    <definedName name="Mone">#REF!</definedName>
    <definedName name="MONEY">#REF!,#REF!</definedName>
    <definedName name="monomode">#REF!</definedName>
    <definedName name="Month">#REF!</definedName>
    <definedName name="Monthly">#REF!</definedName>
    <definedName name="monthprogress">#REF!</definedName>
    <definedName name="months">#REF!</definedName>
    <definedName name="MonthYear">#REF!</definedName>
    <definedName name="MOO">#REF!</definedName>
    <definedName name="MP" localSheetId="0" hidden="1">{#N/A,#N/A,FALSE,"CCTV"}</definedName>
    <definedName name="MP" hidden="1">{#N/A,#N/A,FALSE,"CCTV"}</definedName>
    <definedName name="MPMOB">#REF!</definedName>
    <definedName name="MPwr_Percent">#REF!</definedName>
    <definedName name="Mpwr_Sales">#REF!</definedName>
    <definedName name="ms" localSheetId="2">125</definedName>
    <definedName name="ms">#REF!</definedName>
    <definedName name="MS.NO">#REF!</definedName>
    <definedName name="MS_Royalty">#REF!</definedName>
    <definedName name="MS200202rev2" localSheetId="2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u">110</definedName>
    <definedName name="mue">#REF!</definedName>
    <definedName name="mugab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2">INDEX(#REF!,MATCH(#REF!,#REF!,0))</definedName>
    <definedName name="na">#REF!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2">INDEX(#REF!,MATCH(#REF!,#REF!,0))</definedName>
    <definedName name="nb">#REF!</definedName>
    <definedName name="NC" localSheetId="2">INDEX(#REF!,MATCH(#REF!,#REF!,0))</definedName>
    <definedName name="nc">#REF!</definedName>
    <definedName name="ncfnvo">#REF!</definedName>
    <definedName name="ND" localSheetId="2">INDEX(#REF!,MATCH(#REF!,#REF!,0))</definedName>
    <definedName name="nd">#REF!</definedName>
    <definedName name="NE" localSheetId="2">INDEX(#REF!,MATCH(#REF!,#REF!,0))</definedName>
    <definedName name="ne">#REF!</definedName>
    <definedName name="needle">#REF!</definedName>
    <definedName name="Neg_Margin">#REF!</definedName>
    <definedName name="NERSS">#REF!</definedName>
    <definedName name="NET">#REF!</definedName>
    <definedName name="new">#REF!</definedName>
    <definedName name="NEWNAME" localSheetId="0" hidden="1">{#N/A,#N/A,FALSE,"CCTV"}</definedName>
    <definedName name="NEWNAME" hidden="1">{#N/A,#N/A,FALSE,"CCTV"}</definedName>
    <definedName name="NF" localSheetId="0">INDEX(#REF!,MATCH(#REF!,#REF!,0))</definedName>
    <definedName name="NF">INDEX(#REF!,MATCH(#REF!,#REF!,0))</definedName>
    <definedName name="NG" localSheetId="0">INDEX(#REF!,MATCH(#REF!,#REF!,0))</definedName>
    <definedName name="NG">INDEX(#REF!,MATCH(#REF!,#REF!,0))</definedName>
    <definedName name="Ngan" localSheetId="0">{"Book1"}</definedName>
    <definedName name="Ngan">{"Book1"}</definedName>
    <definedName name="ngl4tank">#REF!</definedName>
    <definedName name="NH" localSheetId="0">INDEX(#REF!,MATCH(#REF!,#REF!,0))</definedName>
    <definedName name="NH">INDEX(#REF!,MATCH(#REF!,#REF!,0))</definedName>
    <definedName name="NHGG">#REF!</definedName>
    <definedName name="NHJK">#REF!</definedName>
    <definedName name="NHP">#REF!</definedName>
    <definedName name="Ni">#REF!</definedName>
    <definedName name="nikhil">#REF!</definedName>
    <definedName name="NIL">#REF!</definedName>
    <definedName name="NIPP">#REF!</definedName>
    <definedName name="nitin">#REF!</definedName>
    <definedName name="NJ" localSheetId="0">INDEX(#REF!,MATCH(#REF!,#REF!,0))</definedName>
    <definedName name="NJ">INDEX(#REF!,MATCH(#REF!,#REF!,0))</definedName>
    <definedName name="NJPE">#REF!</definedName>
    <definedName name="njspsche">#REF!</definedName>
    <definedName name="NK" localSheetId="0">INDEX(#REF!,MATCH(#REF!,#REF!,0))</definedName>
    <definedName name="NK">INDEX(#REF!,MATCH(#REF!,#REF!,0))</definedName>
    <definedName name="NL" localSheetId="0">INDEX(#REF!,MATCH(#REF!,#REF!,0))</definedName>
    <definedName name="NL">INDEX(#REF!,MATCH(#REF!,#REF!,0))</definedName>
    <definedName name="nlg_cd">#REF!</definedName>
    <definedName name="nlg_er">#REF!</definedName>
    <definedName name="nlg_fi">#REF!</definedName>
    <definedName name="nlllk" localSheetId="2" hidden="1">{"'PROFITABILITY'!$A$1:$F$45"}</definedName>
    <definedName name="nlllk" localSheetId="6" hidden="1">{"'PROFITABILITY'!$A$1:$F$45"}</definedName>
    <definedName name="nlllk" localSheetId="0" hidden="1">{"'PROFITABILITY'!$A$1:$F$45"}</definedName>
    <definedName name="nlllk" hidden="1">{"'PROFITABILITY'!$A$1:$F$45"}</definedName>
    <definedName name="NM" localSheetId="0">INDEX(#REF!,MATCH(#REF!,#REF!,0))</definedName>
    <definedName name="NM">INDEX(#REF!,MATCH(#REF!,#REF!,0))</definedName>
    <definedName name="nmk">#REF!</definedName>
    <definedName name="NN">#REF!</definedName>
    <definedName name="NN___0">#REF!</definedName>
    <definedName name="NN___13">#REF!</definedName>
    <definedName name="NNN">#REF!</definedName>
    <definedName name="NNNN" localSheetId="0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>#REF!</definedName>
    <definedName name="num">#REF!</definedName>
    <definedName name="Num_Pmt_Per_Year">#REF!</definedName>
    <definedName name="num2text">#REF!</definedName>
    <definedName name="Number">#REF!</definedName>
    <definedName name="Number_of_Payments">#N/A</definedName>
    <definedName name="numfib">#REF!</definedName>
    <definedName name="NW">#REF!</definedName>
    <definedName name="Nx" localSheetId="2">#REF!</definedName>
    <definedName name="Nx">#REF!</definedName>
    <definedName name="Nx___0" localSheetId="2">#REF!</definedName>
    <definedName name="Nx___0">#REF!</definedName>
    <definedName name="Nx___13" localSheetId="2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0">INDEX(#REF!,MATCH(#REF!,#REF!,0))</definedName>
    <definedName name="OA">INDEX(#REF!,MATCH(#REF!,#REF!,0))</definedName>
    <definedName name="OB" localSheetId="0">INDEX(#REF!,MATCH(#REF!,#REF!,0))</definedName>
    <definedName name="OB">INDEX(#REF!,MATCH(#REF!,#REF!,0))</definedName>
    <definedName name="OBJ">#REF!</definedName>
    <definedName name="OC" localSheetId="0">INDEX(#REF!,MATCH(#REF!,#REF!,0))</definedName>
    <definedName name="OC">INDEX(#REF!,MATCH(#REF!,#REF!,0))</definedName>
    <definedName name="oct">#REF!</definedName>
    <definedName name="OCTROI">#REF!</definedName>
    <definedName name="OCTROI_HW">#REF!</definedName>
    <definedName name="OCTROI_SW">#REF!</definedName>
    <definedName name="OD" localSheetId="0">INDEX(#REF!,MATCH(#REF!,#REF!,0))</definedName>
    <definedName name="OD">INDEX(#REF!,MATCH(#REF!,#REF!,0))</definedName>
    <definedName name="ODH" hidden="1">#REF!</definedName>
    <definedName name="OE" localSheetId="0">INDEX(#REF!,MATCH(#REF!,#REF!,0))</definedName>
    <definedName name="OE">INDEX(#REF!,MATCH(#REF!,#REF!,0))</definedName>
    <definedName name="OF" localSheetId="0">INDEX(#REF!,MATCH(#REF!,#REF!,0))</definedName>
    <definedName name="OF">INDEX(#REF!,MATCH(#REF!,#REF!,0))</definedName>
    <definedName name="OFFICE_LIGHTING">#REF!</definedName>
    <definedName name="OG" localSheetId="0">INDEX(#REF!,MATCH(#REF!,#REF!,0))</definedName>
    <definedName name="OG">INDEX(#REF!,MATCH(#REF!,#REF!,0))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" localSheetId="0">INDEX(#REF!,MATCH(#REF!,#REF!,0))</definedName>
    <definedName name="OI">INDEX(#REF!,MATCH(#REF!,#REF!,0))</definedName>
    <definedName name="Oilpit">#REF!</definedName>
    <definedName name="oirr">#REF!</definedName>
    <definedName name="OJ" localSheetId="0">INDEX(#REF!,MATCH(#REF!,#REF!,0))</definedName>
    <definedName name="OJ">INDEX(#REF!,MATCH(#REF!,#REF!,0))</definedName>
    <definedName name="ok">#REF!</definedName>
    <definedName name="OL" localSheetId="0">INDEX(#REF!,MATCH(#REF!,#REF!,0))</definedName>
    <definedName name="OL">INDEX(#REF!,MATCH(#REF!,#REF!,0))</definedName>
    <definedName name="OM" localSheetId="0">INDEX(#REF!,MATCH(#REF!,#REF!,0))</definedName>
    <definedName name="OM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2">#REF!</definedName>
    <definedName name="orderbacklog">#REF!</definedName>
    <definedName name="orderbooked98">#REF!</definedName>
    <definedName name="ORDERSTATUS" localSheetId="2">#REF!</definedName>
    <definedName name="ORDERSTATUS">#REF!</definedName>
    <definedName name="OrderTable" localSheetId="2" hidden="1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>#REF!</definedName>
    <definedName name="other_boq">#REF!</definedName>
    <definedName name="OTHERS">#REF!</definedName>
    <definedName name="otherSS_E2">#REF!</definedName>
    <definedName name="OTHR_CST_HD">#REF!</definedName>
    <definedName name="OTRY">#REF!</definedName>
    <definedName name="OTRY1">#REF!</definedName>
    <definedName name="Overall">#REF!</definedName>
    <definedName name="Overall_Mobi_Mth">#REF!</definedName>
    <definedName name="Overall_Mth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>#REF!</definedName>
    <definedName name="P_3">#REF!</definedName>
    <definedName name="P_4">#REF!</definedName>
    <definedName name="P_5">#REF!</definedName>
    <definedName name="P_6DSO" localSheetId="2">#REF!</definedName>
    <definedName name="P_6DSO">#REF!</definedName>
    <definedName name="P_7DPO">#REF!</definedName>
    <definedName name="P_A">#REF!</definedName>
    <definedName name="P_B">#REF!</definedName>
    <definedName name="P_M">#REF!</definedName>
    <definedName name="p_shape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>#REF!</definedName>
    <definedName name="p1apcc2">#REF!</definedName>
    <definedName name="p1apcc3">#REF!</definedName>
    <definedName name="p1clp">#REF!</definedName>
    <definedName name="p1csp">#REF!</definedName>
    <definedName name="p1db">#REF!</definedName>
    <definedName name="p1ht">#REF!</definedName>
    <definedName name="p1ksk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2">#REF!</definedName>
    <definedName name="PAGE10">#REF!</definedName>
    <definedName name="PAGE11" localSheetId="2">#REF!</definedName>
    <definedName name="PAGE11">#REF!</definedName>
    <definedName name="PAGE2" localSheetId="2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 hidden="1">"E9TT7WTUL973YIQMHP4L53VJ"</definedName>
    <definedName name="PAN">#REF!</definedName>
    <definedName name="panch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t">#REF!</definedName>
    <definedName name="part2">0.91</definedName>
    <definedName name="PAT_A" localSheetId="2">#REF!</definedName>
    <definedName name="PAT_A">#REF!</definedName>
    <definedName name="PAT_B" localSheetId="2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y_Date" localSheetId="2">#REF!</definedName>
    <definedName name="Pay_Date">#REF!</definedName>
    <definedName name="Pay_Num" localSheetId="2">#REF!</definedName>
    <definedName name="Pay_Num">#REF!</definedName>
    <definedName name="Payment_Date">#N/A</definedName>
    <definedName name="pb" localSheetId="2">#REF!</definedName>
    <definedName name="pb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>#REF!</definedName>
    <definedName name="PDP">#REF!</definedName>
    <definedName name="PE">INDEX(#REF!,MATCH(#REF!,#REF!,0))</definedName>
    <definedName name="ped_no">#REF!</definedName>
    <definedName name="PER">#REF!</definedName>
    <definedName name="Percent_Text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0">'Visual Chart'!PercentCompleteBeyond*'Visual Chart'!PeriodInPlan</definedName>
    <definedName name="PercentComplete">PercentCompleteBeyond*PeriodInPlan</definedName>
    <definedName name="PercentCompleteBeyond" localSheetId="0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iod_selected" localSheetId="0">#REF!</definedName>
    <definedName name="period_selected">#REF!</definedName>
    <definedName name="PeriodInActual" localSheetId="0">#REF!=MEDIAN(#REF!,#REF!,#REF!+#REF!-1)</definedName>
    <definedName name="PeriodInActual">#REF!=MEDIAN(#REF!,#REF!,#REF!+#REF!-1)</definedName>
    <definedName name="PeriodInPlan" localSheetId="0">#REF!=MEDIAN(#REF!,#REF!,#REF!+#REF!-1)</definedName>
    <definedName name="PeriodInPlan">#REF!=MEDIAN(#REF!,#REF!,#REF!+#REF!-1)</definedName>
    <definedName name="Personal">#REF!</definedName>
    <definedName name="PERSONAL_TRANSPORT" localSheetId="2">#REF!</definedName>
    <definedName name="PERSONAL_TRANSPORT" localSheetId="6">#REF!</definedName>
    <definedName name="PERSONAL_TRANSPORT">#REF!</definedName>
    <definedName name="PERSONNEL">#REF!</definedName>
    <definedName name="PF">#REF!</definedName>
    <definedName name="PG" localSheetId="0">INDEX(#REF!,MATCH(#REF!,#REF!,0))</definedName>
    <definedName name="PG">INDEX(#REF!,MATCH(#REF!,#REF!,0))</definedName>
    <definedName name="pH" localSheetId="6">#REF!</definedName>
    <definedName name="pH">#REF!</definedName>
    <definedName name="pH___0" localSheetId="6">#REF!</definedName>
    <definedName name="pH___0">#REF!</definedName>
    <definedName name="pH___13">#REF!</definedName>
    <definedName name="PhaseCode">#REF!</definedName>
    <definedName name="phi">#REF!</definedName>
    <definedName name="phis">#REF!</definedName>
    <definedName name="phit">#REF!</definedName>
    <definedName name="PI" localSheetId="2">INDEX(#REF!,MATCH(#REF!,#REF!,0))</definedName>
    <definedName name="PI">#REF!</definedName>
    <definedName name="pIaccp">#REF!</definedName>
    <definedName name="picture_1">"Picture 1"</definedName>
    <definedName name="pIecp">#REF!</definedName>
    <definedName name="pile_no">#REF!</definedName>
    <definedName name="Piling" localSheetId="2">#REF!</definedName>
    <definedName name="Piling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ER">#REF!</definedName>
    <definedName name="PLC">#REF!</definedName>
    <definedName name="PLCC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2">INDEX(#REF!,MATCH(#REF!,#REF!,0))</definedName>
    <definedName name="PM">#REF!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">#REF!</definedName>
    <definedName name="PNum">#REF!</definedName>
    <definedName name="PO">#REF!</definedName>
    <definedName name="POLU">#REF!</definedName>
    <definedName name="PONDA">#REF!</definedName>
    <definedName name="POOJA">#REF!</definedName>
    <definedName name="popop" hidden="1">#REF!</definedName>
    <definedName name="POR">#N/A</definedName>
    <definedName name="POST">#REF!</definedName>
    <definedName name="pound">#REF!</definedName>
    <definedName name="POUNDS" localSheetId="2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#REF!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hant">#REF!</definedName>
    <definedName name="pratap" localSheetId="2" hidden="1">{"'Sheet1'!$A$4386:$N$4591"}</definedName>
    <definedName name="pratap" localSheetId="6" hidden="1">{"'Sheet1'!$A$4386:$N$4591"}</definedName>
    <definedName name="pratap" localSheetId="0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vYears">#REF!</definedName>
    <definedName name="PRICE" localSheetId="2">#REF!</definedName>
    <definedName name="price">#REF!</definedName>
    <definedName name="priced_end">#REF!</definedName>
    <definedName name="PriceEach">#REF!</definedName>
    <definedName name="Princ">#REF!</definedName>
    <definedName name="_xlnm.Print_Area" localSheetId="2">DPR!$A$1:$N$14</definedName>
    <definedName name="_xlnm.Print_Area" localSheetId="6">#REF!</definedName>
    <definedName name="_xlnm.Print_Area" localSheetId="1">'VC-765kV MKTL'!$A$1:$AT$211</definedName>
    <definedName name="_xlnm.Print_Area" localSheetId="0">'Visual Chart'!$A$1:$AT$223</definedName>
    <definedName name="_xlnm.Print_Area">#REF!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>#REF!</definedName>
    <definedName name="PRINT_AREA_MI" localSheetId="2">#REF!</definedName>
    <definedName name="PRINT_AREA_MI" localSheetId="6">#REF!</definedName>
    <definedName name="PRINT_AREA_MI">#REF!</definedName>
    <definedName name="PRINT_AREA_MI___0" localSheetId="6">#REF!</definedName>
    <definedName name="PRINT_AREA_MI___0">#REF!</definedName>
    <definedName name="print_area_mi_1">#REF!</definedName>
    <definedName name="Print_Area_MI_17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2">DPR!$1:$3</definedName>
    <definedName name="_xlnm.Print_Titles">#N/A</definedName>
    <definedName name="Print_Titles_1">#REF!,#REF!</definedName>
    <definedName name="Print_Titles_2">#REF!</definedName>
    <definedName name="PRINT_TITLES_MI" localSheetId="2">#REF!</definedName>
    <definedName name="PRINT_TITLES_MI">#REF!</definedName>
    <definedName name="print1" localSheetId="2">#REF!</definedName>
    <definedName name="print1">#REF!</definedName>
    <definedName name="printarea" localSheetId="2">#REF!</definedName>
    <definedName name="printarea">#REF!</definedName>
    <definedName name="printedname">#N/A</definedName>
    <definedName name="printn" localSheetId="2">#REF!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">#REF!</definedName>
    <definedName name="project">#REF!</definedName>
    <definedName name="project_lookup">#REF!</definedName>
    <definedName name="ProjectLocation">#REF!</definedName>
    <definedName name="ProjectNumber">#REF!</definedName>
    <definedName name="Projects">#REF!</definedName>
    <definedName name="ProjectSubtitle">#REF!</definedName>
    <definedName name="ProjectTitle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>#REF!</definedName>
    <definedName name="PUMPS_DATA">#REF!</definedName>
    <definedName name="Puz">#REF!</definedName>
    <definedName name="PW">#REF!</definedName>
    <definedName name="Pwl">#REF!</definedName>
    <definedName name="PWr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 localSheetId="2">#REF!</definedName>
    <definedName name="qq" localSheetId="6" hidden="1">{#N/A,#N/A,FALSE,"COVER1.XLS ";#N/A,#N/A,FALSE,"RACT1.XLS";#N/A,#N/A,FALSE,"RACT2.XLS";#N/A,#N/A,FALSE,"ECCMP";#N/A,#N/A,FALSE,"WELDER.XLS"}</definedName>
    <definedName name="qq" localSheetId="0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">#N/A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 localSheetId="2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 localSheetId="2">#REF!</definedName>
    <definedName name="Qty_as_on_apr">#REF!</definedName>
    <definedName name="QTY_AS_ON_APR_1" localSheetId="2">#REF!</definedName>
    <definedName name="QTY_AS_ON_APR_1">#REF!</definedName>
    <definedName name="Quantity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>#REF!</definedName>
    <definedName name="qwer">#REF!</definedName>
    <definedName name="qwerty">#REF!</definedName>
    <definedName name="QWEWEQ">#REF!</definedName>
    <definedName name="qwrqrqwrq">#REF!</definedName>
    <definedName name="qwwwee">#REF!</definedName>
    <definedName name="R_">#REF!</definedName>
    <definedName name="R___variation_factor_in_capacity_per_degree_Celcius">#REF!</definedName>
    <definedName name="Ra">#REF!</definedName>
    <definedName name="raaa" localSheetId="2" hidden="1">{"'Sheet1'!$A$4386:$N$4591"}</definedName>
    <definedName name="raaa" localSheetId="6" hidden="1">{"'Sheet1'!$A$4386:$N$4591"}</definedName>
    <definedName name="raaa" localSheetId="0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0" hidden="1">{"'PROFITABILITY'!$A$1:$F$45"}</definedName>
    <definedName name="Radio" hidden="1">{"'PROFITABILITY'!$A$1:$F$45"}</definedName>
    <definedName name="RaftD">#REF!</definedName>
    <definedName name="RaftSlbThk">#REF!</definedName>
    <definedName name="raghu">#REF!</definedName>
    <definedName name="Rahul">#REF!</definedName>
    <definedName name="Rahul1">#REF!</definedName>
    <definedName name="RAIL">#REF!</definedName>
    <definedName name="Raj" localSheetId="2" hidden="1">{"'Sheet1'!$A$4386:$N$4591"}</definedName>
    <definedName name="Raj" localSheetId="6" hidden="1">{"'Sheet1'!$A$4386:$N$4591"}</definedName>
    <definedName name="Raj" localSheetId="0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#REF!</definedName>
    <definedName name="RAPS">#REF!</definedName>
    <definedName name="rate">#REF!</definedName>
    <definedName name="RATE___0">#REF!</definedName>
    <definedName name="rate1">#REF!</definedName>
    <definedName name="raverage">#REF!</definedName>
    <definedName name="RawAgencyPrice">#REF!</definedName>
    <definedName name="RawData">#REF!</definedName>
    <definedName name="RAWRAR">#REF!</definedName>
    <definedName name="rb">#REF!</definedName>
    <definedName name="RBData">#REF!</definedName>
    <definedName name="RC_" localSheetId="0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0">INDEX(#REF!,MATCH(#REF!,#REF!,0))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>#REF!</definedName>
    <definedName name="RECON" localSheetId="2" hidden="1">{"form-D1",#N/A,FALSE,"FORM-D1";"form-D1_amt",#N/A,FALSE,"FORM-D1"}</definedName>
    <definedName name="RECON" localSheetId="6" hidden="1">{"form-D1",#N/A,FALSE,"FORM-D1";"form-D1_amt",#N/A,FALSE,"FORM-D1"}</definedName>
    <definedName name="RECON" localSheetId="0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">#REF!</definedName>
    <definedName name="_xlnm.Recorder">#REF!</definedName>
    <definedName name="RECOUT">#N/A</definedName>
    <definedName name="rect_4_415" localSheetId="2">#REF!</definedName>
    <definedName name="rect_4_415">#REF!</definedName>
    <definedName name="red">#REF!</definedName>
    <definedName name="REE" localSheetId="2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#REF!</definedName>
    <definedName name="RERE">#REF!</definedName>
    <definedName name="rerere">#REF!</definedName>
    <definedName name="res_sum" localSheetId="2" hidden="1">{#N/A,#N/A,FALSE,"COVER1.XLS ";#N/A,#N/A,FALSE,"RACT1.XLS";#N/A,#N/A,FALSE,"RACT2.XLS";#N/A,#N/A,FALSE,"ECCMP";#N/A,#N/A,FALSE,"WELDER.XLS"}</definedName>
    <definedName name="res_sum" localSheetId="6" hidden="1">{#N/A,#N/A,FALSE,"COVER1.XLS ";#N/A,#N/A,FALSE,"RACT1.XLS";#N/A,#N/A,FALSE,"RACT2.XLS";#N/A,#N/A,FALSE,"ECCMP";#N/A,#N/A,FALSE,"WELDER.XLS"}</definedName>
    <definedName name="res_sum" localSheetId="0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 localSheetId="2">#REF!</definedName>
    <definedName name="Result33">#REF!</definedName>
    <definedName name="Result51" localSheetId="2">#REF!</definedName>
    <definedName name="Result51">#REF!</definedName>
    <definedName name="Result61" localSheetId="2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#REF!</definedName>
    <definedName name="rewrewwre" hidden="1">#REF!</definedName>
    <definedName name="rewrwewe" hidden="1">#REF!</definedName>
    <definedName name="RF" localSheetId="0" hidden="1">{#N/A,#N/A,FALSE,"CCTV"}</definedName>
    <definedName name="RF" hidden="1">{#N/A,#N/A,FALSE,"CCTV"}</definedName>
    <definedName name="RFGF" localSheetId="2">#REF!</definedName>
    <definedName name="RFG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0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 localSheetId="0">INDEX(#REF!,MATCH(#REF!,#REF!,0))</definedName>
    <definedName name="RH">INDEX(#REF!,MATCH(#REF!,#REF!,0))</definedName>
    <definedName name="rho">#REF!</definedName>
    <definedName name="RI" localSheetId="0">INDEX(#REF!,MATCH(#REF!,#REF!,0))</definedName>
    <definedName name="RI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verGodavari">#REF!</definedName>
    <definedName name="RJ" localSheetId="0">INDEX(#REF!,MATCH(#REF!,#REF!,0))</definedName>
    <definedName name="RJ">INDEX(#REF!,MATCH(#REF!,#REF!,0))</definedName>
    <definedName name="rjrj" localSheetId="2" hidden="1">{"'PROFITABILITY'!$A$1:$F$45"}</definedName>
    <definedName name="rjrj" localSheetId="6" hidden="1">{"'PROFITABILITY'!$A$1:$F$45"}</definedName>
    <definedName name="rjrj" localSheetId="0" hidden="1">{"'PROFITABILITY'!$A$1:$F$45"}</definedName>
    <definedName name="rjrj" hidden="1">{"'PROFITABILITY'!$A$1:$F$45"}</definedName>
    <definedName name="rjrjj" localSheetId="2" hidden="1">{"'PROFITABILITY'!$A$1:$F$45"}</definedName>
    <definedName name="rjrjj" localSheetId="6" hidden="1">{"'PROFITABILITY'!$A$1:$F$45"}</definedName>
    <definedName name="rjrjj" localSheetId="0" hidden="1">{"'PROFITABILITY'!$A$1:$F$45"}</definedName>
    <definedName name="rjrjj" hidden="1">{"'PROFITABILITY'!$A$1:$F$45"}</definedName>
    <definedName name="RK" localSheetId="0">INDEX(#REF!,MATCH(#REF!,#REF!,0))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2">INDEX(#REF!,MATCH(#REF!,#REF!,0))</definedName>
    <definedName name="Rm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localSheetId="2" hidden="1">{"'PROFITABILITY'!$A$1:$F$45"}</definedName>
    <definedName name="rttj" localSheetId="6" hidden="1">{"'PROFITABILITY'!$A$1:$F$45"}</definedName>
    <definedName name="rttj" localSheetId="0" hidden="1">{"'PROFITABILITY'!$A$1:$F$45"}</definedName>
    <definedName name="rttj" hidden="1">{"'PROFITABILITY'!$A$1:$F$45"}</definedName>
    <definedName name="rttrt" localSheetId="2" hidden="1">{"form-D1",#N/A,FALSE,"FORM-D1";"form-D1_amt",#N/A,FALSE,"FORM-D1"}</definedName>
    <definedName name="rttrt" localSheetId="6" hidden="1">{"form-D1",#N/A,FALSE,"FORM-D1";"form-D1_amt",#N/A,FALSE,"FORM-D1"}</definedName>
    <definedName name="rttrt" localSheetId="0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 localSheetId="2">#REF!</definedName>
    <definedName name="RUPEES">#REF!</definedName>
    <definedName name="RUPEES_1">#REF!</definedName>
    <definedName name="rwere" localSheetId="2" hidden="1">{#N/A,#N/A,FALSE,"COVER1.XLS ";#N/A,#N/A,FALSE,"RACT1.XLS";#N/A,#N/A,FALSE,"RACT2.XLS";#N/A,#N/A,FALSE,"ECCMP";#N/A,#N/A,FALSE,"WELDER.XLS"}</definedName>
    <definedName name="rwere" localSheetId="6" hidden="1">{#N/A,#N/A,FALSE,"COVER1.XLS ";#N/A,#N/A,FALSE,"RACT1.XLS";#N/A,#N/A,FALSE,"RACT2.XLS";#N/A,#N/A,FALSE,"ECCMP";#N/A,#N/A,FALSE,"WELDER.XLS"}</definedName>
    <definedName name="rwere" localSheetId="0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x">#REF!</definedName>
    <definedName name="rxearthing">#REF!</definedName>
    <definedName name="s" localSheetId="2">#REF!</definedName>
    <definedName name="S">#REF!</definedName>
    <definedName name="s.f">#REF!</definedName>
    <definedName name="s_1" localSheetId="0" hidden="1">{"'PROFITABILITY'!$A$1:$F$45"}</definedName>
    <definedName name="s_1" hidden="1">{"'PROFITABILITY'!$A$1:$F$45"}</definedName>
    <definedName name="S_41" localSheetId="2" hidden="1">{0,0,0,0;0,#N/A,FALSE,0}</definedName>
    <definedName name="S_41" localSheetId="6" hidden="1">{0,0,0,0;0,#N/A,FALSE,0}</definedName>
    <definedName name="S_41" localSheetId="0" hidden="1">{0,0,0,0;0,#N/A,FALSE,0}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localSheetId="2" hidden="1">{"form-D1",#N/A,FALSE,"FORM-D1";"form-D1_amt",#N/A,FALSE,"FORM-D1"}</definedName>
    <definedName name="saa" localSheetId="6" hidden="1">{"form-D1",#N/A,FALSE,"FORM-D1";"form-D1_amt",#N/A,FALSE,"FORM-D1"}</definedName>
    <definedName name="saa" localSheetId="0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k">#REF!</definedName>
    <definedName name="sal">#REF!</definedName>
    <definedName name="salar">#REF!</definedName>
    <definedName name="SALARIES___WAGES" localSheetId="2">#REF!</definedName>
    <definedName name="SALARIES___WAGES">#REF!</definedName>
    <definedName name="salary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d_124">#REF!</definedName>
    <definedName name="SandI_Mobi_Mth">#REF!</definedName>
    <definedName name="SandI_Mth">#REF!</definedName>
    <definedName name="Sanitary">#REF!</definedName>
    <definedName name="SAP_SUMM">#REF!</definedName>
    <definedName name="sarava">#N/A</definedName>
    <definedName name="sarita" localSheetId="2">#REF!</definedName>
    <definedName name="sarita">#REF!</definedName>
    <definedName name="sasi" localSheetId="2">#REF!</definedName>
    <definedName name="sasi">#REF!</definedName>
    <definedName name="sastry" localSheetId="2">#REF!</definedName>
    <definedName name="sastry">#REF!</definedName>
    <definedName name="SATYA">#REF!</definedName>
    <definedName name="SAUN">#REF!</definedName>
    <definedName name="sb">#REF!</definedName>
    <definedName name="SC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rb">#REF!</definedName>
    <definedName name="sd">#REF!</definedName>
    <definedName name="sda" localSheetId="2" hidden="1">{"form-D1",#N/A,FALSE,"FORM-D1";"form-D1_amt",#N/A,FALSE,"FORM-D1"}</definedName>
    <definedName name="sda" localSheetId="6" hidden="1">{"form-D1",#N/A,FALSE,"FORM-D1";"form-D1_amt",#N/A,FALSE,"FORM-D1"}</definedName>
    <definedName name="sda" localSheetId="0" hidden="1">{"form-D1",#N/A,FALSE,"FORM-D1";"form-D1_amt",#N/A,FALSE,"FORM-D1"}</definedName>
    <definedName name="sda" hidden="1">{"form-D1",#N/A,FALSE,"FORM-D1";"form-D1_amt",#N/A,FALSE,"FORM-D1"}</definedName>
    <definedName name="sdaa">#REF!</definedName>
    <definedName name="Sdate" localSheetId="2">#REF!</definedName>
    <definedName name="Sdate">#REF!</definedName>
    <definedName name="sdf" localSheetId="2">#REF!</definedName>
    <definedName name="sdf" localSheetId="6" hidden="1">{"'PROFITABILITY'!$A$1:$F$45"}</definedName>
    <definedName name="sdf" localSheetId="0" hidden="1">{"'PROFITABILITY'!$A$1:$F$45"}</definedName>
    <definedName name="sdf" hidden="1">{"'PROFITABILITY'!$A$1:$F$45"}</definedName>
    <definedName name="SDF2A">#REF!</definedName>
    <definedName name="sdfds" localSheetId="2" hidden="1">{"'PROFITABILITY'!$A$1:$F$45"}</definedName>
    <definedName name="sdfds" localSheetId="6" hidden="1">{"'PROFITABILITY'!$A$1:$F$45"}</definedName>
    <definedName name="sdfds" localSheetId="0" hidden="1">{"'PROFITABILITY'!$A$1:$F$45"}</definedName>
    <definedName name="sdfds" hidden="1">{"'PROFITABILITY'!$A$1:$F$45"}</definedName>
    <definedName name="SDGDSHGD" localSheetId="2" hidden="1">{"'PROFITABILITY'!$A$1:$F$45"}</definedName>
    <definedName name="SDGDSHGD" localSheetId="6" hidden="1">{"'PROFITABILITY'!$A$1:$F$45"}</definedName>
    <definedName name="SDGDSHGD" localSheetId="0" hidden="1">{"'PROFITABILITY'!$A$1:$F$45"}</definedName>
    <definedName name="SDGDSHGD" hidden="1">{"'PROFITABILITY'!$A$1:$F$45"}</definedName>
    <definedName name="SDGSDG" localSheetId="2" hidden="1">{"'PROFITABILITY'!$A$1:$F$45"}</definedName>
    <definedName name="SDGSDG" localSheetId="6" hidden="1">{"'PROFITABILITY'!$A$1:$F$45"}</definedName>
    <definedName name="SDGSDG" localSheetId="0" hidden="1">{"'PROFITABILITY'!$A$1:$F$45"}</definedName>
    <definedName name="SDGSDG" hidden="1">{"'PROFITABILITY'!$A$1:$F$45"}</definedName>
    <definedName name="SDGSG" localSheetId="2" hidden="1">{"'PROFITABILITY'!$A$1:$F$45"}</definedName>
    <definedName name="SDGSG" localSheetId="6" hidden="1">{"'PROFITABILITY'!$A$1:$F$45"}</definedName>
    <definedName name="SDGSG" localSheetId="0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s">#REF!</definedName>
    <definedName name="sdsdsd">#REF!</definedName>
    <definedName name="se">#REF!</definedName>
    <definedName name="se_">#REF!</definedName>
    <definedName name="SEAL">#REF!</definedName>
    <definedName name="SEAL1">#REF!</definedName>
    <definedName name="sect_table" localSheetId="2">#REF!:#REF!</definedName>
    <definedName name="sect_table">#REF!:#REF!</definedName>
    <definedName name="SECTAB">#REF!:#REF!</definedName>
    <definedName name="SECTION">#REF!</definedName>
    <definedName name="see" localSheetId="2">#REF!</definedName>
    <definedName name="see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 localSheetId="2">#REF!</definedName>
    <definedName name="Select">#REF!</definedName>
    <definedName name="SelectD1OrC1" localSheetId="2">#REF!</definedName>
    <definedName name="SelectD1OrC1">#REF!</definedName>
    <definedName name="SelectLessOrExcess">#REF!</definedName>
    <definedName name="sencount">1</definedName>
    <definedName name="SEPT" localSheetId="2">#REF!</definedName>
    <definedName name="SEPT">#REF!</definedName>
    <definedName name="SER_TAX">#REF!</definedName>
    <definedName name="Service" localSheetId="2">#REF!</definedName>
    <definedName name="Service">#REF!</definedName>
    <definedName name="ServiceTax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>#REF!</definedName>
    <definedName name="SHAB">#REF!</definedName>
    <definedName name="sharada">185</definedName>
    <definedName name="SHEET">#N/A</definedName>
    <definedName name="sheet1" localSheetId="2">#REF!</definedName>
    <definedName name="sheet1">#REF!</definedName>
    <definedName name="sheet1___0" localSheetId="2">#REF!</definedName>
    <definedName name="sheet1___0">#REF!</definedName>
    <definedName name="sheet1___13" localSheetId="2">#REF!</definedName>
    <definedName name="sheet1___13">#REF!</definedName>
    <definedName name="SHEET2">#REF!</definedName>
    <definedName name="sheet3">#REF!</definedName>
    <definedName name="SHELL___TUBE_DATA">#REF!</definedName>
    <definedName name="shis">#REF!</definedName>
    <definedName name="shpe">#REF!</definedName>
    <definedName name="Shri1">#REF!</definedName>
    <definedName name="SHS">#REF!</definedName>
    <definedName name="SHTA">#REF!</definedName>
    <definedName name="Shuttering">#REF!</definedName>
    <definedName name="SHV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>#REF!</definedName>
    <definedName name="SIZEC">#REF!</definedName>
    <definedName name="SJ">INDEX(#REF!,MATCH(#REF!,#REF!,0))</definedName>
    <definedName name="SK">INDEX(#REF!,MATCH(#REF!,#REF!,0))</definedName>
    <definedName name="skilled">#REF!</definedName>
    <definedName name="SL">INDEX(#REF!,MATCH(#REF!,#REF!,0))</definedName>
    <definedName name="slab" localSheetId="2" hidden="1">{"form-D1",#N/A,FALSE,"FORM-D1";"form-D1_amt",#N/A,FALSE,"FORM-D1"}</definedName>
    <definedName name="slab" localSheetId="6" hidden="1">{"form-D1",#N/A,FALSE,"FORM-D1";"form-D1_amt",#N/A,FALSE,"FORM-D1"}</definedName>
    <definedName name="slab" localSheetId="0" hidden="1">{"form-D1",#N/A,FALSE,"FORM-D1";"form-D1_amt",#N/A,FALSE,"FORM-D1"}</definedName>
    <definedName name="slab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0" hidden="1">{"form-D1",#N/A,FALSE,"FORM-D1";"form-D1_amt",#N/A,FALSE,"FORM-D1"}</definedName>
    <definedName name="slab_p" hidden="1">{"form-D1",#N/A,FALSE,"FORM-D1";"form-D1_amt",#N/A,FALSE,"FORM-D1"}</definedName>
    <definedName name="SlabD">#REF!</definedName>
    <definedName name="SLOPE">#REF!</definedName>
    <definedName name="sm" localSheetId="2">#REF!</definedName>
    <definedName name="sm">#REF!</definedName>
    <definedName name="SMP" localSheetId="0">INDEX(#REF!,MATCH(#REF!,#REF!,0))</definedName>
    <definedName name="SMP">INDEX(#REF!,MATCH(#REF!,#REF!,0))</definedName>
    <definedName name="SMPL" localSheetId="0">INDEX(#REF!,MATCH(#REF!,#REF!,0))</definedName>
    <definedName name="SMPL">INDEX(#REF!,MATCH(#REF!,#REF!,0))</definedName>
    <definedName name="smsb">#REF!</definedName>
    <definedName name="snlkjhsljbhdsjbkj">#REF!</definedName>
    <definedName name="SNS">"Picture 2"</definedName>
    <definedName name="soh" localSheetId="2">0%</definedName>
    <definedName name="soh">1%</definedName>
    <definedName name="Soil" localSheetId="2">#REF!</definedName>
    <definedName name="Soil">#REF!</definedName>
    <definedName name="SoilClass">#REF!</definedName>
    <definedName name="SOL">#REF!</definedName>
    <definedName name="sone">#REF!</definedName>
    <definedName name="SOR" localSheetId="2">#REF!</definedName>
    <definedName name="SOR">#REF!</definedName>
    <definedName name="sort1" localSheetId="2" hidden="1">#REF!</definedName>
    <definedName name="sort1" hidden="1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0" hidden="1">{"'PROFITABILITY'!$A$1:$F$45"}</definedName>
    <definedName name="SpacerDamper" hidden="1">{"'PROFITABILITY'!$A$1:$F$45"}</definedName>
    <definedName name="Spalls">#REF!</definedName>
    <definedName name="SPAN" localSheetId="0">VLOOKUP(#REF!&amp;#REF!,#REF!,4,FALSE)</definedName>
    <definedName name="SPAN">VLOOKUP(#REF!&amp;#REF!,#REF!,4,FALSE)</definedName>
    <definedName name="Spanner_Auto_File">"C:\Documents and Settings\pcsai\My Documents\DRAIN_De.x2a"</definedName>
    <definedName name="SPAR">#REF!</definedName>
    <definedName name="Spare" localSheetId="0" hidden="1">{"'PROFITABILITY'!$A$1:$F$45"}</definedName>
    <definedName name="Spare" hidden="1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localSheetId="2" hidden="1">#REF!</definedName>
    <definedName name="SpecialPrice" hidden="1">#REF!</definedName>
    <definedName name="spfactor">#REF!</definedName>
    <definedName name="Spl" localSheetId="2">#REF!</definedName>
    <definedName name="Spl">#REF!</definedName>
    <definedName name="SPTNP">#REF!</definedName>
    <definedName name="SQRT__1___0.6___1.0" localSheetId="2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2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#REF!</definedName>
    <definedName name="ssb">#REF!</definedName>
    <definedName name="sscost_config1">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>#REF!</definedName>
    <definedName name="sss_1">#REF!</definedName>
    <definedName name="ssss">#REF!</definedName>
    <definedName name="sssss">#REF!</definedName>
    <definedName name="sssssssss" localSheetId="2">#REF!</definedName>
    <definedName name="sssssssss" localSheetId="6" hidden="1">{"form-D1",#N/A,FALSE,"FORM-D1";"form-D1_amt",#N/A,FALSE,"FORM-D1"}</definedName>
    <definedName name="sssssssss" localSheetId="0" hidden="1">{"form-D1",#N/A,FALSE,"FORM-D1";"form-D1_amt",#N/A,FALSE,"FORM-D1"}</definedName>
    <definedName name="sssssssss" hidden="1">{"form-D1",#N/A,FALSE,"FORM-D1";"form-D1_amt",#N/A,FALSE,"FORM-D1"}</definedName>
    <definedName name="SSSSSSSSSSSS" hidden="1">#REF!</definedName>
    <definedName name="sssssssssssss" localSheetId="2" hidden="1">{"form-D1",#N/A,FALSE,"FORM-D1";"form-D1_amt",#N/A,FALSE,"FORM-D1"}</definedName>
    <definedName name="sssssssssssss" localSheetId="6" hidden="1">{"form-D1",#N/A,FALSE,"FORM-D1";"form-D1_amt",#N/A,FALSE,"FORM-D1"}</definedName>
    <definedName name="sssssssssssss" localSheetId="0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2" hidden="1">{"form-D1",#N/A,FALSE,"FORM-D1";"form-D1_amt",#N/A,FALSE,"FORM-D1"}</definedName>
    <definedName name="sssssssssssssas" localSheetId="6" hidden="1">{"form-D1",#N/A,FALSE,"FORM-D1";"form-D1_amt",#N/A,FALSE,"FORM-D1"}</definedName>
    <definedName name="sssssssssssssas" localSheetId="0" hidden="1">{"form-D1",#N/A,FALSE,"FORM-D1";"form-D1_amt",#N/A,FALSE,"FORM-D1"}</definedName>
    <definedName name="sssssssssssssas" hidden="1">{"form-D1",#N/A,FALSE,"FORM-D1";"form-D1_amt",#N/A,FALSE,"FORM-D1"}</definedName>
    <definedName name="sssummary_config1">#REF!</definedName>
    <definedName name="ST" localSheetId="2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">#REF!</definedName>
    <definedName name="Staff_and_IDL_Ave">#REF!</definedName>
    <definedName name="StaffGrades">#REF!</definedName>
    <definedName name="Stage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MENT_1" localSheetId="2">#REF!</definedName>
    <definedName name="STATEMENT_1">#REF!</definedName>
    <definedName name="STATEMENT_2">#REF!</definedName>
    <definedName name="STATEMENT_3" localSheetId="2">#REF!</definedName>
    <definedName name="STATEMENT_3">#REF!</definedName>
    <definedName name="STATEMENT_4">#REF!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M">#REF!</definedName>
    <definedName name="SUMMARY">#REF!</definedName>
    <definedName name="summary_config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DR">#REF!</definedName>
    <definedName name="Supplies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itchgear_E2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 localSheetId="2">#N/A</definedName>
    <definedName name="t1_">#REF!</definedName>
    <definedName name="T2_">#N/A</definedName>
    <definedName name="T3_">#N/A</definedName>
    <definedName name="T4_">#N/A</definedName>
    <definedName name="Ta">#REF!</definedName>
    <definedName name="taa">#REF!</definedName>
    <definedName name="TAB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>#REF!</definedName>
    <definedName name="Tbf">#REF!</definedName>
    <definedName name="TBL">#REF!</definedName>
    <definedName name="tbl_ProdInfo" localSheetId="2" hidden="1">#REF!</definedName>
    <definedName name="tbl_ProdInfo" hidden="1">#REF!</definedName>
    <definedName name="TBo">#REF!</definedName>
    <definedName name="tc">#REF!</definedName>
    <definedName name="tcap" localSheetId="2">#REF!</definedName>
    <definedName name="tcap">#REF!</definedName>
    <definedName name="tcr">#REF!</definedName>
    <definedName name="TD">#REF!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 localSheetId="2">#REF!,#REF!,#REF!,#REF!,#REF!,#REF!,#REF!,#REF!,#REF!</definedName>
    <definedName name="teesta" localSheetId="6">#REF!,#REF!,#REF!,#REF!,#REF!,#REF!,#REF!,#REF!,#REF!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 localSheetId="2">#REF!</definedName>
    <definedName name="ter_vapi">#REF!</definedName>
    <definedName name="TERM" localSheetId="2">#REF!</definedName>
    <definedName name="TERM">#REF!</definedName>
    <definedName name="TEs" localSheetId="2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2">#REF!</definedName>
    <definedName name="TEST0">#REF!</definedName>
    <definedName name="TEST1" localSheetId="2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 hidden="1">1</definedName>
    <definedName name="TF">#REF!</definedName>
    <definedName name="Tfc" localSheetId="2">#REF!</definedName>
    <definedName name="Tfc">#REF!</definedName>
    <definedName name="Tfd">#REF!</definedName>
    <definedName name="TG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BPLA">#REF!</definedName>
    <definedName name="TMBSCA">#REF!</definedName>
    <definedName name="TMD">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 localSheetId="2">#REF!</definedName>
    <definedName name="total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otal_YTD" localSheetId="0">#REF!</definedName>
    <definedName name="Total_YTD">#REF!</definedName>
    <definedName name="TOTAL1RP" localSheetId="0">#REF!</definedName>
    <definedName name="TOTAL1RP">#REF!</definedName>
    <definedName name="TOTAL2RP" localSheetId="0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0" hidden="1">{"'PROFITABILITY'!$A$1:$F$45"}</definedName>
    <definedName name="tower" hidden="1">{"'PROFITABILITY'!$A$1:$F$45"}</definedName>
    <definedName name="tower_distr_br2">#REF!</definedName>
    <definedName name="tower_E2">#REF!</definedName>
    <definedName name="TowerBaseShear">#REF!</definedName>
    <definedName name="TowerBaseWeight">#REF!</definedName>
    <definedName name="TowerBottomFaceWidth">#REF!</definedName>
    <definedName name="towercosting" localSheetId="0" hidden="1">{"'PROFITABILITY'!$A$1:$F$45"}</definedName>
    <definedName name="towercosting" hidden="1">{"'PROFITABILITY'!$A$1:$F$45"}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 localSheetId="2">#REF!</definedName>
    <definedName name="tr">#N/A</definedName>
    <definedName name="tr0" localSheetId="2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ining_Admn_ratio">0.5</definedName>
    <definedName name="TRANS" localSheetId="2">#REF!</definedName>
    <definedName name="TRANS">#REF!</definedName>
    <definedName name="transformer_E2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 localSheetId="2">#REF!</definedName>
    <definedName name="Tres">#REF!</definedName>
    <definedName name="tres4">#REF!</definedName>
    <definedName name="trrrrrrrrrrrrr" localSheetId="2" hidden="1">{"form-D1",#N/A,FALSE,"FORM-D1";"form-D1_amt",#N/A,FALSE,"FORM-D1"}</definedName>
    <definedName name="trrrrrrrrrrrrr" localSheetId="6" hidden="1">{"form-D1",#N/A,FALSE,"FORM-D1";"form-D1_amt",#N/A,FALSE,"FORM-D1"}</definedName>
    <definedName name="trrrrrrrrrrrrr" localSheetId="0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 localSheetId="2">#REF!</definedName>
    <definedName name="try">#N/A</definedName>
    <definedName name="ts" localSheetId="2">#REF!</definedName>
    <definedName name="tS">#REF!</definedName>
    <definedName name="tS___0" localSheetId="2">#REF!</definedName>
    <definedName name="tS___0">#REF!</definedName>
    <definedName name="tS___13" localSheetId="2">#REF!</definedName>
    <definedName name="tS___13">#REF!</definedName>
    <definedName name="TSD">#REF!</definedName>
    <definedName name="TSK">#REF!</definedName>
    <definedName name="TSS">#REF!</definedName>
    <definedName name="tst">#REF!</definedName>
    <definedName name="Tt">#REF!</definedName>
    <definedName name="TTA">#REF!</definedName>
    <definedName name="TTB">#REF!</definedName>
    <definedName name="TTDI">#REF!</definedName>
    <definedName name="TTE" localSheetId="0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>#REF!</definedName>
    <definedName name="ttt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#REF!</definedName>
    <definedName name="twer">#REF!</definedName>
    <definedName name="Twr">#REF!</definedName>
    <definedName name="TWR_WT" localSheetId="0">IFERROR(VLOOKUP(#REF!,#REF!,2,FALSE),"")</definedName>
    <definedName name="TWR_WT">IFERROR(VLOOKUP(#REF!,#REF!,2,FALSE),"")</definedName>
    <definedName name="TY" hidden="1">#REF!</definedName>
    <definedName name="tyjyj" localSheetId="2" hidden="1">{"'PROFITABILITY'!$A$1:$F$45"}</definedName>
    <definedName name="tyjyj" localSheetId="6" hidden="1">{"'PROFITABILITY'!$A$1:$F$45"}</definedName>
    <definedName name="tyjyj" localSheetId="0" hidden="1">{"'PROFITABILITY'!$A$1:$F$45"}</definedName>
    <definedName name="tyjyj" hidden="1">{"'PROFITABILITY'!$A$1:$F$45"}</definedName>
    <definedName name="type">#REF!</definedName>
    <definedName name="TYPE_OF_LINE">#REF!</definedName>
    <definedName name="Type3">#REF!</definedName>
    <definedName name="typeofbidder">#N/A</definedName>
    <definedName name="Typerate">#REF!</definedName>
    <definedName name="TYPICALARRAY">#REF!</definedName>
    <definedName name="u">#REF!</definedName>
    <definedName name="UÀ1576">#REF!</definedName>
    <definedName name="UBAI">#REF!</definedName>
    <definedName name="ueber">#REF!</definedName>
    <definedName name="UI" hidden="1">#REF!</definedName>
    <definedName name="uifsyi">#REF!</definedName>
    <definedName name="UKP">#REF!</definedName>
    <definedName name="UMD">#REF!</definedName>
    <definedName name="un">#REF!</definedName>
    <definedName name="UNION">#REF!</definedName>
    <definedName name="unit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2">#REF!</definedName>
    <definedName name="V">#REF!</definedName>
    <definedName name="va" localSheetId="2">#REF!</definedName>
    <definedName name="va">#REF!</definedName>
    <definedName name="va___0" localSheetId="2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 localSheetId="0">INDEX(#REF!,MATCH(#REF!,#REF!,0))</definedName>
    <definedName name="vct">INDEX(#REF!,MATCH(#REF!,#REF!,0))</definedName>
    <definedName name="VD">#REF!</definedName>
    <definedName name="Vdes">#REF!</definedName>
    <definedName name="vea">#REF!</definedName>
    <definedName name="VehicleList">OFFSET(#REF!,0,0,COUNTA(#REF!),1)</definedName>
    <definedName name="VehicleLookUp">OFFSET(#REF!,0,0,COUNTA(#REF!),8)</definedName>
    <definedName name="VELOKAL" localSheetId="2">#REF!</definedName>
    <definedName name="VELOKAL">#REF!</definedName>
    <definedName name="Vend" localSheetId="2">#REF!</definedName>
    <definedName name="Vend">#REF!</definedName>
    <definedName name="venu">150</definedName>
    <definedName name="vertical_col_and_corner_walls" localSheetId="2">#REF!</definedName>
    <definedName name="vertical_col_and_corner_walls">#REF!</definedName>
    <definedName name="VertPltWt">#REF!</definedName>
    <definedName name="VESWH" localSheetId="2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chjgiulhviguihij">#REF!</definedName>
    <definedName name="vggfd" localSheetId="2" hidden="1">{"'Sheet1'!$A$4386:$N$4591"}</definedName>
    <definedName name="vggfd" localSheetId="6" hidden="1">{"'Sheet1'!$A$4386:$N$4591"}</definedName>
    <definedName name="vggfd" localSheetId="0" hidden="1">{"'Sheet1'!$A$4386:$N$4591"}</definedName>
    <definedName name="vggfd" hidden="1">{"'Sheet1'!$A$4386:$N$4591"}</definedName>
    <definedName name="vgwer">#REF!</definedName>
    <definedName name="view" localSheetId="0" hidden="1">{"'PROFITABILITY'!$A$1:$F$45"}</definedName>
    <definedName name="view" hidden="1">{"'PROFITABILITY'!$A$1:$F$45"}</definedName>
    <definedName name="vij">#REF!</definedName>
    <definedName name="VIVEKANANDA">#REF!</definedName>
    <definedName name="viz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ef">#REF!</definedName>
    <definedName name="vrr">#REF!</definedName>
    <definedName name="vs" localSheetId="2" hidden="1">{"'PROFITABILITY'!$A$1:$F$45"}</definedName>
    <definedName name="vs" localSheetId="6" hidden="1">{"'PROFITABILITY'!$A$1:$F$45"}</definedName>
    <definedName name="vs" localSheetId="0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#REF!</definedName>
    <definedName name="vwo">#REF!</definedName>
    <definedName name="Vz">#REF!</definedName>
    <definedName name="w">#REF!</definedName>
    <definedName name="w1_w2">#REF!</definedName>
    <definedName name="WAHAB_ALI">#REF!</definedName>
    <definedName name="Waiting">"Picture 1"</definedName>
    <definedName name="wallht">#REF!</definedName>
    <definedName name="wallthk">#REF!</definedName>
    <definedName name="Water">#REF!</definedName>
    <definedName name="water_funds" localSheetId="2" hidden="1">{"'Sheet1'!$A$4386:$N$4591"}</definedName>
    <definedName name="water_funds" localSheetId="6" hidden="1">{"'Sheet1'!$A$4386:$N$4591"}</definedName>
    <definedName name="water_funds" localSheetId="0" hidden="1">{"'Sheet1'!$A$4386:$N$4591"}</definedName>
    <definedName name="water_funds" hidden="1">{"'Sheet1'!$A$4386:$N$4591"}</definedName>
    <definedName name="Wc">#REF!</definedName>
    <definedName name="wcl">#REF!</definedName>
    <definedName name="WCT">#REF!</definedName>
    <definedName name="wdwewe">#REF!</definedName>
    <definedName name="we">#REF!</definedName>
    <definedName name="WEIGHT_FACTORS_drums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2">#REF!</definedName>
    <definedName name="wer" localSheetId="6" hidden="1">{"form-D1",#N/A,FALSE,"FORM-D1";"form-D1_amt",#N/A,FALSE,"FORM-D1"}</definedName>
    <definedName name="wer" localSheetId="0" hidden="1">{"form-D1",#N/A,FALSE,"FORM-D1";"form-D1_amt",#N/A,FALSE,"FORM-D1"}</definedName>
    <definedName name="wer" hidden="1">{"form-D1",#N/A,FALSE,"FORM-D1";"form-D1_amt",#N/A,FALSE,"FORM-D1"}</definedName>
    <definedName name="wertt" localSheetId="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erwere" localSheetId="2" hidden="1">#REF!</definedName>
    <definedName name="werwere" hidden="1">#REF!</definedName>
    <definedName name="wewe">#REF!</definedName>
    <definedName name="WFR" localSheetId="2">#REF!</definedName>
    <definedName name="WFR">#REF!</definedName>
    <definedName name="Wg" localSheetId="2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d_pressure">#REF!</definedName>
    <definedName name="Winform">#REF!</definedName>
    <definedName name="wkarea">#REF!</definedName>
    <definedName name="WKS">#REF!</definedName>
    <definedName name="wktable">#REF!</definedName>
    <definedName name="WLP">#REF!</definedName>
    <definedName name="Wm_50_kg">#REF!</definedName>
    <definedName name="Wm_70_kg">#REF!</definedName>
    <definedName name="wndf">#REF!</definedName>
    <definedName name="WOL">#REF!</definedName>
    <definedName name="women">#REF!</definedName>
    <definedName name="word">#REF!</definedName>
    <definedName name="wordings">#REF!</definedName>
    <definedName name="work">#REF!</definedName>
    <definedName name="WORKCAPTAL_BGT2">#REF!</definedName>
    <definedName name="WORKING_BGT2">#REF!</definedName>
    <definedName name="WP">#REF!</definedName>
    <definedName name="WQEW">#REF!</definedName>
    <definedName name="wqewe">#REF!</definedName>
    <definedName name="wqwqe">#REF!</definedName>
    <definedName name="wqwrwrqwrqr">#REF!</definedName>
    <definedName name="wr" localSheetId="2" hidden="1">{#N/A,#N/A,FALSE,"COVER1.XLS ";#N/A,#N/A,FALSE,"RACT1.XLS";#N/A,#N/A,FALSE,"RACT2.XLS";#N/A,#N/A,FALSE,"ECCMP";#N/A,#N/A,FALSE,"WELDER.XLS"}</definedName>
    <definedName name="wr" localSheetId="6" hidden="1">{#N/A,#N/A,FALSE,"COVER1.XLS ";#N/A,#N/A,FALSE,"RACT1.XLS";#N/A,#N/A,FALSE,"RACT2.XLS";#N/A,#N/A,FALSE,"ECCMP";#N/A,#N/A,FALSE,"WELDER.XLS"}</definedName>
    <definedName name="wr" localSheetId="0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ITE" localSheetId="0" hidden="1">{#N/A,#N/A,FALSE,"CCTV"}</definedName>
    <definedName name="WRITE" hidden="1">{#N/A,#N/A,FALSE,"CCTV"}</definedName>
    <definedName name="wrn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2" hidden="1">{#N/A,#N/A,FALSE,"17MAY";#N/A,#N/A,FALSE,"24MAY"}</definedName>
    <definedName name="wrn.1." localSheetId="6" hidden="1">{#N/A,#N/A,FALSE,"17MAY";#N/A,#N/A,FALSE,"24MAY"}</definedName>
    <definedName name="wrn.1." localSheetId="0" hidden="1">{#N/A,#N/A,FALSE,"17MAY";#N/A,#N/A,FALSE,"24MAY"}</definedName>
    <definedName name="wrn.1." hidden="1">{#N/A,#N/A,FALSE,"17MAY";#N/A,#N/A,FALSE,"24MAY"}</definedName>
    <definedName name="wrn.BM." localSheetId="0" hidden="1">{#N/A,#N/A,FALSE,"CCTV"}</definedName>
    <definedName name="wrn.BM." hidden="1">{#N/A,#N/A,FALSE,"CCTV"}</definedName>
    <definedName name="wrn.budget." localSheetId="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0" hidden="1">{"form-D1",#N/A,FALSE,"FORM-D1";"form-D1_amt",#N/A,FALSE,"FORM-D1"}</definedName>
    <definedName name="wrn.budget." hidden="1">{"form-D1",#N/A,FALSE,"FORM-D1";"form-D1_amt",#N/A,FALSE,"FORM-D1"}</definedName>
    <definedName name="wrn.Co." localSheetId="2" hidden="1">{#N/A,#N/A,TRUE,"GW-Cond";#N/A,#N/A,TRUE,"HW"}</definedName>
    <definedName name="wrn.Co." localSheetId="6" hidden="1">{#N/A,#N/A,TRUE,"GW-Cond";#N/A,#N/A,TRUE,"HW"}</definedName>
    <definedName name="wrn.Co." localSheetId="0" hidden="1">{#N/A,#N/A,TRUE,"GW-Cond";#N/A,#N/A,TRUE,"HW"}</definedName>
    <definedName name="wrn.Co." hidden="1">{#N/A,#N/A,TRUE,"GW-Cond";#N/A,#N/A,TRUE,"HW"}</definedName>
    <definedName name="wrn.consumable.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Monthly._.Report." localSheetId="0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2" hidden="1">{#N/A,#N/A,FALSE,"Motor List"}</definedName>
    <definedName name="wrn.test." localSheetId="6" hidden="1">{#N/A,#N/A,FALSE,"Motor List"}</definedName>
    <definedName name="wrn.test." localSheetId="0" hidden="1">{#N/A,#N/A,FALSE,"Motor List"}</definedName>
    <definedName name="wrn.test." hidden="1">{#N/A,#N/A,FALSE,"Motor List"}</definedName>
    <definedName name="WT">#REF!</definedName>
    <definedName name="wt.m" localSheetId="2">#REF!</definedName>
    <definedName name="wt.m">#REF!</definedName>
    <definedName name="wu">#REF!</definedName>
    <definedName name="ww" localSheetId="2">#REF!</definedName>
    <definedName name="ww">#REF!</definedName>
    <definedName name="www" localSheetId="2">#REF!</definedName>
    <definedName name="www">#REF!</definedName>
    <definedName name="wwww" hidden="1">#REF!</definedName>
    <definedName name="X">#REF!</definedName>
    <definedName name="X_1">"#REF!"</definedName>
    <definedName name="X_2">"#REF!"</definedName>
    <definedName name="X0G">#REF!</definedName>
    <definedName name="x1byr1" localSheetId="2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localSheetId="2" hidden="1">{"form-D1",#N/A,FALSE,"FORM-D1";"form-D1_amt",#N/A,FALSE,"FORM-D1"}</definedName>
    <definedName name="xc" localSheetId="6" hidden="1">{"form-D1",#N/A,FALSE,"FORM-D1";"form-D1_amt",#N/A,FALSE,"FORM-D1"}</definedName>
    <definedName name="xc" localSheetId="0" hidden="1">{"form-D1",#N/A,FALSE,"FORM-D1";"form-D1_amt",#N/A,FALSE,"FORM-D1"}</definedName>
    <definedName name="xc" hidden="1">{"form-D1",#N/A,FALSE,"FORM-D1";"form-D1_amt",#N/A,FALSE,"FORM-D1"}</definedName>
    <definedName name="xd">#REF!</definedName>
    <definedName name="Xl" localSheetId="2">#REF!</definedName>
    <definedName name="Xl">#REF!</definedName>
    <definedName name="Xl___0" localSheetId="2">#REF!</definedName>
    <definedName name="Xl___0">#REF!</definedName>
    <definedName name="Xl___13" localSheetId="2">#REF!</definedName>
    <definedName name="Xl___13">#REF!</definedName>
    <definedName name="Xm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 localSheetId="2">#REF!</definedName>
    <definedName name="xs">#REF!</definedName>
    <definedName name="Xso" localSheetId="2">#REF!</definedName>
    <definedName name="Xso">#REF!</definedName>
    <definedName name="xt" localSheetId="2">#REF!</definedName>
    <definedName name="xt">#REF!</definedName>
    <definedName name="xx">#REF!</definedName>
    <definedName name="xxh02">#REF!</definedName>
    <definedName name="xxh03">#REF!</definedName>
    <definedName name="XXX">#REF!</definedName>
    <definedName name="XXXX">#REF!</definedName>
    <definedName name="XXXXX">#REF!</definedName>
    <definedName name="xyz">#REF!</definedName>
    <definedName name="xzq">#REF!</definedName>
    <definedName name="XZZ">#REF!</definedName>
    <definedName name="Y">#REF!</definedName>
    <definedName name="y_strainer">#REF!</definedName>
    <definedName name="Y0">#REF!</definedName>
    <definedName name="yearcounter_E2">#REF!</definedName>
    <definedName name="YEN">#REF!</definedName>
    <definedName name="YG">#REF!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2" hidden="1">{"'PROFITABILITY'!$A$1:$F$45"}</definedName>
    <definedName name="yyy" localSheetId="6" hidden="1">{"'PROFITABILITY'!$A$1:$F$45"}</definedName>
    <definedName name="yyy" localSheetId="0" hidden="1">{"'PROFITABILITY'!$A$1:$F$45"}</definedName>
    <definedName name="yyy" hidden="1">{"'PROFITABILITY'!$A$1:$F$45"}</definedName>
    <definedName name="yyy1" localSheetId="2" hidden="1">{"'PROFITABILITY'!$A$1:$F$45"}</definedName>
    <definedName name="yyy1" localSheetId="6" hidden="1">{"'PROFITABILITY'!$A$1:$F$45"}</definedName>
    <definedName name="yyy1" localSheetId="0" hidden="1">{"'PROFITABILITY'!$A$1:$F$45"}</definedName>
    <definedName name="yyy1" hidden="1">{"'PROFITABILITY'!$A$1:$F$45"}</definedName>
    <definedName name="yyyyyyyyyyy">#REF!</definedName>
    <definedName name="z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0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0">#REF!,#REF!,#REF!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#N/A</definedName>
    <definedName name="단가비교표">#REF!,#REF!</definedName>
    <definedName name="도면외주" hidden="1">#REF!</definedName>
    <definedName name="도면용역비" hidden="1">#REF!</definedName>
    <definedName name="리리리">#REF!,#REF!,#REF!</definedName>
    <definedName name="ㅁ1">#REF!</definedName>
    <definedName name="버티">#N/A</definedName>
    <definedName name="부대공사" hidden="1">#REF!</definedName>
    <definedName name="사외">#REF!</definedName>
    <definedName name="사진">#REF!</definedName>
    <definedName name="소모비">#REF!</definedName>
    <definedName name="ㅇ191">#REF!</definedName>
    <definedName name="약수">#N/A</definedName>
    <definedName name="원가">#REF!</definedName>
    <definedName name="월별영업">#REF!</definedName>
    <definedName name="인원">#REF!</definedName>
    <definedName name="일위">#REF!,#REF!</definedName>
    <definedName name="임용태">#N/A</definedName>
    <definedName name="작업계획">#REF!</definedName>
    <definedName name="전">#REF!</definedName>
    <definedName name="전계장금액" hidden="1">#REF!</definedName>
    <definedName name="전기계장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0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0" hidden="1">{"'장비'!$A$3:$M$12"}</definedName>
    <definedName name="토목변경" hidden="1">{"'장비'!$A$3:$M$12"}</definedName>
    <definedName name="토목실행예산" localSheetId="0" hidden="1">{"'장비'!$A$3:$M$12"}</definedName>
    <definedName name="토목실행예산" hidden="1">{"'장비'!$A$3:$M$12"}</definedName>
    <definedName name="토목조정분" localSheetId="0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pivotCaches>
    <pivotCache cacheId="0" r:id="rId22"/>
    <pivotCache cacheId="1" r:id="rId23"/>
    <pivotCache cacheId="2" r:id="rId24"/>
    <pivotCache cacheId="3" r:id="rId2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1_ec2d6739-0fec-46c6-aef8-6e04ed01f918" name="Table002  Page 1" connection="Query - Table002 (Page 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7" i="36" l="1"/>
  <c r="M217" i="36"/>
  <c r="AH209" i="36"/>
  <c r="AZ3" i="36"/>
  <c r="AK211" i="36"/>
  <c r="AK210" i="36"/>
  <c r="AK208" i="36"/>
  <c r="L8" i="34"/>
  <c r="L6" i="34"/>
  <c r="K12" i="34"/>
  <c r="K11" i="34"/>
  <c r="J12" i="34"/>
  <c r="H11" i="34"/>
  <c r="E12" i="34"/>
  <c r="H10" i="34"/>
  <c r="J10" i="34" s="1"/>
  <c r="K10" i="34" s="1"/>
  <c r="O10" i="13"/>
  <c r="F15" i="13"/>
  <c r="AE204" i="36"/>
  <c r="AK204" i="36" s="1"/>
  <c r="AH203" i="36"/>
  <c r="AE203" i="36"/>
  <c r="E10" i="34"/>
  <c r="D8" i="34"/>
  <c r="D7" i="34"/>
  <c r="D6" i="34"/>
  <c r="Q4" i="13"/>
  <c r="O4" i="13"/>
  <c r="E1" i="34"/>
  <c r="O217" i="36"/>
  <c r="BB182" i="36"/>
  <c r="BB174" i="36"/>
  <c r="BB166" i="36"/>
  <c r="BB158" i="36"/>
  <c r="BB150" i="36"/>
  <c r="BB142" i="36"/>
  <c r="BB134" i="36"/>
  <c r="BB126" i="36"/>
  <c r="BB118" i="36"/>
  <c r="BB110" i="36"/>
  <c r="BB102" i="36"/>
  <c r="BB94" i="36"/>
  <c r="BB86" i="36"/>
  <c r="BB78" i="36"/>
  <c r="BB70" i="36"/>
  <c r="BB62" i="36"/>
  <c r="BB54" i="36"/>
  <c r="BB46" i="36"/>
  <c r="BB38" i="36"/>
  <c r="BB30" i="36"/>
  <c r="BB22" i="36"/>
  <c r="BB14" i="36"/>
  <c r="BB6" i="36"/>
  <c r="BA3" i="36"/>
  <c r="AY3" i="36"/>
  <c r="L217" i="36" s="1"/>
  <c r="AX3" i="36"/>
  <c r="K217" i="36" s="1"/>
  <c r="AH207" i="36" s="1"/>
  <c r="AK207" i="36" s="1"/>
  <c r="AW3" i="36"/>
  <c r="J217" i="36" s="1"/>
  <c r="AH206" i="36" s="1"/>
  <c r="AK206" i="36" s="1"/>
  <c r="AV3" i="36"/>
  <c r="I217" i="36" s="1"/>
  <c r="AH205" i="36" s="1"/>
  <c r="AK205" i="36" s="1"/>
  <c r="A1" i="36"/>
  <c r="AK203" i="36" l="1"/>
  <c r="AH208" i="36"/>
  <c r="M8" i="13"/>
  <c r="BB3" i="36"/>
  <c r="M7" i="13"/>
  <c r="M9" i="13"/>
  <c r="G267" i="33"/>
  <c r="G260" i="33"/>
  <c r="G258" i="33"/>
  <c r="G256" i="33"/>
  <c r="H1" i="33" l="1"/>
  <c r="G273" i="33"/>
  <c r="G272" i="33"/>
  <c r="G271" i="33"/>
  <c r="G270" i="33"/>
  <c r="G269" i="33"/>
  <c r="G268" i="33"/>
  <c r="G266" i="33"/>
  <c r="G262" i="33"/>
  <c r="G1" i="33" s="1"/>
  <c r="E211" i="16"/>
  <c r="F211" i="16"/>
  <c r="E210" i="16"/>
  <c r="F210" i="16"/>
  <c r="F207" i="16"/>
  <c r="E207" i="16"/>
  <c r="E178" i="16"/>
  <c r="E208" i="16"/>
  <c r="E204" i="16"/>
  <c r="E188" i="16"/>
  <c r="E205" i="16"/>
  <c r="E195" i="16"/>
  <c r="E193" i="16"/>
  <c r="E190" i="16"/>
  <c r="E209" i="16"/>
  <c r="E206" i="16"/>
  <c r="E203" i="16"/>
  <c r="E202" i="16"/>
  <c r="E201" i="16"/>
  <c r="E200" i="16"/>
  <c r="E199" i="16"/>
  <c r="E198" i="16"/>
  <c r="E197" i="16"/>
  <c r="E196" i="16"/>
  <c r="E194" i="16"/>
  <c r="E192" i="16"/>
  <c r="E191" i="16"/>
  <c r="E189" i="16"/>
  <c r="E187" i="16"/>
  <c r="E186" i="16"/>
  <c r="E185" i="16"/>
  <c r="E184" i="16"/>
  <c r="F178" i="16"/>
  <c r="F208" i="16"/>
  <c r="F204" i="16"/>
  <c r="F188" i="16"/>
  <c r="E1" i="16" l="1"/>
  <c r="F206" i="16" l="1"/>
  <c r="F203" i="16"/>
  <c r="F202" i="16"/>
  <c r="F201" i="16"/>
  <c r="F199" i="16"/>
  <c r="F198" i="16"/>
  <c r="F196" i="16"/>
  <c r="F194" i="16"/>
  <c r="F192" i="16"/>
  <c r="F191" i="16"/>
  <c r="F189" i="16"/>
  <c r="F186" i="16"/>
  <c r="F185" i="16"/>
  <c r="F184" i="16"/>
  <c r="F1" i="16" l="1"/>
  <c r="C4" i="35" l="1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3" i="35"/>
  <c r="AH208" i="30"/>
  <c r="L217" i="30"/>
  <c r="J14" i="34"/>
  <c r="J13" i="34"/>
  <c r="C13" i="34"/>
  <c r="C14" i="34" s="1"/>
  <c r="E14" i="34" s="1"/>
  <c r="K14" i="34" s="1"/>
  <c r="J11" i="34"/>
  <c r="E11" i="34"/>
  <c r="J9" i="34"/>
  <c r="E9" i="34"/>
  <c r="K9" i="34" l="1"/>
  <c r="O9" i="34"/>
  <c r="E13" i="34"/>
  <c r="K13" i="34" s="1"/>
  <c r="I13" i="19" l="1"/>
  <c r="J39" i="34"/>
  <c r="C28" i="34" l="1"/>
  <c r="B28" i="34"/>
  <c r="E24" i="34"/>
  <c r="C24" i="34"/>
  <c r="C20" i="34"/>
  <c r="O11" i="34"/>
  <c r="E8" i="34"/>
  <c r="A24" i="34" s="1"/>
  <c r="E7" i="34"/>
  <c r="E6" i="34"/>
  <c r="A20" i="34" s="1"/>
  <c r="J5" i="34"/>
  <c r="O5" i="34" s="1"/>
  <c r="E5" i="34"/>
  <c r="F5" i="34" s="1"/>
  <c r="C188" i="16"/>
  <c r="C189" i="16"/>
  <c r="C190" i="16"/>
  <c r="C191" i="16"/>
  <c r="C192" i="16"/>
  <c r="C193" i="16"/>
  <c r="C185" i="16"/>
  <c r="C186" i="16"/>
  <c r="C187" i="16"/>
  <c r="C178" i="16"/>
  <c r="C179" i="16"/>
  <c r="C180" i="16"/>
  <c r="C181" i="16"/>
  <c r="C182" i="16"/>
  <c r="C183" i="16"/>
  <c r="C184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3" i="16"/>
  <c r="O13" i="34" l="1"/>
  <c r="K5" i="34"/>
  <c r="A28" i="34"/>
  <c r="AX3" i="30"/>
  <c r="L8" i="13"/>
  <c r="L7" i="13"/>
  <c r="G8" i="19"/>
  <c r="N217" i="30"/>
  <c r="M217" i="30"/>
  <c r="O14" i="34" l="1"/>
  <c r="AW3" i="30"/>
  <c r="K8" i="13" l="1"/>
  <c r="H7" i="34" s="1"/>
  <c r="J7" i="34" s="1"/>
  <c r="J217" i="30"/>
  <c r="AH206" i="30" s="1"/>
  <c r="K7" i="34" l="1"/>
  <c r="O7" i="34"/>
  <c r="K9" i="13"/>
  <c r="H8" i="34" s="1"/>
  <c r="K217" i="30"/>
  <c r="AH207" i="30" s="1"/>
  <c r="AK207" i="30" s="1"/>
  <c r="AK210" i="30"/>
  <c r="AK209" i="30"/>
  <c r="AK208" i="30"/>
  <c r="AK206" i="30"/>
  <c r="AK204" i="30"/>
  <c r="AK203" i="30"/>
  <c r="BA182" i="30"/>
  <c r="BA174" i="30"/>
  <c r="BA166" i="30"/>
  <c r="BA158" i="30"/>
  <c r="BA150" i="30"/>
  <c r="BA142" i="30"/>
  <c r="BA134" i="30"/>
  <c r="BA126" i="30"/>
  <c r="BA118" i="30"/>
  <c r="BA110" i="30"/>
  <c r="BA102" i="30"/>
  <c r="BA94" i="30"/>
  <c r="BA86" i="30"/>
  <c r="BA78" i="30"/>
  <c r="BA70" i="30"/>
  <c r="BA62" i="30"/>
  <c r="BA54" i="30"/>
  <c r="BA46" i="30"/>
  <c r="BA38" i="30"/>
  <c r="BA30" i="30"/>
  <c r="BA22" i="30"/>
  <c r="BA14" i="30"/>
  <c r="BA6" i="30"/>
  <c r="AZ3" i="30"/>
  <c r="AY3" i="30"/>
  <c r="A1" i="30"/>
  <c r="B24" i="34" l="1"/>
  <c r="J8" i="34"/>
  <c r="BA3" i="30"/>
  <c r="R641" i="28"/>
  <c r="Q641" i="28"/>
  <c r="P641" i="28"/>
  <c r="O641" i="28"/>
  <c r="N641" i="28"/>
  <c r="M641" i="28"/>
  <c r="L641" i="28"/>
  <c r="K641" i="28"/>
  <c r="J641" i="28"/>
  <c r="I641" i="28"/>
  <c r="R640" i="28"/>
  <c r="Q640" i="28"/>
  <c r="P640" i="28"/>
  <c r="O640" i="28"/>
  <c r="N640" i="28"/>
  <c r="M640" i="28"/>
  <c r="L640" i="28"/>
  <c r="K640" i="28"/>
  <c r="J640" i="28"/>
  <c r="I640" i="28"/>
  <c r="R639" i="28"/>
  <c r="Q639" i="28"/>
  <c r="P639" i="28"/>
  <c r="O639" i="28"/>
  <c r="N639" i="28"/>
  <c r="M639" i="28"/>
  <c r="L639" i="28"/>
  <c r="K639" i="28"/>
  <c r="J639" i="28"/>
  <c r="I639" i="28"/>
  <c r="R638" i="28"/>
  <c r="Q638" i="28"/>
  <c r="P638" i="28"/>
  <c r="O638" i="28"/>
  <c r="N638" i="28"/>
  <c r="M638" i="28"/>
  <c r="L638" i="28"/>
  <c r="K638" i="28"/>
  <c r="J638" i="28"/>
  <c r="I638" i="28"/>
  <c r="R637" i="28"/>
  <c r="Q637" i="28"/>
  <c r="P637" i="28"/>
  <c r="O637" i="28"/>
  <c r="N637" i="28"/>
  <c r="M637" i="28"/>
  <c r="L637" i="28"/>
  <c r="K637" i="28"/>
  <c r="J637" i="28"/>
  <c r="I637" i="28"/>
  <c r="R636" i="28"/>
  <c r="Q636" i="28"/>
  <c r="P636" i="28"/>
  <c r="O636" i="28"/>
  <c r="N636" i="28"/>
  <c r="M636" i="28"/>
  <c r="L636" i="28"/>
  <c r="K636" i="28"/>
  <c r="J636" i="28"/>
  <c r="I636" i="28"/>
  <c r="R635" i="28"/>
  <c r="Q635" i="28"/>
  <c r="P635" i="28"/>
  <c r="O635" i="28"/>
  <c r="N635" i="28"/>
  <c r="M635" i="28"/>
  <c r="L635" i="28"/>
  <c r="K635" i="28"/>
  <c r="J635" i="28"/>
  <c r="I635" i="28"/>
  <c r="G626" i="28"/>
  <c r="K624" i="28"/>
  <c r="L624" i="28" s="1"/>
  <c r="K622" i="28"/>
  <c r="L622" i="28" s="1"/>
  <c r="K620" i="28"/>
  <c r="L620" i="28" s="1"/>
  <c r="K618" i="28"/>
  <c r="L618" i="28" s="1"/>
  <c r="G618" i="28"/>
  <c r="K616" i="28"/>
  <c r="L616" i="28" s="1"/>
  <c r="K614" i="28"/>
  <c r="L614" i="28" s="1"/>
  <c r="K612" i="28"/>
  <c r="L612" i="28" s="1"/>
  <c r="K610" i="28"/>
  <c r="L610" i="28" s="1"/>
  <c r="K608" i="28"/>
  <c r="L608" i="28" s="1"/>
  <c r="K606" i="28"/>
  <c r="L606" i="28" s="1"/>
  <c r="K604" i="28"/>
  <c r="L604" i="28" s="1"/>
  <c r="K602" i="28"/>
  <c r="L602" i="28" s="1"/>
  <c r="K600" i="28"/>
  <c r="L600" i="28" s="1"/>
  <c r="G600" i="28"/>
  <c r="K598" i="28"/>
  <c r="L598" i="28" s="1"/>
  <c r="K596" i="28"/>
  <c r="L596" i="28" s="1"/>
  <c r="K594" i="28"/>
  <c r="L594" i="28" s="1"/>
  <c r="K592" i="28"/>
  <c r="L592" i="28" s="1"/>
  <c r="K590" i="28"/>
  <c r="L590" i="28" s="1"/>
  <c r="K588" i="28"/>
  <c r="L588" i="28" s="1"/>
  <c r="K586" i="28"/>
  <c r="L586" i="28" s="1"/>
  <c r="K584" i="28"/>
  <c r="L584" i="28" s="1"/>
  <c r="K582" i="28"/>
  <c r="L582" i="28" s="1"/>
  <c r="K580" i="28"/>
  <c r="L580" i="28" s="1"/>
  <c r="K578" i="28"/>
  <c r="L578" i="28" s="1"/>
  <c r="K576" i="28"/>
  <c r="L576" i="28" s="1"/>
  <c r="G576" i="28"/>
  <c r="K574" i="28"/>
  <c r="L574" i="28" s="1"/>
  <c r="K572" i="28"/>
  <c r="L572" i="28" s="1"/>
  <c r="G572" i="28"/>
  <c r="K570" i="28"/>
  <c r="L570" i="28" s="1"/>
  <c r="K568" i="28"/>
  <c r="L568" i="28" s="1"/>
  <c r="K566" i="28"/>
  <c r="L566" i="28" s="1"/>
  <c r="K564" i="28"/>
  <c r="L564" i="28" s="1"/>
  <c r="G564" i="28"/>
  <c r="K562" i="28"/>
  <c r="L562" i="28" s="1"/>
  <c r="G562" i="28"/>
  <c r="G558" i="28"/>
  <c r="G556" i="28"/>
  <c r="K552" i="28"/>
  <c r="L552" i="28" s="1"/>
  <c r="G552" i="28"/>
  <c r="G524" i="28"/>
  <c r="G520" i="28"/>
  <c r="G518" i="28"/>
  <c r="G516" i="28"/>
  <c r="F511" i="28"/>
  <c r="F509" i="28"/>
  <c r="K508" i="28" s="1"/>
  <c r="L508" i="28" s="1"/>
  <c r="K506" i="28"/>
  <c r="L506" i="28" s="1"/>
  <c r="K504" i="28"/>
  <c r="L504" i="28" s="1"/>
  <c r="K502" i="28"/>
  <c r="L502" i="28" s="1"/>
  <c r="G502" i="28"/>
  <c r="K500" i="28"/>
  <c r="L500" i="28" s="1"/>
  <c r="K498" i="28"/>
  <c r="L498" i="28" s="1"/>
  <c r="K496" i="28"/>
  <c r="L496" i="28" s="1"/>
  <c r="K494" i="28"/>
  <c r="L494" i="28" s="1"/>
  <c r="K492" i="28"/>
  <c r="L492" i="28" s="1"/>
  <c r="K490" i="28"/>
  <c r="L490" i="28" s="1"/>
  <c r="K488" i="28"/>
  <c r="L488" i="28" s="1"/>
  <c r="G488" i="28"/>
  <c r="K486" i="28"/>
  <c r="L486" i="28" s="1"/>
  <c r="K484" i="28"/>
  <c r="L484" i="28" s="1"/>
  <c r="K482" i="28"/>
  <c r="L482" i="28" s="1"/>
  <c r="K480" i="28"/>
  <c r="L480" i="28" s="1"/>
  <c r="K478" i="28"/>
  <c r="L478" i="28" s="1"/>
  <c r="K476" i="28"/>
  <c r="L476" i="28" s="1"/>
  <c r="K474" i="28"/>
  <c r="L474" i="28" s="1"/>
  <c r="K472" i="28"/>
  <c r="L472" i="28" s="1"/>
  <c r="K470" i="28"/>
  <c r="L470" i="28" s="1"/>
  <c r="K468" i="28"/>
  <c r="L468" i="28" s="1"/>
  <c r="G468" i="28"/>
  <c r="K466" i="28"/>
  <c r="L466" i="28" s="1"/>
  <c r="K464" i="28"/>
  <c r="L464" i="28" s="1"/>
  <c r="K462" i="28"/>
  <c r="L462" i="28" s="1"/>
  <c r="K460" i="28"/>
  <c r="L460" i="28" s="1"/>
  <c r="K458" i="28"/>
  <c r="L458" i="28" s="1"/>
  <c r="K456" i="28"/>
  <c r="L456" i="28" s="1"/>
  <c r="K454" i="28"/>
  <c r="L454" i="28" s="1"/>
  <c r="K452" i="28"/>
  <c r="L452" i="28" s="1"/>
  <c r="K450" i="28"/>
  <c r="L450" i="28" s="1"/>
  <c r="K448" i="28"/>
  <c r="L448" i="28" s="1"/>
  <c r="K446" i="28"/>
  <c r="L446" i="28" s="1"/>
  <c r="G416" i="28"/>
  <c r="K414" i="28"/>
  <c r="L414" i="28" s="1"/>
  <c r="K412" i="28"/>
  <c r="L412" i="28" s="1"/>
  <c r="K410" i="28"/>
  <c r="L410" i="28" s="1"/>
  <c r="G410" i="28"/>
  <c r="K408" i="28"/>
  <c r="L408" i="28" s="1"/>
  <c r="G408" i="28"/>
  <c r="K406" i="28"/>
  <c r="L406" i="28" s="1"/>
  <c r="G406" i="28"/>
  <c r="K404" i="28"/>
  <c r="L404" i="28" s="1"/>
  <c r="G404" i="28"/>
  <c r="K402" i="28"/>
  <c r="L402" i="28" s="1"/>
  <c r="K400" i="28"/>
  <c r="L400" i="28" s="1"/>
  <c r="K398" i="28"/>
  <c r="L398" i="28" s="1"/>
  <c r="K396" i="28"/>
  <c r="L396" i="28" s="1"/>
  <c r="K394" i="28"/>
  <c r="L394" i="28" s="1"/>
  <c r="K392" i="28"/>
  <c r="L392" i="28" s="1"/>
  <c r="K390" i="28"/>
  <c r="L390" i="28" s="1"/>
  <c r="K388" i="28"/>
  <c r="L388" i="28" s="1"/>
  <c r="K386" i="28"/>
  <c r="L386" i="28" s="1"/>
  <c r="G386" i="28"/>
  <c r="K384" i="28"/>
  <c r="L384" i="28" s="1"/>
  <c r="K382" i="28"/>
  <c r="L382" i="28" s="1"/>
  <c r="K380" i="28"/>
  <c r="L380" i="28" s="1"/>
  <c r="K378" i="28"/>
  <c r="L378" i="28" s="1"/>
  <c r="G378" i="28"/>
  <c r="K376" i="28"/>
  <c r="L376" i="28" s="1"/>
  <c r="K374" i="28"/>
  <c r="L374" i="28" s="1"/>
  <c r="K372" i="28"/>
  <c r="L372" i="28" s="1"/>
  <c r="K370" i="28"/>
  <c r="L370" i="28" s="1"/>
  <c r="K368" i="28"/>
  <c r="L368" i="28" s="1"/>
  <c r="K366" i="28"/>
  <c r="L366" i="28" s="1"/>
  <c r="K364" i="28"/>
  <c r="L364" i="28" s="1"/>
  <c r="K362" i="28"/>
  <c r="L362" i="28" s="1"/>
  <c r="K360" i="28"/>
  <c r="L360" i="28" s="1"/>
  <c r="K358" i="28"/>
  <c r="L358" i="28" s="1"/>
  <c r="K356" i="28"/>
  <c r="L356" i="28" s="1"/>
  <c r="K354" i="28"/>
  <c r="L354" i="28" s="1"/>
  <c r="G354" i="28"/>
  <c r="K352" i="28"/>
  <c r="L352" i="28" s="1"/>
  <c r="K350" i="28"/>
  <c r="L350" i="28" s="1"/>
  <c r="K348" i="28"/>
  <c r="L348" i="28" s="1"/>
  <c r="K346" i="28"/>
  <c r="L346" i="28" s="1"/>
  <c r="K344" i="28"/>
  <c r="L344" i="28" s="1"/>
  <c r="K342" i="28"/>
  <c r="L342" i="28" s="1"/>
  <c r="K340" i="28"/>
  <c r="L340" i="28" s="1"/>
  <c r="K338" i="28"/>
  <c r="L338" i="28" s="1"/>
  <c r="K336" i="28"/>
  <c r="L336" i="28" s="1"/>
  <c r="G336" i="28"/>
  <c r="K334" i="28"/>
  <c r="L334" i="28" s="1"/>
  <c r="G334" i="28"/>
  <c r="K332" i="28"/>
  <c r="L332" i="28" s="1"/>
  <c r="K330" i="28"/>
  <c r="L330" i="28" s="1"/>
  <c r="K328" i="28"/>
  <c r="L328" i="28" s="1"/>
  <c r="K326" i="28"/>
  <c r="L326" i="28" s="1"/>
  <c r="K324" i="28"/>
  <c r="L324" i="28" s="1"/>
  <c r="K322" i="28"/>
  <c r="L322" i="28" s="1"/>
  <c r="K320" i="28"/>
  <c r="L320" i="28" s="1"/>
  <c r="R318" i="28"/>
  <c r="O318" i="28"/>
  <c r="K318" i="28"/>
  <c r="L318" i="28" s="1"/>
  <c r="R316" i="28"/>
  <c r="O316" i="28"/>
  <c r="K316" i="28"/>
  <c r="L316" i="28" s="1"/>
  <c r="G316" i="28"/>
  <c r="K314" i="28"/>
  <c r="L314" i="28" s="1"/>
  <c r="G314" i="28"/>
  <c r="K312" i="28"/>
  <c r="L312" i="28" s="1"/>
  <c r="K310" i="28"/>
  <c r="L310" i="28" s="1"/>
  <c r="K308" i="28"/>
  <c r="L308" i="28" s="1"/>
  <c r="K306" i="28"/>
  <c r="L306" i="28" s="1"/>
  <c r="G306" i="28"/>
  <c r="K304" i="28"/>
  <c r="L304" i="28" s="1"/>
  <c r="G304" i="28"/>
  <c r="K302" i="28"/>
  <c r="L302" i="28" s="1"/>
  <c r="K300" i="28"/>
  <c r="L300" i="28" s="1"/>
  <c r="K298" i="28"/>
  <c r="L298" i="28" s="1"/>
  <c r="K296" i="28"/>
  <c r="L296" i="28" s="1"/>
  <c r="K294" i="28"/>
  <c r="L294" i="28" s="1"/>
  <c r="K292" i="28"/>
  <c r="L292" i="28" s="1"/>
  <c r="K290" i="28"/>
  <c r="L290" i="28" s="1"/>
  <c r="G290" i="28"/>
  <c r="K288" i="28"/>
  <c r="L288" i="28" s="1"/>
  <c r="G288" i="28"/>
  <c r="F285" i="28"/>
  <c r="F283" i="28"/>
  <c r="K284" i="28" s="1"/>
  <c r="L284" i="28" s="1"/>
  <c r="K280" i="28"/>
  <c r="L280" i="28" s="1"/>
  <c r="G280" i="28"/>
  <c r="K278" i="28"/>
  <c r="L278" i="28" s="1"/>
  <c r="K276" i="28"/>
  <c r="L276" i="28" s="1"/>
  <c r="K274" i="28"/>
  <c r="L274" i="28" s="1"/>
  <c r="G274" i="28"/>
  <c r="K272" i="28"/>
  <c r="L272" i="28" s="1"/>
  <c r="K270" i="28"/>
  <c r="L270" i="28" s="1"/>
  <c r="K268" i="28"/>
  <c r="L268" i="28" s="1"/>
  <c r="K266" i="28"/>
  <c r="L266" i="28" s="1"/>
  <c r="F263" i="28"/>
  <c r="F261" i="28"/>
  <c r="G260" i="28"/>
  <c r="K258" i="28"/>
  <c r="L258" i="28" s="1"/>
  <c r="K256" i="28"/>
  <c r="L256" i="28" s="1"/>
  <c r="K254" i="28"/>
  <c r="L254" i="28" s="1"/>
  <c r="K252" i="28"/>
  <c r="L252" i="28" s="1"/>
  <c r="K250" i="28"/>
  <c r="L250" i="28" s="1"/>
  <c r="G250" i="28"/>
  <c r="K248" i="28"/>
  <c r="L248" i="28" s="1"/>
  <c r="G248" i="28"/>
  <c r="K246" i="28"/>
  <c r="L246" i="28" s="1"/>
  <c r="K244" i="28"/>
  <c r="L244" i="28" s="1"/>
  <c r="K242" i="28"/>
  <c r="L242" i="28" s="1"/>
  <c r="K240" i="28"/>
  <c r="L240" i="28" s="1"/>
  <c r="K238" i="28"/>
  <c r="L238" i="28" s="1"/>
  <c r="K236" i="28"/>
  <c r="L236" i="28" s="1"/>
  <c r="K234" i="28"/>
  <c r="L234" i="28" s="1"/>
  <c r="K232" i="28"/>
  <c r="L232" i="28" s="1"/>
  <c r="K230" i="28"/>
  <c r="L230" i="28" s="1"/>
  <c r="K228" i="28"/>
  <c r="L228" i="28" s="1"/>
  <c r="K226" i="28"/>
  <c r="L226" i="28" s="1"/>
  <c r="K224" i="28"/>
  <c r="L224" i="28" s="1"/>
  <c r="G224" i="28"/>
  <c r="K222" i="28"/>
  <c r="L222" i="28" s="1"/>
  <c r="K220" i="28"/>
  <c r="L220" i="28" s="1"/>
  <c r="G220" i="28"/>
  <c r="K218" i="28"/>
  <c r="L218" i="28" s="1"/>
  <c r="K216" i="28"/>
  <c r="L216" i="28" s="1"/>
  <c r="G216" i="28"/>
  <c r="K214" i="28"/>
  <c r="L214" i="28" s="1"/>
  <c r="K212" i="28"/>
  <c r="L212" i="28" s="1"/>
  <c r="K210" i="28"/>
  <c r="L210" i="28" s="1"/>
  <c r="K208" i="28"/>
  <c r="L208" i="28" s="1"/>
  <c r="K206" i="28"/>
  <c r="L206" i="28" s="1"/>
  <c r="G206" i="28"/>
  <c r="K204" i="28"/>
  <c r="L204" i="28" s="1"/>
  <c r="K202" i="28"/>
  <c r="L202" i="28" s="1"/>
  <c r="K200" i="28"/>
  <c r="L200" i="28" s="1"/>
  <c r="G200" i="28"/>
  <c r="K198" i="28"/>
  <c r="L198" i="28" s="1"/>
  <c r="G198" i="28"/>
  <c r="K196" i="28"/>
  <c r="L196" i="28" s="1"/>
  <c r="K194" i="28"/>
  <c r="L194" i="28" s="1"/>
  <c r="G194" i="28"/>
  <c r="K192" i="28"/>
  <c r="L192" i="28" s="1"/>
  <c r="G192" i="28"/>
  <c r="K190" i="28"/>
  <c r="L190" i="28" s="1"/>
  <c r="K188" i="28"/>
  <c r="L188" i="28" s="1"/>
  <c r="K186" i="28"/>
  <c r="L186" i="28" s="1"/>
  <c r="K184" i="28"/>
  <c r="L184" i="28" s="1"/>
  <c r="K182" i="28"/>
  <c r="L182" i="28" s="1"/>
  <c r="K180" i="28"/>
  <c r="L180" i="28" s="1"/>
  <c r="K178" i="28"/>
  <c r="L178" i="28" s="1"/>
  <c r="K176" i="28"/>
  <c r="L176" i="28" s="1"/>
  <c r="K174" i="28"/>
  <c r="L174" i="28" s="1"/>
  <c r="K172" i="28"/>
  <c r="L172" i="28" s="1"/>
  <c r="K170" i="28"/>
  <c r="L170" i="28" s="1"/>
  <c r="R168" i="28"/>
  <c r="O168" i="28"/>
  <c r="K168" i="28"/>
  <c r="L168" i="28" s="1"/>
  <c r="G168" i="28"/>
  <c r="K166" i="28"/>
  <c r="L166" i="28" s="1"/>
  <c r="K164" i="28"/>
  <c r="L164" i="28" s="1"/>
  <c r="K162" i="28"/>
  <c r="L162" i="28" s="1"/>
  <c r="K160" i="28"/>
  <c r="L160" i="28" s="1"/>
  <c r="K158" i="28"/>
  <c r="L158" i="28" s="1"/>
  <c r="K156" i="28"/>
  <c r="L156" i="28" s="1"/>
  <c r="K154" i="28"/>
  <c r="L154" i="28" s="1"/>
  <c r="K152" i="28"/>
  <c r="L152" i="28" s="1"/>
  <c r="K150" i="28"/>
  <c r="L150" i="28" s="1"/>
  <c r="K148" i="28"/>
  <c r="L148" i="28" s="1"/>
  <c r="G148" i="28"/>
  <c r="K146" i="28"/>
  <c r="L146" i="28" s="1"/>
  <c r="K144" i="28"/>
  <c r="L144" i="28" s="1"/>
  <c r="K142" i="28"/>
  <c r="L142" i="28" s="1"/>
  <c r="K140" i="28"/>
  <c r="L140" i="28" s="1"/>
  <c r="K138" i="28"/>
  <c r="L138" i="28" s="1"/>
  <c r="K136" i="28"/>
  <c r="L136" i="28" s="1"/>
  <c r="G136" i="28"/>
  <c r="K134" i="28"/>
  <c r="L134" i="28" s="1"/>
  <c r="K132" i="28"/>
  <c r="L132" i="28" s="1"/>
  <c r="K130" i="28"/>
  <c r="L130" i="28" s="1"/>
  <c r="K128" i="28"/>
  <c r="L128" i="28" s="1"/>
  <c r="K126" i="28"/>
  <c r="L126" i="28" s="1"/>
  <c r="K124" i="28"/>
  <c r="L124" i="28" s="1"/>
  <c r="G124" i="28"/>
  <c r="K122" i="28"/>
  <c r="L122" i="28" s="1"/>
  <c r="K120" i="28"/>
  <c r="L120" i="28" s="1"/>
  <c r="K118" i="28"/>
  <c r="L118" i="28" s="1"/>
  <c r="K116" i="28"/>
  <c r="L116" i="28" s="1"/>
  <c r="K114" i="28"/>
  <c r="L114" i="28" s="1"/>
  <c r="K112" i="28"/>
  <c r="L112" i="28" s="1"/>
  <c r="K110" i="28"/>
  <c r="L110" i="28" s="1"/>
  <c r="K108" i="28"/>
  <c r="L108" i="28" s="1"/>
  <c r="G108" i="28"/>
  <c r="K106" i="28"/>
  <c r="L106" i="28" s="1"/>
  <c r="G106" i="28"/>
  <c r="K104" i="28"/>
  <c r="L104" i="28" s="1"/>
  <c r="K102" i="28"/>
  <c r="L102" i="28" s="1"/>
  <c r="K100" i="28"/>
  <c r="L100" i="28" s="1"/>
  <c r="K98" i="28"/>
  <c r="L98" i="28" s="1"/>
  <c r="G98" i="28"/>
  <c r="K96" i="28"/>
  <c r="L96" i="28" s="1"/>
  <c r="K94" i="28"/>
  <c r="L94" i="28" s="1"/>
  <c r="K92" i="28"/>
  <c r="L92" i="28" s="1"/>
  <c r="K90" i="28"/>
  <c r="L90" i="28" s="1"/>
  <c r="G90" i="28"/>
  <c r="K88" i="28"/>
  <c r="L88" i="28" s="1"/>
  <c r="K86" i="28"/>
  <c r="L86" i="28" s="1"/>
  <c r="K84" i="28"/>
  <c r="L84" i="28" s="1"/>
  <c r="K82" i="28"/>
  <c r="L82" i="28" s="1"/>
  <c r="K80" i="28"/>
  <c r="L80" i="28" s="1"/>
  <c r="K78" i="28"/>
  <c r="L78" i="28" s="1"/>
  <c r="K76" i="28"/>
  <c r="L76" i="28" s="1"/>
  <c r="K74" i="28"/>
  <c r="L74" i="28" s="1"/>
  <c r="K72" i="28"/>
  <c r="L72" i="28" s="1"/>
  <c r="K70" i="28"/>
  <c r="L70" i="28" s="1"/>
  <c r="K68" i="28"/>
  <c r="L68" i="28" s="1"/>
  <c r="G68" i="28"/>
  <c r="K66" i="28"/>
  <c r="L66" i="28" s="1"/>
  <c r="K64" i="28"/>
  <c r="L64" i="28" s="1"/>
  <c r="K62" i="28"/>
  <c r="L62" i="28" s="1"/>
  <c r="K60" i="28"/>
  <c r="L60" i="28" s="1"/>
  <c r="K58" i="28"/>
  <c r="L58" i="28" s="1"/>
  <c r="G58" i="28"/>
  <c r="K56" i="28"/>
  <c r="L56" i="28" s="1"/>
  <c r="K54" i="28"/>
  <c r="L54" i="28" s="1"/>
  <c r="K52" i="28"/>
  <c r="L52" i="28" s="1"/>
  <c r="K50" i="28"/>
  <c r="L50" i="28" s="1"/>
  <c r="G50" i="28"/>
  <c r="K48" i="28"/>
  <c r="L48" i="28" s="1"/>
  <c r="K46" i="28"/>
  <c r="L46" i="28" s="1"/>
  <c r="K44" i="28"/>
  <c r="L44" i="28" s="1"/>
  <c r="K42" i="28"/>
  <c r="L42" i="28" s="1"/>
  <c r="K40" i="28"/>
  <c r="L40" i="28" s="1"/>
  <c r="K38" i="28"/>
  <c r="L38" i="28" s="1"/>
  <c r="K36" i="28"/>
  <c r="L36" i="28" s="1"/>
  <c r="G34" i="28"/>
  <c r="G20" i="28"/>
  <c r="G14" i="28"/>
  <c r="G12" i="28"/>
  <c r="H10" i="28"/>
  <c r="H12" i="28" s="1"/>
  <c r="H14" i="28" s="1"/>
  <c r="H16" i="28" s="1"/>
  <c r="H18" i="28" s="1"/>
  <c r="H20" i="28" s="1"/>
  <c r="H22" i="28" s="1"/>
  <c r="H24" i="28" s="1"/>
  <c r="H26" i="28" s="1"/>
  <c r="H28" i="28" s="1"/>
  <c r="H30" i="28" s="1"/>
  <c r="H32" i="28" s="1"/>
  <c r="H34" i="28" s="1"/>
  <c r="H36" i="28" s="1"/>
  <c r="H38" i="28" s="1"/>
  <c r="H40" i="28" s="1"/>
  <c r="H42" i="28" s="1"/>
  <c r="H44" i="28" s="1"/>
  <c r="H46" i="28" s="1"/>
  <c r="H48" i="28" s="1"/>
  <c r="H50" i="28" s="1"/>
  <c r="H52" i="28" s="1"/>
  <c r="H54" i="28" s="1"/>
  <c r="H56" i="28" s="1"/>
  <c r="H58" i="28" s="1"/>
  <c r="H60" i="28" s="1"/>
  <c r="H62" i="28" s="1"/>
  <c r="H64" i="28" s="1"/>
  <c r="H66" i="28" s="1"/>
  <c r="H68" i="28" s="1"/>
  <c r="H70" i="28" s="1"/>
  <c r="H72" i="28" s="1"/>
  <c r="H74" i="28" s="1"/>
  <c r="H76" i="28" s="1"/>
  <c r="H78" i="28" s="1"/>
  <c r="H80" i="28" s="1"/>
  <c r="H82" i="28" s="1"/>
  <c r="H84" i="28" s="1"/>
  <c r="H86" i="28" s="1"/>
  <c r="H88" i="28" s="1"/>
  <c r="H90" i="28" s="1"/>
  <c r="H92" i="28" s="1"/>
  <c r="H94" i="28" s="1"/>
  <c r="H96" i="28" s="1"/>
  <c r="H98" i="28" s="1"/>
  <c r="H100" i="28" s="1"/>
  <c r="H102" i="28" s="1"/>
  <c r="H104" i="28" s="1"/>
  <c r="H106" i="28" s="1"/>
  <c r="H108" i="28" s="1"/>
  <c r="H110" i="28" s="1"/>
  <c r="H112" i="28" s="1"/>
  <c r="H114" i="28" s="1"/>
  <c r="H116" i="28" s="1"/>
  <c r="H118" i="28" s="1"/>
  <c r="H120" i="28" s="1"/>
  <c r="H122" i="28" s="1"/>
  <c r="H124" i="28" s="1"/>
  <c r="H126" i="28" s="1"/>
  <c r="H128" i="28" s="1"/>
  <c r="H130" i="28" s="1"/>
  <c r="H132" i="28" s="1"/>
  <c r="H134" i="28" s="1"/>
  <c r="H136" i="28" s="1"/>
  <c r="H138" i="28" s="1"/>
  <c r="H140" i="28" s="1"/>
  <c r="H142" i="28" s="1"/>
  <c r="H144" i="28" s="1"/>
  <c r="H146" i="28" s="1"/>
  <c r="H148" i="28" s="1"/>
  <c r="H150" i="28" s="1"/>
  <c r="H152" i="28" s="1"/>
  <c r="H154" i="28" s="1"/>
  <c r="H156" i="28" s="1"/>
  <c r="H158" i="28" s="1"/>
  <c r="H160" i="28" s="1"/>
  <c r="H162" i="28" s="1"/>
  <c r="H164" i="28" s="1"/>
  <c r="H166" i="28" s="1"/>
  <c r="H168" i="28" s="1"/>
  <c r="H170" i="28" s="1"/>
  <c r="H172" i="28" s="1"/>
  <c r="H174" i="28" s="1"/>
  <c r="H176" i="28" s="1"/>
  <c r="H178" i="28" s="1"/>
  <c r="H180" i="28" s="1"/>
  <c r="H182" i="28" s="1"/>
  <c r="H184" i="28" s="1"/>
  <c r="H186" i="28" s="1"/>
  <c r="H188" i="28" s="1"/>
  <c r="H190" i="28" s="1"/>
  <c r="H192" i="28" s="1"/>
  <c r="H194" i="28" s="1"/>
  <c r="H196" i="28" s="1"/>
  <c r="H198" i="28" s="1"/>
  <c r="H200" i="28" s="1"/>
  <c r="H202" i="28" s="1"/>
  <c r="H204" i="28" s="1"/>
  <c r="H206" i="28" s="1"/>
  <c r="H208" i="28" s="1"/>
  <c r="H210" i="28" s="1"/>
  <c r="H212" i="28" s="1"/>
  <c r="H214" i="28" s="1"/>
  <c r="H216" i="28" s="1"/>
  <c r="H218" i="28" s="1"/>
  <c r="H220" i="28" s="1"/>
  <c r="H222" i="28" s="1"/>
  <c r="H224" i="28" s="1"/>
  <c r="H226" i="28" s="1"/>
  <c r="H228" i="28" s="1"/>
  <c r="H230" i="28" s="1"/>
  <c r="H232" i="28" s="1"/>
  <c r="H234" i="28" s="1"/>
  <c r="H236" i="28" s="1"/>
  <c r="H238" i="28" s="1"/>
  <c r="H240" i="28" s="1"/>
  <c r="H242" i="28" s="1"/>
  <c r="H244" i="28" s="1"/>
  <c r="H246" i="28" s="1"/>
  <c r="H248" i="28" s="1"/>
  <c r="H250" i="28" s="1"/>
  <c r="H252" i="28" s="1"/>
  <c r="H254" i="28" s="1"/>
  <c r="H256" i="28" s="1"/>
  <c r="H258" i="28" s="1"/>
  <c r="H260" i="28" s="1"/>
  <c r="H262" i="28" s="1"/>
  <c r="H264" i="28" s="1"/>
  <c r="H266" i="28" s="1"/>
  <c r="H268" i="28" s="1"/>
  <c r="H270" i="28" s="1"/>
  <c r="H272" i="28" s="1"/>
  <c r="H274" i="28" s="1"/>
  <c r="H276" i="28" s="1"/>
  <c r="H278" i="28" s="1"/>
  <c r="H280" i="28" s="1"/>
  <c r="H282" i="28" s="1"/>
  <c r="H284" i="28" s="1"/>
  <c r="H286" i="28" s="1"/>
  <c r="H288" i="28" s="1"/>
  <c r="H290" i="28" s="1"/>
  <c r="H292" i="28" s="1"/>
  <c r="H294" i="28" s="1"/>
  <c r="H296" i="28" s="1"/>
  <c r="H298" i="28" s="1"/>
  <c r="H300" i="28" s="1"/>
  <c r="H302" i="28" s="1"/>
  <c r="H304" i="28" s="1"/>
  <c r="H306" i="28" s="1"/>
  <c r="H308" i="28" s="1"/>
  <c r="H310" i="28" s="1"/>
  <c r="H312" i="28" s="1"/>
  <c r="H314" i="28" s="1"/>
  <c r="H316" i="28" s="1"/>
  <c r="H318" i="28" s="1"/>
  <c r="H320" i="28" s="1"/>
  <c r="H322" i="28" s="1"/>
  <c r="H324" i="28" s="1"/>
  <c r="H326" i="28" s="1"/>
  <c r="H328" i="28" s="1"/>
  <c r="H330" i="28" s="1"/>
  <c r="H332" i="28" s="1"/>
  <c r="H334" i="28" s="1"/>
  <c r="H336" i="28" s="1"/>
  <c r="H338" i="28" s="1"/>
  <c r="H340" i="28" s="1"/>
  <c r="H342" i="28" s="1"/>
  <c r="H344" i="28" s="1"/>
  <c r="H346" i="28" s="1"/>
  <c r="H348" i="28" s="1"/>
  <c r="H350" i="28" s="1"/>
  <c r="H352" i="28" s="1"/>
  <c r="H354" i="28" s="1"/>
  <c r="H356" i="28" s="1"/>
  <c r="H358" i="28" s="1"/>
  <c r="H360" i="28" s="1"/>
  <c r="H362" i="28" s="1"/>
  <c r="H364" i="28" s="1"/>
  <c r="H366" i="28" s="1"/>
  <c r="H368" i="28" s="1"/>
  <c r="H370" i="28" s="1"/>
  <c r="H372" i="28" s="1"/>
  <c r="H374" i="28" s="1"/>
  <c r="H376" i="28" s="1"/>
  <c r="H378" i="28" s="1"/>
  <c r="H380" i="28" s="1"/>
  <c r="H382" i="28" s="1"/>
  <c r="H384" i="28" s="1"/>
  <c r="H386" i="28" s="1"/>
  <c r="H388" i="28" s="1"/>
  <c r="H390" i="28" s="1"/>
  <c r="H392" i="28" s="1"/>
  <c r="H394" i="28" s="1"/>
  <c r="H396" i="28" s="1"/>
  <c r="H398" i="28" s="1"/>
  <c r="H400" i="28" s="1"/>
  <c r="H402" i="28" s="1"/>
  <c r="H404" i="28" s="1"/>
  <c r="H406" i="28" s="1"/>
  <c r="H408" i="28" s="1"/>
  <c r="H410" i="28" s="1"/>
  <c r="H412" i="28" s="1"/>
  <c r="H414" i="28" s="1"/>
  <c r="H416" i="28" s="1"/>
  <c r="H418" i="28" s="1"/>
  <c r="H420" i="28" s="1"/>
  <c r="H422" i="28" s="1"/>
  <c r="H424" i="28" s="1"/>
  <c r="H426" i="28" s="1"/>
  <c r="H428" i="28" s="1"/>
  <c r="H430" i="28" s="1"/>
  <c r="H432" i="28" s="1"/>
  <c r="H434" i="28" s="1"/>
  <c r="H436" i="28" s="1"/>
  <c r="H438" i="28" s="1"/>
  <c r="H440" i="28" s="1"/>
  <c r="H442" i="28" s="1"/>
  <c r="H444" i="28" s="1"/>
  <c r="H446" i="28" s="1"/>
  <c r="H448" i="28" s="1"/>
  <c r="H450" i="28" s="1"/>
  <c r="H452" i="28" s="1"/>
  <c r="H454" i="28" s="1"/>
  <c r="H456" i="28" s="1"/>
  <c r="H458" i="28" s="1"/>
  <c r="H460" i="28" s="1"/>
  <c r="H462" i="28" s="1"/>
  <c r="H464" i="28" s="1"/>
  <c r="H466" i="28" s="1"/>
  <c r="H468" i="28" s="1"/>
  <c r="H470" i="28" s="1"/>
  <c r="H472" i="28" s="1"/>
  <c r="H474" i="28" s="1"/>
  <c r="H476" i="28" s="1"/>
  <c r="H478" i="28" s="1"/>
  <c r="H480" i="28" s="1"/>
  <c r="H482" i="28" s="1"/>
  <c r="H484" i="28" s="1"/>
  <c r="H486" i="28" s="1"/>
  <c r="H488" i="28" s="1"/>
  <c r="H490" i="28" s="1"/>
  <c r="H492" i="28" s="1"/>
  <c r="H494" i="28" s="1"/>
  <c r="H496" i="28" s="1"/>
  <c r="H498" i="28" s="1"/>
  <c r="H500" i="28" s="1"/>
  <c r="H502" i="28" s="1"/>
  <c r="H504" i="28" s="1"/>
  <c r="H506" i="28" s="1"/>
  <c r="H508" i="28" s="1"/>
  <c r="H510" i="28" s="1"/>
  <c r="H512" i="28" s="1"/>
  <c r="H514" i="28" s="1"/>
  <c r="H516" i="28" s="1"/>
  <c r="H518" i="28" s="1"/>
  <c r="H520" i="28" s="1"/>
  <c r="H522" i="28" s="1"/>
  <c r="H524" i="28" s="1"/>
  <c r="H526" i="28" s="1"/>
  <c r="H528" i="28" s="1"/>
  <c r="H530" i="28" s="1"/>
  <c r="H532" i="28" s="1"/>
  <c r="H534" i="28" s="1"/>
  <c r="H536" i="28" s="1"/>
  <c r="H538" i="28" s="1"/>
  <c r="H540" i="28" s="1"/>
  <c r="H542" i="28" s="1"/>
  <c r="H544" i="28" s="1"/>
  <c r="H546" i="28" s="1"/>
  <c r="H548" i="28" s="1"/>
  <c r="H550" i="28" s="1"/>
  <c r="H552" i="28" s="1"/>
  <c r="H554" i="28" s="1"/>
  <c r="H556" i="28" s="1"/>
  <c r="H558" i="28" s="1"/>
  <c r="H560" i="28" s="1"/>
  <c r="H562" i="28" s="1"/>
  <c r="H564" i="28" s="1"/>
  <c r="H566" i="28" s="1"/>
  <c r="H568" i="28" s="1"/>
  <c r="H570" i="28" s="1"/>
  <c r="H572" i="28" s="1"/>
  <c r="H574" i="28" s="1"/>
  <c r="H576" i="28" s="1"/>
  <c r="H578" i="28" s="1"/>
  <c r="H580" i="28" s="1"/>
  <c r="H582" i="28" s="1"/>
  <c r="H584" i="28" s="1"/>
  <c r="H586" i="28" s="1"/>
  <c r="H588" i="28" s="1"/>
  <c r="H590" i="28" s="1"/>
  <c r="H592" i="28" s="1"/>
  <c r="H594" i="28" s="1"/>
  <c r="H596" i="28" s="1"/>
  <c r="H598" i="28" s="1"/>
  <c r="H600" i="28" s="1"/>
  <c r="H602" i="28" s="1"/>
  <c r="H604" i="28" s="1"/>
  <c r="H606" i="28" s="1"/>
  <c r="H608" i="28" s="1"/>
  <c r="H610" i="28" s="1"/>
  <c r="H612" i="28" s="1"/>
  <c r="H614" i="28" s="1"/>
  <c r="H616" i="28" s="1"/>
  <c r="H618" i="28" s="1"/>
  <c r="H620" i="28" s="1"/>
  <c r="H622" i="28" s="1"/>
  <c r="H624" i="28" s="1"/>
  <c r="H626" i="28" s="1"/>
  <c r="G10" i="28"/>
  <c r="O8" i="34" l="1"/>
  <c r="K8" i="34"/>
  <c r="N642" i="28"/>
  <c r="S638" i="28"/>
  <c r="S636" i="28"/>
  <c r="P642" i="28"/>
  <c r="I642" i="28"/>
  <c r="K282" i="28"/>
  <c r="L282" i="28" s="1"/>
  <c r="Q642" i="28"/>
  <c r="M642" i="28"/>
  <c r="S641" i="28"/>
  <c r="S639" i="28"/>
  <c r="S640" i="28"/>
  <c r="S637" i="28"/>
  <c r="L642" i="28"/>
  <c r="G272" i="28"/>
  <c r="F627" i="28"/>
  <c r="K626" i="28" s="1"/>
  <c r="L626" i="28" s="1"/>
  <c r="K264" i="28"/>
  <c r="L264" i="28" s="1"/>
  <c r="K512" i="28"/>
  <c r="L512" i="28" s="1"/>
  <c r="G512" i="28"/>
  <c r="R642" i="28"/>
  <c r="K642" i="28"/>
  <c r="S635" i="28"/>
  <c r="J642" i="28"/>
  <c r="K260" i="28"/>
  <c r="L260" i="28" s="1"/>
  <c r="K262" i="28"/>
  <c r="L262" i="28" s="1"/>
  <c r="G286" i="28"/>
  <c r="K286" i="28"/>
  <c r="L286" i="28" s="1"/>
  <c r="G262" i="28"/>
  <c r="K510" i="28"/>
  <c r="L510" i="28" s="1"/>
  <c r="O642" i="28"/>
  <c r="G627" i="28" l="1"/>
  <c r="S642" i="28"/>
  <c r="G15" i="13"/>
  <c r="G14" i="13"/>
  <c r="M11" i="13"/>
  <c r="E11" i="13"/>
  <c r="N11" i="13" s="1"/>
  <c r="D11" i="13"/>
  <c r="M10" i="13"/>
  <c r="N10" i="13" s="1"/>
  <c r="L10" i="13"/>
  <c r="L11" i="13" s="1"/>
  <c r="N9" i="13"/>
  <c r="L9" i="13"/>
  <c r="N8" i="13"/>
  <c r="I12" i="19" l="1"/>
  <c r="G11" i="19" l="1"/>
  <c r="I11" i="19" s="1"/>
  <c r="AK15" i="22" l="1"/>
  <c r="AK16" i="22"/>
  <c r="AK17" i="22"/>
  <c r="AK18" i="22"/>
  <c r="AK19" i="22"/>
  <c r="E17" i="22"/>
  <c r="E16" i="22"/>
  <c r="E15" i="22"/>
  <c r="E14" i="22"/>
  <c r="E13" i="22"/>
  <c r="AK20" i="22"/>
  <c r="AK14" i="22"/>
  <c r="AK13" i="22"/>
  <c r="AK12" i="22"/>
  <c r="E12" i="22"/>
  <c r="AK11" i="22"/>
  <c r="E11" i="22"/>
  <c r="AK10" i="22"/>
  <c r="E10" i="22"/>
  <c r="AK9" i="22"/>
  <c r="E9" i="22"/>
  <c r="AK8" i="22"/>
  <c r="E8" i="22"/>
  <c r="AK7" i="22"/>
  <c r="E7" i="22"/>
  <c r="AK6" i="22"/>
  <c r="E6" i="22"/>
  <c r="AK5" i="22"/>
  <c r="E5" i="22"/>
  <c r="I10" i="19" l="1"/>
  <c r="C19" i="20" l="1"/>
  <c r="I8" i="19"/>
  <c r="I9" i="19"/>
  <c r="A4" i="15"/>
  <c r="A5" i="15" s="1"/>
  <c r="A6" i="15" s="1"/>
  <c r="A7" i="15" s="1"/>
  <c r="A10" i="15" s="1"/>
  <c r="A11" i="15" s="1"/>
  <c r="A8" i="15" s="1"/>
  <c r="A12" i="15" s="1"/>
  <c r="A13" i="15" s="1"/>
  <c r="A14" i="15" s="1"/>
  <c r="A15" i="15" s="1"/>
  <c r="E16" i="14"/>
  <c r="D16" i="14"/>
  <c r="C16" i="14"/>
  <c r="AV3" i="30"/>
  <c r="N7" i="13" l="1"/>
  <c r="I217" i="30"/>
  <c r="AH205" i="30" s="1"/>
  <c r="AK205" i="30" s="1"/>
  <c r="K7" i="13" l="1"/>
  <c r="H6" i="34" s="1"/>
  <c r="J6" i="34" l="1"/>
  <c r="B20" i="34"/>
  <c r="E20" i="34" s="1"/>
  <c r="F24" i="34" s="1"/>
  <c r="K6" i="34" l="1"/>
  <c r="O6" i="34"/>
  <c r="AK209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Boddepalli Sagar</author>
  </authors>
  <commentList>
    <comment ref="J10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Boddepalli Sagar:</t>
        </r>
        <r>
          <rPr>
            <sz val="9"/>
            <color indexed="81"/>
            <rFont val="Tahoma"/>
            <family val="2"/>
          </rPr>
          <t xml:space="preserve">
33/0 Was completed in March , But it is being counted in February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002 (Page 1)" description="Connection to the 'Table002 (Page 1)' query in the workbook." type="100" refreshedVersion="8" minRefreshableVersion="5">
    <extLst>
      <ext xmlns:x15="http://schemas.microsoft.com/office/spreadsheetml/2010/11/main" uri="{DE250136-89BD-433C-8126-D09CA5730AF9}">
        <x15:connection id="c1894968-8898-47d5-8f50-1c34cebe114e"/>
      </ext>
    </extLst>
  </connection>
  <connection id="2" xr16:uid="{00000000-0015-0000-FFFF-FFFF01000000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  <connection id="3" xr16:uid="{00000000-0015-0000-FFFF-FFFF02000000}" keepAlive="1" name="Query - Table002 (Page 1) (3)" description="Connection to the 'Table002 (Page 1) (3)' query in the workbook." type="5" refreshedVersion="8" background="1" saveData="1">
    <dbPr connection="Provider=Microsoft.Mashup.OleDb.1;Data Source=$Workbook$;Location=&quot;Table002 (Page 1) (3)&quot;;Extended Properties=&quot;&quot;" command="SELECT * FROM [Table002 (Page 1) (3)]"/>
  </connection>
  <connection id="4" xr16:uid="{00000000-0015-0000-FFFF-FFFF03000000}" keepAlive="1" name="Query - Table002 (Page 1) (4)" description="Connection to the 'Table002 (Page 1) (4)' query in the workbook." type="5" refreshedVersion="8" background="1" saveData="1">
    <dbPr connection="Provider=Microsoft.Mashup.OleDb.1;Data Source=$Workbook$;Location=&quot;Table002 (Page 1) (4)&quot;;Extended Properties=&quot;&quot;" command="SELECT * FROM [Table002 (Page 1) (4)]"/>
  </connection>
  <connection id="5" xr16:uid="{00000000-0015-0000-FFFF-FFFF04000000}" keepAlive="1" name="Query - Table002 (Page 1) (5)" description="Connection to the 'Table002 (Page 1) (5)' query in the workbook." type="5" refreshedVersion="8" background="1" saveData="1">
    <dbPr connection="Provider=Microsoft.Mashup.OleDb.1;Data Source=$Workbook$;Location=&quot;Table002 (Page 1) (5)&quot;;Extended Properties=&quot;&quot;" command="SELECT * FROM [Table002 (Page 1) (5)]"/>
  </connection>
  <connection id="6" xr16:uid="{00000000-0015-0000-FFFF-FFFF05000000}" keepAlive="1" name="Query - Table002 (Page 1) (6)" description="Connection to the 'Table002 (Page 1) (6)' query in the workbook." type="5" refreshedVersion="8" background="1" saveData="1">
    <dbPr connection="Provider=Microsoft.Mashup.OleDb.1;Data Source=$Workbook$;Location=&quot;Table002 (Page 1) (6)&quot;;Extended Properties=&quot;&quot;" command="SELECT * FROM [Table002 (Page 1) (6)]"/>
  </connection>
  <connection id="7" xr16:uid="{00000000-0015-0000-FFFF-FFFF06000000}" keepAlive="1" name="Query - Table002 (Page 1) (7)" description="Connection to the 'Table002 (Page 1) (7)' query in the workbook." type="5" refreshedVersion="8" background="1" saveData="1">
    <dbPr connection="Provider=Microsoft.Mashup.OleDb.1;Data Source=$Workbook$;Location=&quot;Table002 (Page 1) (7)&quot;;Extended Properties=&quot;&quot;" command="SELECT * FROM [Table002 (Page 1) (7)]"/>
  </connection>
  <connection id="8" xr16:uid="{00000000-0015-0000-FFFF-FFFF07000000}" keepAlive="1" name="Query - Table002 (Page 1) (8)" description="Connection to the 'Table002 (Page 1) (8)' query in the workbook." type="5" refreshedVersion="8" background="1" saveData="1">
    <dbPr connection="Provider=Microsoft.Mashup.OleDb.1;Data Source=$Workbook$;Location=&quot;Table002 (Page 1) (8)&quot;;Extended Properties=&quot;&quot;" command="SELECT * FROM [Table002 (Page 1) (8)]"/>
  </connection>
  <connection id="9" xr16:uid="{00000000-0015-0000-FFFF-FFFF08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<sst xmlns="http://schemas.openxmlformats.org/spreadsheetml/2006/main" count="11435" uniqueCount="2303">
  <si>
    <t>Foundation</t>
  </si>
  <si>
    <t>Earthing</t>
  </si>
  <si>
    <t>Erection</t>
  </si>
  <si>
    <t>Tack-Welding</t>
  </si>
  <si>
    <t>Sl. No.</t>
  </si>
  <si>
    <t>Tower Type</t>
  </si>
  <si>
    <t>Type</t>
  </si>
  <si>
    <t>Total</t>
  </si>
  <si>
    <t>1/0</t>
  </si>
  <si>
    <t>DD60+0</t>
  </si>
  <si>
    <t>2/0</t>
  </si>
  <si>
    <t>3/0</t>
  </si>
  <si>
    <t>DD45+3</t>
  </si>
  <si>
    <t>3/1</t>
  </si>
  <si>
    <t>DA(-)1.5</t>
  </si>
  <si>
    <t>3/2</t>
  </si>
  <si>
    <t>DA+6</t>
  </si>
  <si>
    <t>4/0</t>
  </si>
  <si>
    <t>DC1+0</t>
  </si>
  <si>
    <t>4/1</t>
  </si>
  <si>
    <t>DA+9</t>
  </si>
  <si>
    <t>4/2</t>
  </si>
  <si>
    <t>4/3</t>
  </si>
  <si>
    <t>DA(-)3</t>
  </si>
  <si>
    <t>4/4</t>
  </si>
  <si>
    <t>4/5</t>
  </si>
  <si>
    <t>4/6</t>
  </si>
  <si>
    <t>5/0</t>
  </si>
  <si>
    <t>DB1+0</t>
  </si>
  <si>
    <t>5/1</t>
  </si>
  <si>
    <t>5/2</t>
  </si>
  <si>
    <t>DA+0</t>
  </si>
  <si>
    <t>5/3</t>
  </si>
  <si>
    <t>DA+3</t>
  </si>
  <si>
    <t>5/4</t>
  </si>
  <si>
    <t>DA+1.5</t>
  </si>
  <si>
    <t>5/5</t>
  </si>
  <si>
    <t>5/6</t>
  </si>
  <si>
    <t>5/7</t>
  </si>
  <si>
    <t>6/0</t>
  </si>
  <si>
    <t>DC2+0</t>
  </si>
  <si>
    <t>6/1</t>
  </si>
  <si>
    <t>6/2</t>
  </si>
  <si>
    <t>6/3</t>
  </si>
  <si>
    <t>7/0</t>
  </si>
  <si>
    <t>7/1</t>
  </si>
  <si>
    <t>7/2</t>
  </si>
  <si>
    <t>7/3</t>
  </si>
  <si>
    <t>7/4</t>
  </si>
  <si>
    <t>8/0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</si>
  <si>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</si>
  <si>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</si>
  <si>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</si>
  <si>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</si>
  <si>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</si>
  <si>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</si>
  <si>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</si>
  <si>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</si>
  <si>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</si>
  <si>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</si>
  <si>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9/0</t>
  </si>
  <si>
    <t>DB2+0</t>
  </si>
  <si>
    <t>9/1</t>
  </si>
  <si>
    <t>9/2</t>
  </si>
  <si>
    <t>9/3</t>
  </si>
  <si>
    <t>10/0</t>
  </si>
  <si>
    <t>10/1</t>
  </si>
  <si>
    <t>10/2</t>
  </si>
  <si>
    <t>10/3</t>
  </si>
  <si>
    <t>11/0</t>
  </si>
  <si>
    <t>DD60+25</t>
  </si>
  <si>
    <t>12/1</t>
  </si>
  <si>
    <t>12/2</t>
  </si>
  <si>
    <t>12/3</t>
  </si>
  <si>
    <t>12/4</t>
  </si>
  <si>
    <t>12/5</t>
  </si>
  <si>
    <t>12/6</t>
  </si>
  <si>
    <t>12/7</t>
  </si>
  <si>
    <t>13/0</t>
  </si>
  <si>
    <t>13/1</t>
  </si>
  <si>
    <t>13/2</t>
  </si>
  <si>
    <t>13/3</t>
  </si>
  <si>
    <t>13/4</t>
  </si>
  <si>
    <t>13/5</t>
  </si>
  <si>
    <t>14/0</t>
  </si>
  <si>
    <t>14/1</t>
  </si>
  <si>
    <t>14/2</t>
  </si>
  <si>
    <t>14/3</t>
  </si>
  <si>
    <t>14/4</t>
  </si>
  <si>
    <t>14/5</t>
  </si>
  <si>
    <t>15/0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</si>
  <si>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</si>
  <si>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</si>
  <si>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</si>
  <si>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</si>
  <si>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</si>
  <si>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</si>
  <si>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</si>
  <si>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</si>
  <si>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</si>
  <si>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>16/0</t>
  </si>
  <si>
    <t>16/1</t>
  </si>
  <si>
    <t>16/2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</si>
  <si>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</si>
  <si>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</si>
  <si>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</si>
  <si>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</si>
  <si>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</si>
  <si>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</si>
  <si>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</si>
  <si>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</si>
  <si>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</si>
  <si>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17/0</t>
  </si>
  <si>
    <t>DB2+3</t>
  </si>
  <si>
    <t>18/0</t>
  </si>
  <si>
    <t>DD45+0</t>
  </si>
  <si>
    <t>18/1</t>
  </si>
  <si>
    <t>19/0</t>
  </si>
  <si>
    <t>DD45+9</t>
  </si>
  <si>
    <t>20/0</t>
  </si>
  <si>
    <t>DD60+6</t>
  </si>
  <si>
    <t>20/1</t>
  </si>
  <si>
    <t>20/2</t>
  </si>
  <si>
    <t>21/0</t>
  </si>
  <si>
    <t>21/1</t>
  </si>
  <si>
    <t>21/2</t>
  </si>
  <si>
    <t>21/3</t>
  </si>
  <si>
    <t>21/4</t>
  </si>
  <si>
    <t>22/0</t>
  </si>
  <si>
    <t>22/1</t>
  </si>
  <si>
    <t>23/0</t>
  </si>
  <si>
    <t>23/1</t>
  </si>
  <si>
    <t>24/0</t>
  </si>
  <si>
    <t>DC2+3</t>
  </si>
  <si>
    <t>24/1</t>
  </si>
  <si>
    <t>24/2</t>
  </si>
  <si>
    <t>24/3</t>
  </si>
  <si>
    <t>24/4</t>
  </si>
  <si>
    <t>24/5</t>
  </si>
  <si>
    <t>24/6</t>
  </si>
  <si>
    <t>24/7</t>
  </si>
  <si>
    <t>24/8</t>
  </si>
  <si>
    <t>24/9</t>
  </si>
  <si>
    <t>24/10</t>
  </si>
  <si>
    <t>24/11</t>
  </si>
  <si>
    <t>25/0</t>
  </si>
  <si>
    <t>DC2+18</t>
  </si>
  <si>
    <t>26/0</t>
  </si>
  <si>
    <t>DC2+12</t>
  </si>
  <si>
    <t>26/1</t>
  </si>
  <si>
    <t>26/2</t>
  </si>
  <si>
    <t>26/3</t>
  </si>
  <si>
    <t>26/4</t>
  </si>
  <si>
    <t>27/0</t>
  </si>
  <si>
    <t>DB2+9</t>
  </si>
  <si>
    <t>27/1</t>
  </si>
  <si>
    <t>DB1+9</t>
  </si>
  <si>
    <t>27/2</t>
  </si>
  <si>
    <t>27/3</t>
  </si>
  <si>
    <t>27/4</t>
  </si>
  <si>
    <t>27/5</t>
  </si>
  <si>
    <t>28/0</t>
  </si>
  <si>
    <t>DD45+6</t>
  </si>
  <si>
    <t>29/0</t>
  </si>
  <si>
    <t>DD45+18</t>
  </si>
  <si>
    <t>29/1</t>
  </si>
  <si>
    <t>29/2</t>
  </si>
  <si>
    <t>30/0</t>
  </si>
  <si>
    <t>30/1</t>
  </si>
  <si>
    <t>30/2</t>
  </si>
  <si>
    <t>31/0</t>
  </si>
  <si>
    <t>32/0</t>
  </si>
  <si>
    <t>DD60+9</t>
  </si>
  <si>
    <t>32/1</t>
  </si>
  <si>
    <t>32/2</t>
  </si>
  <si>
    <t>32/3</t>
  </si>
  <si>
    <t>32/4</t>
  </si>
  <si>
    <t>32/5</t>
  </si>
  <si>
    <t>32/6</t>
  </si>
  <si>
    <t>32/7</t>
  </si>
  <si>
    <t>33/0</t>
  </si>
  <si>
    <t>34/0</t>
  </si>
  <si>
    <t>DC1+3</t>
  </si>
  <si>
    <t>34/1</t>
  </si>
  <si>
    <t>34/2</t>
  </si>
  <si>
    <t>34/3</t>
  </si>
  <si>
    <t>35/0</t>
  </si>
  <si>
    <t>36/0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</si>
  <si>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</si>
  <si>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</si>
  <si>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</si>
  <si>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</si>
  <si>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</si>
  <si>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</si>
  <si>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</si>
  <si>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</si>
  <si>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</si>
  <si>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DD45+12</t>
  </si>
  <si>
    <t>38/0</t>
  </si>
  <si>
    <t>38/1</t>
  </si>
  <si>
    <t>38/2</t>
  </si>
  <si>
    <t>38/3</t>
  </si>
  <si>
    <t>38/4</t>
  </si>
  <si>
    <t>38/5</t>
  </si>
  <si>
    <t>38/6</t>
  </si>
  <si>
    <t>38/7</t>
  </si>
  <si>
    <t>38/8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</si>
  <si>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</si>
  <si>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</si>
  <si>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</si>
  <si>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</si>
  <si>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</si>
  <si>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</si>
  <si>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</si>
  <si>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</si>
  <si>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</si>
  <si>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</si>
  <si>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</si>
  <si>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</si>
  <si>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40/0</t>
  </si>
  <si>
    <t>40/1</t>
  </si>
  <si>
    <t>40/2</t>
  </si>
  <si>
    <t>40/3</t>
  </si>
  <si>
    <t>41/0</t>
  </si>
  <si>
    <t>41/1</t>
  </si>
  <si>
    <t>41/2</t>
  </si>
  <si>
    <t>41/3</t>
  </si>
  <si>
    <t>41/4</t>
  </si>
  <si>
    <t>41/5</t>
  </si>
  <si>
    <t>41/6</t>
  </si>
  <si>
    <t>41/7</t>
  </si>
  <si>
    <t>41/8</t>
  </si>
  <si>
    <t>42/0</t>
  </si>
  <si>
    <t>43/0</t>
  </si>
  <si>
    <t>DC1+6</t>
  </si>
  <si>
    <t>44/0</t>
  </si>
  <si>
    <t>DB2+6</t>
  </si>
  <si>
    <t>44/1</t>
  </si>
  <si>
    <t>DB1+3</t>
  </si>
  <si>
    <t>44/2</t>
  </si>
  <si>
    <t>44/3</t>
  </si>
  <si>
    <t>45/0</t>
  </si>
  <si>
    <t>45/1</t>
  </si>
  <si>
    <t>45/2</t>
  </si>
  <si>
    <t>45/3</t>
  </si>
  <si>
    <t>45/4</t>
  </si>
  <si>
    <t>45A/0</t>
  </si>
  <si>
    <t>45A/1</t>
  </si>
  <si>
    <t>46/0</t>
  </si>
  <si>
    <t>46/1</t>
  </si>
  <si>
    <t>46/2</t>
  </si>
  <si>
    <t>46A/0</t>
  </si>
  <si>
    <t>46A/1</t>
  </si>
  <si>
    <t>46A/2</t>
  </si>
  <si>
    <t>46A/3</t>
  </si>
  <si>
    <t>47/0</t>
  </si>
  <si>
    <t>47/1</t>
  </si>
  <si>
    <t>47/2</t>
  </si>
  <si>
    <t>47/3</t>
  </si>
  <si>
    <t>47/4</t>
  </si>
  <si>
    <t>47/5</t>
  </si>
  <si>
    <t>47/6</t>
  </si>
  <si>
    <t>47/7</t>
  </si>
  <si>
    <t>47/8</t>
  </si>
  <si>
    <t>47/9</t>
  </si>
  <si>
    <t>47/10</t>
  </si>
  <si>
    <t>47/11</t>
  </si>
  <si>
    <t>48/0</t>
  </si>
  <si>
    <t>48/1</t>
  </si>
  <si>
    <t>48/2</t>
  </si>
  <si>
    <t>48/3</t>
  </si>
  <si>
    <t>48/4</t>
  </si>
  <si>
    <t>48/5</t>
  </si>
  <si>
    <t>48/6</t>
  </si>
  <si>
    <t>48/7</t>
  </si>
  <si>
    <t>48/8</t>
  </si>
  <si>
    <t>48/9</t>
  </si>
  <si>
    <t>49/0</t>
  </si>
  <si>
    <t>49/1</t>
  </si>
  <si>
    <t>49/2</t>
  </si>
  <si>
    <t>49/3</t>
  </si>
  <si>
    <t>49/4</t>
  </si>
  <si>
    <t>49/5</t>
  </si>
  <si>
    <t>49/6</t>
  </si>
  <si>
    <t>50/0</t>
  </si>
  <si>
    <t>51/0</t>
  </si>
  <si>
    <t>51/1</t>
  </si>
  <si>
    <t>51/2</t>
  </si>
  <si>
    <t>51/3</t>
  </si>
  <si>
    <t>52/0</t>
  </si>
  <si>
    <t>52/1</t>
  </si>
  <si>
    <t>53/0</t>
  </si>
  <si>
    <t>53A/0</t>
  </si>
  <si>
    <t>54/0</t>
  </si>
  <si>
    <t>55/0</t>
  </si>
  <si>
    <t>55/1</t>
  </si>
  <si>
    <t>55/2</t>
  </si>
  <si>
    <t>56/0</t>
  </si>
  <si>
    <t>56/1</t>
  </si>
  <si>
    <t>DB1+18</t>
  </si>
  <si>
    <t>56/2</t>
  </si>
  <si>
    <t>56/3</t>
  </si>
  <si>
    <t>57/0</t>
  </si>
  <si>
    <t>57/1</t>
  </si>
  <si>
    <t>57/2</t>
  </si>
  <si>
    <t>57/3</t>
  </si>
  <si>
    <t>57/4</t>
  </si>
  <si>
    <t>58/0</t>
  </si>
  <si>
    <t>59/0</t>
  </si>
  <si>
    <t>59/1</t>
  </si>
  <si>
    <t>60/0</t>
  </si>
  <si>
    <t>61/0</t>
  </si>
  <si>
    <t>61/1</t>
  </si>
  <si>
    <t>62/0</t>
  </si>
  <si>
    <t>DB1+12</t>
  </si>
  <si>
    <t>63/0</t>
  </si>
  <si>
    <t>63/1</t>
  </si>
  <si>
    <t>63/2</t>
  </si>
  <si>
    <t>63/3</t>
  </si>
  <si>
    <t>64/0</t>
  </si>
  <si>
    <t>64/1</t>
  </si>
  <si>
    <t>65/0</t>
  </si>
  <si>
    <t>65/1</t>
  </si>
  <si>
    <t>65/2</t>
  </si>
  <si>
    <t>65/3</t>
  </si>
  <si>
    <t>65/4</t>
  </si>
  <si>
    <t>65/5</t>
  </si>
  <si>
    <t>65/6</t>
  </si>
  <si>
    <t>65/7</t>
  </si>
  <si>
    <t>65/8</t>
  </si>
  <si>
    <t>65/9</t>
  </si>
  <si>
    <t>65/10</t>
  </si>
  <si>
    <t>65/11</t>
  </si>
  <si>
    <t>66/0</t>
  </si>
  <si>
    <t>66/1</t>
  </si>
  <si>
    <t>66/2</t>
  </si>
  <si>
    <t>66/3</t>
  </si>
  <si>
    <t>66/4</t>
  </si>
  <si>
    <t>66/5</t>
  </si>
  <si>
    <t>66/6</t>
  </si>
  <si>
    <t>66/7</t>
  </si>
  <si>
    <t>66/8</t>
  </si>
  <si>
    <t>67/0</t>
  </si>
  <si>
    <t>67/1</t>
  </si>
  <si>
    <t>67/2</t>
  </si>
  <si>
    <t>67/3</t>
  </si>
  <si>
    <t>68/0</t>
  </si>
  <si>
    <t>DFR</t>
  </si>
  <si>
    <t>WC</t>
  </si>
  <si>
    <t>WFR</t>
  </si>
  <si>
    <t xml:space="preserve">DFR </t>
  </si>
  <si>
    <t>Date</t>
  </si>
  <si>
    <t>T/W</t>
  </si>
  <si>
    <t>Strng</t>
  </si>
  <si>
    <t>1/1</t>
  </si>
  <si>
    <t>1A/0</t>
  </si>
  <si>
    <t>DC+0</t>
  </si>
  <si>
    <t>DC+3</t>
  </si>
  <si>
    <t xml:space="preserve"> </t>
  </si>
  <si>
    <t>MP</t>
  </si>
  <si>
    <t>Legend</t>
  </si>
  <si>
    <t>Crossing</t>
  </si>
  <si>
    <t>final sag</t>
  </si>
  <si>
    <t>rough sag</t>
  </si>
  <si>
    <t>LT Line</t>
  </si>
  <si>
    <t>NH/SH</t>
  </si>
  <si>
    <t>Activity</t>
  </si>
  <si>
    <t>Unit</t>
  </si>
  <si>
    <t>Total Qty</t>
  </si>
  <si>
    <t>Completed</t>
  </si>
  <si>
    <t>Balance</t>
  </si>
  <si>
    <t>Remarks</t>
  </si>
  <si>
    <t>Detailed Survey</t>
  </si>
  <si>
    <t>Kms</t>
  </si>
  <si>
    <t>11kV Line</t>
  </si>
  <si>
    <t>Check Survey</t>
  </si>
  <si>
    <t>Nos</t>
  </si>
  <si>
    <t>33kV Line</t>
  </si>
  <si>
    <t>Railway</t>
  </si>
  <si>
    <t>220kV Line</t>
  </si>
  <si>
    <t>Tack-welding</t>
  </si>
  <si>
    <t>Location No</t>
  </si>
  <si>
    <t>Stringing (P/O)</t>
  </si>
  <si>
    <t>400kV Line</t>
  </si>
  <si>
    <t>Stringing (F/O)</t>
  </si>
  <si>
    <t>Forest</t>
  </si>
  <si>
    <t>OPGW</t>
  </si>
  <si>
    <t>Visual Chart of 765kV Line</t>
  </si>
  <si>
    <t>12/0</t>
  </si>
  <si>
    <t>DA-3</t>
  </si>
  <si>
    <t>DB1+6</t>
  </si>
  <si>
    <t>53B/0</t>
  </si>
  <si>
    <t>53B/1</t>
  </si>
  <si>
    <t>Progress at a Glance (765kV Line)</t>
  </si>
  <si>
    <t>132kV Line</t>
  </si>
  <si>
    <t>RAJ</t>
  </si>
  <si>
    <t>ROW</t>
  </si>
  <si>
    <t>RC</t>
  </si>
  <si>
    <t>220KV D/C</t>
  </si>
  <si>
    <t xml:space="preserve">400KV D/C </t>
  </si>
  <si>
    <t>220 KV DC</t>
  </si>
  <si>
    <t xml:space="preserve">132KV D/C </t>
  </si>
  <si>
    <t xml:space="preserve">220KV </t>
  </si>
  <si>
    <t>Approch Issue</t>
  </si>
  <si>
    <t>Stub Requerd</t>
  </si>
  <si>
    <t>Railway crossing</t>
  </si>
  <si>
    <t>NH Crossing</t>
  </si>
  <si>
    <t>ROW Route Daivarsion</t>
  </si>
  <si>
    <t>Power Line Crossing</t>
  </si>
  <si>
    <t>NH Crossinng</t>
  </si>
  <si>
    <t xml:space="preserve">FOUNDATION-STATUS </t>
  </si>
  <si>
    <t>SL NO.</t>
  </si>
  <si>
    <t xml:space="preserve">LOC No. </t>
  </si>
  <si>
    <t>TOWER-TYPE</t>
  </si>
  <si>
    <t xml:space="preserve">CLASSIFICATION </t>
  </si>
  <si>
    <t xml:space="preserve">STATUS </t>
  </si>
  <si>
    <t>STARTING DATE</t>
  </si>
  <si>
    <t xml:space="preserve">ENDING DATE </t>
  </si>
  <si>
    <t>JMC</t>
  </si>
  <si>
    <t xml:space="preserve">EARTHING </t>
  </si>
  <si>
    <t xml:space="preserve">TFR </t>
  </si>
  <si>
    <t>COMPLETED</t>
  </si>
  <si>
    <t>JSC Enterprises</t>
  </si>
  <si>
    <t xml:space="preserve">DONE </t>
  </si>
  <si>
    <t xml:space="preserve">COMPLETED </t>
  </si>
  <si>
    <t>Afflux Construction</t>
  </si>
  <si>
    <t>Surya Group</t>
  </si>
  <si>
    <t>DA-1.5</t>
  </si>
  <si>
    <t>Urmila Bibi</t>
  </si>
  <si>
    <t>Shree Shyam Granite</t>
  </si>
  <si>
    <t>Yatharth Construction</t>
  </si>
  <si>
    <t>GM Construction</t>
  </si>
  <si>
    <t>Jeenmata Infratech</t>
  </si>
  <si>
    <t>23/04/2025</t>
  </si>
  <si>
    <t>02/05/2025</t>
  </si>
  <si>
    <t>URMILA-BIBI</t>
  </si>
  <si>
    <t>28/04/2025</t>
  </si>
  <si>
    <t xml:space="preserve">GM Construction  </t>
  </si>
  <si>
    <t xml:space="preserve">SURYA-GROUP </t>
  </si>
  <si>
    <t>1/5/2025</t>
  </si>
  <si>
    <t>2/5/2025</t>
  </si>
  <si>
    <t>27/4/2025</t>
  </si>
  <si>
    <t xml:space="preserve">SREE SHAYAM GRANTE </t>
  </si>
  <si>
    <t>30/04/2025</t>
  </si>
  <si>
    <t xml:space="preserve">AFFLUX CONSTRUCTION </t>
  </si>
  <si>
    <t>YATHARTH-CONSTRUCTION</t>
  </si>
  <si>
    <t>14.05.2025</t>
  </si>
  <si>
    <t>19.05.2025</t>
  </si>
  <si>
    <t>15/05/2025</t>
  </si>
  <si>
    <t xml:space="preserve">DA(-)1.5 </t>
  </si>
  <si>
    <t>16/05/2025</t>
  </si>
  <si>
    <t>21/5/2025</t>
  </si>
  <si>
    <t>14/05/2025</t>
  </si>
  <si>
    <t>21/05/2025</t>
  </si>
  <si>
    <t>22.05.2025</t>
  </si>
  <si>
    <t>23/5/2025</t>
  </si>
  <si>
    <t>15.05.2025</t>
  </si>
  <si>
    <t>23.05.2025</t>
  </si>
  <si>
    <t>17.05.2025</t>
  </si>
  <si>
    <t>24.05.2025</t>
  </si>
  <si>
    <t xml:space="preserve">DA+1.5 </t>
  </si>
  <si>
    <t>20.05.2025</t>
  </si>
  <si>
    <t>25.05.2025</t>
  </si>
  <si>
    <t xml:space="preserve">DA+0 </t>
  </si>
  <si>
    <t xml:space="preserve">DA+3 </t>
  </si>
  <si>
    <t>27.05.2025</t>
  </si>
  <si>
    <t>28.05.2024</t>
  </si>
  <si>
    <t>31.05.2025</t>
  </si>
  <si>
    <t>Shri Sai Brick Udyog</t>
  </si>
  <si>
    <t>26.05.2025</t>
  </si>
  <si>
    <t>01.06.2025</t>
  </si>
  <si>
    <t xml:space="preserve">GM Infratech </t>
  </si>
  <si>
    <t>SUBMITTED</t>
  </si>
  <si>
    <t>19/05/2025</t>
  </si>
  <si>
    <t>02.06.2025</t>
  </si>
  <si>
    <t>04.06.2025</t>
  </si>
  <si>
    <t>05.06.2025</t>
  </si>
  <si>
    <t xml:space="preserve">GM CONSTRUCTION </t>
  </si>
  <si>
    <t>07.06.2025</t>
  </si>
  <si>
    <t xml:space="preserve">DA+6 </t>
  </si>
  <si>
    <t>03.06.2025</t>
  </si>
  <si>
    <t>14/06/2025</t>
  </si>
  <si>
    <t>16/06/2025</t>
  </si>
  <si>
    <t>08.06.2025</t>
  </si>
  <si>
    <t>18/6/2025</t>
  </si>
  <si>
    <t>09.06.2025</t>
  </si>
  <si>
    <t>21/06/2025</t>
  </si>
  <si>
    <t>19.06.2025</t>
  </si>
  <si>
    <t>NOT SUBMITTED</t>
  </si>
  <si>
    <t>27/06/2025</t>
  </si>
  <si>
    <t>30/06/2025</t>
  </si>
  <si>
    <t>14/07/2025</t>
  </si>
  <si>
    <t xml:space="preserve">COMPLETED  </t>
  </si>
  <si>
    <t>30.06.2025</t>
  </si>
  <si>
    <t>11.07.2025</t>
  </si>
  <si>
    <t>01.07.2025</t>
  </si>
  <si>
    <t>16.07.2025</t>
  </si>
  <si>
    <t>22.07.2025</t>
  </si>
  <si>
    <t xml:space="preserve">DC2+0 </t>
  </si>
  <si>
    <t>02.08.2025</t>
  </si>
  <si>
    <t>12.08.2025</t>
  </si>
  <si>
    <t>Shakhina Bibi</t>
  </si>
  <si>
    <t>26.07.2025</t>
  </si>
  <si>
    <t>06.08.2025</t>
  </si>
  <si>
    <t xml:space="preserve">SHREE KHATUSHAYAM CONST. </t>
  </si>
  <si>
    <t>11.08.2025</t>
  </si>
  <si>
    <t xml:space="preserve">DC1+0 </t>
  </si>
  <si>
    <t>LOC NO.</t>
  </si>
  <si>
    <t>TYPE OF TOWER</t>
  </si>
  <si>
    <t>TODAY'S PLAN</t>
  </si>
  <si>
    <t>TODAY'S PROGRESS</t>
  </si>
  <si>
    <t>TOMMOROW'S PLAN</t>
  </si>
  <si>
    <t>START DATE</t>
  </si>
  <si>
    <t>COMPLETION DATE</t>
  </si>
  <si>
    <t>GANG</t>
  </si>
  <si>
    <t>13.05.2025</t>
  </si>
  <si>
    <t xml:space="preserve">JSC CONST. </t>
  </si>
  <si>
    <t>YATHATHART</t>
  </si>
  <si>
    <t>GM CONST.</t>
  </si>
  <si>
    <t>16.05.2025</t>
  </si>
  <si>
    <t xml:space="preserve">19.05.2025 </t>
  </si>
  <si>
    <t>13.06.2025</t>
  </si>
  <si>
    <t>17.06.2025</t>
  </si>
  <si>
    <t xml:space="preserve">SREE SAI BRICKS </t>
  </si>
  <si>
    <t>20.06.2025</t>
  </si>
  <si>
    <t>10.07.2025</t>
  </si>
  <si>
    <t>15.07.2025</t>
  </si>
  <si>
    <t>17.07.2025</t>
  </si>
  <si>
    <t xml:space="preserve">13/08/2025 </t>
  </si>
  <si>
    <t xml:space="preserve">Shakhina Bibi </t>
  </si>
  <si>
    <t>16/08/2025</t>
  </si>
  <si>
    <t>Agency: - M/s KEC INTERNATIONAL LIMITED</t>
  </si>
  <si>
    <t xml:space="preserve">NOA No.: CC/T/W-TW/DOM/A00/23/13147/NOA-1/24-114171/01 Dated 26/11/2024 </t>
  </si>
  <si>
    <t xml:space="preserve">Date: </t>
  </si>
  <si>
    <t>LOA Quantity</t>
  </si>
  <si>
    <t>Final Estimated Quantity</t>
  </si>
  <si>
    <t>Cum. L2 till Last Month</t>
  </si>
  <si>
    <t>Cum Progress till Last Month</t>
  </si>
  <si>
    <t>L2 for present Month</t>
  </si>
  <si>
    <t>Plan for the Month</t>
  </si>
  <si>
    <t>Progress for Today</t>
  </si>
  <si>
    <t>Progress for the Month</t>
  </si>
  <si>
    <t>Cum. L2 till date</t>
  </si>
  <si>
    <t>Cum. Progress till date</t>
  </si>
  <si>
    <t>Balance Work</t>
  </si>
  <si>
    <t>Under Progress</t>
  </si>
  <si>
    <t>Gangs at Present</t>
  </si>
  <si>
    <t>Completed LOC.  (Today)</t>
  </si>
  <si>
    <t>Foundation (Loc)</t>
  </si>
  <si>
    <t>Earthing (Loc)</t>
  </si>
  <si>
    <t>Erection (Loc)</t>
  </si>
  <si>
    <t>Stringing (Km)</t>
  </si>
  <si>
    <t>Rough Sag</t>
  </si>
  <si>
    <t>Final Sag</t>
  </si>
  <si>
    <t>Original Route alignment</t>
  </si>
  <si>
    <t>KM</t>
  </si>
  <si>
    <t>Diverted Route Alignment</t>
  </si>
  <si>
    <t xml:space="preserve">Pending </t>
  </si>
  <si>
    <t>Crossing Proposals</t>
  </si>
  <si>
    <t>Power line Crossings</t>
  </si>
  <si>
    <t>NOC Received</t>
  </si>
  <si>
    <t>Aviation/Defence proposal</t>
  </si>
  <si>
    <t>Major river crossing</t>
  </si>
  <si>
    <t>Forest </t>
  </si>
  <si>
    <t>Other Crossings (Specify)</t>
  </si>
  <si>
    <t xml:space="preserve">Forest </t>
  </si>
  <si>
    <t>Other Crossings (Gas/oil pipe line)</t>
  </si>
  <si>
    <t>Gas/Oil Pipe line</t>
  </si>
  <si>
    <t>Canal</t>
  </si>
  <si>
    <t>Other Crossings (State Highway)</t>
  </si>
  <si>
    <t>Other Crossings (Civil Aviation)</t>
  </si>
  <si>
    <t>TA-509 - 765 kV D/C Mandsaur - Kurawar </t>
  </si>
  <si>
    <t>KEC International Ltd.  </t>
  </si>
  <si>
    <t>Description</t>
  </si>
  <si>
    <t>Submitted</t>
  </si>
  <si>
    <t>Approved</t>
  </si>
  <si>
    <t xml:space="preserve">55/0-58/0-ROUTE DIVERSION </t>
  </si>
  <si>
    <t xml:space="preserve">APPROVAL AWAITED </t>
  </si>
  <si>
    <t>NA</t>
  </si>
  <si>
    <t>NA (Non navigable)</t>
  </si>
  <si>
    <t>42/0-43/0-POWERLINE-XING JOINT VERFICATION DONE BY (26/06/2025)</t>
  </si>
  <si>
    <t>31/0-32/0-RAILWAY-XING JOINT VERFICATION DONE BY (27/06/2025)</t>
  </si>
  <si>
    <t>28/0-29/0-POWERLINE-XING JOINT VERFICATION DONE BY (04/07/2025)</t>
  </si>
  <si>
    <t xml:space="preserve">TA-509 765 KV D/C Mandsaur - Kurawar (Part-1)Transmission Line(WZ-4)
</t>
  </si>
  <si>
    <t xml:space="preserve">Sl No </t>
  </si>
  <si>
    <t xml:space="preserve">SL NO. </t>
  </si>
  <si>
    <t xml:space="preserve">AP NO </t>
  </si>
  <si>
    <t>Towe Type</t>
  </si>
  <si>
    <t xml:space="preserve">AP No </t>
  </si>
  <si>
    <t xml:space="preserve">Type of Crossings </t>
  </si>
  <si>
    <t>Line Name</t>
  </si>
  <si>
    <t>LINE OWNER</t>
  </si>
  <si>
    <t>Status</t>
  </si>
  <si>
    <t>Proposal Submitted (Y/N)</t>
  </si>
  <si>
    <t>Inspection Status (Y/N)</t>
  </si>
  <si>
    <t xml:space="preserve">DD60+25 (1 MRC) </t>
  </si>
  <si>
    <t xml:space="preserve">POWERLINE-XING </t>
  </si>
  <si>
    <t xml:space="preserve">EXISTING 400 KV DC NEEMUCH-MANDSAUR TRANSMISSION LINE   </t>
  </si>
  <si>
    <t>Power Grid</t>
  </si>
  <si>
    <t xml:space="preserve">APPROVAL-AWAITED </t>
  </si>
  <si>
    <t xml:space="preserve">SUBMITTED </t>
  </si>
  <si>
    <t>JOINT INSPECTION DONE BY 04.06.2025</t>
  </si>
  <si>
    <t>DC2+1</t>
  </si>
  <si>
    <t xml:space="preserve">220 KV DC MANDSAUR - NIPANIA TL </t>
  </si>
  <si>
    <t xml:space="preserve">MPPTCL </t>
  </si>
  <si>
    <t xml:space="preserve">220 KV DC SITAMAU-SUWASRA OHTL MPPTCL </t>
  </si>
  <si>
    <t>132KV D/C SUWASARA - BADOD TL (Joint joint inspection Done)</t>
  </si>
  <si>
    <t xml:space="preserve">220 KV OHTL DC BHANPUR-BAROD MPPTCL   </t>
  </si>
  <si>
    <t xml:space="preserve">132 KV SC BHAWANI MANDI - DAG T/L (RRVPNL) </t>
  </si>
  <si>
    <t>RVPNL</t>
  </si>
  <si>
    <t>JOINT INSPECTION DONE BY  26.06.2025</t>
  </si>
  <si>
    <t xml:space="preserve">DC2+18 </t>
  </si>
  <si>
    <t xml:space="preserve">220 KV S/C SUSNER - PACHORA T/L </t>
  </si>
  <si>
    <t xml:space="preserve">RTL </t>
  </si>
  <si>
    <t xml:space="preserve">JOINT INSPECTION PENDING </t>
  </si>
  <si>
    <t xml:space="preserve">DC2+2 </t>
  </si>
  <si>
    <t>220kV D/C Badod-Nalkheda T/Line</t>
  </si>
  <si>
    <t>-</t>
  </si>
  <si>
    <t xml:space="preserve">NOT SUBMITTED YET  </t>
  </si>
  <si>
    <t>PENDING DUE TO FINALIZATION OF SURVEY FOR AVOIDING FOREST IN B/T 52/0-58/0</t>
  </si>
  <si>
    <t xml:space="preserve">132 KV DC  CKT-1 AGAR -SUSNER , CKT-2 AGAR - NALKHEDA OHTL </t>
  </si>
  <si>
    <t xml:space="preserve">NH-XING </t>
  </si>
  <si>
    <t xml:space="preserve">NE-4 DELHI MUMBAI EXPRESSWAY </t>
  </si>
  <si>
    <t xml:space="preserve">NHAI </t>
  </si>
  <si>
    <t xml:space="preserve">NATIONAL HIGHWAY-752D </t>
  </si>
  <si>
    <t xml:space="preserve">NATIONAL HIGHWAY-552G  </t>
  </si>
  <si>
    <t xml:space="preserve">DD60+9 </t>
  </si>
  <si>
    <t xml:space="preserve">RAILWAY-XING </t>
  </si>
  <si>
    <t xml:space="preserve">Between Suwasra &amp; Nathukheri Railway station BG </t>
  </si>
  <si>
    <t xml:space="preserve">INDIAN-RAILWAY KOTA DIVISION </t>
  </si>
  <si>
    <t xml:space="preserve">JOINT INSPECTION DONE BY 27.06.2025 &amp; REVISE INSPECTION PENDING </t>
  </si>
  <si>
    <t xml:space="preserve">18.08.2025 </t>
  </si>
  <si>
    <t xml:space="preserve">WFR </t>
  </si>
  <si>
    <t xml:space="preserve">20.08.2025 </t>
  </si>
  <si>
    <t>19.08.2025</t>
  </si>
  <si>
    <t xml:space="preserve">19.08.2025  </t>
  </si>
  <si>
    <t>20.08.2025</t>
  </si>
  <si>
    <t>SHAKHINA BIBI</t>
  </si>
  <si>
    <t>Name of Line: 765 kV D/C Mandsaur - Kurawar (Part-1)Transmission Line(WZ-4)</t>
  </si>
  <si>
    <t>22/08/2025</t>
  </si>
  <si>
    <t xml:space="preserve">DEONATH MAHATO </t>
  </si>
  <si>
    <t xml:space="preserve">MODINA INDIA  </t>
  </si>
  <si>
    <t>25/08/2025</t>
  </si>
  <si>
    <t>25.08.2025</t>
  </si>
  <si>
    <t>DEVI CONST.-I</t>
  </si>
  <si>
    <t>DEVI CONST.-II</t>
  </si>
  <si>
    <t>VC-765kV MKTL'!A1</t>
  </si>
  <si>
    <t>FOUNDATION!A1</t>
  </si>
  <si>
    <t>EARTHING!A1</t>
  </si>
  <si>
    <t>ERECTION!A1</t>
  </si>
  <si>
    <t>TS!A1</t>
  </si>
  <si>
    <t>22.05.2025 (Revised submission on 12.06 25)</t>
  </si>
  <si>
    <t>Line Name:</t>
  </si>
  <si>
    <t>765KV D/C Mandsaur- Kurawar Transmission Line</t>
  </si>
  <si>
    <t>Package:</t>
  </si>
  <si>
    <t>TA-509</t>
  </si>
  <si>
    <t>Agency:</t>
  </si>
  <si>
    <t>M/s KEC International Limited</t>
  </si>
  <si>
    <t>Status as on:</t>
  </si>
  <si>
    <t>Supply Status</t>
  </si>
  <si>
    <t>S. No.</t>
  </si>
  <si>
    <t>Item Name</t>
  </si>
  <si>
    <t>Supplier Name</t>
  </si>
  <si>
    <t>Anticipated Qty</t>
  </si>
  <si>
    <t>Supplied Qty</t>
  </si>
  <si>
    <t>Supply In progress</t>
  </si>
  <si>
    <t>Balance supply</t>
  </si>
  <si>
    <t>Stub</t>
  </si>
  <si>
    <t>KEC Int'l Ltd.</t>
  </si>
  <si>
    <t>Tower</t>
  </si>
  <si>
    <t>Conductor</t>
  </si>
  <si>
    <t>Conductor Qty in KM</t>
  </si>
  <si>
    <t>H/W fittings</t>
  </si>
  <si>
    <t>Mosdorfer</t>
  </si>
  <si>
    <t>H/W Fitting Qty in Sets</t>
  </si>
  <si>
    <t>Insulator</t>
  </si>
  <si>
    <t>Insulator Qty in Nos</t>
  </si>
  <si>
    <t>E/W</t>
  </si>
  <si>
    <t>GK Wires</t>
  </si>
  <si>
    <t>E/W Qty in KM.</t>
  </si>
  <si>
    <t>OPGW Qty in KM.</t>
  </si>
  <si>
    <t>Item</t>
  </si>
  <si>
    <t xml:space="preserve">ERECTION-STATUS </t>
  </si>
  <si>
    <t>14.09.2025</t>
  </si>
  <si>
    <t>OM CONSTRUCTION</t>
  </si>
  <si>
    <t>Aditya Birla</t>
  </si>
  <si>
    <t>Sterlite</t>
  </si>
  <si>
    <t>Location No.</t>
  </si>
  <si>
    <t>Affected Towers/ Locations (Nos)</t>
  </si>
  <si>
    <t>Area of concern</t>
  </si>
  <si>
    <t>Name of Transmission Line/Section in between stations</t>
  </si>
  <si>
    <t>Authority</t>
  </si>
  <si>
    <t>Proposal Submission date</t>
  </si>
  <si>
    <t>Status as on date</t>
  </si>
  <si>
    <t>Place of follow up</t>
  </si>
  <si>
    <t>Expected date for Work Permission</t>
  </si>
  <si>
    <t xml:space="preserve">Responsibility  KEC </t>
  </si>
  <si>
    <t>Responsibility Power Grid</t>
  </si>
  <si>
    <t>i)</t>
  </si>
  <si>
    <t>11/0-12/0</t>
  </si>
  <si>
    <t>Power Line Crossing of Power Grid</t>
  </si>
  <si>
    <t>OH</t>
  </si>
  <si>
    <t xml:space="preserve"> Joint inspection Done date on- 04.06.25</t>
  </si>
  <si>
    <t>Power Grid Vadodara (RHQ), Neemuch Sub-station of Powergrid</t>
  </si>
  <si>
    <t>Approved On 21.07.2025</t>
  </si>
  <si>
    <t>Devesh</t>
  </si>
  <si>
    <t xml:space="preserve">Onkar singh Bharti(DGM) </t>
  </si>
  <si>
    <t>ii)</t>
  </si>
  <si>
    <t>25/0-26/0</t>
  </si>
  <si>
    <t>Power Line Crossing of MPPTCL</t>
  </si>
  <si>
    <t>Joint inspection Done date on- 04.06.25</t>
  </si>
  <si>
    <t>Office of Chief Enginneer, MPPTCL, Jabalpur</t>
  </si>
  <si>
    <t>Approved On 18.08.2025</t>
  </si>
  <si>
    <t>iii)</t>
  </si>
  <si>
    <t>28/0-29/0</t>
  </si>
  <si>
    <t>22.05.2025 (Revised submission on 12.06 25, 04.07.2025)</t>
  </si>
  <si>
    <t>iv)</t>
  </si>
  <si>
    <t>33/0-34/0</t>
  </si>
  <si>
    <t>v)</t>
  </si>
  <si>
    <t>37/0-38/0</t>
  </si>
  <si>
    <t>vi)</t>
  </si>
  <si>
    <t>54/0-55/0</t>
  </si>
  <si>
    <t>pending due to finalization of survey for avoiding forest in between section 52/0 - 58/0</t>
  </si>
  <si>
    <t>vii)</t>
  </si>
  <si>
    <t>62/0-63/0</t>
  </si>
  <si>
    <t>Joint inspection Pending</t>
  </si>
  <si>
    <t>viii)</t>
  </si>
  <si>
    <t>42/0-43/0</t>
  </si>
  <si>
    <t>Power Line Crossing of RVPNL</t>
  </si>
  <si>
    <t>Approved on 04.07.2025</t>
  </si>
  <si>
    <t>Office of Chief Enginneer, RVPNL, Jaipur</t>
  </si>
  <si>
    <t>ix)</t>
  </si>
  <si>
    <t>50/0-51/0</t>
  </si>
  <si>
    <t>Power Line Crossing of RTL</t>
  </si>
  <si>
    <t>Office of Chief Enginneer, RTL, Bhopal</t>
  </si>
  <si>
    <t>NH - Crossing</t>
  </si>
  <si>
    <t>17/0-18/0</t>
  </si>
  <si>
    <t>NHAI</t>
  </si>
  <si>
    <t>Joint  inspection Pending</t>
  </si>
  <si>
    <t>Power Grid Suwasra/Mandsaur</t>
  </si>
  <si>
    <t>35/0-36/0</t>
  </si>
  <si>
    <t>joint inspection Done on 22-07-2025</t>
  </si>
  <si>
    <t>60/0-61/0</t>
  </si>
  <si>
    <t>Railway Crossing</t>
  </si>
  <si>
    <t>31/0-32/0</t>
  </si>
  <si>
    <t>Indian Railway Kota Division</t>
  </si>
  <si>
    <t>17.06.2025(Revised submission on 30.06 25)</t>
  </si>
  <si>
    <t>Joint inspection Done date on- 27.06.2025 revised inspection date pending</t>
  </si>
  <si>
    <t>02.09.2025</t>
  </si>
  <si>
    <t>07.09.2025</t>
  </si>
  <si>
    <t>13.09.2025</t>
  </si>
  <si>
    <t>11.09.2025</t>
  </si>
  <si>
    <t>12.09.2025</t>
  </si>
  <si>
    <t>15.09.2025</t>
  </si>
  <si>
    <t>16.09.2025</t>
  </si>
  <si>
    <t>08.09.2025</t>
  </si>
  <si>
    <t>HEMLAL MAHATO-I (Anita Devi)</t>
  </si>
  <si>
    <t>HEMLAL MAHATO-II (Anita Devi)</t>
  </si>
  <si>
    <t>Durga construction</t>
  </si>
  <si>
    <t>Submission on 18.09.2025</t>
  </si>
  <si>
    <t>18.09.2025</t>
  </si>
  <si>
    <t>19.09.2025</t>
  </si>
  <si>
    <t>20.09.2025</t>
  </si>
  <si>
    <t>22.09.2025</t>
  </si>
  <si>
    <t>23.09.2025</t>
  </si>
  <si>
    <t>24.09.2025</t>
  </si>
  <si>
    <t>25.09.2025</t>
  </si>
  <si>
    <t>26.09.2025</t>
  </si>
  <si>
    <t>27.09.2025</t>
  </si>
  <si>
    <t>29.09.2025</t>
  </si>
  <si>
    <t>30.09.2025</t>
  </si>
  <si>
    <t>01.10.2025</t>
  </si>
  <si>
    <t>02.10.2025</t>
  </si>
  <si>
    <t>06.10.2025</t>
  </si>
  <si>
    <t>07.10.2025</t>
  </si>
  <si>
    <t>DEVI CONST.</t>
  </si>
  <si>
    <t>04.10.2025</t>
  </si>
  <si>
    <t>05.10.2025</t>
  </si>
  <si>
    <t>DS Construction</t>
  </si>
  <si>
    <t>11.10.2025</t>
  </si>
  <si>
    <t>13.10.2025</t>
  </si>
  <si>
    <t>29.09.2205</t>
  </si>
  <si>
    <t>09.10.2025</t>
  </si>
  <si>
    <t>12.10.2025</t>
  </si>
  <si>
    <t>15.10.2025</t>
  </si>
  <si>
    <t>Jay bhawani construction</t>
  </si>
  <si>
    <t>16.10.2025</t>
  </si>
  <si>
    <t>17.10.2025</t>
  </si>
  <si>
    <t xml:space="preserve">MAUSAUDDIN SK </t>
  </si>
  <si>
    <t xml:space="preserve">23/10/2025 </t>
  </si>
  <si>
    <t>29.10.2025</t>
  </si>
  <si>
    <t>02.11.2025</t>
  </si>
  <si>
    <t>26.10.2025</t>
  </si>
  <si>
    <t>24.10.2025</t>
  </si>
  <si>
    <t>22.10.2025</t>
  </si>
  <si>
    <t>30.10.2025</t>
  </si>
  <si>
    <t>19.10.2025</t>
  </si>
  <si>
    <t>06.09.2025</t>
  </si>
  <si>
    <t>24.07.2025</t>
  </si>
  <si>
    <t>'DA+3</t>
  </si>
  <si>
    <t>'DA+0</t>
  </si>
  <si>
    <t>'DB2+0</t>
  </si>
  <si>
    <t>WET</t>
  </si>
  <si>
    <t>DB1(-)1.5</t>
  </si>
  <si>
    <t>DB2(-)1.5</t>
  </si>
  <si>
    <t xml:space="preserve"> Route Finalization pending on account of daiversion due to solar plant</t>
  </si>
  <si>
    <t>03.11.2025</t>
  </si>
  <si>
    <t>28.10.2025</t>
  </si>
  <si>
    <t>24.11.2025</t>
  </si>
  <si>
    <t>31.10.2025</t>
  </si>
  <si>
    <t>Shree Mahakal const.</t>
  </si>
  <si>
    <t>05.11.2025</t>
  </si>
  <si>
    <t>25.10.2025</t>
  </si>
  <si>
    <t>06.11.2025</t>
  </si>
  <si>
    <t>UPTO  July-25
 L2 Schedule</t>
  </si>
  <si>
    <t>07.11.2025</t>
  </si>
  <si>
    <t>08.11.2025</t>
  </si>
  <si>
    <t>11.11.2025</t>
  </si>
  <si>
    <t>Arawali infra-1</t>
  </si>
  <si>
    <t>Arawali infra-2</t>
  </si>
  <si>
    <t>13.11.2025</t>
  </si>
  <si>
    <t>12.11.2025</t>
  </si>
  <si>
    <t>14.11.2025</t>
  </si>
  <si>
    <t>15.11.2025</t>
  </si>
  <si>
    <t>Shree ram construction</t>
  </si>
  <si>
    <t>10.11.2025</t>
  </si>
  <si>
    <t>17.11.2025</t>
  </si>
  <si>
    <t>16.11.2025</t>
  </si>
  <si>
    <t>Approved on 07.11.2027</t>
  </si>
  <si>
    <t>Gas Pipe Line BPCL</t>
  </si>
  <si>
    <t>Water Pipe Line</t>
  </si>
  <si>
    <t>18.11.2025</t>
  </si>
  <si>
    <t>KEC International Limited - Gurgaon.</t>
  </si>
  <si>
    <t>Erection Productivity Gang wise  - Nov'25</t>
  </si>
  <si>
    <t>Sr. No.</t>
  </si>
  <si>
    <t>Sub-Contractor Name</t>
  </si>
  <si>
    <t>Loc. No.</t>
  </si>
  <si>
    <t>Type of Tower</t>
  </si>
  <si>
    <t>Tower Weight (MT)</t>
  </si>
  <si>
    <t>Previous Month</t>
  </si>
  <si>
    <t>01.11.25 (MT)</t>
  </si>
  <si>
    <t>02.11.25 (MT)</t>
  </si>
  <si>
    <t>03.11.25 (MT)</t>
  </si>
  <si>
    <t>04.11.25 (MT)</t>
  </si>
  <si>
    <t>05.11.25 (MT)</t>
  </si>
  <si>
    <t>06.11.25 (MT)</t>
  </si>
  <si>
    <t>07.11.25 (MT)</t>
  </si>
  <si>
    <t>08.11.25 (MT)</t>
  </si>
  <si>
    <t>09.11.25 (MT)</t>
  </si>
  <si>
    <t>10.11.25 (MT)</t>
  </si>
  <si>
    <t>11.11.25 (MT)</t>
  </si>
  <si>
    <t>12.11.25 (MT)</t>
  </si>
  <si>
    <t>13.11.25 (MT)</t>
  </si>
  <si>
    <t>14.11.25 (MT)</t>
  </si>
  <si>
    <t>15.11.25 (MT)</t>
  </si>
  <si>
    <t>16.11.25 (MT)</t>
  </si>
  <si>
    <t>17.11.25 (MT)</t>
  </si>
  <si>
    <t>18.11.25 (MT)</t>
  </si>
  <si>
    <t>19.11.25 (MT)</t>
  </si>
  <si>
    <t>20.11.25 (MT)</t>
  </si>
  <si>
    <t>21.11.25 (MT)</t>
  </si>
  <si>
    <t>22.11.25 (MT)</t>
  </si>
  <si>
    <t>23.11.25 (MT)</t>
  </si>
  <si>
    <t>24.11.25 (MT)</t>
  </si>
  <si>
    <t>25.11.25 (MT)</t>
  </si>
  <si>
    <t>26.11.25 (MT)</t>
  </si>
  <si>
    <t>27.11.25 (MT)</t>
  </si>
  <si>
    <t>28.11.25 (MT)</t>
  </si>
  <si>
    <t>29.11.25 (MT)</t>
  </si>
  <si>
    <t>30.11.25 (MT)</t>
  </si>
  <si>
    <t>Cumulative Till dated</t>
  </si>
  <si>
    <t>Manpower/Gang</t>
  </si>
  <si>
    <t>Plan</t>
  </si>
  <si>
    <t>Actual</t>
  </si>
  <si>
    <t>Shotfall</t>
  </si>
  <si>
    <t>Devi Construction</t>
  </si>
  <si>
    <t>Aravali Infra-1</t>
  </si>
  <si>
    <t>Aravali Infra-2</t>
  </si>
  <si>
    <t>Aravali Infra-3</t>
  </si>
  <si>
    <t>19.11.2025</t>
  </si>
  <si>
    <t>Jawala singh</t>
  </si>
  <si>
    <t>20.11.2025</t>
  </si>
  <si>
    <t>21.11.2025</t>
  </si>
  <si>
    <t>23.11.2025</t>
  </si>
  <si>
    <t>25.11.2025</t>
  </si>
  <si>
    <t>Kaushlya Devi</t>
  </si>
  <si>
    <t>26.11.2025</t>
  </si>
  <si>
    <t>30.05.2025</t>
  </si>
  <si>
    <t>27.11.2025</t>
  </si>
  <si>
    <t>28.11.2025</t>
  </si>
  <si>
    <t>29.11.2025</t>
  </si>
  <si>
    <t>01.12.2025</t>
  </si>
  <si>
    <t>30.11.2025</t>
  </si>
  <si>
    <t>02.12.2025</t>
  </si>
  <si>
    <t>03.12.2025</t>
  </si>
  <si>
    <t>04.12.2025</t>
  </si>
  <si>
    <t>No Progress (Water pipe line)</t>
  </si>
  <si>
    <t>E. RC</t>
  </si>
  <si>
    <t>05.12.2025</t>
  </si>
  <si>
    <t>MAUSAUDDIN SK -II</t>
  </si>
  <si>
    <t>06.12.2025</t>
  </si>
  <si>
    <t>Jai bhawani construction</t>
  </si>
  <si>
    <t>09.12.2025</t>
  </si>
  <si>
    <t>07.12.2025</t>
  </si>
  <si>
    <t>10.12.2025</t>
  </si>
  <si>
    <t>Anita Devi</t>
  </si>
  <si>
    <t>MAUSAUDDIN SK-I</t>
  </si>
  <si>
    <t>Approved on 10.12.2025</t>
  </si>
  <si>
    <t>11.12.2025</t>
  </si>
  <si>
    <t>12.12.2025</t>
  </si>
  <si>
    <t>13.12.2025</t>
  </si>
  <si>
    <t>15.12.2025</t>
  </si>
  <si>
    <t>14.12.2025</t>
  </si>
  <si>
    <t>16.12.2025</t>
  </si>
  <si>
    <t>Jai shree ram construction</t>
  </si>
  <si>
    <t>17.12.2025</t>
  </si>
  <si>
    <t>19.12.2025</t>
  </si>
  <si>
    <t>18.12.2025</t>
  </si>
  <si>
    <t>20.12.2025</t>
  </si>
  <si>
    <t>21.12.2025</t>
  </si>
  <si>
    <t>22.12.2025</t>
  </si>
  <si>
    <t>23.12.2025</t>
  </si>
  <si>
    <t>24.12.2025</t>
  </si>
  <si>
    <t>27.12.2025</t>
  </si>
  <si>
    <t>30.12.2025</t>
  </si>
  <si>
    <t>29.12.2025</t>
  </si>
  <si>
    <t>28.12.2025</t>
  </si>
  <si>
    <t>31.12.2025</t>
  </si>
  <si>
    <t>26.12.2025</t>
  </si>
  <si>
    <t>02.01.2026</t>
  </si>
  <si>
    <t>UPTO  Dec-25 
L2 Schedule</t>
  </si>
  <si>
    <t>03.01.2026</t>
  </si>
  <si>
    <t>04.01.2026</t>
  </si>
  <si>
    <t>4.01.2026</t>
  </si>
  <si>
    <t>06.01.2026</t>
  </si>
  <si>
    <t>05.01.2026</t>
  </si>
  <si>
    <t>07.01.2025</t>
  </si>
  <si>
    <t>09.01.2026</t>
  </si>
  <si>
    <t>10.01.2026</t>
  </si>
  <si>
    <t>12.01.2026</t>
  </si>
  <si>
    <t>11.01.2026</t>
  </si>
  <si>
    <t>08.01.2026</t>
  </si>
  <si>
    <t>14.01.2026</t>
  </si>
  <si>
    <t>15.01.2026</t>
  </si>
  <si>
    <t>16.01.2026</t>
  </si>
  <si>
    <t>19.01.2026</t>
  </si>
  <si>
    <t>20.01.2026</t>
  </si>
  <si>
    <t>Senaul Haque</t>
  </si>
  <si>
    <t>21.01.2026</t>
  </si>
  <si>
    <t>25.01.2026</t>
  </si>
  <si>
    <t>24.01.2026</t>
  </si>
  <si>
    <t>27.01.2026</t>
  </si>
  <si>
    <t>Amit construction</t>
  </si>
  <si>
    <t>28.01.2026</t>
  </si>
  <si>
    <t>29.01.2026</t>
  </si>
  <si>
    <t>13.01.2026</t>
  </si>
  <si>
    <t>30.01.2026</t>
  </si>
  <si>
    <t>DEVI CONST.-2</t>
  </si>
  <si>
    <t>01.02.2026</t>
  </si>
  <si>
    <t>06.02.2026</t>
  </si>
  <si>
    <t>11.02.2026</t>
  </si>
  <si>
    <t>12.02.2026</t>
  </si>
  <si>
    <t>Hemraj yadav</t>
  </si>
  <si>
    <t>22.02.2026</t>
  </si>
  <si>
    <t>23.02.2026</t>
  </si>
  <si>
    <t>25.02.2026</t>
  </si>
  <si>
    <t>26.02.2026</t>
  </si>
  <si>
    <t>05.02.2026</t>
  </si>
  <si>
    <t>03.02.2026</t>
  </si>
  <si>
    <t>02.02.2026</t>
  </si>
  <si>
    <t>31.01.2026</t>
  </si>
  <si>
    <t>08.02.2026</t>
  </si>
  <si>
    <t>07.02.2026</t>
  </si>
  <si>
    <t>09.02.2026</t>
  </si>
  <si>
    <t>10.02.2026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</si>
  <si>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</si>
  <si>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</si>
  <si>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</si>
  <si>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</si>
  <si>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</si>
  <si>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</si>
  <si>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</si>
  <si>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21.02.2026</t>
  </si>
  <si>
    <t>SONI KUMARI</t>
  </si>
  <si>
    <t>ARAVALI INFRA-2</t>
  </si>
  <si>
    <t>ARAVALI INFRA-1</t>
  </si>
  <si>
    <t>DA+1</t>
  </si>
  <si>
    <t>27.02.2026</t>
  </si>
  <si>
    <t>28.02.2026</t>
  </si>
  <si>
    <t>03.03.2026</t>
  </si>
  <si>
    <t>01.03.2026</t>
  </si>
  <si>
    <t>Khatu Shyam construction</t>
  </si>
  <si>
    <t xml:space="preserve">  CLIENT :- POWER GRID CORPORATION OF INDIA LIMITED</t>
  </si>
  <si>
    <t xml:space="preserve">NAME OF PROJECT :- 765 KV D/C Mandsaur - Kurawar (Part 1) Transmission Line 
 </t>
  </si>
  <si>
    <t xml:space="preserve"> M/s. KEC INTERNATIONAL LIMITED</t>
  </si>
  <si>
    <t>Sl.No</t>
  </si>
  <si>
    <t>AP NO.</t>
  </si>
  <si>
    <t>TOWER NO.</t>
  </si>
  <si>
    <t>DEVIATION ANGLE (Deg)</t>
  </si>
  <si>
    <t>SPAN
(Mtr)</t>
  </si>
  <si>
    <t>Section Length (m)</t>
  </si>
  <si>
    <t>CUMULATIVE SPAN</t>
  </si>
  <si>
    <t>R.L (Mtr)</t>
  </si>
  <si>
    <t>HT of Tower (Mtr)</t>
  </si>
  <si>
    <t>Sum of Adjacent Spans</t>
  </si>
  <si>
    <t>WIND SPAN (Mtr)</t>
  </si>
  <si>
    <t>WEIGHT SPAN IN  Mtr (Cold)</t>
  </si>
  <si>
    <t>WEIGHT SPAN IN Mtr (Hot)</t>
  </si>
  <si>
    <t>Spherical Coordinate</t>
  </si>
  <si>
    <t>UTM Coordinates</t>
  </si>
  <si>
    <t>CROSSING DETAILS</t>
  </si>
  <si>
    <t>NAME OF VILLAGE</t>
  </si>
  <si>
    <t>NAME OF TEHSIL</t>
  </si>
  <si>
    <t>NAME OF STATAT</t>
  </si>
  <si>
    <t>LEG EXTENSION</t>
  </si>
  <si>
    <t>Left</t>
  </si>
  <si>
    <t>Right</t>
  </si>
  <si>
    <t>Longitude   (Easting)</t>
  </si>
  <si>
    <t>Latitude     (Northing)</t>
  </si>
  <si>
    <t xml:space="preserve"> Easting</t>
  </si>
  <si>
    <t xml:space="preserve"> Northing</t>
  </si>
  <si>
    <t>A</t>
  </si>
  <si>
    <t>B</t>
  </si>
  <si>
    <t>C</t>
  </si>
  <si>
    <t>D</t>
  </si>
  <si>
    <t/>
  </si>
  <si>
    <t>Mandsur Gantry</t>
  </si>
  <si>
    <t>Gantry</t>
  </si>
  <si>
    <t>AP1/0</t>
  </si>
  <si>
    <t xml:space="preserve"> 7° 41' 29"LT</t>
  </si>
  <si>
    <t>Talabpipalya</t>
  </si>
  <si>
    <t>Malhargarh</t>
  </si>
  <si>
    <t>AP2/0</t>
  </si>
  <si>
    <t>AP3/0</t>
  </si>
  <si>
    <t>AP4/0</t>
  </si>
  <si>
    <t>Kachariya</t>
  </si>
  <si>
    <t>NALA, POND, WELL</t>
  </si>
  <si>
    <t>CT</t>
  </si>
  <si>
    <t>Sohangara</t>
  </si>
  <si>
    <t>METAL ROAD, CT, 11KV, LT</t>
  </si>
  <si>
    <t>WELL, LT</t>
  </si>
  <si>
    <t>AP5/0</t>
  </si>
  <si>
    <t>Aabakhedi</t>
  </si>
  <si>
    <t>Sitamau</t>
  </si>
  <si>
    <t>NALA, PIPAL TREE</t>
  </si>
  <si>
    <t>LT LINE, HUT, CART TRACK</t>
  </si>
  <si>
    <t>75°13'3.049"E</t>
  </si>
  <si>
    <t>24°11'10.942"N</t>
  </si>
  <si>
    <t>Nahargarh</t>
  </si>
  <si>
    <t>LT LINE, 11KV LINE, CART TRACK, WELL, LT T POINT</t>
  </si>
  <si>
    <t>75°13'17.343"E</t>
  </si>
  <si>
    <t>24°11'8.045"N</t>
  </si>
  <si>
    <t>GUAVA GARDEN, CART TRACK, WELL, ORANGE GARDEN</t>
  </si>
  <si>
    <t>75°13'31.948"E</t>
  </si>
  <si>
    <t>24°11'5.084"N</t>
  </si>
  <si>
    <t>GUAVA GARDEN, CART TRACK, ORANGE GARDEN</t>
  </si>
  <si>
    <t xml:space="preserve"> 75°13'45.65"E</t>
  </si>
  <si>
    <t xml:space="preserve"> 24°11'2.29"N</t>
  </si>
  <si>
    <t>11KV LINE, CART TRACK, WELL, 11KV T POINT</t>
  </si>
  <si>
    <t>75°13'58.978"E</t>
  </si>
  <si>
    <t>24°10'59.603"N</t>
  </si>
  <si>
    <t>LT LINE, SAMADHI, WELL, CART TRACK</t>
  </si>
  <si>
    <t>75°14'10.676"E</t>
  </si>
  <si>
    <t>24°10'57.23"N</t>
  </si>
  <si>
    <t>NALA, METAL ROAD, WELL, CART TRACK</t>
  </si>
  <si>
    <t>AP6/0</t>
  </si>
  <si>
    <t xml:space="preserve"> 28° 53' 29"RT</t>
  </si>
  <si>
    <t>75°14'21.884"E</t>
  </si>
  <si>
    <t>24°10'54.956"N</t>
  </si>
  <si>
    <t>CART TRACK</t>
  </si>
  <si>
    <t>75°14'31.994"E</t>
  </si>
  <si>
    <t>24°10'46.792"N</t>
  </si>
  <si>
    <t>CART TRACK, ORANGE GARDEN, 33 KV LINE, WELL, LT LINE, LT T POINT, 11KVTF, 11 KV LINE (TO BE DIVERTED)</t>
  </si>
  <si>
    <t xml:space="preserve"> 75°14'41.93"E</t>
  </si>
  <si>
    <t xml:space="preserve"> 24°10'38.73"N</t>
  </si>
  <si>
    <t>11 KV LINE , 11KV T POINT</t>
  </si>
  <si>
    <t>75°14'52.982"E</t>
  </si>
  <si>
    <t>24°10'29.838"N</t>
  </si>
  <si>
    <t>METAL ROAD, LT LINE, CART TRACK, 11 KV LINE</t>
  </si>
  <si>
    <t>AP7/0</t>
  </si>
  <si>
    <t xml:space="preserve"> 22° 44' 15"LT</t>
  </si>
  <si>
    <t>75°15'3.249"E</t>
  </si>
  <si>
    <t>24°10'21.544"N</t>
  </si>
  <si>
    <t>Khajuri_chandrawat</t>
  </si>
  <si>
    <t>LT line &amp; Cart track</t>
  </si>
  <si>
    <t>75° 15' 15.02"E</t>
  </si>
  <si>
    <t>24° 10' 17.75"N</t>
  </si>
  <si>
    <t>11kV line &amp; Cart track</t>
  </si>
  <si>
    <t>75° 15' 28.13"E</t>
  </si>
  <si>
    <t>24° 10' 13.53"N</t>
  </si>
  <si>
    <t>Cart track</t>
  </si>
  <si>
    <t>75° 15' 40.87"E</t>
  </si>
  <si>
    <t>24° 10' 9.43"N</t>
  </si>
  <si>
    <t>LT line, Cart track &amp; Nala</t>
  </si>
  <si>
    <t>75° 15' 53.91"E</t>
  </si>
  <si>
    <t>24° 10' 5.23"N</t>
  </si>
  <si>
    <t>11kV line, LT line &amp; Cart track</t>
  </si>
  <si>
    <t>AP8/0</t>
  </si>
  <si>
    <t xml:space="preserve"> 2° 0' 34"RT</t>
  </si>
  <si>
    <t>75° 16' 6.98"E</t>
  </si>
  <si>
    <t>24° 10' 1.02"N</t>
  </si>
  <si>
    <t>Cart track &amp; Nala</t>
  </si>
  <si>
    <t>75° 16' 17.91"E</t>
  </si>
  <si>
    <t>24° 9' 57.1"N</t>
  </si>
  <si>
    <t>75° 16' 31.24"E</t>
  </si>
  <si>
    <t>24° 9' 52.31"N</t>
  </si>
  <si>
    <t>75° 16' 44.77"E</t>
  </si>
  <si>
    <t>24° 9' 47.46"N</t>
  </si>
  <si>
    <t>75° 16' 57.91"E</t>
  </si>
  <si>
    <t>24° 9' 42.74"N</t>
  </si>
  <si>
    <t>33kV line, 11kV line, Metal road, Cart track &amp; nala</t>
  </si>
  <si>
    <t>75° 17' 12.17"E</t>
  </si>
  <si>
    <t>24° 9' 37.63"N</t>
  </si>
  <si>
    <t>Beti_khedi</t>
  </si>
  <si>
    <t>75° 17' 23.92"E</t>
  </si>
  <si>
    <t>24° 9' 33.41"N</t>
  </si>
  <si>
    <t>Rojafatehag</t>
  </si>
  <si>
    <t>75° 17' 37.38"E</t>
  </si>
  <si>
    <t>24° 9' 28.58"N</t>
  </si>
  <si>
    <t>LT line, Nala &amp; Cart track</t>
  </si>
  <si>
    <t>75° 17' 51.08"E</t>
  </si>
  <si>
    <t>24° 9' 23.66"N</t>
  </si>
  <si>
    <t>Nala</t>
  </si>
  <si>
    <t xml:space="preserve"> 75°18'3.31"E</t>
  </si>
  <si>
    <t xml:space="preserve"> 24° 9'19.26"N</t>
  </si>
  <si>
    <t xml:space="preserve"> 75°18'15.31"E</t>
  </si>
  <si>
    <t xml:space="preserve"> 24° 9'14.95"N</t>
  </si>
  <si>
    <t>11kV line, metal road &amp; Nala</t>
  </si>
  <si>
    <t>AP9/0</t>
  </si>
  <si>
    <t xml:space="preserve"> 9° 24' 57"LT</t>
  </si>
  <si>
    <t>75° 18' 29.02"</t>
  </si>
  <si>
    <t>24° 9' 10.04"</t>
  </si>
  <si>
    <t>Halu_Khedi</t>
  </si>
  <si>
    <t>LT line</t>
  </si>
  <si>
    <t>75° 18' 42.51"</t>
  </si>
  <si>
    <t>24° 9' 7.42"</t>
  </si>
  <si>
    <t>75° 18' 56.24"</t>
  </si>
  <si>
    <t>24° 9' 4.75"</t>
  </si>
  <si>
    <t>11kV line</t>
  </si>
  <si>
    <t>75° 19' 11.45"</t>
  </si>
  <si>
    <t>24° 9' 1.79"</t>
  </si>
  <si>
    <t>Rupni</t>
  </si>
  <si>
    <t>AP10/0</t>
  </si>
  <si>
    <t xml:space="preserve"> 4° 31' 7"RT</t>
  </si>
  <si>
    <t>75°19'24.673"</t>
  </si>
  <si>
    <t>24°8'59.22"</t>
  </si>
  <si>
    <t>33kV line,2no's LT line, Metal road &amp; 2no's nala</t>
  </si>
  <si>
    <t>75°19'37.789"</t>
  </si>
  <si>
    <t>24°8'55.66"</t>
  </si>
  <si>
    <t>Cart track,Well</t>
  </si>
  <si>
    <t>75°19'49.885"</t>
  </si>
  <si>
    <t>24°8'52.375"</t>
  </si>
  <si>
    <t>11kV line, Nala &amp; Cart track</t>
  </si>
  <si>
    <t>75°20'2.287"</t>
  </si>
  <si>
    <t>24°8'49.007"</t>
  </si>
  <si>
    <t>Risthal</t>
  </si>
  <si>
    <t>2 No's 11kV line, Nala &amp; Cart track</t>
  </si>
  <si>
    <t>AP11/0</t>
  </si>
  <si>
    <t xml:space="preserve"> 25° 28' 21"LT</t>
  </si>
  <si>
    <t>75°20'18.43"</t>
  </si>
  <si>
    <t>24°8'44.623"</t>
  </si>
  <si>
    <t>400 KV DC NEEMUCH-MANDSAUR TL TN 253 - TN 254</t>
  </si>
  <si>
    <t>AP12/0</t>
  </si>
  <si>
    <t xml:space="preserve"> 27° 8' 47"RT</t>
  </si>
  <si>
    <t>75°20'25.289"</t>
  </si>
  <si>
    <t>24°8'45.618"</t>
  </si>
  <si>
    <t>1M RC</t>
  </si>
  <si>
    <t>75°20'41.349"</t>
  </si>
  <si>
    <t>24°8'40.784"</t>
  </si>
  <si>
    <t>75°20'53.57"</t>
  </si>
  <si>
    <t>24°8'37.104"</t>
  </si>
  <si>
    <t>75°21'4.613"</t>
  </si>
  <si>
    <t>24°8'33.779"</t>
  </si>
  <si>
    <t>75°21'17.272"</t>
  </si>
  <si>
    <t>24°8'29.967"</t>
  </si>
  <si>
    <t>75°21'30.503"</t>
  </si>
  <si>
    <t>24°8'25.983"</t>
  </si>
  <si>
    <t>Boliya</t>
  </si>
  <si>
    <t>75°21'43.868"</t>
  </si>
  <si>
    <t>24°8'21.957"</t>
  </si>
  <si>
    <t>11kV line &amp; 2No'sCart track,Well</t>
  </si>
  <si>
    <t>75°21'57.132"</t>
  </si>
  <si>
    <t>24°8'17.962"</t>
  </si>
  <si>
    <t>AP13/0</t>
  </si>
  <si>
    <t xml:space="preserve"> 9° 25' 31"RT</t>
  </si>
  <si>
    <t>75°22'9.688"</t>
  </si>
  <si>
    <t>24°8'14.179"</t>
  </si>
  <si>
    <t>LT line, Nala &amp; Cart track,Pond,Well</t>
  </si>
  <si>
    <t>75°22'20.897"</t>
  </si>
  <si>
    <t>24°8'8.801"</t>
  </si>
  <si>
    <t>2No's Cart track</t>
  </si>
  <si>
    <t>75°22'32.641"</t>
  </si>
  <si>
    <t>24°8'3.167"</t>
  </si>
  <si>
    <t>Vishanya</t>
  </si>
  <si>
    <t>2No'sLT line &amp;2No's Cart track</t>
  </si>
  <si>
    <t>75°22'44.572"</t>
  </si>
  <si>
    <t>24°7'57.442"</t>
  </si>
  <si>
    <t>75°22'55.372"</t>
  </si>
  <si>
    <t>24°7'52.259"</t>
  </si>
  <si>
    <t>75°23'5.733"</t>
  </si>
  <si>
    <t>24°7'47.287"</t>
  </si>
  <si>
    <t>AP14/0</t>
  </si>
  <si>
    <t xml:space="preserve"> 18° 44' 47"LT</t>
  </si>
  <si>
    <t>75°23'17.263"</t>
  </si>
  <si>
    <t>24°7'41.754"</t>
  </si>
  <si>
    <t>33kV line,11kV line,LT line, Metal road,Cart track &amp; nala</t>
  </si>
  <si>
    <t>75°23'30.74"</t>
  </si>
  <si>
    <t>24°7'39.825"</t>
  </si>
  <si>
    <t>75°23'43.167"</t>
  </si>
  <si>
    <t>24°7'38.047"</t>
  </si>
  <si>
    <t>11kV line,LT line, Metal road &amp; Cart track</t>
  </si>
  <si>
    <t>75°23'55.664"</t>
  </si>
  <si>
    <t>24°7'36.258"</t>
  </si>
  <si>
    <t>Khajuri_Goud</t>
  </si>
  <si>
    <t>75°24'9.421"</t>
  </si>
  <si>
    <t>24°7'34.289"</t>
  </si>
  <si>
    <t>75°24'22.828"</t>
  </si>
  <si>
    <t>24°7'32.369"</t>
  </si>
  <si>
    <t>LT line (To be diverted), Nala &amp; Cart track</t>
  </si>
  <si>
    <t>AP15/0</t>
  </si>
  <si>
    <t xml:space="preserve"> 12° 10' 5"RT</t>
  </si>
  <si>
    <t>75°24'36.413"</t>
  </si>
  <si>
    <t>24°7'30.424"</t>
  </si>
  <si>
    <t>75°24'48.581"</t>
  </si>
  <si>
    <t>24°7'26.128"</t>
  </si>
  <si>
    <t>75°25'2.204"</t>
  </si>
  <si>
    <t>24°7'21.319"</t>
  </si>
  <si>
    <t>75°25'15.959"</t>
  </si>
  <si>
    <t>24°7'16.462"</t>
  </si>
  <si>
    <t>75°25'29.416"</t>
  </si>
  <si>
    <t>24°7'11.71"</t>
  </si>
  <si>
    <t>75°25'43.468"</t>
  </si>
  <si>
    <t>24°7'6.748"</t>
  </si>
  <si>
    <t>Salriya</t>
  </si>
  <si>
    <t>75°25'56.23"</t>
  </si>
  <si>
    <t>24°7'2.241"</t>
  </si>
  <si>
    <t>Raised Chimney</t>
  </si>
  <si>
    <t>75°26'8.099"</t>
  </si>
  <si>
    <t>24°6'58.049"</t>
  </si>
  <si>
    <t>75°26'20.266"</t>
  </si>
  <si>
    <t>24°6'53.751"</t>
  </si>
  <si>
    <t>75°26'33.16"</t>
  </si>
  <si>
    <t>24°6'49.196"</t>
  </si>
  <si>
    <t>Borkhedi_Jagir</t>
  </si>
  <si>
    <t>AP16/0</t>
  </si>
  <si>
    <t>2°04'42"RT</t>
  </si>
  <si>
    <t>75° 26' 46.7"</t>
  </si>
  <si>
    <t>24° 6' 44.41"</t>
  </si>
  <si>
    <t>75° 26' 59.29"</t>
  </si>
  <si>
    <t>24° 6' 40.05"</t>
  </si>
  <si>
    <t>2 NOS CART TRACK / LT LINE</t>
  </si>
  <si>
    <t>75° 27' 11.46"</t>
  </si>
  <si>
    <t>24° 6' 35.84"</t>
  </si>
  <si>
    <t>3 NOS. NALA/ CART TRACK/LT LINE</t>
  </si>
  <si>
    <t>75° 27' 25.81"</t>
  </si>
  <si>
    <t>24° 6' 30.86"</t>
  </si>
  <si>
    <t>WELL/NALA/CART TRACK /11 KV LINE</t>
  </si>
  <si>
    <t>75° 27' 39.06"</t>
  </si>
  <si>
    <t>24° 6' 26.27"</t>
  </si>
  <si>
    <t>TAR ROAD/11KV LINE</t>
  </si>
  <si>
    <t>75° 27' 52.19"</t>
  </si>
  <si>
    <t>24° 6' 21.72"</t>
  </si>
  <si>
    <t>3 NOS NALA</t>
  </si>
  <si>
    <t>75° 28' 6.11"</t>
  </si>
  <si>
    <t>24° 6' 16.9"</t>
  </si>
  <si>
    <t>Chimangad</t>
  </si>
  <si>
    <t>WELL</t>
  </si>
  <si>
    <t>75° 28' 17.84"</t>
  </si>
  <si>
    <t>24° 6' 12.83"</t>
  </si>
  <si>
    <t>11 KV LINE/TAR ROAD/CART TRACK/WELL</t>
  </si>
  <si>
    <t>75° 28' 29.37"</t>
  </si>
  <si>
    <t>24° 6' 8.84"</t>
  </si>
  <si>
    <t>75° 28' 39.94"</t>
  </si>
  <si>
    <t>24° 6' 5.17"</t>
  </si>
  <si>
    <t>2 NOS 11KV /CART TRACK/BRICK FACTORY</t>
  </si>
  <si>
    <t>75° 28' 52.5"</t>
  </si>
  <si>
    <t>24° 6' 0.82"</t>
  </si>
  <si>
    <t>NALA</t>
  </si>
  <si>
    <t>75° 29' 6.68"</t>
  </si>
  <si>
    <t>24° 5' 55.9"</t>
  </si>
  <si>
    <t>CART TRACK/11KV LINE/PUMP</t>
  </si>
  <si>
    <t>AP17/0</t>
  </si>
  <si>
    <t>12°41'17"RT</t>
  </si>
  <si>
    <t>75° 29' 19.83"</t>
  </si>
  <si>
    <t>24° 5' 51.34"</t>
  </si>
  <si>
    <t>Chahkhedi</t>
  </si>
  <si>
    <t>AP18/0</t>
  </si>
  <si>
    <t xml:space="preserve"> 35° 35' 35"LT</t>
  </si>
  <si>
    <t>75°29'27.132"E</t>
  </si>
  <si>
    <t>24°5'46.924"N</t>
  </si>
  <si>
    <t>75°29'42.103"E</t>
  </si>
  <si>
    <t>24°5'47.454"N</t>
  </si>
  <si>
    <t>CT, NALA</t>
  </si>
  <si>
    <t>AP19/0</t>
  </si>
  <si>
    <t xml:space="preserve"> 37° 14' 44"LT</t>
  </si>
  <si>
    <t>75°29'56.082"E</t>
  </si>
  <si>
    <t>24°5'47.949"N</t>
  </si>
  <si>
    <t>AP20/0</t>
  </si>
  <si>
    <t xml:space="preserve"> 52° 09' 12"RT</t>
  </si>
  <si>
    <t xml:space="preserve"> 75°30'9.71"E</t>
  </si>
  <si>
    <t xml:space="preserve"> 24° 5'58.26"N</t>
  </si>
  <si>
    <t>Dhandi</t>
  </si>
  <si>
    <t>Suwasara</t>
  </si>
  <si>
    <t>11KV, LT</t>
  </si>
  <si>
    <t xml:space="preserve"> 75°30'22.74"E</t>
  </si>
  <si>
    <t xml:space="preserve"> 24° 5'55.55"N</t>
  </si>
  <si>
    <t>CT, POND, WELL</t>
  </si>
  <si>
    <t xml:space="preserve"> 75°30'38.06"E</t>
  </si>
  <si>
    <t xml:space="preserve"> 24° 5'52.38"N</t>
  </si>
  <si>
    <t>CT, POND, HUT</t>
  </si>
  <si>
    <t>AP21/0</t>
  </si>
  <si>
    <t xml:space="preserve"> 24° 53' 25"RT</t>
  </si>
  <si>
    <t>75°30'49.948"E</t>
  </si>
  <si>
    <t>24°5'49.936"N</t>
  </si>
  <si>
    <t>11KV, LT, NALA</t>
  </si>
  <si>
    <t>75°31'0.893"E</t>
  </si>
  <si>
    <t>24°5'42.199"N</t>
  </si>
  <si>
    <t>Haripura</t>
  </si>
  <si>
    <t>75°31'10.77"E</t>
  </si>
  <si>
    <t>24°5'35.216"N</t>
  </si>
  <si>
    <t>75°31'22.724"E</t>
  </si>
  <si>
    <t>24°5'26.764"N</t>
  </si>
  <si>
    <t>75°31'33.78"E</t>
  </si>
  <si>
    <t>24°5'18.947"N</t>
  </si>
  <si>
    <t>AP22/0</t>
  </si>
  <si>
    <t xml:space="preserve"> 35° 17' 43"LT</t>
  </si>
  <si>
    <t>75°31'45.221"E</t>
  </si>
  <si>
    <t>24°5'10.857"N</t>
  </si>
  <si>
    <t>75°31'58.42"E</t>
  </si>
  <si>
    <t>24°5'10.368"N</t>
  </si>
  <si>
    <t>NALA, METAL ROAD, CT, 11KV, WELL</t>
  </si>
  <si>
    <t>AP23/0</t>
  </si>
  <si>
    <t xml:space="preserve"> 39° 44' 47"RT</t>
  </si>
  <si>
    <t>75°32'12.86"E</t>
  </si>
  <si>
    <t>24°5'9.833"N</t>
  </si>
  <si>
    <t>11KV, CT, LT</t>
  </si>
  <si>
    <t>75°32'22.825"E</t>
  </si>
  <si>
    <t>24°5'1.577"N</t>
  </si>
  <si>
    <t>11KV, WELL, METAL ROAD</t>
  </si>
  <si>
    <t>AP24/0</t>
  </si>
  <si>
    <t xml:space="preserve"> 23° 2' 13"LT</t>
  </si>
  <si>
    <t>75°32'33.491"E</t>
  </si>
  <si>
    <t>24°4'52.741"N</t>
  </si>
  <si>
    <t xml:space="preserve">ORANGE GARDEN, 11KV, CT, WELL, </t>
  </si>
  <si>
    <t>75°32'46.381"E</t>
  </si>
  <si>
    <t>24°4'48.661"N</t>
  </si>
  <si>
    <t>LT,CT, WELL, 11KV</t>
  </si>
  <si>
    <t>75°32'59.773"E</t>
  </si>
  <si>
    <t>24°4'44.42"N</t>
  </si>
  <si>
    <t>33KV</t>
  </si>
  <si>
    <t>75°33'14.471"E</t>
  </si>
  <si>
    <t>24°4'39.767"N</t>
  </si>
  <si>
    <t>11KV, 33KV</t>
  </si>
  <si>
    <t>75°33'27.862"E</t>
  </si>
  <si>
    <t>24°4'35.526"N</t>
  </si>
  <si>
    <t>75°33'37.604"E</t>
  </si>
  <si>
    <t>24°4'32.44"N</t>
  </si>
  <si>
    <t>33KV, CT, WELL</t>
  </si>
  <si>
    <t>75°33'50.661"E</t>
  </si>
  <si>
    <t>24°4'28.305"N</t>
  </si>
  <si>
    <t>CT, BORE</t>
  </si>
  <si>
    <t>75°34'4.152"E</t>
  </si>
  <si>
    <t>24°4'24.032"N</t>
  </si>
  <si>
    <t>33KV, WELL, 11KV, CT</t>
  </si>
  <si>
    <t>75°34'18.279"E</t>
  </si>
  <si>
    <t>24°4'19.556"N</t>
  </si>
  <si>
    <t>Kantiya</t>
  </si>
  <si>
    <t>11KV, METAL ROAD</t>
  </si>
  <si>
    <t>75°34'31.301"E</t>
  </si>
  <si>
    <t>24°4'15.431"N</t>
  </si>
  <si>
    <t>LT, NALA, CT</t>
  </si>
  <si>
    <t>75°34'45.896"E</t>
  </si>
  <si>
    <t>24°4'10.806"N</t>
  </si>
  <si>
    <t>WELL, CT, 11KV</t>
  </si>
  <si>
    <t>75°34'58.616"E</t>
  </si>
  <si>
    <t>24°4'6.775"N</t>
  </si>
  <si>
    <t>CT, WELL, NALA</t>
  </si>
  <si>
    <t>AP25/0</t>
  </si>
  <si>
    <t xml:space="preserve"> 12° 27' 1"RT</t>
  </si>
  <si>
    <t>75°35'13.522"E</t>
  </si>
  <si>
    <t>24°4'2.051"N</t>
  </si>
  <si>
    <t>220 KV DC MANDSAUR - NIPANIA TL MPPTCL T83-84, LT, ORANGE GARDEN</t>
  </si>
  <si>
    <t>AP26/0</t>
  </si>
  <si>
    <t xml:space="preserve"> 19° 44' 39"LT</t>
  </si>
  <si>
    <t>75°35'20.159"E</t>
  </si>
  <si>
    <t>24°3'58.318"N</t>
  </si>
  <si>
    <t>ORANGE GARDEN, CT, WELL</t>
  </si>
  <si>
    <t>75°35'35.24"E</t>
  </si>
  <si>
    <t>24°3'55.438"N</t>
  </si>
  <si>
    <t>Ruparail</t>
  </si>
  <si>
    <t>CT, LT, 11KV, WELL</t>
  </si>
  <si>
    <t>75°35'49.281"E</t>
  </si>
  <si>
    <t>24°3'52.755"N</t>
  </si>
  <si>
    <t>METAL ROAD, 11KV, WELL, POND, CT, LT</t>
  </si>
  <si>
    <t>75°36'4.327"E</t>
  </si>
  <si>
    <t>24°3'49.881"N</t>
  </si>
  <si>
    <t>CT, NALA, HUT, WELL, BARGAD TREE</t>
  </si>
  <si>
    <t>75°36'17.5"E</t>
  </si>
  <si>
    <t>24°3'47.364"N</t>
  </si>
  <si>
    <t>AP27/0</t>
  </si>
  <si>
    <t xml:space="preserve"> 13° 19' 59"RT</t>
  </si>
  <si>
    <t>75°36'30.634"E</t>
  </si>
  <si>
    <t>24°3'44.854"N</t>
  </si>
  <si>
    <t>Devriya_vijay</t>
  </si>
  <si>
    <t>WELL, CT, 11KV, PIPAL TREE</t>
  </si>
  <si>
    <t>NALA, 11KV, SAMADHI, LT END, 11KV TF</t>
  </si>
  <si>
    <t>75°37'0.841"E</t>
  </si>
  <si>
    <t>24°3'31.865"N</t>
  </si>
  <si>
    <t>MAHUA TREE, GUAVA GARDEN, FENCE, WELL, PUMPHOUSE, LT, METAL ROAD, 11KV, NEW GARDEN</t>
  </si>
  <si>
    <t>75°37'12.898"E</t>
  </si>
  <si>
    <t>24°3'26.68"N</t>
  </si>
  <si>
    <t>NEW GARDEN, WELL, CT, 11KV, PIPAL TREE, LT</t>
  </si>
  <si>
    <t>75°37'25.083"E</t>
  </si>
  <si>
    <t>24°3'21.439"N</t>
  </si>
  <si>
    <t>NALA, WELL, LT, WELL</t>
  </si>
  <si>
    <t xml:space="preserve"> 75°37'36.37"E</t>
  </si>
  <si>
    <t xml:space="preserve"> 24° 3'16.58"N</t>
  </si>
  <si>
    <t>NALA, 11KV, METAL ROAD, WELL, BORE, CT, 11KV T-POINT, LT</t>
  </si>
  <si>
    <t>AP28/0</t>
  </si>
  <si>
    <t xml:space="preserve"> 41° 48' 21"RT</t>
  </si>
  <si>
    <t>75°37'47.94"E</t>
  </si>
  <si>
    <t>24°3'11.608"N</t>
  </si>
  <si>
    <t>LT, 220 KV D GUJARKHEDI-MANDSAUR TL MPPTCL  (T57-58)</t>
  </si>
  <si>
    <t>AP29/0</t>
  </si>
  <si>
    <t xml:space="preserve"> 34° 38' 47"LT</t>
  </si>
  <si>
    <t>75°37'51.439"E</t>
  </si>
  <si>
    <t>24°3'4.074"N</t>
  </si>
  <si>
    <t xml:space="preserve">POND, CT, PIPAL TREE, LT, WELL, </t>
  </si>
  <si>
    <t>75°38'3.236"E</t>
  </si>
  <si>
    <t>24°2'57.236"N</t>
  </si>
  <si>
    <t>METAL ROAD, WELL, 11KV, WELL, PUMPHOUSE, LT, BORE, 11KV TF</t>
  </si>
  <si>
    <t>75°38'14.882"E</t>
  </si>
  <si>
    <t>24°2'50.484"N</t>
  </si>
  <si>
    <t>Kishorpura</t>
  </si>
  <si>
    <t>WELL, BARGAD TREE, CT, 11KV, LT, METAL ROAD, TF, BORE, HOUSE</t>
  </si>
  <si>
    <t>AP30/0</t>
  </si>
  <si>
    <t xml:space="preserve"> 15° 16' 50"RT</t>
  </si>
  <si>
    <t>75°38'26.821"E</t>
  </si>
  <si>
    <t>24°2'43.563"N</t>
  </si>
  <si>
    <t>BORE, NALA, SAMADHI, WELL, ORANGE GARDEN, 11KV, LT</t>
  </si>
  <si>
    <t>75°38'36.19"E</t>
  </si>
  <si>
    <t>24°2'34.16"N</t>
  </si>
  <si>
    <t>WELL, CT, NALA, LT</t>
  </si>
  <si>
    <t>BORE, NALA, LT, WELL</t>
  </si>
  <si>
    <t>AP31/0</t>
  </si>
  <si>
    <t xml:space="preserve"> 43° 50' 25"LT</t>
  </si>
  <si>
    <t>75°38'53.916"E</t>
  </si>
  <si>
    <t>24°2'16.365"N</t>
  </si>
  <si>
    <t>WELL, DOUBLE TRACK ELECTRIFIED RAILWAY LINE, RAILWAY POLES 770/5 &amp; 770/6</t>
  </si>
  <si>
    <t>AP32/0</t>
  </si>
  <si>
    <t xml:space="preserve"> 22° 23' 30"RT</t>
  </si>
  <si>
    <t>75°39'1.902"E</t>
  </si>
  <si>
    <t>24°2'15.89"N</t>
  </si>
  <si>
    <t>WELL, CT, LT, 11KV, PUMPHOUSE</t>
  </si>
  <si>
    <t>75°39'17.767"E</t>
  </si>
  <si>
    <t>24°2'8.752"N</t>
  </si>
  <si>
    <t>Nathu_Khedi</t>
  </si>
  <si>
    <t>ORANGE GARDEN, 11KV, WELL, MAHUA TREE, LT, BOREWELL</t>
  </si>
  <si>
    <t>75°39'31.946"E</t>
  </si>
  <si>
    <t>24°2'2.372"N</t>
  </si>
  <si>
    <t>11KV, BORE, WELL, HUT, METAL ROAD</t>
  </si>
  <si>
    <t>75°39'44.471"E</t>
  </si>
  <si>
    <t>24°1'56.736"N</t>
  </si>
  <si>
    <t>Dhabla_bhagwan</t>
  </si>
  <si>
    <t>METAL ROAD</t>
  </si>
  <si>
    <t>75°39'56.901"E</t>
  </si>
  <si>
    <t>24°1'51.142"N</t>
  </si>
  <si>
    <t>LT, CT</t>
  </si>
  <si>
    <t>75°40'9.903"E</t>
  </si>
  <si>
    <t>24°1'45.29"N</t>
  </si>
  <si>
    <t>NALA, LT, WELL</t>
  </si>
  <si>
    <t>75°40'21.951"E</t>
  </si>
  <si>
    <t>24°1'39.868"N</t>
  </si>
  <si>
    <t>METAL ROAD, LT</t>
  </si>
  <si>
    <t>75°40'33.521"E</t>
  </si>
  <si>
    <t>24°1'34.659"N</t>
  </si>
  <si>
    <t>NALA, CT</t>
  </si>
  <si>
    <t>AP33/0</t>
  </si>
  <si>
    <t xml:space="preserve"> 30° 25' 18"LT</t>
  </si>
  <si>
    <t>75°40'47.721"E</t>
  </si>
  <si>
    <t>24°1'28.267"N</t>
  </si>
  <si>
    <t>Bhaisola</t>
  </si>
  <si>
    <t>132KV D/C SUWASARA - BADOD MPPTCL (T264-265), LT</t>
  </si>
  <si>
    <t>AP34/0</t>
  </si>
  <si>
    <t xml:space="preserve"> 18° 17' 56"RT</t>
  </si>
  <si>
    <t>75°40'56.794"E</t>
  </si>
  <si>
    <t>24°1'28.895"N</t>
  </si>
  <si>
    <t>CT, WELL, METAL ROAD, 11KV</t>
  </si>
  <si>
    <t>75°41'4.763"E</t>
  </si>
  <si>
    <t>24°1'27.072"N</t>
  </si>
  <si>
    <t>WELL, CT, LT</t>
  </si>
  <si>
    <t>75°41'17.3"E</t>
  </si>
  <si>
    <t>24°1'24.203"N</t>
  </si>
  <si>
    <t>CT, WELL, PUMPHOUSE, NALA</t>
  </si>
  <si>
    <t>75°41'30.318"E</t>
  </si>
  <si>
    <t>24°1'21.223"N</t>
  </si>
  <si>
    <t>NALA, 11KV, LT</t>
  </si>
  <si>
    <t>AP35/0</t>
  </si>
  <si>
    <t xml:space="preserve"> 11° 11' 51"LT</t>
  </si>
  <si>
    <t>75°41'45.426"E</t>
  </si>
  <si>
    <t>24°1'17.765"N</t>
  </si>
  <si>
    <t>Tarnod</t>
  </si>
  <si>
    <t>NALA, NH752D</t>
  </si>
  <si>
    <t>AP36/0</t>
  </si>
  <si>
    <t xml:space="preserve"> 22° 26' 05"RT</t>
  </si>
  <si>
    <t xml:space="preserve"> 75°41'53.23"E</t>
  </si>
  <si>
    <t xml:space="preserve"> 24° 1'17.40"N</t>
  </si>
  <si>
    <t>CART TRACK, LT LINE, WELL, NALA, ORANGE GARDEN</t>
  </si>
  <si>
    <t>75°42'5.888"E</t>
  </si>
  <si>
    <t>24°1'11.94"N</t>
  </si>
  <si>
    <t>75°42'17.287"E</t>
  </si>
  <si>
    <t>24°1'7.005"N</t>
  </si>
  <si>
    <t>Chapa_khedi</t>
  </si>
  <si>
    <t>CART TRACK, LT LINE END, WELL, ORANGE GARDEN</t>
  </si>
  <si>
    <t>75°42'30.223"E</t>
  </si>
  <si>
    <t>24°1'1.405"N</t>
  </si>
  <si>
    <t>11 KV LINE, BARGAD TREE, CART TRACK</t>
  </si>
  <si>
    <t>75°42'42.39"E</t>
  </si>
  <si>
    <t>24°0'56.137"N</t>
  </si>
  <si>
    <t>CART TRACK, LT LINE, WELL, NALA, 11 KV LINE</t>
  </si>
  <si>
    <t>75°42'57.118"E</t>
  </si>
  <si>
    <t>24°0'49.76"N</t>
  </si>
  <si>
    <t>75°43'9.284"E</t>
  </si>
  <si>
    <t>24°0'44.491"N</t>
  </si>
  <si>
    <t>CART TRACK, WELL, HUT</t>
  </si>
  <si>
    <t>75°43'22.506"E</t>
  </si>
  <si>
    <t>24°0'38.765"N</t>
  </si>
  <si>
    <t>75°43'35.728"E</t>
  </si>
  <si>
    <t>24°0'33.038"N</t>
  </si>
  <si>
    <t>Khejdiya_bhup</t>
  </si>
  <si>
    <t>LT LINE, 11 KV LINE, METAL ROAD, WELL</t>
  </si>
  <si>
    <t>AP37/0</t>
  </si>
  <si>
    <t xml:space="preserve"> 41° 25' 41"LT</t>
  </si>
  <si>
    <t>75°43'49.398"E</t>
  </si>
  <si>
    <t>24°0'27.117"N</t>
  </si>
  <si>
    <t>220 KV BAROD SUWASARA MPPTCL (T301-302)</t>
  </si>
  <si>
    <t>AP38/0</t>
  </si>
  <si>
    <t xml:space="preserve"> 37° 39' 42"RT</t>
  </si>
  <si>
    <t>75°43'56.877"E</t>
  </si>
  <si>
    <t>24°0'29.111"N</t>
  </si>
  <si>
    <t>WELL, CART TRACK</t>
  </si>
  <si>
    <t>75°44'11.039"E</t>
  </si>
  <si>
    <t>24°0'23.991"N</t>
  </si>
  <si>
    <t>75°44'22.368"E</t>
  </si>
  <si>
    <t>24°0'19.896"N</t>
  </si>
  <si>
    <t>Borkhedi</t>
  </si>
  <si>
    <t>CART TRACK, LT LINE</t>
  </si>
  <si>
    <t>75°44'34.653"E</t>
  </si>
  <si>
    <t>24°0'15.454"N</t>
  </si>
  <si>
    <t>CART TRACK, 11 KV LINE, NALA, WELL</t>
  </si>
  <si>
    <t>75°44'47.464"E</t>
  </si>
  <si>
    <t>24°0'10.822"N</t>
  </si>
  <si>
    <t>LT LINE, 11 KV LINE, METAL ROAD, NALA, SAMADHI</t>
  </si>
  <si>
    <t>75°45'2.086"E</t>
  </si>
  <si>
    <t>24°0'5.534"N</t>
  </si>
  <si>
    <t>11 KV LINE, POND, LT LINE, CART TRACK, ORANGE GARDEN</t>
  </si>
  <si>
    <t>75°45'12.23"E</t>
  </si>
  <si>
    <t>24°0'1.866"N</t>
  </si>
  <si>
    <t>ORANGE GARDEN, NALA, CART TRACK</t>
  </si>
  <si>
    <t>75°45'23.591"E</t>
  </si>
  <si>
    <t>23°59'57.757"N</t>
  </si>
  <si>
    <t>NALA, CT, 11KV</t>
  </si>
  <si>
    <t>75°45'37.587"E</t>
  </si>
  <si>
    <t>23°59'52.695"N</t>
  </si>
  <si>
    <t>ORANGE GARDEN, WELL</t>
  </si>
  <si>
    <t>AP39/0</t>
  </si>
  <si>
    <t xml:space="preserve"> 17° 32' 52"RT</t>
  </si>
  <si>
    <t>75°45'51.149"E</t>
  </si>
  <si>
    <t>23°59'47.789"N</t>
  </si>
  <si>
    <t>Metal road</t>
  </si>
  <si>
    <t>75°46'2.117"E</t>
  </si>
  <si>
    <t>23°59'39.617"N</t>
  </si>
  <si>
    <t>Nipaniya(Devgarh)</t>
  </si>
  <si>
    <t>Dag</t>
  </si>
  <si>
    <t>RJ</t>
  </si>
  <si>
    <t>11kV line &amp; Nala</t>
  </si>
  <si>
    <t>75°46'13.661"E</t>
  </si>
  <si>
    <t>23°59'31.016"N</t>
  </si>
  <si>
    <t>75°46'23.749"E</t>
  </si>
  <si>
    <t>23°59'23.499"N</t>
  </si>
  <si>
    <t>75°46'33.478"E</t>
  </si>
  <si>
    <t>23°59'16.249"N</t>
  </si>
  <si>
    <t>75°46'44.445"E</t>
  </si>
  <si>
    <t>23°59'8.077"N</t>
  </si>
  <si>
    <t>TPT</t>
  </si>
  <si>
    <t>75°46'54.751"E</t>
  </si>
  <si>
    <t>23°59'0.396"N</t>
  </si>
  <si>
    <t>75°47'5.194"E</t>
  </si>
  <si>
    <t>23°58'52.613"N</t>
  </si>
  <si>
    <t>PeepalyaKhurd</t>
  </si>
  <si>
    <t>75°47'16.324"E</t>
  </si>
  <si>
    <t>23°58'44.317"N</t>
  </si>
  <si>
    <t>PatLai</t>
  </si>
  <si>
    <t>75°47'27.866"E</t>
  </si>
  <si>
    <t>23°58'35.714"N</t>
  </si>
  <si>
    <t>75°47'38.83"E</t>
  </si>
  <si>
    <t>23°58'27.541"N</t>
  </si>
  <si>
    <t>75°47'49.272"E</t>
  </si>
  <si>
    <t>23°58'19.757"N</t>
  </si>
  <si>
    <t>AP40/0</t>
  </si>
  <si>
    <t xml:space="preserve"> 16° 39' 6"RT</t>
  </si>
  <si>
    <t>75°48'0.682"E</t>
  </si>
  <si>
    <t>23°58'11.25"N</t>
  </si>
  <si>
    <t>Metal road &amp; 11kV line</t>
  </si>
  <si>
    <t>75°48'8.657"E</t>
  </si>
  <si>
    <t>23°58'0.505"N</t>
  </si>
  <si>
    <t>75°48'16.471"E</t>
  </si>
  <si>
    <t>23°57'49.975"N</t>
  </si>
  <si>
    <t>Metal road, Cart track &amp; Nala</t>
  </si>
  <si>
    <t>75°48'24.186"E</t>
  </si>
  <si>
    <t>23°57'39.579"N</t>
  </si>
  <si>
    <t>ParthiGarh</t>
  </si>
  <si>
    <t>AP41/0</t>
  </si>
  <si>
    <t xml:space="preserve"> 41° 47' 29"LT</t>
  </si>
  <si>
    <t>75°48'31.085"E</t>
  </si>
  <si>
    <t>23°57'30.282"N</t>
  </si>
  <si>
    <t>33kV line, Nala, Metal road, CT &amp; LT line</t>
  </si>
  <si>
    <t>75°48'44.822"E</t>
  </si>
  <si>
    <t>23°57'27.153"N</t>
  </si>
  <si>
    <t>11kV line, Orange garden, Well, Pipal Tree, Bargad Tree, Pumphouse, 11kV TF &amp; Nala</t>
  </si>
  <si>
    <t>75°48'59.176"E</t>
  </si>
  <si>
    <t>23°57'23.884"N</t>
  </si>
  <si>
    <t>Nala, Well, Bargad Tree</t>
  </si>
  <si>
    <t>75°49'11.229"E</t>
  </si>
  <si>
    <t>23°57'21.138"N</t>
  </si>
  <si>
    <t>Metal road, Well, Bargad Tree &amp; Nala</t>
  </si>
  <si>
    <t>75°49'25.961"E</t>
  </si>
  <si>
    <t>23°57'17.782"N</t>
  </si>
  <si>
    <t>Pipalya Kalan</t>
  </si>
  <si>
    <t>11kV line, Well, Nala</t>
  </si>
  <si>
    <t>75°49'40.074"E</t>
  </si>
  <si>
    <t>23°57'14.566"N</t>
  </si>
  <si>
    <t>11kV line, Well, Pipal Tree, LT End, CT &amp; Metal road</t>
  </si>
  <si>
    <t>75°49'53.157"E</t>
  </si>
  <si>
    <t>23°57'11.585"N</t>
  </si>
  <si>
    <t>Nala, Well, 11kV</t>
  </si>
  <si>
    <t>75°50'8.919"E</t>
  </si>
  <si>
    <t>23°57'7.992"N</t>
  </si>
  <si>
    <t>75°50'21.624"E</t>
  </si>
  <si>
    <t>23°57'5.096"N</t>
  </si>
  <si>
    <t>11kV line, Well, Nala, House &amp; Cart track</t>
  </si>
  <si>
    <t>AP42/0</t>
  </si>
  <si>
    <t xml:space="preserve"> 21° 35' 50"RT</t>
  </si>
  <si>
    <t>75°50'36.229"E</t>
  </si>
  <si>
    <t>23°57'1.767"N</t>
  </si>
  <si>
    <t>AP43/0</t>
  </si>
  <si>
    <t xml:space="preserve"> 21° 27' 46"LT</t>
  </si>
  <si>
    <t>75°50'43.598"E</t>
  </si>
  <si>
    <t>23°56'56.931"N</t>
  </si>
  <si>
    <t>33kV line, 11kV line, Metal road, SH-19A &amp; Cart track</t>
  </si>
  <si>
    <t>AP44/0</t>
  </si>
  <si>
    <t xml:space="preserve"> 11° 33' 40"RT</t>
  </si>
  <si>
    <t>75°50'58.802"E</t>
  </si>
  <si>
    <t>23°56'53.429"N</t>
  </si>
  <si>
    <t>75°51'13.187"E</t>
  </si>
  <si>
    <t>23°56'47.086"N</t>
  </si>
  <si>
    <t>75°51'26.583"E</t>
  </si>
  <si>
    <t>23°56'41.179"N</t>
  </si>
  <si>
    <t>75°51'39.915"E</t>
  </si>
  <si>
    <t>23°56'35.299"N</t>
  </si>
  <si>
    <t>AP45/0</t>
  </si>
  <si>
    <t xml:space="preserve"> 21° 45' 7"RT</t>
  </si>
  <si>
    <t>Orange garden &amp; Nala, CT</t>
  </si>
  <si>
    <t>Ganeshpura</t>
  </si>
  <si>
    <t>11kV line, WELL, CT &amp; Nala</t>
  </si>
  <si>
    <t>11KV, WELL</t>
  </si>
  <si>
    <t>Chhaan(Chhaan Dug)</t>
  </si>
  <si>
    <t>TAR ROAD</t>
  </si>
  <si>
    <t>AP45A/0</t>
  </si>
  <si>
    <t xml:space="preserve"> 24° 2' 43"LT</t>
  </si>
  <si>
    <t>Daryavpura</t>
  </si>
  <si>
    <t>11KV</t>
  </si>
  <si>
    <t>Raised Chimney Expected</t>
  </si>
  <si>
    <t>AP46/0</t>
  </si>
  <si>
    <t xml:space="preserve"> 30° 59' 37"LT</t>
  </si>
  <si>
    <t>Ghati</t>
  </si>
  <si>
    <t>11kV line, Cart track, WELL</t>
  </si>
  <si>
    <t>AP46A/0</t>
  </si>
  <si>
    <t xml:space="preserve"> 15° 18' 60"RT</t>
  </si>
  <si>
    <t>Cart track, WELL &amp; Nala</t>
  </si>
  <si>
    <t>AP47/0</t>
  </si>
  <si>
    <t xml:space="preserve"> 15° 21' 6"RT</t>
  </si>
  <si>
    <t>75°54'52.877"E</t>
  </si>
  <si>
    <t>23°55'26.482"N</t>
  </si>
  <si>
    <t>Dodhi</t>
  </si>
  <si>
    <t>75°55'6.156"E</t>
  </si>
  <si>
    <t>23°55'21.29"N</t>
  </si>
  <si>
    <t>75°55'19.599"E</t>
  </si>
  <si>
    <t>23°55'16.035"N</t>
  </si>
  <si>
    <t>75°55'32.943"E</t>
  </si>
  <si>
    <t>23°55'10.818"N</t>
  </si>
  <si>
    <t>75°55'46.157"E</t>
  </si>
  <si>
    <t>23°55'5.651"N</t>
  </si>
  <si>
    <t>75°55'59.533"E</t>
  </si>
  <si>
    <t>23°55'0.42"N</t>
  </si>
  <si>
    <t>75°56'11.64"E</t>
  </si>
  <si>
    <t>23°54'55.685"N</t>
  </si>
  <si>
    <t>75°56'24.202"E</t>
  </si>
  <si>
    <t>23°54'50.772"N</t>
  </si>
  <si>
    <t>75°56'36.243"E</t>
  </si>
  <si>
    <t>23°54'46.062"N</t>
  </si>
  <si>
    <t>75°56'48.674"E</t>
  </si>
  <si>
    <t>23°54'41.199"N</t>
  </si>
  <si>
    <t>75°57'1.171"E</t>
  </si>
  <si>
    <t>23°54'36.311"N</t>
  </si>
  <si>
    <t>Karnaliya</t>
  </si>
  <si>
    <t>Badod</t>
  </si>
  <si>
    <t>AP48/0</t>
  </si>
  <si>
    <t xml:space="preserve"> 5° 44' 24"LT</t>
  </si>
  <si>
    <t>75°57'13.602"E</t>
  </si>
  <si>
    <t>23°54'31.447"N</t>
  </si>
  <si>
    <t>NALA, WELL, PIPAL TREE</t>
  </si>
  <si>
    <t>75°57'25.656"E</t>
  </si>
  <si>
    <t>23°54'27.993"N</t>
  </si>
  <si>
    <t>LT, BORE, HUT, SAMADHI, CT, 11KV</t>
  </si>
  <si>
    <t>75°57'37.506"E</t>
  </si>
  <si>
    <t>23°54'24.596"N</t>
  </si>
  <si>
    <t>NALA, WELL, PIPAL TREE, CT, BARGAD TREE</t>
  </si>
  <si>
    <t>75°57'51.45"E</t>
  </si>
  <si>
    <t>23°54'20.599"N</t>
  </si>
  <si>
    <t>11KV, ORANGE GARDEN, LT, CT</t>
  </si>
  <si>
    <t>75°58'5.731"E</t>
  </si>
  <si>
    <t>23°54'16.505"N</t>
  </si>
  <si>
    <t>ORANGE GARDEN, 11KV, METAL ROAD, CT, NALA, WELL</t>
  </si>
  <si>
    <t>75°58'18.897"E</t>
  </si>
  <si>
    <t>23°54'12.73"N</t>
  </si>
  <si>
    <t>75°58'32.604"E</t>
  </si>
  <si>
    <t>23°54'8.8"N</t>
  </si>
  <si>
    <t>CT, POND</t>
  </si>
  <si>
    <t>75°58'45.77"E</t>
  </si>
  <si>
    <t>23°54'5.025"N</t>
  </si>
  <si>
    <t>Gadhi</t>
  </si>
  <si>
    <t>75°58'59.037"E</t>
  </si>
  <si>
    <t>23°54'1.22"N</t>
  </si>
  <si>
    <t>LT, WELL, SAMADHI, CT, NALA, BARGAD TREE, ORANGE GARDEN</t>
  </si>
  <si>
    <t>75°59'13.418"E</t>
  </si>
  <si>
    <t>23°53'57.095"N</t>
  </si>
  <si>
    <t>Pipalya Chacha</t>
  </si>
  <si>
    <t>LT, NALA</t>
  </si>
  <si>
    <t>AP49/0</t>
  </si>
  <si>
    <t xml:space="preserve"> 5° 32' 52"RT</t>
  </si>
  <si>
    <t>75°59'27.158"E</t>
  </si>
  <si>
    <t>23°53'53.154"N</t>
  </si>
  <si>
    <t>NALA, WELL, 11KV, METAL ROAD, LT</t>
  </si>
  <si>
    <t>75°59'40.32"E</t>
  </si>
  <si>
    <t>23°53'48.048"N</t>
  </si>
  <si>
    <t>75°59'53.939"E</t>
  </si>
  <si>
    <t>23°53'42.764"N</t>
  </si>
  <si>
    <t>WELL, LT, 11KV, NALA</t>
  </si>
  <si>
    <t>76°0'7.394"E</t>
  </si>
  <si>
    <t>23°53'37.543"N</t>
  </si>
  <si>
    <t>PIPAL TREE</t>
  </si>
  <si>
    <t>76°0'20.751"E</t>
  </si>
  <si>
    <t>23°53'32.36"N</t>
  </si>
  <si>
    <t>76°0'34.629"E</t>
  </si>
  <si>
    <t>23°53'26.975"N</t>
  </si>
  <si>
    <t>Gangapur</t>
  </si>
  <si>
    <t>LT, NALA, 11KV</t>
  </si>
  <si>
    <t xml:space="preserve">  </t>
  </si>
  <si>
    <t>76°0'47.562"E</t>
  </si>
  <si>
    <t>23°53'21.955"N</t>
  </si>
  <si>
    <t>Gyasari</t>
  </si>
  <si>
    <t>AP50/0</t>
  </si>
  <si>
    <t xml:space="preserve"> 20° 9' 8"LT</t>
  </si>
  <si>
    <t>76°1'0.735"E</t>
  </si>
  <si>
    <t>23°53'16.843"N</t>
  </si>
  <si>
    <t>220KV S/C RUM-O2P-RTL T12-T13</t>
  </si>
  <si>
    <t>AP51/0</t>
  </si>
  <si>
    <t xml:space="preserve"> 31° 40' 27"RT</t>
  </si>
  <si>
    <t>76°1'8.64"E</t>
  </si>
  <si>
    <t>23°53'16.495"N</t>
  </si>
  <si>
    <t>76°1'20.95"E</t>
  </si>
  <si>
    <t>23°53'8.742"N</t>
  </si>
  <si>
    <t>SAMADHI, 11KV, CT</t>
  </si>
  <si>
    <t>76°1'30.956"E</t>
  </si>
  <si>
    <t>23°53'2.44"N</t>
  </si>
  <si>
    <t>Shyamgarh</t>
  </si>
  <si>
    <t>WELL, 11KV</t>
  </si>
  <si>
    <t>AP52/0</t>
  </si>
  <si>
    <t xml:space="preserve"> 24° 40' 51"LT</t>
  </si>
  <si>
    <t>LT LINE/METAL ROAD/WELL</t>
  </si>
  <si>
    <t>AP53/0</t>
  </si>
  <si>
    <t xml:space="preserve"> 11° 13' 26"RT</t>
  </si>
  <si>
    <t>11KV LINE/CART TRACK/SCHOOL/SCHOOL/CRICKET PITCH/CART TRACK/11KV LINE</t>
  </si>
  <si>
    <t>AP53A/0</t>
  </si>
  <si>
    <t xml:space="preserve"> 4° 32' 26"RT</t>
  </si>
  <si>
    <t>Saranga_khedi</t>
  </si>
  <si>
    <t>MUMBAI-MANMAD BIJWASAN GAS PIPE LINE(BPCL)</t>
  </si>
  <si>
    <t>AP53B/0</t>
  </si>
  <si>
    <t xml:space="preserve"> 14° 18' 4"RT</t>
  </si>
  <si>
    <t>2 NOS. 11KV LINE</t>
  </si>
  <si>
    <t>AP54/0</t>
  </si>
  <si>
    <t xml:space="preserve"> 28° 2' 4"RT</t>
  </si>
  <si>
    <t>Maharundi</t>
  </si>
  <si>
    <t>220KV DC BADOD-NALKHEDA TL(MPPTCL)</t>
  </si>
  <si>
    <t>AP55/0</t>
  </si>
  <si>
    <t xml:space="preserve"> 48° 36' 23"LT</t>
  </si>
  <si>
    <t>76d3'5.759"E</t>
  </si>
  <si>
    <t>23d52'14.06"N</t>
  </si>
  <si>
    <t>RC=1M</t>
  </si>
  <si>
    <t>LT LINE/CART TRACK</t>
  </si>
  <si>
    <t>76d3'17.509"E</t>
  </si>
  <si>
    <t>23d52'10.289"N</t>
  </si>
  <si>
    <t>76d3'29.292"E</t>
  </si>
  <si>
    <t>23d52'6.508"N</t>
  </si>
  <si>
    <t>TAR ROAD/CART TRACK/11KV LINE</t>
  </si>
  <si>
    <t>AP56/0</t>
  </si>
  <si>
    <t xml:space="preserve"> 10° 8' 39"LT</t>
  </si>
  <si>
    <t>76d3'41.061"E</t>
  </si>
  <si>
    <t>23d52'2.731"N</t>
  </si>
  <si>
    <t>Benching / Raised Chimney Expected</t>
  </si>
  <si>
    <t>Barda_Barkheda</t>
  </si>
  <si>
    <t>11KV LINE</t>
  </si>
  <si>
    <t>76d3'50.417"E</t>
  </si>
  <si>
    <t>23d52'1.353"N</t>
  </si>
  <si>
    <t>11KV LINE/33KV LINE/METAL ROAD/11KV LINE</t>
  </si>
  <si>
    <t>76d4'1.099"E</t>
  </si>
  <si>
    <t>23d51'59.781"N</t>
  </si>
  <si>
    <t>76d4'11.466"E</t>
  </si>
  <si>
    <t>23d51'58.254"N</t>
  </si>
  <si>
    <t>NALA/LT LINE/WELL/CEMETERY AREA</t>
  </si>
  <si>
    <t>AP57/0</t>
  </si>
  <si>
    <t xml:space="preserve"> 8° 34' 46"RT</t>
  </si>
  <si>
    <t>76d4'25.932"E</t>
  </si>
  <si>
    <t>23d51'56.123"N</t>
  </si>
  <si>
    <t>WELL/NALA/WELL/NALA</t>
  </si>
  <si>
    <t>76d4'37.115"E</t>
  </si>
  <si>
    <t>23d51'52.845"N</t>
  </si>
  <si>
    <t>76d4'50.925"E</t>
  </si>
  <si>
    <t>23d51'48.797"N</t>
  </si>
  <si>
    <t>NALA/LT LINE/WELL/CART TRACK/11KV LINE</t>
  </si>
  <si>
    <t>76d5'4.869"E</t>
  </si>
  <si>
    <t>23d51'44.708"N</t>
  </si>
  <si>
    <t>CART TRACK/WELL/SAMADHI/11KV LINE</t>
  </si>
  <si>
    <t>76d5'18.577"E</t>
  </si>
  <si>
    <t>23d51'40.689"N</t>
  </si>
  <si>
    <t>CART TRACK/LT LINE/LOW LAND</t>
  </si>
  <si>
    <t>AP58/0</t>
  </si>
  <si>
    <t xml:space="preserve"> 16° 14' 41"RT</t>
  </si>
  <si>
    <t>76d5'32.786"E</t>
  </si>
  <si>
    <t>23d51'36.522"N</t>
  </si>
  <si>
    <t>Lake</t>
  </si>
  <si>
    <t>AP59/0</t>
  </si>
  <si>
    <t xml:space="preserve"> 24° 14' 33"LT</t>
  </si>
  <si>
    <t>76°5'48.395"E</t>
  </si>
  <si>
    <t>23°51'26.863"N</t>
  </si>
  <si>
    <t xml:space="preserve"> 33KkV line, Nala</t>
  </si>
  <si>
    <t>Semalkhedi</t>
  </si>
  <si>
    <t>Nalkheda</t>
  </si>
  <si>
    <t>33kV lines, 11kV lines</t>
  </si>
  <si>
    <t>AP60/0</t>
  </si>
  <si>
    <t xml:space="preserve"> 26° 15' 27"RT</t>
  </si>
  <si>
    <t>NH-552G, 33kV line, 11kV line, Nala</t>
  </si>
  <si>
    <t>AP61/0</t>
  </si>
  <si>
    <t xml:space="preserve"> 2° 56' 37"LT</t>
  </si>
  <si>
    <t>Nala, LT line, Well, Cart Track</t>
  </si>
  <si>
    <t>Metal road, 11kV line</t>
  </si>
  <si>
    <t>AP62/0</t>
  </si>
  <si>
    <t xml:space="preserve"> 2° 14' 43"LT</t>
  </si>
  <si>
    <t>76°6'41.687"E</t>
  </si>
  <si>
    <t>23°51'6.267"N</t>
  </si>
  <si>
    <t xml:space="preserve">132 KV DC  CKT-1 AGAR -SUSNER , CKT-2 AGAR - NALKHEDA OHTL OHTL, 33kV lines, 11kV line, Cart track </t>
  </si>
  <si>
    <t>AP63/0</t>
  </si>
  <si>
    <t xml:space="preserve"> 24° 32' 28"LT</t>
  </si>
  <si>
    <t>76°6'49.297"E</t>
  </si>
  <si>
    <t>23°51'2.1"N</t>
  </si>
  <si>
    <t>76°7'4.161"E</t>
  </si>
  <si>
    <t>23°51'0.609"N</t>
  </si>
  <si>
    <t>Cart Track</t>
  </si>
  <si>
    <t>76°7'16.074"E</t>
  </si>
  <si>
    <t>23°50'59.414"N</t>
  </si>
  <si>
    <t>Abandoned 11kV line, Cart track</t>
  </si>
  <si>
    <t>76°7'28.021"E</t>
  </si>
  <si>
    <t>23°50'58.216"N</t>
  </si>
  <si>
    <t>Borkhedi_Saloki</t>
  </si>
  <si>
    <t>AP64/0</t>
  </si>
  <si>
    <t xml:space="preserve"> 41° 42' 42"RT</t>
  </si>
  <si>
    <t>76°7'39.935"E</t>
  </si>
  <si>
    <t>23°50'57.02"N</t>
  </si>
  <si>
    <t>76°7'49.004"E</t>
  </si>
  <si>
    <t>23°50'47.775"N</t>
  </si>
  <si>
    <t>Orange garden, Well, Cart track</t>
  </si>
  <si>
    <t>AP65/0</t>
  </si>
  <si>
    <t xml:space="preserve"> 22° 30' 31"LT</t>
  </si>
  <si>
    <t>76°7'58.47"E</t>
  </si>
  <si>
    <t>23°50'38.125"N</t>
  </si>
  <si>
    <t>11kV line, Nala, Well</t>
  </si>
  <si>
    <t>76°8'10.791"E</t>
  </si>
  <si>
    <t>23°50'32.736"N</t>
  </si>
  <si>
    <t>76°8'23.335"E</t>
  </si>
  <si>
    <t>23°50'27.248"N</t>
  </si>
  <si>
    <t>Nala, Cart track, Well</t>
  </si>
  <si>
    <t>76°8'36.805"E</t>
  </si>
  <si>
    <t>23°50'21.355"N</t>
  </si>
  <si>
    <t>Suigaon</t>
  </si>
  <si>
    <t>76°8'49.827"E</t>
  </si>
  <si>
    <t>23°50'15.658"N</t>
  </si>
  <si>
    <t>11kV line, LT line, Metal road, Well, Nala</t>
  </si>
  <si>
    <t>76°9'1.637"E</t>
  </si>
  <si>
    <t>23°50'10.49"N</t>
  </si>
  <si>
    <t>76°9'12.648"E</t>
  </si>
  <si>
    <t>23°50'5.672"N</t>
  </si>
  <si>
    <t>76°9'23.882"E</t>
  </si>
  <si>
    <t>23°50'0.756"N</t>
  </si>
  <si>
    <t>76°9'37.924"E</t>
  </si>
  <si>
    <t>23°49'54.61"N</t>
  </si>
  <si>
    <t>76°9'50.052"E</t>
  </si>
  <si>
    <t>23°49'49.302"N</t>
  </si>
  <si>
    <t>11kV line, LT line, Cart track</t>
  </si>
  <si>
    <t>76°10'3.328"E</t>
  </si>
  <si>
    <t>23°49'43.491"N</t>
  </si>
  <si>
    <t>Kilona</t>
  </si>
  <si>
    <t>76°10'16.284"E</t>
  </si>
  <si>
    <t>23°49'37.819"N</t>
  </si>
  <si>
    <t>11kv line, Nala, Well</t>
  </si>
  <si>
    <t>AP66/0</t>
  </si>
  <si>
    <t xml:space="preserve"> 1° 44' 24"RT</t>
  </si>
  <si>
    <t>76°10'30.108"E</t>
  </si>
  <si>
    <t>23°49'31.768"N</t>
  </si>
  <si>
    <t>Nala, Well, Cart track</t>
  </si>
  <si>
    <t xml:space="preserve"> 0° 44' 14"RT</t>
  </si>
  <si>
    <t>76°10'41.212"E</t>
  </si>
  <si>
    <t>23°49'26.52"N</t>
  </si>
  <si>
    <t>Pilwas</t>
  </si>
  <si>
    <t>Orange garden, Cart track</t>
  </si>
  <si>
    <t xml:space="preserve"> 0° 50' 41"LT</t>
  </si>
  <si>
    <t>76°10'53.918"E</t>
  </si>
  <si>
    <t>23°49'20.323"N</t>
  </si>
  <si>
    <t>Orange garden, Nala</t>
  </si>
  <si>
    <t>76°11'7.007"E</t>
  </si>
  <si>
    <t>23°49'14.165"N</t>
  </si>
  <si>
    <t>11kV line, LT line, Cart track, Orange garden</t>
  </si>
  <si>
    <t>76°11'18.743"E</t>
  </si>
  <si>
    <t>23°49'8.643"N</t>
  </si>
  <si>
    <t>76°11'30.981"E</t>
  </si>
  <si>
    <t>23°49'2.884"N</t>
  </si>
  <si>
    <t>76°11'43.534"E</t>
  </si>
  <si>
    <t>23°48'56.977"N</t>
  </si>
  <si>
    <t>Cart track, 11kV line, Well, Hut</t>
  </si>
  <si>
    <t>76°11'56.496"E</t>
  </si>
  <si>
    <t>23°48'50.877"N</t>
  </si>
  <si>
    <t>11kv line, Cart track, Orange garden, Well</t>
  </si>
  <si>
    <t>76°12'9.646"E</t>
  </si>
  <si>
    <t>23°48'44.687"N</t>
  </si>
  <si>
    <t>Metal road, 11kV line, Well, Hut</t>
  </si>
  <si>
    <t>AP67/0</t>
  </si>
  <si>
    <t xml:space="preserve"> 9° 0' 29"RT</t>
  </si>
  <si>
    <t>76°12'22.044"E</t>
  </si>
  <si>
    <t>23°48'38.852"N</t>
  </si>
  <si>
    <t>76°12'33.435"E</t>
  </si>
  <si>
    <t>23°48'31.208"N</t>
  </si>
  <si>
    <t>11kv line, Cart track, Well</t>
  </si>
  <si>
    <t>76°12'43.37"E</t>
  </si>
  <si>
    <t>23°48'24.541"N</t>
  </si>
  <si>
    <t>Bhilkhedi</t>
  </si>
  <si>
    <t>11kv line, Cart track, Well, Metal road, Nala</t>
  </si>
  <si>
    <t>76°12'53.591"E</t>
  </si>
  <si>
    <t>23°48'17.683"N</t>
  </si>
  <si>
    <t>Nala, LT line, orange garden, Well</t>
  </si>
  <si>
    <t>AP68/0</t>
  </si>
  <si>
    <t xml:space="preserve"> 13° 2' 58"LT</t>
  </si>
  <si>
    <t>76°13'7.242"E</t>
  </si>
  <si>
    <t>23°48'8.521"N</t>
  </si>
  <si>
    <t>SUMMARY OF TOWERS QUANTITIES  GANTRY  TO AP 68 COMMON POINT</t>
  </si>
  <si>
    <t>EXTENSION</t>
  </si>
  <si>
    <t>TOTAL TOWER</t>
  </si>
  <si>
    <t>+0</t>
  </si>
  <si>
    <t>+1.5</t>
  </si>
  <si>
    <t>+3</t>
  </si>
  <si>
    <t>+6</t>
  </si>
  <si>
    <t>+9</t>
  </si>
  <si>
    <t>+12</t>
  </si>
  <si>
    <t>+18</t>
  </si>
  <si>
    <t>+25</t>
  </si>
  <si>
    <t>DA</t>
  </si>
  <si>
    <t>DB1</t>
  </si>
  <si>
    <t>DB2</t>
  </si>
  <si>
    <t>DC1</t>
  </si>
  <si>
    <t>DC2</t>
  </si>
  <si>
    <t>DD45</t>
  </si>
  <si>
    <t>DD60</t>
  </si>
  <si>
    <t>09.03.2026</t>
  </si>
  <si>
    <t>10.03.2026</t>
  </si>
  <si>
    <t>11.03.2026</t>
  </si>
  <si>
    <t>12.03.2026</t>
  </si>
  <si>
    <t>16.03.2026</t>
  </si>
  <si>
    <t>14.03.2026</t>
  </si>
  <si>
    <t>21.03.2026</t>
  </si>
  <si>
    <t>15.03.2026</t>
  </si>
  <si>
    <t>17.03.2026</t>
  </si>
  <si>
    <t>19.03.2026</t>
  </si>
  <si>
    <t>22.03.2026</t>
  </si>
  <si>
    <t>18.03.2026</t>
  </si>
  <si>
    <t>20.03.2026</t>
  </si>
  <si>
    <t>23.03.2026</t>
  </si>
  <si>
    <t>Splicenet construction</t>
  </si>
  <si>
    <t>ARAVALI INFRA-3</t>
  </si>
  <si>
    <t>Splicenet construction-II</t>
  </si>
  <si>
    <t>24.03.2026</t>
  </si>
  <si>
    <t>25.03.2026</t>
  </si>
  <si>
    <t>160KN=5536</t>
  </si>
  <si>
    <t>BOUNDARY WALL</t>
  </si>
  <si>
    <t>Tower cast at 0deg w.r.t. Gantry</t>
  </si>
  <si>
    <t xml:space="preserve"> 58° 40' 0"LT</t>
  </si>
  <si>
    <t>NALA/LT LINE</t>
  </si>
  <si>
    <t xml:space="preserve"> 42° 45' 44"LT</t>
  </si>
  <si>
    <t>ROAD/WELL</t>
  </si>
  <si>
    <t>LT/CT, WELL/NALA</t>
  </si>
  <si>
    <t>LT LINE, LT T POINT, WELL, CT, NALA/11KV LINE/ LT/CT/ WELL/ SAMADHI</t>
  </si>
  <si>
    <t xml:space="preserve"> 19° 8' 15"LT</t>
  </si>
  <si>
    <t>11 KV LINE/SHIVNA RIVER/CART TRACK</t>
  </si>
  <si>
    <t>76d6'2.856"E</t>
  </si>
  <si>
    <t>23d51'24.593"N</t>
  </si>
  <si>
    <t>DC2+6</t>
  </si>
  <si>
    <t>76d6'15.048"E</t>
  </si>
  <si>
    <t>23d51'22.678"N</t>
  </si>
  <si>
    <t>76d6'22.173"E</t>
  </si>
  <si>
    <t>23d51'17.925"N</t>
  </si>
  <si>
    <t>76d6'32.579"E</t>
  </si>
  <si>
    <t>23d51'11.709"N</t>
  </si>
  <si>
    <t>26.03.2026</t>
  </si>
  <si>
    <t>27.03.2026</t>
  </si>
  <si>
    <t>28.03.2026</t>
  </si>
  <si>
    <t>29.03.2026</t>
  </si>
  <si>
    <t>Shri Balaji Contractor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</si>
  <si>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</si>
  <si>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</si>
  <si>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</si>
  <si>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</si>
  <si>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</si>
  <si>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</si>
  <si>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</si>
  <si>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</si>
  <si>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Splicenet construction-III</t>
  </si>
  <si>
    <t xml:space="preserve"> TOWER SCHEDULE SECTION:-  GANTRY TO AP 68  LENGTH:- 118.386 KM</t>
  </si>
  <si>
    <t>KEC/TA509/MKTL/CS/AS ON Dt-06.03.2026</t>
  </si>
  <si>
    <r>
      <t>75</t>
    </r>
    <r>
      <rPr>
        <b/>
        <vertAlign val="superscript"/>
        <sz val="11"/>
        <rFont val="Calibri"/>
        <family val="2"/>
      </rPr>
      <t>°</t>
    </r>
    <r>
      <rPr>
        <b/>
        <sz val="11"/>
        <rFont val="Tahoma"/>
        <family val="2"/>
      </rPr>
      <t>10'24.829"E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</si>
  <si>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12'17.524"N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</si>
  <si>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10'21.828"E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</si>
  <si>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12'15.345"N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</si>
  <si>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10'18.175"E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</si>
  <si>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12'11.87"N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</si>
  <si>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10'21.856"E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</si>
  <si>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11'59.012"N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</si>
  <si>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10'33.214"E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</si>
  <si>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11'52.369"N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</si>
  <si>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10'45.827"E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</si>
  <si>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11'44.992"N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</si>
  <si>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10'58.032"E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</si>
  <si>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11'37.853"N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</si>
  <si>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11'12.496"E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</si>
  <si>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11'34.694"N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</si>
  <si>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11'25.634"E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</si>
  <si>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11'31.825"N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</si>
  <si>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11'40.014"E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</si>
  <si>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11'28.684"N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</si>
  <si>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11'54.393"E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</si>
  <si>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11'25.543"N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</si>
  <si>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12'8.772"E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</si>
  <si>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11'22.402"N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</si>
  <si>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12'22.151"E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</si>
  <si>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11'19.479"N</t>
    </r>
  </si>
  <si>
    <t xml:space="preserve"> 0° 56' 36"LT</t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</si>
  <si>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12'37.748"E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</si>
  <si>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11'16.07"N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</si>
  <si>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12'51.627"E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</si>
  <si>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11'13.257"N</t>
    </r>
  </si>
  <si>
    <r>
      <t>2 NOS 33KV LINE/</t>
    </r>
    <r>
      <rPr>
        <b/>
        <sz val="11"/>
        <color indexed="10"/>
        <rFont val="Tahoma"/>
        <family val="2"/>
      </rPr>
      <t>NE-4 DELHI MUMBAI EXPRESSWAY</t>
    </r>
    <r>
      <rPr>
        <b/>
        <sz val="11"/>
        <color indexed="8"/>
        <rFont val="Tahoma"/>
        <family val="2"/>
      </rPr>
      <t>/CART TRACK</t>
    </r>
  </si>
  <si>
    <r>
      <rPr>
        <b/>
        <sz val="11"/>
        <color indexed="10"/>
        <rFont val="Tahoma"/>
        <family val="2"/>
      </rPr>
      <t>Raised Chimney</t>
    </r>
    <r>
      <rPr>
        <b/>
        <sz val="11"/>
        <color indexed="8"/>
        <rFont val="Tahoma"/>
        <family val="2"/>
      </rPr>
      <t xml:space="preserve"> </t>
    </r>
  </si>
  <si>
    <r>
      <t xml:space="preserve">11KV, </t>
    </r>
    <r>
      <rPr>
        <b/>
        <sz val="11"/>
        <color indexed="10"/>
        <rFont val="Tahoma"/>
        <family val="2"/>
      </rPr>
      <t>CHAMBAL RIVER</t>
    </r>
    <r>
      <rPr>
        <b/>
        <sz val="11"/>
        <color indexed="8"/>
        <rFont val="Tahoma"/>
        <family val="2"/>
      </rPr>
      <t>, LT END</t>
    </r>
  </si>
  <si>
    <t>11KV, 33KV, SH-8 ROAD</t>
  </si>
  <si>
    <r>
      <t>75</t>
    </r>
    <r>
      <rPr>
        <b/>
        <vertAlign val="superscript"/>
        <sz val="11"/>
        <color indexed="8"/>
        <rFont val="Tahoma"/>
        <family val="2"/>
      </rPr>
      <t>0</t>
    </r>
    <r>
      <rPr>
        <b/>
        <sz val="11"/>
        <color indexed="8"/>
        <rFont val="Tahoma"/>
        <family val="2"/>
      </rPr>
      <t>36'45.962"E</t>
    </r>
  </si>
  <si>
    <r>
      <t>24</t>
    </r>
    <r>
      <rPr>
        <b/>
        <vertAlign val="superscript"/>
        <sz val="11"/>
        <color indexed="8"/>
        <rFont val="Tahoma"/>
        <family val="2"/>
      </rPr>
      <t>0</t>
    </r>
    <r>
      <rPr>
        <b/>
        <sz val="11"/>
        <color indexed="8"/>
        <rFont val="Tahoma"/>
        <family val="2"/>
      </rPr>
      <t>3'38.263"N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</si>
  <si>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38'44.865"E</t>
    </r>
  </si>
  <si>
    <r>
      <t>24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2'25.451"N</t>
    </r>
  </si>
  <si>
    <r>
      <rPr>
        <b/>
        <sz val="11"/>
        <color indexed="10"/>
        <rFont val="Tahoma"/>
        <family val="2"/>
      </rPr>
      <t>132kV S/C Modak-Dag RJVPNL line (T193-194)</t>
    </r>
    <r>
      <rPr>
        <b/>
        <sz val="11"/>
        <color indexed="8"/>
        <rFont val="Tahoma"/>
        <family val="2"/>
      </rPr>
      <t xml:space="preserve"> &amp; 11kV line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</si>
  <si>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51'51.046"E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</si>
  <si>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56'30.389"N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</si>
  <si>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52'1.818"E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</si>
  <si>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56'22.007"N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</si>
  <si>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52'10.674"E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</si>
  <si>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56'15.117"N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</si>
  <si>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52'21.419"E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</si>
  <si>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56'6.756"N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</si>
  <si>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52'31.516"E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</si>
  <si>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55'58.898"N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</si>
  <si>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52'42.557"E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</si>
  <si>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55'50.305"N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</si>
  <si>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52'52.95"E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</si>
  <si>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55'42.217"N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</si>
  <si>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53'4.931"E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</si>
  <si>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55'32.891"N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</si>
  <si>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53'16.956"E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</si>
  <si>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55'32.744"N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</si>
  <si>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53'33.154"E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</si>
  <si>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55'32.544"N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</si>
  <si>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53'46.452"E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</si>
  <si>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55'32.38"N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</si>
  <si>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53'57.487"E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</si>
  <si>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55'32.244"N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</si>
  <si>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54'10.855"E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</si>
  <si>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55'32.079"N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</si>
  <si>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54'24.932"E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</si>
  <si>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55'31.904"N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</si>
  <si>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54'39.466"E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</si>
  <si>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55'31.724"N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</si>
  <si>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1'41.457"E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</si>
  <si>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52'55.825"N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</si>
  <si>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1'51.365"E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</si>
  <si>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52'49.584"N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</si>
  <si>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2'5.618"E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</si>
  <si>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52'47.335"N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</si>
  <si>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2'19.245"E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</si>
  <si>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52'45.185"N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</si>
  <si>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2'31.992"E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</si>
  <si>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52'40.695"N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</si>
  <si>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2'43.891"E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</si>
  <si>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52'35.475"N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</si>
  <si>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2'52.936"E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</si>
  <si>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52'28.544"N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</si>
  <si>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3'2.636"E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</si>
  <si>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52'21.111"N</t>
    </r>
  </si>
  <si>
    <t>Benching Expected</t>
  </si>
  <si>
    <t>Length in MTR</t>
  </si>
  <si>
    <t>DA-(3)</t>
  </si>
  <si>
    <r>
      <rPr>
        <b/>
        <sz val="14"/>
        <color theme="1"/>
        <rFont val="Calibri"/>
        <family val="2"/>
        <scheme val="minor"/>
      </rPr>
      <t xml:space="preserve">Raise Chimney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4/1, 4/2,12/0, 15/6, 19/0, 20/0, 22/0, 24/0, 38/5, 45A/1, 46/1, 48/7, 55/0,56/0, 56/1,  56/3, 57/0, 59/0, 65/10, 66/1, 67/3-                                                                          Total - 21 N0's</t>
    </r>
  </si>
  <si>
    <t>Devi construction</t>
  </si>
  <si>
    <t>Aravali infra-2</t>
  </si>
  <si>
    <t>Jwala Singh</t>
  </si>
  <si>
    <t>210KN=7296</t>
  </si>
  <si>
    <t>Nirmal Wire Pvt. Ltd.</t>
  </si>
  <si>
    <t>Gantry - AP39/0</t>
  </si>
  <si>
    <t>AP39/1 - 47/10</t>
  </si>
  <si>
    <t>AP 47/11 - AP68</t>
  </si>
  <si>
    <t>Row Labels</t>
  </si>
  <si>
    <t>Grand Total</t>
  </si>
  <si>
    <t>Column Labels</t>
  </si>
  <si>
    <t xml:space="preserve">Count of LOC No. </t>
  </si>
  <si>
    <t>Apr'26</t>
  </si>
  <si>
    <t>FDN</t>
  </si>
  <si>
    <t>EARTH</t>
  </si>
  <si>
    <t>EREC</t>
  </si>
  <si>
    <t>ERE</t>
  </si>
  <si>
    <t>Mar'26</t>
  </si>
  <si>
    <t>Feb'26</t>
  </si>
  <si>
    <t>Jan'26</t>
  </si>
  <si>
    <t>Dec'25</t>
  </si>
  <si>
    <t>Completed month</t>
  </si>
  <si>
    <t>Work started month</t>
  </si>
  <si>
    <t>Nov'25</t>
  </si>
  <si>
    <t>Work completion Month</t>
  </si>
  <si>
    <t>Work starting month</t>
  </si>
  <si>
    <t>Splicenet  Cons 1</t>
  </si>
  <si>
    <t>District wise section</t>
  </si>
  <si>
    <t>May'26</t>
  </si>
  <si>
    <t>Sub-Contractor</t>
  </si>
  <si>
    <t>Jwala singh -2</t>
  </si>
  <si>
    <t>Balaji Construction</t>
  </si>
  <si>
    <t>Musauddin Sk</t>
  </si>
  <si>
    <t xml:space="preserve">Project Code - </t>
  </si>
  <si>
    <r>
      <t xml:space="preserve">Head </t>
    </r>
    <r>
      <rPr>
        <b/>
        <i/>
        <sz val="11"/>
        <color rgb="FF1F497D"/>
        <rFont val="Calibri"/>
        <family val="2"/>
        <scheme val="minor"/>
      </rPr>
      <t xml:space="preserve">- </t>
    </r>
    <r>
      <rPr>
        <b/>
        <i/>
        <sz val="11"/>
        <color rgb="FF4E515E"/>
        <rFont val="Calibri"/>
        <family val="2"/>
        <scheme val="minor"/>
      </rPr>
      <t>T&amp;D</t>
    </r>
  </si>
  <si>
    <t>Rajinder Gupta</t>
  </si>
  <si>
    <t>Head T&amp;D-Central</t>
  </si>
  <si>
    <t>Shortcut for previous of Full description</t>
  </si>
  <si>
    <t xml:space="preserve">Client Name- </t>
  </si>
  <si>
    <t>PGCIL</t>
  </si>
  <si>
    <t>Project Manager</t>
  </si>
  <si>
    <t>Planning Engineer</t>
  </si>
  <si>
    <t>Shuvayu Das</t>
  </si>
  <si>
    <t>Link for go through</t>
  </si>
  <si>
    <t>Project Name-</t>
  </si>
  <si>
    <t>765KV D/C Mandsaur-Kurawar TL line</t>
  </si>
  <si>
    <t>Effective Date</t>
  </si>
  <si>
    <t>End Date</t>
  </si>
  <si>
    <t>LOA Value</t>
  </si>
  <si>
    <t>X-ing Status'!A1</t>
  </si>
  <si>
    <t>As per L2 (till May'26)</t>
  </si>
  <si>
    <t>Cumm. Progress up to last Month</t>
  </si>
  <si>
    <t>Opening Balance (L2)</t>
  </si>
  <si>
    <t>Plan for this Month</t>
  </si>
  <si>
    <t>Today Progress</t>
  </si>
  <si>
    <t>MTD (Loc)</t>
  </si>
  <si>
    <t>WIP (Loc)</t>
  </si>
  <si>
    <t>Cumulative Progress</t>
  </si>
  <si>
    <t>Gangs at present</t>
  </si>
  <si>
    <t>Support Required</t>
  </si>
  <si>
    <t>% Completion</t>
  </si>
  <si>
    <t>L2 Schedule'!A1</t>
  </si>
  <si>
    <t>Check Survey 
(Kms)</t>
  </si>
  <si>
    <t>Hindrance Register (Row)'!A1</t>
  </si>
  <si>
    <t xml:space="preserve">Foundation 
(Nos.) </t>
  </si>
  <si>
    <t>Survey!A1</t>
  </si>
  <si>
    <t>Earthing 
(Nos.)</t>
  </si>
  <si>
    <t>Foundation!A1</t>
  </si>
  <si>
    <t>Tower Erection (Nos)</t>
  </si>
  <si>
    <t>Earthing!A1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</si>
  <si>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</si>
  <si>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Paying Out 
(Kms)</t>
  </si>
  <si>
    <t>Tackwelding!A1</t>
  </si>
  <si>
    <t>Final Sag 
(Kms)</t>
  </si>
  <si>
    <t>Stringing!A1</t>
  </si>
  <si>
    <t>OPGW 
(Kms)</t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</si>
  <si>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</si>
  <si>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Stringing associated works'!A1</t>
  </si>
  <si>
    <t>OPGW!A1</t>
  </si>
  <si>
    <t>Workfront Status</t>
  </si>
  <si>
    <t>Visual chart'!A1</t>
  </si>
  <si>
    <t>Page Chart'!A1</t>
  </si>
  <si>
    <t>A. Foundation</t>
  </si>
  <si>
    <t>Benching F'!A1</t>
  </si>
  <si>
    <t>Balance on 1st of this month</t>
  </si>
  <si>
    <t>Progress MTD</t>
  </si>
  <si>
    <t>WIP</t>
  </si>
  <si>
    <t>Clear/Yet to attempt</t>
  </si>
  <si>
    <t>B. Erection</t>
  </si>
  <si>
    <t>Linked With Fnd</t>
  </si>
  <si>
    <t>C. Stringing</t>
  </si>
  <si>
    <t>STR P/Out Bal. on starting of this month</t>
  </si>
  <si>
    <t>Readiness awaited due to Erec.</t>
  </si>
  <si>
    <t>Readiness awaited due to Tower Inspection</t>
  </si>
  <si>
    <t>26/11/24</t>
  </si>
  <si>
    <t>25/10/26</t>
  </si>
  <si>
    <t xml:space="preserve">Rs 474. Cr 
</t>
  </si>
  <si>
    <t>Nabajit Baruah</t>
  </si>
  <si>
    <t>Prithviraj Dutta Choudhury</t>
  </si>
  <si>
    <t>FDN (WIP)</t>
  </si>
  <si>
    <t>Pit A</t>
  </si>
  <si>
    <t>Pit B</t>
  </si>
  <si>
    <t>Pit D</t>
  </si>
  <si>
    <t>Frustum &amp; Step box 1, Step Box 2 completed</t>
  </si>
  <si>
    <t>Pit C</t>
  </si>
  <si>
    <t>Chimney completed</t>
  </si>
  <si>
    <t>Steel binding</t>
  </si>
  <si>
    <t>Excavation</t>
  </si>
  <si>
    <t>51/0 </t>
  </si>
  <si>
    <t>Erection (WIP)</t>
  </si>
  <si>
    <t>Erection completed</t>
  </si>
  <si>
    <t>Next loc - 24/3</t>
  </si>
  <si>
    <t>Gang name</t>
  </si>
  <si>
    <t>Balaji Cons.</t>
  </si>
  <si>
    <t>Gang man power</t>
  </si>
  <si>
    <t>Gang leader contact</t>
  </si>
  <si>
    <t>Start date</t>
  </si>
  <si>
    <t>Target Finish Date</t>
  </si>
  <si>
    <t>Cage 1 WIP</t>
  </si>
  <si>
    <t>Gange name</t>
  </si>
  <si>
    <t>Completed today (MT)</t>
  </si>
  <si>
    <t>Completed So far (MT)</t>
  </si>
  <si>
    <t>MT</t>
  </si>
  <si>
    <t>Aug'25</t>
  </si>
  <si>
    <t>Sep'25</t>
  </si>
  <si>
    <t>Oct'25</t>
  </si>
  <si>
    <t>Final Checking</t>
  </si>
  <si>
    <t>Jan'25</t>
  </si>
  <si>
    <t>Feb'25</t>
  </si>
  <si>
    <t>Mar'25</t>
  </si>
  <si>
    <t>Apr'25</t>
  </si>
  <si>
    <t>May'25</t>
  </si>
  <si>
    <t>Jun'25</t>
  </si>
  <si>
    <t>Jul'25</t>
  </si>
  <si>
    <t>Jwala Singh 2</t>
  </si>
  <si>
    <t xml:space="preserve">Jwala Singh </t>
  </si>
  <si>
    <t>Rev</t>
  </si>
  <si>
    <t>WK</t>
  </si>
  <si>
    <t>W1</t>
  </si>
  <si>
    <t>W2</t>
  </si>
  <si>
    <t>W3</t>
  </si>
  <si>
    <t>W4</t>
  </si>
  <si>
    <t>Sum of Rev</t>
  </si>
  <si>
    <t>(May) Week wise</t>
  </si>
  <si>
    <t>1st section u/p</t>
  </si>
  <si>
    <t>Material shifting </t>
  </si>
  <si>
    <t>Comp WK</t>
  </si>
  <si>
    <t>June'26</t>
  </si>
  <si>
    <t xml:space="preserve">TP </t>
  </si>
  <si>
    <t>Jun'26</t>
  </si>
  <si>
    <t>Jwala Singh </t>
  </si>
  <si>
    <t>Jwala Singh 2</t>
  </si>
  <si>
    <t xml:space="preserve">JWALA SINGH </t>
  </si>
  <si>
    <t>JWALA SINGH-2</t>
  </si>
  <si>
    <t>Excavation u/p</t>
  </si>
  <si>
    <t>Tack Welding</t>
  </si>
  <si>
    <t>Hemraj Yadav</t>
  </si>
  <si>
    <t>Route alignment Approval Pending from PGCIL AP 41 and AP 45 (6.465 km) &amp; (MPIDC - AP 21 and AP 24 - 3.843 km)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</si>
  <si>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</si>
  <si>
    <t>Mausauddin sk</t>
  </si>
  <si>
    <t>Basic body u/p</t>
  </si>
  <si>
    <t>Pit marking Complete </t>
  </si>
  <si>
    <t>ROW- 61/1, 41/6, 61/0, 65/6</t>
  </si>
  <si>
    <t>Ground assembly </t>
  </si>
  <si>
    <t>Mausauddin sk 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</si>
  <si>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7/0 to 8/0 
</t>
    </r>
    <r>
      <rPr>
        <b/>
        <i/>
        <sz val="11"/>
        <rFont val="Calibri"/>
        <family val="2"/>
        <scheme val="minor"/>
      </rPr>
      <t xml:space="preserve">Today Completed - </t>
    </r>
    <r>
      <rPr>
        <i/>
        <sz val="11"/>
        <rFont val="Calibri"/>
        <family val="2"/>
        <scheme val="minor"/>
      </rPr>
      <t>(Top left side
Pilot wire paying out complete)</t>
    </r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</si>
  <si>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59/1, 60/0
</t>
    </r>
    <r>
      <rPr>
        <b/>
        <i/>
        <sz val="11"/>
        <rFont val="Calibri"/>
        <family val="2"/>
        <scheme val="minor"/>
      </rPr>
      <t>Today Completed -</t>
    </r>
  </si>
  <si>
    <t>59/1, 60/0</t>
  </si>
  <si>
    <t>(3/0, 41/4, 39/6)</t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</si>
  <si>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 10/2, 10/3, 11/0, 12/1, 5/0, 5/2, 5/6, 5/7
</t>
    </r>
    <r>
      <rPr>
        <b/>
        <i/>
        <sz val="11"/>
        <rFont val="Calibri"/>
        <family val="2"/>
        <scheme val="minor"/>
      </rPr>
      <t xml:space="preserve">Today Completed - </t>
    </r>
    <r>
      <rPr>
        <i/>
        <sz val="11"/>
        <rFont val="Calibri"/>
        <family val="2"/>
        <scheme val="minor"/>
      </rPr>
      <t>8/6,8/7</t>
    </r>
  </si>
  <si>
    <t>Rough Sag 
(Kms)</t>
  </si>
  <si>
    <t xml:space="preserve">Pit-A,B,C,D Frustum complete 
Pit-A&amp;D Pyramid &amp; Chimney Complete </t>
  </si>
  <si>
    <t>T&amp;P Shifting </t>
  </si>
  <si>
    <t>Loc-7/0 to 8/0
Top Left &amp; Right side
Rough Sag Complete 
            And 
Middle left side 
Conductor paying out u/p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</si>
  <si>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7/0 to 8/0 Middle left side 
Conductor paying out u/p
</t>
    </r>
    <r>
      <rPr>
        <b/>
        <i/>
        <sz val="11"/>
        <rFont val="Calibri"/>
        <family val="2"/>
        <scheme val="minor"/>
      </rPr>
      <t xml:space="preserve">Today Completed - </t>
    </r>
    <r>
      <rPr>
        <i/>
        <sz val="11"/>
        <rFont val="Calibri"/>
        <family val="2"/>
        <scheme val="minor"/>
      </rPr>
      <t xml:space="preserve">
Pilot wire paying out complete)</t>
    </r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</si>
  <si>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2/0, 41/4, 39/6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3/0</t>
    </r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</si>
  <si>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 9/2, 9/3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8/2, 8/3, 8/5, 8/6, 8/7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</si>
</sst>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[$-F800]dddd\,\ mmmm\ dd\,\ yyyy"/>
    <numFmt numFmtId="166" formatCode="0.0"/>
    <numFmt numFmtId="167" formatCode="0.000"/>
    <numFmt numFmtId="168" formatCode="0;;"/>
    <numFmt numFmtId="169" formatCode="0.000;;"/>
    <numFmt numFmtId="170" formatCode="_(* #,##0.000_);_(* \(#,##0.000\);_(* &quot;-&quot;???_);_(@_)"/>
    <numFmt numFmtId="171" formatCode="[$-14009]dd/mm/yy;@"/>
    <numFmt numFmtId="172" formatCode="[$-409]d/mmm/yyyy;@"/>
  </numFmts>
  <fonts count="1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mbria"/>
      <family val="1"/>
    </font>
    <font>
      <b/>
      <sz val="10.5"/>
      <color theme="1"/>
      <name val="Calibri"/>
      <family val="2"/>
      <scheme val="minor"/>
    </font>
    <font>
      <b/>
      <sz val="10"/>
      <color rgb="FF000000"/>
      <name val="Cambria"/>
      <family val="1"/>
    </font>
    <font>
      <b/>
      <sz val="9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9"/>
      <color rgb="FF242424"/>
      <name val="Segoe UI"/>
      <family val="2"/>
    </font>
    <font>
      <sz val="12"/>
      <color rgb="FF242424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0"/>
      <name val="Cambria"/>
      <family val="1"/>
    </font>
    <font>
      <sz val="14"/>
      <name val="Cambria"/>
      <family val="1"/>
    </font>
    <font>
      <sz val="14"/>
      <color rgb="FF000000"/>
      <name val="Cambria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mbria"/>
      <family val="1"/>
    </font>
    <font>
      <b/>
      <sz val="14"/>
      <color rgb="FF000000"/>
      <name val="Cambria"/>
      <family val="1"/>
    </font>
    <font>
      <b/>
      <sz val="16"/>
      <color rgb="FF000000"/>
      <name val="Cambria"/>
      <family val="1"/>
    </font>
    <font>
      <b/>
      <sz val="12"/>
      <color rgb="FFFFFF00"/>
      <name val="Calibri"/>
      <family val="2"/>
    </font>
    <font>
      <sz val="10"/>
      <color theme="1"/>
      <name val="Arial"/>
      <family val="2"/>
    </font>
    <font>
      <b/>
      <sz val="12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9"/>
      <color theme="1"/>
      <name val="Tahoma"/>
      <family val="2"/>
    </font>
    <font>
      <b/>
      <sz val="10"/>
      <color rgb="FFFF0000"/>
      <name val="Arial"/>
      <family val="2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Tahoma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Tahoma"/>
      <family val="2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Tahoma"/>
      <family val="2"/>
    </font>
    <font>
      <b/>
      <sz val="11"/>
      <color indexed="10"/>
      <name val="Tahoma"/>
      <family val="2"/>
    </font>
    <font>
      <b/>
      <sz val="11"/>
      <color indexed="8"/>
      <name val="Tahoma"/>
      <family val="2"/>
    </font>
    <font>
      <b/>
      <vertAlign val="superscript"/>
      <sz val="11"/>
      <color indexed="8"/>
      <name val="Tahoma"/>
      <family val="2"/>
    </font>
    <font>
      <b/>
      <vertAlign val="superscript"/>
      <sz val="11"/>
      <name val="Tahoma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theme="1"/>
      <name val="Tahoma"/>
      <family val="2"/>
    </font>
    <font>
      <sz val="9"/>
      <name val="Tahoma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b/>
      <i/>
      <sz val="11"/>
      <color rgb="FF4E515E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i/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 tint="-0.499984740745262"/>
      <name val="Calibri"/>
      <family val="2"/>
    </font>
    <font>
      <b/>
      <i/>
      <sz val="11"/>
      <color rgb="FF002060"/>
      <name val="Calibri"/>
      <family val="2"/>
    </font>
    <font>
      <b/>
      <i/>
      <sz val="11"/>
      <color rgb="FF00B050"/>
      <name val="Calibri"/>
      <family val="2"/>
    </font>
    <font>
      <b/>
      <i/>
      <sz val="11"/>
      <color rgb="FFFF0000"/>
      <name val="Calibri"/>
      <family val="2"/>
    </font>
    <font>
      <b/>
      <i/>
      <sz val="11"/>
      <color theme="7"/>
      <name val="Calibri"/>
      <family val="2"/>
    </font>
    <font>
      <b/>
      <i/>
      <sz val="11"/>
      <color rgb="FF000000"/>
      <name val="Calibri"/>
      <family val="2"/>
    </font>
    <font>
      <b/>
      <i/>
      <sz val="11"/>
      <color rgb="FF000000"/>
      <name val="Calibri"/>
      <family val="2"/>
      <scheme val="minor"/>
    </font>
    <font>
      <b/>
      <sz val="11"/>
      <color rgb="FF002060"/>
      <name val="Calibri"/>
      <family val="2"/>
    </font>
    <font>
      <b/>
      <i/>
      <sz val="11"/>
      <name val="Calibri"/>
      <family val="2"/>
    </font>
    <font>
      <i/>
      <sz val="10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9"/>
      <name val="Calibri"/>
      <family val="2"/>
      <scheme val="minor"/>
    </font>
    <font>
      <i/>
      <sz val="8"/>
      <name val="Calibri"/>
      <family val="2"/>
      <scheme val="minor"/>
    </font>
    <font>
      <b/>
      <i/>
      <sz val="8"/>
      <name val="Calibri"/>
      <family val="2"/>
      <scheme val="minor"/>
    </font>
    <font>
      <b/>
      <i/>
      <sz val="9"/>
      <name val="Calibri"/>
      <family val="2"/>
      <scheme val="minor"/>
    </font>
    <font>
      <sz val="11"/>
      <name val="Tahoma"/>
      <family val="2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E02A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8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hair">
        <color rgb="FF0070C0"/>
      </bottom>
      <diagonal/>
    </border>
    <border>
      <left style="thin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thin">
        <color rgb="FF0070C0"/>
      </bottom>
      <diagonal/>
    </border>
  </borders>
  <cellStyleXfs count="34">
    <xf numFmtId="0" fontId="0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4" fillId="0" borderId="0" applyNumberForma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57" fillId="0" borderId="0">
      <alignment vertical="center"/>
    </xf>
    <xf numFmtId="0" fontId="1" fillId="0" borderId="0"/>
    <xf numFmtId="164" fontId="57" fillId="0" borderId="0" applyFont="0" applyFill="0" applyBorder="0" applyAlignment="0" applyProtection="0"/>
    <xf numFmtId="0" fontId="1" fillId="0" borderId="0"/>
    <xf numFmtId="0" fontId="87" fillId="0" borderId="0" applyNumberFormat="0" applyFill="0" applyBorder="0" applyAlignment="0" applyProtection="0">
      <alignment vertical="center"/>
    </xf>
    <xf numFmtId="0" fontId="3" fillId="0" borderId="0"/>
  </cellStyleXfs>
  <cellXfs count="97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6" xfId="0" applyBorder="1"/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6" borderId="1" xfId="0" applyFill="1" applyBorder="1"/>
    <xf numFmtId="0" fontId="7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8" fillId="6" borderId="1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7" xfId="0" applyBorder="1"/>
    <xf numFmtId="0" fontId="11" fillId="0" borderId="16" xfId="0" applyFont="1" applyBorder="1"/>
    <xf numFmtId="0" fontId="11" fillId="0" borderId="7" xfId="0" applyFont="1" applyBorder="1"/>
    <xf numFmtId="0" fontId="0" fillId="0" borderId="21" xfId="0" applyBorder="1"/>
    <xf numFmtId="0" fontId="0" fillId="0" borderId="20" xfId="0" applyBorder="1"/>
    <xf numFmtId="0" fontId="0" fillId="0" borderId="20" xfId="0" applyBorder="1" applyAlignment="1">
      <alignment horizontal="center" vertical="center"/>
    </xf>
    <xf numFmtId="0" fontId="0" fillId="0" borderId="31" xfId="0" applyBorder="1"/>
    <xf numFmtId="0" fontId="2" fillId="0" borderId="8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40" xfId="0" applyFont="1" applyBorder="1" applyAlignment="1">
      <alignment horizontal="right"/>
    </xf>
    <xf numFmtId="0" fontId="18" fillId="0" borderId="5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6" fillId="0" borderId="50" xfId="0" applyNumberFormat="1" applyFont="1" applyBorder="1" applyAlignment="1">
      <alignment horizontal="center" vertical="center" wrapText="1"/>
    </xf>
    <xf numFmtId="1" fontId="18" fillId="2" borderId="5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4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1" fontId="16" fillId="0" borderId="40" xfId="0" applyNumberFormat="1" applyFont="1" applyBorder="1" applyAlignment="1">
      <alignment horizontal="center" vertical="center" wrapText="1"/>
    </xf>
    <xf numFmtId="1" fontId="18" fillId="2" borderId="40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2" fontId="18" fillId="0" borderId="47" xfId="0" applyNumberFormat="1" applyFont="1" applyBorder="1" applyAlignment="1">
      <alignment horizontal="center" vertical="center"/>
    </xf>
    <xf numFmtId="2" fontId="18" fillId="0" borderId="20" xfId="0" applyNumberFormat="1" applyFont="1" applyBorder="1" applyAlignment="1">
      <alignment horizontal="center" vertical="center"/>
    </xf>
    <xf numFmtId="1" fontId="18" fillId="0" borderId="47" xfId="0" applyNumberFormat="1" applyFont="1" applyBorder="1" applyAlignment="1">
      <alignment vertical="center"/>
    </xf>
    <xf numFmtId="0" fontId="18" fillId="0" borderId="47" xfId="0" applyFont="1" applyBorder="1" applyAlignment="1">
      <alignment horizontal="center" vertical="center"/>
    </xf>
    <xf numFmtId="1" fontId="19" fillId="0" borderId="20" xfId="0" applyNumberFormat="1" applyFont="1" applyBorder="1" applyAlignment="1">
      <alignment vertical="center"/>
    </xf>
    <xf numFmtId="167" fontId="16" fillId="0" borderId="47" xfId="0" applyNumberFormat="1" applyFont="1" applyBorder="1" applyAlignment="1">
      <alignment horizontal="center" vertical="center"/>
    </xf>
    <xf numFmtId="167" fontId="16" fillId="0" borderId="20" xfId="0" applyNumberFormat="1" applyFont="1" applyBorder="1" applyAlignment="1">
      <alignment horizontal="center" vertical="center"/>
    </xf>
    <xf numFmtId="1" fontId="16" fillId="0" borderId="47" xfId="0" applyNumberFormat="1" applyFont="1" applyBorder="1" applyAlignment="1">
      <alignment horizontal="center" vertical="center" wrapText="1"/>
    </xf>
    <xf numFmtId="1" fontId="16" fillId="0" borderId="20" xfId="0" applyNumberFormat="1" applyFont="1" applyBorder="1" applyAlignment="1">
      <alignment horizontal="center" vertical="center"/>
    </xf>
    <xf numFmtId="166" fontId="18" fillId="2" borderId="47" xfId="0" applyNumberFormat="1" applyFont="1" applyFill="1" applyBorder="1" applyAlignment="1">
      <alignment horizontal="center" vertical="center" wrapText="1"/>
    </xf>
    <xf numFmtId="167" fontId="18" fillId="0" borderId="20" xfId="0" applyNumberFormat="1" applyFont="1" applyBorder="1" applyAlignment="1">
      <alignment horizontal="center" vertical="center"/>
    </xf>
    <xf numFmtId="1" fontId="16" fillId="0" borderId="47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0" fontId="20" fillId="19" borderId="47" xfId="0" applyFont="1" applyFill="1" applyBorder="1" applyAlignment="1">
      <alignment vertical="center" wrapText="1"/>
    </xf>
    <xf numFmtId="0" fontId="20" fillId="19" borderId="3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0" fillId="19" borderId="3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indent="2"/>
    </xf>
    <xf numFmtId="168" fontId="21" fillId="0" borderId="52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center"/>
    </xf>
    <xf numFmtId="168" fontId="21" fillId="2" borderId="52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169" fontId="21" fillId="2" borderId="5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indent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168" fontId="21" fillId="2" borderId="53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/>
    <xf numFmtId="168" fontId="21" fillId="2" borderId="1" xfId="0" applyNumberFormat="1" applyFont="1" applyFill="1" applyBorder="1" applyAlignment="1">
      <alignment horizontal="center" vertical="center" wrapText="1"/>
    </xf>
    <xf numFmtId="170" fontId="5" fillId="20" borderId="1" xfId="3" applyNumberFormat="1" applyFont="1" applyFill="1" applyBorder="1" applyAlignment="1">
      <alignment horizontal="center" vertical="center" wrapText="1"/>
    </xf>
    <xf numFmtId="170" fontId="5" fillId="20" borderId="1" xfId="3" applyNumberFormat="1" applyFont="1" applyFill="1" applyBorder="1" applyAlignment="1">
      <alignment horizontal="center" wrapText="1"/>
    </xf>
    <xf numFmtId="170" fontId="21" fillId="0" borderId="52" xfId="0" applyNumberFormat="1" applyFont="1" applyBorder="1" applyAlignment="1">
      <alignment horizontal="center" vertical="center" wrapText="1"/>
    </xf>
    <xf numFmtId="0" fontId="22" fillId="2" borderId="5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9" fontId="21" fillId="0" borderId="5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indent="2"/>
    </xf>
    <xf numFmtId="0" fontId="0" fillId="0" borderId="2" xfId="0" applyBorder="1" applyAlignment="1">
      <alignment horizontal="center"/>
    </xf>
    <xf numFmtId="168" fontId="21" fillId="0" borderId="5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4" fillId="19" borderId="0" xfId="0" applyFont="1" applyFill="1" applyAlignment="1">
      <alignment vertical="center" wrapText="1"/>
    </xf>
    <xf numFmtId="0" fontId="0" fillId="19" borderId="0" xfId="0" applyFill="1"/>
    <xf numFmtId="0" fontId="25" fillId="19" borderId="0" xfId="0" applyFont="1" applyFill="1" applyAlignment="1">
      <alignment vertical="center" wrapText="1"/>
    </xf>
    <xf numFmtId="0" fontId="26" fillId="19" borderId="47" xfId="0" applyFont="1" applyFill="1" applyBorder="1" applyAlignment="1">
      <alignment vertical="center" wrapText="1"/>
    </xf>
    <xf numFmtId="0" fontId="26" fillId="19" borderId="31" xfId="0" applyFont="1" applyFill="1" applyBorder="1" applyAlignment="1">
      <alignment horizontal="center" vertical="center" wrapText="1"/>
    </xf>
    <xf numFmtId="0" fontId="27" fillId="19" borderId="31" xfId="0" applyFont="1" applyFill="1" applyBorder="1" applyAlignment="1">
      <alignment horizontal="center" vertical="center" wrapText="1"/>
    </xf>
    <xf numFmtId="0" fontId="26" fillId="19" borderId="31" xfId="0" applyFont="1" applyFill="1" applyBorder="1" applyAlignment="1">
      <alignment vertical="center" wrapText="1"/>
    </xf>
    <xf numFmtId="0" fontId="13" fillId="0" borderId="50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wrapText="1"/>
    </xf>
    <xf numFmtId="0" fontId="13" fillId="0" borderId="1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13" fillId="0" borderId="15" xfId="0" applyFont="1" applyBorder="1" applyAlignment="1">
      <alignment vertical="center"/>
    </xf>
    <xf numFmtId="0" fontId="26" fillId="19" borderId="50" xfId="0" applyFont="1" applyFill="1" applyBorder="1" applyAlignment="1">
      <alignment vertical="center" wrapText="1"/>
    </xf>
    <xf numFmtId="0" fontId="26" fillId="19" borderId="17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0" fillId="22" borderId="55" xfId="0" applyFont="1" applyFill="1" applyBorder="1" applyAlignment="1">
      <alignment horizontal="center" vertical="center" wrapText="1"/>
    </xf>
    <xf numFmtId="0" fontId="30" fillId="22" borderId="34" xfId="0" applyFont="1" applyFill="1" applyBorder="1" applyAlignment="1">
      <alignment horizontal="center" vertical="center" wrapText="1"/>
    </xf>
    <xf numFmtId="0" fontId="30" fillId="22" borderId="56" xfId="0" applyFont="1" applyFill="1" applyBorder="1" applyAlignment="1">
      <alignment horizontal="center" vertical="center" wrapText="1"/>
    </xf>
    <xf numFmtId="0" fontId="30" fillId="22" borderId="57" xfId="0" applyFont="1" applyFill="1" applyBorder="1" applyAlignment="1">
      <alignment horizontal="center" vertical="center" wrapText="1"/>
    </xf>
    <xf numFmtId="0" fontId="30" fillId="22" borderId="43" xfId="0" applyFont="1" applyFill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17" fontId="31" fillId="0" borderId="40" xfId="4" quotePrefix="1" applyNumberFormat="1" applyFont="1" applyBorder="1" applyAlignment="1">
      <alignment horizontal="center" vertical="center"/>
    </xf>
    <xf numFmtId="0" fontId="31" fillId="0" borderId="14" xfId="4" applyFont="1" applyBorder="1" applyAlignment="1">
      <alignment horizontal="center" vertical="center"/>
    </xf>
    <xf numFmtId="0" fontId="31" fillId="0" borderId="40" xfId="4" quotePrefix="1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40" xfId="5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0" xfId="4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29" fillId="0" borderId="50" xfId="5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29" fillId="0" borderId="0" xfId="0" quotePrefix="1" applyFont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4" fillId="0" borderId="0" xfId="6"/>
    <xf numFmtId="0" fontId="36" fillId="0" borderId="0" xfId="7"/>
    <xf numFmtId="0" fontId="36" fillId="0" borderId="1" xfId="7" applyBorder="1" applyAlignment="1">
      <alignment horizontal="center" vertical="center" wrapText="1"/>
    </xf>
    <xf numFmtId="0" fontId="36" fillId="0" borderId="0" xfId="7" applyAlignment="1">
      <alignment horizontal="left" vertical="center" wrapText="1"/>
    </xf>
    <xf numFmtId="0" fontId="36" fillId="0" borderId="0" xfId="7" applyAlignment="1">
      <alignment horizontal="center" vertical="center" wrapText="1"/>
    </xf>
    <xf numFmtId="0" fontId="36" fillId="0" borderId="1" xfId="7" applyBorder="1" applyAlignment="1">
      <alignment horizontal="left" vertical="center" wrapText="1"/>
    </xf>
    <xf numFmtId="1" fontId="36" fillId="0" borderId="1" xfId="7" applyNumberFormat="1" applyBorder="1" applyAlignment="1">
      <alignment horizontal="center" vertical="center" wrapText="1"/>
    </xf>
    <xf numFmtId="0" fontId="36" fillId="2" borderId="1" xfId="7" applyFill="1" applyBorder="1" applyAlignment="1">
      <alignment horizontal="left" vertical="center" wrapText="1"/>
    </xf>
    <xf numFmtId="0" fontId="10" fillId="0" borderId="0" xfId="7" applyFont="1" applyAlignment="1">
      <alignment horizontal="left" vertical="center" wrapText="1"/>
    </xf>
    <xf numFmtId="9" fontId="36" fillId="0" borderId="1" xfId="8" applyFont="1" applyBorder="1" applyAlignment="1">
      <alignment horizontal="center" vertical="center" wrapText="1"/>
    </xf>
    <xf numFmtId="9" fontId="36" fillId="0" borderId="1" xfId="7" applyNumberFormat="1" applyBorder="1" applyAlignment="1">
      <alignment horizontal="center" vertical="center" wrapText="1"/>
    </xf>
    <xf numFmtId="0" fontId="37" fillId="0" borderId="41" xfId="7" applyFont="1" applyBorder="1" applyAlignment="1">
      <alignment horizontal="center" vertical="center" wrapText="1"/>
    </xf>
    <xf numFmtId="0" fontId="37" fillId="0" borderId="23" xfId="7" applyFont="1" applyBorder="1" applyAlignment="1">
      <alignment horizontal="center" vertical="center" wrapText="1"/>
    </xf>
    <xf numFmtId="0" fontId="37" fillId="0" borderId="24" xfId="7" applyFont="1" applyBorder="1" applyAlignment="1">
      <alignment horizontal="center" vertical="center" wrapText="1"/>
    </xf>
    <xf numFmtId="0" fontId="36" fillId="0" borderId="10" xfId="7" applyBorder="1" applyAlignment="1">
      <alignment horizontal="center" vertical="center" wrapText="1"/>
    </xf>
    <xf numFmtId="0" fontId="36" fillId="2" borderId="25" xfId="7" applyFill="1" applyBorder="1" applyAlignment="1">
      <alignment horizontal="center" vertical="center" wrapText="1"/>
    </xf>
    <xf numFmtId="0" fontId="36" fillId="0" borderId="11" xfId="7" applyBorder="1" applyAlignment="1">
      <alignment horizontal="center" vertical="center" wrapText="1"/>
    </xf>
    <xf numFmtId="0" fontId="36" fillId="2" borderId="12" xfId="7" applyFill="1" applyBorder="1" applyAlignment="1">
      <alignment horizontal="left" vertical="center" wrapText="1"/>
    </xf>
    <xf numFmtId="0" fontId="36" fillId="2" borderId="12" xfId="7" applyFill="1" applyBorder="1" applyAlignment="1">
      <alignment horizontal="center" vertical="center" wrapText="1"/>
    </xf>
    <xf numFmtId="0" fontId="36" fillId="2" borderId="32" xfId="7" applyFill="1" applyBorder="1" applyAlignment="1">
      <alignment horizontal="center" vertical="center" wrapText="1"/>
    </xf>
    <xf numFmtId="0" fontId="10" fillId="0" borderId="41" xfId="7" applyFont="1" applyBorder="1" applyAlignment="1">
      <alignment horizontal="left" vertical="center" wrapText="1"/>
    </xf>
    <xf numFmtId="0" fontId="10" fillId="0" borderId="10" xfId="7" applyFont="1" applyBorder="1" applyAlignment="1">
      <alignment horizontal="left" vertical="center" wrapText="1"/>
    </xf>
    <xf numFmtId="0" fontId="10" fillId="0" borderId="11" xfId="7" applyFont="1" applyBorder="1" applyAlignment="1">
      <alignment vertical="center" wrapText="1"/>
    </xf>
    <xf numFmtId="0" fontId="36" fillId="0" borderId="0" xfId="7" applyAlignment="1">
      <alignment vertical="center" wrapText="1"/>
    </xf>
    <xf numFmtId="0" fontId="10" fillId="0" borderId="0" xfId="7" applyFont="1" applyAlignment="1">
      <alignment vertical="center" wrapText="1"/>
    </xf>
    <xf numFmtId="0" fontId="38" fillId="14" borderId="40" xfId="0" applyFont="1" applyFill="1" applyBorder="1" applyAlignment="1">
      <alignment horizontal="center" vertical="center" wrapText="1"/>
    </xf>
    <xf numFmtId="0" fontId="38" fillId="14" borderId="15" xfId="0" applyFont="1" applyFill="1" applyBorder="1" applyAlignment="1">
      <alignment horizontal="center" vertical="center" wrapText="1"/>
    </xf>
    <xf numFmtId="0" fontId="39" fillId="23" borderId="47" xfId="0" applyFont="1" applyFill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19" borderId="40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19" borderId="15" xfId="0" applyFont="1" applyFill="1" applyBorder="1" applyAlignment="1">
      <alignment horizontal="center" vertical="center" wrapText="1"/>
    </xf>
    <xf numFmtId="0" fontId="18" fillId="19" borderId="36" xfId="0" applyFont="1" applyFill="1" applyBorder="1" applyAlignment="1">
      <alignment horizontal="center" vertical="center" wrapText="1"/>
    </xf>
    <xf numFmtId="0" fontId="18" fillId="19" borderId="50" xfId="0" applyFont="1" applyFill="1" applyBorder="1" applyAlignment="1">
      <alignment horizontal="center" vertical="center" wrapText="1"/>
    </xf>
    <xf numFmtId="0" fontId="18" fillId="19" borderId="47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40" xfId="0" applyFont="1" applyBorder="1" applyAlignment="1">
      <alignment vertical="center" wrapText="1"/>
    </xf>
    <xf numFmtId="0" fontId="18" fillId="19" borderId="40" xfId="0" applyFont="1" applyFill="1" applyBorder="1" applyAlignment="1">
      <alignment vertical="center" wrapText="1"/>
    </xf>
    <xf numFmtId="0" fontId="18" fillId="19" borderId="17" xfId="0" applyFont="1" applyFill="1" applyBorder="1" applyAlignment="1">
      <alignment horizontal="center" vertical="center" wrapText="1"/>
    </xf>
    <xf numFmtId="0" fontId="18" fillId="19" borderId="31" xfId="0" applyFont="1" applyFill="1" applyBorder="1" applyAlignment="1">
      <alignment horizontal="center" vertical="center" wrapText="1"/>
    </xf>
    <xf numFmtId="14" fontId="18" fillId="19" borderId="36" xfId="0" applyNumberFormat="1" applyFont="1" applyFill="1" applyBorder="1" applyAlignment="1">
      <alignment horizontal="center" vertical="center" wrapText="1"/>
    </xf>
    <xf numFmtId="0" fontId="16" fillId="19" borderId="31" xfId="0" applyFont="1" applyFill="1" applyBorder="1" applyAlignment="1">
      <alignment horizontal="center" vertical="center" wrapText="1"/>
    </xf>
    <xf numFmtId="0" fontId="18" fillId="19" borderId="31" xfId="0" applyFont="1" applyFill="1" applyBorder="1" applyAlignment="1">
      <alignment vertical="center" wrapText="1"/>
    </xf>
    <xf numFmtId="0" fontId="18" fillId="19" borderId="15" xfId="0" applyFont="1" applyFill="1" applyBorder="1" applyAlignment="1">
      <alignment vertical="center" wrapText="1"/>
    </xf>
    <xf numFmtId="16" fontId="0" fillId="2" borderId="1" xfId="0" quotePrefix="1" applyNumberForma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/>
    <xf numFmtId="0" fontId="0" fillId="0" borderId="17" xfId="0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14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0" fillId="0" borderId="23" xfId="0" applyBorder="1"/>
    <xf numFmtId="0" fontId="7" fillId="0" borderId="1" xfId="0" applyFont="1" applyBorder="1"/>
    <xf numFmtId="0" fontId="42" fillId="0" borderId="0" xfId="0" applyFont="1" applyAlignment="1">
      <alignment vertical="center"/>
    </xf>
    <xf numFmtId="0" fontId="43" fillId="16" borderId="2" xfId="0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5" fillId="2" borderId="1" xfId="0" applyFont="1" applyFill="1" applyBorder="1" applyAlignment="1">
      <alignment horizontal="center" vertical="center" wrapText="1"/>
    </xf>
    <xf numFmtId="0" fontId="46" fillId="2" borderId="1" xfId="5" applyFont="1" applyFill="1" applyBorder="1" applyAlignment="1">
      <alignment horizontal="center" vertical="center"/>
    </xf>
    <xf numFmtId="16" fontId="46" fillId="2" borderId="1" xfId="14" quotePrefix="1" applyNumberFormat="1" applyFont="1" applyFill="1" applyBorder="1" applyAlignment="1">
      <alignment horizontal="center" vertical="center"/>
    </xf>
    <xf numFmtId="0" fontId="46" fillId="2" borderId="1" xfId="14" applyFont="1" applyFill="1" applyBorder="1" applyAlignment="1">
      <alignment horizontal="center" vertical="center"/>
    </xf>
    <xf numFmtId="0" fontId="46" fillId="2" borderId="2" xfId="14" applyFont="1" applyFill="1" applyBorder="1" applyAlignment="1">
      <alignment horizontal="center" vertical="center"/>
    </xf>
    <xf numFmtId="1" fontId="46" fillId="2" borderId="2" xfId="14" applyNumberFormat="1" applyFont="1" applyFill="1" applyBorder="1" applyAlignment="1">
      <alignment horizontal="center" vertical="center"/>
    </xf>
    <xf numFmtId="167" fontId="45" fillId="2" borderId="2" xfId="0" applyNumberFormat="1" applyFont="1" applyFill="1" applyBorder="1" applyAlignment="1">
      <alignment horizontal="center" vertical="center"/>
    </xf>
    <xf numFmtId="167" fontId="44" fillId="2" borderId="0" xfId="0" applyNumberFormat="1" applyFont="1" applyFill="1" applyAlignment="1">
      <alignment vertical="center"/>
    </xf>
    <xf numFmtId="0" fontId="44" fillId="2" borderId="0" xfId="0" applyFont="1" applyFill="1" applyAlignment="1">
      <alignment vertical="center"/>
    </xf>
    <xf numFmtId="0" fontId="46" fillId="2" borderId="1" xfId="14" quotePrefix="1" applyFont="1" applyFill="1" applyBorder="1" applyAlignment="1">
      <alignment horizontal="center" vertical="center"/>
    </xf>
    <xf numFmtId="0" fontId="45" fillId="2" borderId="4" xfId="0" applyFont="1" applyFill="1" applyBorder="1" applyAlignment="1">
      <alignment horizontal="center" vertical="center" wrapText="1"/>
    </xf>
    <xf numFmtId="0" fontId="46" fillId="2" borderId="27" xfId="14" applyFont="1" applyFill="1" applyBorder="1" applyAlignment="1">
      <alignment horizontal="center" vertical="center"/>
    </xf>
    <xf numFmtId="1" fontId="46" fillId="2" borderId="27" xfId="14" applyNumberFormat="1" applyFont="1" applyFill="1" applyBorder="1" applyAlignment="1">
      <alignment horizontal="center" vertical="center"/>
    </xf>
    <xf numFmtId="2" fontId="47" fillId="2" borderId="4" xfId="0" applyNumberFormat="1" applyFont="1" applyFill="1" applyBorder="1" applyAlignment="1">
      <alignment horizontal="center" vertical="center" wrapText="1"/>
    </xf>
    <xf numFmtId="167" fontId="45" fillId="2" borderId="1" xfId="0" applyNumberFormat="1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 wrapText="1"/>
    </xf>
    <xf numFmtId="167" fontId="42" fillId="0" borderId="0" xfId="0" applyNumberFormat="1" applyFont="1" applyAlignment="1">
      <alignment vertical="center"/>
    </xf>
    <xf numFmtId="0" fontId="42" fillId="2" borderId="0" xfId="0" applyFont="1" applyFill="1" applyAlignment="1">
      <alignment vertical="center"/>
    </xf>
    <xf numFmtId="0" fontId="10" fillId="0" borderId="25" xfId="7" applyFont="1" applyBorder="1" applyAlignment="1">
      <alignment horizontal="left" vertical="center" wrapText="1"/>
    </xf>
    <xf numFmtId="0" fontId="36" fillId="0" borderId="25" xfId="7" applyBorder="1" applyAlignment="1">
      <alignment horizontal="left" vertical="center" wrapText="1"/>
    </xf>
    <xf numFmtId="0" fontId="36" fillId="0" borderId="12" xfId="7" applyBorder="1" applyAlignment="1">
      <alignment horizontal="left" vertical="center" wrapText="1"/>
    </xf>
    <xf numFmtId="0" fontId="36" fillId="0" borderId="12" xfId="7" applyBorder="1" applyAlignment="1">
      <alignment horizontal="center" vertical="center" wrapText="1"/>
    </xf>
    <xf numFmtId="1" fontId="36" fillId="0" borderId="12" xfId="7" applyNumberFormat="1" applyBorder="1" applyAlignment="1">
      <alignment horizontal="center" vertical="center" wrapText="1"/>
    </xf>
    <xf numFmtId="0" fontId="36" fillId="0" borderId="32" xfId="7" applyBorder="1" applyAlignment="1">
      <alignment horizontal="left" vertical="center" wrapText="1"/>
    </xf>
    <xf numFmtId="0" fontId="36" fillId="0" borderId="37" xfId="7" applyBorder="1" applyAlignment="1">
      <alignment horizontal="center" vertical="center" wrapText="1"/>
    </xf>
    <xf numFmtId="0" fontId="36" fillId="0" borderId="39" xfId="7" applyBorder="1" applyAlignment="1">
      <alignment horizontal="center" vertical="center" wrapText="1"/>
    </xf>
    <xf numFmtId="0" fontId="36" fillId="0" borderId="62" xfId="7" applyBorder="1" applyAlignment="1">
      <alignment horizontal="center" vertical="center" wrapText="1"/>
    </xf>
    <xf numFmtId="0" fontId="36" fillId="0" borderId="9" xfId="7" applyBorder="1" applyAlignment="1">
      <alignment horizontal="left" vertical="center" wrapText="1"/>
    </xf>
    <xf numFmtId="0" fontId="36" fillId="0" borderId="9" xfId="7" applyBorder="1" applyAlignment="1">
      <alignment horizontal="center" vertical="center" wrapText="1"/>
    </xf>
    <xf numFmtId="1" fontId="36" fillId="0" borderId="9" xfId="7" applyNumberFormat="1" applyBorder="1" applyAlignment="1">
      <alignment horizontal="center" vertical="center" wrapText="1"/>
    </xf>
    <xf numFmtId="0" fontId="10" fillId="0" borderId="61" xfId="7" applyFont="1" applyBorder="1" applyAlignment="1">
      <alignment horizontal="left" vertical="center" wrapText="1"/>
    </xf>
    <xf numFmtId="0" fontId="10" fillId="0" borderId="37" xfId="7" applyFont="1" applyBorder="1" applyAlignment="1">
      <alignment horizontal="center" vertical="center" wrapText="1"/>
    </xf>
    <xf numFmtId="0" fontId="10" fillId="0" borderId="38" xfId="7" applyFont="1" applyBorder="1" applyAlignment="1">
      <alignment horizontal="center" vertical="center" wrapText="1"/>
    </xf>
    <xf numFmtId="0" fontId="10" fillId="0" borderId="39" xfId="7" applyFont="1" applyBorder="1" applyAlignment="1">
      <alignment horizontal="center" vertical="center" wrapText="1"/>
    </xf>
    <xf numFmtId="16" fontId="14" fillId="0" borderId="1" xfId="0" quotePrefix="1" applyNumberFormat="1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wrapText="1"/>
    </xf>
    <xf numFmtId="167" fontId="36" fillId="2" borderId="1" xfId="7" applyNumberFormat="1" applyFill="1" applyBorder="1" applyAlignment="1">
      <alignment horizontal="center" vertical="center" wrapText="1"/>
    </xf>
    <xf numFmtId="167" fontId="36" fillId="2" borderId="12" xfId="7" applyNumberFormat="1" applyFill="1" applyBorder="1" applyAlignment="1">
      <alignment horizontal="center" vertical="center" wrapText="1"/>
    </xf>
    <xf numFmtId="0" fontId="0" fillId="0" borderId="6" xfId="0" quotePrefix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49" fontId="54" fillId="2" borderId="9" xfId="12" applyNumberFormat="1" applyFont="1" applyFill="1" applyBorder="1" applyAlignment="1">
      <alignment horizontal="center" vertical="center"/>
    </xf>
    <xf numFmtId="49" fontId="54" fillId="2" borderId="1" xfId="12" applyNumberFormat="1" applyFont="1" applyFill="1" applyBorder="1" applyAlignment="1">
      <alignment horizontal="center" vertical="center"/>
    </xf>
    <xf numFmtId="1" fontId="54" fillId="2" borderId="1" xfId="12" applyNumberFormat="1" applyFont="1" applyFill="1" applyBorder="1" applyAlignment="1">
      <alignment horizontal="center" vertical="center"/>
    </xf>
    <xf numFmtId="0" fontId="49" fillId="0" borderId="11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51" fillId="2" borderId="25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/>
    </xf>
    <xf numFmtId="0" fontId="51" fillId="2" borderId="25" xfId="0" applyFont="1" applyFill="1" applyBorder="1" applyAlignment="1">
      <alignment horizontal="center" vertical="center"/>
    </xf>
    <xf numFmtId="2" fontId="50" fillId="2" borderId="16" xfId="17" applyNumberFormat="1" applyFont="1" applyFill="1" applyBorder="1" applyAlignment="1">
      <alignment horizontal="center" vertical="center"/>
    </xf>
    <xf numFmtId="1" fontId="54" fillId="2" borderId="1" xfId="0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/>
    </xf>
    <xf numFmtId="0" fontId="57" fillId="2" borderId="1" xfId="0" applyFont="1" applyFill="1" applyBorder="1" applyAlignment="1">
      <alignment horizontal="center" vertical="center"/>
    </xf>
    <xf numFmtId="0" fontId="57" fillId="2" borderId="1" xfId="0" applyFont="1" applyFill="1" applyBorder="1" applyAlignment="1">
      <alignment horizontal="center"/>
    </xf>
    <xf numFmtId="0" fontId="50" fillId="2" borderId="0" xfId="0" applyFont="1" applyFill="1" applyAlignment="1">
      <alignment horizontal="center" vertical="center"/>
    </xf>
    <xf numFmtId="0" fontId="50" fillId="2" borderId="20" xfId="0" applyFont="1" applyFill="1" applyBorder="1" applyAlignment="1">
      <alignment horizontal="center" vertical="center"/>
    </xf>
    <xf numFmtId="16" fontId="0" fillId="0" borderId="0" xfId="0" quotePrefix="1" applyNumberFormat="1" applyAlignment="1">
      <alignment horizontal="center"/>
    </xf>
    <xf numFmtId="16" fontId="0" fillId="0" borderId="0" xfId="0" applyNumberFormat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11" fillId="0" borderId="1" xfId="0" quotePrefix="1" applyFont="1" applyBorder="1" applyAlignment="1">
      <alignment horizontal="center"/>
    </xf>
    <xf numFmtId="0" fontId="57" fillId="0" borderId="1" xfId="0" applyFont="1" applyBorder="1" applyAlignment="1">
      <alignment horizontal="center" vertical="center"/>
    </xf>
    <xf numFmtId="0" fontId="50" fillId="2" borderId="12" xfId="0" applyFont="1" applyFill="1" applyBorder="1" applyAlignment="1">
      <alignment horizontal="center" vertical="center" wrapText="1"/>
    </xf>
    <xf numFmtId="0" fontId="49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1" fontId="0" fillId="0" borderId="0" xfId="0" applyNumberFormat="1" applyAlignment="1">
      <alignment horizontal="center" vertical="center" wrapText="1"/>
    </xf>
    <xf numFmtId="0" fontId="52" fillId="2" borderId="0" xfId="0" applyFont="1" applyFill="1" applyAlignment="1">
      <alignment horizontal="center" vertical="center"/>
    </xf>
    <xf numFmtId="1" fontId="50" fillId="2" borderId="12" xfId="11" applyNumberFormat="1" applyFont="1" applyFill="1" applyBorder="1" applyAlignment="1">
      <alignment horizontal="center" vertical="center" wrapText="1"/>
    </xf>
    <xf numFmtId="0" fontId="52" fillId="2" borderId="0" xfId="0" applyFont="1" applyFill="1" applyAlignment="1">
      <alignment horizontal="center" vertical="center" wrapText="1"/>
    </xf>
    <xf numFmtId="0" fontId="56" fillId="0" borderId="55" xfId="0" applyFont="1" applyBorder="1" applyAlignment="1">
      <alignment horizontal="center" vertical="center" wrapText="1"/>
    </xf>
    <xf numFmtId="0" fontId="60" fillId="0" borderId="23" xfId="0" applyFont="1" applyBorder="1" applyAlignment="1">
      <alignment horizontal="center" vertical="center"/>
    </xf>
    <xf numFmtId="0" fontId="60" fillId="0" borderId="23" xfId="0" applyFont="1" applyBorder="1" applyAlignment="1">
      <alignment horizontal="center" vertical="center" wrapText="1"/>
    </xf>
    <xf numFmtId="0" fontId="60" fillId="0" borderId="64" xfId="0" applyFont="1" applyBorder="1" applyAlignment="1">
      <alignment horizontal="center" vertical="center"/>
    </xf>
    <xf numFmtId="2" fontId="60" fillId="0" borderId="23" xfId="0" applyNumberFormat="1" applyFont="1" applyBorder="1" applyAlignment="1">
      <alignment horizontal="center" vertical="center"/>
    </xf>
    <xf numFmtId="167" fontId="60" fillId="0" borderId="23" xfId="0" applyNumberFormat="1" applyFont="1" applyBorder="1" applyAlignment="1">
      <alignment horizontal="center" vertical="center"/>
    </xf>
    <xf numFmtId="167" fontId="60" fillId="0" borderId="42" xfId="0" applyNumberFormat="1" applyFont="1" applyBorder="1" applyAlignment="1">
      <alignment horizontal="center" vertical="center"/>
    </xf>
    <xf numFmtId="0" fontId="56" fillId="0" borderId="56" xfId="0" applyFont="1" applyBorder="1" applyAlignment="1">
      <alignment horizontal="center" vertical="center" wrapText="1"/>
    </xf>
    <xf numFmtId="0" fontId="56" fillId="0" borderId="42" xfId="0" applyFont="1" applyBorder="1" applyAlignment="1">
      <alignment horizontal="center" vertical="center" wrapText="1"/>
    </xf>
    <xf numFmtId="0" fontId="56" fillId="0" borderId="23" xfId="0" applyFont="1" applyBorder="1" applyAlignment="1">
      <alignment horizontal="center" vertical="center" wrapText="1"/>
    </xf>
    <xf numFmtId="0" fontId="56" fillId="0" borderId="24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6" fillId="0" borderId="63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2" fontId="60" fillId="0" borderId="1" xfId="0" applyNumberFormat="1" applyFont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167" fontId="60" fillId="0" borderId="1" xfId="0" applyNumberFormat="1" applyFont="1" applyBorder="1" applyAlignment="1">
      <alignment horizontal="center" vertical="center"/>
    </xf>
    <xf numFmtId="167" fontId="60" fillId="0" borderId="4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6" fillId="0" borderId="25" xfId="0" applyFont="1" applyBorder="1" applyAlignment="1">
      <alignment horizontal="center" vertical="center" wrapText="1"/>
    </xf>
    <xf numFmtId="0" fontId="56" fillId="0" borderId="10" xfId="0" applyFont="1" applyBorder="1" applyAlignment="1">
      <alignment horizontal="center" vertical="center" wrapText="1"/>
    </xf>
    <xf numFmtId="2" fontId="60" fillId="0" borderId="6" xfId="0" applyNumberFormat="1" applyFont="1" applyBorder="1" applyAlignment="1">
      <alignment horizontal="center" vertical="center"/>
    </xf>
    <xf numFmtId="0" fontId="63" fillId="0" borderId="25" xfId="0" applyFont="1" applyBorder="1" applyAlignment="1">
      <alignment horizontal="center" vertical="center" wrapText="1"/>
    </xf>
    <xf numFmtId="0" fontId="60" fillId="0" borderId="25" xfId="0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/>
    </xf>
    <xf numFmtId="0" fontId="56" fillId="0" borderId="29" xfId="0" applyFont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/>
    </xf>
    <xf numFmtId="167" fontId="60" fillId="2" borderId="1" xfId="0" applyNumberFormat="1" applyFont="1" applyFill="1" applyBorder="1" applyAlignment="1">
      <alignment horizontal="center" vertical="center"/>
    </xf>
    <xf numFmtId="0" fontId="60" fillId="2" borderId="1" xfId="0" applyFont="1" applyFill="1" applyBorder="1" applyAlignment="1">
      <alignment horizontal="center" vertical="center" wrapText="1"/>
    </xf>
    <xf numFmtId="0" fontId="56" fillId="2" borderId="4" xfId="0" applyFont="1" applyFill="1" applyBorder="1" applyAlignment="1">
      <alignment horizontal="center" vertical="center" wrapText="1"/>
    </xf>
    <xf numFmtId="0" fontId="56" fillId="2" borderId="25" xfId="0" applyFont="1" applyFill="1" applyBorder="1" applyAlignment="1">
      <alignment horizontal="center" vertical="center" wrapText="1"/>
    </xf>
    <xf numFmtId="0" fontId="56" fillId="2" borderId="0" xfId="0" applyFont="1" applyFill="1" applyAlignment="1">
      <alignment horizontal="center" vertical="center" wrapText="1"/>
    </xf>
    <xf numFmtId="2" fontId="56" fillId="2" borderId="1" xfId="0" applyNumberFormat="1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 vertical="center" wrapText="1"/>
    </xf>
    <xf numFmtId="0" fontId="63" fillId="2" borderId="25" xfId="0" applyFont="1" applyFill="1" applyBorder="1" applyAlignment="1">
      <alignment horizontal="center" vertical="center" wrapText="1"/>
    </xf>
    <xf numFmtId="0" fontId="64" fillId="2" borderId="1" xfId="0" applyFont="1" applyFill="1" applyBorder="1" applyAlignment="1">
      <alignment horizontal="center" vertical="center" wrapText="1"/>
    </xf>
    <xf numFmtId="0" fontId="63" fillId="2" borderId="1" xfId="0" quotePrefix="1" applyFont="1" applyFill="1" applyBorder="1" applyAlignment="1">
      <alignment horizontal="center" vertical="center" wrapText="1"/>
    </xf>
    <xf numFmtId="0" fontId="63" fillId="2" borderId="25" xfId="0" quotePrefix="1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/>
    </xf>
    <xf numFmtId="0" fontId="56" fillId="2" borderId="25" xfId="0" applyFont="1" applyFill="1" applyBorder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63" fillId="2" borderId="1" xfId="0" applyFont="1" applyFill="1" applyBorder="1" applyAlignment="1">
      <alignment horizontal="center" vertical="center"/>
    </xf>
    <xf numFmtId="0" fontId="63" fillId="2" borderId="25" xfId="0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25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2" fontId="56" fillId="0" borderId="1" xfId="0" applyNumberFormat="1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/>
    </xf>
    <xf numFmtId="0" fontId="63" fillId="0" borderId="25" xfId="0" applyFont="1" applyBorder="1" applyAlignment="1">
      <alignment horizontal="center" vertical="center"/>
    </xf>
    <xf numFmtId="0" fontId="56" fillId="2" borderId="1" xfId="2" applyFont="1" applyFill="1" applyBorder="1" applyAlignment="1">
      <alignment horizontal="center" vertical="center"/>
    </xf>
    <xf numFmtId="1" fontId="56" fillId="2" borderId="1" xfId="2" applyNumberFormat="1" applyFont="1" applyFill="1" applyBorder="1" applyAlignment="1">
      <alignment horizontal="center" vertical="center"/>
    </xf>
    <xf numFmtId="2" fontId="60" fillId="2" borderId="1" xfId="0" applyNumberFormat="1" applyFont="1" applyFill="1" applyBorder="1" applyAlignment="1">
      <alignment horizontal="center" vertical="center"/>
    </xf>
    <xf numFmtId="1" fontId="56" fillId="2" borderId="1" xfId="0" applyNumberFormat="1" applyFont="1" applyFill="1" applyBorder="1" applyAlignment="1">
      <alignment horizontal="center" vertical="center" wrapText="1"/>
    </xf>
    <xf numFmtId="166" fontId="56" fillId="2" borderId="1" xfId="0" applyNumberFormat="1" applyFont="1" applyFill="1" applyBorder="1" applyAlignment="1">
      <alignment horizontal="center" vertical="center" wrapText="1"/>
    </xf>
    <xf numFmtId="0" fontId="56" fillId="2" borderId="1" xfId="13" applyFont="1" applyFill="1" applyBorder="1" applyAlignment="1">
      <alignment horizontal="center" vertical="center" wrapText="1"/>
    </xf>
    <xf numFmtId="1" fontId="60" fillId="2" borderId="1" xfId="0" applyNumberFormat="1" applyFont="1" applyFill="1" applyBorder="1" applyAlignment="1">
      <alignment horizontal="center" vertical="center"/>
    </xf>
    <xf numFmtId="1" fontId="60" fillId="0" borderId="1" xfId="0" applyNumberFormat="1" applyFont="1" applyBorder="1" applyAlignment="1">
      <alignment horizontal="center" vertical="center"/>
    </xf>
    <xf numFmtId="0" fontId="56" fillId="2" borderId="4" xfId="0" applyFont="1" applyFill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 wrapText="1"/>
    </xf>
    <xf numFmtId="166" fontId="63" fillId="2" borderId="25" xfId="0" applyNumberFormat="1" applyFont="1" applyFill="1" applyBorder="1" applyAlignment="1">
      <alignment horizontal="center" vertical="center"/>
    </xf>
    <xf numFmtId="2" fontId="60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0" fontId="53" fillId="0" borderId="25" xfId="0" applyFont="1" applyBorder="1" applyAlignment="1">
      <alignment horizontal="center" vertical="center"/>
    </xf>
    <xf numFmtId="166" fontId="63" fillId="2" borderId="1" xfId="0" applyNumberFormat="1" applyFont="1" applyFill="1" applyBorder="1" applyAlignment="1">
      <alignment horizontal="center" vertical="center"/>
    </xf>
    <xf numFmtId="0" fontId="60" fillId="2" borderId="2" xfId="0" applyFont="1" applyFill="1" applyBorder="1" applyAlignment="1">
      <alignment horizontal="center" vertical="center"/>
    </xf>
    <xf numFmtId="1" fontId="60" fillId="2" borderId="2" xfId="0" applyNumberFormat="1" applyFont="1" applyFill="1" applyBorder="1" applyAlignment="1">
      <alignment horizontal="center" vertical="center"/>
    </xf>
    <xf numFmtId="2" fontId="60" fillId="0" borderId="28" xfId="0" applyNumberFormat="1" applyFont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 wrapText="1"/>
    </xf>
    <xf numFmtId="167" fontId="60" fillId="2" borderId="2" xfId="0" applyNumberFormat="1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56" fillId="2" borderId="27" xfId="0" applyFont="1" applyFill="1" applyBorder="1" applyAlignment="1">
      <alignment horizontal="center" vertical="center" wrapText="1"/>
    </xf>
    <xf numFmtId="0" fontId="56" fillId="2" borderId="2" xfId="0" applyFont="1" applyFill="1" applyBorder="1" applyAlignment="1">
      <alignment horizontal="center" vertical="center"/>
    </xf>
    <xf numFmtId="0" fontId="56" fillId="2" borderId="65" xfId="0" applyFont="1" applyFill="1" applyBorder="1" applyAlignment="1">
      <alignment horizontal="center" vertical="center"/>
    </xf>
    <xf numFmtId="0" fontId="56" fillId="2" borderId="10" xfId="0" applyFont="1" applyFill="1" applyBorder="1" applyAlignment="1">
      <alignment horizontal="center" vertical="center"/>
    </xf>
    <xf numFmtId="1" fontId="56" fillId="2" borderId="1" xfId="0" applyNumberFormat="1" applyFont="1" applyFill="1" applyBorder="1" applyAlignment="1">
      <alignment horizontal="center" vertical="center"/>
    </xf>
    <xf numFmtId="2" fontId="56" fillId="2" borderId="1" xfId="0" applyNumberFormat="1" applyFont="1" applyFill="1" applyBorder="1" applyAlignment="1">
      <alignment horizontal="center" vertical="center"/>
    </xf>
    <xf numFmtId="167" fontId="56" fillId="2" borderId="1" xfId="0" applyNumberFormat="1" applyFont="1" applyFill="1" applyBorder="1" applyAlignment="1">
      <alignment horizontal="center" vertical="center"/>
    </xf>
    <xf numFmtId="0" fontId="56" fillId="2" borderId="16" xfId="0" applyFont="1" applyFill="1" applyBorder="1" applyAlignment="1">
      <alignment horizontal="center" vertical="center"/>
    </xf>
    <xf numFmtId="1" fontId="56" fillId="2" borderId="0" xfId="0" applyNumberFormat="1" applyFont="1" applyFill="1" applyAlignment="1">
      <alignment horizontal="center" vertical="center"/>
    </xf>
    <xf numFmtId="166" fontId="56" fillId="2" borderId="0" xfId="17" applyNumberFormat="1" applyFont="1" applyFill="1" applyAlignment="1">
      <alignment horizontal="center" vertical="center" wrapText="1"/>
    </xf>
    <xf numFmtId="2" fontId="56" fillId="2" borderId="0" xfId="0" applyNumberFormat="1" applyFont="1" applyFill="1" applyAlignment="1">
      <alignment horizontal="center" vertical="center"/>
    </xf>
    <xf numFmtId="167" fontId="56" fillId="2" borderId="0" xfId="0" applyNumberFormat="1" applyFont="1" applyFill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0" fillId="2" borderId="16" xfId="0" applyFont="1" applyFill="1" applyBorder="1" applyAlignment="1">
      <alignment horizontal="center" vertical="center"/>
    </xf>
    <xf numFmtId="2" fontId="50" fillId="2" borderId="0" xfId="0" applyNumberFormat="1" applyFont="1" applyFill="1" applyAlignment="1">
      <alignment horizontal="center" vertical="center"/>
    </xf>
    <xf numFmtId="167" fontId="50" fillId="2" borderId="0" xfId="0" applyNumberFormat="1" applyFont="1" applyFill="1" applyAlignment="1">
      <alignment horizontal="center" vertical="center"/>
    </xf>
    <xf numFmtId="0" fontId="50" fillId="2" borderId="17" xfId="0" applyFont="1" applyFill="1" applyBorder="1" applyAlignment="1">
      <alignment horizontal="center" vertical="center"/>
    </xf>
    <xf numFmtId="0" fontId="50" fillId="2" borderId="0" xfId="17" applyFont="1" applyFill="1" applyAlignment="1">
      <alignment horizontal="center" vertical="center"/>
    </xf>
    <xf numFmtId="49" fontId="50" fillId="2" borderId="0" xfId="17" applyNumberFormat="1" applyFont="1" applyFill="1" applyAlignment="1">
      <alignment horizontal="center" vertical="center"/>
    </xf>
    <xf numFmtId="167" fontId="50" fillId="2" borderId="0" xfId="17" applyNumberFormat="1" applyFont="1" applyFill="1" applyAlignment="1">
      <alignment horizontal="center" vertical="center" wrapText="1"/>
    </xf>
    <xf numFmtId="1" fontId="50" fillId="2" borderId="0" xfId="17" applyNumberFormat="1" applyFont="1" applyFill="1" applyAlignment="1">
      <alignment horizontal="center" vertical="center" wrapText="1"/>
    </xf>
    <xf numFmtId="2" fontId="50" fillId="2" borderId="0" xfId="17" applyNumberFormat="1" applyFont="1" applyFill="1" applyAlignment="1">
      <alignment horizontal="center" vertical="center"/>
    </xf>
    <xf numFmtId="2" fontId="50" fillId="2" borderId="0" xfId="17" applyNumberFormat="1" applyFont="1" applyFill="1" applyAlignment="1">
      <alignment horizontal="center" vertical="center" wrapText="1"/>
    </xf>
    <xf numFmtId="0" fontId="50" fillId="2" borderId="21" xfId="0" applyFont="1" applyFill="1" applyBorder="1" applyAlignment="1">
      <alignment horizontal="center" vertical="center"/>
    </xf>
    <xf numFmtId="0" fontId="50" fillId="2" borderId="3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67" fontId="0" fillId="0" borderId="1" xfId="0" applyNumberFormat="1" applyBorder="1"/>
    <xf numFmtId="0" fontId="7" fillId="0" borderId="1" xfId="0" applyFont="1" applyBorder="1" applyAlignment="1">
      <alignment horizontal="center"/>
    </xf>
    <xf numFmtId="0" fontId="68" fillId="2" borderId="1" xfId="17" applyFont="1" applyFill="1" applyBorder="1" applyAlignment="1">
      <alignment horizontal="center"/>
    </xf>
    <xf numFmtId="0" fontId="69" fillId="2" borderId="1" xfId="0" applyFont="1" applyFill="1" applyBorder="1" applyAlignment="1">
      <alignment horizontal="center"/>
    </xf>
    <xf numFmtId="0" fontId="70" fillId="2" borderId="1" xfId="0" applyFont="1" applyFill="1" applyBorder="1" applyAlignment="1">
      <alignment horizontal="center" vertical="center" wrapText="1"/>
    </xf>
    <xf numFmtId="49" fontId="68" fillId="2" borderId="0" xfId="17" applyNumberFormat="1" applyFont="1" applyFill="1" applyAlignment="1">
      <alignment horizontal="center" vertical="center" wrapText="1"/>
    </xf>
    <xf numFmtId="49" fontId="68" fillId="2" borderId="0" xfId="17" quotePrefix="1" applyNumberFormat="1" applyFont="1" applyFill="1" applyAlignment="1">
      <alignment horizontal="center" vertical="center" wrapText="1"/>
    </xf>
    <xf numFmtId="49" fontId="68" fillId="2" borderId="0" xfId="17" quotePrefix="1" applyNumberFormat="1" applyFont="1" applyFill="1" applyAlignment="1">
      <alignment horizontal="center"/>
    </xf>
    <xf numFmtId="49" fontId="68" fillId="2" borderId="0" xfId="17" applyNumberFormat="1" applyFont="1" applyFill="1" applyAlignment="1">
      <alignment horizontal="center"/>
    </xf>
    <xf numFmtId="16" fontId="68" fillId="2" borderId="0" xfId="17" quotePrefix="1" applyNumberFormat="1" applyFont="1" applyFill="1" applyAlignment="1">
      <alignment horizontal="center"/>
    </xf>
    <xf numFmtId="0" fontId="69" fillId="2" borderId="0" xfId="0" applyFont="1" applyFill="1" applyAlignment="1">
      <alignment horizontal="center"/>
    </xf>
    <xf numFmtId="49" fontId="69" fillId="2" borderId="0" xfId="0" applyNumberFormat="1" applyFont="1" applyFill="1" applyAlignment="1">
      <alignment horizontal="center"/>
    </xf>
    <xf numFmtId="49" fontId="3" fillId="2" borderId="0" xfId="17" quotePrefix="1" applyNumberFormat="1" applyFill="1" applyAlignment="1">
      <alignment horizontal="center"/>
    </xf>
    <xf numFmtId="0" fontId="68" fillId="2" borderId="0" xfId="17" quotePrefix="1" applyFont="1" applyFill="1" applyAlignment="1">
      <alignment horizontal="center"/>
    </xf>
    <xf numFmtId="0" fontId="68" fillId="2" borderId="0" xfId="17" applyFont="1" applyFill="1" applyAlignment="1">
      <alignment horizontal="center"/>
    </xf>
    <xf numFmtId="0" fontId="69" fillId="2" borderId="0" xfId="0" quotePrefix="1" applyFont="1" applyFill="1" applyAlignment="1">
      <alignment horizontal="center"/>
    </xf>
    <xf numFmtId="49" fontId="3" fillId="2" borderId="0" xfId="17" applyNumberFormat="1" applyFill="1" applyAlignment="1">
      <alignment horizontal="center"/>
    </xf>
    <xf numFmtId="0" fontId="70" fillId="2" borderId="0" xfId="0" applyFont="1" applyFill="1" applyAlignment="1">
      <alignment horizontal="center" vertical="center" wrapText="1"/>
    </xf>
    <xf numFmtId="0" fontId="71" fillId="2" borderId="0" xfId="0" applyFont="1" applyFill="1" applyAlignment="1">
      <alignment horizontal="center"/>
    </xf>
    <xf numFmtId="2" fontId="68" fillId="2" borderId="0" xfId="17" applyNumberFormat="1" applyFont="1" applyFill="1" applyAlignment="1">
      <alignment horizontal="center" vertical="center"/>
    </xf>
    <xf numFmtId="49" fontId="68" fillId="2" borderId="6" xfId="17" quotePrefix="1" applyNumberFormat="1" applyFont="1" applyFill="1" applyBorder="1" applyAlignment="1">
      <alignment horizontal="center"/>
    </xf>
    <xf numFmtId="16" fontId="68" fillId="2" borderId="6" xfId="17" quotePrefix="1" applyNumberFormat="1" applyFont="1" applyFill="1" applyBorder="1" applyAlignment="1">
      <alignment horizontal="center"/>
    </xf>
    <xf numFmtId="49" fontId="68" fillId="2" borderId="6" xfId="17" applyNumberFormat="1" applyFont="1" applyFill="1" applyBorder="1" applyAlignment="1">
      <alignment horizontal="center"/>
    </xf>
    <xf numFmtId="49" fontId="69" fillId="2" borderId="6" xfId="0" applyNumberFormat="1" applyFont="1" applyFill="1" applyBorder="1" applyAlignment="1">
      <alignment horizontal="center"/>
    </xf>
    <xf numFmtId="49" fontId="3" fillId="2" borderId="6" xfId="17" quotePrefix="1" applyNumberFormat="1" applyFill="1" applyBorder="1" applyAlignment="1">
      <alignment horizontal="center"/>
    </xf>
    <xf numFmtId="0" fontId="68" fillId="2" borderId="6" xfId="17" quotePrefix="1" applyFont="1" applyFill="1" applyBorder="1" applyAlignment="1">
      <alignment horizontal="center"/>
    </xf>
    <xf numFmtId="0" fontId="68" fillId="2" borderId="6" xfId="17" applyFont="1" applyFill="1" applyBorder="1" applyAlignment="1">
      <alignment horizontal="center"/>
    </xf>
    <xf numFmtId="49" fontId="3" fillId="2" borderId="6" xfId="17" applyNumberFormat="1" applyFill="1" applyBorder="1" applyAlignment="1">
      <alignment horizontal="center"/>
    </xf>
    <xf numFmtId="0" fontId="70" fillId="2" borderId="6" xfId="0" applyFont="1" applyFill="1" applyBorder="1" applyAlignment="1">
      <alignment horizontal="center" vertical="center" wrapText="1"/>
    </xf>
    <xf numFmtId="49" fontId="68" fillId="4" borderId="1" xfId="17" quotePrefix="1" applyNumberFormat="1" applyFont="1" applyFill="1" applyBorder="1" applyAlignment="1">
      <alignment horizontal="center"/>
    </xf>
    <xf numFmtId="49" fontId="69" fillId="4" borderId="1" xfId="0" applyNumberFormat="1" applyFont="1" applyFill="1" applyBorder="1" applyAlignment="1">
      <alignment horizontal="center"/>
    </xf>
    <xf numFmtId="49" fontId="68" fillId="4" borderId="1" xfId="17" applyNumberFormat="1" applyFont="1" applyFill="1" applyBorder="1" applyAlignment="1">
      <alignment horizontal="center"/>
    </xf>
    <xf numFmtId="0" fontId="70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2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3" fontId="36" fillId="0" borderId="1" xfId="7" applyNumberFormat="1" applyBorder="1" applyAlignment="1">
      <alignment horizontal="center" vertical="center" wrapText="1"/>
    </xf>
    <xf numFmtId="171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4" borderId="1" xfId="0" applyFont="1" applyFill="1" applyBorder="1" applyAlignment="1">
      <alignment vertical="center"/>
    </xf>
    <xf numFmtId="0" fontId="0" fillId="16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0" borderId="39" xfId="0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16" fontId="18" fillId="0" borderId="40" xfId="0" quotePrefix="1" applyNumberFormat="1" applyFont="1" applyBorder="1" applyAlignment="1">
      <alignment horizontal="center" vertical="center" wrapText="1"/>
    </xf>
    <xf numFmtId="0" fontId="0" fillId="0" borderId="66" xfId="0" quotePrefix="1" applyBorder="1" applyAlignment="1">
      <alignment horizontal="center" vertical="center"/>
    </xf>
    <xf numFmtId="0" fontId="0" fillId="16" borderId="1" xfId="0" applyFill="1" applyBorder="1"/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72" fillId="4" borderId="1" xfId="0" applyFont="1" applyFill="1" applyBorder="1" applyAlignment="1">
      <alignment horizontal="left" vertical="center"/>
    </xf>
    <xf numFmtId="9" fontId="36" fillId="0" borderId="1" xfId="27" applyFont="1" applyBorder="1" applyAlignment="1">
      <alignment horizontal="center" vertical="center" wrapText="1"/>
    </xf>
    <xf numFmtId="0" fontId="50" fillId="2" borderId="9" xfId="0" applyFont="1" applyFill="1" applyBorder="1" applyAlignment="1">
      <alignment vertical="center" wrapText="1"/>
    </xf>
    <xf numFmtId="0" fontId="50" fillId="2" borderId="12" xfId="0" applyFont="1" applyFill="1" applyBorder="1" applyAlignment="1">
      <alignment vertical="center" wrapText="1"/>
    </xf>
    <xf numFmtId="0" fontId="50" fillId="2" borderId="61" xfId="0" applyFont="1" applyFill="1" applyBorder="1" applyAlignment="1">
      <alignment vertical="center" wrapText="1"/>
    </xf>
    <xf numFmtId="0" fontId="50" fillId="2" borderId="32" xfId="0" applyFont="1" applyFill="1" applyBorder="1" applyAlignment="1">
      <alignment vertical="center" wrapText="1"/>
    </xf>
    <xf numFmtId="0" fontId="49" fillId="0" borderId="62" xfId="0" applyFont="1" applyBorder="1" applyAlignment="1">
      <alignment vertical="center" wrapText="1"/>
    </xf>
    <xf numFmtId="0" fontId="49" fillId="0" borderId="9" xfId="0" applyFont="1" applyBorder="1" applyAlignment="1">
      <alignment vertical="center" wrapText="1"/>
    </xf>
    <xf numFmtId="0" fontId="49" fillId="0" borderId="61" xfId="0" applyFont="1" applyBorder="1" applyAlignment="1">
      <alignment vertical="center" wrapText="1"/>
    </xf>
    <xf numFmtId="49" fontId="50" fillId="2" borderId="4" xfId="12" applyNumberFormat="1" applyFont="1" applyFill="1" applyBorder="1" applyAlignment="1">
      <alignment vertical="center"/>
    </xf>
    <xf numFmtId="49" fontId="50" fillId="2" borderId="5" xfId="12" applyNumberFormat="1" applyFont="1" applyFill="1" applyBorder="1" applyAlignment="1">
      <alignment vertical="center"/>
    </xf>
    <xf numFmtId="49" fontId="50" fillId="2" borderId="6" xfId="12" applyNumberFormat="1" applyFont="1" applyFill="1" applyBorder="1" applyAlignment="1">
      <alignment vertical="center"/>
    </xf>
    <xf numFmtId="0" fontId="50" fillId="2" borderId="9" xfId="0" applyFont="1" applyFill="1" applyBorder="1" applyAlignment="1">
      <alignment vertical="center"/>
    </xf>
    <xf numFmtId="0" fontId="50" fillId="2" borderId="12" xfId="0" applyFont="1" applyFill="1" applyBorder="1" applyAlignment="1">
      <alignment vertical="center"/>
    </xf>
    <xf numFmtId="49" fontId="54" fillId="2" borderId="2" xfId="12" applyNumberFormat="1" applyFont="1" applyFill="1" applyBorder="1" applyAlignment="1">
      <alignment vertical="center" wrapText="1"/>
    </xf>
    <xf numFmtId="49" fontId="54" fillId="2" borderId="9" xfId="12" applyNumberFormat="1" applyFont="1" applyFill="1" applyBorder="1" applyAlignment="1">
      <alignment vertical="center" wrapText="1"/>
    </xf>
    <xf numFmtId="49" fontId="54" fillId="2" borderId="4" xfId="12" applyNumberFormat="1" applyFont="1" applyFill="1" applyBorder="1" applyAlignment="1">
      <alignment vertical="center"/>
    </xf>
    <xf numFmtId="49" fontId="54" fillId="2" borderId="5" xfId="12" applyNumberFormat="1" applyFont="1" applyFill="1" applyBorder="1" applyAlignment="1">
      <alignment vertical="center"/>
    </xf>
    <xf numFmtId="49" fontId="54" fillId="2" borderId="6" xfId="12" applyNumberFormat="1" applyFont="1" applyFill="1" applyBorder="1" applyAlignment="1">
      <alignment vertical="center"/>
    </xf>
    <xf numFmtId="0" fontId="52" fillId="2" borderId="9" xfId="0" applyFont="1" applyFill="1" applyBorder="1" applyAlignment="1">
      <alignment vertical="center"/>
    </xf>
    <xf numFmtId="0" fontId="56" fillId="2" borderId="9" xfId="0" applyFont="1" applyFill="1" applyBorder="1" applyAlignment="1">
      <alignment vertical="center" wrapText="1"/>
    </xf>
    <xf numFmtId="0" fontId="56" fillId="2" borderId="12" xfId="0" applyFont="1" applyFill="1" applyBorder="1" applyAlignment="1">
      <alignment vertical="center" wrapText="1"/>
    </xf>
    <xf numFmtId="0" fontId="49" fillId="0" borderId="12" xfId="0" applyFont="1" applyBorder="1" applyAlignment="1">
      <alignment vertical="center" wrapText="1"/>
    </xf>
    <xf numFmtId="0" fontId="55" fillId="2" borderId="33" xfId="11" applyFont="1" applyFill="1" applyBorder="1" applyAlignment="1">
      <alignment vertical="center"/>
    </xf>
    <xf numFmtId="0" fontId="55" fillId="2" borderId="22" xfId="11" applyFont="1" applyFill="1" applyBorder="1" applyAlignment="1">
      <alignment vertical="center"/>
    </xf>
    <xf numFmtId="0" fontId="55" fillId="2" borderId="36" xfId="11" applyFont="1" applyFill="1" applyBorder="1" applyAlignment="1">
      <alignment vertical="center"/>
    </xf>
    <xf numFmtId="0" fontId="55" fillId="2" borderId="16" xfId="11" applyFont="1" applyFill="1" applyBorder="1" applyAlignment="1">
      <alignment vertical="center"/>
    </xf>
    <xf numFmtId="0" fontId="55" fillId="2" borderId="0" xfId="11" applyFont="1" applyFill="1" applyAlignment="1">
      <alignment vertical="center"/>
    </xf>
    <xf numFmtId="0" fontId="55" fillId="2" borderId="17" xfId="11" applyFont="1" applyFill="1" applyBorder="1" applyAlignment="1">
      <alignment vertical="center"/>
    </xf>
    <xf numFmtId="0" fontId="55" fillId="2" borderId="21" xfId="11" applyFont="1" applyFill="1" applyBorder="1" applyAlignment="1">
      <alignment vertical="center"/>
    </xf>
    <xf numFmtId="0" fontId="55" fillId="2" borderId="20" xfId="11" applyFont="1" applyFill="1" applyBorder="1" applyAlignment="1">
      <alignment vertical="center"/>
    </xf>
    <xf numFmtId="0" fontId="55" fillId="2" borderId="31" xfId="11" applyFont="1" applyFill="1" applyBorder="1" applyAlignment="1">
      <alignment vertical="center"/>
    </xf>
    <xf numFmtId="0" fontId="50" fillId="2" borderId="62" xfId="0" applyFont="1" applyFill="1" applyBorder="1" applyAlignment="1">
      <alignment vertical="center" wrapText="1"/>
    </xf>
    <xf numFmtId="0" fontId="50" fillId="2" borderId="11" xfId="0" applyFont="1" applyFill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4" fontId="0" fillId="16" borderId="1" xfId="0" applyNumberForma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0" fillId="16" borderId="6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2" fillId="25" borderId="1" xfId="0" applyFont="1" applyFill="1" applyBorder="1" applyAlignment="1">
      <alignment horizontal="center" vertical="center"/>
    </xf>
    <xf numFmtId="0" fontId="37" fillId="2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33" xfId="0" applyBorder="1"/>
    <xf numFmtId="0" fontId="0" fillId="0" borderId="22" xfId="0" applyBorder="1"/>
    <xf numFmtId="14" fontId="2" fillId="0" borderId="22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2" fontId="60" fillId="0" borderId="1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" fontId="60" fillId="0" borderId="0" xfId="0" applyNumberFormat="1" applyFont="1" applyAlignment="1">
      <alignment horizontal="center" vertical="center"/>
    </xf>
    <xf numFmtId="1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/>
    </xf>
    <xf numFmtId="1" fontId="2" fillId="7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0" fontId="2" fillId="0" borderId="0" xfId="0" quotePrefix="1" applyFont="1"/>
    <xf numFmtId="0" fontId="2" fillId="0" borderId="0" xfId="0" applyFont="1"/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 vertical="center"/>
    </xf>
    <xf numFmtId="2" fontId="2" fillId="12" borderId="0" xfId="0" applyNumberFormat="1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2" fillId="0" borderId="0" xfId="0" applyNumberFormat="1" applyFont="1"/>
    <xf numFmtId="0" fontId="0" fillId="9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11" fillId="0" borderId="0" xfId="0" applyFont="1"/>
    <xf numFmtId="0" fontId="0" fillId="8" borderId="0" xfId="0" applyFill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7" fontId="14" fillId="0" borderId="1" xfId="0" applyNumberFormat="1" applyFont="1" applyBorder="1" applyAlignment="1">
      <alignment horizontal="center" vertical="center" wrapText="1"/>
    </xf>
    <xf numFmtId="15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73" fillId="16" borderId="1" xfId="0" applyFont="1" applyFill="1" applyBorder="1" applyAlignment="1">
      <alignment horizontal="center" vertical="center"/>
    </xf>
    <xf numFmtId="20" fontId="75" fillId="27" borderId="1" xfId="28" applyNumberFormat="1" applyFont="1" applyFill="1" applyBorder="1">
      <alignment vertical="center"/>
    </xf>
    <xf numFmtId="20" fontId="75" fillId="27" borderId="1" xfId="28" applyNumberFormat="1" applyFont="1" applyFill="1" applyBorder="1" applyAlignment="1">
      <alignment horizontal="center" vertical="center" wrapText="1"/>
    </xf>
    <xf numFmtId="20" fontId="75" fillId="27" borderId="1" xfId="28" applyNumberFormat="1" applyFont="1" applyFill="1" applyBorder="1" applyAlignment="1">
      <alignment horizontal="left" vertical="center" wrapText="1"/>
    </xf>
    <xf numFmtId="20" fontId="74" fillId="2" borderId="1" xfId="28" applyNumberFormat="1" applyFont="1" applyFill="1" applyBorder="1" applyAlignment="1">
      <alignment vertical="center" wrapText="1"/>
    </xf>
    <xf numFmtId="20" fontId="75" fillId="0" borderId="1" xfId="28" applyNumberFormat="1" applyFont="1" applyBorder="1" applyAlignment="1">
      <alignment horizontal="left" vertical="center" wrapText="1"/>
    </xf>
    <xf numFmtId="0" fontId="79" fillId="2" borderId="0" xfId="28" applyFont="1" applyFill="1">
      <alignment vertical="center"/>
    </xf>
    <xf numFmtId="0" fontId="76" fillId="2" borderId="0" xfId="28" applyFont="1" applyFill="1">
      <alignment vertical="center"/>
    </xf>
    <xf numFmtId="0" fontId="80" fillId="2" borderId="0" xfId="28" applyFont="1" applyFill="1" applyAlignment="1">
      <alignment horizontal="center" vertical="center" wrapText="1"/>
    </xf>
    <xf numFmtId="20" fontId="75" fillId="27" borderId="1" xfId="28" applyNumberFormat="1" applyFont="1" applyFill="1" applyBorder="1" applyAlignment="1">
      <alignment vertical="center" wrapText="1"/>
    </xf>
    <xf numFmtId="20" fontId="80" fillId="2" borderId="0" xfId="5" applyNumberFormat="1" applyFont="1" applyFill="1" applyAlignment="1">
      <alignment horizontal="center" vertical="center" wrapText="1"/>
    </xf>
    <xf numFmtId="20" fontId="81" fillId="2" borderId="0" xfId="28" applyNumberFormat="1" applyFont="1" applyFill="1" applyAlignment="1">
      <alignment horizontal="left" vertical="center" wrapText="1"/>
    </xf>
    <xf numFmtId="20" fontId="75" fillId="27" borderId="1" xfId="5" applyNumberFormat="1" applyFont="1" applyFill="1" applyBorder="1" applyAlignment="1">
      <alignment horizontal="center" vertical="center" wrapText="1"/>
    </xf>
    <xf numFmtId="0" fontId="74" fillId="2" borderId="0" xfId="28" applyFont="1" applyFill="1" applyAlignment="1">
      <alignment horizontal="center" vertical="center"/>
    </xf>
    <xf numFmtId="0" fontId="74" fillId="2" borderId="0" xfId="28" applyFont="1" applyFill="1" applyAlignment="1"/>
    <xf numFmtId="1" fontId="74" fillId="2" borderId="0" xfId="28" applyNumberFormat="1" applyFont="1" applyFill="1" applyAlignment="1"/>
    <xf numFmtId="166" fontId="76" fillId="2" borderId="0" xfId="28" applyNumberFormat="1" applyFont="1" applyFill="1">
      <alignment vertical="center"/>
    </xf>
    <xf numFmtId="2" fontId="76" fillId="2" borderId="0" xfId="28" applyNumberFormat="1" applyFont="1" applyFill="1">
      <alignment vertical="center"/>
    </xf>
    <xf numFmtId="167" fontId="76" fillId="2" borderId="0" xfId="28" applyNumberFormat="1" applyFont="1" applyFill="1">
      <alignment vertical="center"/>
    </xf>
    <xf numFmtId="166" fontId="74" fillId="2" borderId="0" xfId="28" applyNumberFormat="1" applyFont="1" applyFill="1" applyAlignment="1"/>
    <xf numFmtId="20" fontId="88" fillId="2" borderId="0" xfId="32" quotePrefix="1" applyNumberFormat="1" applyFont="1" applyFill="1" applyAlignment="1">
      <alignment horizontal="left" vertical="center" wrapText="1"/>
    </xf>
    <xf numFmtId="20" fontId="89" fillId="0" borderId="71" xfId="31" applyNumberFormat="1" applyFont="1" applyBorder="1" applyAlignment="1">
      <alignment horizontal="center" vertical="center" wrapText="1"/>
    </xf>
    <xf numFmtId="20" fontId="90" fillId="0" borderId="71" xfId="31" applyNumberFormat="1" applyFont="1" applyBorder="1" applyAlignment="1">
      <alignment horizontal="center" vertical="center"/>
    </xf>
    <xf numFmtId="20" fontId="90" fillId="0" borderId="71" xfId="31" applyNumberFormat="1" applyFont="1" applyBorder="1" applyAlignment="1">
      <alignment horizontal="center" vertical="center" wrapText="1"/>
    </xf>
    <xf numFmtId="20" fontId="91" fillId="0" borderId="71" xfId="31" applyNumberFormat="1" applyFont="1" applyBorder="1" applyAlignment="1">
      <alignment horizontal="center" vertical="center" wrapText="1"/>
    </xf>
    <xf numFmtId="20" fontId="92" fillId="0" borderId="71" xfId="31" applyNumberFormat="1" applyFont="1" applyBorder="1" applyAlignment="1">
      <alignment horizontal="center" vertical="center" wrapText="1"/>
    </xf>
    <xf numFmtId="1" fontId="89" fillId="0" borderId="71" xfId="31" applyNumberFormat="1" applyFont="1" applyBorder="1" applyAlignment="1">
      <alignment horizontal="center" vertical="center" wrapText="1"/>
    </xf>
    <xf numFmtId="1" fontId="89" fillId="0" borderId="71" xfId="31" applyNumberFormat="1" applyFont="1" applyBorder="1" applyAlignment="1">
      <alignment horizontal="center" vertical="center"/>
    </xf>
    <xf numFmtId="1" fontId="93" fillId="0" borderId="71" xfId="31" applyNumberFormat="1" applyFont="1" applyBorder="1" applyAlignment="1">
      <alignment horizontal="center" vertical="center"/>
    </xf>
    <xf numFmtId="20" fontId="94" fillId="0" borderId="71" xfId="28" applyNumberFormat="1" applyFont="1" applyBorder="1" applyAlignment="1">
      <alignment horizontal="center" vertical="center" wrapText="1"/>
    </xf>
    <xf numFmtId="20" fontId="94" fillId="0" borderId="71" xfId="28" applyNumberFormat="1" applyFont="1" applyBorder="1" applyAlignment="1">
      <alignment horizontal="center" vertical="center"/>
    </xf>
    <xf numFmtId="0" fontId="94" fillId="2" borderId="0" xfId="28" applyFont="1" applyFill="1" applyAlignment="1"/>
    <xf numFmtId="0" fontId="81" fillId="2" borderId="0" xfId="28" applyFont="1" applyFill="1">
      <alignment vertical="center"/>
    </xf>
    <xf numFmtId="1" fontId="94" fillId="0" borderId="71" xfId="28" applyNumberFormat="1" applyFont="1" applyBorder="1" applyAlignment="1">
      <alignment horizontal="center" vertical="center" wrapText="1"/>
    </xf>
    <xf numFmtId="0" fontId="89" fillId="0" borderId="71" xfId="31" applyFont="1" applyBorder="1" applyAlignment="1">
      <alignment horizontal="center" vertical="center" wrapText="1"/>
    </xf>
    <xf numFmtId="0" fontId="90" fillId="0" borderId="71" xfId="28" applyFont="1" applyBorder="1" applyAlignment="1">
      <alignment horizontal="center" vertical="center"/>
    </xf>
    <xf numFmtId="0" fontId="95" fillId="0" borderId="0" xfId="28" applyFont="1" applyAlignment="1">
      <alignment vertical="center" wrapText="1"/>
    </xf>
    <xf numFmtId="2" fontId="89" fillId="0" borderId="72" xfId="31" applyNumberFormat="1" applyFont="1" applyBorder="1" applyAlignment="1">
      <alignment horizontal="center" vertical="center" wrapText="1"/>
    </xf>
    <xf numFmtId="2" fontId="93" fillId="0" borderId="72" xfId="31" applyNumberFormat="1" applyFont="1" applyBorder="1" applyAlignment="1">
      <alignment horizontal="center" vertical="center"/>
    </xf>
    <xf numFmtId="2" fontId="89" fillId="0" borderId="72" xfId="31" applyNumberFormat="1" applyFont="1" applyBorder="1" applyAlignment="1">
      <alignment horizontal="center" vertical="center"/>
    </xf>
    <xf numFmtId="0" fontId="89" fillId="0" borderId="72" xfId="31" applyFont="1" applyBorder="1" applyAlignment="1">
      <alignment horizontal="center" vertical="center"/>
    </xf>
    <xf numFmtId="0" fontId="96" fillId="0" borderId="72" xfId="33" applyFont="1" applyBorder="1" applyAlignment="1">
      <alignment horizontal="left" vertical="center"/>
    </xf>
    <xf numFmtId="0" fontId="94" fillId="0" borderId="72" xfId="28" applyFont="1" applyBorder="1" applyAlignment="1"/>
    <xf numFmtId="0" fontId="74" fillId="2" borderId="0" xfId="28" applyFont="1" applyFill="1" applyAlignment="1">
      <alignment wrapText="1"/>
    </xf>
    <xf numFmtId="0" fontId="74" fillId="2" borderId="0" xfId="28" applyFont="1" applyFill="1" applyAlignment="1">
      <alignment horizontal="center"/>
    </xf>
    <xf numFmtId="0" fontId="79" fillId="2" borderId="0" xfId="0" applyFont="1" applyFill="1" applyAlignment="1">
      <alignment horizontal="center" vertical="center" wrapText="1"/>
    </xf>
    <xf numFmtId="9" fontId="79" fillId="2" borderId="0" xfId="27" applyFont="1" applyFill="1" applyAlignment="1">
      <alignment horizontal="center" vertical="center"/>
    </xf>
    <xf numFmtId="15" fontId="74" fillId="2" borderId="1" xfId="28" applyNumberFormat="1" applyFont="1" applyFill="1" applyBorder="1" applyAlignment="1">
      <alignment horizontal="left" vertical="center" wrapText="1"/>
    </xf>
    <xf numFmtId="1" fontId="76" fillId="20" borderId="1" xfId="5" applyNumberFormat="1" applyFont="1" applyFill="1" applyBorder="1" applyAlignment="1">
      <alignment horizontal="center" vertical="center" wrapText="1"/>
    </xf>
    <xf numFmtId="1" fontId="76" fillId="20" borderId="1" xfId="5" quotePrefix="1" applyNumberFormat="1" applyFont="1" applyFill="1" applyBorder="1" applyAlignment="1">
      <alignment horizontal="center" vertical="center" wrapText="1"/>
    </xf>
    <xf numFmtId="166" fontId="76" fillId="20" borderId="1" xfId="5" applyNumberFormat="1" applyFont="1" applyFill="1" applyBorder="1" applyAlignment="1">
      <alignment horizontal="center" vertical="center" wrapText="1"/>
    </xf>
    <xf numFmtId="20" fontId="82" fillId="2" borderId="1" xfId="28" applyNumberFormat="1" applyFont="1" applyFill="1" applyBorder="1" applyAlignment="1">
      <alignment horizontal="left" vertical="center" wrapText="1"/>
    </xf>
    <xf numFmtId="20" fontId="83" fillId="0" borderId="1" xfId="28" applyNumberFormat="1" applyFont="1" applyBorder="1" applyAlignment="1">
      <alignment vertical="center" wrapText="1"/>
    </xf>
    <xf numFmtId="1" fontId="76" fillId="0" borderId="1" xfId="5" applyNumberFormat="1" applyFont="1" applyBorder="1" applyAlignment="1">
      <alignment horizontal="center" vertical="center" wrapText="1"/>
    </xf>
    <xf numFmtId="20" fontId="76" fillId="0" borderId="1" xfId="29" applyNumberFormat="1" applyFont="1" applyBorder="1" applyAlignment="1">
      <alignment horizontal="left" vertical="center" wrapText="1"/>
    </xf>
    <xf numFmtId="20" fontId="83" fillId="0" borderId="1" xfId="0" quotePrefix="1" applyNumberFormat="1" applyFont="1" applyBorder="1" applyAlignment="1">
      <alignment horizontal="left" vertical="center" wrapText="1"/>
    </xf>
    <xf numFmtId="20" fontId="74" fillId="0" borderId="1" xfId="28" applyNumberFormat="1" applyFont="1" applyBorder="1" applyAlignment="1"/>
    <xf numFmtId="0" fontId="83" fillId="0" borderId="1" xfId="30" applyNumberFormat="1" applyFont="1" applyBorder="1" applyAlignment="1">
      <alignment vertical="center" wrapText="1"/>
    </xf>
    <xf numFmtId="166" fontId="76" fillId="0" borderId="1" xfId="5" applyNumberFormat="1" applyFont="1" applyBorder="1" applyAlignment="1">
      <alignment horizontal="center" vertical="center" wrapText="1"/>
    </xf>
    <xf numFmtId="20" fontId="84" fillId="0" borderId="1" xfId="28" applyNumberFormat="1" applyFont="1" applyBorder="1" applyAlignment="1">
      <alignment horizontal="left" vertical="center" wrapText="1"/>
    </xf>
    <xf numFmtId="20" fontId="74" fillId="0" borderId="1" xfId="28" applyNumberFormat="1" applyFont="1" applyBorder="1" applyAlignment="1">
      <alignment vertical="center" wrapText="1"/>
    </xf>
    <xf numFmtId="166" fontId="85" fillId="0" borderId="1" xfId="28" applyNumberFormat="1" applyFont="1" applyBorder="1" applyAlignment="1">
      <alignment horizontal="center" vertical="center" wrapText="1"/>
    </xf>
    <xf numFmtId="20" fontId="76" fillId="20" borderId="1" xfId="5" applyNumberFormat="1" applyFont="1" applyFill="1" applyBorder="1" applyAlignment="1">
      <alignment horizontal="left" vertical="center" wrapText="1"/>
    </xf>
    <xf numFmtId="20" fontId="76" fillId="0" borderId="1" xfId="5" applyNumberFormat="1" applyFont="1" applyBorder="1" applyAlignment="1">
      <alignment horizontal="left" vertical="center" wrapText="1"/>
    </xf>
    <xf numFmtId="1" fontId="76" fillId="0" borderId="1" xfId="30" applyNumberFormat="1" applyFont="1" applyFill="1" applyBorder="1" applyAlignment="1">
      <alignment horizontal="center" vertical="center" wrapText="1"/>
    </xf>
    <xf numFmtId="1" fontId="76" fillId="0" borderId="1" xfId="5" applyNumberFormat="1" applyFont="1" applyBorder="1" applyAlignment="1">
      <alignment vertical="center" wrapText="1"/>
    </xf>
    <xf numFmtId="0" fontId="100" fillId="2" borderId="1" xfId="28" applyFont="1" applyFill="1" applyBorder="1" applyAlignment="1">
      <alignment wrapText="1"/>
    </xf>
    <xf numFmtId="0" fontId="74" fillId="2" borderId="1" xfId="28" applyFont="1" applyFill="1" applyBorder="1" applyAlignment="1"/>
    <xf numFmtId="0" fontId="74" fillId="2" borderId="1" xfId="28" applyFont="1" applyFill="1" applyBorder="1" applyAlignment="1">
      <alignment wrapText="1"/>
    </xf>
    <xf numFmtId="0" fontId="101" fillId="2" borderId="1" xfId="28" applyFont="1" applyFill="1" applyBorder="1" applyAlignment="1">
      <alignment wrapText="1"/>
    </xf>
    <xf numFmtId="0" fontId="101" fillId="2" borderId="1" xfId="28" applyFont="1" applyFill="1" applyBorder="1" applyAlignment="1"/>
    <xf numFmtId="0" fontId="94" fillId="2" borderId="23" xfId="28" applyFont="1" applyFill="1" applyBorder="1" applyAlignment="1">
      <alignment wrapText="1"/>
    </xf>
    <xf numFmtId="0" fontId="94" fillId="2" borderId="23" xfId="28" applyFont="1" applyFill="1" applyBorder="1" applyAlignment="1"/>
    <xf numFmtId="0" fontId="94" fillId="2" borderId="24" xfId="28" applyFont="1" applyFill="1" applyBorder="1" applyAlignment="1"/>
    <xf numFmtId="17" fontId="74" fillId="2" borderId="10" xfId="28" quotePrefix="1" applyNumberFormat="1" applyFont="1" applyFill="1" applyBorder="1" applyAlignment="1">
      <alignment horizontal="left" vertical="center"/>
    </xf>
    <xf numFmtId="0" fontId="101" fillId="2" borderId="25" xfId="28" applyFont="1" applyFill="1" applyBorder="1" applyAlignment="1"/>
    <xf numFmtId="0" fontId="74" fillId="2" borderId="11" xfId="28" applyFont="1" applyFill="1" applyBorder="1" applyAlignment="1">
      <alignment horizontal="left"/>
    </xf>
    <xf numFmtId="0" fontId="101" fillId="2" borderId="12" xfId="28" applyFont="1" applyFill="1" applyBorder="1" applyAlignment="1">
      <alignment wrapText="1"/>
    </xf>
    <xf numFmtId="0" fontId="101" fillId="2" borderId="12" xfId="28" applyFont="1" applyFill="1" applyBorder="1" applyAlignment="1"/>
    <xf numFmtId="0" fontId="101" fillId="2" borderId="32" xfId="28" applyFont="1" applyFill="1" applyBorder="1" applyAlignment="1"/>
    <xf numFmtId="0" fontId="94" fillId="4" borderId="41" xfId="28" applyFont="1" applyFill="1" applyBorder="1" applyAlignment="1"/>
    <xf numFmtId="0" fontId="101" fillId="2" borderId="1" xfId="28" applyFont="1" applyFill="1" applyBorder="1" applyAlignment="1">
      <alignment horizontal="left"/>
    </xf>
    <xf numFmtId="0" fontId="104" fillId="2" borderId="1" xfId="28" applyFont="1" applyFill="1" applyBorder="1" applyAlignment="1">
      <alignment vertical="center" wrapText="1"/>
    </xf>
    <xf numFmtId="0" fontId="103" fillId="2" borderId="1" xfId="28" applyFont="1" applyFill="1" applyBorder="1" applyAlignment="1">
      <alignment vertical="center" wrapText="1"/>
    </xf>
    <xf numFmtId="0" fontId="76" fillId="2" borderId="1" xfId="28" applyFont="1" applyFill="1" applyBorder="1">
      <alignment vertical="center"/>
    </xf>
    <xf numFmtId="0" fontId="98" fillId="2" borderId="6" xfId="28" applyFont="1" applyFill="1" applyBorder="1" applyAlignment="1">
      <alignment horizontal="left"/>
    </xf>
    <xf numFmtId="0" fontId="99" fillId="2" borderId="6" xfId="28" applyFont="1" applyFill="1" applyBorder="1" applyAlignment="1">
      <alignment horizontal="left"/>
    </xf>
    <xf numFmtId="0" fontId="102" fillId="2" borderId="6" xfId="28" applyFont="1" applyFill="1" applyBorder="1" applyAlignment="1">
      <alignment horizontal="left"/>
    </xf>
    <xf numFmtId="0" fontId="103" fillId="2" borderId="1" xfId="28" applyFont="1" applyFill="1" applyBorder="1" applyAlignment="1">
      <alignment horizontal="left" vertical="center"/>
    </xf>
    <xf numFmtId="15" fontId="103" fillId="2" borderId="1" xfId="28" applyNumberFormat="1" applyFont="1" applyFill="1" applyBorder="1" applyAlignment="1">
      <alignment horizontal="left" vertical="center"/>
    </xf>
    <xf numFmtId="0" fontId="74" fillId="2" borderId="0" xfId="28" applyFont="1" applyFill="1" applyAlignment="1">
      <alignment horizontal="left" vertical="center"/>
    </xf>
    <xf numFmtId="0" fontId="76" fillId="2" borderId="1" xfId="28" applyFont="1" applyFill="1" applyBorder="1" applyAlignment="1">
      <alignment horizontal="center" vertical="center"/>
    </xf>
    <xf numFmtId="0" fontId="94" fillId="2" borderId="1" xfId="28" applyFont="1" applyFill="1" applyBorder="1" applyAlignment="1">
      <alignment horizontal="center"/>
    </xf>
    <xf numFmtId="0" fontId="97" fillId="2" borderId="1" xfId="28" applyFont="1" applyFill="1" applyBorder="1" applyAlignment="1"/>
    <xf numFmtId="0" fontId="105" fillId="2" borderId="1" xfId="28" applyFont="1" applyFill="1" applyBorder="1" applyAlignment="1">
      <alignment vertical="center" wrapText="1"/>
    </xf>
    <xf numFmtId="0" fontId="106" fillId="2" borderId="1" xfId="28" applyFont="1" applyFill="1" applyBorder="1" applyAlignment="1">
      <alignment vertical="center" wrapText="1"/>
    </xf>
    <xf numFmtId="0" fontId="74" fillId="2" borderId="1" xfId="28" applyFont="1" applyFill="1" applyBorder="1" applyAlignment="1">
      <alignment horizontal="center"/>
    </xf>
    <xf numFmtId="0" fontId="94" fillId="4" borderId="1" xfId="28" applyFont="1" applyFill="1" applyBorder="1" applyAlignment="1"/>
    <xf numFmtId="0" fontId="101" fillId="2" borderId="1" xfId="28" applyFont="1" applyFill="1" applyBorder="1" applyAlignment="1">
      <alignment horizontal="center"/>
    </xf>
    <xf numFmtId="0" fontId="98" fillId="2" borderId="1" xfId="28" applyFont="1" applyFill="1" applyBorder="1" applyAlignment="1">
      <alignment horizontal="center"/>
    </xf>
    <xf numFmtId="167" fontId="74" fillId="2" borderId="1" xfId="28" applyNumberFormat="1" applyFont="1" applyFill="1" applyBorder="1" applyAlignment="1">
      <alignment horizontal="center"/>
    </xf>
    <xf numFmtId="167" fontId="74" fillId="2" borderId="1" xfId="28" applyNumberFormat="1" applyFont="1" applyFill="1" applyBorder="1" applyAlignment="1"/>
    <xf numFmtId="0" fontId="107" fillId="0" borderId="1" xfId="0" applyFon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/>
    </xf>
    <xf numFmtId="0" fontId="0" fillId="4" borderId="1" xfId="0" quotePrefix="1" applyFill="1" applyBorder="1" applyAlignment="1">
      <alignment horizontal="center" vertical="center"/>
    </xf>
    <xf numFmtId="0" fontId="76" fillId="0" borderId="1" xfId="5" applyFont="1" applyBorder="1" applyAlignment="1">
      <alignment horizontal="center" vertical="center" wrapText="1"/>
    </xf>
    <xf numFmtId="20" fontId="76" fillId="2" borderId="1" xfId="28" applyNumberFormat="1" applyFont="1" applyFill="1" applyBorder="1" applyAlignment="1">
      <alignment horizontal="left" vertical="center" wrapText="1"/>
    </xf>
    <xf numFmtId="1" fontId="0" fillId="0" borderId="1" xfId="0" quotePrefix="1" applyNumberFormat="1" applyBorder="1" applyAlignment="1">
      <alignment horizontal="center" vertical="center"/>
    </xf>
    <xf numFmtId="166" fontId="57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4" borderId="0" xfId="0" applyFill="1"/>
    <xf numFmtId="0" fontId="0" fillId="0" borderId="1" xfId="0" pivotButton="1" applyBorder="1"/>
    <xf numFmtId="0" fontId="0" fillId="0" borderId="1" xfId="0" applyBorder="1" applyAlignment="1">
      <alignment horizontal="left"/>
    </xf>
    <xf numFmtId="166" fontId="0" fillId="0" borderId="1" xfId="0" applyNumberFormat="1" applyBorder="1"/>
    <xf numFmtId="167" fontId="0" fillId="0" borderId="1" xfId="0" quotePrefix="1" applyNumberFormat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5" fillId="6" borderId="2" xfId="0" applyFont="1" applyFill="1" applyBorder="1" applyAlignment="1">
      <alignment horizontal="center"/>
    </xf>
    <xf numFmtId="167" fontId="18" fillId="0" borderId="20" xfId="0" applyNumberFormat="1" applyFont="1" applyBorder="1" applyAlignment="1">
      <alignment horizontal="center" vertical="center" wrapText="1"/>
    </xf>
    <xf numFmtId="1" fontId="18" fillId="0" borderId="47" xfId="0" applyNumberFormat="1" applyFont="1" applyBorder="1" applyAlignment="1">
      <alignment horizontal="center" vertical="center"/>
    </xf>
    <xf numFmtId="0" fontId="37" fillId="0" borderId="19" xfId="7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0" fillId="0" borderId="0" xfId="0" quotePrefix="1"/>
    <xf numFmtId="0" fontId="0" fillId="4" borderId="1" xfId="0" applyFill="1" applyBorder="1"/>
    <xf numFmtId="0" fontId="12" fillId="0" borderId="47" xfId="0" applyFont="1" applyBorder="1" applyAlignment="1">
      <alignment horizontal="center" vertical="center" wrapText="1"/>
    </xf>
    <xf numFmtId="167" fontId="76" fillId="0" borderId="1" xfId="5" applyNumberFormat="1" applyFont="1" applyBorder="1" applyAlignment="1">
      <alignment horizontal="center" vertical="center" wrapText="1"/>
    </xf>
    <xf numFmtId="14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" fontId="2" fillId="0" borderId="0" xfId="0" quotePrefix="1" applyNumberFormat="1" applyFont="1" applyAlignment="1">
      <alignment horizontal="center"/>
    </xf>
    <xf numFmtId="2" fontId="2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2" fontId="2" fillId="0" borderId="0" xfId="0" quotePrefix="1" applyNumberFormat="1" applyFont="1" applyAlignment="1">
      <alignment horizontal="center"/>
    </xf>
    <xf numFmtId="1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18" xfId="0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0" fontId="2" fillId="0" borderId="18" xfId="0" quotePrefix="1" applyFont="1" applyBorder="1" applyAlignment="1">
      <alignment horizontal="center"/>
    </xf>
    <xf numFmtId="12" fontId="2" fillId="0" borderId="18" xfId="0" quotePrefix="1" applyNumberFormat="1" applyFont="1" applyBorder="1" applyAlignment="1">
      <alignment horizontal="center"/>
    </xf>
    <xf numFmtId="12" fontId="2" fillId="0" borderId="18" xfId="0" applyNumberFormat="1" applyFont="1" applyBorder="1" applyAlignment="1">
      <alignment horizontal="center"/>
    </xf>
    <xf numFmtId="2" fontId="2" fillId="0" borderId="18" xfId="0" quotePrefix="1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/>
    </xf>
    <xf numFmtId="0" fontId="2" fillId="0" borderId="18" xfId="0" quotePrefix="1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28" xfId="0" applyFont="1" applyFill="1" applyBorder="1" applyAlignment="1">
      <alignment horizontal="center" vertical="center"/>
    </xf>
    <xf numFmtId="0" fontId="5" fillId="15" borderId="29" xfId="0" applyFont="1" applyFill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2" fillId="0" borderId="1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9" fillId="0" borderId="3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10" borderId="26" xfId="0" applyFont="1" applyFill="1" applyBorder="1" applyAlignment="1">
      <alignment horizontal="left"/>
    </xf>
    <xf numFmtId="0" fontId="11" fillId="10" borderId="5" xfId="0" applyFont="1" applyFill="1" applyBorder="1" applyAlignment="1">
      <alignment horizontal="left"/>
    </xf>
    <xf numFmtId="0" fontId="11" fillId="10" borderId="6" xfId="0" applyFont="1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10" borderId="26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167" fontId="2" fillId="0" borderId="1" xfId="0" applyNumberFormat="1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6" fontId="0" fillId="0" borderId="18" xfId="0" quotePrefix="1" applyNumberFormat="1" applyBorder="1" applyAlignment="1">
      <alignment horizontal="center"/>
    </xf>
    <xf numFmtId="0" fontId="0" fillId="8" borderId="18" xfId="0" quotePrefix="1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11" fillId="10" borderId="16" xfId="0" applyFont="1" applyFill="1" applyBorder="1" applyAlignment="1">
      <alignment horizontal="left"/>
    </xf>
    <xf numFmtId="0" fontId="11" fillId="10" borderId="0" xfId="0" applyFont="1" applyFill="1" applyAlignment="1">
      <alignment horizontal="left"/>
    </xf>
    <xf numFmtId="0" fontId="11" fillId="10" borderId="7" xfId="0" applyFont="1" applyFill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1" fontId="0" fillId="0" borderId="33" xfId="0" applyNumberForma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 wrapText="1"/>
    </xf>
    <xf numFmtId="1" fontId="0" fillId="0" borderId="36" xfId="0" applyNumberForma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1" fontId="0" fillId="0" borderId="21" xfId="0" applyNumberFormat="1" applyBorder="1" applyAlignment="1">
      <alignment horizontal="center" vertical="center" wrapText="1"/>
    </xf>
    <xf numFmtId="1" fontId="0" fillId="0" borderId="20" xfId="0" applyNumberFormat="1" applyBorder="1" applyAlignment="1">
      <alignment horizontal="center" vertical="center" wrapText="1"/>
    </xf>
    <xf numFmtId="1" fontId="0" fillId="0" borderId="31" xfId="0" applyNumberForma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2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16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12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20" fontId="74" fillId="0" borderId="2" xfId="28" applyNumberFormat="1" applyFont="1" applyBorder="1" applyAlignment="1">
      <alignment horizontal="center" vertical="center" wrapText="1"/>
    </xf>
    <xf numFmtId="20" fontId="74" fillId="0" borderId="8" xfId="28" applyNumberFormat="1" applyFont="1" applyBorder="1" applyAlignment="1">
      <alignment horizontal="center" vertical="center" wrapText="1"/>
    </xf>
    <xf numFmtId="20" fontId="74" fillId="0" borderId="9" xfId="28" applyNumberFormat="1" applyFont="1" applyBorder="1" applyAlignment="1">
      <alignment horizontal="center" vertical="center" wrapText="1"/>
    </xf>
    <xf numFmtId="172" fontId="74" fillId="2" borderId="4" xfId="28" applyNumberFormat="1" applyFont="1" applyFill="1" applyBorder="1" applyAlignment="1">
      <alignment horizontal="center" vertical="center" wrapText="1"/>
    </xf>
    <xf numFmtId="172" fontId="74" fillId="2" borderId="6" xfId="28" applyNumberFormat="1" applyFont="1" applyFill="1" applyBorder="1" applyAlignment="1">
      <alignment horizontal="center" vertical="center" wrapText="1"/>
    </xf>
    <xf numFmtId="20" fontId="74" fillId="2" borderId="1" xfId="28" applyNumberFormat="1" applyFont="1" applyFill="1" applyBorder="1" applyAlignment="1">
      <alignment horizontal="left" vertical="center" wrapText="1"/>
    </xf>
    <xf numFmtId="20" fontId="74" fillId="2" borderId="4" xfId="28" applyNumberFormat="1" applyFont="1" applyFill="1" applyBorder="1" applyAlignment="1">
      <alignment horizontal="left" vertical="center" wrapText="1"/>
    </xf>
    <xf numFmtId="20" fontId="74" fillId="2" borderId="6" xfId="28" applyNumberFormat="1" applyFont="1" applyFill="1" applyBorder="1" applyAlignment="1">
      <alignment horizontal="left" vertical="center" wrapText="1"/>
    </xf>
    <xf numFmtId="20" fontId="76" fillId="2" borderId="4" xfId="28" applyNumberFormat="1" applyFont="1" applyFill="1" applyBorder="1" applyAlignment="1">
      <alignment horizontal="left" vertical="center" wrapText="1"/>
    </xf>
    <xf numFmtId="20" fontId="76" fillId="2" borderId="5" xfId="28" applyNumberFormat="1" applyFont="1" applyFill="1" applyBorder="1" applyAlignment="1">
      <alignment horizontal="left" vertical="center" wrapText="1"/>
    </xf>
    <xf numFmtId="20" fontId="76" fillId="2" borderId="6" xfId="28" applyNumberFormat="1" applyFont="1" applyFill="1" applyBorder="1" applyAlignment="1">
      <alignment horizontal="left" vertical="center" wrapText="1"/>
    </xf>
    <xf numFmtId="20" fontId="74" fillId="2" borderId="5" xfId="28" applyNumberFormat="1" applyFont="1" applyFill="1" applyBorder="1" applyAlignment="1">
      <alignment horizontal="left" vertical="center" wrapText="1"/>
    </xf>
    <xf numFmtId="172" fontId="74" fillId="2" borderId="1" xfId="28" applyNumberFormat="1" applyFont="1" applyFill="1" applyBorder="1" applyAlignment="1">
      <alignment horizontal="left" vertical="center" wrapText="1"/>
    </xf>
    <xf numFmtId="172" fontId="74" fillId="2" borderId="6" xfId="28" applyNumberFormat="1" applyFont="1" applyFill="1" applyBorder="1" applyAlignment="1">
      <alignment horizontal="left" vertical="center" wrapText="1"/>
    </xf>
    <xf numFmtId="20" fontId="76" fillId="2" borderId="1" xfId="28" quotePrefix="1" applyNumberFormat="1" applyFont="1" applyFill="1" applyBorder="1" applyAlignment="1">
      <alignment horizontal="left" wrapText="1"/>
    </xf>
    <xf numFmtId="0" fontId="86" fillId="0" borderId="71" xfId="28" applyFont="1" applyBorder="1" applyAlignment="1">
      <alignment horizontal="left" vertical="center"/>
    </xf>
    <xf numFmtId="20" fontId="74" fillId="0" borderId="18" xfId="28" applyNumberFormat="1" applyFont="1" applyBorder="1" applyAlignment="1">
      <alignment horizontal="left" vertical="center"/>
    </xf>
    <xf numFmtId="20" fontId="86" fillId="0" borderId="67" xfId="31" applyNumberFormat="1" applyFont="1" applyBorder="1" applyAlignment="1">
      <alignment horizontal="center" vertical="center"/>
    </xf>
    <xf numFmtId="20" fontId="86" fillId="0" borderId="68" xfId="31" applyNumberFormat="1" applyFont="1" applyBorder="1" applyAlignment="1">
      <alignment horizontal="center" vertical="center"/>
    </xf>
    <xf numFmtId="20" fontId="86" fillId="0" borderId="69" xfId="31" applyNumberFormat="1" applyFont="1" applyBorder="1" applyAlignment="1">
      <alignment horizontal="center" vertical="center"/>
    </xf>
    <xf numFmtId="20" fontId="86" fillId="0" borderId="70" xfId="31" applyNumberFormat="1" applyFont="1" applyBorder="1" applyAlignment="1">
      <alignment horizontal="center" vertical="center"/>
    </xf>
    <xf numFmtId="20" fontId="86" fillId="0" borderId="71" xfId="31" applyNumberFormat="1" applyFont="1" applyBorder="1" applyAlignment="1">
      <alignment horizontal="left" vertical="center"/>
    </xf>
    <xf numFmtId="0" fontId="18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17" fillId="2" borderId="4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46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 wrapText="1"/>
    </xf>
    <xf numFmtId="0" fontId="17" fillId="2" borderId="47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2" fillId="18" borderId="37" xfId="0" applyFont="1" applyFill="1" applyBorder="1" applyAlignment="1">
      <alignment horizontal="center" vertical="center"/>
    </xf>
    <xf numFmtId="0" fontId="2" fillId="18" borderId="38" xfId="0" applyFont="1" applyFill="1" applyBorder="1" applyAlignment="1">
      <alignment horizontal="center" vertical="center"/>
    </xf>
    <xf numFmtId="0" fontId="2" fillId="18" borderId="39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left"/>
    </xf>
    <xf numFmtId="14" fontId="2" fillId="0" borderId="38" xfId="0" applyNumberFormat="1" applyFont="1" applyBorder="1" applyAlignment="1">
      <alignment horizontal="left"/>
    </xf>
    <xf numFmtId="14" fontId="2" fillId="0" borderId="39" xfId="0" applyNumberFormat="1" applyFont="1" applyBorder="1" applyAlignment="1">
      <alignment horizontal="left"/>
    </xf>
    <xf numFmtId="0" fontId="40" fillId="23" borderId="13" xfId="0" applyFont="1" applyFill="1" applyBorder="1" applyAlignment="1">
      <alignment horizontal="left" vertical="center" wrapText="1"/>
    </xf>
    <xf numFmtId="0" fontId="40" fillId="23" borderId="14" xfId="0" applyFont="1" applyFill="1" applyBorder="1" applyAlignment="1">
      <alignment horizontal="left" vertical="center" wrapText="1"/>
    </xf>
    <xf numFmtId="0" fontId="40" fillId="23" borderId="15" xfId="0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8" fillId="19" borderId="43" xfId="0" applyFont="1" applyFill="1" applyBorder="1" applyAlignment="1">
      <alignment horizontal="center" vertical="center" wrapText="1"/>
    </xf>
    <xf numFmtId="0" fontId="18" fillId="19" borderId="50" xfId="0" applyFont="1" applyFill="1" applyBorder="1" applyAlignment="1">
      <alignment horizontal="center" vertical="center" wrapText="1"/>
    </xf>
    <xf numFmtId="0" fontId="18" fillId="19" borderId="47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4" fillId="0" borderId="37" xfId="7" applyFont="1" applyBorder="1" applyAlignment="1">
      <alignment horizontal="left" vertical="center" wrapText="1"/>
    </xf>
    <xf numFmtId="0" fontId="4" fillId="0" borderId="38" xfId="7" applyFont="1" applyBorder="1" applyAlignment="1">
      <alignment horizontal="left" vertical="center" wrapText="1"/>
    </xf>
    <xf numFmtId="0" fontId="4" fillId="0" borderId="39" xfId="7" applyFont="1" applyBorder="1" applyAlignment="1">
      <alignment horizontal="left" vertical="center" wrapText="1"/>
    </xf>
    <xf numFmtId="14" fontId="10" fillId="0" borderId="12" xfId="7" applyNumberFormat="1" applyFont="1" applyBorder="1" applyAlignment="1">
      <alignment horizontal="left" vertical="center" wrapText="1"/>
    </xf>
    <xf numFmtId="0" fontId="10" fillId="0" borderId="12" xfId="7" applyFont="1" applyBorder="1" applyAlignment="1">
      <alignment horizontal="left" vertical="center" wrapText="1"/>
    </xf>
    <xf numFmtId="0" fontId="10" fillId="0" borderId="32" xfId="7" applyFont="1" applyBorder="1" applyAlignment="1">
      <alignment horizontal="left" vertical="center" wrapText="1"/>
    </xf>
    <xf numFmtId="0" fontId="36" fillId="18" borderId="42" xfId="7" applyFill="1" applyBorder="1" applyAlignment="1">
      <alignment horizontal="center" vertical="center" wrapText="1"/>
    </xf>
    <xf numFmtId="0" fontId="36" fillId="18" borderId="44" xfId="7" applyFill="1" applyBorder="1" applyAlignment="1">
      <alignment horizontal="center" vertical="center" wrapText="1"/>
    </xf>
    <xf numFmtId="0" fontId="36" fillId="18" borderId="59" xfId="7" applyFill="1" applyBorder="1" applyAlignment="1">
      <alignment horizontal="center" vertical="center" wrapText="1"/>
    </xf>
    <xf numFmtId="0" fontId="36" fillId="0" borderId="4" xfId="7" applyBorder="1" applyAlignment="1">
      <alignment horizontal="center" vertical="center" wrapText="1"/>
    </xf>
    <xf numFmtId="0" fontId="36" fillId="0" borderId="5" xfId="7" applyBorder="1" applyAlignment="1">
      <alignment horizontal="center" vertical="center" wrapText="1"/>
    </xf>
    <xf numFmtId="0" fontId="36" fillId="0" borderId="60" xfId="7" applyBorder="1" applyAlignment="1">
      <alignment horizontal="center" vertical="center" wrapText="1"/>
    </xf>
    <xf numFmtId="0" fontId="35" fillId="0" borderId="0" xfId="6" quotePrefix="1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23" fillId="21" borderId="13" xfId="0" applyFont="1" applyFill="1" applyBorder="1" applyAlignment="1">
      <alignment horizontal="center" vertical="center" wrapText="1"/>
    </xf>
    <xf numFmtId="0" fontId="23" fillId="21" borderId="14" xfId="0" applyFont="1" applyFill="1" applyBorder="1" applyAlignment="1">
      <alignment horizontal="center" vertical="center" wrapText="1"/>
    </xf>
    <xf numFmtId="0" fontId="23" fillId="21" borderId="22" xfId="0" applyFont="1" applyFill="1" applyBorder="1" applyAlignment="1">
      <alignment horizontal="center" vertical="center" wrapText="1"/>
    </xf>
    <xf numFmtId="0" fontId="23" fillId="21" borderId="36" xfId="0" applyFont="1" applyFill="1" applyBorder="1" applyAlignment="1">
      <alignment horizontal="center" vertical="center" wrapText="1"/>
    </xf>
    <xf numFmtId="0" fontId="23" fillId="21" borderId="43" xfId="0" applyFont="1" applyFill="1" applyBorder="1" applyAlignment="1">
      <alignment horizontal="center" vertical="center" wrapText="1"/>
    </xf>
    <xf numFmtId="0" fontId="23" fillId="21" borderId="47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/>
    </xf>
    <xf numFmtId="0" fontId="2" fillId="13" borderId="36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/>
    </xf>
    <xf numFmtId="0" fontId="28" fillId="4" borderId="15" xfId="0" applyFont="1" applyFill="1" applyBorder="1" applyAlignment="1">
      <alignment horizontal="center" vertical="center"/>
    </xf>
    <xf numFmtId="0" fontId="43" fillId="16" borderId="4" xfId="0" applyFont="1" applyFill="1" applyBorder="1" applyAlignment="1">
      <alignment horizontal="center" vertical="center" wrapText="1"/>
    </xf>
    <xf numFmtId="0" fontId="43" fillId="16" borderId="5" xfId="0" applyFont="1" applyFill="1" applyBorder="1" applyAlignment="1">
      <alignment horizontal="center" vertical="center" wrapText="1"/>
    </xf>
    <xf numFmtId="0" fontId="43" fillId="16" borderId="6" xfId="0" applyFont="1" applyFill="1" applyBorder="1" applyAlignment="1">
      <alignment horizontal="center" vertical="center" wrapText="1"/>
    </xf>
    <xf numFmtId="0" fontId="45" fillId="2" borderId="2" xfId="15" applyFont="1" applyFill="1" applyBorder="1" applyAlignment="1">
      <alignment horizontal="center" vertical="center"/>
    </xf>
    <xf numFmtId="0" fontId="45" fillId="2" borderId="8" xfId="15" applyFont="1" applyFill="1" applyBorder="1" applyAlignment="1">
      <alignment horizontal="center" vertical="center"/>
    </xf>
    <xf numFmtId="0" fontId="45" fillId="2" borderId="9" xfId="15" applyFont="1" applyFill="1" applyBorder="1" applyAlignment="1">
      <alignment horizontal="center" vertical="center"/>
    </xf>
    <xf numFmtId="0" fontId="46" fillId="2" borderId="2" xfId="14" applyFont="1" applyFill="1" applyBorder="1" applyAlignment="1">
      <alignment horizontal="center" vertical="center"/>
    </xf>
    <xf numFmtId="0" fontId="46" fillId="2" borderId="8" xfId="14" applyFont="1" applyFill="1" applyBorder="1" applyAlignment="1">
      <alignment horizontal="center" vertical="center"/>
    </xf>
    <xf numFmtId="0" fontId="46" fillId="2" borderId="9" xfId="14" applyFont="1" applyFill="1" applyBorder="1" applyAlignment="1">
      <alignment horizontal="center" vertical="center"/>
    </xf>
    <xf numFmtId="1" fontId="45" fillId="2" borderId="2" xfId="0" applyNumberFormat="1" applyFont="1" applyFill="1" applyBorder="1" applyAlignment="1">
      <alignment horizontal="center" vertical="center"/>
    </xf>
    <xf numFmtId="1" fontId="45" fillId="2" borderId="8" xfId="0" applyNumberFormat="1" applyFont="1" applyFill="1" applyBorder="1" applyAlignment="1">
      <alignment horizontal="center" vertical="center"/>
    </xf>
    <xf numFmtId="1" fontId="45" fillId="2" borderId="9" xfId="0" applyNumberFormat="1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center" vertical="center" wrapText="1"/>
    </xf>
    <xf numFmtId="0" fontId="47" fillId="2" borderId="5" xfId="0" applyFont="1" applyFill="1" applyBorder="1" applyAlignment="1">
      <alignment horizontal="center" vertical="center" wrapText="1"/>
    </xf>
    <xf numFmtId="0" fontId="47" fillId="2" borderId="6" xfId="0" applyFont="1" applyFill="1" applyBorder="1" applyAlignment="1">
      <alignment horizontal="center" vertical="center" wrapText="1"/>
    </xf>
    <xf numFmtId="0" fontId="43" fillId="16" borderId="2" xfId="0" applyFont="1" applyFill="1" applyBorder="1" applyAlignment="1">
      <alignment horizontal="center" vertical="center" wrapText="1"/>
    </xf>
    <xf numFmtId="0" fontId="43" fillId="16" borderId="9" xfId="0" applyFont="1" applyFill="1" applyBorder="1" applyAlignment="1">
      <alignment horizontal="center" vertical="center" wrapText="1"/>
    </xf>
    <xf numFmtId="0" fontId="41" fillId="24" borderId="19" xfId="0" applyFont="1" applyFill="1" applyBorder="1" applyAlignment="1">
      <alignment horizontal="center" vertical="center"/>
    </xf>
    <xf numFmtId="0" fontId="41" fillId="24" borderId="0" xfId="0" applyFont="1" applyFill="1" applyAlignment="1">
      <alignment horizontal="center" vertical="center"/>
    </xf>
    <xf numFmtId="0" fontId="41" fillId="24" borderId="29" xfId="0" applyFont="1" applyFill="1" applyBorder="1" applyAlignment="1">
      <alignment horizontal="center" vertical="center"/>
    </xf>
    <xf numFmtId="0" fontId="41" fillId="24" borderId="3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67" fontId="2" fillId="0" borderId="12" xfId="0" applyNumberFormat="1" applyFont="1" applyBorder="1" applyAlignment="1">
      <alignment horizontal="center" vertical="center"/>
    </xf>
    <xf numFmtId="0" fontId="108" fillId="4" borderId="1" xfId="0" applyFont="1" applyFill="1" applyBorder="1" applyAlignment="1">
      <alignment horizontal="center" vertical="center" wrapText="1"/>
    </xf>
    <xf numFmtId="0" fontId="109" fillId="5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/>
    </xf>
  </cellXfs>
  <cellStyles count="34">
    <cellStyle name="Comma 2" xfId="30" xr:uid="{A504220A-D5C7-49FB-8E13-D01994DE6498}"/>
    <cellStyle name="Hyperlink" xfId="6" builtinId="8"/>
    <cellStyle name="Hyperlink 2" xfId="32" xr:uid="{92AF88F8-4152-441C-8FBC-CB999333F4DA}"/>
    <cellStyle name="Normal" xfId="0" builtinId="0"/>
    <cellStyle name="Normal 13" xfId="17" xr:uid="{00000000-0005-0000-0000-000002000000}"/>
    <cellStyle name="Normal 13 10" xfId="13" xr:uid="{00000000-0005-0000-0000-000003000000}"/>
    <cellStyle name="Normal 13 11" xfId="29" xr:uid="{50C892FA-40EF-4121-944E-FF6A6AFCECB1}"/>
    <cellStyle name="Normal 13 2" xfId="18" xr:uid="{00000000-0005-0000-0000-000004000000}"/>
    <cellStyle name="Normal 13 3" xfId="19" xr:uid="{00000000-0005-0000-0000-000005000000}"/>
    <cellStyle name="Normal 13 4" xfId="20" xr:uid="{00000000-0005-0000-0000-000006000000}"/>
    <cellStyle name="Normal 13 5" xfId="21" xr:uid="{00000000-0005-0000-0000-000007000000}"/>
    <cellStyle name="Normal 13 6" xfId="22" xr:uid="{00000000-0005-0000-0000-000008000000}"/>
    <cellStyle name="Normal 13 7" xfId="23" xr:uid="{00000000-0005-0000-0000-000009000000}"/>
    <cellStyle name="Normal 13 8" xfId="24" xr:uid="{00000000-0005-0000-0000-00000A000000}"/>
    <cellStyle name="Normal 13 9" xfId="25" xr:uid="{00000000-0005-0000-0000-00000B000000}"/>
    <cellStyle name="Normal 16" xfId="31" xr:uid="{20A5B1AA-A087-4C26-AA5B-63A3ED29B585}"/>
    <cellStyle name="Normal 17" xfId="1" xr:uid="{00000000-0005-0000-0000-00000C000000}"/>
    <cellStyle name="Normal 2" xfId="3" xr:uid="{00000000-0005-0000-0000-00000D000000}"/>
    <cellStyle name="Normal 2 10" xfId="14" xr:uid="{00000000-0005-0000-0000-00000E000000}"/>
    <cellStyle name="Normal 2 2" xfId="11" xr:uid="{00000000-0005-0000-0000-00000F000000}"/>
    <cellStyle name="Normal 2 3" xfId="12" xr:uid="{00000000-0005-0000-0000-000010000000}"/>
    <cellStyle name="Normal 2 3 2" xfId="5" xr:uid="{00000000-0005-0000-0000-000011000000}"/>
    <cellStyle name="Normal 20" xfId="26" xr:uid="{00000000-0005-0000-0000-000012000000}"/>
    <cellStyle name="Normal 3" xfId="10" xr:uid="{00000000-0005-0000-0000-000013000000}"/>
    <cellStyle name="Normal 3 2 5" xfId="33" xr:uid="{3B49E63B-1A09-4E2E-ADF9-C6B3A2B49F42}"/>
    <cellStyle name="Normal 4" xfId="7" xr:uid="{00000000-0005-0000-0000-000014000000}"/>
    <cellStyle name="Normal 5" xfId="2" xr:uid="{00000000-0005-0000-0000-000015000000}"/>
    <cellStyle name="Normal 5 2" xfId="9" xr:uid="{00000000-0005-0000-0000-000016000000}"/>
    <cellStyle name="Normal 6" xfId="16" xr:uid="{00000000-0005-0000-0000-000017000000}"/>
    <cellStyle name="Normal 7" xfId="15" xr:uid="{00000000-0005-0000-0000-000018000000}"/>
    <cellStyle name="Normal 8" xfId="4" xr:uid="{00000000-0005-0000-0000-000019000000}"/>
    <cellStyle name="Normal 9" xfId="28" xr:uid="{5A1C2952-77E1-4B5F-BE0F-66CAE4D2FA05}"/>
    <cellStyle name="Percent" xfId="27" builtinId="5"/>
    <cellStyle name="Percent 2" xfId="8" xr:uid="{00000000-0005-0000-0000-00001A000000}"/>
  </cellStyles>
  <dxfs count="469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numFmt numFmtId="166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"/>
    </dxf>
  </dxfs>
  <tableStyles count="0" defaultTableStyle="TableStyleMedium2" defaultPivotStyle="PivotStyleLight16"/>
  <colors>
    <mruColors>
      <color rgb="FFFF0066"/>
      <color rgb="FFAE02AE"/>
      <color rgb="FFA808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connections" Target="connections.xml"/><Relationship Id="rId30" Type="http://schemas.openxmlformats.org/officeDocument/2006/relationships/powerPivotData" Target="model/item.data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5402262-76CE-439D-98FB-52A4630DF36A}" type="doc">
      <dgm:prSet loTypeId="urn:microsoft.com/office/officeart/2005/8/layout/list1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0A813B0-A29C-429E-AE56-9C9D60DBC154}">
      <dgm:prSet phldrT="[Text]" phldr="1"/>
      <dgm:spPr/>
      <dgm:t>
        <a:bodyPr/>
        <a:lstStyle/>
        <a:p>
          <a:endParaRPr lang="en-US"/>
        </a:p>
      </dgm:t>
    </dgm:pt>
    <dgm:pt modelId="{322EE001-3A4B-4948-886F-18E07001DA0E}" type="parTrans" cxnId="{F0592826-5A5B-4124-8943-864D71DB7398}">
      <dgm:prSet/>
      <dgm:spPr/>
      <dgm:t>
        <a:bodyPr/>
        <a:lstStyle/>
        <a:p>
          <a:endParaRPr lang="en-US"/>
        </a:p>
      </dgm:t>
    </dgm:pt>
    <dgm:pt modelId="{605B1B2F-77C8-42EB-BC35-C2B8079183D7}" type="sibTrans" cxnId="{F0592826-5A5B-4124-8943-864D71DB7398}">
      <dgm:prSet/>
      <dgm:spPr/>
      <dgm:t>
        <a:bodyPr/>
        <a:lstStyle/>
        <a:p>
          <a:endParaRPr lang="en-US"/>
        </a:p>
      </dgm:t>
    </dgm:pt>
    <dgm:pt modelId="{E190E900-A7DE-4CC6-BFCA-02FF8AFAC9FC}">
      <dgm:prSet phldrT="[Text]" phldr="1"/>
      <dgm:spPr/>
      <dgm:t>
        <a:bodyPr/>
        <a:lstStyle/>
        <a:p>
          <a:endParaRPr lang="en-US"/>
        </a:p>
      </dgm:t>
    </dgm:pt>
    <dgm:pt modelId="{492298B5-A9E4-40CE-B3C0-E71BC9A76AE8}" type="parTrans" cxnId="{C6C21334-023B-4470-A51C-7ECD719D101B}">
      <dgm:prSet/>
      <dgm:spPr/>
      <dgm:t>
        <a:bodyPr/>
        <a:lstStyle/>
        <a:p>
          <a:endParaRPr lang="en-US"/>
        </a:p>
      </dgm:t>
    </dgm:pt>
    <dgm:pt modelId="{FFCBC8C8-8DA3-444C-B48D-8BBD218A1434}" type="sibTrans" cxnId="{C6C21334-023B-4470-A51C-7ECD719D101B}">
      <dgm:prSet/>
      <dgm:spPr/>
      <dgm:t>
        <a:bodyPr/>
        <a:lstStyle/>
        <a:p>
          <a:endParaRPr lang="en-US"/>
        </a:p>
      </dgm:t>
    </dgm:pt>
    <dgm:pt modelId="{AC70A1E3-048A-4AC4-9B4E-EC6E7530E2BB}">
      <dgm:prSet phldrT="[Text]" phldr="1"/>
      <dgm:spPr/>
      <dgm:t>
        <a:bodyPr/>
        <a:lstStyle/>
        <a:p>
          <a:endParaRPr lang="en-US"/>
        </a:p>
      </dgm:t>
    </dgm:pt>
    <dgm:pt modelId="{04000DA8-0F9B-4AA2-B57B-A8B71607A6F1}" type="parTrans" cxnId="{361B51AA-11EA-4DE9-B473-AC998780730F}">
      <dgm:prSet/>
      <dgm:spPr/>
      <dgm:t>
        <a:bodyPr/>
        <a:lstStyle/>
        <a:p>
          <a:endParaRPr lang="en-US"/>
        </a:p>
      </dgm:t>
    </dgm:pt>
    <dgm:pt modelId="{A0A0BFE6-43B4-4259-9340-F8D2D5D132A4}" type="sibTrans" cxnId="{361B51AA-11EA-4DE9-B473-AC998780730F}">
      <dgm:prSet/>
      <dgm:spPr/>
      <dgm:t>
        <a:bodyPr/>
        <a:lstStyle/>
        <a:p>
          <a:endParaRPr lang="en-US"/>
        </a:p>
      </dgm:t>
    </dgm:pt>
    <dgm:pt modelId="{61FB89FB-3AB6-4D82-8E19-8F49E1EBFA86}">
      <dgm:prSet/>
      <dgm:spPr/>
      <dgm:t>
        <a:bodyPr/>
        <a:lstStyle/>
        <a:p>
          <a:pPr>
            <a:buNone/>
          </a:pPr>
          <a:r>
            <a:rPr lang="en-US" b="1" i="0"/>
            <a:t>VC-765kV MKTL'!A1</a:t>
          </a:r>
          <a:endParaRPr lang="en-US"/>
        </a:p>
      </dgm:t>
    </dgm:pt>
    <dgm:pt modelId="{3D7CAA5F-19EA-4EEA-94F7-19C1B9B828BC}" type="parTrans" cxnId="{A8D7B78B-2049-4DBE-8103-1693646081D6}">
      <dgm:prSet/>
      <dgm:spPr/>
      <dgm:t>
        <a:bodyPr/>
        <a:lstStyle/>
        <a:p>
          <a:endParaRPr lang="en-US"/>
        </a:p>
      </dgm:t>
    </dgm:pt>
    <dgm:pt modelId="{42DC84B5-2337-42A8-B49F-661B90BBFA83}" type="sibTrans" cxnId="{A8D7B78B-2049-4DBE-8103-1693646081D6}">
      <dgm:prSet/>
      <dgm:spPr/>
      <dgm:t>
        <a:bodyPr/>
        <a:lstStyle/>
        <a:p>
          <a:endParaRPr lang="en-US"/>
        </a:p>
      </dgm:t>
    </dgm:pt>
    <dgm:pt modelId="{CD35D65A-6949-4E27-89DD-ABD679A931EA}">
      <dgm:prSet/>
      <dgm:spPr/>
      <dgm:t>
        <a:bodyPr/>
        <a:lstStyle/>
        <a:p>
          <a:pPr>
            <a:buNone/>
          </a:pPr>
          <a:endParaRPr lang="en-US"/>
        </a:p>
      </dgm:t>
    </dgm:pt>
    <dgm:pt modelId="{EFECE46B-F7B9-4B51-9833-4708CB7D174B}" type="parTrans" cxnId="{4483CCE0-F1B8-4E22-9D7E-809AC9738A01}">
      <dgm:prSet/>
      <dgm:spPr/>
      <dgm:t>
        <a:bodyPr/>
        <a:lstStyle/>
        <a:p>
          <a:endParaRPr lang="en-US"/>
        </a:p>
      </dgm:t>
    </dgm:pt>
    <dgm:pt modelId="{ECF588FE-A13C-43A4-8B5A-8FB735F77ED7}" type="sibTrans" cxnId="{4483CCE0-F1B8-4E22-9D7E-809AC9738A01}">
      <dgm:prSet/>
      <dgm:spPr/>
      <dgm:t>
        <a:bodyPr/>
        <a:lstStyle/>
        <a:p>
          <a:endParaRPr lang="en-US"/>
        </a:p>
      </dgm:t>
    </dgm:pt>
    <dgm:pt modelId="{AB992777-0BF8-42BF-B2F8-444D81030E56}" type="pres">
      <dgm:prSet presAssocID="{D5402262-76CE-439D-98FB-52A4630DF36A}" presName="linear" presStyleCnt="0">
        <dgm:presLayoutVars>
          <dgm:dir/>
          <dgm:animLvl val="lvl"/>
          <dgm:resizeHandles val="exact"/>
        </dgm:presLayoutVars>
      </dgm:prSet>
      <dgm:spPr/>
    </dgm:pt>
    <dgm:pt modelId="{4063FE12-CE5D-4B20-892A-1767575AAD49}" type="pres">
      <dgm:prSet presAssocID="{70A813B0-A29C-429E-AE56-9C9D60DBC154}" presName="parentLin" presStyleCnt="0"/>
      <dgm:spPr/>
    </dgm:pt>
    <dgm:pt modelId="{1AC7371F-7B9B-4CC4-8C06-90A49E53A13F}" type="pres">
      <dgm:prSet presAssocID="{70A813B0-A29C-429E-AE56-9C9D60DBC154}" presName="parentLeftMargin" presStyleLbl="node1" presStyleIdx="0" presStyleCnt="5"/>
      <dgm:spPr/>
    </dgm:pt>
    <dgm:pt modelId="{CB659102-0027-415F-A925-CCD41124B87F}" type="pres">
      <dgm:prSet presAssocID="{70A813B0-A29C-429E-AE56-9C9D60DBC154}" presName="parentText" presStyleLbl="node1" presStyleIdx="0" presStyleCnt="5">
        <dgm:presLayoutVars>
          <dgm:chMax val="0"/>
          <dgm:bulletEnabled val="1"/>
        </dgm:presLayoutVars>
      </dgm:prSet>
      <dgm:spPr/>
    </dgm:pt>
    <dgm:pt modelId="{A5E85D0B-32F4-4ECC-A093-BE215BD943DA}" type="pres">
      <dgm:prSet presAssocID="{70A813B0-A29C-429E-AE56-9C9D60DBC154}" presName="negativeSpace" presStyleCnt="0"/>
      <dgm:spPr/>
    </dgm:pt>
    <dgm:pt modelId="{0597D505-BA4F-4D00-88CD-DBB34A0DE524}" type="pres">
      <dgm:prSet presAssocID="{70A813B0-A29C-429E-AE56-9C9D60DBC154}" presName="childText" presStyleLbl="conFgAcc1" presStyleIdx="0" presStyleCnt="5">
        <dgm:presLayoutVars>
          <dgm:bulletEnabled val="1"/>
        </dgm:presLayoutVars>
      </dgm:prSet>
      <dgm:spPr/>
    </dgm:pt>
    <dgm:pt modelId="{CF229287-B0A9-4998-9C60-483AE825ECB8}" type="pres">
      <dgm:prSet presAssocID="{605B1B2F-77C8-42EB-BC35-C2B8079183D7}" presName="spaceBetweenRectangles" presStyleCnt="0"/>
      <dgm:spPr/>
    </dgm:pt>
    <dgm:pt modelId="{EE5B17B8-155E-483D-90CD-935BD70748A8}" type="pres">
      <dgm:prSet presAssocID="{61FB89FB-3AB6-4D82-8E19-8F49E1EBFA86}" presName="parentLin" presStyleCnt="0"/>
      <dgm:spPr/>
    </dgm:pt>
    <dgm:pt modelId="{DF76E6F2-64D7-4347-BEB1-A64873D86ADE}" type="pres">
      <dgm:prSet presAssocID="{61FB89FB-3AB6-4D82-8E19-8F49E1EBFA86}" presName="parentLeftMargin" presStyleLbl="node1" presStyleIdx="0" presStyleCnt="5"/>
      <dgm:spPr/>
    </dgm:pt>
    <dgm:pt modelId="{FF5BEA7C-5FB3-482D-BCB5-12EC325146DF}" type="pres">
      <dgm:prSet presAssocID="{61FB89FB-3AB6-4D82-8E19-8F49E1EBFA86}" presName="parentText" presStyleLbl="node1" presStyleIdx="1" presStyleCnt="5">
        <dgm:presLayoutVars>
          <dgm:chMax val="0"/>
          <dgm:bulletEnabled val="1"/>
        </dgm:presLayoutVars>
      </dgm:prSet>
      <dgm:spPr/>
    </dgm:pt>
    <dgm:pt modelId="{9A2A2181-9432-4047-ABF8-16BDE55ECCD8}" type="pres">
      <dgm:prSet presAssocID="{61FB89FB-3AB6-4D82-8E19-8F49E1EBFA86}" presName="negativeSpace" presStyleCnt="0"/>
      <dgm:spPr/>
    </dgm:pt>
    <dgm:pt modelId="{74CCA097-B8FD-4E30-BFF9-3A094070AD82}" type="pres">
      <dgm:prSet presAssocID="{61FB89FB-3AB6-4D82-8E19-8F49E1EBFA86}" presName="childText" presStyleLbl="conFgAcc1" presStyleIdx="1" presStyleCnt="5">
        <dgm:presLayoutVars>
          <dgm:bulletEnabled val="1"/>
        </dgm:presLayoutVars>
      </dgm:prSet>
      <dgm:spPr/>
    </dgm:pt>
    <dgm:pt modelId="{4E4B43CC-F4ED-4148-9E3C-E1804C127BC7}" type="pres">
      <dgm:prSet presAssocID="{42DC84B5-2337-42A8-B49F-661B90BBFA83}" presName="spaceBetweenRectangles" presStyleCnt="0"/>
      <dgm:spPr/>
    </dgm:pt>
    <dgm:pt modelId="{46D93A70-DED0-4935-B84B-42EA963399C8}" type="pres">
      <dgm:prSet presAssocID="{CD35D65A-6949-4E27-89DD-ABD679A931EA}" presName="parentLin" presStyleCnt="0"/>
      <dgm:spPr/>
    </dgm:pt>
    <dgm:pt modelId="{F90749C1-B3D2-4F69-9F7D-D10A277267F6}" type="pres">
      <dgm:prSet presAssocID="{CD35D65A-6949-4E27-89DD-ABD679A931EA}" presName="parentLeftMargin" presStyleLbl="node1" presStyleIdx="1" presStyleCnt="5"/>
      <dgm:spPr/>
    </dgm:pt>
    <dgm:pt modelId="{8BF20B66-F9F0-4B12-951A-5535B89720F5}" type="pres">
      <dgm:prSet presAssocID="{CD35D65A-6949-4E27-89DD-ABD679A931EA}" presName="parentText" presStyleLbl="node1" presStyleIdx="2" presStyleCnt="5">
        <dgm:presLayoutVars>
          <dgm:chMax val="0"/>
          <dgm:bulletEnabled val="1"/>
        </dgm:presLayoutVars>
      </dgm:prSet>
      <dgm:spPr/>
    </dgm:pt>
    <dgm:pt modelId="{6336AB33-13FB-4434-915A-0DA466F9EA71}" type="pres">
      <dgm:prSet presAssocID="{CD35D65A-6949-4E27-89DD-ABD679A931EA}" presName="negativeSpace" presStyleCnt="0"/>
      <dgm:spPr/>
    </dgm:pt>
    <dgm:pt modelId="{492CA18B-BB2C-4C58-9D39-78D8C7727378}" type="pres">
      <dgm:prSet presAssocID="{CD35D65A-6949-4E27-89DD-ABD679A931EA}" presName="childText" presStyleLbl="conFgAcc1" presStyleIdx="2" presStyleCnt="5">
        <dgm:presLayoutVars>
          <dgm:bulletEnabled val="1"/>
        </dgm:presLayoutVars>
      </dgm:prSet>
      <dgm:spPr/>
    </dgm:pt>
    <dgm:pt modelId="{E79364C6-34B3-4B65-8D35-A11D066CFECC}" type="pres">
      <dgm:prSet presAssocID="{ECF588FE-A13C-43A4-8B5A-8FB735F77ED7}" presName="spaceBetweenRectangles" presStyleCnt="0"/>
      <dgm:spPr/>
    </dgm:pt>
    <dgm:pt modelId="{C342589D-16C1-49C2-88EE-E27F10ACB8BE}" type="pres">
      <dgm:prSet presAssocID="{E190E900-A7DE-4CC6-BFCA-02FF8AFAC9FC}" presName="parentLin" presStyleCnt="0"/>
      <dgm:spPr/>
    </dgm:pt>
    <dgm:pt modelId="{09EDE3BA-E07D-4082-88F7-6AA1FFF9B087}" type="pres">
      <dgm:prSet presAssocID="{E190E900-A7DE-4CC6-BFCA-02FF8AFAC9FC}" presName="parentLeftMargin" presStyleLbl="node1" presStyleIdx="2" presStyleCnt="5"/>
      <dgm:spPr/>
    </dgm:pt>
    <dgm:pt modelId="{3DFFC024-BEB3-471A-BAAD-51882BEA7C6E}" type="pres">
      <dgm:prSet presAssocID="{E190E900-A7DE-4CC6-BFCA-02FF8AFAC9FC}" presName="parentText" presStyleLbl="node1" presStyleIdx="3" presStyleCnt="5">
        <dgm:presLayoutVars>
          <dgm:chMax val="0"/>
          <dgm:bulletEnabled val="1"/>
        </dgm:presLayoutVars>
      </dgm:prSet>
      <dgm:spPr/>
    </dgm:pt>
    <dgm:pt modelId="{13803B85-AC5E-4808-BECB-B7C835D61A7F}" type="pres">
      <dgm:prSet presAssocID="{E190E900-A7DE-4CC6-BFCA-02FF8AFAC9FC}" presName="negativeSpace" presStyleCnt="0"/>
      <dgm:spPr/>
    </dgm:pt>
    <dgm:pt modelId="{AFCC7078-ECB9-4C9F-A9E8-A4DC16031B29}" type="pres">
      <dgm:prSet presAssocID="{E190E900-A7DE-4CC6-BFCA-02FF8AFAC9FC}" presName="childText" presStyleLbl="conFgAcc1" presStyleIdx="3" presStyleCnt="5">
        <dgm:presLayoutVars>
          <dgm:bulletEnabled val="1"/>
        </dgm:presLayoutVars>
      </dgm:prSet>
      <dgm:spPr/>
    </dgm:pt>
    <dgm:pt modelId="{4BB30095-2468-4D78-A96B-38B79A70284E}" type="pres">
      <dgm:prSet presAssocID="{FFCBC8C8-8DA3-444C-B48D-8BBD218A1434}" presName="spaceBetweenRectangles" presStyleCnt="0"/>
      <dgm:spPr/>
    </dgm:pt>
    <dgm:pt modelId="{D4F9F1F4-60FA-4CB6-9592-63EF3388892D}" type="pres">
      <dgm:prSet presAssocID="{AC70A1E3-048A-4AC4-9B4E-EC6E7530E2BB}" presName="parentLin" presStyleCnt="0"/>
      <dgm:spPr/>
    </dgm:pt>
    <dgm:pt modelId="{77765727-2BD8-4EA9-8DCB-53F43E3ABD45}" type="pres">
      <dgm:prSet presAssocID="{AC70A1E3-048A-4AC4-9B4E-EC6E7530E2BB}" presName="parentLeftMargin" presStyleLbl="node1" presStyleIdx="3" presStyleCnt="5"/>
      <dgm:spPr/>
    </dgm:pt>
    <dgm:pt modelId="{1EB96C7C-09C8-44CD-B464-03600A2148B2}" type="pres">
      <dgm:prSet presAssocID="{AC70A1E3-048A-4AC4-9B4E-EC6E7530E2BB}" presName="parentText" presStyleLbl="node1" presStyleIdx="4" presStyleCnt="5">
        <dgm:presLayoutVars>
          <dgm:chMax val="0"/>
          <dgm:bulletEnabled val="1"/>
        </dgm:presLayoutVars>
      </dgm:prSet>
      <dgm:spPr/>
    </dgm:pt>
    <dgm:pt modelId="{A2BF293B-9636-4B9C-9595-5474C376A451}" type="pres">
      <dgm:prSet presAssocID="{AC70A1E3-048A-4AC4-9B4E-EC6E7530E2BB}" presName="negativeSpace" presStyleCnt="0"/>
      <dgm:spPr/>
    </dgm:pt>
    <dgm:pt modelId="{21D74230-2EDB-40E9-ADBB-3C94C2A4E047}" type="pres">
      <dgm:prSet presAssocID="{AC70A1E3-048A-4AC4-9B4E-EC6E7530E2BB}" presName="childText" presStyleLbl="conFgAcc1" presStyleIdx="4" presStyleCnt="5">
        <dgm:presLayoutVars>
          <dgm:bulletEnabled val="1"/>
        </dgm:presLayoutVars>
      </dgm:prSet>
      <dgm:spPr/>
    </dgm:pt>
  </dgm:ptLst>
  <dgm:cxnLst>
    <dgm:cxn modelId="{04244203-64E2-43AD-A78F-0074F87E8EA0}" type="presOf" srcId="{AC70A1E3-048A-4AC4-9B4E-EC6E7530E2BB}" destId="{77765727-2BD8-4EA9-8DCB-53F43E3ABD45}" srcOrd="0" destOrd="0" presId="urn:microsoft.com/office/officeart/2005/8/layout/list1"/>
    <dgm:cxn modelId="{7B2AF724-5649-4E51-A47F-820900953B1D}" type="presOf" srcId="{AC70A1E3-048A-4AC4-9B4E-EC6E7530E2BB}" destId="{1EB96C7C-09C8-44CD-B464-03600A2148B2}" srcOrd="1" destOrd="0" presId="urn:microsoft.com/office/officeart/2005/8/layout/list1"/>
    <dgm:cxn modelId="{F0592826-5A5B-4124-8943-864D71DB7398}" srcId="{D5402262-76CE-439D-98FB-52A4630DF36A}" destId="{70A813B0-A29C-429E-AE56-9C9D60DBC154}" srcOrd="0" destOrd="0" parTransId="{322EE001-3A4B-4948-886F-18E07001DA0E}" sibTransId="{605B1B2F-77C8-42EB-BC35-C2B8079183D7}"/>
    <dgm:cxn modelId="{C6C21334-023B-4470-A51C-7ECD719D101B}" srcId="{D5402262-76CE-439D-98FB-52A4630DF36A}" destId="{E190E900-A7DE-4CC6-BFCA-02FF8AFAC9FC}" srcOrd="3" destOrd="0" parTransId="{492298B5-A9E4-40CE-B3C0-E71BC9A76AE8}" sibTransId="{FFCBC8C8-8DA3-444C-B48D-8BBD218A1434}"/>
    <dgm:cxn modelId="{2905A13E-2C30-4458-BBF1-F5B21D5AFED6}" type="presOf" srcId="{61FB89FB-3AB6-4D82-8E19-8F49E1EBFA86}" destId="{DF76E6F2-64D7-4347-BEB1-A64873D86ADE}" srcOrd="0" destOrd="0" presId="urn:microsoft.com/office/officeart/2005/8/layout/list1"/>
    <dgm:cxn modelId="{FC6C8674-B88E-43D9-9FF9-CB556C513FD7}" type="presOf" srcId="{D5402262-76CE-439D-98FB-52A4630DF36A}" destId="{AB992777-0BF8-42BF-B2F8-444D81030E56}" srcOrd="0" destOrd="0" presId="urn:microsoft.com/office/officeart/2005/8/layout/list1"/>
    <dgm:cxn modelId="{34EC0756-4B81-4576-8E2C-A8F50EEB71E5}" type="presOf" srcId="{61FB89FB-3AB6-4D82-8E19-8F49E1EBFA86}" destId="{FF5BEA7C-5FB3-482D-BCB5-12EC325146DF}" srcOrd="1" destOrd="0" presId="urn:microsoft.com/office/officeart/2005/8/layout/list1"/>
    <dgm:cxn modelId="{A8D7B78B-2049-4DBE-8103-1693646081D6}" srcId="{D5402262-76CE-439D-98FB-52A4630DF36A}" destId="{61FB89FB-3AB6-4D82-8E19-8F49E1EBFA86}" srcOrd="1" destOrd="0" parTransId="{3D7CAA5F-19EA-4EEA-94F7-19C1B9B828BC}" sibTransId="{42DC84B5-2337-42A8-B49F-661B90BBFA83}"/>
    <dgm:cxn modelId="{CF65C0A9-ECCD-43D2-8AF0-205F2E00ED6C}" type="presOf" srcId="{CD35D65A-6949-4E27-89DD-ABD679A931EA}" destId="{F90749C1-B3D2-4F69-9F7D-D10A277267F6}" srcOrd="0" destOrd="0" presId="urn:microsoft.com/office/officeart/2005/8/layout/list1"/>
    <dgm:cxn modelId="{361B51AA-11EA-4DE9-B473-AC998780730F}" srcId="{D5402262-76CE-439D-98FB-52A4630DF36A}" destId="{AC70A1E3-048A-4AC4-9B4E-EC6E7530E2BB}" srcOrd="4" destOrd="0" parTransId="{04000DA8-0F9B-4AA2-B57B-A8B71607A6F1}" sibTransId="{A0A0BFE6-43B4-4259-9340-F8D2D5D132A4}"/>
    <dgm:cxn modelId="{73B3D1AC-2F67-45BA-95D1-2731F6FDCD70}" type="presOf" srcId="{CD35D65A-6949-4E27-89DD-ABD679A931EA}" destId="{8BF20B66-F9F0-4B12-951A-5535B89720F5}" srcOrd="1" destOrd="0" presId="urn:microsoft.com/office/officeart/2005/8/layout/list1"/>
    <dgm:cxn modelId="{2FC1F1AF-D2BF-4BBA-84D5-C46D43A17770}" type="presOf" srcId="{E190E900-A7DE-4CC6-BFCA-02FF8AFAC9FC}" destId="{3DFFC024-BEB3-471A-BAAD-51882BEA7C6E}" srcOrd="1" destOrd="0" presId="urn:microsoft.com/office/officeart/2005/8/layout/list1"/>
    <dgm:cxn modelId="{F2FF30C8-D612-4C9A-829E-63E53195CB41}" type="presOf" srcId="{70A813B0-A29C-429E-AE56-9C9D60DBC154}" destId="{CB659102-0027-415F-A925-CCD41124B87F}" srcOrd="1" destOrd="0" presId="urn:microsoft.com/office/officeart/2005/8/layout/list1"/>
    <dgm:cxn modelId="{EBF70CD3-5135-41F8-BA16-D3CA23D8CB58}" type="presOf" srcId="{E190E900-A7DE-4CC6-BFCA-02FF8AFAC9FC}" destId="{09EDE3BA-E07D-4082-88F7-6AA1FFF9B087}" srcOrd="0" destOrd="0" presId="urn:microsoft.com/office/officeart/2005/8/layout/list1"/>
    <dgm:cxn modelId="{4483CCE0-F1B8-4E22-9D7E-809AC9738A01}" srcId="{D5402262-76CE-439D-98FB-52A4630DF36A}" destId="{CD35D65A-6949-4E27-89DD-ABD679A931EA}" srcOrd="2" destOrd="0" parTransId="{EFECE46B-F7B9-4B51-9833-4708CB7D174B}" sibTransId="{ECF588FE-A13C-43A4-8B5A-8FB735F77ED7}"/>
    <dgm:cxn modelId="{0B1346FE-B920-464D-9079-5AAB2E8BA691}" type="presOf" srcId="{70A813B0-A29C-429E-AE56-9C9D60DBC154}" destId="{1AC7371F-7B9B-4CC4-8C06-90A49E53A13F}" srcOrd="0" destOrd="0" presId="urn:microsoft.com/office/officeart/2005/8/layout/list1"/>
    <dgm:cxn modelId="{EC8568FA-BCDC-414B-9502-3B698CDBA59F}" type="presParOf" srcId="{AB992777-0BF8-42BF-B2F8-444D81030E56}" destId="{4063FE12-CE5D-4B20-892A-1767575AAD49}" srcOrd="0" destOrd="0" presId="urn:microsoft.com/office/officeart/2005/8/layout/list1"/>
    <dgm:cxn modelId="{F2B6750B-0E20-4A9E-98A2-CFED8902501D}" type="presParOf" srcId="{4063FE12-CE5D-4B20-892A-1767575AAD49}" destId="{1AC7371F-7B9B-4CC4-8C06-90A49E53A13F}" srcOrd="0" destOrd="0" presId="urn:microsoft.com/office/officeart/2005/8/layout/list1"/>
    <dgm:cxn modelId="{89AD556C-903C-48B7-8ED9-BAC512865DAB}" type="presParOf" srcId="{4063FE12-CE5D-4B20-892A-1767575AAD49}" destId="{CB659102-0027-415F-A925-CCD41124B87F}" srcOrd="1" destOrd="0" presId="urn:microsoft.com/office/officeart/2005/8/layout/list1"/>
    <dgm:cxn modelId="{0EF49608-297E-4463-ADE9-37712DAD6638}" type="presParOf" srcId="{AB992777-0BF8-42BF-B2F8-444D81030E56}" destId="{A5E85D0B-32F4-4ECC-A093-BE215BD943DA}" srcOrd="1" destOrd="0" presId="urn:microsoft.com/office/officeart/2005/8/layout/list1"/>
    <dgm:cxn modelId="{87AF2679-9212-49D4-A1F8-74DD2E8099F2}" type="presParOf" srcId="{AB992777-0BF8-42BF-B2F8-444D81030E56}" destId="{0597D505-BA4F-4D00-88CD-DBB34A0DE524}" srcOrd="2" destOrd="0" presId="urn:microsoft.com/office/officeart/2005/8/layout/list1"/>
    <dgm:cxn modelId="{7550FA21-1355-4317-8ED8-7037E49C5A30}" type="presParOf" srcId="{AB992777-0BF8-42BF-B2F8-444D81030E56}" destId="{CF229287-B0A9-4998-9C60-483AE825ECB8}" srcOrd="3" destOrd="0" presId="urn:microsoft.com/office/officeart/2005/8/layout/list1"/>
    <dgm:cxn modelId="{C0E9A7D8-825D-43B6-BD29-4B4EAF31B9F4}" type="presParOf" srcId="{AB992777-0BF8-42BF-B2F8-444D81030E56}" destId="{EE5B17B8-155E-483D-90CD-935BD70748A8}" srcOrd="4" destOrd="0" presId="urn:microsoft.com/office/officeart/2005/8/layout/list1"/>
    <dgm:cxn modelId="{89BDAD77-3502-4A91-AF2F-C8F4F61A551B}" type="presParOf" srcId="{EE5B17B8-155E-483D-90CD-935BD70748A8}" destId="{DF76E6F2-64D7-4347-BEB1-A64873D86ADE}" srcOrd="0" destOrd="0" presId="urn:microsoft.com/office/officeart/2005/8/layout/list1"/>
    <dgm:cxn modelId="{9214B4D2-916D-4B3D-9C8C-37DEFCED904A}" type="presParOf" srcId="{EE5B17B8-155E-483D-90CD-935BD70748A8}" destId="{FF5BEA7C-5FB3-482D-BCB5-12EC325146DF}" srcOrd="1" destOrd="0" presId="urn:microsoft.com/office/officeart/2005/8/layout/list1"/>
    <dgm:cxn modelId="{7674CE64-1557-44D5-8589-A44B771BCAC5}" type="presParOf" srcId="{AB992777-0BF8-42BF-B2F8-444D81030E56}" destId="{9A2A2181-9432-4047-ABF8-16BDE55ECCD8}" srcOrd="5" destOrd="0" presId="urn:microsoft.com/office/officeart/2005/8/layout/list1"/>
    <dgm:cxn modelId="{9E51C768-2E40-4CFC-BD50-83D2580FD441}" type="presParOf" srcId="{AB992777-0BF8-42BF-B2F8-444D81030E56}" destId="{74CCA097-B8FD-4E30-BFF9-3A094070AD82}" srcOrd="6" destOrd="0" presId="urn:microsoft.com/office/officeart/2005/8/layout/list1"/>
    <dgm:cxn modelId="{D1560D50-4C05-4A27-93A1-2714F27CDD80}" type="presParOf" srcId="{AB992777-0BF8-42BF-B2F8-444D81030E56}" destId="{4E4B43CC-F4ED-4148-9E3C-E1804C127BC7}" srcOrd="7" destOrd="0" presId="urn:microsoft.com/office/officeart/2005/8/layout/list1"/>
    <dgm:cxn modelId="{3F47FF4E-A83B-4002-BB1D-CE760FF548C7}" type="presParOf" srcId="{AB992777-0BF8-42BF-B2F8-444D81030E56}" destId="{46D93A70-DED0-4935-B84B-42EA963399C8}" srcOrd="8" destOrd="0" presId="urn:microsoft.com/office/officeart/2005/8/layout/list1"/>
    <dgm:cxn modelId="{EE5A5A40-F42E-45AA-9636-ED318F720064}" type="presParOf" srcId="{46D93A70-DED0-4935-B84B-42EA963399C8}" destId="{F90749C1-B3D2-4F69-9F7D-D10A277267F6}" srcOrd="0" destOrd="0" presId="urn:microsoft.com/office/officeart/2005/8/layout/list1"/>
    <dgm:cxn modelId="{76965F02-12F6-44FA-BE94-7FAA57241E17}" type="presParOf" srcId="{46D93A70-DED0-4935-B84B-42EA963399C8}" destId="{8BF20B66-F9F0-4B12-951A-5535B89720F5}" srcOrd="1" destOrd="0" presId="urn:microsoft.com/office/officeart/2005/8/layout/list1"/>
    <dgm:cxn modelId="{716406B6-2A51-4CD9-81C2-A05DE8EE2995}" type="presParOf" srcId="{AB992777-0BF8-42BF-B2F8-444D81030E56}" destId="{6336AB33-13FB-4434-915A-0DA466F9EA71}" srcOrd="9" destOrd="0" presId="urn:microsoft.com/office/officeart/2005/8/layout/list1"/>
    <dgm:cxn modelId="{05EB5EF9-55B5-4621-8BA6-817FE4BBD70E}" type="presParOf" srcId="{AB992777-0BF8-42BF-B2F8-444D81030E56}" destId="{492CA18B-BB2C-4C58-9D39-78D8C7727378}" srcOrd="10" destOrd="0" presId="urn:microsoft.com/office/officeart/2005/8/layout/list1"/>
    <dgm:cxn modelId="{B0116314-33D3-4835-AD60-FED041DF95CC}" type="presParOf" srcId="{AB992777-0BF8-42BF-B2F8-444D81030E56}" destId="{E79364C6-34B3-4B65-8D35-A11D066CFECC}" srcOrd="11" destOrd="0" presId="urn:microsoft.com/office/officeart/2005/8/layout/list1"/>
    <dgm:cxn modelId="{2ADC06C5-EA4B-48F1-A2BF-868490655052}" type="presParOf" srcId="{AB992777-0BF8-42BF-B2F8-444D81030E56}" destId="{C342589D-16C1-49C2-88EE-E27F10ACB8BE}" srcOrd="12" destOrd="0" presId="urn:microsoft.com/office/officeart/2005/8/layout/list1"/>
    <dgm:cxn modelId="{42A82289-0CB9-4441-AC13-A58DDE848421}" type="presParOf" srcId="{C342589D-16C1-49C2-88EE-E27F10ACB8BE}" destId="{09EDE3BA-E07D-4082-88F7-6AA1FFF9B087}" srcOrd="0" destOrd="0" presId="urn:microsoft.com/office/officeart/2005/8/layout/list1"/>
    <dgm:cxn modelId="{E44671C3-456F-4E87-B7BE-B43F5D504935}" type="presParOf" srcId="{C342589D-16C1-49C2-88EE-E27F10ACB8BE}" destId="{3DFFC024-BEB3-471A-BAAD-51882BEA7C6E}" srcOrd="1" destOrd="0" presId="urn:microsoft.com/office/officeart/2005/8/layout/list1"/>
    <dgm:cxn modelId="{4AE606AD-7020-42E2-BF96-1A741AA7CFB2}" type="presParOf" srcId="{AB992777-0BF8-42BF-B2F8-444D81030E56}" destId="{13803B85-AC5E-4808-BECB-B7C835D61A7F}" srcOrd="13" destOrd="0" presId="urn:microsoft.com/office/officeart/2005/8/layout/list1"/>
    <dgm:cxn modelId="{185FCA4B-601E-4DB4-A9FE-8D33F101B312}" type="presParOf" srcId="{AB992777-0BF8-42BF-B2F8-444D81030E56}" destId="{AFCC7078-ECB9-4C9F-A9E8-A4DC16031B29}" srcOrd="14" destOrd="0" presId="urn:microsoft.com/office/officeart/2005/8/layout/list1"/>
    <dgm:cxn modelId="{EBA8D282-E839-4871-AA02-1FB0566936CA}" type="presParOf" srcId="{AB992777-0BF8-42BF-B2F8-444D81030E56}" destId="{4BB30095-2468-4D78-A96B-38B79A70284E}" srcOrd="15" destOrd="0" presId="urn:microsoft.com/office/officeart/2005/8/layout/list1"/>
    <dgm:cxn modelId="{A0142340-71BF-4DBF-8A4A-B76F613A5C7E}" type="presParOf" srcId="{AB992777-0BF8-42BF-B2F8-444D81030E56}" destId="{D4F9F1F4-60FA-4CB6-9592-63EF3388892D}" srcOrd="16" destOrd="0" presId="urn:microsoft.com/office/officeart/2005/8/layout/list1"/>
    <dgm:cxn modelId="{D21220C7-05E0-459C-BE6B-8BECF3657917}" type="presParOf" srcId="{D4F9F1F4-60FA-4CB6-9592-63EF3388892D}" destId="{77765727-2BD8-4EA9-8DCB-53F43E3ABD45}" srcOrd="0" destOrd="0" presId="urn:microsoft.com/office/officeart/2005/8/layout/list1"/>
    <dgm:cxn modelId="{9AEBAED5-FCF3-4E43-93B5-14F27B6AA33C}" type="presParOf" srcId="{D4F9F1F4-60FA-4CB6-9592-63EF3388892D}" destId="{1EB96C7C-09C8-44CD-B464-03600A2148B2}" srcOrd="1" destOrd="0" presId="urn:microsoft.com/office/officeart/2005/8/layout/list1"/>
    <dgm:cxn modelId="{8E58ED30-DD64-4619-AA03-E10091599ADC}" type="presParOf" srcId="{AB992777-0BF8-42BF-B2F8-444D81030E56}" destId="{A2BF293B-9636-4B9C-9595-5474C376A451}" srcOrd="17" destOrd="0" presId="urn:microsoft.com/office/officeart/2005/8/layout/list1"/>
    <dgm:cxn modelId="{0912B3AB-FAFB-458E-9239-2169A72152EF}" type="presParOf" srcId="{AB992777-0BF8-42BF-B2F8-444D81030E56}" destId="{21D74230-2EDB-40E9-ADBB-3C94C2A4E047}" srcOrd="18" destOrd="0" presId="urn:microsoft.com/office/officeart/2005/8/layout/lis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597D505-BA4F-4D00-88CD-DBB34A0DE524}">
      <dsp:nvSpPr>
        <dsp:cNvPr id="0" name=""/>
        <dsp:cNvSpPr/>
      </dsp:nvSpPr>
      <dsp:spPr>
        <a:xfrm>
          <a:off x="0" y="271809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B659102-0027-415F-A925-CCD41124B87F}">
      <dsp:nvSpPr>
        <dsp:cNvPr id="0" name=""/>
        <dsp:cNvSpPr/>
      </dsp:nvSpPr>
      <dsp:spPr>
        <a:xfrm>
          <a:off x="228600" y="109449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25301"/>
        <a:ext cx="3168696" cy="293016"/>
      </dsp:txXfrm>
    </dsp:sp>
    <dsp:sp modelId="{74CCA097-B8FD-4E30-BFF9-3A094070AD82}">
      <dsp:nvSpPr>
        <dsp:cNvPr id="0" name=""/>
        <dsp:cNvSpPr/>
      </dsp:nvSpPr>
      <dsp:spPr>
        <a:xfrm>
          <a:off x="0" y="770769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FF5BEA7C-5FB3-482D-BCB5-12EC325146DF}">
      <dsp:nvSpPr>
        <dsp:cNvPr id="0" name=""/>
        <dsp:cNvSpPr/>
      </dsp:nvSpPr>
      <dsp:spPr>
        <a:xfrm>
          <a:off x="228600" y="60841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b="1" i="0" kern="1200"/>
            <a:t>VC-765kV MKTL'!A1</a:t>
          </a:r>
          <a:endParaRPr lang="en-US" sz="1100" kern="1200"/>
        </a:p>
      </dsp:txBody>
      <dsp:txXfrm>
        <a:off x="244452" y="624262"/>
        <a:ext cx="3168696" cy="293016"/>
      </dsp:txXfrm>
    </dsp:sp>
    <dsp:sp modelId="{492CA18B-BB2C-4C58-9D39-78D8C7727378}">
      <dsp:nvSpPr>
        <dsp:cNvPr id="0" name=""/>
        <dsp:cNvSpPr/>
      </dsp:nvSpPr>
      <dsp:spPr>
        <a:xfrm>
          <a:off x="0" y="126973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BF20B66-F9F0-4B12-951A-5535B89720F5}">
      <dsp:nvSpPr>
        <dsp:cNvPr id="0" name=""/>
        <dsp:cNvSpPr/>
      </dsp:nvSpPr>
      <dsp:spPr>
        <a:xfrm>
          <a:off x="228600" y="110737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123222"/>
        <a:ext cx="3168696" cy="293016"/>
      </dsp:txXfrm>
    </dsp:sp>
    <dsp:sp modelId="{AFCC7078-ECB9-4C9F-A9E8-A4DC16031B29}">
      <dsp:nvSpPr>
        <dsp:cNvPr id="0" name=""/>
        <dsp:cNvSpPr/>
      </dsp:nvSpPr>
      <dsp:spPr>
        <a:xfrm>
          <a:off x="0" y="176869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DFFC024-BEB3-471A-BAAD-51882BEA7C6E}">
      <dsp:nvSpPr>
        <dsp:cNvPr id="0" name=""/>
        <dsp:cNvSpPr/>
      </dsp:nvSpPr>
      <dsp:spPr>
        <a:xfrm>
          <a:off x="228600" y="160633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622182"/>
        <a:ext cx="3168696" cy="293016"/>
      </dsp:txXfrm>
    </dsp:sp>
    <dsp:sp modelId="{21D74230-2EDB-40E9-ADBB-3C94C2A4E047}">
      <dsp:nvSpPr>
        <dsp:cNvPr id="0" name=""/>
        <dsp:cNvSpPr/>
      </dsp:nvSpPr>
      <dsp:spPr>
        <a:xfrm>
          <a:off x="0" y="226765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1EB96C7C-09C8-44CD-B464-03600A2148B2}">
      <dsp:nvSpPr>
        <dsp:cNvPr id="0" name=""/>
        <dsp:cNvSpPr/>
      </dsp:nvSpPr>
      <dsp:spPr>
        <a:xfrm>
          <a:off x="228600" y="210529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2121142"/>
        <a:ext cx="3168696" cy="29301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ist1">
  <dgm:title val=""/>
  <dgm:desc val=""/>
  <dgm:catLst>
    <dgm:cat type="list" pri="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animLvl val="lvl"/>
      <dgm:resizeHandles val="exact"/>
    </dgm:varLst>
    <dgm:choose name="Name0">
      <dgm:if name="Name1" func="var" arg="dir" op="equ" val="norm">
        <dgm:alg type="lin">
          <dgm:param type="linDir" val="fromT"/>
          <dgm:param type="vertAlign" val="mid"/>
          <dgm:param type="horzAlign" val="l"/>
          <dgm:param type="nodeHorzAlign" val="l"/>
        </dgm:alg>
      </dgm:if>
      <dgm:else name="Name2">
        <dgm:alg type="lin">
          <dgm:param type="linDir" val="fromT"/>
          <dgm:param type="vertAlign" val="mid"/>
          <dgm:param type="horzAlign" val="r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parentLin" refType="w"/>
      <dgm:constr type="h" for="ch" forName="parentLin" val="INF"/>
      <dgm:constr type="w" for="des" forName="parentLeftMargin" refType="w" fact="0.05"/>
      <dgm:constr type="w" for="des" forName="parentText" refType="w" fact="0.7"/>
      <dgm:constr type="h" for="des" forName="parentText" refType="primFontSz" refFor="des" refForName="parentText" fact="0.82"/>
      <dgm:constr type="h" for="ch" forName="negativeSpace" refType="primFontSz" refFor="des" refForName="parentText" fact="-0.41"/>
      <dgm:constr type="h" for="ch" forName="negativeSpace" refType="h" refFor="des" refForName="parentText" op="lte" fact="-0.82"/>
      <dgm:constr type="h" for="ch" forName="negativeSpace" refType="h" refFor="des" refForName="parentText" op="gte" fact="-0.82"/>
      <dgm:constr type="w" for="ch" forName="childText" refType="w"/>
      <dgm:constr type="h" for="ch" forName="childText" refType="primFontSz" refFor="des" refForName="parentText" fact="0.7"/>
      <dgm:constr type="primFontSz" for="des" forName="parentText" val="65"/>
      <dgm:constr type="primFontSz" for="ch" forName="childText" refType="primFontSz" refFor="des" refForName="parentText"/>
      <dgm:constr type="tMarg" for="ch" forName="childText" refType="primFontSz" refFor="des" refForName="parentText" fact="1.64"/>
      <dgm:constr type="tMarg" for="ch" forName="childText" refType="h" refFor="des" refForName="parentText" op="lte" fact="3.28"/>
      <dgm:constr type="tMarg" for="ch" forName="childText" refType="h" refFor="des" refForName="parentText" op="gte" fact="3.28"/>
      <dgm:constr type="lMarg" for="ch" forName="childText" refType="w" fact="0.22"/>
      <dgm:constr type="rMarg" for="ch" forName="childText" refType="lMarg" refFor="ch" refForName="childText"/>
      <dgm:constr type="lMarg" for="des" forName="parentText" refType="w" fact="0.075"/>
      <dgm:constr type="rMarg" for="des" forName="parentText" refType="lMarg" refFor="des" refForName="parentText"/>
      <dgm:constr type="h" for="ch" forName="spaceBetweenRectangles" refType="primFontSz" refFor="des" refForName="parentText" fact="0.15"/>
    </dgm:constrLst>
    <dgm:ruleLst>
      <dgm:rule type="primFontSz" for="des" forName="parentText" val="5" fact="NaN" max="NaN"/>
    </dgm:ruleLst>
    <dgm:forEach name="Name3" axis="ch" ptType="node">
      <dgm:layoutNode name="parentLin">
        <dgm:choose name="Name4">
          <dgm:if name="Name5" func="var" arg="dir" op="equ" val="norm">
            <dgm:alg type="lin">
              <dgm:param type="linDir" val="fromL"/>
              <dgm:param type="horzAlign" val="l"/>
              <dgm:param type="nodeHorzAlign" val="l"/>
            </dgm:alg>
          </dgm:if>
          <dgm:else name="Name6">
            <dgm:alg type="lin">
              <dgm:param type="linDir" val="fromR"/>
              <dgm:param type="horzAlign" val="r"/>
              <dgm:param type="nodeHorz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parentLeftMargin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h"/>
          </dgm:constrLst>
          <dgm:ruleLst/>
        </dgm:layoutNode>
        <dgm:layoutNode name="parentText" styleLbl="node1">
          <dgm:varLst>
            <dgm:chMax val="0"/>
            <dgm:bulletEnabled val="1"/>
          </dgm:varLst>
          <dgm:choose name="Name7">
            <dgm:if name="Name8" func="var" arg="dir" op="equ" val="norm">
              <dgm:alg type="tx">
                <dgm:param type="parTxLTRAlign" val="l"/>
                <dgm:param type="parTxRTLAlign" val="l"/>
              </dgm:alg>
            </dgm:if>
            <dgm:else name="Name9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/>
            <dgm:constr type="bMarg"/>
          </dgm:constrLst>
          <dgm:ruleLst/>
        </dgm:layoutNode>
      </dgm:layoutNode>
      <dgm:layoutNode name="negative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childText" styleLbl="conFgAcc1">
        <dgm:varLst>
          <dgm:bulletEnabled val="1"/>
        </dgm:varLst>
        <dgm:alg type="tx">
          <dgm:param type="stBulletLvl" val="1"/>
        </dgm:alg>
        <dgm:shape xmlns:r="http://schemas.openxmlformats.org/officeDocument/2006/relationships" type="rect" r:blip="" zOrderOff="-2">
          <dgm:adjLst/>
        </dgm:shape>
        <dgm:presOf axis="des" ptType="node"/>
        <dgm:constrLst>
          <dgm:constr type="secFontSz" refType="primFontSz"/>
        </dgm:constrLst>
        <dgm:ruleLst>
          <dgm:rule type="h" val="INF" fact="NaN" max="NaN"/>
        </dgm:ruleLst>
      </dgm:layoutNode>
      <dgm:forEach name="Name10" axis="followSib" ptType="sibTrans" cnt="1">
        <dgm:layoutNode name="spaceBetweenRectangle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A1B0C5D3-C834-490D-A192-5DD440D0ED13}"/>
            </a:ext>
          </a:extLst>
        </xdr:cNvPr>
        <xdr:cNvSpPr/>
      </xdr:nvSpPr>
      <xdr:spPr>
        <a:xfrm>
          <a:off x="7467270" y="6540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8845DFAC-9A48-4F9A-8FC6-50A8D76FBF20}"/>
            </a:ext>
          </a:extLst>
        </xdr:cNvPr>
        <xdr:cNvSpPr/>
      </xdr:nvSpPr>
      <xdr:spPr>
        <a:xfrm>
          <a:off x="6544733" y="675217"/>
          <a:ext cx="550658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5E673D39-3BEC-448C-A425-9C1D6B04FF9F}"/>
            </a:ext>
          </a:extLst>
        </xdr:cNvPr>
        <xdr:cNvSpPr/>
      </xdr:nvSpPr>
      <xdr:spPr>
        <a:xfrm>
          <a:off x="9594850" y="685800"/>
          <a:ext cx="5231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C51828B-9D84-46C7-9986-892D475850DE}"/>
            </a:ext>
          </a:extLst>
        </xdr:cNvPr>
        <xdr:cNvSpPr/>
      </xdr:nvSpPr>
      <xdr:spPr>
        <a:xfrm>
          <a:off x="105600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DC4D1658-84C8-4328-A35D-9577CEAA2641}"/>
            </a:ext>
          </a:extLst>
        </xdr:cNvPr>
        <xdr:cNvSpPr/>
      </xdr:nvSpPr>
      <xdr:spPr>
        <a:xfrm>
          <a:off x="11703050" y="6858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FAEB5468-93A0-42EA-8A4B-5D948CBADF62}"/>
            </a:ext>
          </a:extLst>
        </xdr:cNvPr>
        <xdr:cNvSpPr/>
      </xdr:nvSpPr>
      <xdr:spPr>
        <a:xfrm>
          <a:off x="12655550" y="673894"/>
          <a:ext cx="51679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ECA71585-6D65-416F-9F67-A4A5753F3EE3}"/>
            </a:ext>
          </a:extLst>
        </xdr:cNvPr>
        <xdr:cNvSpPr/>
      </xdr:nvSpPr>
      <xdr:spPr>
        <a:xfrm>
          <a:off x="1170305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56EA8ED-2287-46A9-B4A4-1A1C015B5CD1}"/>
            </a:ext>
          </a:extLst>
        </xdr:cNvPr>
        <xdr:cNvSpPr/>
      </xdr:nvSpPr>
      <xdr:spPr>
        <a:xfrm>
          <a:off x="1056005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7D6F7066-3C15-4A0A-93A3-E5254D302D8B}"/>
            </a:ext>
          </a:extLst>
        </xdr:cNvPr>
        <xdr:cNvSpPr/>
      </xdr:nvSpPr>
      <xdr:spPr>
        <a:xfrm>
          <a:off x="8559800" y="2138074"/>
          <a:ext cx="535842" cy="3546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E9F1E614-AA26-44A2-9CFE-3000EC9FF2C4}"/>
            </a:ext>
          </a:extLst>
        </xdr:cNvPr>
        <xdr:cNvSpPr/>
      </xdr:nvSpPr>
      <xdr:spPr>
        <a:xfrm>
          <a:off x="74549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12</xdr:row>
      <xdr:rowOff>1744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96B0677-C4ED-4431-A214-0D127533EF11}"/>
            </a:ext>
          </a:extLst>
        </xdr:cNvPr>
        <xdr:cNvSpPr/>
      </xdr:nvSpPr>
      <xdr:spPr>
        <a:xfrm>
          <a:off x="6534150" y="2127250"/>
          <a:ext cx="535842" cy="37004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21E39222-F9AD-4C7C-841E-7E08FD9CD1DD}"/>
            </a:ext>
          </a:extLst>
        </xdr:cNvPr>
        <xdr:cNvSpPr/>
      </xdr:nvSpPr>
      <xdr:spPr>
        <a:xfrm>
          <a:off x="466090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926736EC-D494-4598-944F-0D81F0472F1F}"/>
            </a:ext>
          </a:extLst>
        </xdr:cNvPr>
        <xdr:cNvSpPr/>
      </xdr:nvSpPr>
      <xdr:spPr>
        <a:xfrm>
          <a:off x="653415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F3DDF28D-F998-4EF2-B8A8-605B40EA291A}"/>
            </a:ext>
          </a:extLst>
        </xdr:cNvPr>
        <xdr:cNvSpPr/>
      </xdr:nvSpPr>
      <xdr:spPr>
        <a:xfrm>
          <a:off x="9594850" y="36004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193AE774-7D12-46DC-83C6-406FC1B94E57}"/>
            </a:ext>
          </a:extLst>
        </xdr:cNvPr>
        <xdr:cNvSpPr/>
      </xdr:nvSpPr>
      <xdr:spPr>
        <a:xfrm>
          <a:off x="267970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F1869C66-E722-40E5-9E0A-0253B5BD3849}"/>
            </a:ext>
          </a:extLst>
        </xdr:cNvPr>
        <xdr:cNvSpPr/>
      </xdr:nvSpPr>
      <xdr:spPr>
        <a:xfrm>
          <a:off x="6413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57803DCA-2166-4CAF-B437-6CED77B47A30}"/>
            </a:ext>
          </a:extLst>
        </xdr:cNvPr>
        <xdr:cNvSpPr/>
      </xdr:nvSpPr>
      <xdr:spPr>
        <a:xfrm>
          <a:off x="1631950" y="507365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62D19C89-50DD-4B04-9E96-9A92268D424D}"/>
            </a:ext>
          </a:extLst>
        </xdr:cNvPr>
        <xdr:cNvSpPr/>
      </xdr:nvSpPr>
      <xdr:spPr>
        <a:xfrm>
          <a:off x="2679700" y="50736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256442</xdr:colOff>
      <xdr:row>27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583A3124-BC1E-4C4A-A244-EC1D2E5BAFE8}"/>
            </a:ext>
          </a:extLst>
        </xdr:cNvPr>
        <xdr:cNvSpPr/>
      </xdr:nvSpPr>
      <xdr:spPr>
        <a:xfrm>
          <a:off x="46609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AC1A384-CE88-4FF2-BB45-C532F559E166}"/>
            </a:ext>
          </a:extLst>
        </xdr:cNvPr>
        <xdr:cNvSpPr/>
      </xdr:nvSpPr>
      <xdr:spPr>
        <a:xfrm>
          <a:off x="6534150" y="50736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FE5169BE-D37A-477C-BFAE-6B2D66A3D49E}"/>
            </a:ext>
          </a:extLst>
        </xdr:cNvPr>
        <xdr:cNvSpPr/>
      </xdr:nvSpPr>
      <xdr:spPr>
        <a:xfrm>
          <a:off x="74549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906051BC-A301-4871-A388-328C834BE0E3}"/>
            </a:ext>
          </a:extLst>
        </xdr:cNvPr>
        <xdr:cNvSpPr/>
      </xdr:nvSpPr>
      <xdr:spPr>
        <a:xfrm>
          <a:off x="1170305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97DE1AAE-B15B-4373-858F-7BD6DAA2AD04}"/>
            </a:ext>
          </a:extLst>
        </xdr:cNvPr>
        <xdr:cNvSpPr/>
      </xdr:nvSpPr>
      <xdr:spPr>
        <a:xfrm>
          <a:off x="12655550" y="507365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3DDBF4A-785F-4723-9A00-741B5C6392E7}"/>
            </a:ext>
          </a:extLst>
        </xdr:cNvPr>
        <xdr:cNvSpPr/>
      </xdr:nvSpPr>
      <xdr:spPr>
        <a:xfrm>
          <a:off x="64135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55ECB79B-40D3-4FD1-AF04-DEF82EC98E1C}"/>
            </a:ext>
          </a:extLst>
        </xdr:cNvPr>
        <xdr:cNvSpPr/>
      </xdr:nvSpPr>
      <xdr:spPr>
        <a:xfrm>
          <a:off x="466090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462E7F4E-4830-4425-B26B-DD03127B5612}"/>
            </a:ext>
          </a:extLst>
        </xdr:cNvPr>
        <xdr:cNvSpPr/>
      </xdr:nvSpPr>
      <xdr:spPr>
        <a:xfrm>
          <a:off x="65341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A45D714C-3AF3-48D9-A471-3C97F4D99C39}"/>
            </a:ext>
          </a:extLst>
        </xdr:cNvPr>
        <xdr:cNvSpPr/>
      </xdr:nvSpPr>
      <xdr:spPr>
        <a:xfrm>
          <a:off x="745490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6E4B3B0-D66B-41F9-96B5-5761C79EC027}"/>
            </a:ext>
          </a:extLst>
        </xdr:cNvPr>
        <xdr:cNvSpPr/>
      </xdr:nvSpPr>
      <xdr:spPr>
        <a:xfrm>
          <a:off x="1170305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25DABA48-0C96-465A-9A03-376454FA40FB}"/>
            </a:ext>
          </a:extLst>
        </xdr:cNvPr>
        <xdr:cNvSpPr/>
      </xdr:nvSpPr>
      <xdr:spPr>
        <a:xfrm>
          <a:off x="12655550" y="65532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F5D9AF4-D8FC-47C9-9E76-A08AEB523083}"/>
            </a:ext>
          </a:extLst>
        </xdr:cNvPr>
        <xdr:cNvSpPr/>
      </xdr:nvSpPr>
      <xdr:spPr>
        <a:xfrm>
          <a:off x="13703300" y="65532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194387</xdr:rowOff>
    </xdr:from>
    <xdr:to>
      <xdr:col>6</xdr:col>
      <xdr:colOff>0</xdr:colOff>
      <xdr:row>43</xdr:row>
      <xdr:rowOff>194386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F52626E9-7A69-41CC-8132-747610B841C9}"/>
            </a:ext>
          </a:extLst>
        </xdr:cNvPr>
        <xdr:cNvSpPr/>
      </xdr:nvSpPr>
      <xdr:spPr>
        <a:xfrm>
          <a:off x="1631950" y="8023937"/>
          <a:ext cx="558800" cy="3682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18</xdr:col>
      <xdr:colOff>0</xdr:colOff>
      <xdr:row>44</xdr:row>
      <xdr:rowOff>0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90F26146-F840-44B4-9AED-9C2BDC4DD365}"/>
            </a:ext>
          </a:extLst>
        </xdr:cNvPr>
        <xdr:cNvSpPr/>
      </xdr:nvSpPr>
      <xdr:spPr>
        <a:xfrm>
          <a:off x="5568950" y="8026400"/>
          <a:ext cx="558800" cy="3683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24E86A7A-0CA7-404F-905E-53F1496BC744}"/>
            </a:ext>
          </a:extLst>
        </xdr:cNvPr>
        <xdr:cNvSpPr/>
      </xdr:nvSpPr>
      <xdr:spPr>
        <a:xfrm>
          <a:off x="10560050" y="80264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1699A076-ABC9-4E17-9147-64FD7B10BA2C}"/>
            </a:ext>
          </a:extLst>
        </xdr:cNvPr>
        <xdr:cNvSpPr/>
      </xdr:nvSpPr>
      <xdr:spPr>
        <a:xfrm>
          <a:off x="12655550" y="80264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219F3124-02F9-4D15-B6DC-BD5874765020}"/>
            </a:ext>
          </a:extLst>
        </xdr:cNvPr>
        <xdr:cNvSpPr/>
      </xdr:nvSpPr>
      <xdr:spPr>
        <a:xfrm>
          <a:off x="13703300" y="80264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39782081-B05D-48B9-85CD-5787FB61AFFC}"/>
            </a:ext>
          </a:extLst>
        </xdr:cNvPr>
        <xdr:cNvSpPr/>
      </xdr:nvSpPr>
      <xdr:spPr>
        <a:xfrm>
          <a:off x="6413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EEAA889A-9FD3-4FBF-8449-56619AB74529}"/>
            </a:ext>
          </a:extLst>
        </xdr:cNvPr>
        <xdr:cNvSpPr/>
      </xdr:nvSpPr>
      <xdr:spPr>
        <a:xfrm>
          <a:off x="1631950" y="94996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256442</xdr:colOff>
      <xdr:row>51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A534D8C7-2408-4F97-AC1D-81797A8494D2}"/>
            </a:ext>
          </a:extLst>
        </xdr:cNvPr>
        <xdr:cNvSpPr/>
      </xdr:nvSpPr>
      <xdr:spPr>
        <a:xfrm>
          <a:off x="65341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9B34F04A-9C62-47B3-BBA2-3F7016029649}"/>
            </a:ext>
          </a:extLst>
        </xdr:cNvPr>
        <xdr:cNvSpPr/>
      </xdr:nvSpPr>
      <xdr:spPr>
        <a:xfrm>
          <a:off x="7454900" y="94996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DE12B630-CEAE-47E4-A5FD-F0014A7231EC}"/>
            </a:ext>
          </a:extLst>
        </xdr:cNvPr>
        <xdr:cNvSpPr/>
      </xdr:nvSpPr>
      <xdr:spPr>
        <a:xfrm>
          <a:off x="8559800" y="94996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9B0B1F-2E66-4B6D-B286-F427BCD7BE4E}"/>
            </a:ext>
          </a:extLst>
        </xdr:cNvPr>
        <xdr:cNvSpPr/>
      </xdr:nvSpPr>
      <xdr:spPr>
        <a:xfrm>
          <a:off x="10560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F025C88-3ED7-48AA-B42A-09BA347DB593}"/>
            </a:ext>
          </a:extLst>
        </xdr:cNvPr>
        <xdr:cNvSpPr/>
      </xdr:nvSpPr>
      <xdr:spPr>
        <a:xfrm>
          <a:off x="11703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95861B0F-2F9A-42EE-8D53-FD3C16B35819}"/>
            </a:ext>
          </a:extLst>
        </xdr:cNvPr>
        <xdr:cNvSpPr/>
      </xdr:nvSpPr>
      <xdr:spPr>
        <a:xfrm>
          <a:off x="6413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949CAD14-C248-408F-B06E-79BDAE128267}"/>
            </a:ext>
          </a:extLst>
        </xdr:cNvPr>
        <xdr:cNvSpPr/>
      </xdr:nvSpPr>
      <xdr:spPr>
        <a:xfrm>
          <a:off x="1631950" y="10979150"/>
          <a:ext cx="56738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4E86024F-9752-45D2-9C09-5CAD74CCF5AB}"/>
            </a:ext>
          </a:extLst>
        </xdr:cNvPr>
        <xdr:cNvSpPr/>
      </xdr:nvSpPr>
      <xdr:spPr>
        <a:xfrm>
          <a:off x="26797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F53EA71C-D868-4FA8-BEDE-5A9A44BB461B}"/>
            </a:ext>
          </a:extLst>
        </xdr:cNvPr>
        <xdr:cNvSpPr/>
      </xdr:nvSpPr>
      <xdr:spPr>
        <a:xfrm>
          <a:off x="37147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B4E1906A-DE32-4B83-8D66-7577A1C87B47}"/>
            </a:ext>
          </a:extLst>
        </xdr:cNvPr>
        <xdr:cNvSpPr/>
      </xdr:nvSpPr>
      <xdr:spPr>
        <a:xfrm>
          <a:off x="55689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1A2DFBC6-CE6B-4728-A83E-A3845359D206}"/>
            </a:ext>
          </a:extLst>
        </xdr:cNvPr>
        <xdr:cNvSpPr/>
      </xdr:nvSpPr>
      <xdr:spPr>
        <a:xfrm>
          <a:off x="74549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791FA02E-271F-4AE0-8812-5E5D98786F83}"/>
            </a:ext>
          </a:extLst>
        </xdr:cNvPr>
        <xdr:cNvSpPr/>
      </xdr:nvSpPr>
      <xdr:spPr>
        <a:xfrm>
          <a:off x="85598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E75D9F84-B9E4-4211-8955-B205A1CEE7B4}"/>
            </a:ext>
          </a:extLst>
        </xdr:cNvPr>
        <xdr:cNvSpPr/>
      </xdr:nvSpPr>
      <xdr:spPr>
        <a:xfrm>
          <a:off x="9594850" y="109791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BE396A57-9E65-420D-B53E-F69DF09A5E73}"/>
            </a:ext>
          </a:extLst>
        </xdr:cNvPr>
        <xdr:cNvSpPr/>
      </xdr:nvSpPr>
      <xdr:spPr>
        <a:xfrm>
          <a:off x="105600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646E32-4561-4C48-BE86-B6A9877985C2}"/>
            </a:ext>
          </a:extLst>
        </xdr:cNvPr>
        <xdr:cNvSpPr/>
      </xdr:nvSpPr>
      <xdr:spPr>
        <a:xfrm>
          <a:off x="117030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2E1442FC-C56C-4E2A-809F-E974FAF77E46}"/>
            </a:ext>
          </a:extLst>
        </xdr:cNvPr>
        <xdr:cNvSpPr/>
      </xdr:nvSpPr>
      <xdr:spPr>
        <a:xfrm>
          <a:off x="12655550" y="109791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D4976882-D471-494F-B0BD-E4DBCBBD090C}"/>
            </a:ext>
          </a:extLst>
        </xdr:cNvPr>
        <xdr:cNvSpPr/>
      </xdr:nvSpPr>
      <xdr:spPr>
        <a:xfrm>
          <a:off x="13703300" y="109791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8BE5A22-0A60-4347-B03C-EB116E0C3962}"/>
            </a:ext>
          </a:extLst>
        </xdr:cNvPr>
        <xdr:cNvSpPr/>
      </xdr:nvSpPr>
      <xdr:spPr>
        <a:xfrm>
          <a:off x="6413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3BB28201-99A1-4ACA-96B9-9AE2DC7EEA15}"/>
            </a:ext>
          </a:extLst>
        </xdr:cNvPr>
        <xdr:cNvSpPr/>
      </xdr:nvSpPr>
      <xdr:spPr>
        <a:xfrm>
          <a:off x="371475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64E585C3-53D6-4112-BACD-BA9711C9A63A}"/>
            </a:ext>
          </a:extLst>
        </xdr:cNvPr>
        <xdr:cNvSpPr/>
      </xdr:nvSpPr>
      <xdr:spPr>
        <a:xfrm>
          <a:off x="466090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CFA3DC5B-C067-410E-A027-A2B0CE8A950D}"/>
            </a:ext>
          </a:extLst>
        </xdr:cNvPr>
        <xdr:cNvSpPr/>
      </xdr:nvSpPr>
      <xdr:spPr>
        <a:xfrm>
          <a:off x="556895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302F12E-F827-42A4-B9C6-7140D574D361}"/>
            </a:ext>
          </a:extLst>
        </xdr:cNvPr>
        <xdr:cNvSpPr/>
      </xdr:nvSpPr>
      <xdr:spPr>
        <a:xfrm>
          <a:off x="65341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BA0CC7F-330A-43F6-856A-1C80146A765D}"/>
            </a:ext>
          </a:extLst>
        </xdr:cNvPr>
        <xdr:cNvSpPr/>
      </xdr:nvSpPr>
      <xdr:spPr>
        <a:xfrm>
          <a:off x="74549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3725393F-D438-4C66-98DB-EC9BE85C1DFB}"/>
            </a:ext>
          </a:extLst>
        </xdr:cNvPr>
        <xdr:cNvSpPr/>
      </xdr:nvSpPr>
      <xdr:spPr>
        <a:xfrm>
          <a:off x="85598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106275C6-66C1-4EF9-B353-E14E81B35275}"/>
            </a:ext>
          </a:extLst>
        </xdr:cNvPr>
        <xdr:cNvSpPr/>
      </xdr:nvSpPr>
      <xdr:spPr>
        <a:xfrm>
          <a:off x="9594850" y="124523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D56099F4-2FE9-44BF-8587-93B36C9C2269}"/>
            </a:ext>
          </a:extLst>
        </xdr:cNvPr>
        <xdr:cNvSpPr/>
      </xdr:nvSpPr>
      <xdr:spPr>
        <a:xfrm>
          <a:off x="1056005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E6FFB4C7-6006-4138-8A84-42479750BE4C}"/>
            </a:ext>
          </a:extLst>
        </xdr:cNvPr>
        <xdr:cNvSpPr/>
      </xdr:nvSpPr>
      <xdr:spPr>
        <a:xfrm>
          <a:off x="117030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2D532EA3-9840-4D84-A894-1C7F65BB2F93}"/>
            </a:ext>
          </a:extLst>
        </xdr:cNvPr>
        <xdr:cNvSpPr/>
      </xdr:nvSpPr>
      <xdr:spPr>
        <a:xfrm>
          <a:off x="12655550" y="1245235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B1B604AA-DD93-4A40-B5CF-F38CEAF3DDF4}"/>
            </a:ext>
          </a:extLst>
        </xdr:cNvPr>
        <xdr:cNvSpPr/>
      </xdr:nvSpPr>
      <xdr:spPr>
        <a:xfrm>
          <a:off x="13703300" y="124523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8FB23F31-0B32-4765-905B-83C241B6B1A4}"/>
            </a:ext>
          </a:extLst>
        </xdr:cNvPr>
        <xdr:cNvSpPr/>
      </xdr:nvSpPr>
      <xdr:spPr>
        <a:xfrm>
          <a:off x="6413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469A1EE6-804A-43B6-892D-35E7BF40AF78}"/>
            </a:ext>
          </a:extLst>
        </xdr:cNvPr>
        <xdr:cNvSpPr/>
      </xdr:nvSpPr>
      <xdr:spPr>
        <a:xfrm>
          <a:off x="1631950" y="1392555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832B545C-74CD-477F-A23E-33A878C6F0BB}"/>
            </a:ext>
          </a:extLst>
        </xdr:cNvPr>
        <xdr:cNvSpPr/>
      </xdr:nvSpPr>
      <xdr:spPr>
        <a:xfrm>
          <a:off x="26797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383F116-D60B-4414-8229-58CB99C118FA}"/>
            </a:ext>
          </a:extLst>
        </xdr:cNvPr>
        <xdr:cNvSpPr/>
      </xdr:nvSpPr>
      <xdr:spPr>
        <a:xfrm>
          <a:off x="46609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AE06B68-1E51-4B96-9094-3805E4D945F2}"/>
            </a:ext>
          </a:extLst>
        </xdr:cNvPr>
        <xdr:cNvSpPr/>
      </xdr:nvSpPr>
      <xdr:spPr>
        <a:xfrm>
          <a:off x="5583671" y="13936374"/>
          <a:ext cx="530863" cy="3546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7AA797F1-EEFE-44A2-92A8-C84A77E9246E}"/>
            </a:ext>
          </a:extLst>
        </xdr:cNvPr>
        <xdr:cNvSpPr/>
      </xdr:nvSpPr>
      <xdr:spPr>
        <a:xfrm>
          <a:off x="65341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D3AB0FAD-023D-4637-AB13-EA2CA367596E}"/>
            </a:ext>
          </a:extLst>
        </xdr:cNvPr>
        <xdr:cNvSpPr/>
      </xdr:nvSpPr>
      <xdr:spPr>
        <a:xfrm>
          <a:off x="74549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23F48A93-D3A9-4332-9ECB-69440007822D}"/>
            </a:ext>
          </a:extLst>
        </xdr:cNvPr>
        <xdr:cNvSpPr/>
      </xdr:nvSpPr>
      <xdr:spPr>
        <a:xfrm>
          <a:off x="85598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CBD01CD-A27A-4A71-8C93-E3FCD2D01DC6}"/>
            </a:ext>
          </a:extLst>
        </xdr:cNvPr>
        <xdr:cNvSpPr/>
      </xdr:nvSpPr>
      <xdr:spPr>
        <a:xfrm>
          <a:off x="9594850" y="139255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35B221AA-E5AC-4CB5-B0DD-2AD6E72764EC}"/>
            </a:ext>
          </a:extLst>
        </xdr:cNvPr>
        <xdr:cNvSpPr/>
      </xdr:nvSpPr>
      <xdr:spPr>
        <a:xfrm>
          <a:off x="1056005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CCA26D2A-8F82-4C15-95D2-3117EDF28A7C}"/>
            </a:ext>
          </a:extLst>
        </xdr:cNvPr>
        <xdr:cNvSpPr/>
      </xdr:nvSpPr>
      <xdr:spPr>
        <a:xfrm>
          <a:off x="1170305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65202D0-B48E-48EB-A3BD-745F0B266960}"/>
            </a:ext>
          </a:extLst>
        </xdr:cNvPr>
        <xdr:cNvSpPr/>
      </xdr:nvSpPr>
      <xdr:spPr>
        <a:xfrm>
          <a:off x="12655550" y="139255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15070F8A-AB8B-42CD-A202-241BA8757469}"/>
            </a:ext>
          </a:extLst>
        </xdr:cNvPr>
        <xdr:cNvSpPr/>
      </xdr:nvSpPr>
      <xdr:spPr>
        <a:xfrm>
          <a:off x="13703300" y="139255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12A7A1EB-0100-41A2-85F7-F8454BC52A79}"/>
            </a:ext>
          </a:extLst>
        </xdr:cNvPr>
        <xdr:cNvSpPr/>
      </xdr:nvSpPr>
      <xdr:spPr>
        <a:xfrm>
          <a:off x="64135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286CF349-34ED-4176-8701-DF4A9AD53159}"/>
            </a:ext>
          </a:extLst>
        </xdr:cNvPr>
        <xdr:cNvSpPr/>
      </xdr:nvSpPr>
      <xdr:spPr>
        <a:xfrm>
          <a:off x="1631950" y="1540510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577DB529-C4D7-4AB8-88E0-8D486AF13471}"/>
            </a:ext>
          </a:extLst>
        </xdr:cNvPr>
        <xdr:cNvSpPr/>
      </xdr:nvSpPr>
      <xdr:spPr>
        <a:xfrm>
          <a:off x="46609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FC5CB0-75BB-4224-9831-F85B92FB8430}"/>
            </a:ext>
          </a:extLst>
        </xdr:cNvPr>
        <xdr:cNvSpPr/>
      </xdr:nvSpPr>
      <xdr:spPr>
        <a:xfrm>
          <a:off x="6535965" y="15405100"/>
          <a:ext cx="521657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98DD65D-A998-40F7-B7F0-3C242E4D21B3}"/>
            </a:ext>
          </a:extLst>
        </xdr:cNvPr>
        <xdr:cNvSpPr/>
      </xdr:nvSpPr>
      <xdr:spPr>
        <a:xfrm>
          <a:off x="745490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22837734-EBAC-4800-896F-F3063F8BBCFE}"/>
            </a:ext>
          </a:extLst>
        </xdr:cNvPr>
        <xdr:cNvSpPr/>
      </xdr:nvSpPr>
      <xdr:spPr>
        <a:xfrm>
          <a:off x="8559800" y="15405100"/>
          <a:ext cx="5358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C8158290-3F98-458F-8394-BE92256A4458}"/>
            </a:ext>
          </a:extLst>
        </xdr:cNvPr>
        <xdr:cNvSpPr/>
      </xdr:nvSpPr>
      <xdr:spPr>
        <a:xfrm>
          <a:off x="9594850" y="154051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BC0DF0C9-C81D-43D3-9F50-078BE06D5409}"/>
            </a:ext>
          </a:extLst>
        </xdr:cNvPr>
        <xdr:cNvSpPr/>
      </xdr:nvSpPr>
      <xdr:spPr>
        <a:xfrm>
          <a:off x="1056005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A5BF0C76-6186-4087-BB21-2ECD881BD1BD}"/>
            </a:ext>
          </a:extLst>
        </xdr:cNvPr>
        <xdr:cNvSpPr/>
      </xdr:nvSpPr>
      <xdr:spPr>
        <a:xfrm>
          <a:off x="1170305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20F935D0-92D2-431D-8F0A-DCF677641A10}"/>
            </a:ext>
          </a:extLst>
        </xdr:cNvPr>
        <xdr:cNvSpPr/>
      </xdr:nvSpPr>
      <xdr:spPr>
        <a:xfrm>
          <a:off x="12655550" y="154051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9A3915C8-9D06-40FB-B01F-B62798AD2196}"/>
            </a:ext>
          </a:extLst>
        </xdr:cNvPr>
        <xdr:cNvSpPr/>
      </xdr:nvSpPr>
      <xdr:spPr>
        <a:xfrm>
          <a:off x="13703300" y="154051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37EE73BD-525C-4B0B-9086-347C5CA7EAB1}"/>
            </a:ext>
          </a:extLst>
        </xdr:cNvPr>
        <xdr:cNvSpPr/>
      </xdr:nvSpPr>
      <xdr:spPr>
        <a:xfrm>
          <a:off x="6413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211F9685-4FE4-4019-B1D9-6313413E2F49}"/>
            </a:ext>
          </a:extLst>
        </xdr:cNvPr>
        <xdr:cNvSpPr/>
      </xdr:nvSpPr>
      <xdr:spPr>
        <a:xfrm>
          <a:off x="1631950" y="168783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8D970ABA-5344-4B6B-9D16-69303EAD3415}"/>
            </a:ext>
          </a:extLst>
        </xdr:cNvPr>
        <xdr:cNvSpPr/>
      </xdr:nvSpPr>
      <xdr:spPr>
        <a:xfrm>
          <a:off x="26797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89BAB7C8-A6EE-4ACA-A349-E283BB1E4EA4}"/>
            </a:ext>
          </a:extLst>
        </xdr:cNvPr>
        <xdr:cNvSpPr/>
      </xdr:nvSpPr>
      <xdr:spPr>
        <a:xfrm>
          <a:off x="37147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4AB20179-2C3D-4D9F-BD37-8CE5CD563133}"/>
            </a:ext>
          </a:extLst>
        </xdr:cNvPr>
        <xdr:cNvSpPr/>
      </xdr:nvSpPr>
      <xdr:spPr>
        <a:xfrm>
          <a:off x="466090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790D5AF9-223F-4E33-B49E-44E1141CD1D2}"/>
            </a:ext>
          </a:extLst>
        </xdr:cNvPr>
        <xdr:cNvSpPr/>
      </xdr:nvSpPr>
      <xdr:spPr>
        <a:xfrm>
          <a:off x="55689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E3F21FC4-F696-4054-9B5D-6808C8CEAB92}"/>
            </a:ext>
          </a:extLst>
        </xdr:cNvPr>
        <xdr:cNvSpPr/>
      </xdr:nvSpPr>
      <xdr:spPr>
        <a:xfrm>
          <a:off x="65341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C9E3E882-12F4-4D6A-AA6A-A494694C3C47}"/>
            </a:ext>
          </a:extLst>
        </xdr:cNvPr>
        <xdr:cNvSpPr/>
      </xdr:nvSpPr>
      <xdr:spPr>
        <a:xfrm>
          <a:off x="74549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1F525160-C5D6-4B25-AAAE-D368AC2FFF09}"/>
            </a:ext>
          </a:extLst>
        </xdr:cNvPr>
        <xdr:cNvSpPr/>
      </xdr:nvSpPr>
      <xdr:spPr>
        <a:xfrm>
          <a:off x="855980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13ACEF4F-45A1-42C8-9451-35ACF0D90E22}"/>
            </a:ext>
          </a:extLst>
        </xdr:cNvPr>
        <xdr:cNvSpPr/>
      </xdr:nvSpPr>
      <xdr:spPr>
        <a:xfrm>
          <a:off x="9594850" y="168783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AA537D47-1058-4CAF-8637-0403ECD1B209}"/>
            </a:ext>
          </a:extLst>
        </xdr:cNvPr>
        <xdr:cNvSpPr/>
      </xdr:nvSpPr>
      <xdr:spPr>
        <a:xfrm>
          <a:off x="105600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95E120E0-E95A-4C46-9163-7A58A5C6BACD}"/>
            </a:ext>
          </a:extLst>
        </xdr:cNvPr>
        <xdr:cNvSpPr/>
      </xdr:nvSpPr>
      <xdr:spPr>
        <a:xfrm>
          <a:off x="117030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84643E4D-7574-4678-9449-EFB5A19B5BF4}"/>
            </a:ext>
          </a:extLst>
        </xdr:cNvPr>
        <xdr:cNvSpPr/>
      </xdr:nvSpPr>
      <xdr:spPr>
        <a:xfrm>
          <a:off x="12655550" y="168783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1D294478-7B4E-4DD9-A9FD-27CCCD009CF2}"/>
            </a:ext>
          </a:extLst>
        </xdr:cNvPr>
        <xdr:cNvSpPr/>
      </xdr:nvSpPr>
      <xdr:spPr>
        <a:xfrm>
          <a:off x="13703300" y="168783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BC6CB4DE-57B8-4CDB-873B-C51B7A997BDF}"/>
            </a:ext>
          </a:extLst>
        </xdr:cNvPr>
        <xdr:cNvSpPr/>
      </xdr:nvSpPr>
      <xdr:spPr>
        <a:xfrm>
          <a:off x="6413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4CEF88B3-0108-407A-8CBC-E3F195B0091A}"/>
            </a:ext>
          </a:extLst>
        </xdr:cNvPr>
        <xdr:cNvSpPr/>
      </xdr:nvSpPr>
      <xdr:spPr>
        <a:xfrm>
          <a:off x="1631950" y="18351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C90454E9-A7A4-42E7-9041-C922F52D8410}"/>
            </a:ext>
          </a:extLst>
        </xdr:cNvPr>
        <xdr:cNvSpPr/>
      </xdr:nvSpPr>
      <xdr:spPr>
        <a:xfrm>
          <a:off x="267970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9C9A32F7-9D13-4B6B-824A-CA6F259A2DB4}"/>
            </a:ext>
          </a:extLst>
        </xdr:cNvPr>
        <xdr:cNvSpPr/>
      </xdr:nvSpPr>
      <xdr:spPr>
        <a:xfrm>
          <a:off x="37147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357190</xdr:colOff>
      <xdr:row>98</xdr:row>
      <xdr:rowOff>10824</xdr:rowOff>
    </xdr:from>
    <xdr:to>
      <xdr:col>15</xdr:col>
      <xdr:colOff>1</xdr:colOff>
      <xdr:row>100</xdr:row>
      <xdr:rowOff>1229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7029D396-A6F9-4087-9DE9-E7C4F1125CA8}"/>
            </a:ext>
          </a:extLst>
        </xdr:cNvPr>
        <xdr:cNvSpPr/>
      </xdr:nvSpPr>
      <xdr:spPr>
        <a:xfrm>
          <a:off x="4630740" y="18362324"/>
          <a:ext cx="588961" cy="35870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B6D33335-FB57-4A81-A07B-1F6BF89C3791}"/>
            </a:ext>
          </a:extLst>
        </xdr:cNvPr>
        <xdr:cNvSpPr/>
      </xdr:nvSpPr>
      <xdr:spPr>
        <a:xfrm>
          <a:off x="55689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EBEF67D0-24E3-48C0-A10F-9543235E3761}"/>
            </a:ext>
          </a:extLst>
        </xdr:cNvPr>
        <xdr:cNvSpPr/>
      </xdr:nvSpPr>
      <xdr:spPr>
        <a:xfrm>
          <a:off x="65341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4C5A3A6-CB51-42B1-9DCF-F3590328CF55}"/>
            </a:ext>
          </a:extLst>
        </xdr:cNvPr>
        <xdr:cNvSpPr/>
      </xdr:nvSpPr>
      <xdr:spPr>
        <a:xfrm>
          <a:off x="7468507" y="18365107"/>
          <a:ext cx="535842" cy="3609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15E455D6-D4D7-4951-A9A1-CAFEB1604A89}"/>
            </a:ext>
          </a:extLst>
        </xdr:cNvPr>
        <xdr:cNvSpPr/>
      </xdr:nvSpPr>
      <xdr:spPr>
        <a:xfrm>
          <a:off x="855980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A32B4817-3403-4D73-8767-370950970B77}"/>
            </a:ext>
          </a:extLst>
        </xdr:cNvPr>
        <xdr:cNvSpPr/>
      </xdr:nvSpPr>
      <xdr:spPr>
        <a:xfrm>
          <a:off x="9594850" y="183515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379EE79-9211-4D90-B9B1-C73B37AA2E9E}"/>
            </a:ext>
          </a:extLst>
        </xdr:cNvPr>
        <xdr:cNvSpPr/>
      </xdr:nvSpPr>
      <xdr:spPr>
        <a:xfrm>
          <a:off x="105600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108CBD-3B3F-4212-B7C1-8D91D3CE5210}"/>
            </a:ext>
          </a:extLst>
        </xdr:cNvPr>
        <xdr:cNvSpPr/>
      </xdr:nvSpPr>
      <xdr:spPr>
        <a:xfrm>
          <a:off x="117030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75A8D340-B95D-4AFA-AF21-A1643BCFF62C}"/>
            </a:ext>
          </a:extLst>
        </xdr:cNvPr>
        <xdr:cNvSpPr/>
      </xdr:nvSpPr>
      <xdr:spPr>
        <a:xfrm>
          <a:off x="12655550" y="183515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D69B081-7AC0-4110-AF36-DB9E15F41C23}"/>
            </a:ext>
          </a:extLst>
        </xdr:cNvPr>
        <xdr:cNvSpPr/>
      </xdr:nvSpPr>
      <xdr:spPr>
        <a:xfrm>
          <a:off x="13703300" y="183515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A7AD442F-724A-45EC-8AD5-A572B56B1E11}"/>
            </a:ext>
          </a:extLst>
        </xdr:cNvPr>
        <xdr:cNvSpPr/>
      </xdr:nvSpPr>
      <xdr:spPr>
        <a:xfrm>
          <a:off x="6413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6FEC688-BEBE-46D8-A910-06FC75DC0535}"/>
            </a:ext>
          </a:extLst>
        </xdr:cNvPr>
        <xdr:cNvSpPr/>
      </xdr:nvSpPr>
      <xdr:spPr>
        <a:xfrm>
          <a:off x="1631950" y="19824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B364AEFC-AEF9-4BA9-89CB-048F2BB034B0}"/>
            </a:ext>
          </a:extLst>
        </xdr:cNvPr>
        <xdr:cNvSpPr/>
      </xdr:nvSpPr>
      <xdr:spPr>
        <a:xfrm>
          <a:off x="2679700" y="198247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84FA611A-2B0D-41B3-A21C-6F0801EC349F}"/>
            </a:ext>
          </a:extLst>
        </xdr:cNvPr>
        <xdr:cNvSpPr/>
      </xdr:nvSpPr>
      <xdr:spPr>
        <a:xfrm>
          <a:off x="3714750" y="198247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CB466B44-9AD4-4E0D-AF16-6D6BC21FE0E9}"/>
            </a:ext>
          </a:extLst>
        </xdr:cNvPr>
        <xdr:cNvSpPr/>
      </xdr:nvSpPr>
      <xdr:spPr>
        <a:xfrm>
          <a:off x="4660900" y="19824700"/>
          <a:ext cx="5358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1FA632A3-C3A9-41C9-B9D2-43463D225B4D}"/>
            </a:ext>
          </a:extLst>
        </xdr:cNvPr>
        <xdr:cNvSpPr/>
      </xdr:nvSpPr>
      <xdr:spPr>
        <a:xfrm>
          <a:off x="5568950" y="198247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2B1D9AFA-A47E-435A-80FC-BD48285C7C8E}"/>
            </a:ext>
          </a:extLst>
        </xdr:cNvPr>
        <xdr:cNvSpPr/>
      </xdr:nvSpPr>
      <xdr:spPr>
        <a:xfrm>
          <a:off x="65341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C001525B-EEDF-4D7C-BFDD-670A7EB5774D}"/>
            </a:ext>
          </a:extLst>
        </xdr:cNvPr>
        <xdr:cNvSpPr/>
      </xdr:nvSpPr>
      <xdr:spPr>
        <a:xfrm>
          <a:off x="74549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C5D86149-BF7D-41A1-ACBC-FBCDF92942A0}"/>
            </a:ext>
          </a:extLst>
        </xdr:cNvPr>
        <xdr:cNvSpPr/>
      </xdr:nvSpPr>
      <xdr:spPr>
        <a:xfrm>
          <a:off x="1631950" y="675217"/>
          <a:ext cx="5485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38E5CB7-47F6-438A-9882-362C299BA596}"/>
            </a:ext>
          </a:extLst>
        </xdr:cNvPr>
        <xdr:cNvSpPr/>
      </xdr:nvSpPr>
      <xdr:spPr>
        <a:xfrm>
          <a:off x="2679700" y="675216"/>
          <a:ext cx="53584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31751</xdr:rowOff>
    </xdr:from>
    <xdr:to>
      <xdr:col>12</xdr:col>
      <xdr:colOff>9071</xdr:colOff>
      <xdr:row>3</xdr:row>
      <xdr:rowOff>172359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135255A0-4FCC-48AB-9E2E-25AECF0128FF}"/>
            </a:ext>
          </a:extLst>
        </xdr:cNvPr>
        <xdr:cNvSpPr/>
      </xdr:nvSpPr>
      <xdr:spPr>
        <a:xfrm>
          <a:off x="3714750" y="685801"/>
          <a:ext cx="567871" cy="32475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390070</xdr:colOff>
      <xdr:row>2</xdr:row>
      <xdr:rowOff>31750</xdr:rowOff>
    </xdr:from>
    <xdr:to>
      <xdr:col>15</xdr:col>
      <xdr:colOff>27213</xdr:colOff>
      <xdr:row>3</xdr:row>
      <xdr:rowOff>172358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1273087-A181-4FCC-B072-4DAB2948DB92}"/>
            </a:ext>
          </a:extLst>
        </xdr:cNvPr>
        <xdr:cNvSpPr/>
      </xdr:nvSpPr>
      <xdr:spPr>
        <a:xfrm>
          <a:off x="4663620" y="685800"/>
          <a:ext cx="583293" cy="32475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6322042-82A6-4B8E-99F5-930B58A2C5BE}"/>
            </a:ext>
          </a:extLst>
        </xdr:cNvPr>
        <xdr:cNvSpPr/>
      </xdr:nvSpPr>
      <xdr:spPr>
        <a:xfrm>
          <a:off x="55689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1892B4ED-61B3-42EE-AE39-BC1A91884A81}"/>
            </a:ext>
          </a:extLst>
        </xdr:cNvPr>
        <xdr:cNvSpPr/>
      </xdr:nvSpPr>
      <xdr:spPr>
        <a:xfrm>
          <a:off x="1631950" y="37911617"/>
          <a:ext cx="54854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501188EF-6570-4CC7-9228-1ACA48F40229}"/>
            </a:ext>
          </a:extLst>
        </xdr:cNvPr>
        <xdr:cNvSpPr/>
      </xdr:nvSpPr>
      <xdr:spPr>
        <a:xfrm>
          <a:off x="2679700" y="37911616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A701AEB6-44C5-434F-8AC9-C0E0713FB5EA}"/>
            </a:ext>
          </a:extLst>
        </xdr:cNvPr>
        <xdr:cNvSpPr/>
      </xdr:nvSpPr>
      <xdr:spPr>
        <a:xfrm>
          <a:off x="3714750" y="379222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136" name="5-Point Star 520">
          <a:extLst>
            <a:ext uri="{FF2B5EF4-FFF2-40B4-BE49-F238E27FC236}">
              <a16:creationId xmlns:a16="http://schemas.microsoft.com/office/drawing/2014/main" id="{18657B83-C97F-4EC8-95BB-E69AF1B89A18}"/>
            </a:ext>
          </a:extLst>
        </xdr:cNvPr>
        <xdr:cNvSpPr/>
      </xdr:nvSpPr>
      <xdr:spPr>
        <a:xfrm>
          <a:off x="1790700" y="38028033"/>
          <a:ext cx="2391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137" name="Curved Connector 523">
          <a:extLst>
            <a:ext uri="{FF2B5EF4-FFF2-40B4-BE49-F238E27FC236}">
              <a16:creationId xmlns:a16="http://schemas.microsoft.com/office/drawing/2014/main" id="{5531FB67-DC9E-4034-8797-8E3E478E5075}"/>
            </a:ext>
          </a:extLst>
        </xdr:cNvPr>
        <xdr:cNvCxnSpPr/>
      </xdr:nvCxnSpPr>
      <xdr:spPr>
        <a:xfrm rot="16200000" flipH="1">
          <a:off x="2404533" y="37382450"/>
          <a:ext cx="10584" cy="10477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FB3465B2-7A2D-4490-B27E-03EE7E1BC3AE}"/>
            </a:ext>
          </a:extLst>
        </xdr:cNvPr>
        <xdr:cNvCxnSpPr/>
      </xdr:nvCxnSpPr>
      <xdr:spPr>
        <a:xfrm>
          <a:off x="1497807" y="37516593"/>
          <a:ext cx="3821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D300BE7A-1E27-49EB-B594-DC1DA96D86D4}"/>
            </a:ext>
          </a:extLst>
        </xdr:cNvPr>
        <xdr:cNvCxnSpPr/>
      </xdr:nvCxnSpPr>
      <xdr:spPr>
        <a:xfrm>
          <a:off x="2238375" y="3752214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E065EFEF-68E3-44D6-99ED-B3CDFEFE1969}"/>
            </a:ext>
          </a:extLst>
        </xdr:cNvPr>
        <xdr:cNvCxnSpPr/>
      </xdr:nvCxnSpPr>
      <xdr:spPr>
        <a:xfrm>
          <a:off x="3274218" y="3752214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8CDFC97-550E-4540-B6D8-5AFC69672003}"/>
            </a:ext>
          </a:extLst>
        </xdr:cNvPr>
        <xdr:cNvCxnSpPr/>
      </xdr:nvCxnSpPr>
      <xdr:spPr>
        <a:xfrm>
          <a:off x="1153584" y="37901034"/>
          <a:ext cx="584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83F61086-2776-45DD-A76E-5DC55E67CF40}"/>
            </a:ext>
          </a:extLst>
        </xdr:cNvPr>
        <xdr:cNvCxnSpPr/>
      </xdr:nvCxnSpPr>
      <xdr:spPr>
        <a:xfrm>
          <a:off x="1390650" y="38559317"/>
          <a:ext cx="2413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143" name="Picture 142" descr="A black and white symbol&#10;&#10;Description automatically generated">
          <a:extLst>
            <a:ext uri="{FF2B5EF4-FFF2-40B4-BE49-F238E27FC236}">
              <a16:creationId xmlns:a16="http://schemas.microsoft.com/office/drawing/2014/main" id="{97A09921-2E38-47DA-B5D3-9B6E73D3B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134" y="3849581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98BECE61-F4A8-4C4C-91B6-28A0A1F1420A}"/>
            </a:ext>
          </a:extLst>
        </xdr:cNvPr>
        <xdr:cNvCxnSpPr/>
      </xdr:nvCxnSpPr>
      <xdr:spPr>
        <a:xfrm flipH="1" flipV="1">
          <a:off x="2200010" y="3875405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DD7D5A7E-209C-416B-A61B-2EFF8CD53A1E}"/>
            </a:ext>
          </a:extLst>
        </xdr:cNvPr>
        <xdr:cNvCxnSpPr/>
      </xdr:nvCxnSpPr>
      <xdr:spPr>
        <a:xfrm flipH="1" flipV="1">
          <a:off x="3631406" y="38882637"/>
          <a:ext cx="11906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146" name="Lightning Bolt 145">
          <a:extLst>
            <a:ext uri="{FF2B5EF4-FFF2-40B4-BE49-F238E27FC236}">
              <a16:creationId xmlns:a16="http://schemas.microsoft.com/office/drawing/2014/main" id="{99FBD228-E2B1-4D1B-8E51-C780616F5BE1}"/>
            </a:ext>
          </a:extLst>
        </xdr:cNvPr>
        <xdr:cNvSpPr/>
      </xdr:nvSpPr>
      <xdr:spPr>
        <a:xfrm rot="2857557">
          <a:off x="5333561" y="38824512"/>
          <a:ext cx="162007" cy="3123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147" name="Lightning Bolt 146">
          <a:extLst>
            <a:ext uri="{FF2B5EF4-FFF2-40B4-BE49-F238E27FC236}">
              <a16:creationId xmlns:a16="http://schemas.microsoft.com/office/drawing/2014/main" id="{04F5F1E2-6262-410B-8C3A-03FC12373779}"/>
            </a:ext>
          </a:extLst>
        </xdr:cNvPr>
        <xdr:cNvSpPr/>
      </xdr:nvSpPr>
      <xdr:spPr>
        <a:xfrm rot="2857557">
          <a:off x="5350981" y="38480853"/>
          <a:ext cx="170030" cy="2868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148" name="Arrow: Up 169">
          <a:extLst>
            <a:ext uri="{FF2B5EF4-FFF2-40B4-BE49-F238E27FC236}">
              <a16:creationId xmlns:a16="http://schemas.microsoft.com/office/drawing/2014/main" id="{D9E6C859-6AFD-4B2B-A172-4F33A64B7A3B}"/>
            </a:ext>
          </a:extLst>
        </xdr:cNvPr>
        <xdr:cNvSpPr/>
      </xdr:nvSpPr>
      <xdr:spPr>
        <a:xfrm>
          <a:off x="5350671" y="3773011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149" name="Arrow: Up 170">
          <a:extLst>
            <a:ext uri="{FF2B5EF4-FFF2-40B4-BE49-F238E27FC236}">
              <a16:creationId xmlns:a16="http://schemas.microsoft.com/office/drawing/2014/main" id="{B50BC988-2386-4B9F-9596-F90A1AB8262E}"/>
            </a:ext>
          </a:extLst>
        </xdr:cNvPr>
        <xdr:cNvSpPr/>
      </xdr:nvSpPr>
      <xdr:spPr>
        <a:xfrm>
          <a:off x="5350670" y="3734990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150" name="Arrow: Up-Down 171">
          <a:extLst>
            <a:ext uri="{FF2B5EF4-FFF2-40B4-BE49-F238E27FC236}">
              <a16:creationId xmlns:a16="http://schemas.microsoft.com/office/drawing/2014/main" id="{FE6A7AB6-C387-4DD2-9697-465582896EC6}"/>
            </a:ext>
          </a:extLst>
        </xdr:cNvPr>
        <xdr:cNvSpPr/>
      </xdr:nvSpPr>
      <xdr:spPr>
        <a:xfrm>
          <a:off x="5362574" y="3807459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151" name="Picture 95405" descr="LADDER">
          <a:extLst>
            <a:ext uri="{FF2B5EF4-FFF2-40B4-BE49-F238E27FC236}">
              <a16:creationId xmlns:a16="http://schemas.microsoft.com/office/drawing/2014/main" id="{B4B56CCC-F020-4738-AA1C-852EF9475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688930" y="3818175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152" name="Picture 15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73EF8CC-0826-4D9C-AE82-0E13E840E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677023" y="3741994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53" name="Arrow: Up 174">
          <a:extLst>
            <a:ext uri="{FF2B5EF4-FFF2-40B4-BE49-F238E27FC236}">
              <a16:creationId xmlns:a16="http://schemas.microsoft.com/office/drawing/2014/main" id="{DE5DECA1-AF39-42C7-A0EF-4D9844D43D45}"/>
            </a:ext>
          </a:extLst>
        </xdr:cNvPr>
        <xdr:cNvSpPr/>
      </xdr:nvSpPr>
      <xdr:spPr>
        <a:xfrm>
          <a:off x="2236210" y="2466182"/>
          <a:ext cx="171016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54" name="Arrow: Up 175">
          <a:extLst>
            <a:ext uri="{FF2B5EF4-FFF2-40B4-BE49-F238E27FC236}">
              <a16:creationId xmlns:a16="http://schemas.microsoft.com/office/drawing/2014/main" id="{2E0FA788-2165-48B7-86CF-FA356CBFEC17}"/>
            </a:ext>
          </a:extLst>
        </xdr:cNvPr>
        <xdr:cNvSpPr/>
      </xdr:nvSpPr>
      <xdr:spPr>
        <a:xfrm>
          <a:off x="4369881" y="2456439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55" name="Arrow: Up 176">
          <a:extLst>
            <a:ext uri="{FF2B5EF4-FFF2-40B4-BE49-F238E27FC236}">
              <a16:creationId xmlns:a16="http://schemas.microsoft.com/office/drawing/2014/main" id="{88BB6778-F7DB-4222-93A5-D99144D79FB3}"/>
            </a:ext>
          </a:extLst>
        </xdr:cNvPr>
        <xdr:cNvSpPr/>
      </xdr:nvSpPr>
      <xdr:spPr>
        <a:xfrm>
          <a:off x="1414463" y="39512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56" name="Arrow: Up 177">
          <a:extLst>
            <a:ext uri="{FF2B5EF4-FFF2-40B4-BE49-F238E27FC236}">
              <a16:creationId xmlns:a16="http://schemas.microsoft.com/office/drawing/2014/main" id="{289D0830-4712-4D4C-AD87-912136AB77B6}"/>
            </a:ext>
          </a:extLst>
        </xdr:cNvPr>
        <xdr:cNvSpPr/>
      </xdr:nvSpPr>
      <xdr:spPr>
        <a:xfrm>
          <a:off x="8144669" y="39512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57" name="Arrow: Up 178">
          <a:extLst>
            <a:ext uri="{FF2B5EF4-FFF2-40B4-BE49-F238E27FC236}">
              <a16:creationId xmlns:a16="http://schemas.microsoft.com/office/drawing/2014/main" id="{9A74A3FD-4DDC-48D6-AC94-83DB10B81FC4}"/>
            </a:ext>
          </a:extLst>
        </xdr:cNvPr>
        <xdr:cNvSpPr/>
      </xdr:nvSpPr>
      <xdr:spPr>
        <a:xfrm>
          <a:off x="1319213" y="5424487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58" name="Arrow: Up 179">
          <a:extLst>
            <a:ext uri="{FF2B5EF4-FFF2-40B4-BE49-F238E27FC236}">
              <a16:creationId xmlns:a16="http://schemas.microsoft.com/office/drawing/2014/main" id="{A308D019-CDBF-4C9B-B232-569704D2D434}"/>
            </a:ext>
          </a:extLst>
        </xdr:cNvPr>
        <xdr:cNvSpPr/>
      </xdr:nvSpPr>
      <xdr:spPr>
        <a:xfrm>
          <a:off x="6323662" y="5424488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59" name="Arrow: Up 180">
          <a:extLst>
            <a:ext uri="{FF2B5EF4-FFF2-40B4-BE49-F238E27FC236}">
              <a16:creationId xmlns:a16="http://schemas.microsoft.com/office/drawing/2014/main" id="{D4E2BA44-B47D-4CB2-84B0-F7D51871F43A}"/>
            </a:ext>
          </a:extLst>
        </xdr:cNvPr>
        <xdr:cNvSpPr/>
      </xdr:nvSpPr>
      <xdr:spPr>
        <a:xfrm>
          <a:off x="8187965" y="5403923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60" name="Arrow: Up 181">
          <a:extLst>
            <a:ext uri="{FF2B5EF4-FFF2-40B4-BE49-F238E27FC236}">
              <a16:creationId xmlns:a16="http://schemas.microsoft.com/office/drawing/2014/main" id="{C62B63ED-FB80-4AF7-8D6E-51E3E6258E61}"/>
            </a:ext>
          </a:extLst>
        </xdr:cNvPr>
        <xdr:cNvSpPr/>
      </xdr:nvSpPr>
      <xdr:spPr>
        <a:xfrm>
          <a:off x="10313337" y="688239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61" name="Arrow: Up 182">
          <a:extLst>
            <a:ext uri="{FF2B5EF4-FFF2-40B4-BE49-F238E27FC236}">
              <a16:creationId xmlns:a16="http://schemas.microsoft.com/office/drawing/2014/main" id="{A6B0D049-FB9C-442B-BF53-1EE30BB9FB80}"/>
            </a:ext>
          </a:extLst>
        </xdr:cNvPr>
        <xdr:cNvSpPr/>
      </xdr:nvSpPr>
      <xdr:spPr>
        <a:xfrm>
          <a:off x="12380119" y="83772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62" name="Arrow: Up 183">
          <a:extLst>
            <a:ext uri="{FF2B5EF4-FFF2-40B4-BE49-F238E27FC236}">
              <a16:creationId xmlns:a16="http://schemas.microsoft.com/office/drawing/2014/main" id="{564D7F1C-D097-4061-A994-2EDF96861FCF}"/>
            </a:ext>
          </a:extLst>
        </xdr:cNvPr>
        <xdr:cNvSpPr/>
      </xdr:nvSpPr>
      <xdr:spPr>
        <a:xfrm>
          <a:off x="13230225" y="83772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63" name="Arrow: Up 184">
          <a:extLst>
            <a:ext uri="{FF2B5EF4-FFF2-40B4-BE49-F238E27FC236}">
              <a16:creationId xmlns:a16="http://schemas.microsoft.com/office/drawing/2014/main" id="{4F014749-49CE-41DC-93CE-1421CADDC537}"/>
            </a:ext>
          </a:extLst>
        </xdr:cNvPr>
        <xdr:cNvSpPr/>
      </xdr:nvSpPr>
      <xdr:spPr>
        <a:xfrm>
          <a:off x="11234954" y="838806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64" name="Arrow: Up 185">
          <a:extLst>
            <a:ext uri="{FF2B5EF4-FFF2-40B4-BE49-F238E27FC236}">
              <a16:creationId xmlns:a16="http://schemas.microsoft.com/office/drawing/2014/main" id="{3EF1268D-6D06-440B-8E43-4518182B34BB}"/>
            </a:ext>
          </a:extLst>
        </xdr:cNvPr>
        <xdr:cNvSpPr/>
      </xdr:nvSpPr>
      <xdr:spPr>
        <a:xfrm>
          <a:off x="3401941" y="9828791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65" name="Arrow: Up 186">
          <a:extLst>
            <a:ext uri="{FF2B5EF4-FFF2-40B4-BE49-F238E27FC236}">
              <a16:creationId xmlns:a16="http://schemas.microsoft.com/office/drawing/2014/main" id="{EF64EA28-C9CD-41FF-B836-8D081EADD09A}"/>
            </a:ext>
          </a:extLst>
        </xdr:cNvPr>
        <xdr:cNvSpPr/>
      </xdr:nvSpPr>
      <xdr:spPr>
        <a:xfrm>
          <a:off x="7202272" y="9817967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66" name="Arrow: Up 187">
          <a:extLst>
            <a:ext uri="{FF2B5EF4-FFF2-40B4-BE49-F238E27FC236}">
              <a16:creationId xmlns:a16="http://schemas.microsoft.com/office/drawing/2014/main" id="{35F701EA-9362-4B20-829E-DED2893056CC}"/>
            </a:ext>
          </a:extLst>
        </xdr:cNvPr>
        <xdr:cNvSpPr/>
      </xdr:nvSpPr>
      <xdr:spPr>
        <a:xfrm>
          <a:off x="9261475" y="113299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67" name="Arrow: Up 188">
          <a:extLst>
            <a:ext uri="{FF2B5EF4-FFF2-40B4-BE49-F238E27FC236}">
              <a16:creationId xmlns:a16="http://schemas.microsoft.com/office/drawing/2014/main" id="{50032FDB-6A7C-4BD8-9077-456D94A56CC2}"/>
            </a:ext>
          </a:extLst>
        </xdr:cNvPr>
        <xdr:cNvSpPr/>
      </xdr:nvSpPr>
      <xdr:spPr>
        <a:xfrm>
          <a:off x="11181917" y="1130834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68" name="Arrow: Up 189">
          <a:extLst>
            <a:ext uri="{FF2B5EF4-FFF2-40B4-BE49-F238E27FC236}">
              <a16:creationId xmlns:a16="http://schemas.microsoft.com/office/drawing/2014/main" id="{99A90434-478E-4844-9C1A-E86154D5A695}"/>
            </a:ext>
          </a:extLst>
        </xdr:cNvPr>
        <xdr:cNvSpPr/>
      </xdr:nvSpPr>
      <xdr:spPr>
        <a:xfrm>
          <a:off x="3369469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69" name="Arrow: Up 190">
          <a:extLst>
            <a:ext uri="{FF2B5EF4-FFF2-40B4-BE49-F238E27FC236}">
              <a16:creationId xmlns:a16="http://schemas.microsoft.com/office/drawing/2014/main" id="{936F05E7-821C-4195-8CCF-DB07A955B358}"/>
            </a:ext>
          </a:extLst>
        </xdr:cNvPr>
        <xdr:cNvSpPr/>
      </xdr:nvSpPr>
      <xdr:spPr>
        <a:xfrm>
          <a:off x="4409930" y="1281401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70" name="Arrow: Up 191">
          <a:extLst>
            <a:ext uri="{FF2B5EF4-FFF2-40B4-BE49-F238E27FC236}">
              <a16:creationId xmlns:a16="http://schemas.microsoft.com/office/drawing/2014/main" id="{EB26FA48-C977-4ADD-8AB7-B177B3808BAA}"/>
            </a:ext>
          </a:extLst>
        </xdr:cNvPr>
        <xdr:cNvSpPr/>
      </xdr:nvSpPr>
      <xdr:spPr>
        <a:xfrm>
          <a:off x="5362575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71" name="Arrow: Up 192">
          <a:extLst>
            <a:ext uri="{FF2B5EF4-FFF2-40B4-BE49-F238E27FC236}">
              <a16:creationId xmlns:a16="http://schemas.microsoft.com/office/drawing/2014/main" id="{45553D21-8433-44AE-A4B5-225DE0FCDE78}"/>
            </a:ext>
          </a:extLst>
        </xdr:cNvPr>
        <xdr:cNvSpPr/>
      </xdr:nvSpPr>
      <xdr:spPr>
        <a:xfrm>
          <a:off x="6270625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72" name="Arrow: Up 193">
          <a:extLst>
            <a:ext uri="{FF2B5EF4-FFF2-40B4-BE49-F238E27FC236}">
              <a16:creationId xmlns:a16="http://schemas.microsoft.com/office/drawing/2014/main" id="{0B2F61CD-AE6B-4876-ACC0-D0777479DB02}"/>
            </a:ext>
          </a:extLst>
        </xdr:cNvPr>
        <xdr:cNvSpPr/>
      </xdr:nvSpPr>
      <xdr:spPr>
        <a:xfrm>
          <a:off x="8144669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73" name="Arrow: Up 194">
          <a:extLst>
            <a:ext uri="{FF2B5EF4-FFF2-40B4-BE49-F238E27FC236}">
              <a16:creationId xmlns:a16="http://schemas.microsoft.com/office/drawing/2014/main" id="{ED4E1622-2AEB-40CB-8388-800CAF85673C}"/>
            </a:ext>
          </a:extLst>
        </xdr:cNvPr>
        <xdr:cNvSpPr/>
      </xdr:nvSpPr>
      <xdr:spPr>
        <a:xfrm>
          <a:off x="10314420" y="128031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74" name="Arrow: Up 195">
          <a:extLst>
            <a:ext uri="{FF2B5EF4-FFF2-40B4-BE49-F238E27FC236}">
              <a16:creationId xmlns:a16="http://schemas.microsoft.com/office/drawing/2014/main" id="{32049EF0-E2A3-45C8-8DD4-232BAD2DBA6C}"/>
            </a:ext>
          </a:extLst>
        </xdr:cNvPr>
        <xdr:cNvSpPr/>
      </xdr:nvSpPr>
      <xdr:spPr>
        <a:xfrm>
          <a:off x="2375838" y="1428721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75" name="Arrow: Up 196">
          <a:extLst>
            <a:ext uri="{FF2B5EF4-FFF2-40B4-BE49-F238E27FC236}">
              <a16:creationId xmlns:a16="http://schemas.microsoft.com/office/drawing/2014/main" id="{03628E02-5BA5-4909-82F7-7E07C53E8C55}"/>
            </a:ext>
          </a:extLst>
        </xdr:cNvPr>
        <xdr:cNvSpPr/>
      </xdr:nvSpPr>
      <xdr:spPr>
        <a:xfrm>
          <a:off x="3467966" y="14254740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76" name="Arrow: Up 197">
          <a:extLst>
            <a:ext uri="{FF2B5EF4-FFF2-40B4-BE49-F238E27FC236}">
              <a16:creationId xmlns:a16="http://schemas.microsoft.com/office/drawing/2014/main" id="{D87BB36D-9FE4-4D66-ADC9-E4616AE6BC5A}"/>
            </a:ext>
          </a:extLst>
        </xdr:cNvPr>
        <xdr:cNvSpPr/>
      </xdr:nvSpPr>
      <xdr:spPr>
        <a:xfrm>
          <a:off x="7199024" y="14276387"/>
          <a:ext cx="133350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77" name="Arrow: Up 198">
          <a:extLst>
            <a:ext uri="{FF2B5EF4-FFF2-40B4-BE49-F238E27FC236}">
              <a16:creationId xmlns:a16="http://schemas.microsoft.com/office/drawing/2014/main" id="{C935BE24-849C-4C67-834C-714A678BB092}"/>
            </a:ext>
          </a:extLst>
        </xdr:cNvPr>
        <xdr:cNvSpPr/>
      </xdr:nvSpPr>
      <xdr:spPr>
        <a:xfrm>
          <a:off x="10336068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178" name="Arrow: Up 199">
          <a:extLst>
            <a:ext uri="{FF2B5EF4-FFF2-40B4-BE49-F238E27FC236}">
              <a16:creationId xmlns:a16="http://schemas.microsoft.com/office/drawing/2014/main" id="{29D67F33-F057-4B0F-9213-8E636BA77D65}"/>
            </a:ext>
          </a:extLst>
        </xdr:cNvPr>
        <xdr:cNvSpPr/>
      </xdr:nvSpPr>
      <xdr:spPr>
        <a:xfrm>
          <a:off x="13237802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179" name="Arrow: Up 200">
          <a:extLst>
            <a:ext uri="{FF2B5EF4-FFF2-40B4-BE49-F238E27FC236}">
              <a16:creationId xmlns:a16="http://schemas.microsoft.com/office/drawing/2014/main" id="{83D24D5D-A7AC-4CD4-9A5E-02BC7839890E}"/>
            </a:ext>
          </a:extLst>
        </xdr:cNvPr>
        <xdr:cNvSpPr/>
      </xdr:nvSpPr>
      <xdr:spPr>
        <a:xfrm>
          <a:off x="1428532" y="15755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180" name="Arrow: Up 201">
          <a:extLst>
            <a:ext uri="{FF2B5EF4-FFF2-40B4-BE49-F238E27FC236}">
              <a16:creationId xmlns:a16="http://schemas.microsoft.com/office/drawing/2014/main" id="{224835AA-A9FE-4AEC-9982-595B2EA2D467}"/>
            </a:ext>
          </a:extLst>
        </xdr:cNvPr>
        <xdr:cNvSpPr/>
      </xdr:nvSpPr>
      <xdr:spPr>
        <a:xfrm>
          <a:off x="5255418" y="15755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181" name="Arrow: Up 202">
          <a:extLst>
            <a:ext uri="{FF2B5EF4-FFF2-40B4-BE49-F238E27FC236}">
              <a16:creationId xmlns:a16="http://schemas.microsoft.com/office/drawing/2014/main" id="{EEAD53C3-061A-44AD-8B0E-2B1D5A5EF310}"/>
            </a:ext>
          </a:extLst>
        </xdr:cNvPr>
        <xdr:cNvSpPr/>
      </xdr:nvSpPr>
      <xdr:spPr>
        <a:xfrm>
          <a:off x="8049418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182" name="Arrow: Up 203">
          <a:extLst>
            <a:ext uri="{FF2B5EF4-FFF2-40B4-BE49-F238E27FC236}">
              <a16:creationId xmlns:a16="http://schemas.microsoft.com/office/drawing/2014/main" id="{3B94C43E-291D-4ED7-88B7-6BD2E00B0142}"/>
            </a:ext>
          </a:extLst>
        </xdr:cNvPr>
        <xdr:cNvSpPr/>
      </xdr:nvSpPr>
      <xdr:spPr>
        <a:xfrm>
          <a:off x="8216106" y="17229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183" name="Arrow: Up 204">
          <a:extLst>
            <a:ext uri="{FF2B5EF4-FFF2-40B4-BE49-F238E27FC236}">
              <a16:creationId xmlns:a16="http://schemas.microsoft.com/office/drawing/2014/main" id="{321A1108-2908-4945-B06B-7CF5896E4E1F}"/>
            </a:ext>
          </a:extLst>
        </xdr:cNvPr>
        <xdr:cNvSpPr/>
      </xdr:nvSpPr>
      <xdr:spPr>
        <a:xfrm>
          <a:off x="13325475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184" name="Arrow: Up 205">
          <a:extLst>
            <a:ext uri="{FF2B5EF4-FFF2-40B4-BE49-F238E27FC236}">
              <a16:creationId xmlns:a16="http://schemas.microsoft.com/office/drawing/2014/main" id="{B914A6F6-324C-48FB-8D4A-AB3009BA063E}"/>
            </a:ext>
          </a:extLst>
        </xdr:cNvPr>
        <xdr:cNvSpPr/>
      </xdr:nvSpPr>
      <xdr:spPr>
        <a:xfrm>
          <a:off x="3369469" y="1871316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185" name="Arrow: Up 206">
          <a:extLst>
            <a:ext uri="{FF2B5EF4-FFF2-40B4-BE49-F238E27FC236}">
              <a16:creationId xmlns:a16="http://schemas.microsoft.com/office/drawing/2014/main" id="{FCFD7E58-0B7C-40F7-BFAA-12A3F3695D98}"/>
            </a:ext>
          </a:extLst>
        </xdr:cNvPr>
        <xdr:cNvSpPr/>
      </xdr:nvSpPr>
      <xdr:spPr>
        <a:xfrm>
          <a:off x="1275917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C4EC986E-C396-4903-B297-4104C8DB51D7}"/>
            </a:ext>
          </a:extLst>
        </xdr:cNvPr>
        <xdr:cNvSpPr/>
      </xdr:nvSpPr>
      <xdr:spPr>
        <a:xfrm>
          <a:off x="85598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28FCA232-77F3-4CDC-91A5-D8FC6AB099BE}"/>
            </a:ext>
          </a:extLst>
        </xdr:cNvPr>
        <xdr:cNvSpPr/>
      </xdr:nvSpPr>
      <xdr:spPr>
        <a:xfrm>
          <a:off x="959485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25530E63-DA40-495A-AF4A-C4F3F0EF2CBA}"/>
            </a:ext>
          </a:extLst>
        </xdr:cNvPr>
        <xdr:cNvSpPr/>
      </xdr:nvSpPr>
      <xdr:spPr>
        <a:xfrm>
          <a:off x="10560050" y="19824700"/>
          <a:ext cx="5358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C73BEFFD-9CE5-4D05-9096-06B5FA913DA7}"/>
            </a:ext>
          </a:extLst>
        </xdr:cNvPr>
        <xdr:cNvSpPr/>
      </xdr:nvSpPr>
      <xdr:spPr>
        <a:xfrm>
          <a:off x="117030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2720851F-98D0-4CDE-9AD4-65FE2E66E49E}"/>
            </a:ext>
          </a:extLst>
        </xdr:cNvPr>
        <xdr:cNvSpPr/>
      </xdr:nvSpPr>
      <xdr:spPr>
        <a:xfrm>
          <a:off x="12655550" y="198247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1427C741-7AE4-4967-8D5C-06405C6DFB03}"/>
            </a:ext>
          </a:extLst>
        </xdr:cNvPr>
        <xdr:cNvSpPr/>
      </xdr:nvSpPr>
      <xdr:spPr>
        <a:xfrm>
          <a:off x="1370330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D0F0CBE0-082A-4CF6-8953-13CE9BEF46C2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193" name="Arrow: Up 214">
          <a:extLst>
            <a:ext uri="{FF2B5EF4-FFF2-40B4-BE49-F238E27FC236}">
              <a16:creationId xmlns:a16="http://schemas.microsoft.com/office/drawing/2014/main" id="{42CD9864-7D59-4D7D-8234-00AA2D801EF5}"/>
            </a:ext>
          </a:extLst>
        </xdr:cNvPr>
        <xdr:cNvSpPr/>
      </xdr:nvSpPr>
      <xdr:spPr>
        <a:xfrm>
          <a:off x="10247312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194" name="Arrow: Up 215">
          <a:extLst>
            <a:ext uri="{FF2B5EF4-FFF2-40B4-BE49-F238E27FC236}">
              <a16:creationId xmlns:a16="http://schemas.microsoft.com/office/drawing/2014/main" id="{84B43F9D-9F8F-40A9-889A-BEB34AEBC51C}"/>
            </a:ext>
          </a:extLst>
        </xdr:cNvPr>
        <xdr:cNvSpPr/>
      </xdr:nvSpPr>
      <xdr:spPr>
        <a:xfrm>
          <a:off x="11141869" y="1870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195" name="Arrow: Up 216">
          <a:extLst>
            <a:ext uri="{FF2B5EF4-FFF2-40B4-BE49-F238E27FC236}">
              <a16:creationId xmlns:a16="http://schemas.microsoft.com/office/drawing/2014/main" id="{09BB24D5-E6D7-407F-8E88-5B96BE83D029}"/>
            </a:ext>
          </a:extLst>
        </xdr:cNvPr>
        <xdr:cNvSpPr/>
      </xdr:nvSpPr>
      <xdr:spPr>
        <a:xfrm>
          <a:off x="1244527" y="2019083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BB972C52-07E6-4BF6-AE16-1924D8714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9800" y="18167350"/>
          <a:ext cx="569295" cy="197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197" name="Picture 196">
          <a:extLst>
            <a:ext uri="{FF2B5EF4-FFF2-40B4-BE49-F238E27FC236}">
              <a16:creationId xmlns:a16="http://schemas.microsoft.com/office/drawing/2014/main" id="{1B35022E-41C9-4C83-9580-36433B1B3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4850" y="181673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B6A08-A35A-408F-88D7-03307B849C7E}"/>
            </a:ext>
          </a:extLst>
        </xdr:cNvPr>
        <xdr:cNvSpPr/>
      </xdr:nvSpPr>
      <xdr:spPr>
        <a:xfrm>
          <a:off x="7457831" y="10986476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F8E458EC-4DAD-474E-8E97-7050749D9238}"/>
            </a:ext>
          </a:extLst>
        </xdr:cNvPr>
        <xdr:cNvSpPr/>
      </xdr:nvSpPr>
      <xdr:spPr>
        <a:xfrm>
          <a:off x="855980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44397CDB-294F-4D91-B463-D70F8C37A900}"/>
            </a:ext>
          </a:extLst>
        </xdr:cNvPr>
        <xdr:cNvSpPr/>
      </xdr:nvSpPr>
      <xdr:spPr>
        <a:xfrm>
          <a:off x="11715262" y="12450884"/>
          <a:ext cx="533888" cy="36309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9E52F3BE-8266-4EE8-801C-A6E09BACED98}"/>
            </a:ext>
          </a:extLst>
        </xdr:cNvPr>
        <xdr:cNvSpPr/>
      </xdr:nvSpPr>
      <xdr:spPr>
        <a:xfrm>
          <a:off x="105600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C71F61A-BE86-4D3E-B79E-060EB62B9F93}"/>
            </a:ext>
          </a:extLst>
        </xdr:cNvPr>
        <xdr:cNvSpPr/>
      </xdr:nvSpPr>
      <xdr:spPr>
        <a:xfrm>
          <a:off x="641350" y="13935541"/>
          <a:ext cx="538037" cy="35179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81C2846B-BD25-4375-BE96-E7149F8F445E}"/>
            </a:ext>
          </a:extLst>
        </xdr:cNvPr>
        <xdr:cNvSpPr/>
      </xdr:nvSpPr>
      <xdr:spPr>
        <a:xfrm>
          <a:off x="13703300" y="124523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63968E4B-ABB9-4974-90AA-D5BD2EDE2532}"/>
            </a:ext>
          </a:extLst>
        </xdr:cNvPr>
        <xdr:cNvSpPr/>
      </xdr:nvSpPr>
      <xdr:spPr>
        <a:xfrm>
          <a:off x="12655550" y="12452350"/>
          <a:ext cx="529492" cy="37115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7FD1CC56-954D-4B75-BA39-0A60A40FF7E6}"/>
            </a:ext>
          </a:extLst>
        </xdr:cNvPr>
        <xdr:cNvSpPr/>
      </xdr:nvSpPr>
      <xdr:spPr>
        <a:xfrm>
          <a:off x="1631950" y="13925550"/>
          <a:ext cx="5485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16912</xdr:rowOff>
    </xdr:from>
    <xdr:to>
      <xdr:col>12</xdr:col>
      <xdr:colOff>11616</xdr:colOff>
      <xdr:row>76</xdr:row>
      <xdr:rowOff>0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142F3AA0-71E8-4E56-B4BB-A4EF296E59B0}"/>
            </a:ext>
          </a:extLst>
        </xdr:cNvPr>
        <xdr:cNvSpPr/>
      </xdr:nvSpPr>
      <xdr:spPr>
        <a:xfrm>
          <a:off x="3714750" y="13942462"/>
          <a:ext cx="570416" cy="3513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A1D6C908-9B2C-4568-B323-3511E81631D4}"/>
            </a:ext>
          </a:extLst>
        </xdr:cNvPr>
        <xdr:cNvSpPr/>
      </xdr:nvSpPr>
      <xdr:spPr>
        <a:xfrm>
          <a:off x="4660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F86628B0-4295-486A-B4EA-30D054113D72}"/>
            </a:ext>
          </a:extLst>
        </xdr:cNvPr>
        <xdr:cNvSpPr/>
      </xdr:nvSpPr>
      <xdr:spPr>
        <a:xfrm>
          <a:off x="26797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87B0AE9A-A26D-4C39-AA1D-CCBB6DE1F443}"/>
            </a:ext>
          </a:extLst>
        </xdr:cNvPr>
        <xdr:cNvSpPr/>
      </xdr:nvSpPr>
      <xdr:spPr>
        <a:xfrm>
          <a:off x="7454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5DC86721-3DA7-4D21-B38B-028CEC12E07F}"/>
            </a:ext>
          </a:extLst>
        </xdr:cNvPr>
        <xdr:cNvSpPr/>
      </xdr:nvSpPr>
      <xdr:spPr>
        <a:xfrm>
          <a:off x="85598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C9A893C2-7473-453A-9946-FCC81AD35015}"/>
            </a:ext>
          </a:extLst>
        </xdr:cNvPr>
        <xdr:cNvSpPr/>
      </xdr:nvSpPr>
      <xdr:spPr>
        <a:xfrm>
          <a:off x="9594850" y="1392555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854BEAC8-253C-4084-B656-525B3761299F}"/>
            </a:ext>
          </a:extLst>
        </xdr:cNvPr>
        <xdr:cNvSpPr/>
      </xdr:nvSpPr>
      <xdr:spPr>
        <a:xfrm>
          <a:off x="1170305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98126CA9-9BE7-4982-B528-329B7A8451FF}"/>
            </a:ext>
          </a:extLst>
        </xdr:cNvPr>
        <xdr:cNvSpPr/>
      </xdr:nvSpPr>
      <xdr:spPr>
        <a:xfrm>
          <a:off x="652174" y="673671"/>
          <a:ext cx="535841" cy="35179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AC14B131-C042-4FDF-8131-6F2BDC6D67E1}"/>
            </a:ext>
          </a:extLst>
        </xdr:cNvPr>
        <xdr:cNvSpPr/>
      </xdr:nvSpPr>
      <xdr:spPr>
        <a:xfrm>
          <a:off x="653415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C0F98B88-17DA-4911-A706-83BB55D7D48B}"/>
            </a:ext>
          </a:extLst>
        </xdr:cNvPr>
        <xdr:cNvSpPr/>
      </xdr:nvSpPr>
      <xdr:spPr>
        <a:xfrm>
          <a:off x="37147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D5B9A2F7-5D6B-4D34-B0FE-E067BB5DFAFD}"/>
            </a:ext>
          </a:extLst>
        </xdr:cNvPr>
        <xdr:cNvSpPr/>
      </xdr:nvSpPr>
      <xdr:spPr>
        <a:xfrm>
          <a:off x="267970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561D7E5E-3419-4914-8E76-CE7335FFBF36}"/>
            </a:ext>
          </a:extLst>
        </xdr:cNvPr>
        <xdr:cNvSpPr/>
      </xdr:nvSpPr>
      <xdr:spPr>
        <a:xfrm>
          <a:off x="85721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9712427E-34A5-48CF-85BE-AD05F8972161}"/>
            </a:ext>
          </a:extLst>
        </xdr:cNvPr>
        <xdr:cNvSpPr/>
      </xdr:nvSpPr>
      <xdr:spPr>
        <a:xfrm>
          <a:off x="55689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60E51434-9E4C-4B1B-B776-3DAB364CC5EE}"/>
            </a:ext>
          </a:extLst>
        </xdr:cNvPr>
        <xdr:cNvSpPr/>
      </xdr:nvSpPr>
      <xdr:spPr>
        <a:xfrm>
          <a:off x="9594850" y="109791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1A7A3C66-CD19-4B8A-9172-EF84AB5AAB11}"/>
            </a:ext>
          </a:extLst>
        </xdr:cNvPr>
        <xdr:cNvSpPr/>
      </xdr:nvSpPr>
      <xdr:spPr>
        <a:xfrm>
          <a:off x="558132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D06A0503-73C2-43A9-B604-F81B88FF3180}"/>
            </a:ext>
          </a:extLst>
        </xdr:cNvPr>
        <xdr:cNvSpPr/>
      </xdr:nvSpPr>
      <xdr:spPr>
        <a:xfrm>
          <a:off x="13703300" y="154051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1035DC72-07C9-4CAE-AB53-DAB6AD36F0BC}"/>
            </a:ext>
          </a:extLst>
        </xdr:cNvPr>
        <xdr:cNvSpPr/>
      </xdr:nvSpPr>
      <xdr:spPr>
        <a:xfrm>
          <a:off x="12655550" y="154051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FAEF34B0-437D-4E27-AD7E-46547D454B97}"/>
            </a:ext>
          </a:extLst>
        </xdr:cNvPr>
        <xdr:cNvSpPr/>
      </xdr:nvSpPr>
      <xdr:spPr>
        <a:xfrm>
          <a:off x="12655550" y="10979150"/>
          <a:ext cx="52949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36A60B33-0C1E-4F2A-A612-217658C8BEDF}"/>
            </a:ext>
          </a:extLst>
        </xdr:cNvPr>
        <xdr:cNvSpPr/>
      </xdr:nvSpPr>
      <xdr:spPr>
        <a:xfrm>
          <a:off x="117030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177476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A57F64AD-E115-40EB-BECB-1525B051D00E}"/>
            </a:ext>
          </a:extLst>
        </xdr:cNvPr>
        <xdr:cNvSpPr/>
      </xdr:nvSpPr>
      <xdr:spPr>
        <a:xfrm>
          <a:off x="13703300" y="109791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9F6C6FC6-D456-4088-8B9D-55597121B21A}"/>
            </a:ext>
          </a:extLst>
        </xdr:cNvPr>
        <xdr:cNvSpPr/>
      </xdr:nvSpPr>
      <xdr:spPr>
        <a:xfrm>
          <a:off x="64135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2F9EAF66-C569-4DC2-9BEB-B75940C9BA33}"/>
            </a:ext>
          </a:extLst>
        </xdr:cNvPr>
        <xdr:cNvSpPr/>
      </xdr:nvSpPr>
      <xdr:spPr>
        <a:xfrm>
          <a:off x="1631950" y="168783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A8D5996B-346A-49A6-A737-3B9C08BC3A3A}"/>
            </a:ext>
          </a:extLst>
        </xdr:cNvPr>
        <xdr:cNvSpPr/>
      </xdr:nvSpPr>
      <xdr:spPr>
        <a:xfrm>
          <a:off x="6413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68813817-8385-4F63-8883-D7F8C9788EEE}"/>
            </a:ext>
          </a:extLst>
        </xdr:cNvPr>
        <xdr:cNvSpPr/>
      </xdr:nvSpPr>
      <xdr:spPr>
        <a:xfrm>
          <a:off x="466090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38E8D964-BF6A-4004-831A-16C187028358}"/>
            </a:ext>
          </a:extLst>
        </xdr:cNvPr>
        <xdr:cNvSpPr/>
      </xdr:nvSpPr>
      <xdr:spPr>
        <a:xfrm>
          <a:off x="12655550" y="183515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8CC32B4C-D517-4A17-8BB7-95258E7D15BB}"/>
            </a:ext>
          </a:extLst>
        </xdr:cNvPr>
        <xdr:cNvSpPr/>
      </xdr:nvSpPr>
      <xdr:spPr>
        <a:xfrm>
          <a:off x="46732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3E5A99D3-15A0-494B-870D-5A32399791E5}"/>
            </a:ext>
          </a:extLst>
        </xdr:cNvPr>
        <xdr:cNvSpPr/>
      </xdr:nvSpPr>
      <xdr:spPr>
        <a:xfrm>
          <a:off x="1170305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F5E2431C-9D86-49CB-AA63-9EA61F7EB5FF}"/>
            </a:ext>
          </a:extLst>
        </xdr:cNvPr>
        <xdr:cNvSpPr/>
      </xdr:nvSpPr>
      <xdr:spPr>
        <a:xfrm>
          <a:off x="6546056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B5BC51C4-4369-4A76-9DAD-7D9EFC715EBE}"/>
            </a:ext>
          </a:extLst>
        </xdr:cNvPr>
        <xdr:cNvSpPr/>
      </xdr:nvSpPr>
      <xdr:spPr>
        <a:xfrm>
          <a:off x="13703300" y="183515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B260A092-485F-47C5-95E4-C2DAC684A980}"/>
            </a:ext>
          </a:extLst>
        </xdr:cNvPr>
        <xdr:cNvSpPr/>
      </xdr:nvSpPr>
      <xdr:spPr>
        <a:xfrm>
          <a:off x="26797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D3781BB8-C0E8-4FB9-B20A-D84C824FCBA3}"/>
            </a:ext>
          </a:extLst>
        </xdr:cNvPr>
        <xdr:cNvSpPr/>
      </xdr:nvSpPr>
      <xdr:spPr>
        <a:xfrm>
          <a:off x="6534150" y="154051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7BC244AD-F006-49AC-9265-70ECF7C849ED}"/>
            </a:ext>
          </a:extLst>
        </xdr:cNvPr>
        <xdr:cNvSpPr/>
      </xdr:nvSpPr>
      <xdr:spPr>
        <a:xfrm>
          <a:off x="641350" y="15405100"/>
          <a:ext cx="535841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AA2D95AC-B74F-49EB-A680-F18343169491}"/>
            </a:ext>
          </a:extLst>
        </xdr:cNvPr>
        <xdr:cNvSpPr/>
      </xdr:nvSpPr>
      <xdr:spPr>
        <a:xfrm>
          <a:off x="371475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93209F75-B843-424F-8E6E-4EEC92398181}"/>
            </a:ext>
          </a:extLst>
        </xdr:cNvPr>
        <xdr:cNvSpPr/>
      </xdr:nvSpPr>
      <xdr:spPr>
        <a:xfrm>
          <a:off x="6413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464BAF69-F657-4361-9F56-47C8F45D7370}"/>
            </a:ext>
          </a:extLst>
        </xdr:cNvPr>
        <xdr:cNvSpPr/>
      </xdr:nvSpPr>
      <xdr:spPr>
        <a:xfrm>
          <a:off x="26797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24DAD465-B290-437F-8FFA-BF1F661D3498}"/>
            </a:ext>
          </a:extLst>
        </xdr:cNvPr>
        <xdr:cNvSpPr/>
      </xdr:nvSpPr>
      <xdr:spPr>
        <a:xfrm>
          <a:off x="46609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A5616C60-D712-4B8E-B5EE-3161AB9692C9}"/>
            </a:ext>
          </a:extLst>
        </xdr:cNvPr>
        <xdr:cNvSpPr/>
      </xdr:nvSpPr>
      <xdr:spPr>
        <a:xfrm>
          <a:off x="1631950" y="15405100"/>
          <a:ext cx="5485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4DC50515-A2F7-4706-8F82-9E9FF618B0CB}"/>
            </a:ext>
          </a:extLst>
        </xdr:cNvPr>
        <xdr:cNvSpPr/>
      </xdr:nvSpPr>
      <xdr:spPr>
        <a:xfrm>
          <a:off x="37147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8EB3C926-17AF-44CD-A05D-533848CA31C8}"/>
            </a:ext>
          </a:extLst>
        </xdr:cNvPr>
        <xdr:cNvSpPr/>
      </xdr:nvSpPr>
      <xdr:spPr>
        <a:xfrm>
          <a:off x="10560050" y="16878300"/>
          <a:ext cx="51443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96FC3FA2-083A-4CBF-8BD5-E3272A35CE46}"/>
            </a:ext>
          </a:extLst>
        </xdr:cNvPr>
        <xdr:cNvSpPr/>
      </xdr:nvSpPr>
      <xdr:spPr>
        <a:xfrm>
          <a:off x="1631950" y="198247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C16B67E8-E979-4E22-BFAA-C91BF244AB80}"/>
            </a:ext>
          </a:extLst>
        </xdr:cNvPr>
        <xdr:cNvSpPr/>
      </xdr:nvSpPr>
      <xdr:spPr>
        <a:xfrm>
          <a:off x="85598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AFAF86D9-4AA0-4541-8392-9987730B6431}"/>
            </a:ext>
          </a:extLst>
        </xdr:cNvPr>
        <xdr:cNvSpPr/>
      </xdr:nvSpPr>
      <xdr:spPr>
        <a:xfrm>
          <a:off x="37147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1710DD79-D5D2-4948-8873-C51C3E3C2450}"/>
            </a:ext>
          </a:extLst>
        </xdr:cNvPr>
        <xdr:cNvSpPr/>
      </xdr:nvSpPr>
      <xdr:spPr>
        <a:xfrm>
          <a:off x="13703300" y="13925550"/>
          <a:ext cx="523141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D175ED84-14CA-4E83-B65B-87AFEEB51905}"/>
            </a:ext>
          </a:extLst>
        </xdr:cNvPr>
        <xdr:cNvSpPr/>
      </xdr:nvSpPr>
      <xdr:spPr>
        <a:xfrm>
          <a:off x="9594850" y="168783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9951CA3B-3401-47AF-83D8-95B6632FBF24}"/>
            </a:ext>
          </a:extLst>
        </xdr:cNvPr>
        <xdr:cNvSpPr/>
      </xdr:nvSpPr>
      <xdr:spPr>
        <a:xfrm>
          <a:off x="55689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99818119-0EEE-4657-AC4C-443566ED6ED5}"/>
            </a:ext>
          </a:extLst>
        </xdr:cNvPr>
        <xdr:cNvSpPr/>
      </xdr:nvSpPr>
      <xdr:spPr>
        <a:xfrm>
          <a:off x="9594850" y="198247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CB9A5A9D-599A-4AF0-9CA5-F6C1FC5B7F18}"/>
            </a:ext>
          </a:extLst>
        </xdr:cNvPr>
        <xdr:cNvSpPr/>
      </xdr:nvSpPr>
      <xdr:spPr>
        <a:xfrm>
          <a:off x="13703300" y="168783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FBE2F169-3E85-4C08-93E0-549AA183D260}"/>
            </a:ext>
          </a:extLst>
        </xdr:cNvPr>
        <xdr:cNvSpPr/>
      </xdr:nvSpPr>
      <xdr:spPr>
        <a:xfrm>
          <a:off x="85598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733EB5FF-ADFD-4CC3-A4C9-7CC454D24620}"/>
            </a:ext>
          </a:extLst>
        </xdr:cNvPr>
        <xdr:cNvSpPr/>
      </xdr:nvSpPr>
      <xdr:spPr>
        <a:xfrm>
          <a:off x="46609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F58BC973-088A-4E10-B52E-6882CCF52005}"/>
            </a:ext>
          </a:extLst>
        </xdr:cNvPr>
        <xdr:cNvSpPr/>
      </xdr:nvSpPr>
      <xdr:spPr>
        <a:xfrm>
          <a:off x="1631950" y="183515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AA64B9D9-8D6B-4007-8A4A-6E6C50F3BA8E}"/>
            </a:ext>
          </a:extLst>
        </xdr:cNvPr>
        <xdr:cNvSpPr/>
      </xdr:nvSpPr>
      <xdr:spPr>
        <a:xfrm>
          <a:off x="6534150" y="168783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BF9E9024-8258-4AB7-A9DA-0FCBAA97DA86}"/>
            </a:ext>
          </a:extLst>
        </xdr:cNvPr>
        <xdr:cNvSpPr/>
      </xdr:nvSpPr>
      <xdr:spPr>
        <a:xfrm>
          <a:off x="74549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C992872E-8C64-454A-986D-35A0BDF485C8}"/>
            </a:ext>
          </a:extLst>
        </xdr:cNvPr>
        <xdr:cNvSpPr/>
      </xdr:nvSpPr>
      <xdr:spPr>
        <a:xfrm>
          <a:off x="12655550" y="168783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D7799AE0-0EE1-4123-93B6-DE64EBAA77AB}"/>
            </a:ext>
          </a:extLst>
        </xdr:cNvPr>
        <xdr:cNvSpPr/>
      </xdr:nvSpPr>
      <xdr:spPr>
        <a:xfrm>
          <a:off x="6534150" y="198247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B1B89E18-2022-492D-BAFF-76EB2E0BC03E}"/>
            </a:ext>
          </a:extLst>
        </xdr:cNvPr>
        <xdr:cNvSpPr/>
      </xdr:nvSpPr>
      <xdr:spPr>
        <a:xfrm>
          <a:off x="855980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CDCCB9B0-F52A-4BBF-8B1B-9E706C72C913}"/>
            </a:ext>
          </a:extLst>
        </xdr:cNvPr>
        <xdr:cNvSpPr/>
      </xdr:nvSpPr>
      <xdr:spPr>
        <a:xfrm>
          <a:off x="117030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C8E6B025-78E0-488B-882E-65970040EF3B}"/>
            </a:ext>
          </a:extLst>
        </xdr:cNvPr>
        <xdr:cNvSpPr/>
      </xdr:nvSpPr>
      <xdr:spPr>
        <a:xfrm>
          <a:off x="65341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D4FE8895-4829-4CF7-AAB4-A9C7FAF872AE}"/>
            </a:ext>
          </a:extLst>
        </xdr:cNvPr>
        <xdr:cNvSpPr/>
      </xdr:nvSpPr>
      <xdr:spPr>
        <a:xfrm>
          <a:off x="4660900" y="2127250"/>
          <a:ext cx="535841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A964627D-4ECD-4C4C-9D7C-D9058D764555}"/>
            </a:ext>
          </a:extLst>
        </xdr:cNvPr>
        <xdr:cNvSpPr/>
      </xdr:nvSpPr>
      <xdr:spPr>
        <a:xfrm>
          <a:off x="7454900" y="2127250"/>
          <a:ext cx="535841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8D83CB77-D2B5-4A3F-873A-9A02F00D4E8F}"/>
            </a:ext>
          </a:extLst>
        </xdr:cNvPr>
        <xdr:cNvSpPr/>
      </xdr:nvSpPr>
      <xdr:spPr>
        <a:xfrm>
          <a:off x="8563257" y="663355"/>
          <a:ext cx="540481" cy="3566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935639EB-C48C-4EA2-9496-68C6379D221B}"/>
            </a:ext>
          </a:extLst>
        </xdr:cNvPr>
        <xdr:cNvSpPr/>
      </xdr:nvSpPr>
      <xdr:spPr>
        <a:xfrm>
          <a:off x="6536871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62</xdr:col>
      <xdr:colOff>278606</xdr:colOff>
      <xdr:row>64</xdr:row>
      <xdr:rowOff>130969</xdr:rowOff>
    </xdr:from>
    <xdr:to>
      <xdr:col>62</xdr:col>
      <xdr:colOff>466322</xdr:colOff>
      <xdr:row>65</xdr:row>
      <xdr:rowOff>130969</xdr:rowOff>
    </xdr:to>
    <xdr:sp macro="" textlink="">
      <xdr:nvSpPr>
        <xdr:cNvPr id="268" name="5-Point Star 520">
          <a:extLst>
            <a:ext uri="{FF2B5EF4-FFF2-40B4-BE49-F238E27FC236}">
              <a16:creationId xmlns:a16="http://schemas.microsoft.com/office/drawing/2014/main" id="{33946D7F-3ECB-4493-8BE3-638F02AAB1C9}"/>
            </a:ext>
          </a:extLst>
        </xdr:cNvPr>
        <xdr:cNvSpPr/>
      </xdr:nvSpPr>
      <xdr:spPr>
        <a:xfrm flipH="1">
          <a:off x="23678356" y="1221501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269" name="Curved Connector 522">
          <a:extLst>
            <a:ext uri="{FF2B5EF4-FFF2-40B4-BE49-F238E27FC236}">
              <a16:creationId xmlns:a16="http://schemas.microsoft.com/office/drawing/2014/main" id="{48184E06-ACEF-42A7-AEF6-90AFBF292E6B}"/>
            </a:ext>
          </a:extLst>
        </xdr:cNvPr>
        <xdr:cNvCxnSpPr/>
      </xdr:nvCxnSpPr>
      <xdr:spPr>
        <a:xfrm rot="16200000" flipH="1">
          <a:off x="3494852" y="37401737"/>
          <a:ext cx="10584" cy="103505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1ABB7384-9628-42E0-87EB-38F5640118E7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68AEEE64-E75A-4CA4-9220-A2D98D38473B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A0C525B1-9679-4CF7-B8B4-34E250AB84C7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EC52394B-4673-489E-BA5D-76A2AA0A3CB0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A6ADE04-35D0-4067-A3E9-716F9EB8E0A2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B9816170-7634-4D08-96D3-9F377FD01B85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256442</xdr:colOff>
      <xdr:row>171</xdr:row>
      <xdr:rowOff>183173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F37FA1E-511B-4217-977A-8989A8BD39B7}"/>
            </a:ext>
          </a:extLst>
        </xdr:cNvPr>
        <xdr:cNvSpPr/>
      </xdr:nvSpPr>
      <xdr:spPr>
        <a:xfrm>
          <a:off x="641350" y="31610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C204BDCD-96BB-4161-8557-7490A26DA726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5D00E46-B564-4D08-8EF3-23983DF10B36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D6C7F764-F7D0-40F3-9BBA-CA1B5C0E805C}"/>
            </a:ext>
          </a:extLst>
        </xdr:cNvPr>
        <xdr:cNvSpPr/>
      </xdr:nvSpPr>
      <xdr:spPr>
        <a:xfrm>
          <a:off x="1631950" y="21297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D4B62FC9-A71C-4043-88FD-21EE36D77CF2}"/>
            </a:ext>
          </a:extLst>
        </xdr:cNvPr>
        <xdr:cNvSpPr/>
      </xdr:nvSpPr>
      <xdr:spPr>
        <a:xfrm>
          <a:off x="26797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BC5BAD3C-BE70-4FB0-997A-381769BB714A}"/>
            </a:ext>
          </a:extLst>
        </xdr:cNvPr>
        <xdr:cNvSpPr/>
      </xdr:nvSpPr>
      <xdr:spPr>
        <a:xfrm>
          <a:off x="37147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72CC2902-0485-42B1-AD1F-94EC32D0AB1F}"/>
            </a:ext>
          </a:extLst>
        </xdr:cNvPr>
        <xdr:cNvSpPr/>
      </xdr:nvSpPr>
      <xdr:spPr>
        <a:xfrm>
          <a:off x="46609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D49ED86-A2EE-4F94-B1A5-B3285501839C}"/>
            </a:ext>
          </a:extLst>
        </xdr:cNvPr>
        <xdr:cNvSpPr/>
      </xdr:nvSpPr>
      <xdr:spPr>
        <a:xfrm>
          <a:off x="55689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BB475AA1-7540-4703-B562-C61185071437}"/>
            </a:ext>
          </a:extLst>
        </xdr:cNvPr>
        <xdr:cNvSpPr/>
      </xdr:nvSpPr>
      <xdr:spPr>
        <a:xfrm>
          <a:off x="65341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16EE9A9C-91B4-45D8-BB5E-41AB31239CC2}"/>
            </a:ext>
          </a:extLst>
        </xdr:cNvPr>
        <xdr:cNvSpPr/>
      </xdr:nvSpPr>
      <xdr:spPr>
        <a:xfrm>
          <a:off x="7454900" y="212979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C1562930-83B9-4BD9-BDD1-7A57FAC0C6D8}"/>
            </a:ext>
          </a:extLst>
        </xdr:cNvPr>
        <xdr:cNvSpPr/>
      </xdr:nvSpPr>
      <xdr:spPr>
        <a:xfrm>
          <a:off x="8559800" y="212979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1BDDE4D4-260D-4739-AD2E-C36A9E933B79}"/>
            </a:ext>
          </a:extLst>
        </xdr:cNvPr>
        <xdr:cNvSpPr/>
      </xdr:nvSpPr>
      <xdr:spPr>
        <a:xfrm>
          <a:off x="959485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5A39BFA8-8438-43BC-8224-61C2139C152F}"/>
            </a:ext>
          </a:extLst>
        </xdr:cNvPr>
        <xdr:cNvSpPr/>
      </xdr:nvSpPr>
      <xdr:spPr>
        <a:xfrm>
          <a:off x="10560050" y="212979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B73F7198-80B0-4514-9801-ADA938FAC52F}"/>
            </a:ext>
          </a:extLst>
        </xdr:cNvPr>
        <xdr:cNvSpPr/>
      </xdr:nvSpPr>
      <xdr:spPr>
        <a:xfrm>
          <a:off x="11703050" y="212979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7F78F798-8408-4413-96CD-E897FF6909AF}"/>
            </a:ext>
          </a:extLst>
        </xdr:cNvPr>
        <xdr:cNvSpPr/>
      </xdr:nvSpPr>
      <xdr:spPr>
        <a:xfrm>
          <a:off x="12655550" y="212979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7B11B1A3-328C-4AF7-98AD-801E8A1D5B9E}"/>
            </a:ext>
          </a:extLst>
        </xdr:cNvPr>
        <xdr:cNvSpPr/>
      </xdr:nvSpPr>
      <xdr:spPr>
        <a:xfrm>
          <a:off x="1370330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292" name="Picture 291" descr="A black and white symbol&#10;&#10;Description automatically generated">
          <a:extLst>
            <a:ext uri="{FF2B5EF4-FFF2-40B4-BE49-F238E27FC236}">
              <a16:creationId xmlns:a16="http://schemas.microsoft.com/office/drawing/2014/main" id="{7FB9497E-2E9B-4533-B8C6-6864359AF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701008E3-6517-447D-922F-60A7EF98AF92}"/>
            </a:ext>
          </a:extLst>
        </xdr:cNvPr>
        <xdr:cNvSpPr/>
      </xdr:nvSpPr>
      <xdr:spPr>
        <a:xfrm>
          <a:off x="6413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8B749F2-8C8D-45A8-9FF1-4E9CDA592B58}"/>
            </a:ext>
          </a:extLst>
        </xdr:cNvPr>
        <xdr:cNvSpPr/>
      </xdr:nvSpPr>
      <xdr:spPr>
        <a:xfrm>
          <a:off x="26797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1D9DC535-8EAA-492E-A081-AEB4A2A2E9FA}"/>
            </a:ext>
          </a:extLst>
        </xdr:cNvPr>
        <xdr:cNvSpPr/>
      </xdr:nvSpPr>
      <xdr:spPr>
        <a:xfrm>
          <a:off x="1631950" y="212979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C102FECF-8734-47FA-B27C-A4F73FA348C5}"/>
            </a:ext>
          </a:extLst>
        </xdr:cNvPr>
        <xdr:cNvSpPr/>
      </xdr:nvSpPr>
      <xdr:spPr>
        <a:xfrm>
          <a:off x="37147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7826289D-063A-4270-AE8C-D460BDCB4C90}"/>
            </a:ext>
          </a:extLst>
        </xdr:cNvPr>
        <xdr:cNvSpPr/>
      </xdr:nvSpPr>
      <xdr:spPr>
        <a:xfrm>
          <a:off x="55689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A6838817-61D7-4669-B99F-85CA6E3FF8A0}"/>
            </a:ext>
          </a:extLst>
        </xdr:cNvPr>
        <xdr:cNvSpPr/>
      </xdr:nvSpPr>
      <xdr:spPr>
        <a:xfrm>
          <a:off x="9594850" y="212979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C41749F4-14D2-4F05-AEFE-E18647EA2598}"/>
            </a:ext>
          </a:extLst>
        </xdr:cNvPr>
        <xdr:cNvSpPr/>
      </xdr:nvSpPr>
      <xdr:spPr>
        <a:xfrm>
          <a:off x="85598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CE2250DD-8FC6-44BD-8589-57F7450ED22D}"/>
            </a:ext>
          </a:extLst>
        </xdr:cNvPr>
        <xdr:cNvSpPr/>
      </xdr:nvSpPr>
      <xdr:spPr>
        <a:xfrm>
          <a:off x="4660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9A9E0C67-4FF5-41F9-81FB-96260530632A}"/>
            </a:ext>
          </a:extLst>
        </xdr:cNvPr>
        <xdr:cNvSpPr/>
      </xdr:nvSpPr>
      <xdr:spPr>
        <a:xfrm>
          <a:off x="7454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D1BA0D9B-BA83-42B8-AC33-BFD1E4C7AA98}"/>
            </a:ext>
          </a:extLst>
        </xdr:cNvPr>
        <xdr:cNvSpPr/>
      </xdr:nvSpPr>
      <xdr:spPr>
        <a:xfrm>
          <a:off x="6534150" y="212979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6AF7D94C-0137-427B-ACF4-E7781668DDA6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C1DD30DB-4201-4E1D-BBCF-D80238C053DE}"/>
            </a:ext>
          </a:extLst>
        </xdr:cNvPr>
        <xdr:cNvSpPr/>
      </xdr:nvSpPr>
      <xdr:spPr>
        <a:xfrm>
          <a:off x="1631950" y="227711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401B247D-6E63-457C-8C49-FB560C7EA941}"/>
            </a:ext>
          </a:extLst>
        </xdr:cNvPr>
        <xdr:cNvSpPr/>
      </xdr:nvSpPr>
      <xdr:spPr>
        <a:xfrm>
          <a:off x="26797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43A8EF49-88CA-4B2F-9DDA-937AAD80DF6F}"/>
            </a:ext>
          </a:extLst>
        </xdr:cNvPr>
        <xdr:cNvSpPr/>
      </xdr:nvSpPr>
      <xdr:spPr>
        <a:xfrm>
          <a:off x="37147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22F2148-8B85-4437-AB3D-18FAAA3BB188}"/>
            </a:ext>
          </a:extLst>
        </xdr:cNvPr>
        <xdr:cNvSpPr/>
      </xdr:nvSpPr>
      <xdr:spPr>
        <a:xfrm>
          <a:off x="4660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12A3FC11-91A3-46B7-AFBB-7C03529588FC}"/>
            </a:ext>
          </a:extLst>
        </xdr:cNvPr>
        <xdr:cNvSpPr/>
      </xdr:nvSpPr>
      <xdr:spPr>
        <a:xfrm>
          <a:off x="55689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14C0D8B3-471F-45EA-B6D6-74D346FB6BF5}"/>
            </a:ext>
          </a:extLst>
        </xdr:cNvPr>
        <xdr:cNvSpPr/>
      </xdr:nvSpPr>
      <xdr:spPr>
        <a:xfrm>
          <a:off x="65341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6232DD48-9468-4FA6-B9CB-E4F7D6AB61CA}"/>
            </a:ext>
          </a:extLst>
        </xdr:cNvPr>
        <xdr:cNvSpPr/>
      </xdr:nvSpPr>
      <xdr:spPr>
        <a:xfrm>
          <a:off x="7454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AEB95971-6117-4DA6-AF2C-E6BF2843A113}"/>
            </a:ext>
          </a:extLst>
        </xdr:cNvPr>
        <xdr:cNvSpPr/>
      </xdr:nvSpPr>
      <xdr:spPr>
        <a:xfrm>
          <a:off x="85598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B181240F-01B7-4566-9056-73CE25CFEFB2}"/>
            </a:ext>
          </a:extLst>
        </xdr:cNvPr>
        <xdr:cNvSpPr/>
      </xdr:nvSpPr>
      <xdr:spPr>
        <a:xfrm>
          <a:off x="9594850" y="22771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D756AC11-E9C0-4F6A-9A73-9F0DED54DB4B}"/>
            </a:ext>
          </a:extLst>
        </xdr:cNvPr>
        <xdr:cNvSpPr/>
      </xdr:nvSpPr>
      <xdr:spPr>
        <a:xfrm>
          <a:off x="10560050" y="227711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D6844D66-41FC-4438-85BA-B1A77FB1580A}"/>
            </a:ext>
          </a:extLst>
        </xdr:cNvPr>
        <xdr:cNvSpPr/>
      </xdr:nvSpPr>
      <xdr:spPr>
        <a:xfrm>
          <a:off x="11703050" y="227711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6A73260E-456B-446D-802B-0EF2B1240CC3}"/>
            </a:ext>
          </a:extLst>
        </xdr:cNvPr>
        <xdr:cNvSpPr/>
      </xdr:nvSpPr>
      <xdr:spPr>
        <a:xfrm>
          <a:off x="12655550" y="227711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6A8DF9B0-941A-4288-8775-FF33ADBA7DC8}"/>
            </a:ext>
          </a:extLst>
        </xdr:cNvPr>
        <xdr:cNvSpPr/>
      </xdr:nvSpPr>
      <xdr:spPr>
        <a:xfrm>
          <a:off x="13703300" y="22771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317" name="Arrow: Up 351">
          <a:extLst>
            <a:ext uri="{FF2B5EF4-FFF2-40B4-BE49-F238E27FC236}">
              <a16:creationId xmlns:a16="http://schemas.microsoft.com/office/drawing/2014/main" id="{7749206C-BA7F-4FCB-BB50-CFCB4F83C4FD}"/>
            </a:ext>
          </a:extLst>
        </xdr:cNvPr>
        <xdr:cNvSpPr/>
      </xdr:nvSpPr>
      <xdr:spPr>
        <a:xfrm>
          <a:off x="1331118" y="23121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BADF799E-D4A8-4AF7-B72D-3454A701DDFE}"/>
            </a:ext>
          </a:extLst>
        </xdr:cNvPr>
        <xdr:cNvSpPr/>
      </xdr:nvSpPr>
      <xdr:spPr>
        <a:xfrm>
          <a:off x="64135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120B3451-F1D9-48A2-80A5-1764798B3114}"/>
            </a:ext>
          </a:extLst>
        </xdr:cNvPr>
        <xdr:cNvSpPr/>
      </xdr:nvSpPr>
      <xdr:spPr>
        <a:xfrm>
          <a:off x="26797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DD047845-5E3E-4F3C-88F6-DD354AD6C145}"/>
            </a:ext>
          </a:extLst>
        </xdr:cNvPr>
        <xdr:cNvSpPr/>
      </xdr:nvSpPr>
      <xdr:spPr>
        <a:xfrm>
          <a:off x="1631950" y="227711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59277663-2AC2-4C01-83D6-EAD3552539F3}"/>
            </a:ext>
          </a:extLst>
        </xdr:cNvPr>
        <xdr:cNvSpPr/>
      </xdr:nvSpPr>
      <xdr:spPr>
        <a:xfrm>
          <a:off x="371475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FA4061A7-A56D-4CD2-A2E6-61D571865B24}"/>
            </a:ext>
          </a:extLst>
        </xdr:cNvPr>
        <xdr:cNvSpPr/>
      </xdr:nvSpPr>
      <xdr:spPr>
        <a:xfrm>
          <a:off x="556895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104C59C3-522D-4A57-A419-CD76D47C9ED7}"/>
            </a:ext>
          </a:extLst>
        </xdr:cNvPr>
        <xdr:cNvSpPr/>
      </xdr:nvSpPr>
      <xdr:spPr>
        <a:xfrm>
          <a:off x="9594850" y="22771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E5DDCFF2-468B-4455-B1E7-A1A976DB67B1}"/>
            </a:ext>
          </a:extLst>
        </xdr:cNvPr>
        <xdr:cNvSpPr/>
      </xdr:nvSpPr>
      <xdr:spPr>
        <a:xfrm>
          <a:off x="85598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065EF22D-94F3-4C5E-8D90-2ED326D43312}"/>
            </a:ext>
          </a:extLst>
        </xdr:cNvPr>
        <xdr:cNvSpPr/>
      </xdr:nvSpPr>
      <xdr:spPr>
        <a:xfrm>
          <a:off x="46609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57FED15F-3635-4E87-854E-A3E9254079BC}"/>
            </a:ext>
          </a:extLst>
        </xdr:cNvPr>
        <xdr:cNvSpPr/>
      </xdr:nvSpPr>
      <xdr:spPr>
        <a:xfrm>
          <a:off x="74549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80701B2A-2782-49CB-A702-3C6080F34F00}"/>
            </a:ext>
          </a:extLst>
        </xdr:cNvPr>
        <xdr:cNvSpPr/>
      </xdr:nvSpPr>
      <xdr:spPr>
        <a:xfrm>
          <a:off x="6534150" y="227711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8F43DE1D-B677-4CB9-AEF0-3D9A07C28A04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188966</xdr:rowOff>
    </xdr:from>
    <xdr:to>
      <xdr:col>6</xdr:col>
      <xdr:colOff>0</xdr:colOff>
      <xdr:row>132</xdr:row>
      <xdr:rowOff>0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2CBFC974-A5AF-4DE5-B752-0EF9DB275B82}"/>
            </a:ext>
          </a:extLst>
        </xdr:cNvPr>
        <xdr:cNvSpPr/>
      </xdr:nvSpPr>
      <xdr:spPr>
        <a:xfrm>
          <a:off x="1631950" y="24242766"/>
          <a:ext cx="558800" cy="36983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2F4D5F72-9038-4B46-8E99-8957D7149D67}"/>
            </a:ext>
          </a:extLst>
        </xdr:cNvPr>
        <xdr:cNvSpPr/>
      </xdr:nvSpPr>
      <xdr:spPr>
        <a:xfrm>
          <a:off x="26797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15956540-03EB-429C-8950-574E80CA65A4}"/>
            </a:ext>
          </a:extLst>
        </xdr:cNvPr>
        <xdr:cNvSpPr/>
      </xdr:nvSpPr>
      <xdr:spPr>
        <a:xfrm>
          <a:off x="37147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332" name="Isosceles Triangle 331">
          <a:extLst>
            <a:ext uri="{FF2B5EF4-FFF2-40B4-BE49-F238E27FC236}">
              <a16:creationId xmlns:a16="http://schemas.microsoft.com/office/drawing/2014/main" id="{DC3C113A-FCA2-4ABA-A367-1D3E62A9878F}"/>
            </a:ext>
          </a:extLst>
        </xdr:cNvPr>
        <xdr:cNvSpPr/>
      </xdr:nvSpPr>
      <xdr:spPr>
        <a:xfrm>
          <a:off x="4660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98858B8F-AAEB-4D63-91F9-4796A790F282}"/>
            </a:ext>
          </a:extLst>
        </xdr:cNvPr>
        <xdr:cNvSpPr/>
      </xdr:nvSpPr>
      <xdr:spPr>
        <a:xfrm>
          <a:off x="55689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FDDA7516-8375-4920-80CB-8652104A677A}"/>
            </a:ext>
          </a:extLst>
        </xdr:cNvPr>
        <xdr:cNvSpPr/>
      </xdr:nvSpPr>
      <xdr:spPr>
        <a:xfrm>
          <a:off x="65341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335" name="Isosceles Triangle 334">
          <a:extLst>
            <a:ext uri="{FF2B5EF4-FFF2-40B4-BE49-F238E27FC236}">
              <a16:creationId xmlns:a16="http://schemas.microsoft.com/office/drawing/2014/main" id="{C0A75A4D-90F7-4034-B704-7BBE73942693}"/>
            </a:ext>
          </a:extLst>
        </xdr:cNvPr>
        <xdr:cNvSpPr/>
      </xdr:nvSpPr>
      <xdr:spPr>
        <a:xfrm>
          <a:off x="7454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30727A9B-0359-42A4-A32B-BD763E742555}"/>
            </a:ext>
          </a:extLst>
        </xdr:cNvPr>
        <xdr:cNvSpPr/>
      </xdr:nvSpPr>
      <xdr:spPr>
        <a:xfrm>
          <a:off x="85598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337" name="Isosceles Triangle 336">
          <a:extLst>
            <a:ext uri="{FF2B5EF4-FFF2-40B4-BE49-F238E27FC236}">
              <a16:creationId xmlns:a16="http://schemas.microsoft.com/office/drawing/2014/main" id="{1E5642B5-81F7-4C6F-B854-D7C2B0E48723}"/>
            </a:ext>
          </a:extLst>
        </xdr:cNvPr>
        <xdr:cNvSpPr/>
      </xdr:nvSpPr>
      <xdr:spPr>
        <a:xfrm>
          <a:off x="9594850" y="24244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9FD139CE-D194-4628-8D36-2E8EC7DB411C}"/>
            </a:ext>
          </a:extLst>
        </xdr:cNvPr>
        <xdr:cNvSpPr/>
      </xdr:nvSpPr>
      <xdr:spPr>
        <a:xfrm>
          <a:off x="10560050" y="242443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D88F2E9C-097B-48AF-9F26-19F233F45A33}"/>
            </a:ext>
          </a:extLst>
        </xdr:cNvPr>
        <xdr:cNvSpPr/>
      </xdr:nvSpPr>
      <xdr:spPr>
        <a:xfrm>
          <a:off x="11703050" y="242443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340" name="Isosceles Triangle 339">
          <a:extLst>
            <a:ext uri="{FF2B5EF4-FFF2-40B4-BE49-F238E27FC236}">
              <a16:creationId xmlns:a16="http://schemas.microsoft.com/office/drawing/2014/main" id="{28FD61A4-F21F-43ED-B9E2-2E55D77EF6F4}"/>
            </a:ext>
          </a:extLst>
        </xdr:cNvPr>
        <xdr:cNvSpPr/>
      </xdr:nvSpPr>
      <xdr:spPr>
        <a:xfrm>
          <a:off x="12655550" y="242443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BC8D5E4C-4E4D-457B-9769-F49CED61DA2A}"/>
            </a:ext>
          </a:extLst>
        </xdr:cNvPr>
        <xdr:cNvSpPr/>
      </xdr:nvSpPr>
      <xdr:spPr>
        <a:xfrm>
          <a:off x="13703300" y="24244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91B68857-E7FB-45B8-957E-61AF27F6AFE2}"/>
            </a:ext>
          </a:extLst>
        </xdr:cNvPr>
        <xdr:cNvSpPr/>
      </xdr:nvSpPr>
      <xdr:spPr>
        <a:xfrm>
          <a:off x="6413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075EF0C-2286-4577-A7F3-6E1BCDFF8049}"/>
            </a:ext>
          </a:extLst>
        </xdr:cNvPr>
        <xdr:cNvSpPr/>
      </xdr:nvSpPr>
      <xdr:spPr>
        <a:xfrm>
          <a:off x="26797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792C47E8-4F4A-4F32-A286-CDF14D024387}"/>
            </a:ext>
          </a:extLst>
        </xdr:cNvPr>
        <xdr:cNvSpPr/>
      </xdr:nvSpPr>
      <xdr:spPr>
        <a:xfrm>
          <a:off x="37147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92526AFB-CEB7-4067-9912-CD8240E601CF}"/>
            </a:ext>
          </a:extLst>
        </xdr:cNvPr>
        <xdr:cNvSpPr/>
      </xdr:nvSpPr>
      <xdr:spPr>
        <a:xfrm>
          <a:off x="55689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D6CB778-1B9C-4F2C-A6AC-6B8B84C4F77E}"/>
            </a:ext>
          </a:extLst>
        </xdr:cNvPr>
        <xdr:cNvSpPr/>
      </xdr:nvSpPr>
      <xdr:spPr>
        <a:xfrm>
          <a:off x="9594850" y="242443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76FAB83B-C544-4F34-A1A0-3F5600F6AA4A}"/>
            </a:ext>
          </a:extLst>
        </xdr:cNvPr>
        <xdr:cNvSpPr/>
      </xdr:nvSpPr>
      <xdr:spPr>
        <a:xfrm>
          <a:off x="85598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0A567AAD-BCD6-4D69-9E2B-AD80F0C5FB45}"/>
            </a:ext>
          </a:extLst>
        </xdr:cNvPr>
        <xdr:cNvSpPr/>
      </xdr:nvSpPr>
      <xdr:spPr>
        <a:xfrm>
          <a:off x="46609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0D4160B-CD4D-4A3B-A41E-4A9452C0C307}"/>
            </a:ext>
          </a:extLst>
        </xdr:cNvPr>
        <xdr:cNvSpPr/>
      </xdr:nvSpPr>
      <xdr:spPr>
        <a:xfrm>
          <a:off x="74549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CA45E15C-881C-4B0E-94BE-7141DE51CAD8}"/>
            </a:ext>
          </a:extLst>
        </xdr:cNvPr>
        <xdr:cNvSpPr/>
      </xdr:nvSpPr>
      <xdr:spPr>
        <a:xfrm>
          <a:off x="6534150" y="242443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BE854187-F72C-4DA0-B914-A8E949158F04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7A68C5AB-6217-4178-8971-B4346C6A4289}"/>
            </a:ext>
          </a:extLst>
        </xdr:cNvPr>
        <xdr:cNvSpPr/>
      </xdr:nvSpPr>
      <xdr:spPr>
        <a:xfrm>
          <a:off x="1631950" y="25717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BFC7C759-780C-49B3-B768-6BA92A9CE746}"/>
            </a:ext>
          </a:extLst>
        </xdr:cNvPr>
        <xdr:cNvSpPr/>
      </xdr:nvSpPr>
      <xdr:spPr>
        <a:xfrm>
          <a:off x="26797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354" name="Isosceles Triangle 353">
          <a:extLst>
            <a:ext uri="{FF2B5EF4-FFF2-40B4-BE49-F238E27FC236}">
              <a16:creationId xmlns:a16="http://schemas.microsoft.com/office/drawing/2014/main" id="{A171D51E-FC60-43C9-AA2C-947BC897317F}"/>
            </a:ext>
          </a:extLst>
        </xdr:cNvPr>
        <xdr:cNvSpPr/>
      </xdr:nvSpPr>
      <xdr:spPr>
        <a:xfrm>
          <a:off x="37147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355" name="Isosceles Triangle 354">
          <a:extLst>
            <a:ext uri="{FF2B5EF4-FFF2-40B4-BE49-F238E27FC236}">
              <a16:creationId xmlns:a16="http://schemas.microsoft.com/office/drawing/2014/main" id="{EE86F74C-FD78-4E3D-B354-E6A5F8E1DEC4}"/>
            </a:ext>
          </a:extLst>
        </xdr:cNvPr>
        <xdr:cNvSpPr/>
      </xdr:nvSpPr>
      <xdr:spPr>
        <a:xfrm>
          <a:off x="4660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356" name="Isosceles Triangle 355">
          <a:extLst>
            <a:ext uri="{FF2B5EF4-FFF2-40B4-BE49-F238E27FC236}">
              <a16:creationId xmlns:a16="http://schemas.microsoft.com/office/drawing/2014/main" id="{FC2CD78E-8BC5-48B4-94C9-C2A87F5B79F5}"/>
            </a:ext>
          </a:extLst>
        </xdr:cNvPr>
        <xdr:cNvSpPr/>
      </xdr:nvSpPr>
      <xdr:spPr>
        <a:xfrm>
          <a:off x="55689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357" name="Isosceles Triangle 356">
          <a:extLst>
            <a:ext uri="{FF2B5EF4-FFF2-40B4-BE49-F238E27FC236}">
              <a16:creationId xmlns:a16="http://schemas.microsoft.com/office/drawing/2014/main" id="{D218F3F0-BF16-4744-8E23-C304165B108B}"/>
            </a:ext>
          </a:extLst>
        </xdr:cNvPr>
        <xdr:cNvSpPr/>
      </xdr:nvSpPr>
      <xdr:spPr>
        <a:xfrm>
          <a:off x="65341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358" name="Isosceles Triangle 357">
          <a:extLst>
            <a:ext uri="{FF2B5EF4-FFF2-40B4-BE49-F238E27FC236}">
              <a16:creationId xmlns:a16="http://schemas.microsoft.com/office/drawing/2014/main" id="{AB0762A8-705E-4270-AAFB-9D5F4AE2222A}"/>
            </a:ext>
          </a:extLst>
        </xdr:cNvPr>
        <xdr:cNvSpPr/>
      </xdr:nvSpPr>
      <xdr:spPr>
        <a:xfrm>
          <a:off x="7454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359" name="Isosceles Triangle 358">
          <a:extLst>
            <a:ext uri="{FF2B5EF4-FFF2-40B4-BE49-F238E27FC236}">
              <a16:creationId xmlns:a16="http://schemas.microsoft.com/office/drawing/2014/main" id="{EF2AF2F8-5979-4E0A-AC38-4A589FD38C60}"/>
            </a:ext>
          </a:extLst>
        </xdr:cNvPr>
        <xdr:cNvSpPr/>
      </xdr:nvSpPr>
      <xdr:spPr>
        <a:xfrm>
          <a:off x="85598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510E0A28-6345-4BB1-92E4-D877CF4331F9}"/>
            </a:ext>
          </a:extLst>
        </xdr:cNvPr>
        <xdr:cNvSpPr/>
      </xdr:nvSpPr>
      <xdr:spPr>
        <a:xfrm>
          <a:off x="9594850" y="25717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553A24A9-2B09-495E-AF9B-5719BF98A9E4}"/>
            </a:ext>
          </a:extLst>
        </xdr:cNvPr>
        <xdr:cNvSpPr/>
      </xdr:nvSpPr>
      <xdr:spPr>
        <a:xfrm>
          <a:off x="10560050" y="257175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32A125DF-7CB7-4861-B940-B1DC4C331DB4}"/>
            </a:ext>
          </a:extLst>
        </xdr:cNvPr>
        <xdr:cNvSpPr/>
      </xdr:nvSpPr>
      <xdr:spPr>
        <a:xfrm>
          <a:off x="11703050" y="257175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EBAB8427-6803-4F79-9229-0CC7D1067ADD}"/>
            </a:ext>
          </a:extLst>
        </xdr:cNvPr>
        <xdr:cNvSpPr/>
      </xdr:nvSpPr>
      <xdr:spPr>
        <a:xfrm>
          <a:off x="12655550" y="257175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9903F316-E9C1-4D0E-918F-F1F980FDB5BE}"/>
            </a:ext>
          </a:extLst>
        </xdr:cNvPr>
        <xdr:cNvSpPr/>
      </xdr:nvSpPr>
      <xdr:spPr>
        <a:xfrm>
          <a:off x="13703300" y="257175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365" name="Arrow: Up 399">
          <a:extLst>
            <a:ext uri="{FF2B5EF4-FFF2-40B4-BE49-F238E27FC236}">
              <a16:creationId xmlns:a16="http://schemas.microsoft.com/office/drawing/2014/main" id="{F884D6AE-7EEE-4018-8A2F-47DF85E4AE55}"/>
            </a:ext>
          </a:extLst>
        </xdr:cNvPr>
        <xdr:cNvSpPr/>
      </xdr:nvSpPr>
      <xdr:spPr>
        <a:xfrm>
          <a:off x="1331118" y="2606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D7E03A3D-57D8-4567-9CD0-B6143E7898B3}"/>
            </a:ext>
          </a:extLst>
        </xdr:cNvPr>
        <xdr:cNvSpPr/>
      </xdr:nvSpPr>
      <xdr:spPr>
        <a:xfrm>
          <a:off x="64135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94B68964-DCA6-4C6C-8D0B-4E36797845FD}"/>
            </a:ext>
          </a:extLst>
        </xdr:cNvPr>
        <xdr:cNvSpPr/>
      </xdr:nvSpPr>
      <xdr:spPr>
        <a:xfrm>
          <a:off x="26797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E6BC9A0A-498A-4EEE-8840-3C772BE5FB3C}"/>
            </a:ext>
          </a:extLst>
        </xdr:cNvPr>
        <xdr:cNvSpPr/>
      </xdr:nvSpPr>
      <xdr:spPr>
        <a:xfrm>
          <a:off x="1631950" y="257175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22B6C3FC-0AD6-4421-B2C5-4790E8C5D8AC}"/>
            </a:ext>
          </a:extLst>
        </xdr:cNvPr>
        <xdr:cNvSpPr/>
      </xdr:nvSpPr>
      <xdr:spPr>
        <a:xfrm>
          <a:off x="371475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86A5D179-9DAE-406F-A357-630F476EACE4}"/>
            </a:ext>
          </a:extLst>
        </xdr:cNvPr>
        <xdr:cNvSpPr/>
      </xdr:nvSpPr>
      <xdr:spPr>
        <a:xfrm>
          <a:off x="556895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C2CB51BD-9196-407B-821E-CA593A34C13D}"/>
            </a:ext>
          </a:extLst>
        </xdr:cNvPr>
        <xdr:cNvSpPr/>
      </xdr:nvSpPr>
      <xdr:spPr>
        <a:xfrm>
          <a:off x="9594850" y="257175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4E4EC542-2DB0-44CC-9ED4-309C1B649C6B}"/>
            </a:ext>
          </a:extLst>
        </xdr:cNvPr>
        <xdr:cNvSpPr/>
      </xdr:nvSpPr>
      <xdr:spPr>
        <a:xfrm>
          <a:off x="85598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66C3999E-E4EE-4E3B-9FE3-278B26895C49}"/>
            </a:ext>
          </a:extLst>
        </xdr:cNvPr>
        <xdr:cNvSpPr/>
      </xdr:nvSpPr>
      <xdr:spPr>
        <a:xfrm>
          <a:off x="46609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FA42FDE8-2B1C-476B-AB5C-65CD63169CB3}"/>
            </a:ext>
          </a:extLst>
        </xdr:cNvPr>
        <xdr:cNvSpPr/>
      </xdr:nvSpPr>
      <xdr:spPr>
        <a:xfrm>
          <a:off x="74549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E149DF31-6C49-4711-8A6F-41D4C0D4BBB9}"/>
            </a:ext>
          </a:extLst>
        </xdr:cNvPr>
        <xdr:cNvSpPr/>
      </xdr:nvSpPr>
      <xdr:spPr>
        <a:xfrm>
          <a:off x="6534150" y="257175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A614097A-7FC9-4022-9D5A-25D9C8524A93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D4E7E97E-4CFB-434F-9B2C-9DC879AA841E}"/>
            </a:ext>
          </a:extLst>
        </xdr:cNvPr>
        <xdr:cNvSpPr/>
      </xdr:nvSpPr>
      <xdr:spPr>
        <a:xfrm>
          <a:off x="1631950" y="27190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80A93F3E-BBF8-4AF6-BFCA-92D5B0E59A5A}"/>
            </a:ext>
          </a:extLst>
        </xdr:cNvPr>
        <xdr:cNvSpPr/>
      </xdr:nvSpPr>
      <xdr:spPr>
        <a:xfrm>
          <a:off x="26797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C1EB85B8-68A5-47C9-B5E4-A34BD0BF81B0}"/>
            </a:ext>
          </a:extLst>
        </xdr:cNvPr>
        <xdr:cNvSpPr/>
      </xdr:nvSpPr>
      <xdr:spPr>
        <a:xfrm>
          <a:off x="37147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B96F945D-621E-4CE1-99C2-FC8329E3D54C}"/>
            </a:ext>
          </a:extLst>
        </xdr:cNvPr>
        <xdr:cNvSpPr/>
      </xdr:nvSpPr>
      <xdr:spPr>
        <a:xfrm>
          <a:off x="4660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D1062F38-E29C-466A-A259-7061FE69BE6F}"/>
            </a:ext>
          </a:extLst>
        </xdr:cNvPr>
        <xdr:cNvSpPr/>
      </xdr:nvSpPr>
      <xdr:spPr>
        <a:xfrm>
          <a:off x="55689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616089A9-4336-4282-B823-D18282C74146}"/>
            </a:ext>
          </a:extLst>
        </xdr:cNvPr>
        <xdr:cNvSpPr/>
      </xdr:nvSpPr>
      <xdr:spPr>
        <a:xfrm>
          <a:off x="65341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73E31E1C-791D-47AE-8267-6D42BDCA62B0}"/>
            </a:ext>
          </a:extLst>
        </xdr:cNvPr>
        <xdr:cNvSpPr/>
      </xdr:nvSpPr>
      <xdr:spPr>
        <a:xfrm>
          <a:off x="7454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EBE7100E-4F20-4D6E-966C-6B2BCC06E325}"/>
            </a:ext>
          </a:extLst>
        </xdr:cNvPr>
        <xdr:cNvSpPr/>
      </xdr:nvSpPr>
      <xdr:spPr>
        <a:xfrm>
          <a:off x="85598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EDAE52A1-66E7-421F-BA45-2ED2A53AB709}"/>
            </a:ext>
          </a:extLst>
        </xdr:cNvPr>
        <xdr:cNvSpPr/>
      </xdr:nvSpPr>
      <xdr:spPr>
        <a:xfrm>
          <a:off x="9594850" y="27190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17ADDC8F-20C3-4189-9854-EC162EFAD8ED}"/>
            </a:ext>
          </a:extLst>
        </xdr:cNvPr>
        <xdr:cNvSpPr/>
      </xdr:nvSpPr>
      <xdr:spPr>
        <a:xfrm>
          <a:off x="10560050" y="271907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0B057B-49CE-4E5F-9895-2E40994DD15B}"/>
            </a:ext>
          </a:extLst>
        </xdr:cNvPr>
        <xdr:cNvSpPr/>
      </xdr:nvSpPr>
      <xdr:spPr>
        <a:xfrm>
          <a:off x="11703050" y="271907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CA8FB12-30B5-453E-9274-350DCE27578F}"/>
            </a:ext>
          </a:extLst>
        </xdr:cNvPr>
        <xdr:cNvSpPr/>
      </xdr:nvSpPr>
      <xdr:spPr>
        <a:xfrm>
          <a:off x="12655550" y="271907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72128FE-C059-4F16-BA46-A3C6B171A565}"/>
            </a:ext>
          </a:extLst>
        </xdr:cNvPr>
        <xdr:cNvSpPr/>
      </xdr:nvSpPr>
      <xdr:spPr>
        <a:xfrm>
          <a:off x="13703300" y="271907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390" name="Arrow: Up 424">
          <a:extLst>
            <a:ext uri="{FF2B5EF4-FFF2-40B4-BE49-F238E27FC236}">
              <a16:creationId xmlns:a16="http://schemas.microsoft.com/office/drawing/2014/main" id="{4116AD1E-968E-437C-9441-7C87E91F56FB}"/>
            </a:ext>
          </a:extLst>
        </xdr:cNvPr>
        <xdr:cNvSpPr/>
      </xdr:nvSpPr>
      <xdr:spPr>
        <a:xfrm>
          <a:off x="1331118" y="2754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FD8047CD-8B6D-4C66-8D8F-0D439893AED5}"/>
            </a:ext>
          </a:extLst>
        </xdr:cNvPr>
        <xdr:cNvSpPr/>
      </xdr:nvSpPr>
      <xdr:spPr>
        <a:xfrm>
          <a:off x="6413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E4162860-A9B1-4DDD-B386-C142040F7189}"/>
            </a:ext>
          </a:extLst>
        </xdr:cNvPr>
        <xdr:cNvSpPr/>
      </xdr:nvSpPr>
      <xdr:spPr>
        <a:xfrm>
          <a:off x="26797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396AE567-DBDB-4829-866B-028F95A49B71}"/>
            </a:ext>
          </a:extLst>
        </xdr:cNvPr>
        <xdr:cNvSpPr/>
      </xdr:nvSpPr>
      <xdr:spPr>
        <a:xfrm>
          <a:off x="1631950" y="271907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966B5CC6-FC88-43D4-B45A-88E6AFD5BF40}"/>
            </a:ext>
          </a:extLst>
        </xdr:cNvPr>
        <xdr:cNvSpPr/>
      </xdr:nvSpPr>
      <xdr:spPr>
        <a:xfrm>
          <a:off x="37147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E6E5838F-FE94-48B5-BE22-BDB7A1961EE7}"/>
            </a:ext>
          </a:extLst>
        </xdr:cNvPr>
        <xdr:cNvSpPr/>
      </xdr:nvSpPr>
      <xdr:spPr>
        <a:xfrm>
          <a:off x="55689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60C0806C-AF77-4A26-B71C-54D5FE3657BD}"/>
            </a:ext>
          </a:extLst>
        </xdr:cNvPr>
        <xdr:cNvSpPr/>
      </xdr:nvSpPr>
      <xdr:spPr>
        <a:xfrm>
          <a:off x="9594850" y="271907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8D8D7166-1390-4758-ABFE-1D0526D115AE}"/>
            </a:ext>
          </a:extLst>
        </xdr:cNvPr>
        <xdr:cNvSpPr/>
      </xdr:nvSpPr>
      <xdr:spPr>
        <a:xfrm>
          <a:off x="855980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587604E7-6F2E-482C-9E61-D7B1495F6209}"/>
            </a:ext>
          </a:extLst>
        </xdr:cNvPr>
        <xdr:cNvSpPr/>
      </xdr:nvSpPr>
      <xdr:spPr>
        <a:xfrm>
          <a:off x="46609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8A4CE853-1ABB-4C01-8C3A-72C2A916A960}"/>
            </a:ext>
          </a:extLst>
        </xdr:cNvPr>
        <xdr:cNvSpPr/>
      </xdr:nvSpPr>
      <xdr:spPr>
        <a:xfrm>
          <a:off x="74549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B03FC87C-2B7E-44D5-8FA1-DF0E039D545E}"/>
            </a:ext>
          </a:extLst>
        </xdr:cNvPr>
        <xdr:cNvSpPr/>
      </xdr:nvSpPr>
      <xdr:spPr>
        <a:xfrm>
          <a:off x="6534150" y="271907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43C186C-907B-4EE4-9006-CB205D962AE8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E0A90BDB-FB2E-4918-97B4-500618B124AC}"/>
            </a:ext>
          </a:extLst>
        </xdr:cNvPr>
        <xdr:cNvSpPr/>
      </xdr:nvSpPr>
      <xdr:spPr>
        <a:xfrm>
          <a:off x="1631950" y="28663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297C4262-CC55-426E-8F6D-38EFB42395A0}"/>
            </a:ext>
          </a:extLst>
        </xdr:cNvPr>
        <xdr:cNvSpPr/>
      </xdr:nvSpPr>
      <xdr:spPr>
        <a:xfrm>
          <a:off x="26797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D0BD150-1E1E-4370-A79D-6672FFCAF731}"/>
            </a:ext>
          </a:extLst>
        </xdr:cNvPr>
        <xdr:cNvSpPr/>
      </xdr:nvSpPr>
      <xdr:spPr>
        <a:xfrm>
          <a:off x="37147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720E7FA2-1F5B-4647-AB1E-984576862502}"/>
            </a:ext>
          </a:extLst>
        </xdr:cNvPr>
        <xdr:cNvSpPr/>
      </xdr:nvSpPr>
      <xdr:spPr>
        <a:xfrm>
          <a:off x="4660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A93E12DF-DA9F-4761-9132-623EC8146FCC}"/>
            </a:ext>
          </a:extLst>
        </xdr:cNvPr>
        <xdr:cNvSpPr/>
      </xdr:nvSpPr>
      <xdr:spPr>
        <a:xfrm>
          <a:off x="5579774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7F6A20E4-0915-4C92-AA71-EF8E8ADD8363}"/>
            </a:ext>
          </a:extLst>
        </xdr:cNvPr>
        <xdr:cNvSpPr/>
      </xdr:nvSpPr>
      <xdr:spPr>
        <a:xfrm>
          <a:off x="65341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42315D61-043A-4138-9A6A-ED4C24E022AA}"/>
            </a:ext>
          </a:extLst>
        </xdr:cNvPr>
        <xdr:cNvSpPr/>
      </xdr:nvSpPr>
      <xdr:spPr>
        <a:xfrm>
          <a:off x="7454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E226F433-79C6-4B24-B010-8EB427AF37B5}"/>
            </a:ext>
          </a:extLst>
        </xdr:cNvPr>
        <xdr:cNvSpPr/>
      </xdr:nvSpPr>
      <xdr:spPr>
        <a:xfrm>
          <a:off x="85598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D9ECFB90-0527-46C0-AA19-57D4ED0CE537}"/>
            </a:ext>
          </a:extLst>
        </xdr:cNvPr>
        <xdr:cNvSpPr/>
      </xdr:nvSpPr>
      <xdr:spPr>
        <a:xfrm>
          <a:off x="9594850" y="28663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44E03977-BA90-46F4-8C9D-92BB0B83F458}"/>
            </a:ext>
          </a:extLst>
        </xdr:cNvPr>
        <xdr:cNvSpPr/>
      </xdr:nvSpPr>
      <xdr:spPr>
        <a:xfrm>
          <a:off x="10560050" y="286639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45B8D165-E6FA-4A85-9A86-36770644BBC1}"/>
            </a:ext>
          </a:extLst>
        </xdr:cNvPr>
        <xdr:cNvSpPr/>
      </xdr:nvSpPr>
      <xdr:spPr>
        <a:xfrm>
          <a:off x="11703050" y="286639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D25E89A0-B18B-41CD-B0E8-D869F4F40AA5}"/>
            </a:ext>
          </a:extLst>
        </xdr:cNvPr>
        <xdr:cNvSpPr/>
      </xdr:nvSpPr>
      <xdr:spPr>
        <a:xfrm>
          <a:off x="12655550" y="286639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BF19317C-6BFF-4BEA-9897-38DECBF56A96}"/>
            </a:ext>
          </a:extLst>
        </xdr:cNvPr>
        <xdr:cNvSpPr/>
      </xdr:nvSpPr>
      <xdr:spPr>
        <a:xfrm>
          <a:off x="13703300" y="286639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415" name="Arrow: Up 449">
          <a:extLst>
            <a:ext uri="{FF2B5EF4-FFF2-40B4-BE49-F238E27FC236}">
              <a16:creationId xmlns:a16="http://schemas.microsoft.com/office/drawing/2014/main" id="{2E5A7B88-C55B-4864-8B98-A612A2FF9A7C}"/>
            </a:ext>
          </a:extLst>
        </xdr:cNvPr>
        <xdr:cNvSpPr/>
      </xdr:nvSpPr>
      <xdr:spPr>
        <a:xfrm>
          <a:off x="1266175" y="28982266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C25C7363-443E-4E3F-B1B4-57B5564BA853}"/>
            </a:ext>
          </a:extLst>
        </xdr:cNvPr>
        <xdr:cNvSpPr/>
      </xdr:nvSpPr>
      <xdr:spPr>
        <a:xfrm>
          <a:off x="6413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CDBECE0E-7B3A-4B2F-8A24-B8AFB9160465}"/>
            </a:ext>
          </a:extLst>
        </xdr:cNvPr>
        <xdr:cNvSpPr/>
      </xdr:nvSpPr>
      <xdr:spPr>
        <a:xfrm>
          <a:off x="26797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B300134F-10D1-4742-BB33-EBA3C6DC7A4B}"/>
            </a:ext>
          </a:extLst>
        </xdr:cNvPr>
        <xdr:cNvSpPr/>
      </xdr:nvSpPr>
      <xdr:spPr>
        <a:xfrm>
          <a:off x="1631950" y="286639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A81A75ED-C2E1-4AAF-8714-5669161C07CC}"/>
            </a:ext>
          </a:extLst>
        </xdr:cNvPr>
        <xdr:cNvSpPr/>
      </xdr:nvSpPr>
      <xdr:spPr>
        <a:xfrm>
          <a:off x="37147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2E906258-31EB-4137-93B3-F469572B6DC3}"/>
            </a:ext>
          </a:extLst>
        </xdr:cNvPr>
        <xdr:cNvSpPr/>
      </xdr:nvSpPr>
      <xdr:spPr>
        <a:xfrm>
          <a:off x="55689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E461DFE3-676C-4E1E-8B7D-2DD682564788}"/>
            </a:ext>
          </a:extLst>
        </xdr:cNvPr>
        <xdr:cNvSpPr/>
      </xdr:nvSpPr>
      <xdr:spPr>
        <a:xfrm>
          <a:off x="9594850" y="286639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F3D5C3C5-06EF-4F37-9E59-2BAD1044E262}"/>
            </a:ext>
          </a:extLst>
        </xdr:cNvPr>
        <xdr:cNvSpPr/>
      </xdr:nvSpPr>
      <xdr:spPr>
        <a:xfrm>
          <a:off x="85598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6C9DF8E0-FB5B-4E22-B9D6-ADB2B96B0D2F}"/>
            </a:ext>
          </a:extLst>
        </xdr:cNvPr>
        <xdr:cNvSpPr/>
      </xdr:nvSpPr>
      <xdr:spPr>
        <a:xfrm>
          <a:off x="4660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6DCFF040-5B11-458A-9020-A0846C673D32}"/>
            </a:ext>
          </a:extLst>
        </xdr:cNvPr>
        <xdr:cNvSpPr/>
      </xdr:nvSpPr>
      <xdr:spPr>
        <a:xfrm>
          <a:off x="7454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83C75E6C-1DCE-423D-8380-A7F5623099C8}"/>
            </a:ext>
          </a:extLst>
        </xdr:cNvPr>
        <xdr:cNvSpPr/>
      </xdr:nvSpPr>
      <xdr:spPr>
        <a:xfrm>
          <a:off x="6534150" y="286639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BD8E3FBD-8174-42F2-8D96-BC651A3BAFEB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15363</xdr:colOff>
      <xdr:row>162</xdr:row>
      <xdr:rowOff>15363</xdr:rowOff>
    </xdr:from>
    <xdr:to>
      <xdr:col>6</xdr:col>
      <xdr:colOff>16474</xdr:colOff>
      <xdr:row>164</xdr:row>
      <xdr:rowOff>14181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99F4D1E1-313B-48E7-AE0A-ACC7783800E1}"/>
            </a:ext>
          </a:extLst>
        </xdr:cNvPr>
        <xdr:cNvSpPr/>
      </xdr:nvSpPr>
      <xdr:spPr>
        <a:xfrm>
          <a:off x="1647313" y="30152463"/>
          <a:ext cx="559911" cy="3671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3C7E6C3F-1DF1-45C8-B073-B87B1F5739FD}"/>
            </a:ext>
          </a:extLst>
        </xdr:cNvPr>
        <xdr:cNvSpPr/>
      </xdr:nvSpPr>
      <xdr:spPr>
        <a:xfrm>
          <a:off x="26797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3C386205-868A-4217-A090-24E62F099642}"/>
            </a:ext>
          </a:extLst>
        </xdr:cNvPr>
        <xdr:cNvSpPr/>
      </xdr:nvSpPr>
      <xdr:spPr>
        <a:xfrm>
          <a:off x="37147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33F05299-75E0-464E-899E-4310154E9E65}"/>
            </a:ext>
          </a:extLst>
        </xdr:cNvPr>
        <xdr:cNvSpPr/>
      </xdr:nvSpPr>
      <xdr:spPr>
        <a:xfrm>
          <a:off x="4660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46747E53-3284-47DA-9B31-5B31FB5D403E}"/>
            </a:ext>
          </a:extLst>
        </xdr:cNvPr>
        <xdr:cNvSpPr/>
      </xdr:nvSpPr>
      <xdr:spPr>
        <a:xfrm>
          <a:off x="65341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1D3FB0CD-8553-4922-88FA-BE8331399DA4}"/>
            </a:ext>
          </a:extLst>
        </xdr:cNvPr>
        <xdr:cNvSpPr/>
      </xdr:nvSpPr>
      <xdr:spPr>
        <a:xfrm>
          <a:off x="7454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96CB6F8-0ACE-4BA5-8CFA-214FD67FA19B}"/>
            </a:ext>
          </a:extLst>
        </xdr:cNvPr>
        <xdr:cNvSpPr/>
      </xdr:nvSpPr>
      <xdr:spPr>
        <a:xfrm>
          <a:off x="85598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A0A3649F-4C66-4CD0-B2E2-524744157B5B}"/>
            </a:ext>
          </a:extLst>
        </xdr:cNvPr>
        <xdr:cNvSpPr/>
      </xdr:nvSpPr>
      <xdr:spPr>
        <a:xfrm>
          <a:off x="9594850" y="30137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27B3439C-FF34-4875-A452-1919EF75FB7B}"/>
            </a:ext>
          </a:extLst>
        </xdr:cNvPr>
        <xdr:cNvSpPr/>
      </xdr:nvSpPr>
      <xdr:spPr>
        <a:xfrm>
          <a:off x="11703050" y="301371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436" name="Isosceles Triangle 435">
          <a:extLst>
            <a:ext uri="{FF2B5EF4-FFF2-40B4-BE49-F238E27FC236}">
              <a16:creationId xmlns:a16="http://schemas.microsoft.com/office/drawing/2014/main" id="{12CCD800-B539-417A-B5C4-FF125583D7EC}"/>
            </a:ext>
          </a:extLst>
        </xdr:cNvPr>
        <xdr:cNvSpPr/>
      </xdr:nvSpPr>
      <xdr:spPr>
        <a:xfrm>
          <a:off x="12655550" y="301371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437" name="Isosceles Triangle 436">
          <a:extLst>
            <a:ext uri="{FF2B5EF4-FFF2-40B4-BE49-F238E27FC236}">
              <a16:creationId xmlns:a16="http://schemas.microsoft.com/office/drawing/2014/main" id="{26BC7831-6EBE-4B0F-99B2-D587BD0ECE65}"/>
            </a:ext>
          </a:extLst>
        </xdr:cNvPr>
        <xdr:cNvSpPr/>
      </xdr:nvSpPr>
      <xdr:spPr>
        <a:xfrm>
          <a:off x="13703300" y="30137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438" name="Arrow: Up 474">
          <a:extLst>
            <a:ext uri="{FF2B5EF4-FFF2-40B4-BE49-F238E27FC236}">
              <a16:creationId xmlns:a16="http://schemas.microsoft.com/office/drawing/2014/main" id="{8DF173B1-FA8A-4BA3-B659-3282D7AC68EB}"/>
            </a:ext>
          </a:extLst>
        </xdr:cNvPr>
        <xdr:cNvSpPr/>
      </xdr:nvSpPr>
      <xdr:spPr>
        <a:xfrm>
          <a:off x="1331118" y="30487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439" name="Isosceles Triangle 438">
          <a:extLst>
            <a:ext uri="{FF2B5EF4-FFF2-40B4-BE49-F238E27FC236}">
              <a16:creationId xmlns:a16="http://schemas.microsoft.com/office/drawing/2014/main" id="{9934332C-DCD2-4C25-B4E4-3A3A5230ACE6}"/>
            </a:ext>
          </a:extLst>
        </xdr:cNvPr>
        <xdr:cNvSpPr/>
      </xdr:nvSpPr>
      <xdr:spPr>
        <a:xfrm>
          <a:off x="64135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B656764A-DA1E-4171-B63B-61451DFC266E}"/>
            </a:ext>
          </a:extLst>
        </xdr:cNvPr>
        <xdr:cNvSpPr/>
      </xdr:nvSpPr>
      <xdr:spPr>
        <a:xfrm>
          <a:off x="26797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E252DC08-3CA5-4805-973F-5A435975FD59}"/>
            </a:ext>
          </a:extLst>
        </xdr:cNvPr>
        <xdr:cNvSpPr/>
      </xdr:nvSpPr>
      <xdr:spPr>
        <a:xfrm>
          <a:off x="1631950" y="301371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3CED4011-CC9D-48EA-A49B-B1E769E0DE72}"/>
            </a:ext>
          </a:extLst>
        </xdr:cNvPr>
        <xdr:cNvSpPr/>
      </xdr:nvSpPr>
      <xdr:spPr>
        <a:xfrm>
          <a:off x="371475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84597838-A62A-4640-854B-70D6EB31E643}"/>
            </a:ext>
          </a:extLst>
        </xdr:cNvPr>
        <xdr:cNvSpPr/>
      </xdr:nvSpPr>
      <xdr:spPr>
        <a:xfrm>
          <a:off x="9594850" y="30137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05364F57-202C-4C73-9413-ECDD2FA99E6D}"/>
            </a:ext>
          </a:extLst>
        </xdr:cNvPr>
        <xdr:cNvSpPr/>
      </xdr:nvSpPr>
      <xdr:spPr>
        <a:xfrm>
          <a:off x="85598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ADAB20E-08AB-4222-AD32-6CC229337DF5}"/>
            </a:ext>
          </a:extLst>
        </xdr:cNvPr>
        <xdr:cNvSpPr/>
      </xdr:nvSpPr>
      <xdr:spPr>
        <a:xfrm>
          <a:off x="4660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6E4EC480-429A-4124-8F3C-32D524664321}"/>
            </a:ext>
          </a:extLst>
        </xdr:cNvPr>
        <xdr:cNvSpPr/>
      </xdr:nvSpPr>
      <xdr:spPr>
        <a:xfrm>
          <a:off x="7454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67F8DE61-5DE1-41C1-99B6-CA1B95E05052}"/>
            </a:ext>
          </a:extLst>
        </xdr:cNvPr>
        <xdr:cNvSpPr/>
      </xdr:nvSpPr>
      <xdr:spPr>
        <a:xfrm>
          <a:off x="6534150" y="301371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4FDAAD34-2F53-447F-899A-DC66E6724D30}"/>
            </a:ext>
          </a:extLst>
        </xdr:cNvPr>
        <xdr:cNvSpPr/>
      </xdr:nvSpPr>
      <xdr:spPr>
        <a:xfrm>
          <a:off x="26797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28F6B4D8-A57C-4881-9DD7-147C0A30C217}"/>
            </a:ext>
          </a:extLst>
        </xdr:cNvPr>
        <xdr:cNvSpPr/>
      </xdr:nvSpPr>
      <xdr:spPr>
        <a:xfrm>
          <a:off x="37147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BB94FB34-860E-48D2-A9AE-730CA8A04369}"/>
            </a:ext>
          </a:extLst>
        </xdr:cNvPr>
        <xdr:cNvSpPr/>
      </xdr:nvSpPr>
      <xdr:spPr>
        <a:xfrm>
          <a:off x="4660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56052FB8-834D-40D0-AD3A-201F17E3877D}"/>
            </a:ext>
          </a:extLst>
        </xdr:cNvPr>
        <xdr:cNvSpPr/>
      </xdr:nvSpPr>
      <xdr:spPr>
        <a:xfrm>
          <a:off x="55689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858CD56A-D12C-4B4F-9A00-CFA6F27403C4}"/>
            </a:ext>
          </a:extLst>
        </xdr:cNvPr>
        <xdr:cNvSpPr/>
      </xdr:nvSpPr>
      <xdr:spPr>
        <a:xfrm>
          <a:off x="65341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B686591-2C4D-46AB-8A64-778F72ACE351}"/>
            </a:ext>
          </a:extLst>
        </xdr:cNvPr>
        <xdr:cNvSpPr/>
      </xdr:nvSpPr>
      <xdr:spPr>
        <a:xfrm>
          <a:off x="7454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53EDAF9A-EC8A-4C85-B7C4-88BFD728C9D1}"/>
            </a:ext>
          </a:extLst>
        </xdr:cNvPr>
        <xdr:cNvSpPr/>
      </xdr:nvSpPr>
      <xdr:spPr>
        <a:xfrm>
          <a:off x="85598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944F0CF0-9FF6-4FC9-BADC-38A2FC5B6253}"/>
            </a:ext>
          </a:extLst>
        </xdr:cNvPr>
        <xdr:cNvSpPr/>
      </xdr:nvSpPr>
      <xdr:spPr>
        <a:xfrm>
          <a:off x="9594850" y="316103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E0A6948F-6734-4B1A-AB66-CC66A1F3BAED}"/>
            </a:ext>
          </a:extLst>
        </xdr:cNvPr>
        <xdr:cNvSpPr/>
      </xdr:nvSpPr>
      <xdr:spPr>
        <a:xfrm>
          <a:off x="10560050" y="316103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457" name="Isosceles Triangle 456">
          <a:extLst>
            <a:ext uri="{FF2B5EF4-FFF2-40B4-BE49-F238E27FC236}">
              <a16:creationId xmlns:a16="http://schemas.microsoft.com/office/drawing/2014/main" id="{0D750982-9C8A-49D3-982F-E4EC7964611F}"/>
            </a:ext>
          </a:extLst>
        </xdr:cNvPr>
        <xdr:cNvSpPr/>
      </xdr:nvSpPr>
      <xdr:spPr>
        <a:xfrm>
          <a:off x="11703050" y="316103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491E66A6-C4FF-4737-BA50-533F5A4D1D5A}"/>
            </a:ext>
          </a:extLst>
        </xdr:cNvPr>
        <xdr:cNvSpPr/>
      </xdr:nvSpPr>
      <xdr:spPr>
        <a:xfrm>
          <a:off x="12655550" y="316103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D7A52DF1-87ED-4CC2-BB9C-137613AB26E0}"/>
            </a:ext>
          </a:extLst>
        </xdr:cNvPr>
        <xdr:cNvSpPr/>
      </xdr:nvSpPr>
      <xdr:spPr>
        <a:xfrm>
          <a:off x="13703300" y="31610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460" name="Isosceles Triangle 459">
          <a:extLst>
            <a:ext uri="{FF2B5EF4-FFF2-40B4-BE49-F238E27FC236}">
              <a16:creationId xmlns:a16="http://schemas.microsoft.com/office/drawing/2014/main" id="{5675B9DC-9D4D-47A0-A14F-D5129BEC5008}"/>
            </a:ext>
          </a:extLst>
        </xdr:cNvPr>
        <xdr:cNvSpPr/>
      </xdr:nvSpPr>
      <xdr:spPr>
        <a:xfrm>
          <a:off x="371475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894D8AED-69C5-4D17-AEFD-A4468E565390}"/>
            </a:ext>
          </a:extLst>
        </xdr:cNvPr>
        <xdr:cNvSpPr/>
      </xdr:nvSpPr>
      <xdr:spPr>
        <a:xfrm>
          <a:off x="556895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E9828AC9-DD87-4B67-90CB-2757CCB4C657}"/>
            </a:ext>
          </a:extLst>
        </xdr:cNvPr>
        <xdr:cNvSpPr/>
      </xdr:nvSpPr>
      <xdr:spPr>
        <a:xfrm>
          <a:off x="9594850" y="316103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FC102FB2-8957-4D76-A72A-8004DD0BAD5A}"/>
            </a:ext>
          </a:extLst>
        </xdr:cNvPr>
        <xdr:cNvSpPr/>
      </xdr:nvSpPr>
      <xdr:spPr>
        <a:xfrm>
          <a:off x="85598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8A9F20F4-E6A7-4DCA-A48D-7B920252C5CC}"/>
            </a:ext>
          </a:extLst>
        </xdr:cNvPr>
        <xdr:cNvSpPr/>
      </xdr:nvSpPr>
      <xdr:spPr>
        <a:xfrm>
          <a:off x="46609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255623FD-E0D5-4C12-A872-01BDE01D95BF}"/>
            </a:ext>
          </a:extLst>
        </xdr:cNvPr>
        <xdr:cNvSpPr/>
      </xdr:nvSpPr>
      <xdr:spPr>
        <a:xfrm>
          <a:off x="74549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CF7480C-4CDD-4A00-A505-C992B4D8CE7D}"/>
            </a:ext>
          </a:extLst>
        </xdr:cNvPr>
        <xdr:cNvSpPr/>
      </xdr:nvSpPr>
      <xdr:spPr>
        <a:xfrm>
          <a:off x="6534150" y="316103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9AE7BCBF-75F2-48DB-A786-0DB69E5FF306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256442</xdr:colOff>
      <xdr:row>179</xdr:row>
      <xdr:rowOff>183173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D9ABF04D-18AE-4890-A952-8294D025209B}"/>
            </a:ext>
          </a:extLst>
        </xdr:cNvPr>
        <xdr:cNvSpPr/>
      </xdr:nvSpPr>
      <xdr:spPr>
        <a:xfrm>
          <a:off x="1631950" y="33083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3FA0CE7A-A1F6-420E-95A1-33F4C99DB361}"/>
            </a:ext>
          </a:extLst>
        </xdr:cNvPr>
        <xdr:cNvSpPr/>
      </xdr:nvSpPr>
      <xdr:spPr>
        <a:xfrm>
          <a:off x="26797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66C1533E-BE1F-4179-B3C8-C667E11DBE10}"/>
            </a:ext>
          </a:extLst>
        </xdr:cNvPr>
        <xdr:cNvSpPr/>
      </xdr:nvSpPr>
      <xdr:spPr>
        <a:xfrm>
          <a:off x="37147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46B34A28-4F23-4061-BC77-27675340CB0E}"/>
            </a:ext>
          </a:extLst>
        </xdr:cNvPr>
        <xdr:cNvSpPr/>
      </xdr:nvSpPr>
      <xdr:spPr>
        <a:xfrm>
          <a:off x="4660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1B237806-3452-41CB-B03D-3BA43AF3B167}"/>
            </a:ext>
          </a:extLst>
        </xdr:cNvPr>
        <xdr:cNvSpPr/>
      </xdr:nvSpPr>
      <xdr:spPr>
        <a:xfrm>
          <a:off x="55689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80001CB-E0C0-437E-AFC9-91E1DCC2ADA6}"/>
            </a:ext>
          </a:extLst>
        </xdr:cNvPr>
        <xdr:cNvSpPr/>
      </xdr:nvSpPr>
      <xdr:spPr>
        <a:xfrm>
          <a:off x="65341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44A0393B-30EA-4DBE-A4BD-F1E53A56A875}"/>
            </a:ext>
          </a:extLst>
        </xdr:cNvPr>
        <xdr:cNvSpPr/>
      </xdr:nvSpPr>
      <xdr:spPr>
        <a:xfrm>
          <a:off x="7454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3C06888-A0EB-48B8-9D59-702891BB799F}"/>
            </a:ext>
          </a:extLst>
        </xdr:cNvPr>
        <xdr:cNvSpPr/>
      </xdr:nvSpPr>
      <xdr:spPr>
        <a:xfrm>
          <a:off x="85598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70D21FB3-A5CE-4D69-8995-0BB23234257E}"/>
            </a:ext>
          </a:extLst>
        </xdr:cNvPr>
        <xdr:cNvSpPr/>
      </xdr:nvSpPr>
      <xdr:spPr>
        <a:xfrm>
          <a:off x="9594850" y="33083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4F1F1AC7-CA7A-4D1D-BE4C-54146EA7F91C}"/>
            </a:ext>
          </a:extLst>
        </xdr:cNvPr>
        <xdr:cNvSpPr/>
      </xdr:nvSpPr>
      <xdr:spPr>
        <a:xfrm>
          <a:off x="10560050" y="33083500"/>
          <a:ext cx="535843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9226F3F-81DF-4380-B2B6-0DAC8DA4807A}"/>
            </a:ext>
          </a:extLst>
        </xdr:cNvPr>
        <xdr:cNvSpPr/>
      </xdr:nvSpPr>
      <xdr:spPr>
        <a:xfrm>
          <a:off x="11703050" y="33083500"/>
          <a:ext cx="535842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26B5677D-570D-486D-B01E-B2E580EAD384}"/>
            </a:ext>
          </a:extLst>
        </xdr:cNvPr>
        <xdr:cNvSpPr/>
      </xdr:nvSpPr>
      <xdr:spPr>
        <a:xfrm>
          <a:off x="12655550" y="33083500"/>
          <a:ext cx="529492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id="{D69CC3CF-EDEE-4057-A25B-49AE1CBA5B19}"/>
            </a:ext>
          </a:extLst>
        </xdr:cNvPr>
        <xdr:cNvSpPr/>
      </xdr:nvSpPr>
      <xdr:spPr>
        <a:xfrm>
          <a:off x="13703300" y="33083500"/>
          <a:ext cx="523143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9CAF6652-550E-486E-9276-F98EAD4CC69F}"/>
            </a:ext>
          </a:extLst>
        </xdr:cNvPr>
        <xdr:cNvSpPr/>
      </xdr:nvSpPr>
      <xdr:spPr>
        <a:xfrm>
          <a:off x="641350" y="33083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482" name="Isosceles Triangle 481">
          <a:extLst>
            <a:ext uri="{FF2B5EF4-FFF2-40B4-BE49-F238E27FC236}">
              <a16:creationId xmlns:a16="http://schemas.microsoft.com/office/drawing/2014/main" id="{FD6B5508-F4A3-4313-B3CE-AE4EB3335CAD}"/>
            </a:ext>
          </a:extLst>
        </xdr:cNvPr>
        <xdr:cNvSpPr/>
      </xdr:nvSpPr>
      <xdr:spPr>
        <a:xfrm>
          <a:off x="26797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483" name="Isosceles Triangle 482">
          <a:extLst>
            <a:ext uri="{FF2B5EF4-FFF2-40B4-BE49-F238E27FC236}">
              <a16:creationId xmlns:a16="http://schemas.microsoft.com/office/drawing/2014/main" id="{A0D33F77-D48A-474E-873C-3339006FCC60}"/>
            </a:ext>
          </a:extLst>
        </xdr:cNvPr>
        <xdr:cNvSpPr/>
      </xdr:nvSpPr>
      <xdr:spPr>
        <a:xfrm>
          <a:off x="1631950" y="33083500"/>
          <a:ext cx="548543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484" name="Isosceles Triangle 483">
          <a:extLst>
            <a:ext uri="{FF2B5EF4-FFF2-40B4-BE49-F238E27FC236}">
              <a16:creationId xmlns:a16="http://schemas.microsoft.com/office/drawing/2014/main" id="{F8C68992-DB4A-479D-B06D-F61F1B7CE21C}"/>
            </a:ext>
          </a:extLst>
        </xdr:cNvPr>
        <xdr:cNvSpPr/>
      </xdr:nvSpPr>
      <xdr:spPr>
        <a:xfrm>
          <a:off x="371475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C1FF55D7-D854-47D1-8ED6-45323B7975BD}"/>
            </a:ext>
          </a:extLst>
        </xdr:cNvPr>
        <xdr:cNvSpPr/>
      </xdr:nvSpPr>
      <xdr:spPr>
        <a:xfrm>
          <a:off x="556895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1ECB82A7-5B6C-44CF-A885-9DCA60C415BE}"/>
            </a:ext>
          </a:extLst>
        </xdr:cNvPr>
        <xdr:cNvSpPr/>
      </xdr:nvSpPr>
      <xdr:spPr>
        <a:xfrm>
          <a:off x="9594850" y="33083500"/>
          <a:ext cx="5231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09CD409B-C300-482B-969E-334680955A62}"/>
            </a:ext>
          </a:extLst>
        </xdr:cNvPr>
        <xdr:cNvSpPr/>
      </xdr:nvSpPr>
      <xdr:spPr>
        <a:xfrm>
          <a:off x="85598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20F2F5B6-051F-4FF2-8E1A-70D948C00451}"/>
            </a:ext>
          </a:extLst>
        </xdr:cNvPr>
        <xdr:cNvSpPr/>
      </xdr:nvSpPr>
      <xdr:spPr>
        <a:xfrm>
          <a:off x="46609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EE765EF7-3AA4-4FD2-AB8F-EC68BCEC7896}"/>
            </a:ext>
          </a:extLst>
        </xdr:cNvPr>
        <xdr:cNvSpPr/>
      </xdr:nvSpPr>
      <xdr:spPr>
        <a:xfrm>
          <a:off x="74549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B5A5CE1D-A5B4-4009-B581-501FF294E110}"/>
            </a:ext>
          </a:extLst>
        </xdr:cNvPr>
        <xdr:cNvSpPr/>
      </xdr:nvSpPr>
      <xdr:spPr>
        <a:xfrm>
          <a:off x="6534150" y="33083500"/>
          <a:ext cx="535843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491" name="Arrow: Up 256">
          <a:extLst>
            <a:ext uri="{FF2B5EF4-FFF2-40B4-BE49-F238E27FC236}">
              <a16:creationId xmlns:a16="http://schemas.microsoft.com/office/drawing/2014/main" id="{75503B78-4585-496B-BAD8-3F7633CBC364}"/>
            </a:ext>
          </a:extLst>
        </xdr:cNvPr>
        <xdr:cNvSpPr/>
      </xdr:nvSpPr>
      <xdr:spPr>
        <a:xfrm>
          <a:off x="129886" y="2462934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492" name="Arrow: Up 256">
          <a:extLst>
            <a:ext uri="{FF2B5EF4-FFF2-40B4-BE49-F238E27FC236}">
              <a16:creationId xmlns:a16="http://schemas.microsoft.com/office/drawing/2014/main" id="{A96A6F6A-16F4-4E48-9205-D2CEA211343D}"/>
            </a:ext>
          </a:extLst>
        </xdr:cNvPr>
        <xdr:cNvSpPr/>
      </xdr:nvSpPr>
      <xdr:spPr>
        <a:xfrm>
          <a:off x="2417770" y="2462408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493" name="Arrow: Up 256">
          <a:extLst>
            <a:ext uri="{FF2B5EF4-FFF2-40B4-BE49-F238E27FC236}">
              <a16:creationId xmlns:a16="http://schemas.microsoft.com/office/drawing/2014/main" id="{73AE05AD-B62A-4C4E-9DFE-918935A03DA1}"/>
            </a:ext>
          </a:extLst>
        </xdr:cNvPr>
        <xdr:cNvSpPr/>
      </xdr:nvSpPr>
      <xdr:spPr>
        <a:xfrm>
          <a:off x="5323176" y="2455142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494" name="Arrow: Up 256">
          <a:extLst>
            <a:ext uri="{FF2B5EF4-FFF2-40B4-BE49-F238E27FC236}">
              <a16:creationId xmlns:a16="http://schemas.microsoft.com/office/drawing/2014/main" id="{B39046DE-7311-4A58-A558-F3BEA7A1591B}"/>
            </a:ext>
          </a:extLst>
        </xdr:cNvPr>
        <xdr:cNvSpPr/>
      </xdr:nvSpPr>
      <xdr:spPr>
        <a:xfrm>
          <a:off x="8100291" y="2484582"/>
          <a:ext cx="142875" cy="38785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495" name="Arrow: Up 232">
          <a:extLst>
            <a:ext uri="{FF2B5EF4-FFF2-40B4-BE49-F238E27FC236}">
              <a16:creationId xmlns:a16="http://schemas.microsoft.com/office/drawing/2014/main" id="{8DF21584-2BD1-4843-ACE4-C9EF0F93D277}"/>
            </a:ext>
          </a:extLst>
        </xdr:cNvPr>
        <xdr:cNvSpPr/>
      </xdr:nvSpPr>
      <xdr:spPr>
        <a:xfrm>
          <a:off x="8262648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496" name="Arrow: Up-Down 285">
          <a:extLst>
            <a:ext uri="{FF2B5EF4-FFF2-40B4-BE49-F238E27FC236}">
              <a16:creationId xmlns:a16="http://schemas.microsoft.com/office/drawing/2014/main" id="{8B788484-692A-4B6B-B568-6B032FFF5F9E}"/>
            </a:ext>
          </a:extLst>
        </xdr:cNvPr>
        <xdr:cNvSpPr/>
      </xdr:nvSpPr>
      <xdr:spPr>
        <a:xfrm>
          <a:off x="8446654" y="2493529"/>
          <a:ext cx="111126" cy="4001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497" name="Arrow: Up 232">
          <a:extLst>
            <a:ext uri="{FF2B5EF4-FFF2-40B4-BE49-F238E27FC236}">
              <a16:creationId xmlns:a16="http://schemas.microsoft.com/office/drawing/2014/main" id="{97BDD4B4-5FA2-4FBD-987A-77C41B5C3667}"/>
            </a:ext>
          </a:extLst>
        </xdr:cNvPr>
        <xdr:cNvSpPr/>
      </xdr:nvSpPr>
      <xdr:spPr>
        <a:xfrm>
          <a:off x="9194367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498" name="Arrow: Up 256">
          <a:extLst>
            <a:ext uri="{FF2B5EF4-FFF2-40B4-BE49-F238E27FC236}">
              <a16:creationId xmlns:a16="http://schemas.microsoft.com/office/drawing/2014/main" id="{107838B6-81E1-4409-A711-31581789CE0D}"/>
            </a:ext>
          </a:extLst>
        </xdr:cNvPr>
        <xdr:cNvSpPr/>
      </xdr:nvSpPr>
      <xdr:spPr>
        <a:xfrm>
          <a:off x="10182369" y="2473759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499" name="Arrow: Up 232">
          <a:extLst>
            <a:ext uri="{FF2B5EF4-FFF2-40B4-BE49-F238E27FC236}">
              <a16:creationId xmlns:a16="http://schemas.microsoft.com/office/drawing/2014/main" id="{13E825C5-4925-4416-ADAA-955739B6FC31}"/>
            </a:ext>
          </a:extLst>
        </xdr:cNvPr>
        <xdr:cNvSpPr/>
      </xdr:nvSpPr>
      <xdr:spPr>
        <a:xfrm>
          <a:off x="10366375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500" name="Arrow: Up 256">
          <a:extLst>
            <a:ext uri="{FF2B5EF4-FFF2-40B4-BE49-F238E27FC236}">
              <a16:creationId xmlns:a16="http://schemas.microsoft.com/office/drawing/2014/main" id="{B1016431-B3E6-4AEA-81BF-FD6C845CE808}"/>
            </a:ext>
          </a:extLst>
        </xdr:cNvPr>
        <xdr:cNvSpPr/>
      </xdr:nvSpPr>
      <xdr:spPr>
        <a:xfrm>
          <a:off x="11246859" y="2473758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501" name="Arrow: Up 233">
          <a:extLst>
            <a:ext uri="{FF2B5EF4-FFF2-40B4-BE49-F238E27FC236}">
              <a16:creationId xmlns:a16="http://schemas.microsoft.com/office/drawing/2014/main" id="{9DE41D9E-361C-4A25-80E4-8F8F8030442E}"/>
            </a:ext>
          </a:extLst>
        </xdr:cNvPr>
        <xdr:cNvSpPr/>
      </xdr:nvSpPr>
      <xdr:spPr>
        <a:xfrm>
          <a:off x="12303269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502" name="Arrow: Up 256">
          <a:extLst>
            <a:ext uri="{FF2B5EF4-FFF2-40B4-BE49-F238E27FC236}">
              <a16:creationId xmlns:a16="http://schemas.microsoft.com/office/drawing/2014/main" id="{6EEDEC1D-45F0-4333-8526-501B8DBA5DAF}"/>
            </a:ext>
          </a:extLst>
        </xdr:cNvPr>
        <xdr:cNvSpPr/>
      </xdr:nvSpPr>
      <xdr:spPr>
        <a:xfrm>
          <a:off x="118197" y="3937001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503" name="Arrow: Up 256">
          <a:extLst>
            <a:ext uri="{FF2B5EF4-FFF2-40B4-BE49-F238E27FC236}">
              <a16:creationId xmlns:a16="http://schemas.microsoft.com/office/drawing/2014/main" id="{AE8F86FD-6D13-4D13-BDF2-3EEB59D6E4AB}"/>
            </a:ext>
          </a:extLst>
        </xdr:cNvPr>
        <xdr:cNvSpPr/>
      </xdr:nvSpPr>
      <xdr:spPr>
        <a:xfrm>
          <a:off x="1265093" y="394695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504" name="Arrow: Up 256">
          <a:extLst>
            <a:ext uri="{FF2B5EF4-FFF2-40B4-BE49-F238E27FC236}">
              <a16:creationId xmlns:a16="http://schemas.microsoft.com/office/drawing/2014/main" id="{997B480A-F4B6-4F97-89E6-19739CB4E51B}"/>
            </a:ext>
          </a:extLst>
        </xdr:cNvPr>
        <xdr:cNvSpPr/>
      </xdr:nvSpPr>
      <xdr:spPr>
        <a:xfrm>
          <a:off x="3360376" y="3947823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505" name="Arrow: Up 256">
          <a:extLst>
            <a:ext uri="{FF2B5EF4-FFF2-40B4-BE49-F238E27FC236}">
              <a16:creationId xmlns:a16="http://schemas.microsoft.com/office/drawing/2014/main" id="{5074B46C-0DA0-4B63-AC60-221757FAA85B}"/>
            </a:ext>
          </a:extLst>
        </xdr:cNvPr>
        <xdr:cNvSpPr/>
      </xdr:nvSpPr>
      <xdr:spPr>
        <a:xfrm>
          <a:off x="4295198" y="393613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506" name="Arrow: Up 228">
          <a:extLst>
            <a:ext uri="{FF2B5EF4-FFF2-40B4-BE49-F238E27FC236}">
              <a16:creationId xmlns:a16="http://schemas.microsoft.com/office/drawing/2014/main" id="{AA2D9871-3ECA-4F73-8F63-E6FB1BFEFE91}"/>
            </a:ext>
          </a:extLst>
        </xdr:cNvPr>
        <xdr:cNvSpPr/>
      </xdr:nvSpPr>
      <xdr:spPr>
        <a:xfrm>
          <a:off x="4457556" y="392531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507" name="Arrow: Up 256">
          <a:extLst>
            <a:ext uri="{FF2B5EF4-FFF2-40B4-BE49-F238E27FC236}">
              <a16:creationId xmlns:a16="http://schemas.microsoft.com/office/drawing/2014/main" id="{890D3F9F-9B48-4F37-A491-7BFD81C69B6F}"/>
            </a:ext>
          </a:extLst>
        </xdr:cNvPr>
        <xdr:cNvSpPr/>
      </xdr:nvSpPr>
      <xdr:spPr>
        <a:xfrm>
          <a:off x="5295467" y="394695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508" name="Arrow: Up 241">
          <a:extLst>
            <a:ext uri="{FF2B5EF4-FFF2-40B4-BE49-F238E27FC236}">
              <a16:creationId xmlns:a16="http://schemas.microsoft.com/office/drawing/2014/main" id="{F1B26188-EE16-4FEC-9484-4B446F15F800}"/>
            </a:ext>
          </a:extLst>
        </xdr:cNvPr>
        <xdr:cNvSpPr/>
      </xdr:nvSpPr>
      <xdr:spPr>
        <a:xfrm>
          <a:off x="6127750" y="396875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509" name="Arrow: Up-Down 285">
          <a:extLst>
            <a:ext uri="{FF2B5EF4-FFF2-40B4-BE49-F238E27FC236}">
              <a16:creationId xmlns:a16="http://schemas.microsoft.com/office/drawing/2014/main" id="{70500866-AC8E-4BAC-B093-66EFB64EA27D}"/>
            </a:ext>
          </a:extLst>
        </xdr:cNvPr>
        <xdr:cNvSpPr/>
      </xdr:nvSpPr>
      <xdr:spPr>
        <a:xfrm>
          <a:off x="6300932" y="3957782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510" name="Arrow: Up 256">
          <a:extLst>
            <a:ext uri="{FF2B5EF4-FFF2-40B4-BE49-F238E27FC236}">
              <a16:creationId xmlns:a16="http://schemas.microsoft.com/office/drawing/2014/main" id="{0E8BF4B7-025C-4192-8D2E-C654F9A19302}"/>
            </a:ext>
          </a:extLst>
        </xdr:cNvPr>
        <xdr:cNvSpPr/>
      </xdr:nvSpPr>
      <xdr:spPr>
        <a:xfrm>
          <a:off x="9195666" y="3926175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511" name="Arrow: Up 237">
          <a:extLst>
            <a:ext uri="{FF2B5EF4-FFF2-40B4-BE49-F238E27FC236}">
              <a16:creationId xmlns:a16="http://schemas.microsoft.com/office/drawing/2014/main" id="{9F517529-B5AF-4F05-8350-60AE754384DD}"/>
            </a:ext>
          </a:extLst>
        </xdr:cNvPr>
        <xdr:cNvSpPr/>
      </xdr:nvSpPr>
      <xdr:spPr>
        <a:xfrm>
          <a:off x="11236036" y="394695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512" name="Arrow: Up 237">
          <a:extLst>
            <a:ext uri="{FF2B5EF4-FFF2-40B4-BE49-F238E27FC236}">
              <a16:creationId xmlns:a16="http://schemas.microsoft.com/office/drawing/2014/main" id="{62AC3007-7B47-452C-AF7B-FF68E29CF638}"/>
            </a:ext>
          </a:extLst>
        </xdr:cNvPr>
        <xdr:cNvSpPr/>
      </xdr:nvSpPr>
      <xdr:spPr>
        <a:xfrm>
          <a:off x="12324918" y="39577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513" name="Arrow: Up 256">
          <a:extLst>
            <a:ext uri="{FF2B5EF4-FFF2-40B4-BE49-F238E27FC236}">
              <a16:creationId xmlns:a16="http://schemas.microsoft.com/office/drawing/2014/main" id="{5A37BD8D-28B5-42F4-BB9E-D5983FD6005C}"/>
            </a:ext>
          </a:extLst>
        </xdr:cNvPr>
        <xdr:cNvSpPr/>
      </xdr:nvSpPr>
      <xdr:spPr>
        <a:xfrm>
          <a:off x="13290838" y="3957781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514" name="Arrow: Up 239">
          <a:extLst>
            <a:ext uri="{FF2B5EF4-FFF2-40B4-BE49-F238E27FC236}">
              <a16:creationId xmlns:a16="http://schemas.microsoft.com/office/drawing/2014/main" id="{F5A27A7E-A9EF-404A-970F-C75FC520F511}"/>
            </a:ext>
          </a:extLst>
        </xdr:cNvPr>
        <xdr:cNvSpPr/>
      </xdr:nvSpPr>
      <xdr:spPr>
        <a:xfrm>
          <a:off x="2288165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142875</xdr:colOff>
      <xdr:row>30</xdr:row>
      <xdr:rowOff>30237</xdr:rowOff>
    </xdr:to>
    <xdr:sp macro="" textlink="">
      <xdr:nvSpPr>
        <xdr:cNvPr id="515" name="Arrow: Up 256">
          <a:extLst>
            <a:ext uri="{FF2B5EF4-FFF2-40B4-BE49-F238E27FC236}">
              <a16:creationId xmlns:a16="http://schemas.microsoft.com/office/drawing/2014/main" id="{D7E26520-E160-4C04-AE78-1D1206D214AF}"/>
            </a:ext>
          </a:extLst>
        </xdr:cNvPr>
        <xdr:cNvSpPr/>
      </xdr:nvSpPr>
      <xdr:spPr>
        <a:xfrm>
          <a:off x="3238500" y="5441950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516" name="Arrow: Up-Down 285">
          <a:extLst>
            <a:ext uri="{FF2B5EF4-FFF2-40B4-BE49-F238E27FC236}">
              <a16:creationId xmlns:a16="http://schemas.microsoft.com/office/drawing/2014/main" id="{2366FCFE-D164-41E6-8C46-9BD6B2CC4C1B}"/>
            </a:ext>
          </a:extLst>
        </xdr:cNvPr>
        <xdr:cNvSpPr/>
      </xdr:nvSpPr>
      <xdr:spPr>
        <a:xfrm>
          <a:off x="3400858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517" name="Arrow: Up-Down 285">
          <a:extLst>
            <a:ext uri="{FF2B5EF4-FFF2-40B4-BE49-F238E27FC236}">
              <a16:creationId xmlns:a16="http://schemas.microsoft.com/office/drawing/2014/main" id="{E29A417D-33EE-46DC-9933-308C54A0189C}"/>
            </a:ext>
          </a:extLst>
        </xdr:cNvPr>
        <xdr:cNvSpPr/>
      </xdr:nvSpPr>
      <xdr:spPr>
        <a:xfrm>
          <a:off x="3552392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518" name="Arrow: Up 240">
          <a:extLst>
            <a:ext uri="{FF2B5EF4-FFF2-40B4-BE49-F238E27FC236}">
              <a16:creationId xmlns:a16="http://schemas.microsoft.com/office/drawing/2014/main" id="{2D99AB36-95A5-43FE-B7E8-C8FDE3DC6BAF}"/>
            </a:ext>
          </a:extLst>
        </xdr:cNvPr>
        <xdr:cNvSpPr/>
      </xdr:nvSpPr>
      <xdr:spPr>
        <a:xfrm>
          <a:off x="5295467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519" name="Arrow: Up 240">
          <a:extLst>
            <a:ext uri="{FF2B5EF4-FFF2-40B4-BE49-F238E27FC236}">
              <a16:creationId xmlns:a16="http://schemas.microsoft.com/office/drawing/2014/main" id="{8FEF6041-B9EB-4DF6-B1DA-B1E10B71AE14}"/>
            </a:ext>
          </a:extLst>
        </xdr:cNvPr>
        <xdr:cNvSpPr/>
      </xdr:nvSpPr>
      <xdr:spPr>
        <a:xfrm>
          <a:off x="6144418" y="54188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520" name="Arrow: Up 256">
          <a:extLst>
            <a:ext uri="{FF2B5EF4-FFF2-40B4-BE49-F238E27FC236}">
              <a16:creationId xmlns:a16="http://schemas.microsoft.com/office/drawing/2014/main" id="{49623EEC-73A3-4E9A-85CC-E44CA46C8723}"/>
            </a:ext>
          </a:extLst>
        </xdr:cNvPr>
        <xdr:cNvSpPr/>
      </xdr:nvSpPr>
      <xdr:spPr>
        <a:xfrm>
          <a:off x="9226839" y="5409334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521" name="Arrow: Up 241">
          <a:extLst>
            <a:ext uri="{FF2B5EF4-FFF2-40B4-BE49-F238E27FC236}">
              <a16:creationId xmlns:a16="http://schemas.microsoft.com/office/drawing/2014/main" id="{B1DC44DB-C81B-4C7E-BFF3-A246376DF560}"/>
            </a:ext>
          </a:extLst>
        </xdr:cNvPr>
        <xdr:cNvSpPr/>
      </xdr:nvSpPr>
      <xdr:spPr>
        <a:xfrm>
          <a:off x="12303269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522" name="Arrow: Up 256">
          <a:extLst>
            <a:ext uri="{FF2B5EF4-FFF2-40B4-BE49-F238E27FC236}">
              <a16:creationId xmlns:a16="http://schemas.microsoft.com/office/drawing/2014/main" id="{D24A101C-E54E-49EF-B237-45C1E92D5AD1}"/>
            </a:ext>
          </a:extLst>
        </xdr:cNvPr>
        <xdr:cNvSpPr/>
      </xdr:nvSpPr>
      <xdr:spPr>
        <a:xfrm>
          <a:off x="13258367" y="5409335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523" name="Arrow: Up 241">
          <a:extLst>
            <a:ext uri="{FF2B5EF4-FFF2-40B4-BE49-F238E27FC236}">
              <a16:creationId xmlns:a16="http://schemas.microsoft.com/office/drawing/2014/main" id="{144CE714-92B3-4D93-8B92-98F7482711FE}"/>
            </a:ext>
          </a:extLst>
        </xdr:cNvPr>
        <xdr:cNvSpPr/>
      </xdr:nvSpPr>
      <xdr:spPr>
        <a:xfrm>
          <a:off x="86591" y="6867236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524" name="Arrow: Up 241">
          <a:extLst>
            <a:ext uri="{FF2B5EF4-FFF2-40B4-BE49-F238E27FC236}">
              <a16:creationId xmlns:a16="http://schemas.microsoft.com/office/drawing/2014/main" id="{DE3F2ED3-C6F1-4F89-B725-B6A035F626CC}"/>
            </a:ext>
          </a:extLst>
        </xdr:cNvPr>
        <xdr:cNvSpPr/>
      </xdr:nvSpPr>
      <xdr:spPr>
        <a:xfrm>
          <a:off x="1330037" y="68780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525" name="Arrow: Up 256">
          <a:extLst>
            <a:ext uri="{FF2B5EF4-FFF2-40B4-BE49-F238E27FC236}">
              <a16:creationId xmlns:a16="http://schemas.microsoft.com/office/drawing/2014/main" id="{FE83EB7C-078D-4B0B-B378-4C48348B1C24}"/>
            </a:ext>
          </a:extLst>
        </xdr:cNvPr>
        <xdr:cNvSpPr/>
      </xdr:nvSpPr>
      <xdr:spPr>
        <a:xfrm>
          <a:off x="2288164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526" name="Arrow: Up 256">
          <a:extLst>
            <a:ext uri="{FF2B5EF4-FFF2-40B4-BE49-F238E27FC236}">
              <a16:creationId xmlns:a16="http://schemas.microsoft.com/office/drawing/2014/main" id="{04320697-5778-4BDC-B18D-F099B18C2193}"/>
            </a:ext>
          </a:extLst>
        </xdr:cNvPr>
        <xdr:cNvSpPr/>
      </xdr:nvSpPr>
      <xdr:spPr>
        <a:xfrm>
          <a:off x="4284374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527" name="Arrow: Up 256">
          <a:extLst>
            <a:ext uri="{FF2B5EF4-FFF2-40B4-BE49-F238E27FC236}">
              <a16:creationId xmlns:a16="http://schemas.microsoft.com/office/drawing/2014/main" id="{32810C87-09C5-4E82-9162-D59470011765}"/>
            </a:ext>
          </a:extLst>
        </xdr:cNvPr>
        <xdr:cNvSpPr/>
      </xdr:nvSpPr>
      <xdr:spPr>
        <a:xfrm>
          <a:off x="4446731" y="691053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528" name="Arrow: Up 243">
          <a:extLst>
            <a:ext uri="{FF2B5EF4-FFF2-40B4-BE49-F238E27FC236}">
              <a16:creationId xmlns:a16="http://schemas.microsoft.com/office/drawing/2014/main" id="{A62BCF48-2120-47E3-A88A-B4D0EBD41F75}"/>
            </a:ext>
          </a:extLst>
        </xdr:cNvPr>
        <xdr:cNvSpPr/>
      </xdr:nvSpPr>
      <xdr:spPr>
        <a:xfrm>
          <a:off x="6246813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529" name="Arrow: Up 256">
          <a:extLst>
            <a:ext uri="{FF2B5EF4-FFF2-40B4-BE49-F238E27FC236}">
              <a16:creationId xmlns:a16="http://schemas.microsoft.com/office/drawing/2014/main" id="{F33A3A54-72AD-4A5D-BE9D-E73987DA9BFE}"/>
            </a:ext>
          </a:extLst>
        </xdr:cNvPr>
        <xdr:cNvSpPr/>
      </xdr:nvSpPr>
      <xdr:spPr>
        <a:xfrm>
          <a:off x="8013700" y="69215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530" name="Arrow: Up 243">
          <a:extLst>
            <a:ext uri="{FF2B5EF4-FFF2-40B4-BE49-F238E27FC236}">
              <a16:creationId xmlns:a16="http://schemas.microsoft.com/office/drawing/2014/main" id="{422C1171-BB9A-47E7-94D5-A09AE13D196C}"/>
            </a:ext>
          </a:extLst>
        </xdr:cNvPr>
        <xdr:cNvSpPr/>
      </xdr:nvSpPr>
      <xdr:spPr>
        <a:xfrm>
          <a:off x="8165234" y="69213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531" name="Arrow: Up-Down 285">
          <a:extLst>
            <a:ext uri="{FF2B5EF4-FFF2-40B4-BE49-F238E27FC236}">
              <a16:creationId xmlns:a16="http://schemas.microsoft.com/office/drawing/2014/main" id="{F56A53B2-36B8-4E78-9E48-26C54AE7072E}"/>
            </a:ext>
          </a:extLst>
        </xdr:cNvPr>
        <xdr:cNvSpPr/>
      </xdr:nvSpPr>
      <xdr:spPr>
        <a:xfrm>
          <a:off x="8327592" y="693232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532" name="Arrow: Up 256">
          <a:extLst>
            <a:ext uri="{FF2B5EF4-FFF2-40B4-BE49-F238E27FC236}">
              <a16:creationId xmlns:a16="http://schemas.microsoft.com/office/drawing/2014/main" id="{4A985618-B757-4DCF-AD22-E7E0045C39C0}"/>
            </a:ext>
          </a:extLst>
        </xdr:cNvPr>
        <xdr:cNvSpPr/>
      </xdr:nvSpPr>
      <xdr:spPr>
        <a:xfrm>
          <a:off x="10141455" y="688542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533" name="Arrow: Up 244">
          <a:extLst>
            <a:ext uri="{FF2B5EF4-FFF2-40B4-BE49-F238E27FC236}">
              <a16:creationId xmlns:a16="http://schemas.microsoft.com/office/drawing/2014/main" id="{C08A71F8-508F-4E81-BB1A-9A0E7A972A38}"/>
            </a:ext>
          </a:extLst>
        </xdr:cNvPr>
        <xdr:cNvSpPr/>
      </xdr:nvSpPr>
      <xdr:spPr>
        <a:xfrm>
          <a:off x="11236037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534" name="Arrow: Up 256">
          <a:extLst>
            <a:ext uri="{FF2B5EF4-FFF2-40B4-BE49-F238E27FC236}">
              <a16:creationId xmlns:a16="http://schemas.microsoft.com/office/drawing/2014/main" id="{A87E004C-7E08-48D1-BCD8-F1CF839909A4}"/>
            </a:ext>
          </a:extLst>
        </xdr:cNvPr>
        <xdr:cNvSpPr/>
      </xdr:nvSpPr>
      <xdr:spPr>
        <a:xfrm>
          <a:off x="12303269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535" name="Arrow: Up 256">
          <a:extLst>
            <a:ext uri="{FF2B5EF4-FFF2-40B4-BE49-F238E27FC236}">
              <a16:creationId xmlns:a16="http://schemas.microsoft.com/office/drawing/2014/main" id="{BE1BEAE7-FBD1-4053-8FB9-99EEB9063C1D}"/>
            </a:ext>
          </a:extLst>
        </xdr:cNvPr>
        <xdr:cNvSpPr/>
      </xdr:nvSpPr>
      <xdr:spPr>
        <a:xfrm>
          <a:off x="13301663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536" name="Arrow: Up 243">
          <a:extLst>
            <a:ext uri="{FF2B5EF4-FFF2-40B4-BE49-F238E27FC236}">
              <a16:creationId xmlns:a16="http://schemas.microsoft.com/office/drawing/2014/main" id="{BF94F63B-32F9-480F-806C-833C6EFBFE3C}"/>
            </a:ext>
          </a:extLst>
        </xdr:cNvPr>
        <xdr:cNvSpPr/>
      </xdr:nvSpPr>
      <xdr:spPr>
        <a:xfrm>
          <a:off x="1319212" y="83729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537" name="Arrow: Up 243">
          <a:extLst>
            <a:ext uri="{FF2B5EF4-FFF2-40B4-BE49-F238E27FC236}">
              <a16:creationId xmlns:a16="http://schemas.microsoft.com/office/drawing/2014/main" id="{5F7C2A6C-9BC3-4229-9031-422F831A0B18}"/>
            </a:ext>
          </a:extLst>
        </xdr:cNvPr>
        <xdr:cNvSpPr/>
      </xdr:nvSpPr>
      <xdr:spPr>
        <a:xfrm>
          <a:off x="5306291" y="83620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538" name="Arrow: Up 252">
          <a:extLst>
            <a:ext uri="{FF2B5EF4-FFF2-40B4-BE49-F238E27FC236}">
              <a16:creationId xmlns:a16="http://schemas.microsoft.com/office/drawing/2014/main" id="{8DB6D316-1605-49A8-AC43-9D44E9A570CD}"/>
            </a:ext>
          </a:extLst>
        </xdr:cNvPr>
        <xdr:cNvSpPr/>
      </xdr:nvSpPr>
      <xdr:spPr>
        <a:xfrm>
          <a:off x="5252172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539" name="Arrow: Up 252">
          <a:extLst>
            <a:ext uri="{FF2B5EF4-FFF2-40B4-BE49-F238E27FC236}">
              <a16:creationId xmlns:a16="http://schemas.microsoft.com/office/drawing/2014/main" id="{45C5D87B-893C-4CC9-A7BF-7EA2A339C957}"/>
            </a:ext>
          </a:extLst>
        </xdr:cNvPr>
        <xdr:cNvSpPr/>
      </xdr:nvSpPr>
      <xdr:spPr>
        <a:xfrm>
          <a:off x="5403705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540" name="Arrow: Up-Down 285">
          <a:extLst>
            <a:ext uri="{FF2B5EF4-FFF2-40B4-BE49-F238E27FC236}">
              <a16:creationId xmlns:a16="http://schemas.microsoft.com/office/drawing/2014/main" id="{A5CAF456-219C-41D5-A211-0AC0220A8CF5}"/>
            </a:ext>
          </a:extLst>
        </xdr:cNvPr>
        <xdr:cNvSpPr/>
      </xdr:nvSpPr>
      <xdr:spPr>
        <a:xfrm>
          <a:off x="8067819" y="9856932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541" name="Arrow: Up-Down 285">
          <a:extLst>
            <a:ext uri="{FF2B5EF4-FFF2-40B4-BE49-F238E27FC236}">
              <a16:creationId xmlns:a16="http://schemas.microsoft.com/office/drawing/2014/main" id="{88CAE926-C584-4733-9478-969B02467C78}"/>
            </a:ext>
          </a:extLst>
        </xdr:cNvPr>
        <xdr:cNvSpPr/>
      </xdr:nvSpPr>
      <xdr:spPr>
        <a:xfrm>
          <a:off x="8251825" y="9867756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542" name="Arrow: Up 251">
          <a:extLst>
            <a:ext uri="{FF2B5EF4-FFF2-40B4-BE49-F238E27FC236}">
              <a16:creationId xmlns:a16="http://schemas.microsoft.com/office/drawing/2014/main" id="{A73B5948-D6EF-42A7-A458-90D99BA72DB0}"/>
            </a:ext>
          </a:extLst>
        </xdr:cNvPr>
        <xdr:cNvSpPr/>
      </xdr:nvSpPr>
      <xdr:spPr>
        <a:xfrm>
          <a:off x="11138622" y="98569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543" name="Arrow: Up 247">
          <a:extLst>
            <a:ext uri="{FF2B5EF4-FFF2-40B4-BE49-F238E27FC236}">
              <a16:creationId xmlns:a16="http://schemas.microsoft.com/office/drawing/2014/main" id="{ACA59C80-869C-4AAC-A54B-7F12E45D394A}"/>
            </a:ext>
          </a:extLst>
        </xdr:cNvPr>
        <xdr:cNvSpPr/>
      </xdr:nvSpPr>
      <xdr:spPr>
        <a:xfrm>
          <a:off x="11322628" y="9856932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544" name="Arrow: Up 247">
          <a:extLst>
            <a:ext uri="{FF2B5EF4-FFF2-40B4-BE49-F238E27FC236}">
              <a16:creationId xmlns:a16="http://schemas.microsoft.com/office/drawing/2014/main" id="{56B1F526-5DA0-40CE-AABF-6A3AC914059A}"/>
            </a:ext>
          </a:extLst>
        </xdr:cNvPr>
        <xdr:cNvSpPr/>
      </xdr:nvSpPr>
      <xdr:spPr>
        <a:xfrm>
          <a:off x="12270798" y="983528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545" name="Arrow: Up 251">
          <a:extLst>
            <a:ext uri="{FF2B5EF4-FFF2-40B4-BE49-F238E27FC236}">
              <a16:creationId xmlns:a16="http://schemas.microsoft.com/office/drawing/2014/main" id="{65F846DD-D329-45C7-90A2-281A1C915C33}"/>
            </a:ext>
          </a:extLst>
        </xdr:cNvPr>
        <xdr:cNvSpPr/>
      </xdr:nvSpPr>
      <xdr:spPr>
        <a:xfrm>
          <a:off x="12454803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546" name="Arrow: Up 251">
          <a:extLst>
            <a:ext uri="{FF2B5EF4-FFF2-40B4-BE49-F238E27FC236}">
              <a16:creationId xmlns:a16="http://schemas.microsoft.com/office/drawing/2014/main" id="{470D2DB9-7B7D-4DBB-B9FE-21ECBA73D829}"/>
            </a:ext>
          </a:extLst>
        </xdr:cNvPr>
        <xdr:cNvSpPr/>
      </xdr:nvSpPr>
      <xdr:spPr>
        <a:xfrm>
          <a:off x="1275917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547" name="Arrow: Up 251">
          <a:extLst>
            <a:ext uri="{FF2B5EF4-FFF2-40B4-BE49-F238E27FC236}">
              <a16:creationId xmlns:a16="http://schemas.microsoft.com/office/drawing/2014/main" id="{8512499A-6A0B-4AD8-979A-A06E1C6ED708}"/>
            </a:ext>
          </a:extLst>
        </xdr:cNvPr>
        <xdr:cNvSpPr/>
      </xdr:nvSpPr>
      <xdr:spPr>
        <a:xfrm>
          <a:off x="7168717" y="1132565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548" name="Arrow: Up 251">
          <a:extLst>
            <a:ext uri="{FF2B5EF4-FFF2-40B4-BE49-F238E27FC236}">
              <a16:creationId xmlns:a16="http://schemas.microsoft.com/office/drawing/2014/main" id="{B729B117-1286-41B9-820A-662E9FB0BB11}"/>
            </a:ext>
          </a:extLst>
        </xdr:cNvPr>
        <xdr:cNvSpPr/>
      </xdr:nvSpPr>
      <xdr:spPr>
        <a:xfrm>
          <a:off x="8154410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549" name="Arrow: Up 255">
          <a:extLst>
            <a:ext uri="{FF2B5EF4-FFF2-40B4-BE49-F238E27FC236}">
              <a16:creationId xmlns:a16="http://schemas.microsoft.com/office/drawing/2014/main" id="{FCBC79DB-0315-4406-86CA-1EA8661134AD}"/>
            </a:ext>
          </a:extLst>
        </xdr:cNvPr>
        <xdr:cNvSpPr/>
      </xdr:nvSpPr>
      <xdr:spPr>
        <a:xfrm>
          <a:off x="10225665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550" name="Arrow: Up 247">
          <a:extLst>
            <a:ext uri="{FF2B5EF4-FFF2-40B4-BE49-F238E27FC236}">
              <a16:creationId xmlns:a16="http://schemas.microsoft.com/office/drawing/2014/main" id="{655C4AAA-F772-49E5-A0CC-B77105EB4A7E}"/>
            </a:ext>
          </a:extLst>
        </xdr:cNvPr>
        <xdr:cNvSpPr/>
      </xdr:nvSpPr>
      <xdr:spPr>
        <a:xfrm>
          <a:off x="11376746" y="1131483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551" name="Arrow: Up-Down 285">
          <a:extLst>
            <a:ext uri="{FF2B5EF4-FFF2-40B4-BE49-F238E27FC236}">
              <a16:creationId xmlns:a16="http://schemas.microsoft.com/office/drawing/2014/main" id="{A661CF7B-03FE-431B-A760-07A04BA91DCF}"/>
            </a:ext>
          </a:extLst>
        </xdr:cNvPr>
        <xdr:cNvSpPr/>
      </xdr:nvSpPr>
      <xdr:spPr>
        <a:xfrm>
          <a:off x="12357388" y="1133648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552" name="Arrow: Up-Down 285">
          <a:extLst>
            <a:ext uri="{FF2B5EF4-FFF2-40B4-BE49-F238E27FC236}">
              <a16:creationId xmlns:a16="http://schemas.microsoft.com/office/drawing/2014/main" id="{E845A1E8-C053-470B-82D0-3A88959A5F79}"/>
            </a:ext>
          </a:extLst>
        </xdr:cNvPr>
        <xdr:cNvSpPr/>
      </xdr:nvSpPr>
      <xdr:spPr>
        <a:xfrm>
          <a:off x="13409901" y="1134745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553" name="Arrow: Up 257">
          <a:extLst>
            <a:ext uri="{FF2B5EF4-FFF2-40B4-BE49-F238E27FC236}">
              <a16:creationId xmlns:a16="http://schemas.microsoft.com/office/drawing/2014/main" id="{7D13BB88-0DEE-4D84-8B11-5C8092726591}"/>
            </a:ext>
          </a:extLst>
        </xdr:cNvPr>
        <xdr:cNvSpPr/>
      </xdr:nvSpPr>
      <xdr:spPr>
        <a:xfrm>
          <a:off x="13225896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554" name="Arrow: Up-Down 285">
          <a:extLst>
            <a:ext uri="{FF2B5EF4-FFF2-40B4-BE49-F238E27FC236}">
              <a16:creationId xmlns:a16="http://schemas.microsoft.com/office/drawing/2014/main" id="{0BD76204-57F2-49B8-8547-ACA8F45DA550}"/>
            </a:ext>
          </a:extLst>
        </xdr:cNvPr>
        <xdr:cNvSpPr/>
      </xdr:nvSpPr>
      <xdr:spPr>
        <a:xfrm>
          <a:off x="1308388" y="12809682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555" name="Arrow: Up-Down 285">
          <a:extLst>
            <a:ext uri="{FF2B5EF4-FFF2-40B4-BE49-F238E27FC236}">
              <a16:creationId xmlns:a16="http://schemas.microsoft.com/office/drawing/2014/main" id="{703CEC58-7A50-4F72-93B4-594BAB6246DE}"/>
            </a:ext>
          </a:extLst>
        </xdr:cNvPr>
        <xdr:cNvSpPr/>
      </xdr:nvSpPr>
      <xdr:spPr>
        <a:xfrm>
          <a:off x="3509097" y="1279885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556" name="Arrow: Up 268">
          <a:extLst>
            <a:ext uri="{FF2B5EF4-FFF2-40B4-BE49-F238E27FC236}">
              <a16:creationId xmlns:a16="http://schemas.microsoft.com/office/drawing/2014/main" id="{832CAFA7-3946-4C5F-B01F-36D082C119EA}"/>
            </a:ext>
          </a:extLst>
        </xdr:cNvPr>
        <xdr:cNvSpPr/>
      </xdr:nvSpPr>
      <xdr:spPr>
        <a:xfrm>
          <a:off x="10149898" y="1279885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557" name="Arrow: Up 269">
          <a:extLst>
            <a:ext uri="{FF2B5EF4-FFF2-40B4-BE49-F238E27FC236}">
              <a16:creationId xmlns:a16="http://schemas.microsoft.com/office/drawing/2014/main" id="{7068713A-2182-4761-B0AD-BD2134972764}"/>
            </a:ext>
          </a:extLst>
        </xdr:cNvPr>
        <xdr:cNvSpPr/>
      </xdr:nvSpPr>
      <xdr:spPr>
        <a:xfrm>
          <a:off x="11344275" y="12788035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558" name="Arrow: Up 268">
          <a:extLst>
            <a:ext uri="{FF2B5EF4-FFF2-40B4-BE49-F238E27FC236}">
              <a16:creationId xmlns:a16="http://schemas.microsoft.com/office/drawing/2014/main" id="{AEC5E332-D1F9-47C7-8AD8-AF4C56AD3601}"/>
            </a:ext>
          </a:extLst>
        </xdr:cNvPr>
        <xdr:cNvSpPr/>
      </xdr:nvSpPr>
      <xdr:spPr>
        <a:xfrm>
          <a:off x="11171093" y="1278803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559" name="Arrow: Up 271">
          <a:extLst>
            <a:ext uri="{FF2B5EF4-FFF2-40B4-BE49-F238E27FC236}">
              <a16:creationId xmlns:a16="http://schemas.microsoft.com/office/drawing/2014/main" id="{581862D1-B464-46E1-B830-3C62013A853D}"/>
            </a:ext>
          </a:extLst>
        </xdr:cNvPr>
        <xdr:cNvSpPr/>
      </xdr:nvSpPr>
      <xdr:spPr>
        <a:xfrm>
          <a:off x="1405804" y="1426123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560" name="Arrow: Up 265">
          <a:extLst>
            <a:ext uri="{FF2B5EF4-FFF2-40B4-BE49-F238E27FC236}">
              <a16:creationId xmlns:a16="http://schemas.microsoft.com/office/drawing/2014/main" id="{8BFEDEE1-E737-4F52-AD62-B014B822BF6F}"/>
            </a:ext>
          </a:extLst>
        </xdr:cNvPr>
        <xdr:cNvSpPr/>
      </xdr:nvSpPr>
      <xdr:spPr>
        <a:xfrm>
          <a:off x="1232622" y="14250410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561" name="Arrow: Up 265">
          <a:extLst>
            <a:ext uri="{FF2B5EF4-FFF2-40B4-BE49-F238E27FC236}">
              <a16:creationId xmlns:a16="http://schemas.microsoft.com/office/drawing/2014/main" id="{2E7490CB-4E76-44B5-BE08-A1E69AF2E0F7}"/>
            </a:ext>
          </a:extLst>
        </xdr:cNvPr>
        <xdr:cNvSpPr/>
      </xdr:nvSpPr>
      <xdr:spPr>
        <a:xfrm>
          <a:off x="2190750" y="14272057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562" name="Arrow: Up 265">
          <a:extLst>
            <a:ext uri="{FF2B5EF4-FFF2-40B4-BE49-F238E27FC236}">
              <a16:creationId xmlns:a16="http://schemas.microsoft.com/office/drawing/2014/main" id="{86F2B2B7-B5A9-44A9-8E49-D730021AA667}"/>
            </a:ext>
          </a:extLst>
        </xdr:cNvPr>
        <xdr:cNvSpPr/>
      </xdr:nvSpPr>
      <xdr:spPr>
        <a:xfrm>
          <a:off x="3281795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563" name="Arrow: Up 265">
          <a:extLst>
            <a:ext uri="{FF2B5EF4-FFF2-40B4-BE49-F238E27FC236}">
              <a16:creationId xmlns:a16="http://schemas.microsoft.com/office/drawing/2014/main" id="{3716208B-77F7-4809-9391-10E9B07D7C47}"/>
            </a:ext>
          </a:extLst>
        </xdr:cNvPr>
        <xdr:cNvSpPr/>
      </xdr:nvSpPr>
      <xdr:spPr>
        <a:xfrm>
          <a:off x="4370965" y="14272058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564" name="Arrow: Up 265">
          <a:extLst>
            <a:ext uri="{FF2B5EF4-FFF2-40B4-BE49-F238E27FC236}">
              <a16:creationId xmlns:a16="http://schemas.microsoft.com/office/drawing/2014/main" id="{4A0E0966-88F0-4278-A25D-F1CEB3DE975E}"/>
            </a:ext>
          </a:extLst>
        </xdr:cNvPr>
        <xdr:cNvSpPr/>
      </xdr:nvSpPr>
      <xdr:spPr>
        <a:xfrm>
          <a:off x="5230524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565" name="Arrow: Up 262">
          <a:extLst>
            <a:ext uri="{FF2B5EF4-FFF2-40B4-BE49-F238E27FC236}">
              <a16:creationId xmlns:a16="http://schemas.microsoft.com/office/drawing/2014/main" id="{B27CCC73-2F74-468F-B15D-AFA9BE437A98}"/>
            </a:ext>
          </a:extLst>
        </xdr:cNvPr>
        <xdr:cNvSpPr/>
      </xdr:nvSpPr>
      <xdr:spPr>
        <a:xfrm>
          <a:off x="5382058" y="142720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566" name="Arrow: Up 265">
          <a:extLst>
            <a:ext uri="{FF2B5EF4-FFF2-40B4-BE49-F238E27FC236}">
              <a16:creationId xmlns:a16="http://schemas.microsoft.com/office/drawing/2014/main" id="{DCDA45FF-EE83-4827-BE5C-852183C193AF}"/>
            </a:ext>
          </a:extLst>
        </xdr:cNvPr>
        <xdr:cNvSpPr/>
      </xdr:nvSpPr>
      <xdr:spPr>
        <a:xfrm>
          <a:off x="6149398" y="1429370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567" name="Arrow: Up 275">
          <a:extLst>
            <a:ext uri="{FF2B5EF4-FFF2-40B4-BE49-F238E27FC236}">
              <a16:creationId xmlns:a16="http://schemas.microsoft.com/office/drawing/2014/main" id="{5E2A1809-F529-44E0-BBB6-D9C2B7518E26}"/>
            </a:ext>
          </a:extLst>
        </xdr:cNvPr>
        <xdr:cNvSpPr/>
      </xdr:nvSpPr>
      <xdr:spPr>
        <a:xfrm>
          <a:off x="8067820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568" name="Arrow: Up 262">
          <a:extLst>
            <a:ext uri="{FF2B5EF4-FFF2-40B4-BE49-F238E27FC236}">
              <a16:creationId xmlns:a16="http://schemas.microsoft.com/office/drawing/2014/main" id="{6E3D8101-7E2A-4366-B82F-80EE480EBE9C}"/>
            </a:ext>
          </a:extLst>
        </xdr:cNvPr>
        <xdr:cNvSpPr/>
      </xdr:nvSpPr>
      <xdr:spPr>
        <a:xfrm>
          <a:off x="8251825" y="14272057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569" name="Arrow: Up 262">
          <a:extLst>
            <a:ext uri="{FF2B5EF4-FFF2-40B4-BE49-F238E27FC236}">
              <a16:creationId xmlns:a16="http://schemas.microsoft.com/office/drawing/2014/main" id="{C4032278-BA69-4167-B63E-696CBC574F42}"/>
            </a:ext>
          </a:extLst>
        </xdr:cNvPr>
        <xdr:cNvSpPr/>
      </xdr:nvSpPr>
      <xdr:spPr>
        <a:xfrm>
          <a:off x="9335077" y="14261235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570" name="Arrow: Up 275">
          <a:extLst>
            <a:ext uri="{FF2B5EF4-FFF2-40B4-BE49-F238E27FC236}">
              <a16:creationId xmlns:a16="http://schemas.microsoft.com/office/drawing/2014/main" id="{44638E20-31E6-4EE8-93FD-BD93C9026779}"/>
            </a:ext>
          </a:extLst>
        </xdr:cNvPr>
        <xdr:cNvSpPr/>
      </xdr:nvSpPr>
      <xdr:spPr>
        <a:xfrm>
          <a:off x="9161896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571" name="Arrow: Up 275">
          <a:extLst>
            <a:ext uri="{FF2B5EF4-FFF2-40B4-BE49-F238E27FC236}">
              <a16:creationId xmlns:a16="http://schemas.microsoft.com/office/drawing/2014/main" id="{AA4F0BBA-7529-482A-A1E6-4C1E0E590B02}"/>
            </a:ext>
          </a:extLst>
        </xdr:cNvPr>
        <xdr:cNvSpPr/>
      </xdr:nvSpPr>
      <xdr:spPr>
        <a:xfrm>
          <a:off x="10139073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572" name="Arrow: Up 275">
          <a:extLst>
            <a:ext uri="{FF2B5EF4-FFF2-40B4-BE49-F238E27FC236}">
              <a16:creationId xmlns:a16="http://schemas.microsoft.com/office/drawing/2014/main" id="{DBF67959-EC6D-4D27-B6EA-8EE5FDC69671}"/>
            </a:ext>
          </a:extLst>
        </xdr:cNvPr>
        <xdr:cNvSpPr/>
      </xdr:nvSpPr>
      <xdr:spPr>
        <a:xfrm>
          <a:off x="11268508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573" name="Arrow: Up 275">
          <a:extLst>
            <a:ext uri="{FF2B5EF4-FFF2-40B4-BE49-F238E27FC236}">
              <a16:creationId xmlns:a16="http://schemas.microsoft.com/office/drawing/2014/main" id="{EC9FDC53-632F-4693-803C-82EB36ACA3D0}"/>
            </a:ext>
          </a:extLst>
        </xdr:cNvPr>
        <xdr:cNvSpPr/>
      </xdr:nvSpPr>
      <xdr:spPr>
        <a:xfrm>
          <a:off x="12368212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574" name="Arrow: Up 275">
          <a:extLst>
            <a:ext uri="{FF2B5EF4-FFF2-40B4-BE49-F238E27FC236}">
              <a16:creationId xmlns:a16="http://schemas.microsoft.com/office/drawing/2014/main" id="{3A5BF37A-B69C-4420-B071-FC1343BA328B}"/>
            </a:ext>
          </a:extLst>
        </xdr:cNvPr>
        <xdr:cNvSpPr/>
      </xdr:nvSpPr>
      <xdr:spPr>
        <a:xfrm>
          <a:off x="0" y="157734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575" name="Arrow: Up 279">
          <a:extLst>
            <a:ext uri="{FF2B5EF4-FFF2-40B4-BE49-F238E27FC236}">
              <a16:creationId xmlns:a16="http://schemas.microsoft.com/office/drawing/2014/main" id="{0064221D-E842-460E-83FF-C1A17EA24276}"/>
            </a:ext>
          </a:extLst>
        </xdr:cNvPr>
        <xdr:cNvSpPr/>
      </xdr:nvSpPr>
      <xdr:spPr>
        <a:xfrm>
          <a:off x="162358" y="1577340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576" name="Arrow: Up 275">
          <a:extLst>
            <a:ext uri="{FF2B5EF4-FFF2-40B4-BE49-F238E27FC236}">
              <a16:creationId xmlns:a16="http://schemas.microsoft.com/office/drawing/2014/main" id="{946553CA-D9AC-4A59-81C6-B4657BA25005}"/>
            </a:ext>
          </a:extLst>
        </xdr:cNvPr>
        <xdr:cNvSpPr/>
      </xdr:nvSpPr>
      <xdr:spPr>
        <a:xfrm>
          <a:off x="1251454" y="15756804"/>
          <a:ext cx="133350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577" name="Arrow: Up 279">
          <a:extLst>
            <a:ext uri="{FF2B5EF4-FFF2-40B4-BE49-F238E27FC236}">
              <a16:creationId xmlns:a16="http://schemas.microsoft.com/office/drawing/2014/main" id="{3727E4E5-8E16-4E99-9E84-616B4D37AC3D}"/>
            </a:ext>
          </a:extLst>
        </xdr:cNvPr>
        <xdr:cNvSpPr/>
      </xdr:nvSpPr>
      <xdr:spPr>
        <a:xfrm>
          <a:off x="2277340" y="15751608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578" name="Arrow: Up 275">
          <a:extLst>
            <a:ext uri="{FF2B5EF4-FFF2-40B4-BE49-F238E27FC236}">
              <a16:creationId xmlns:a16="http://schemas.microsoft.com/office/drawing/2014/main" id="{54F9452F-66F4-4956-A85B-0AF56DD4B7C2}"/>
            </a:ext>
          </a:extLst>
        </xdr:cNvPr>
        <xdr:cNvSpPr/>
      </xdr:nvSpPr>
      <xdr:spPr>
        <a:xfrm>
          <a:off x="4370965" y="15740784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579" name="Arrow: Up 281">
          <a:extLst>
            <a:ext uri="{FF2B5EF4-FFF2-40B4-BE49-F238E27FC236}">
              <a16:creationId xmlns:a16="http://schemas.microsoft.com/office/drawing/2014/main" id="{B9E65759-CB11-4A48-B52E-D37CE4EB7078}"/>
            </a:ext>
          </a:extLst>
        </xdr:cNvPr>
        <xdr:cNvSpPr/>
      </xdr:nvSpPr>
      <xdr:spPr>
        <a:xfrm>
          <a:off x="6246813" y="157734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580" name="Arrow: Up 284">
          <a:extLst>
            <a:ext uri="{FF2B5EF4-FFF2-40B4-BE49-F238E27FC236}">
              <a16:creationId xmlns:a16="http://schemas.microsoft.com/office/drawing/2014/main" id="{82ED6149-60DF-4B9D-AB6C-36C420156DFA}"/>
            </a:ext>
          </a:extLst>
        </xdr:cNvPr>
        <xdr:cNvSpPr/>
      </xdr:nvSpPr>
      <xdr:spPr>
        <a:xfrm>
          <a:off x="9216015" y="15729961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581" name="Arrow: Up 281">
          <a:extLst>
            <a:ext uri="{FF2B5EF4-FFF2-40B4-BE49-F238E27FC236}">
              <a16:creationId xmlns:a16="http://schemas.microsoft.com/office/drawing/2014/main" id="{9C9B0EC6-E020-40ED-9D72-008026CA0709}"/>
            </a:ext>
          </a:extLst>
        </xdr:cNvPr>
        <xdr:cNvSpPr/>
      </xdr:nvSpPr>
      <xdr:spPr>
        <a:xfrm>
          <a:off x="10268960" y="157299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582" name="Arrow: Up 286">
          <a:extLst>
            <a:ext uri="{FF2B5EF4-FFF2-40B4-BE49-F238E27FC236}">
              <a16:creationId xmlns:a16="http://schemas.microsoft.com/office/drawing/2014/main" id="{AB1B9F4F-3A22-42D2-9281-F075365F2BD0}"/>
            </a:ext>
          </a:extLst>
        </xdr:cNvPr>
        <xdr:cNvSpPr/>
      </xdr:nvSpPr>
      <xdr:spPr>
        <a:xfrm>
          <a:off x="12346565" y="157516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583" name="Arrow: Up 275">
          <a:extLst>
            <a:ext uri="{FF2B5EF4-FFF2-40B4-BE49-F238E27FC236}">
              <a16:creationId xmlns:a16="http://schemas.microsoft.com/office/drawing/2014/main" id="{3C389454-7F3C-49A0-8DC9-7292EFD6277E}"/>
            </a:ext>
          </a:extLst>
        </xdr:cNvPr>
        <xdr:cNvSpPr/>
      </xdr:nvSpPr>
      <xdr:spPr>
        <a:xfrm>
          <a:off x="2288165" y="17235632"/>
          <a:ext cx="133350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584" name="Arrow: Up 289">
          <a:extLst>
            <a:ext uri="{FF2B5EF4-FFF2-40B4-BE49-F238E27FC236}">
              <a16:creationId xmlns:a16="http://schemas.microsoft.com/office/drawing/2014/main" id="{7199BF06-274B-4074-8FA2-C338F40F1076}"/>
            </a:ext>
          </a:extLst>
        </xdr:cNvPr>
        <xdr:cNvSpPr/>
      </xdr:nvSpPr>
      <xdr:spPr>
        <a:xfrm>
          <a:off x="3400858" y="172356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585" name="Arrow: Up 275">
          <a:extLst>
            <a:ext uri="{FF2B5EF4-FFF2-40B4-BE49-F238E27FC236}">
              <a16:creationId xmlns:a16="http://schemas.microsoft.com/office/drawing/2014/main" id="{1C9112A2-87E2-432D-A614-EAD582BDD19A}"/>
            </a:ext>
          </a:extLst>
        </xdr:cNvPr>
        <xdr:cNvSpPr/>
      </xdr:nvSpPr>
      <xdr:spPr>
        <a:xfrm>
          <a:off x="4273550" y="172466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586" name="Arrow: Up 289">
          <a:extLst>
            <a:ext uri="{FF2B5EF4-FFF2-40B4-BE49-F238E27FC236}">
              <a16:creationId xmlns:a16="http://schemas.microsoft.com/office/drawing/2014/main" id="{C31FD275-1783-4B79-9CFF-9677D876D3DE}"/>
            </a:ext>
          </a:extLst>
        </xdr:cNvPr>
        <xdr:cNvSpPr/>
      </xdr:nvSpPr>
      <xdr:spPr>
        <a:xfrm>
          <a:off x="4425084" y="172464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587" name="Arrow: Up 296">
          <a:extLst>
            <a:ext uri="{FF2B5EF4-FFF2-40B4-BE49-F238E27FC236}">
              <a16:creationId xmlns:a16="http://schemas.microsoft.com/office/drawing/2014/main" id="{EBDE38BF-070E-43E4-8675-EA73ABACE6D8}"/>
            </a:ext>
          </a:extLst>
        </xdr:cNvPr>
        <xdr:cNvSpPr/>
      </xdr:nvSpPr>
      <xdr:spPr>
        <a:xfrm>
          <a:off x="1416627" y="18687185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588" name="Arrow: Up 291">
          <a:extLst>
            <a:ext uri="{FF2B5EF4-FFF2-40B4-BE49-F238E27FC236}">
              <a16:creationId xmlns:a16="http://schemas.microsoft.com/office/drawing/2014/main" id="{DE2FF724-203C-4EED-9F90-E13C6ECFE662}"/>
            </a:ext>
          </a:extLst>
        </xdr:cNvPr>
        <xdr:cNvSpPr/>
      </xdr:nvSpPr>
      <xdr:spPr>
        <a:xfrm>
          <a:off x="6268460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589" name="Arrow: Up 310">
          <a:extLst>
            <a:ext uri="{FF2B5EF4-FFF2-40B4-BE49-F238E27FC236}">
              <a16:creationId xmlns:a16="http://schemas.microsoft.com/office/drawing/2014/main" id="{C4D7EB94-BD7E-4904-9B61-239220EBE7C3}"/>
            </a:ext>
          </a:extLst>
        </xdr:cNvPr>
        <xdr:cNvSpPr/>
      </xdr:nvSpPr>
      <xdr:spPr>
        <a:xfrm>
          <a:off x="12335741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590" name="Arrow: Up 296">
          <a:extLst>
            <a:ext uri="{FF2B5EF4-FFF2-40B4-BE49-F238E27FC236}">
              <a16:creationId xmlns:a16="http://schemas.microsoft.com/office/drawing/2014/main" id="{6E26F4A3-1D4C-4307-B962-CFB2AC194D36}"/>
            </a:ext>
          </a:extLst>
        </xdr:cNvPr>
        <xdr:cNvSpPr/>
      </xdr:nvSpPr>
      <xdr:spPr>
        <a:xfrm>
          <a:off x="1416627" y="2019300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591" name="Arrow: Up 296">
          <a:extLst>
            <a:ext uri="{FF2B5EF4-FFF2-40B4-BE49-F238E27FC236}">
              <a16:creationId xmlns:a16="http://schemas.microsoft.com/office/drawing/2014/main" id="{6979D6F2-DF47-48FA-A0E6-9BB10E082EE4}"/>
            </a:ext>
          </a:extLst>
        </xdr:cNvPr>
        <xdr:cNvSpPr/>
      </xdr:nvSpPr>
      <xdr:spPr>
        <a:xfrm>
          <a:off x="2320636" y="20149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592" name="Arrow: Up 296">
          <a:extLst>
            <a:ext uri="{FF2B5EF4-FFF2-40B4-BE49-F238E27FC236}">
              <a16:creationId xmlns:a16="http://schemas.microsoft.com/office/drawing/2014/main" id="{400BED0C-434A-44EF-A308-97400CA42F80}"/>
            </a:ext>
          </a:extLst>
        </xdr:cNvPr>
        <xdr:cNvSpPr/>
      </xdr:nvSpPr>
      <xdr:spPr>
        <a:xfrm>
          <a:off x="3379210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593" name="Arrow: Up 313">
          <a:extLst>
            <a:ext uri="{FF2B5EF4-FFF2-40B4-BE49-F238E27FC236}">
              <a16:creationId xmlns:a16="http://schemas.microsoft.com/office/drawing/2014/main" id="{F4A304C1-F96A-4B89-9D0B-D344CBE79D74}"/>
            </a:ext>
          </a:extLst>
        </xdr:cNvPr>
        <xdr:cNvSpPr/>
      </xdr:nvSpPr>
      <xdr:spPr>
        <a:xfrm>
          <a:off x="4370965" y="201712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594" name="Arrow: Up 313">
          <a:extLst>
            <a:ext uri="{FF2B5EF4-FFF2-40B4-BE49-F238E27FC236}">
              <a16:creationId xmlns:a16="http://schemas.microsoft.com/office/drawing/2014/main" id="{D639D97E-8B58-4ACE-96C6-35C3F0C4196F}"/>
            </a:ext>
          </a:extLst>
        </xdr:cNvPr>
        <xdr:cNvSpPr/>
      </xdr:nvSpPr>
      <xdr:spPr>
        <a:xfrm>
          <a:off x="7125422" y="201603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595" name="Arrow: Up-Down 285">
          <a:extLst>
            <a:ext uri="{FF2B5EF4-FFF2-40B4-BE49-F238E27FC236}">
              <a16:creationId xmlns:a16="http://schemas.microsoft.com/office/drawing/2014/main" id="{3DF07AC1-054B-452D-8763-5D31EF1CD641}"/>
            </a:ext>
          </a:extLst>
        </xdr:cNvPr>
        <xdr:cNvSpPr/>
      </xdr:nvSpPr>
      <xdr:spPr>
        <a:xfrm>
          <a:off x="7287780" y="2018203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596" name="Arrow: Up 296">
          <a:extLst>
            <a:ext uri="{FF2B5EF4-FFF2-40B4-BE49-F238E27FC236}">
              <a16:creationId xmlns:a16="http://schemas.microsoft.com/office/drawing/2014/main" id="{F26466C7-7518-43B4-AB18-273EF1FE4A27}"/>
            </a:ext>
          </a:extLst>
        </xdr:cNvPr>
        <xdr:cNvSpPr/>
      </xdr:nvSpPr>
      <xdr:spPr>
        <a:xfrm>
          <a:off x="8186881" y="201603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597" name="Arrow: Up 296">
          <a:extLst>
            <a:ext uri="{FF2B5EF4-FFF2-40B4-BE49-F238E27FC236}">
              <a16:creationId xmlns:a16="http://schemas.microsoft.com/office/drawing/2014/main" id="{34478763-2408-4765-BB06-C17748BF7497}"/>
            </a:ext>
          </a:extLst>
        </xdr:cNvPr>
        <xdr:cNvSpPr/>
      </xdr:nvSpPr>
      <xdr:spPr>
        <a:xfrm>
          <a:off x="11225213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598" name="Arrow: Up 296">
          <a:extLst>
            <a:ext uri="{FF2B5EF4-FFF2-40B4-BE49-F238E27FC236}">
              <a16:creationId xmlns:a16="http://schemas.microsoft.com/office/drawing/2014/main" id="{328457F4-A365-48D5-857F-51D915C731B6}"/>
            </a:ext>
          </a:extLst>
        </xdr:cNvPr>
        <xdr:cNvSpPr/>
      </xdr:nvSpPr>
      <xdr:spPr>
        <a:xfrm>
          <a:off x="12433156" y="20182031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599" name="Arrow: Up 313">
          <a:extLst>
            <a:ext uri="{FF2B5EF4-FFF2-40B4-BE49-F238E27FC236}">
              <a16:creationId xmlns:a16="http://schemas.microsoft.com/office/drawing/2014/main" id="{C43ACF81-0707-4FDE-B114-F1A4C8BD3BAA}"/>
            </a:ext>
          </a:extLst>
        </xdr:cNvPr>
        <xdr:cNvSpPr/>
      </xdr:nvSpPr>
      <xdr:spPr>
        <a:xfrm>
          <a:off x="12270798" y="20192856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600" name="Arrow: Up 296">
          <a:extLst>
            <a:ext uri="{FF2B5EF4-FFF2-40B4-BE49-F238E27FC236}">
              <a16:creationId xmlns:a16="http://schemas.microsoft.com/office/drawing/2014/main" id="{BAC1B9DC-85ED-4945-ADC0-A52B89118FEC}"/>
            </a:ext>
          </a:extLst>
        </xdr:cNvPr>
        <xdr:cNvSpPr/>
      </xdr:nvSpPr>
      <xdr:spPr>
        <a:xfrm>
          <a:off x="13301663" y="20160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601" name="Arrow: Up 296">
          <a:extLst>
            <a:ext uri="{FF2B5EF4-FFF2-40B4-BE49-F238E27FC236}">
              <a16:creationId xmlns:a16="http://schemas.microsoft.com/office/drawing/2014/main" id="{3825B0FE-44C1-43B6-962D-8911BFD13ACC}"/>
            </a:ext>
          </a:extLst>
        </xdr:cNvPr>
        <xdr:cNvSpPr/>
      </xdr:nvSpPr>
      <xdr:spPr>
        <a:xfrm>
          <a:off x="1308389" y="216444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602" name="Arrow: Up 296">
          <a:extLst>
            <a:ext uri="{FF2B5EF4-FFF2-40B4-BE49-F238E27FC236}">
              <a16:creationId xmlns:a16="http://schemas.microsoft.com/office/drawing/2014/main" id="{74BDBB36-04CA-4048-AF2B-5EDCA3BAF724}"/>
            </a:ext>
          </a:extLst>
        </xdr:cNvPr>
        <xdr:cNvSpPr/>
      </xdr:nvSpPr>
      <xdr:spPr>
        <a:xfrm>
          <a:off x="2298988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603" name="Arrow: Up 296">
          <a:extLst>
            <a:ext uri="{FF2B5EF4-FFF2-40B4-BE49-F238E27FC236}">
              <a16:creationId xmlns:a16="http://schemas.microsoft.com/office/drawing/2014/main" id="{4306F981-8AD1-490F-BCF1-2CC18ACFF7E4}"/>
            </a:ext>
          </a:extLst>
        </xdr:cNvPr>
        <xdr:cNvSpPr/>
      </xdr:nvSpPr>
      <xdr:spPr>
        <a:xfrm>
          <a:off x="3314267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604" name="Arrow: Up-Down 285">
          <a:extLst>
            <a:ext uri="{FF2B5EF4-FFF2-40B4-BE49-F238E27FC236}">
              <a16:creationId xmlns:a16="http://schemas.microsoft.com/office/drawing/2014/main" id="{33DE459F-8E0C-46A4-B3E7-3398EF2FAFEE}"/>
            </a:ext>
          </a:extLst>
        </xdr:cNvPr>
        <xdr:cNvSpPr/>
      </xdr:nvSpPr>
      <xdr:spPr>
        <a:xfrm>
          <a:off x="3498273" y="21644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605" name="Arrow: Up 296">
          <a:extLst>
            <a:ext uri="{FF2B5EF4-FFF2-40B4-BE49-F238E27FC236}">
              <a16:creationId xmlns:a16="http://schemas.microsoft.com/office/drawing/2014/main" id="{62CDB705-8A5E-401C-B04C-F7047C97DB51}"/>
            </a:ext>
          </a:extLst>
        </xdr:cNvPr>
        <xdr:cNvSpPr/>
      </xdr:nvSpPr>
      <xdr:spPr>
        <a:xfrm>
          <a:off x="4360141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606" name="Arrow: Up 296">
          <a:extLst>
            <a:ext uri="{FF2B5EF4-FFF2-40B4-BE49-F238E27FC236}">
              <a16:creationId xmlns:a16="http://schemas.microsoft.com/office/drawing/2014/main" id="{6FE6857A-4367-4D85-BDAA-366E8115E652}"/>
            </a:ext>
          </a:extLst>
        </xdr:cNvPr>
        <xdr:cNvSpPr/>
      </xdr:nvSpPr>
      <xdr:spPr>
        <a:xfrm>
          <a:off x="5306291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607" name="Arrow: Up 296">
          <a:extLst>
            <a:ext uri="{FF2B5EF4-FFF2-40B4-BE49-F238E27FC236}">
              <a16:creationId xmlns:a16="http://schemas.microsoft.com/office/drawing/2014/main" id="{CBBCB970-3583-426D-AFE9-FCF8022D4F52}"/>
            </a:ext>
          </a:extLst>
        </xdr:cNvPr>
        <xdr:cNvSpPr/>
      </xdr:nvSpPr>
      <xdr:spPr>
        <a:xfrm>
          <a:off x="7168717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608" name="Arrow: Up 296">
          <a:extLst>
            <a:ext uri="{FF2B5EF4-FFF2-40B4-BE49-F238E27FC236}">
              <a16:creationId xmlns:a16="http://schemas.microsoft.com/office/drawing/2014/main" id="{34EEF56A-FE6E-460E-BAF3-C088E059EB50}"/>
            </a:ext>
          </a:extLst>
        </xdr:cNvPr>
        <xdr:cNvSpPr/>
      </xdr:nvSpPr>
      <xdr:spPr>
        <a:xfrm>
          <a:off x="10236489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609" name="Arrow: Up 296">
          <a:extLst>
            <a:ext uri="{FF2B5EF4-FFF2-40B4-BE49-F238E27FC236}">
              <a16:creationId xmlns:a16="http://schemas.microsoft.com/office/drawing/2014/main" id="{80D1BA46-5EE9-4A01-9F04-78362600BE6A}"/>
            </a:ext>
          </a:extLst>
        </xdr:cNvPr>
        <xdr:cNvSpPr/>
      </xdr:nvSpPr>
      <xdr:spPr>
        <a:xfrm>
          <a:off x="11225213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610" name="Arrow: Up 296">
          <a:extLst>
            <a:ext uri="{FF2B5EF4-FFF2-40B4-BE49-F238E27FC236}">
              <a16:creationId xmlns:a16="http://schemas.microsoft.com/office/drawing/2014/main" id="{B3DA6E44-40A1-4B3E-AB0D-E873B9198999}"/>
            </a:ext>
          </a:extLst>
        </xdr:cNvPr>
        <xdr:cNvSpPr/>
      </xdr:nvSpPr>
      <xdr:spPr>
        <a:xfrm>
          <a:off x="13290838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611" name="Arrow: Up 296">
          <a:extLst>
            <a:ext uri="{FF2B5EF4-FFF2-40B4-BE49-F238E27FC236}">
              <a16:creationId xmlns:a16="http://schemas.microsoft.com/office/drawing/2014/main" id="{5BF13D32-609F-4AD2-88CC-CDD6DACE20B9}"/>
            </a:ext>
          </a:extLst>
        </xdr:cNvPr>
        <xdr:cNvSpPr/>
      </xdr:nvSpPr>
      <xdr:spPr>
        <a:xfrm>
          <a:off x="3411681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612" name="Arrow: Up 296">
          <a:extLst>
            <a:ext uri="{FF2B5EF4-FFF2-40B4-BE49-F238E27FC236}">
              <a16:creationId xmlns:a16="http://schemas.microsoft.com/office/drawing/2014/main" id="{26953FAF-18F9-4C10-8DE9-CC3232E8CF91}"/>
            </a:ext>
          </a:extLst>
        </xdr:cNvPr>
        <xdr:cNvSpPr/>
      </xdr:nvSpPr>
      <xdr:spPr>
        <a:xfrm>
          <a:off x="5317115" y="23106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613" name="Arrow: Up 296">
          <a:extLst>
            <a:ext uri="{FF2B5EF4-FFF2-40B4-BE49-F238E27FC236}">
              <a16:creationId xmlns:a16="http://schemas.microsoft.com/office/drawing/2014/main" id="{0FF4616F-9966-4340-813E-A4A050CE0F9E}"/>
            </a:ext>
          </a:extLst>
        </xdr:cNvPr>
        <xdr:cNvSpPr/>
      </xdr:nvSpPr>
      <xdr:spPr>
        <a:xfrm>
          <a:off x="11246860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614" name="Arrow: Up 296">
          <a:extLst>
            <a:ext uri="{FF2B5EF4-FFF2-40B4-BE49-F238E27FC236}">
              <a16:creationId xmlns:a16="http://schemas.microsoft.com/office/drawing/2014/main" id="{20AC020E-A545-402D-A425-45977091F09F}"/>
            </a:ext>
          </a:extLst>
        </xdr:cNvPr>
        <xdr:cNvSpPr/>
      </xdr:nvSpPr>
      <xdr:spPr>
        <a:xfrm>
          <a:off x="13323310" y="231067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615" name="Arrow: Up 296">
          <a:extLst>
            <a:ext uri="{FF2B5EF4-FFF2-40B4-BE49-F238E27FC236}">
              <a16:creationId xmlns:a16="http://schemas.microsoft.com/office/drawing/2014/main" id="{E5E3082F-99D2-4120-826B-9B6D4CD311BE}"/>
            </a:ext>
          </a:extLst>
        </xdr:cNvPr>
        <xdr:cNvSpPr/>
      </xdr:nvSpPr>
      <xdr:spPr>
        <a:xfrm>
          <a:off x="1319212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616" name="Arrow: Up 296">
          <a:extLst>
            <a:ext uri="{FF2B5EF4-FFF2-40B4-BE49-F238E27FC236}">
              <a16:creationId xmlns:a16="http://schemas.microsoft.com/office/drawing/2014/main" id="{84FDFA35-3109-4D36-9C5A-18482487B597}"/>
            </a:ext>
          </a:extLst>
        </xdr:cNvPr>
        <xdr:cNvSpPr/>
      </xdr:nvSpPr>
      <xdr:spPr>
        <a:xfrm>
          <a:off x="3379210" y="24612455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617" name="Arrow: Up 296">
          <a:extLst>
            <a:ext uri="{FF2B5EF4-FFF2-40B4-BE49-F238E27FC236}">
              <a16:creationId xmlns:a16="http://schemas.microsoft.com/office/drawing/2014/main" id="{CC54FFF4-603C-402B-B3C3-D65A13876145}"/>
            </a:ext>
          </a:extLst>
        </xdr:cNvPr>
        <xdr:cNvSpPr/>
      </xdr:nvSpPr>
      <xdr:spPr>
        <a:xfrm>
          <a:off x="531711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618" name="Arrow: Up 296">
          <a:extLst>
            <a:ext uri="{FF2B5EF4-FFF2-40B4-BE49-F238E27FC236}">
              <a16:creationId xmlns:a16="http://schemas.microsoft.com/office/drawing/2014/main" id="{5113101A-F3DF-4630-9F38-4B4AD735B887}"/>
            </a:ext>
          </a:extLst>
        </xdr:cNvPr>
        <xdr:cNvSpPr/>
      </xdr:nvSpPr>
      <xdr:spPr>
        <a:xfrm>
          <a:off x="724448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619" name="Arrow: Up 805">
          <a:extLst>
            <a:ext uri="{FF2B5EF4-FFF2-40B4-BE49-F238E27FC236}">
              <a16:creationId xmlns:a16="http://schemas.microsoft.com/office/drawing/2014/main" id="{4A8B07E6-88BD-4C82-997E-8989B4DAD271}"/>
            </a:ext>
          </a:extLst>
        </xdr:cNvPr>
        <xdr:cNvSpPr/>
      </xdr:nvSpPr>
      <xdr:spPr>
        <a:xfrm>
          <a:off x="7092950" y="245691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620" name="Arrow: Up 805">
          <a:extLst>
            <a:ext uri="{FF2B5EF4-FFF2-40B4-BE49-F238E27FC236}">
              <a16:creationId xmlns:a16="http://schemas.microsoft.com/office/drawing/2014/main" id="{C28F1A60-F196-4792-ABF6-A88BCD134311}"/>
            </a:ext>
          </a:extLst>
        </xdr:cNvPr>
        <xdr:cNvSpPr/>
      </xdr:nvSpPr>
      <xdr:spPr>
        <a:xfrm>
          <a:off x="9151071" y="245908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621" name="Arrow: Up 296">
          <a:extLst>
            <a:ext uri="{FF2B5EF4-FFF2-40B4-BE49-F238E27FC236}">
              <a16:creationId xmlns:a16="http://schemas.microsoft.com/office/drawing/2014/main" id="{704B8B6D-B74B-4507-801A-8D574B2BAE2E}"/>
            </a:ext>
          </a:extLst>
        </xdr:cNvPr>
        <xdr:cNvSpPr/>
      </xdr:nvSpPr>
      <xdr:spPr>
        <a:xfrm>
          <a:off x="9356725" y="245799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622" name="Arrow: Up 296">
          <a:extLst>
            <a:ext uri="{FF2B5EF4-FFF2-40B4-BE49-F238E27FC236}">
              <a16:creationId xmlns:a16="http://schemas.microsoft.com/office/drawing/2014/main" id="{20EADAFB-B3A4-44EA-B67D-29BFBDF96D40}"/>
            </a:ext>
          </a:extLst>
        </xdr:cNvPr>
        <xdr:cNvSpPr/>
      </xdr:nvSpPr>
      <xdr:spPr>
        <a:xfrm>
          <a:off x="10258136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623" name="Arrow: Up 805">
          <a:extLst>
            <a:ext uri="{FF2B5EF4-FFF2-40B4-BE49-F238E27FC236}">
              <a16:creationId xmlns:a16="http://schemas.microsoft.com/office/drawing/2014/main" id="{418040DF-AE28-4F7D-9DC0-1A598338E0DE}"/>
            </a:ext>
          </a:extLst>
        </xdr:cNvPr>
        <xdr:cNvSpPr/>
      </xdr:nvSpPr>
      <xdr:spPr>
        <a:xfrm>
          <a:off x="2201574" y="26064008"/>
          <a:ext cx="151534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624" name="Arrow: Up 296">
          <a:extLst>
            <a:ext uri="{FF2B5EF4-FFF2-40B4-BE49-F238E27FC236}">
              <a16:creationId xmlns:a16="http://schemas.microsoft.com/office/drawing/2014/main" id="{85F6048B-EACD-4756-91C7-9A9E7BE88DDC}"/>
            </a:ext>
          </a:extLst>
        </xdr:cNvPr>
        <xdr:cNvSpPr/>
      </xdr:nvSpPr>
      <xdr:spPr>
        <a:xfrm>
          <a:off x="2385579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625" name="Arrow: Up 805">
          <a:extLst>
            <a:ext uri="{FF2B5EF4-FFF2-40B4-BE49-F238E27FC236}">
              <a16:creationId xmlns:a16="http://schemas.microsoft.com/office/drawing/2014/main" id="{5C90C757-11D6-417D-8C0E-383C061AFB05}"/>
            </a:ext>
          </a:extLst>
        </xdr:cNvPr>
        <xdr:cNvSpPr/>
      </xdr:nvSpPr>
      <xdr:spPr>
        <a:xfrm>
          <a:off x="7125422" y="26031536"/>
          <a:ext cx="151534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626" name="Arrow: Up 296">
          <a:extLst>
            <a:ext uri="{FF2B5EF4-FFF2-40B4-BE49-F238E27FC236}">
              <a16:creationId xmlns:a16="http://schemas.microsoft.com/office/drawing/2014/main" id="{962834CA-B5D4-40C2-ACC4-61C61A0B5F08}"/>
            </a:ext>
          </a:extLst>
        </xdr:cNvPr>
        <xdr:cNvSpPr/>
      </xdr:nvSpPr>
      <xdr:spPr>
        <a:xfrm>
          <a:off x="7298603" y="26020713"/>
          <a:ext cx="158461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627" name="Arrow: Up 296">
          <a:extLst>
            <a:ext uri="{FF2B5EF4-FFF2-40B4-BE49-F238E27FC236}">
              <a16:creationId xmlns:a16="http://schemas.microsoft.com/office/drawing/2014/main" id="{409AE73E-57B1-4FB2-91B5-9A6D9E96FD58}"/>
            </a:ext>
          </a:extLst>
        </xdr:cNvPr>
        <xdr:cNvSpPr/>
      </xdr:nvSpPr>
      <xdr:spPr>
        <a:xfrm>
          <a:off x="11236037" y="260531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628" name="Arrow: Up 296">
          <a:extLst>
            <a:ext uri="{FF2B5EF4-FFF2-40B4-BE49-F238E27FC236}">
              <a16:creationId xmlns:a16="http://schemas.microsoft.com/office/drawing/2014/main" id="{F314062E-DCF0-46DB-A0BC-E5A3C53FD96D}"/>
            </a:ext>
          </a:extLst>
        </xdr:cNvPr>
        <xdr:cNvSpPr/>
      </xdr:nvSpPr>
      <xdr:spPr>
        <a:xfrm>
          <a:off x="12346565" y="260423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629" name="Arrow: Up 296">
          <a:extLst>
            <a:ext uri="{FF2B5EF4-FFF2-40B4-BE49-F238E27FC236}">
              <a16:creationId xmlns:a16="http://schemas.microsoft.com/office/drawing/2014/main" id="{450BC86F-AF02-45BC-91AA-6403586E7E49}"/>
            </a:ext>
          </a:extLst>
        </xdr:cNvPr>
        <xdr:cNvSpPr/>
      </xdr:nvSpPr>
      <xdr:spPr>
        <a:xfrm>
          <a:off x="13355782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630" name="Arrow: Up 296">
          <a:extLst>
            <a:ext uri="{FF2B5EF4-FFF2-40B4-BE49-F238E27FC236}">
              <a16:creationId xmlns:a16="http://schemas.microsoft.com/office/drawing/2014/main" id="{F752F845-1E6A-459F-9566-F0E6E2CA80B4}"/>
            </a:ext>
          </a:extLst>
        </xdr:cNvPr>
        <xdr:cNvSpPr/>
      </xdr:nvSpPr>
      <xdr:spPr>
        <a:xfrm>
          <a:off x="2277341" y="27526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631" name="Arrow: Up 296">
          <a:extLst>
            <a:ext uri="{FF2B5EF4-FFF2-40B4-BE49-F238E27FC236}">
              <a16:creationId xmlns:a16="http://schemas.microsoft.com/office/drawing/2014/main" id="{47ED1DD4-C328-43E3-81F8-94AD6EA6EB2D}"/>
            </a:ext>
          </a:extLst>
        </xdr:cNvPr>
        <xdr:cNvSpPr/>
      </xdr:nvSpPr>
      <xdr:spPr>
        <a:xfrm>
          <a:off x="6181869" y="275372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632" name="Arrow: Up 296">
          <a:extLst>
            <a:ext uri="{FF2B5EF4-FFF2-40B4-BE49-F238E27FC236}">
              <a16:creationId xmlns:a16="http://schemas.microsoft.com/office/drawing/2014/main" id="{951C05F7-E4B1-430F-8E89-85F5344D2A0B}"/>
            </a:ext>
          </a:extLst>
        </xdr:cNvPr>
        <xdr:cNvSpPr/>
      </xdr:nvSpPr>
      <xdr:spPr>
        <a:xfrm>
          <a:off x="929178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633" name="Arrow: Up 296">
          <a:extLst>
            <a:ext uri="{FF2B5EF4-FFF2-40B4-BE49-F238E27FC236}">
              <a16:creationId xmlns:a16="http://schemas.microsoft.com/office/drawing/2014/main" id="{57356870-F934-4BEF-AB1C-3F2B5B68621C}"/>
            </a:ext>
          </a:extLst>
        </xdr:cNvPr>
        <xdr:cNvSpPr/>
      </xdr:nvSpPr>
      <xdr:spPr>
        <a:xfrm>
          <a:off x="1016072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634" name="Arrow: Up-Down 285">
          <a:extLst>
            <a:ext uri="{FF2B5EF4-FFF2-40B4-BE49-F238E27FC236}">
              <a16:creationId xmlns:a16="http://schemas.microsoft.com/office/drawing/2014/main" id="{F0E4CD4C-3839-4F37-8F83-34B98E6273D4}"/>
            </a:ext>
          </a:extLst>
        </xdr:cNvPr>
        <xdr:cNvSpPr/>
      </xdr:nvSpPr>
      <xdr:spPr>
        <a:xfrm>
          <a:off x="10333904" y="2752638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635" name="Arrow: Up 913">
          <a:extLst>
            <a:ext uri="{FF2B5EF4-FFF2-40B4-BE49-F238E27FC236}">
              <a16:creationId xmlns:a16="http://schemas.microsoft.com/office/drawing/2014/main" id="{5296F2E3-290A-43F9-B646-A255C7294851}"/>
            </a:ext>
          </a:extLst>
        </xdr:cNvPr>
        <xdr:cNvSpPr/>
      </xdr:nvSpPr>
      <xdr:spPr>
        <a:xfrm>
          <a:off x="12357389" y="27548031"/>
          <a:ext cx="142875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636" name="Arrow: Up 296">
          <a:extLst>
            <a:ext uri="{FF2B5EF4-FFF2-40B4-BE49-F238E27FC236}">
              <a16:creationId xmlns:a16="http://schemas.microsoft.com/office/drawing/2014/main" id="{F143B88D-81BC-4FE6-B0B4-A3D6462D9D0B}"/>
            </a:ext>
          </a:extLst>
        </xdr:cNvPr>
        <xdr:cNvSpPr/>
      </xdr:nvSpPr>
      <xdr:spPr>
        <a:xfrm>
          <a:off x="1427451" y="289887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637" name="Arrow: Up-Down 285">
          <a:extLst>
            <a:ext uri="{FF2B5EF4-FFF2-40B4-BE49-F238E27FC236}">
              <a16:creationId xmlns:a16="http://schemas.microsoft.com/office/drawing/2014/main" id="{8A54E1B2-8506-4ABF-86F9-50B54EBDF5EE}"/>
            </a:ext>
          </a:extLst>
        </xdr:cNvPr>
        <xdr:cNvSpPr/>
      </xdr:nvSpPr>
      <xdr:spPr>
        <a:xfrm>
          <a:off x="3379210" y="29010409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638" name="Arrow: Up 913">
          <a:extLst>
            <a:ext uri="{FF2B5EF4-FFF2-40B4-BE49-F238E27FC236}">
              <a16:creationId xmlns:a16="http://schemas.microsoft.com/office/drawing/2014/main" id="{22B5E6AA-F062-4112-99AF-EDD2582A1638}"/>
            </a:ext>
          </a:extLst>
        </xdr:cNvPr>
        <xdr:cNvSpPr/>
      </xdr:nvSpPr>
      <xdr:spPr>
        <a:xfrm>
          <a:off x="4381788" y="2901040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639" name="Arrow: Up-Down 285">
          <a:extLst>
            <a:ext uri="{FF2B5EF4-FFF2-40B4-BE49-F238E27FC236}">
              <a16:creationId xmlns:a16="http://schemas.microsoft.com/office/drawing/2014/main" id="{681F670A-543A-4BB5-835E-EB4031DFD582}"/>
            </a:ext>
          </a:extLst>
        </xdr:cNvPr>
        <xdr:cNvSpPr/>
      </xdr:nvSpPr>
      <xdr:spPr>
        <a:xfrm>
          <a:off x="6268460" y="29010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640" name="Arrow: Up-Down 285">
          <a:extLst>
            <a:ext uri="{FF2B5EF4-FFF2-40B4-BE49-F238E27FC236}">
              <a16:creationId xmlns:a16="http://schemas.microsoft.com/office/drawing/2014/main" id="{5B5F3B0F-CA8A-489F-A686-391AAD82BDE4}"/>
            </a:ext>
          </a:extLst>
        </xdr:cNvPr>
        <xdr:cNvSpPr/>
      </xdr:nvSpPr>
      <xdr:spPr>
        <a:xfrm>
          <a:off x="7244484" y="2903220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641" name="Arrow: Up 296">
          <a:extLst>
            <a:ext uri="{FF2B5EF4-FFF2-40B4-BE49-F238E27FC236}">
              <a16:creationId xmlns:a16="http://schemas.microsoft.com/office/drawing/2014/main" id="{85D61520-7B6D-4A81-933C-AF3545194449}"/>
            </a:ext>
          </a:extLst>
        </xdr:cNvPr>
        <xdr:cNvSpPr/>
      </xdr:nvSpPr>
      <xdr:spPr>
        <a:xfrm>
          <a:off x="7092950" y="290320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642" name="Arrow: Up-Down 285">
          <a:extLst>
            <a:ext uri="{FF2B5EF4-FFF2-40B4-BE49-F238E27FC236}">
              <a16:creationId xmlns:a16="http://schemas.microsoft.com/office/drawing/2014/main" id="{BD70C357-27D6-435D-B4A7-B38C18F2A3E9}"/>
            </a:ext>
          </a:extLst>
        </xdr:cNvPr>
        <xdr:cNvSpPr/>
      </xdr:nvSpPr>
      <xdr:spPr>
        <a:xfrm>
          <a:off x="8251825" y="28988761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643" name="Arrow: Up 296">
          <a:extLst>
            <a:ext uri="{FF2B5EF4-FFF2-40B4-BE49-F238E27FC236}">
              <a16:creationId xmlns:a16="http://schemas.microsoft.com/office/drawing/2014/main" id="{067FD5AA-A482-4E6E-90F5-ECCF1771EF07}"/>
            </a:ext>
          </a:extLst>
        </xdr:cNvPr>
        <xdr:cNvSpPr/>
      </xdr:nvSpPr>
      <xdr:spPr>
        <a:xfrm>
          <a:off x="8111115" y="289887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644" name="Arrow: Up 913">
          <a:extLst>
            <a:ext uri="{FF2B5EF4-FFF2-40B4-BE49-F238E27FC236}">
              <a16:creationId xmlns:a16="http://schemas.microsoft.com/office/drawing/2014/main" id="{E76D2F64-F5F6-4E45-A71A-3B9C14936629}"/>
            </a:ext>
          </a:extLst>
        </xdr:cNvPr>
        <xdr:cNvSpPr/>
      </xdr:nvSpPr>
      <xdr:spPr>
        <a:xfrm>
          <a:off x="9248487" y="289995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645" name="Arrow: Up 296">
          <a:extLst>
            <a:ext uri="{FF2B5EF4-FFF2-40B4-BE49-F238E27FC236}">
              <a16:creationId xmlns:a16="http://schemas.microsoft.com/office/drawing/2014/main" id="{CF9AE951-665E-4230-B15F-F3DBEED3DE11}"/>
            </a:ext>
          </a:extLst>
        </xdr:cNvPr>
        <xdr:cNvSpPr/>
      </xdr:nvSpPr>
      <xdr:spPr>
        <a:xfrm>
          <a:off x="10247313" y="2902123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646" name="Arrow: Up-Down 285">
          <a:extLst>
            <a:ext uri="{FF2B5EF4-FFF2-40B4-BE49-F238E27FC236}">
              <a16:creationId xmlns:a16="http://schemas.microsoft.com/office/drawing/2014/main" id="{59DC38E4-FA6A-45F5-BA8A-E1A0228614B3}"/>
            </a:ext>
          </a:extLst>
        </xdr:cNvPr>
        <xdr:cNvSpPr/>
      </xdr:nvSpPr>
      <xdr:spPr>
        <a:xfrm>
          <a:off x="11344275" y="29032056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647" name="Arrow: Up 296">
          <a:extLst>
            <a:ext uri="{FF2B5EF4-FFF2-40B4-BE49-F238E27FC236}">
              <a16:creationId xmlns:a16="http://schemas.microsoft.com/office/drawing/2014/main" id="{D06AD3E5-4B49-4640-8F2F-04BAF57D1F0D}"/>
            </a:ext>
          </a:extLst>
        </xdr:cNvPr>
        <xdr:cNvSpPr/>
      </xdr:nvSpPr>
      <xdr:spPr>
        <a:xfrm>
          <a:off x="11160270" y="28999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648" name="Arrow: Up 296">
          <a:extLst>
            <a:ext uri="{FF2B5EF4-FFF2-40B4-BE49-F238E27FC236}">
              <a16:creationId xmlns:a16="http://schemas.microsoft.com/office/drawing/2014/main" id="{D2B0B5EE-AB83-42B5-B7B3-FBBEFEDA3176}"/>
            </a:ext>
          </a:extLst>
        </xdr:cNvPr>
        <xdr:cNvSpPr/>
      </xdr:nvSpPr>
      <xdr:spPr>
        <a:xfrm>
          <a:off x="4414260" y="304619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649" name="Arrow: Up 913">
          <a:extLst>
            <a:ext uri="{FF2B5EF4-FFF2-40B4-BE49-F238E27FC236}">
              <a16:creationId xmlns:a16="http://schemas.microsoft.com/office/drawing/2014/main" id="{313339DD-064E-4102-B219-1E6EDBEE210B}"/>
            </a:ext>
          </a:extLst>
        </xdr:cNvPr>
        <xdr:cNvSpPr/>
      </xdr:nvSpPr>
      <xdr:spPr>
        <a:xfrm>
          <a:off x="8056996" y="3047278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650" name="Arrow: Up 296">
          <a:extLst>
            <a:ext uri="{FF2B5EF4-FFF2-40B4-BE49-F238E27FC236}">
              <a16:creationId xmlns:a16="http://schemas.microsoft.com/office/drawing/2014/main" id="{99AD2AF9-0C1C-42AE-B664-8D7EAE107DF8}"/>
            </a:ext>
          </a:extLst>
        </xdr:cNvPr>
        <xdr:cNvSpPr/>
      </xdr:nvSpPr>
      <xdr:spPr>
        <a:xfrm>
          <a:off x="8262648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651" name="Arrow: Up 913">
          <a:extLst>
            <a:ext uri="{FF2B5EF4-FFF2-40B4-BE49-F238E27FC236}">
              <a16:creationId xmlns:a16="http://schemas.microsoft.com/office/drawing/2014/main" id="{560ECF46-A1B1-4379-AA96-8120400F7BE1}"/>
            </a:ext>
          </a:extLst>
        </xdr:cNvPr>
        <xdr:cNvSpPr/>
      </xdr:nvSpPr>
      <xdr:spPr>
        <a:xfrm>
          <a:off x="13215072" y="304727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652" name="Arrow: Up 296">
          <a:extLst>
            <a:ext uri="{FF2B5EF4-FFF2-40B4-BE49-F238E27FC236}">
              <a16:creationId xmlns:a16="http://schemas.microsoft.com/office/drawing/2014/main" id="{1C422D57-6D0F-4328-BC50-827707159B9A}"/>
            </a:ext>
          </a:extLst>
        </xdr:cNvPr>
        <xdr:cNvSpPr/>
      </xdr:nvSpPr>
      <xdr:spPr>
        <a:xfrm>
          <a:off x="13420725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653" name="Arrow: Up 296">
          <a:extLst>
            <a:ext uri="{FF2B5EF4-FFF2-40B4-BE49-F238E27FC236}">
              <a16:creationId xmlns:a16="http://schemas.microsoft.com/office/drawing/2014/main" id="{E8816BA6-D455-4573-9F11-AD72C475874E}"/>
            </a:ext>
          </a:extLst>
        </xdr:cNvPr>
        <xdr:cNvSpPr/>
      </xdr:nvSpPr>
      <xdr:spPr>
        <a:xfrm>
          <a:off x="1340860" y="319351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654" name="Arrow: Up 1075">
          <a:extLst>
            <a:ext uri="{FF2B5EF4-FFF2-40B4-BE49-F238E27FC236}">
              <a16:creationId xmlns:a16="http://schemas.microsoft.com/office/drawing/2014/main" id="{4BD343D4-72E5-455C-9379-ECF348510326}"/>
            </a:ext>
          </a:extLst>
        </xdr:cNvPr>
        <xdr:cNvSpPr/>
      </xdr:nvSpPr>
      <xdr:spPr>
        <a:xfrm>
          <a:off x="5241347" y="31956807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655" name="Arrow: Up 296">
          <a:extLst>
            <a:ext uri="{FF2B5EF4-FFF2-40B4-BE49-F238E27FC236}">
              <a16:creationId xmlns:a16="http://schemas.microsoft.com/office/drawing/2014/main" id="{4577DB2E-9109-46B5-B8E9-BF649CCB70E6}"/>
            </a:ext>
          </a:extLst>
        </xdr:cNvPr>
        <xdr:cNvSpPr/>
      </xdr:nvSpPr>
      <xdr:spPr>
        <a:xfrm>
          <a:off x="5392882" y="31967632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656" name="Arrow: Up 296">
          <a:extLst>
            <a:ext uri="{FF2B5EF4-FFF2-40B4-BE49-F238E27FC236}">
              <a16:creationId xmlns:a16="http://schemas.microsoft.com/office/drawing/2014/main" id="{21054330-C1C5-492A-ADD2-29E16F2442AB}"/>
            </a:ext>
          </a:extLst>
        </xdr:cNvPr>
        <xdr:cNvSpPr/>
      </xdr:nvSpPr>
      <xdr:spPr>
        <a:xfrm>
          <a:off x="7201189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657" name="Arrow: Up 296">
          <a:extLst>
            <a:ext uri="{FF2B5EF4-FFF2-40B4-BE49-F238E27FC236}">
              <a16:creationId xmlns:a16="http://schemas.microsoft.com/office/drawing/2014/main" id="{473D606B-53DA-45FB-9CE9-816E7CEE60DA}"/>
            </a:ext>
          </a:extLst>
        </xdr:cNvPr>
        <xdr:cNvSpPr/>
      </xdr:nvSpPr>
      <xdr:spPr>
        <a:xfrm>
          <a:off x="8111115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658" name="Arrow: Up 296">
          <a:extLst>
            <a:ext uri="{FF2B5EF4-FFF2-40B4-BE49-F238E27FC236}">
              <a16:creationId xmlns:a16="http://schemas.microsoft.com/office/drawing/2014/main" id="{6D2E0B2A-87CE-4C98-BDC6-FDDBF0F0FAB7}"/>
            </a:ext>
          </a:extLst>
        </xdr:cNvPr>
        <xdr:cNvSpPr/>
      </xdr:nvSpPr>
      <xdr:spPr>
        <a:xfrm>
          <a:off x="9259312" y="31956807"/>
          <a:ext cx="129886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659" name="Arrow: Up 296">
          <a:extLst>
            <a:ext uri="{FF2B5EF4-FFF2-40B4-BE49-F238E27FC236}">
              <a16:creationId xmlns:a16="http://schemas.microsoft.com/office/drawing/2014/main" id="{C2FED971-833A-4087-8F35-9C71086F951F}"/>
            </a:ext>
          </a:extLst>
        </xdr:cNvPr>
        <xdr:cNvSpPr/>
      </xdr:nvSpPr>
      <xdr:spPr>
        <a:xfrm>
          <a:off x="10258137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660" name="Arrow: Up 296">
          <a:extLst>
            <a:ext uri="{FF2B5EF4-FFF2-40B4-BE49-F238E27FC236}">
              <a16:creationId xmlns:a16="http://schemas.microsoft.com/office/drawing/2014/main" id="{7D482690-36B6-4796-AE15-B14A90160A86}"/>
            </a:ext>
          </a:extLst>
        </xdr:cNvPr>
        <xdr:cNvSpPr/>
      </xdr:nvSpPr>
      <xdr:spPr>
        <a:xfrm>
          <a:off x="11225213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661" name="Arrow: Up 296">
          <a:extLst>
            <a:ext uri="{FF2B5EF4-FFF2-40B4-BE49-F238E27FC236}">
              <a16:creationId xmlns:a16="http://schemas.microsoft.com/office/drawing/2014/main" id="{B66C35AB-B866-4BB0-A610-CD299C98E7D1}"/>
            </a:ext>
          </a:extLst>
        </xdr:cNvPr>
        <xdr:cNvSpPr/>
      </xdr:nvSpPr>
      <xdr:spPr>
        <a:xfrm>
          <a:off x="12335740" y="319568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662" name="Arrow: Up 296">
          <a:extLst>
            <a:ext uri="{FF2B5EF4-FFF2-40B4-BE49-F238E27FC236}">
              <a16:creationId xmlns:a16="http://schemas.microsoft.com/office/drawing/2014/main" id="{E40A3B6A-3F6A-475C-BEF0-DF4BA9BF95B5}"/>
            </a:ext>
          </a:extLst>
        </xdr:cNvPr>
        <xdr:cNvSpPr/>
      </xdr:nvSpPr>
      <xdr:spPr>
        <a:xfrm>
          <a:off x="13312486" y="31956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663" name="Arrow: Up 281">
          <a:extLst>
            <a:ext uri="{FF2B5EF4-FFF2-40B4-BE49-F238E27FC236}">
              <a16:creationId xmlns:a16="http://schemas.microsoft.com/office/drawing/2014/main" id="{EBA14674-6EF9-4F85-B70F-385910912F1A}"/>
            </a:ext>
          </a:extLst>
        </xdr:cNvPr>
        <xdr:cNvSpPr/>
      </xdr:nvSpPr>
      <xdr:spPr>
        <a:xfrm>
          <a:off x="8143587" y="1575160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664" name="Lightning Bolt 663">
          <a:extLst>
            <a:ext uri="{FF2B5EF4-FFF2-40B4-BE49-F238E27FC236}">
              <a16:creationId xmlns:a16="http://schemas.microsoft.com/office/drawing/2014/main" id="{CF864675-6E8E-4E46-85FF-C67193BBACEB}"/>
            </a:ext>
          </a:extLst>
        </xdr:cNvPr>
        <xdr:cNvSpPr/>
      </xdr:nvSpPr>
      <xdr:spPr>
        <a:xfrm rot="2857557">
          <a:off x="7085463" y="5524399"/>
          <a:ext cx="36358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3162A3F3-84DB-4D31-AAAB-6CDF5A6B757E}"/>
            </a:ext>
          </a:extLst>
        </xdr:cNvPr>
        <xdr:cNvSpPr/>
      </xdr:nvSpPr>
      <xdr:spPr>
        <a:xfrm rot="2857557">
          <a:off x="8253310" y="12848784"/>
          <a:ext cx="327129" cy="3538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BFDF73B1-A8C2-44E2-AD9B-27E20F296A98}"/>
            </a:ext>
          </a:extLst>
        </xdr:cNvPr>
        <xdr:cNvSpPr/>
      </xdr:nvSpPr>
      <xdr:spPr>
        <a:xfrm rot="2857557">
          <a:off x="6242354" y="14349676"/>
          <a:ext cx="360678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5E854F57-910B-4410-A781-DC7B51B03FB8}"/>
            </a:ext>
          </a:extLst>
        </xdr:cNvPr>
        <xdr:cNvSpPr/>
      </xdr:nvSpPr>
      <xdr:spPr>
        <a:xfrm rot="2857557">
          <a:off x="9105322" y="17242726"/>
          <a:ext cx="46748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668" name="Lightning Bolt 667">
          <a:extLst>
            <a:ext uri="{FF2B5EF4-FFF2-40B4-BE49-F238E27FC236}">
              <a16:creationId xmlns:a16="http://schemas.microsoft.com/office/drawing/2014/main" id="{2E340A7B-D15E-4542-9581-A652EC3FEC10}"/>
            </a:ext>
          </a:extLst>
        </xdr:cNvPr>
        <xdr:cNvSpPr/>
      </xdr:nvSpPr>
      <xdr:spPr>
        <a:xfrm rot="2857557">
          <a:off x="9106938" y="26031038"/>
          <a:ext cx="4423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669" name="Lightning Bolt 668">
          <a:extLst>
            <a:ext uri="{FF2B5EF4-FFF2-40B4-BE49-F238E27FC236}">
              <a16:creationId xmlns:a16="http://schemas.microsoft.com/office/drawing/2014/main" id="{8C6AC541-517E-43CB-A101-05292702C758}"/>
            </a:ext>
          </a:extLst>
        </xdr:cNvPr>
        <xdr:cNvSpPr/>
      </xdr:nvSpPr>
      <xdr:spPr>
        <a:xfrm rot="2857557">
          <a:off x="6239479" y="27598808"/>
          <a:ext cx="358657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670" name="Picture 6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28CF0DF-CA85-424C-A58A-DEBA804A67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05992" y="98610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671" name="Picture 6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4EEFBBD6-23CD-4178-88D7-6965117D75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3344958" y="15740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672" name="Picture 6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B3A0FE04-3EEA-4E9C-ADC1-4E27704B43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57479" y="290212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673" name="Picture 95405" descr="LADDER">
          <a:extLst>
            <a:ext uri="{FF2B5EF4-FFF2-40B4-BE49-F238E27FC236}">
              <a16:creationId xmlns:a16="http://schemas.microsoft.com/office/drawing/2014/main" id="{64B46AD1-6023-4D98-B4DD-CD0D8C2B0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388254" y="1415299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674" name="Picture 673" descr="A black and white symbol&#10;&#10;Description automatically generated">
          <a:extLst>
            <a:ext uri="{FF2B5EF4-FFF2-40B4-BE49-F238E27FC236}">
              <a16:creationId xmlns:a16="http://schemas.microsoft.com/office/drawing/2014/main" id="{A79D4EE7-DC4C-4299-8C6D-159D71BE3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675" name="Picture 674" descr="A black and white symbol&#10;&#10;Description automatically generated">
          <a:extLst>
            <a:ext uri="{FF2B5EF4-FFF2-40B4-BE49-F238E27FC236}">
              <a16:creationId xmlns:a16="http://schemas.microsoft.com/office/drawing/2014/main" id="{213818FF-59B8-42B2-B60E-3E5CF21E0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676" name="Picture 675" descr="A black and white symbol&#10;&#10;Description automatically generated">
          <a:extLst>
            <a:ext uri="{FF2B5EF4-FFF2-40B4-BE49-F238E27FC236}">
              <a16:creationId xmlns:a16="http://schemas.microsoft.com/office/drawing/2014/main" id="{3F7BA9CA-2B85-4D9A-8DE7-2AF358AA5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677" name="Picture 676" descr="A black and white symbol&#10;&#10;Description automatically generated">
          <a:extLst>
            <a:ext uri="{FF2B5EF4-FFF2-40B4-BE49-F238E27FC236}">
              <a16:creationId xmlns:a16="http://schemas.microsoft.com/office/drawing/2014/main" id="{2644814E-3A5D-4154-9DA0-31640E8B2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2251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678" name="Picture 677" descr="A black and white symbol&#10;&#10;Description automatically generated">
          <a:extLst>
            <a:ext uri="{FF2B5EF4-FFF2-40B4-BE49-F238E27FC236}">
              <a16:creationId xmlns:a16="http://schemas.microsoft.com/office/drawing/2014/main" id="{B00BF51D-5C45-483A-8540-9A355A85F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8354" y="285288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679" name="Picture 678" descr="A black and white symbol&#10;&#10;Description automatically generated">
          <a:extLst>
            <a:ext uri="{FF2B5EF4-FFF2-40B4-BE49-F238E27FC236}">
              <a16:creationId xmlns:a16="http://schemas.microsoft.com/office/drawing/2014/main" id="{2FDB9ECD-DC64-4473-9AB8-DE1460D82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875" y="43478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680" name="Picture 679" descr="A black and white symbol&#10;&#10;Description automatically generated">
          <a:extLst>
            <a:ext uri="{FF2B5EF4-FFF2-40B4-BE49-F238E27FC236}">
              <a16:creationId xmlns:a16="http://schemas.microsoft.com/office/drawing/2014/main" id="{3F30927A-EC0C-4B59-AB82-515F1D3F9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8873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681" name="Picture 680" descr="A black and white symbol&#10;&#10;Description automatically generated">
          <a:extLst>
            <a:ext uri="{FF2B5EF4-FFF2-40B4-BE49-F238E27FC236}">
              <a16:creationId xmlns:a16="http://schemas.microsoft.com/office/drawing/2014/main" id="{FD01E130-5538-4C63-B25D-9E847A9F3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2275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682" name="Picture 681" descr="A black and white symbol&#10;&#10;Description automatically generated">
          <a:extLst>
            <a:ext uri="{FF2B5EF4-FFF2-40B4-BE49-F238E27FC236}">
              <a16:creationId xmlns:a16="http://schemas.microsoft.com/office/drawing/2014/main" id="{23863D1F-E641-4EC7-A5A3-54B56B4A3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0</xdr:rowOff>
    </xdr:from>
    <xdr:ext cx="230186" cy="271084"/>
    <xdr:pic>
      <xdr:nvPicPr>
        <xdr:cNvPr id="683" name="Picture 682" descr="A black and white symbol&#10;&#10;Description automatically generated">
          <a:extLst>
            <a:ext uri="{FF2B5EF4-FFF2-40B4-BE49-F238E27FC236}">
              <a16:creationId xmlns:a16="http://schemas.microsoft.com/office/drawing/2014/main" id="{535B19F2-0620-49F2-B382-4BDEBE333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7299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684" name="Picture 683" descr="A black and white symbol&#10;&#10;Description automatically generated">
          <a:extLst>
            <a:ext uri="{FF2B5EF4-FFF2-40B4-BE49-F238E27FC236}">
              <a16:creationId xmlns:a16="http://schemas.microsoft.com/office/drawing/2014/main" id="{9DF43011-5473-4D27-BCAA-F6AE9DFD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685" name="Picture 684" descr="A black and white symbol&#10;&#10;Description automatically generated">
          <a:extLst>
            <a:ext uri="{FF2B5EF4-FFF2-40B4-BE49-F238E27FC236}">
              <a16:creationId xmlns:a16="http://schemas.microsoft.com/office/drawing/2014/main" id="{530D6B8B-EE38-4CCE-A1B3-57B273C70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686" name="Picture 685" descr="A black and white symbol&#10;&#10;Description automatically generated">
          <a:extLst>
            <a:ext uri="{FF2B5EF4-FFF2-40B4-BE49-F238E27FC236}">
              <a16:creationId xmlns:a16="http://schemas.microsoft.com/office/drawing/2014/main" id="{E37DC61E-4A60-474F-BE94-76DAA45CD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8973" y="431525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687" name="Picture 686" descr="A black and white symbol&#10;&#10;Description automatically generated">
          <a:extLst>
            <a:ext uri="{FF2B5EF4-FFF2-40B4-BE49-F238E27FC236}">
              <a16:creationId xmlns:a16="http://schemas.microsoft.com/office/drawing/2014/main" id="{42E50CC8-45E2-4B19-ABD9-D5BA10AC8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688" name="Picture 687" descr="A black and white symbol&#10;&#10;Description automatically generated">
          <a:extLst>
            <a:ext uri="{FF2B5EF4-FFF2-40B4-BE49-F238E27FC236}">
              <a16:creationId xmlns:a16="http://schemas.microsoft.com/office/drawing/2014/main" id="{F25D80DF-1AE4-41C0-9A58-1E95AF66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523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689" name="Picture 688" descr="A black and white symbol&#10;&#10;Description automatically generated">
          <a:extLst>
            <a:ext uri="{FF2B5EF4-FFF2-40B4-BE49-F238E27FC236}">
              <a16:creationId xmlns:a16="http://schemas.microsoft.com/office/drawing/2014/main" id="{723E1A4E-4F5C-4CA4-83C4-01E011E3B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690" name="Picture 689" descr="A black and white symbol&#10;&#10;Description automatically generated">
          <a:extLst>
            <a:ext uri="{FF2B5EF4-FFF2-40B4-BE49-F238E27FC236}">
              <a16:creationId xmlns:a16="http://schemas.microsoft.com/office/drawing/2014/main" id="{CEAC1FF9-8DD3-4969-AEFD-2DB0AD2F6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691" name="Picture 690" descr="A black and white symbol&#10;&#10;Description automatically generated">
          <a:extLst>
            <a:ext uri="{FF2B5EF4-FFF2-40B4-BE49-F238E27FC236}">
              <a16:creationId xmlns:a16="http://schemas.microsoft.com/office/drawing/2014/main" id="{ED3D629F-B60F-4327-9536-F5B94D7B5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692" name="Picture 691" descr="A black and white symbol&#10;&#10;Description automatically generated">
          <a:extLst>
            <a:ext uri="{FF2B5EF4-FFF2-40B4-BE49-F238E27FC236}">
              <a16:creationId xmlns:a16="http://schemas.microsoft.com/office/drawing/2014/main" id="{635D89A8-40BB-4D76-AEB8-C0FF4DE99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693" name="Picture 692" descr="A black and white symbol&#10;&#10;Description automatically generated">
          <a:extLst>
            <a:ext uri="{FF2B5EF4-FFF2-40B4-BE49-F238E27FC236}">
              <a16:creationId xmlns:a16="http://schemas.microsoft.com/office/drawing/2014/main" id="{9E9405FA-3034-4CA8-8CEE-32718D224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87738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694" name="Picture 693" descr="A black and white symbol&#10;&#10;Description automatically generated">
          <a:extLst>
            <a:ext uri="{FF2B5EF4-FFF2-40B4-BE49-F238E27FC236}">
              <a16:creationId xmlns:a16="http://schemas.microsoft.com/office/drawing/2014/main" id="{F8BAF2C9-67CA-43C2-833B-1751F8410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695" name="Picture 694" descr="A black and white symbol&#10;&#10;Description automatically generated">
          <a:extLst>
            <a:ext uri="{FF2B5EF4-FFF2-40B4-BE49-F238E27FC236}">
              <a16:creationId xmlns:a16="http://schemas.microsoft.com/office/drawing/2014/main" id="{80E02FDE-CDE4-45ED-9354-12CA5C72A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696" name="Picture 695" descr="A black and white symbol&#10;&#10;Description automatically generated">
          <a:extLst>
            <a:ext uri="{FF2B5EF4-FFF2-40B4-BE49-F238E27FC236}">
              <a16:creationId xmlns:a16="http://schemas.microsoft.com/office/drawing/2014/main" id="{687E3E93-E803-4952-9962-7AF0D1358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697" name="Picture 696" descr="A black and white symbol&#10;&#10;Description automatically generated">
          <a:extLst>
            <a:ext uri="{FF2B5EF4-FFF2-40B4-BE49-F238E27FC236}">
              <a16:creationId xmlns:a16="http://schemas.microsoft.com/office/drawing/2014/main" id="{74B4495A-C705-4511-BDB5-B087CD132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698" name="Picture 697" descr="A black and white symbol&#10;&#10;Description automatically generated">
          <a:extLst>
            <a:ext uri="{FF2B5EF4-FFF2-40B4-BE49-F238E27FC236}">
              <a16:creationId xmlns:a16="http://schemas.microsoft.com/office/drawing/2014/main" id="{E7043B2C-4F8A-4A97-A195-4759B1949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699" name="Picture 698" descr="A black and white symbol&#10;&#10;Description automatically generated">
          <a:extLst>
            <a:ext uri="{FF2B5EF4-FFF2-40B4-BE49-F238E27FC236}">
              <a16:creationId xmlns:a16="http://schemas.microsoft.com/office/drawing/2014/main" id="{8BBEB493-0996-437A-8D87-4C5E6CDB9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700" name="Picture 699" descr="A black and white symbol&#10;&#10;Description automatically generated">
          <a:extLst>
            <a:ext uri="{FF2B5EF4-FFF2-40B4-BE49-F238E27FC236}">
              <a16:creationId xmlns:a16="http://schemas.microsoft.com/office/drawing/2014/main" id="{D2355970-AD1B-410C-9A6B-42A51E71C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701" name="Picture 700" descr="A black and white symbol&#10;&#10;Description automatically generated">
          <a:extLst>
            <a:ext uri="{FF2B5EF4-FFF2-40B4-BE49-F238E27FC236}">
              <a16:creationId xmlns:a16="http://schemas.microsoft.com/office/drawing/2014/main" id="{CABBA5C3-7768-49AD-87F5-982E4254D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702" name="Picture 701" descr="A black and white symbol&#10;&#10;Description automatically generated">
          <a:extLst>
            <a:ext uri="{FF2B5EF4-FFF2-40B4-BE49-F238E27FC236}">
              <a16:creationId xmlns:a16="http://schemas.microsoft.com/office/drawing/2014/main" id="{E98D08CC-4B60-413B-AA38-8FB970974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703" name="Picture 702" descr="A black and white symbol&#10;&#10;Description automatically generated">
          <a:extLst>
            <a:ext uri="{FF2B5EF4-FFF2-40B4-BE49-F238E27FC236}">
              <a16:creationId xmlns:a16="http://schemas.microsoft.com/office/drawing/2014/main" id="{0D2AA787-1154-4BE8-B521-6D6044FAF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704" name="Picture 703" descr="A black and white symbol&#10;&#10;Description automatically generated">
          <a:extLst>
            <a:ext uri="{FF2B5EF4-FFF2-40B4-BE49-F238E27FC236}">
              <a16:creationId xmlns:a16="http://schemas.microsoft.com/office/drawing/2014/main" id="{712D5C8E-DF59-4471-81C5-682A47DC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705" name="Picture 704" descr="A black and white symbol&#10;&#10;Description automatically generated">
          <a:extLst>
            <a:ext uri="{FF2B5EF4-FFF2-40B4-BE49-F238E27FC236}">
              <a16:creationId xmlns:a16="http://schemas.microsoft.com/office/drawing/2014/main" id="{6508B0F9-4D08-4B00-8760-F6FA53697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706" name="Picture 705" descr="A black and white symbol&#10;&#10;Description automatically generated">
          <a:extLst>
            <a:ext uri="{FF2B5EF4-FFF2-40B4-BE49-F238E27FC236}">
              <a16:creationId xmlns:a16="http://schemas.microsoft.com/office/drawing/2014/main" id="{5CBC640B-5354-4BF2-978B-302E267C3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707" name="Picture 706" descr="A black and white symbol&#10;&#10;Description automatically generated">
          <a:extLst>
            <a:ext uri="{FF2B5EF4-FFF2-40B4-BE49-F238E27FC236}">
              <a16:creationId xmlns:a16="http://schemas.microsoft.com/office/drawing/2014/main" id="{F5568D35-4176-4590-BC27-E233C21E6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708" name="Picture 707" descr="A black and white symbol&#10;&#10;Description automatically generated">
          <a:extLst>
            <a:ext uri="{FF2B5EF4-FFF2-40B4-BE49-F238E27FC236}">
              <a16:creationId xmlns:a16="http://schemas.microsoft.com/office/drawing/2014/main" id="{8AFFE6B7-FC65-422D-9EEE-7C264DEB2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709" name="Picture 708" descr="A black and white symbol&#10;&#10;Description automatically generated">
          <a:extLst>
            <a:ext uri="{FF2B5EF4-FFF2-40B4-BE49-F238E27FC236}">
              <a16:creationId xmlns:a16="http://schemas.microsoft.com/office/drawing/2014/main" id="{ADC901C5-599B-4C7A-8628-67EDEE414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710" name="Picture 709" descr="A black and white symbol&#10;&#10;Description automatically generated">
          <a:extLst>
            <a:ext uri="{FF2B5EF4-FFF2-40B4-BE49-F238E27FC236}">
              <a16:creationId xmlns:a16="http://schemas.microsoft.com/office/drawing/2014/main" id="{28D93735-EC32-41CB-B63D-7E684FFF6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711" name="Picture 710" descr="A black and white symbol&#10;&#10;Description automatically generated">
          <a:extLst>
            <a:ext uri="{FF2B5EF4-FFF2-40B4-BE49-F238E27FC236}">
              <a16:creationId xmlns:a16="http://schemas.microsoft.com/office/drawing/2014/main" id="{404CBF06-F599-4CAB-843D-B9C6E3265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712" name="Picture 711" descr="A black and white symbol&#10;&#10;Description automatically generated">
          <a:extLst>
            <a:ext uri="{FF2B5EF4-FFF2-40B4-BE49-F238E27FC236}">
              <a16:creationId xmlns:a16="http://schemas.microsoft.com/office/drawing/2014/main" id="{56C99211-EDC8-4925-BAD4-87A360DF8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713" name="Picture 712" descr="A black and white symbol&#10;&#10;Description automatically generated">
          <a:extLst>
            <a:ext uri="{FF2B5EF4-FFF2-40B4-BE49-F238E27FC236}">
              <a16:creationId xmlns:a16="http://schemas.microsoft.com/office/drawing/2014/main" id="{77E1AEC4-2E89-41A8-91DE-9EE054ED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714" name="Picture 713" descr="A black and white symbol&#10;&#10;Description automatically generated">
          <a:extLst>
            <a:ext uri="{FF2B5EF4-FFF2-40B4-BE49-F238E27FC236}">
              <a16:creationId xmlns:a16="http://schemas.microsoft.com/office/drawing/2014/main" id="{2F5A2ACC-2E0E-4186-A66D-8D3C8C01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715" name="Picture 714" descr="A black and white symbol&#10;&#10;Description automatically generated">
          <a:extLst>
            <a:ext uri="{FF2B5EF4-FFF2-40B4-BE49-F238E27FC236}">
              <a16:creationId xmlns:a16="http://schemas.microsoft.com/office/drawing/2014/main" id="{03047691-86C5-4FCC-88D2-B1F1950A5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716" name="Picture 715" descr="A black and white symbol&#10;&#10;Description automatically generated">
          <a:extLst>
            <a:ext uri="{FF2B5EF4-FFF2-40B4-BE49-F238E27FC236}">
              <a16:creationId xmlns:a16="http://schemas.microsoft.com/office/drawing/2014/main" id="{395841BE-E379-4F2C-8229-AC1C851B5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717" name="Picture 716" descr="A black and white symbol&#10;&#10;Description automatically generated">
          <a:extLst>
            <a:ext uri="{FF2B5EF4-FFF2-40B4-BE49-F238E27FC236}">
              <a16:creationId xmlns:a16="http://schemas.microsoft.com/office/drawing/2014/main" id="{24AC80BE-0F71-421B-983C-944946A67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718" name="Picture 717" descr="A black and white symbol&#10;&#10;Description automatically generated">
          <a:extLst>
            <a:ext uri="{FF2B5EF4-FFF2-40B4-BE49-F238E27FC236}">
              <a16:creationId xmlns:a16="http://schemas.microsoft.com/office/drawing/2014/main" id="{23DE8FA0-49CA-4708-9ACD-684F3E25E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719" name="Picture 718" descr="A black and white symbol&#10;&#10;Description automatically generated">
          <a:extLst>
            <a:ext uri="{FF2B5EF4-FFF2-40B4-BE49-F238E27FC236}">
              <a16:creationId xmlns:a16="http://schemas.microsoft.com/office/drawing/2014/main" id="{10DB0B65-DB29-41B2-A0A6-CC37D7663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720" name="Picture 719" descr="A black and white symbol&#10;&#10;Description automatically generated">
          <a:extLst>
            <a:ext uri="{FF2B5EF4-FFF2-40B4-BE49-F238E27FC236}">
              <a16:creationId xmlns:a16="http://schemas.microsoft.com/office/drawing/2014/main" id="{A98841F7-D62B-4FDB-BF46-8D3EA19F4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721" name="Picture 720" descr="A black and white symbol&#10;&#10;Description automatically generated">
          <a:extLst>
            <a:ext uri="{FF2B5EF4-FFF2-40B4-BE49-F238E27FC236}">
              <a16:creationId xmlns:a16="http://schemas.microsoft.com/office/drawing/2014/main" id="{C94042BD-6359-41F0-A380-E07A3F795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722" name="Picture 721" descr="A black and white symbol&#10;&#10;Description automatically generated">
          <a:extLst>
            <a:ext uri="{FF2B5EF4-FFF2-40B4-BE49-F238E27FC236}">
              <a16:creationId xmlns:a16="http://schemas.microsoft.com/office/drawing/2014/main" id="{51B021D1-34E1-4427-A19C-33E3E5821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723" name="Picture 722" descr="A black and white symbol&#10;&#10;Description automatically generated">
          <a:extLst>
            <a:ext uri="{FF2B5EF4-FFF2-40B4-BE49-F238E27FC236}">
              <a16:creationId xmlns:a16="http://schemas.microsoft.com/office/drawing/2014/main" id="{A6A20F9F-6F41-4AF6-A402-62394D52F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724" name="Picture 723" descr="A black and white symbol&#10;&#10;Description automatically generated">
          <a:extLst>
            <a:ext uri="{FF2B5EF4-FFF2-40B4-BE49-F238E27FC236}">
              <a16:creationId xmlns:a16="http://schemas.microsoft.com/office/drawing/2014/main" id="{D35FA3F7-E033-4B8D-8B90-A7565C359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725" name="Picture 724" descr="A black and white symbol&#10;&#10;Description automatically generated">
          <a:extLst>
            <a:ext uri="{FF2B5EF4-FFF2-40B4-BE49-F238E27FC236}">
              <a16:creationId xmlns:a16="http://schemas.microsoft.com/office/drawing/2014/main" id="{572A1860-555B-4557-8396-6295F0DC9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726" name="Picture 725" descr="A black and white symbol&#10;&#10;Description automatically generated">
          <a:extLst>
            <a:ext uri="{FF2B5EF4-FFF2-40B4-BE49-F238E27FC236}">
              <a16:creationId xmlns:a16="http://schemas.microsoft.com/office/drawing/2014/main" id="{7CC36630-1441-49D6-98BE-27AAC2FA5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727" name="Picture 726" descr="A black and white symbol&#10;&#10;Description automatically generated">
          <a:extLst>
            <a:ext uri="{FF2B5EF4-FFF2-40B4-BE49-F238E27FC236}">
              <a16:creationId xmlns:a16="http://schemas.microsoft.com/office/drawing/2014/main" id="{A60E53A2-310F-44F9-B0CD-E48EF2704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728" name="Picture 727" descr="A black and white symbol&#10;&#10;Description automatically generated">
          <a:extLst>
            <a:ext uri="{FF2B5EF4-FFF2-40B4-BE49-F238E27FC236}">
              <a16:creationId xmlns:a16="http://schemas.microsoft.com/office/drawing/2014/main" id="{93E8F989-E6F8-4BF7-87BA-16D7A359F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729" name="Picture 728" descr="A black and white symbol&#10;&#10;Description automatically generated">
          <a:extLst>
            <a:ext uri="{FF2B5EF4-FFF2-40B4-BE49-F238E27FC236}">
              <a16:creationId xmlns:a16="http://schemas.microsoft.com/office/drawing/2014/main" id="{F994BBFC-1692-446F-A019-724A09B26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730" name="Picture 729" descr="A black and white symbol&#10;&#10;Description automatically generated">
          <a:extLst>
            <a:ext uri="{FF2B5EF4-FFF2-40B4-BE49-F238E27FC236}">
              <a16:creationId xmlns:a16="http://schemas.microsoft.com/office/drawing/2014/main" id="{68B65FF7-64A0-47B2-906C-F294A8F8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731" name="Picture 730" descr="A black and white symbol&#10;&#10;Description automatically generated">
          <a:extLst>
            <a:ext uri="{FF2B5EF4-FFF2-40B4-BE49-F238E27FC236}">
              <a16:creationId xmlns:a16="http://schemas.microsoft.com/office/drawing/2014/main" id="{09BDA96E-FBF2-43FB-8506-E34CDF412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1730D3D8-B5B7-4468-87D9-F3746A4E7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E179F915-F188-4A6B-8E53-BA09D2C3C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3ACC8DFD-2D8A-4BAA-A540-68863CCE1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C8C1DCF9-8CC4-464A-8D1B-15FF4FE2A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3898BD3D-040D-4FD7-A488-2EF4C307E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737" name="Lightning Bolt 736">
          <a:extLst>
            <a:ext uri="{FF2B5EF4-FFF2-40B4-BE49-F238E27FC236}">
              <a16:creationId xmlns:a16="http://schemas.microsoft.com/office/drawing/2014/main" id="{4115D3EA-98BE-478A-B335-74524D10007D}"/>
            </a:ext>
          </a:extLst>
        </xdr:cNvPr>
        <xdr:cNvSpPr/>
      </xdr:nvSpPr>
      <xdr:spPr>
        <a:xfrm rot="2857557">
          <a:off x="5279182" y="39241483"/>
          <a:ext cx="17003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738" name="Lightning Bolt 737">
          <a:extLst>
            <a:ext uri="{FF2B5EF4-FFF2-40B4-BE49-F238E27FC236}">
              <a16:creationId xmlns:a16="http://schemas.microsoft.com/office/drawing/2014/main" id="{70ECA54F-D1F3-4888-A468-54665E064FB5}"/>
            </a:ext>
          </a:extLst>
        </xdr:cNvPr>
        <xdr:cNvSpPr/>
      </xdr:nvSpPr>
      <xdr:spPr>
        <a:xfrm rot="2857557">
          <a:off x="8252823" y="15881144"/>
          <a:ext cx="387014" cy="2223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739" name="Lightning Bolt 738">
          <a:extLst>
            <a:ext uri="{FF2B5EF4-FFF2-40B4-BE49-F238E27FC236}">
              <a16:creationId xmlns:a16="http://schemas.microsoft.com/office/drawing/2014/main" id="{2B9913CD-B882-4AF7-B8C7-0ECCDB3A175E}"/>
            </a:ext>
          </a:extLst>
        </xdr:cNvPr>
        <xdr:cNvSpPr/>
      </xdr:nvSpPr>
      <xdr:spPr>
        <a:xfrm rot="2857557">
          <a:off x="2378209" y="21705896"/>
          <a:ext cx="376334" cy="296650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740" name="Lightning Bolt 739">
          <a:extLst>
            <a:ext uri="{FF2B5EF4-FFF2-40B4-BE49-F238E27FC236}">
              <a16:creationId xmlns:a16="http://schemas.microsoft.com/office/drawing/2014/main" id="{1E27D1A9-7DF4-468E-B671-7365DE539880}"/>
            </a:ext>
          </a:extLst>
        </xdr:cNvPr>
        <xdr:cNvSpPr/>
      </xdr:nvSpPr>
      <xdr:spPr>
        <a:xfrm rot="2857557">
          <a:off x="11412527" y="29072042"/>
          <a:ext cx="376334" cy="2963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741" name="Picture 740" descr="A black and white symbol&#10;&#10;Description automatically generated">
          <a:extLst>
            <a:ext uri="{FF2B5EF4-FFF2-40B4-BE49-F238E27FC236}">
              <a16:creationId xmlns:a16="http://schemas.microsoft.com/office/drawing/2014/main" id="{BB37320D-0935-4C86-82A8-442A79489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742" name="Picture 741" descr="A black and white symbol&#10;&#10;Description automatically generated">
          <a:extLst>
            <a:ext uri="{FF2B5EF4-FFF2-40B4-BE49-F238E27FC236}">
              <a16:creationId xmlns:a16="http://schemas.microsoft.com/office/drawing/2014/main" id="{E198F1AA-48F0-47FA-86DC-E39C34AC2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743" name="Picture 742" descr="A black and white symbol&#10;&#10;Description automatically generated">
          <a:extLst>
            <a:ext uri="{FF2B5EF4-FFF2-40B4-BE49-F238E27FC236}">
              <a16:creationId xmlns:a16="http://schemas.microsoft.com/office/drawing/2014/main" id="{5BCF6470-3D41-46F7-80CA-08B844DBE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744" name="Picture 743" descr="A black and white symbol&#10;&#10;Description automatically generated">
          <a:extLst>
            <a:ext uri="{FF2B5EF4-FFF2-40B4-BE49-F238E27FC236}">
              <a16:creationId xmlns:a16="http://schemas.microsoft.com/office/drawing/2014/main" id="{B098D243-9D86-4DB8-894B-C3E0F0794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745" name="Picture 744" descr="A black and white symbol&#10;&#10;Description automatically generated">
          <a:extLst>
            <a:ext uri="{FF2B5EF4-FFF2-40B4-BE49-F238E27FC236}">
              <a16:creationId xmlns:a16="http://schemas.microsoft.com/office/drawing/2014/main" id="{AE9C2722-1226-4FE6-AF7D-EEFA8564A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746" name="Picture 745" descr="A black and white symbol&#10;&#10;Description automatically generated">
          <a:extLst>
            <a:ext uri="{FF2B5EF4-FFF2-40B4-BE49-F238E27FC236}">
              <a16:creationId xmlns:a16="http://schemas.microsoft.com/office/drawing/2014/main" id="{A3A013B2-E75B-4EB0-AB08-D97E3D06E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747" name="Picture 746" descr="A black and white symbol&#10;&#10;Description automatically generated">
          <a:extLst>
            <a:ext uri="{FF2B5EF4-FFF2-40B4-BE49-F238E27FC236}">
              <a16:creationId xmlns:a16="http://schemas.microsoft.com/office/drawing/2014/main" id="{00B631CA-F6D3-49EE-92E0-E5A51847F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748" name="Picture 747" descr="A black and white symbol&#10;&#10;Description automatically generated">
          <a:extLst>
            <a:ext uri="{FF2B5EF4-FFF2-40B4-BE49-F238E27FC236}">
              <a16:creationId xmlns:a16="http://schemas.microsoft.com/office/drawing/2014/main" id="{312C9B05-D2A2-4C24-A115-13C6FEF9A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749" name="Picture 748" descr="A black and white symbol&#10;&#10;Description automatically generated">
          <a:extLst>
            <a:ext uri="{FF2B5EF4-FFF2-40B4-BE49-F238E27FC236}">
              <a16:creationId xmlns:a16="http://schemas.microsoft.com/office/drawing/2014/main" id="{3F8D30BC-3DB8-48CB-8EA7-FF18EA61F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750" name="Picture 749" descr="A black and white symbol&#10;&#10;Description automatically generated">
          <a:extLst>
            <a:ext uri="{FF2B5EF4-FFF2-40B4-BE49-F238E27FC236}">
              <a16:creationId xmlns:a16="http://schemas.microsoft.com/office/drawing/2014/main" id="{ACCC262E-FEE8-462E-BCE2-7E0C6A5B2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751" name="Picture 750" descr="A black and white symbol&#10;&#10;Description automatically generated">
          <a:extLst>
            <a:ext uri="{FF2B5EF4-FFF2-40B4-BE49-F238E27FC236}">
              <a16:creationId xmlns:a16="http://schemas.microsoft.com/office/drawing/2014/main" id="{B8AB3BBF-4142-43F8-839E-9931F1E3E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752" name="Picture 751" descr="A black and white symbol&#10;&#10;Description automatically generated">
          <a:extLst>
            <a:ext uri="{FF2B5EF4-FFF2-40B4-BE49-F238E27FC236}">
              <a16:creationId xmlns:a16="http://schemas.microsoft.com/office/drawing/2014/main" id="{A21F6E56-FE26-4882-B567-42A7A6AC0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753" name="Picture 752" descr="A black and white symbol&#10;&#10;Description automatically generated">
          <a:extLst>
            <a:ext uri="{FF2B5EF4-FFF2-40B4-BE49-F238E27FC236}">
              <a16:creationId xmlns:a16="http://schemas.microsoft.com/office/drawing/2014/main" id="{02EA4F09-EA8C-4B59-B4AB-5580B773E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754" name="Picture 753" descr="A black and white symbol&#10;&#10;Description automatically generated">
          <a:extLst>
            <a:ext uri="{FF2B5EF4-FFF2-40B4-BE49-F238E27FC236}">
              <a16:creationId xmlns:a16="http://schemas.microsoft.com/office/drawing/2014/main" id="{739D42B5-E7A3-4E73-9577-D4C522300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755" name="Picture 754" descr="A black and white symbol&#10;&#10;Description automatically generated">
          <a:extLst>
            <a:ext uri="{FF2B5EF4-FFF2-40B4-BE49-F238E27FC236}">
              <a16:creationId xmlns:a16="http://schemas.microsoft.com/office/drawing/2014/main" id="{B745A09B-AF46-4ADD-8957-034AFA488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756" name="Picture 755" descr="A black and white symbol&#10;&#10;Description automatically generated">
          <a:extLst>
            <a:ext uri="{FF2B5EF4-FFF2-40B4-BE49-F238E27FC236}">
              <a16:creationId xmlns:a16="http://schemas.microsoft.com/office/drawing/2014/main" id="{AD6FC1C6-4CF0-494C-96B5-DC81DDBBA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757" name="Picture 756" descr="A black and white symbol&#10;&#10;Description automatically generated">
          <a:extLst>
            <a:ext uri="{FF2B5EF4-FFF2-40B4-BE49-F238E27FC236}">
              <a16:creationId xmlns:a16="http://schemas.microsoft.com/office/drawing/2014/main" id="{54CF8716-D146-4F30-9B80-CB3392F18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758" name="Picture 757" descr="A black and white symbol&#10;&#10;Description automatically generated">
          <a:extLst>
            <a:ext uri="{FF2B5EF4-FFF2-40B4-BE49-F238E27FC236}">
              <a16:creationId xmlns:a16="http://schemas.microsoft.com/office/drawing/2014/main" id="{B1FF2268-FA36-4456-8B3D-B0FDBD71D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759" name="Picture 758" descr="A black and white symbol&#10;&#10;Description automatically generated">
          <a:extLst>
            <a:ext uri="{FF2B5EF4-FFF2-40B4-BE49-F238E27FC236}">
              <a16:creationId xmlns:a16="http://schemas.microsoft.com/office/drawing/2014/main" id="{59235F9D-77C2-4AF7-A5E9-299DBDAC6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760" name="Picture 759" descr="A black and white symbol&#10;&#10;Description automatically generated">
          <a:extLst>
            <a:ext uri="{FF2B5EF4-FFF2-40B4-BE49-F238E27FC236}">
              <a16:creationId xmlns:a16="http://schemas.microsoft.com/office/drawing/2014/main" id="{6F9F001F-A8DC-4488-BAE9-E7AA48BEC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761" name="Picture 760" descr="A black and white symbol&#10;&#10;Description automatically generated">
          <a:extLst>
            <a:ext uri="{FF2B5EF4-FFF2-40B4-BE49-F238E27FC236}">
              <a16:creationId xmlns:a16="http://schemas.microsoft.com/office/drawing/2014/main" id="{E1084C26-CF89-4872-A9EB-9E08DE7C5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762" name="Picture 761" descr="A black and white symbol&#10;&#10;Description automatically generated">
          <a:extLst>
            <a:ext uri="{FF2B5EF4-FFF2-40B4-BE49-F238E27FC236}">
              <a16:creationId xmlns:a16="http://schemas.microsoft.com/office/drawing/2014/main" id="{EA80739E-4E7D-44C1-BBE9-2C8933886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763" name="Picture 762" descr="A black and white symbol&#10;&#10;Description automatically generated">
          <a:extLst>
            <a:ext uri="{FF2B5EF4-FFF2-40B4-BE49-F238E27FC236}">
              <a16:creationId xmlns:a16="http://schemas.microsoft.com/office/drawing/2014/main" id="{31FF83A3-9B78-4118-AF1F-4F69F47E7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764" name="Picture 763" descr="A black and white symbol&#10;&#10;Description automatically generated">
          <a:extLst>
            <a:ext uri="{FF2B5EF4-FFF2-40B4-BE49-F238E27FC236}">
              <a16:creationId xmlns:a16="http://schemas.microsoft.com/office/drawing/2014/main" id="{C2C020E1-972E-4F42-964C-FA57C0E68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765" name="Picture 764" descr="A black and white symbol&#10;&#10;Description automatically generated">
          <a:extLst>
            <a:ext uri="{FF2B5EF4-FFF2-40B4-BE49-F238E27FC236}">
              <a16:creationId xmlns:a16="http://schemas.microsoft.com/office/drawing/2014/main" id="{B34E3D8D-3A8F-4302-AB20-C0876EBBD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766" name="Picture 765" descr="A black and white symbol&#10;&#10;Description automatically generated">
          <a:extLst>
            <a:ext uri="{FF2B5EF4-FFF2-40B4-BE49-F238E27FC236}">
              <a16:creationId xmlns:a16="http://schemas.microsoft.com/office/drawing/2014/main" id="{2641959F-5F1C-42BE-86C0-99BCBFED0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767" name="Picture 766" descr="A black and white symbol&#10;&#10;Description automatically generated">
          <a:extLst>
            <a:ext uri="{FF2B5EF4-FFF2-40B4-BE49-F238E27FC236}">
              <a16:creationId xmlns:a16="http://schemas.microsoft.com/office/drawing/2014/main" id="{AA44F7AE-C3EA-4967-8FE8-4AA324B2F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768" name="Picture 767" descr="A black and white symbol&#10;&#10;Description automatically generated">
          <a:extLst>
            <a:ext uri="{FF2B5EF4-FFF2-40B4-BE49-F238E27FC236}">
              <a16:creationId xmlns:a16="http://schemas.microsoft.com/office/drawing/2014/main" id="{13B0E5A9-97C4-4A5D-B95C-C04CA7539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769" name="Picture 768" descr="A black and white symbol&#10;&#10;Description automatically generated">
          <a:extLst>
            <a:ext uri="{FF2B5EF4-FFF2-40B4-BE49-F238E27FC236}">
              <a16:creationId xmlns:a16="http://schemas.microsoft.com/office/drawing/2014/main" id="{BA690CAC-32EE-415C-92BE-1CD6C38E2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770" name="Picture 769" descr="A black and white symbol&#10;&#10;Description automatically generated">
          <a:extLst>
            <a:ext uri="{FF2B5EF4-FFF2-40B4-BE49-F238E27FC236}">
              <a16:creationId xmlns:a16="http://schemas.microsoft.com/office/drawing/2014/main" id="{7251CF8A-4A49-42E3-84DE-3D9C9BB9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771" name="Picture 770" descr="A black and white symbol&#10;&#10;Description automatically generated">
          <a:extLst>
            <a:ext uri="{FF2B5EF4-FFF2-40B4-BE49-F238E27FC236}">
              <a16:creationId xmlns:a16="http://schemas.microsoft.com/office/drawing/2014/main" id="{E5B55F87-7F23-425A-9946-B6A473908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772" name="Picture 771" descr="A black and white symbol&#10;&#10;Description automatically generated">
          <a:extLst>
            <a:ext uri="{FF2B5EF4-FFF2-40B4-BE49-F238E27FC236}">
              <a16:creationId xmlns:a16="http://schemas.microsoft.com/office/drawing/2014/main" id="{D0A5D9D4-863F-4C33-B47E-82006B3CD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773" name="Picture 772" descr="A black and white symbol&#10;&#10;Description automatically generated">
          <a:extLst>
            <a:ext uri="{FF2B5EF4-FFF2-40B4-BE49-F238E27FC236}">
              <a16:creationId xmlns:a16="http://schemas.microsoft.com/office/drawing/2014/main" id="{06D3186D-06A7-49F7-913A-B5EE9C0D2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774" name="Picture 773" descr="A black and white symbol&#10;&#10;Description automatically generated">
          <a:extLst>
            <a:ext uri="{FF2B5EF4-FFF2-40B4-BE49-F238E27FC236}">
              <a16:creationId xmlns:a16="http://schemas.microsoft.com/office/drawing/2014/main" id="{33FB82BF-9E64-4D97-82DE-B84154FE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775" name="Picture 774" descr="A black and white symbol&#10;&#10;Description automatically generated">
          <a:extLst>
            <a:ext uri="{FF2B5EF4-FFF2-40B4-BE49-F238E27FC236}">
              <a16:creationId xmlns:a16="http://schemas.microsoft.com/office/drawing/2014/main" id="{677795F0-4305-4385-96AE-C04F88382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776" name="Picture 775" descr="A black and white symbol&#10;&#10;Description automatically generated">
          <a:extLst>
            <a:ext uri="{FF2B5EF4-FFF2-40B4-BE49-F238E27FC236}">
              <a16:creationId xmlns:a16="http://schemas.microsoft.com/office/drawing/2014/main" id="{A31293E6-D07B-4837-A98D-94D8562AD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777" name="Picture 776" descr="A black and white symbol&#10;&#10;Description automatically generated">
          <a:extLst>
            <a:ext uri="{FF2B5EF4-FFF2-40B4-BE49-F238E27FC236}">
              <a16:creationId xmlns:a16="http://schemas.microsoft.com/office/drawing/2014/main" id="{7E4D5B95-A512-4404-B48B-CA22869EA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778" name="Picture 777" descr="A black and white symbol&#10;&#10;Description automatically generated">
          <a:extLst>
            <a:ext uri="{FF2B5EF4-FFF2-40B4-BE49-F238E27FC236}">
              <a16:creationId xmlns:a16="http://schemas.microsoft.com/office/drawing/2014/main" id="{6C2B33BC-5645-43F7-A126-F0C24E3C9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779" name="Picture 778" descr="A black and white symbol&#10;&#10;Description automatically generated">
          <a:extLst>
            <a:ext uri="{FF2B5EF4-FFF2-40B4-BE49-F238E27FC236}">
              <a16:creationId xmlns:a16="http://schemas.microsoft.com/office/drawing/2014/main" id="{8FF147ED-706E-4DD7-BA4F-119490AEF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780" name="Picture 779" descr="A black and white symbol&#10;&#10;Description automatically generated">
          <a:extLst>
            <a:ext uri="{FF2B5EF4-FFF2-40B4-BE49-F238E27FC236}">
              <a16:creationId xmlns:a16="http://schemas.microsoft.com/office/drawing/2014/main" id="{A75FC758-7973-4596-ACF5-21DDA5571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781" name="Picture 780" descr="A black and white symbol&#10;&#10;Description automatically generated">
          <a:extLst>
            <a:ext uri="{FF2B5EF4-FFF2-40B4-BE49-F238E27FC236}">
              <a16:creationId xmlns:a16="http://schemas.microsoft.com/office/drawing/2014/main" id="{49DFD974-EE32-455C-BC66-7E96392AA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782" name="Picture 781" descr="A black and white symbol&#10;&#10;Description automatically generated">
          <a:extLst>
            <a:ext uri="{FF2B5EF4-FFF2-40B4-BE49-F238E27FC236}">
              <a16:creationId xmlns:a16="http://schemas.microsoft.com/office/drawing/2014/main" id="{F9232E5D-A982-42C7-9518-E8EACF7BE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783" name="Picture 782" descr="A black and white symbol&#10;&#10;Description automatically generated">
          <a:extLst>
            <a:ext uri="{FF2B5EF4-FFF2-40B4-BE49-F238E27FC236}">
              <a16:creationId xmlns:a16="http://schemas.microsoft.com/office/drawing/2014/main" id="{049CC83A-B4C4-4B59-A5DF-256AAE66C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784" name="Picture 783" descr="A black and white symbol&#10;&#10;Description automatically generated">
          <a:extLst>
            <a:ext uri="{FF2B5EF4-FFF2-40B4-BE49-F238E27FC236}">
              <a16:creationId xmlns:a16="http://schemas.microsoft.com/office/drawing/2014/main" id="{E6B956E5-31CB-4EA0-8BA4-9FD0366BA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785" name="Picture 784" descr="A black and white symbol&#10;&#10;Description automatically generated">
          <a:extLst>
            <a:ext uri="{FF2B5EF4-FFF2-40B4-BE49-F238E27FC236}">
              <a16:creationId xmlns:a16="http://schemas.microsoft.com/office/drawing/2014/main" id="{7BC64AEF-64C1-48A4-928E-32AE3333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786" name="Picture 785" descr="A black and white symbol&#10;&#10;Description automatically generated">
          <a:extLst>
            <a:ext uri="{FF2B5EF4-FFF2-40B4-BE49-F238E27FC236}">
              <a16:creationId xmlns:a16="http://schemas.microsoft.com/office/drawing/2014/main" id="{4D111921-8A38-4B1A-A651-AC358350E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787" name="Picture 786" descr="A black and white symbol&#10;&#10;Description automatically generated">
          <a:extLst>
            <a:ext uri="{FF2B5EF4-FFF2-40B4-BE49-F238E27FC236}">
              <a16:creationId xmlns:a16="http://schemas.microsoft.com/office/drawing/2014/main" id="{2F1C2244-DC30-4CC6-BA52-767F93B39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788" name="Picture 787" descr="A black and white symbol&#10;&#10;Description automatically generated">
          <a:extLst>
            <a:ext uri="{FF2B5EF4-FFF2-40B4-BE49-F238E27FC236}">
              <a16:creationId xmlns:a16="http://schemas.microsoft.com/office/drawing/2014/main" id="{C99DE930-90BB-40B4-90EE-03AEF118E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940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789" name="Picture 788" descr="A black and white symbol&#10;&#10;Description automatically generated">
          <a:extLst>
            <a:ext uri="{FF2B5EF4-FFF2-40B4-BE49-F238E27FC236}">
              <a16:creationId xmlns:a16="http://schemas.microsoft.com/office/drawing/2014/main" id="{4F5B2444-131F-4D1D-9947-1FDAD2799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790" name="Picture 789" descr="A black and white symbol&#10;&#10;Description automatically generated">
          <a:extLst>
            <a:ext uri="{FF2B5EF4-FFF2-40B4-BE49-F238E27FC236}">
              <a16:creationId xmlns:a16="http://schemas.microsoft.com/office/drawing/2014/main" id="{22001CE4-A439-4E1F-96F2-7E1E66045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791" name="Picture 790" descr="A black and white symbol&#10;&#10;Description automatically generated">
          <a:extLst>
            <a:ext uri="{FF2B5EF4-FFF2-40B4-BE49-F238E27FC236}">
              <a16:creationId xmlns:a16="http://schemas.microsoft.com/office/drawing/2014/main" id="{5393EB39-BBBE-4BFA-80D8-4EC786B55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792" name="Picture 791" descr="A black and white symbol&#10;&#10;Description automatically generated">
          <a:extLst>
            <a:ext uri="{FF2B5EF4-FFF2-40B4-BE49-F238E27FC236}">
              <a16:creationId xmlns:a16="http://schemas.microsoft.com/office/drawing/2014/main" id="{DEC5F05B-6386-4E71-9CF2-F47C64BFB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793" name="Picture 792" descr="A black and white symbol&#10;&#10;Description automatically generated">
          <a:extLst>
            <a:ext uri="{FF2B5EF4-FFF2-40B4-BE49-F238E27FC236}">
              <a16:creationId xmlns:a16="http://schemas.microsoft.com/office/drawing/2014/main" id="{0CC26448-3BB9-4EF3-9A42-4741D9E8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794" name="Lightning Bolt 793">
          <a:extLst>
            <a:ext uri="{FF2B5EF4-FFF2-40B4-BE49-F238E27FC236}">
              <a16:creationId xmlns:a16="http://schemas.microsoft.com/office/drawing/2014/main" id="{CDFC0317-8DC0-4AF2-8127-8533CC379CAE}"/>
            </a:ext>
          </a:extLst>
        </xdr:cNvPr>
        <xdr:cNvSpPr/>
      </xdr:nvSpPr>
      <xdr:spPr>
        <a:xfrm rot="2857557">
          <a:off x="6294335" y="14395009"/>
          <a:ext cx="333479" cy="2141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795" name="Picture 794" descr="A black and white symbol&#10;&#10;Description automatically generated">
          <a:extLst>
            <a:ext uri="{FF2B5EF4-FFF2-40B4-BE49-F238E27FC236}">
              <a16:creationId xmlns:a16="http://schemas.microsoft.com/office/drawing/2014/main" id="{EE485BBB-4489-4B4E-B92F-B2F7428E8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532" y="72875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50</xdr:row>
      <xdr:rowOff>10703</xdr:rowOff>
    </xdr:from>
    <xdr:to>
      <xdr:col>39</xdr:col>
      <xdr:colOff>11616</xdr:colOff>
      <xdr:row>52</xdr:row>
      <xdr:rowOff>1236</xdr:rowOff>
    </xdr:to>
    <xdr:sp macro="" textlink="">
      <xdr:nvSpPr>
        <xdr:cNvPr id="796" name="Isosceles Triangle 795">
          <a:extLst>
            <a:ext uri="{FF2B5EF4-FFF2-40B4-BE49-F238E27FC236}">
              <a16:creationId xmlns:a16="http://schemas.microsoft.com/office/drawing/2014/main" id="{8A43A118-8ABD-4940-A034-47DB017749DA}"/>
            </a:ext>
          </a:extLst>
        </xdr:cNvPr>
        <xdr:cNvSpPr/>
      </xdr:nvSpPr>
      <xdr:spPr>
        <a:xfrm>
          <a:off x="12655550" y="9510303"/>
          <a:ext cx="538666" cy="3588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id="{1B4A9679-4E7E-4F09-812B-F684F1F1E0C0}"/>
            </a:ext>
          </a:extLst>
        </xdr:cNvPr>
        <xdr:cNvSpPr/>
      </xdr:nvSpPr>
      <xdr:spPr>
        <a:xfrm>
          <a:off x="745490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id="{3037897B-CC6A-43D6-9BC1-A43DCD8AC14D}"/>
            </a:ext>
          </a:extLst>
        </xdr:cNvPr>
        <xdr:cNvSpPr/>
      </xdr:nvSpPr>
      <xdr:spPr>
        <a:xfrm>
          <a:off x="3714750" y="6553200"/>
          <a:ext cx="53584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487865</xdr:colOff>
      <xdr:row>26</xdr:row>
      <xdr:rowOff>0</xdr:rowOff>
    </xdr:from>
    <xdr:to>
      <xdr:col>42</xdr:col>
      <xdr:colOff>11616</xdr:colOff>
      <xdr:row>27</xdr:row>
      <xdr:rowOff>183174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id="{C3189ED5-46D9-4FDC-8271-817608CB3E4A}"/>
            </a:ext>
          </a:extLst>
        </xdr:cNvPr>
        <xdr:cNvSpPr/>
      </xdr:nvSpPr>
      <xdr:spPr>
        <a:xfrm>
          <a:off x="13670465" y="5073650"/>
          <a:ext cx="565151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800" name="Isosceles Triangle 799">
          <a:extLst>
            <a:ext uri="{FF2B5EF4-FFF2-40B4-BE49-F238E27FC236}">
              <a16:creationId xmlns:a16="http://schemas.microsoft.com/office/drawing/2014/main" id="{8254E64A-697B-434F-85D4-8C2A8370A3FC}"/>
            </a:ext>
          </a:extLst>
        </xdr:cNvPr>
        <xdr:cNvSpPr/>
      </xdr:nvSpPr>
      <xdr:spPr>
        <a:xfrm>
          <a:off x="7467270" y="6540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id="{875FF201-C72E-4A74-B1FA-07D89D195E04}"/>
            </a:ext>
          </a:extLst>
        </xdr:cNvPr>
        <xdr:cNvSpPr/>
      </xdr:nvSpPr>
      <xdr:spPr>
        <a:xfrm>
          <a:off x="6544733" y="675217"/>
          <a:ext cx="550658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id="{139B249D-08CE-476C-A72D-41DAF1EC4452}"/>
            </a:ext>
          </a:extLst>
        </xdr:cNvPr>
        <xdr:cNvSpPr/>
      </xdr:nvSpPr>
      <xdr:spPr>
        <a:xfrm>
          <a:off x="9594850" y="685800"/>
          <a:ext cx="5231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id="{21D076A2-2292-40EA-AA36-3DFD48FD101A}"/>
            </a:ext>
          </a:extLst>
        </xdr:cNvPr>
        <xdr:cNvSpPr/>
      </xdr:nvSpPr>
      <xdr:spPr>
        <a:xfrm>
          <a:off x="105600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id="{69F78361-9395-44A1-8AA0-DED5067FEBE4}"/>
            </a:ext>
          </a:extLst>
        </xdr:cNvPr>
        <xdr:cNvSpPr/>
      </xdr:nvSpPr>
      <xdr:spPr>
        <a:xfrm>
          <a:off x="11703050" y="6858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id="{3C416E01-7ADB-482B-8065-DF89B9A2D2A0}"/>
            </a:ext>
          </a:extLst>
        </xdr:cNvPr>
        <xdr:cNvSpPr/>
      </xdr:nvSpPr>
      <xdr:spPr>
        <a:xfrm>
          <a:off x="12655550" y="673894"/>
          <a:ext cx="51679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id="{6B7BA7AC-AE76-44FB-9D4A-813CF215B100}"/>
            </a:ext>
          </a:extLst>
        </xdr:cNvPr>
        <xdr:cNvSpPr/>
      </xdr:nvSpPr>
      <xdr:spPr>
        <a:xfrm>
          <a:off x="117030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807" name="Isosceles Triangle 806">
          <a:extLst>
            <a:ext uri="{FF2B5EF4-FFF2-40B4-BE49-F238E27FC236}">
              <a16:creationId xmlns:a16="http://schemas.microsoft.com/office/drawing/2014/main" id="{459A1E11-83B0-4A2D-96CE-573789EC7FA6}"/>
            </a:ext>
          </a:extLst>
        </xdr:cNvPr>
        <xdr:cNvSpPr/>
      </xdr:nvSpPr>
      <xdr:spPr>
        <a:xfrm>
          <a:off x="105600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808" name="Isosceles Triangle 807">
          <a:extLst>
            <a:ext uri="{FF2B5EF4-FFF2-40B4-BE49-F238E27FC236}">
              <a16:creationId xmlns:a16="http://schemas.microsoft.com/office/drawing/2014/main" id="{8D221C04-1737-43B9-AEB9-50EEFAD8D85B}"/>
            </a:ext>
          </a:extLst>
        </xdr:cNvPr>
        <xdr:cNvSpPr/>
      </xdr:nvSpPr>
      <xdr:spPr>
        <a:xfrm>
          <a:off x="8559800" y="2138074"/>
          <a:ext cx="535842" cy="3546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id="{3D010D3B-7266-41A0-9CA0-39472223897F}"/>
            </a:ext>
          </a:extLst>
        </xdr:cNvPr>
        <xdr:cNvSpPr/>
      </xdr:nvSpPr>
      <xdr:spPr>
        <a:xfrm>
          <a:off x="74549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id="{8183EDD4-2C8C-4D0C-BFAE-33D8148B22A3}"/>
            </a:ext>
          </a:extLst>
        </xdr:cNvPr>
        <xdr:cNvSpPr/>
      </xdr:nvSpPr>
      <xdr:spPr>
        <a:xfrm>
          <a:off x="65341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811" name="Isosceles Triangle 810">
          <a:extLst>
            <a:ext uri="{FF2B5EF4-FFF2-40B4-BE49-F238E27FC236}">
              <a16:creationId xmlns:a16="http://schemas.microsoft.com/office/drawing/2014/main" id="{47E29D03-5E0F-4880-A9F0-2230042786CD}"/>
            </a:ext>
          </a:extLst>
        </xdr:cNvPr>
        <xdr:cNvSpPr/>
      </xdr:nvSpPr>
      <xdr:spPr>
        <a:xfrm>
          <a:off x="46609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id="{D7876DDD-42E3-41CB-98B5-E4524438558B}"/>
            </a:ext>
          </a:extLst>
        </xdr:cNvPr>
        <xdr:cNvSpPr/>
      </xdr:nvSpPr>
      <xdr:spPr>
        <a:xfrm>
          <a:off x="653415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id="{26452868-8DA5-4126-94CC-14F32B5A2016}"/>
            </a:ext>
          </a:extLst>
        </xdr:cNvPr>
        <xdr:cNvSpPr/>
      </xdr:nvSpPr>
      <xdr:spPr>
        <a:xfrm>
          <a:off x="9594850" y="36004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id="{DC6B3ECB-5C70-423D-967D-FF60300C52DA}"/>
            </a:ext>
          </a:extLst>
        </xdr:cNvPr>
        <xdr:cNvSpPr/>
      </xdr:nvSpPr>
      <xdr:spPr>
        <a:xfrm>
          <a:off x="26797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id="{D7651B58-16BC-4217-ADA2-E289E992B8EE}"/>
            </a:ext>
          </a:extLst>
        </xdr:cNvPr>
        <xdr:cNvSpPr/>
      </xdr:nvSpPr>
      <xdr:spPr>
        <a:xfrm>
          <a:off x="64135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id="{0E739A2F-E276-4601-86E3-2DAB58827315}"/>
            </a:ext>
          </a:extLst>
        </xdr:cNvPr>
        <xdr:cNvSpPr/>
      </xdr:nvSpPr>
      <xdr:spPr>
        <a:xfrm>
          <a:off x="1631950" y="507365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id="{A3037EF1-0DF0-43A6-97FD-BACC4F3E09B8}"/>
            </a:ext>
          </a:extLst>
        </xdr:cNvPr>
        <xdr:cNvSpPr/>
      </xdr:nvSpPr>
      <xdr:spPr>
        <a:xfrm>
          <a:off x="26797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11339</xdr:colOff>
      <xdr:row>25</xdr:row>
      <xdr:rowOff>192766</xdr:rowOff>
    </xdr:from>
    <xdr:to>
      <xdr:col>14</xdr:col>
      <xdr:colOff>267781</xdr:colOff>
      <xdr:row>27</xdr:row>
      <xdr:rowOff>183173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id="{86B10A4D-A7BE-4D56-9A78-D7DC92D5EEDB}"/>
            </a:ext>
          </a:extLst>
        </xdr:cNvPr>
        <xdr:cNvSpPr/>
      </xdr:nvSpPr>
      <xdr:spPr>
        <a:xfrm>
          <a:off x="4672239" y="5075916"/>
          <a:ext cx="535842" cy="36505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id="{CC9DE42C-DD30-472A-A946-9291C842FF53}"/>
            </a:ext>
          </a:extLst>
        </xdr:cNvPr>
        <xdr:cNvSpPr/>
      </xdr:nvSpPr>
      <xdr:spPr>
        <a:xfrm>
          <a:off x="653415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id="{53949FAC-B9EC-46FF-95EE-EA2336D7A345}"/>
            </a:ext>
          </a:extLst>
        </xdr:cNvPr>
        <xdr:cNvSpPr/>
      </xdr:nvSpPr>
      <xdr:spPr>
        <a:xfrm>
          <a:off x="74549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id="{D78EEC90-7CEE-4555-8AFD-118C13909200}"/>
            </a:ext>
          </a:extLst>
        </xdr:cNvPr>
        <xdr:cNvSpPr/>
      </xdr:nvSpPr>
      <xdr:spPr>
        <a:xfrm>
          <a:off x="11703050" y="50736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id="{A491B211-57B7-4851-A3BB-009B7BB284D4}"/>
            </a:ext>
          </a:extLst>
        </xdr:cNvPr>
        <xdr:cNvSpPr/>
      </xdr:nvSpPr>
      <xdr:spPr>
        <a:xfrm>
          <a:off x="12655550" y="50736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id="{899CF363-4AB6-46F1-8D14-68858E88B916}"/>
            </a:ext>
          </a:extLst>
        </xdr:cNvPr>
        <xdr:cNvSpPr/>
      </xdr:nvSpPr>
      <xdr:spPr>
        <a:xfrm>
          <a:off x="6413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id="{96940DC4-F4B8-402E-BE5A-42D61233FC70}"/>
            </a:ext>
          </a:extLst>
        </xdr:cNvPr>
        <xdr:cNvSpPr/>
      </xdr:nvSpPr>
      <xdr:spPr>
        <a:xfrm>
          <a:off x="466090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id="{F5C05440-3DAA-4626-AD9C-58B95FAE6210}"/>
            </a:ext>
          </a:extLst>
        </xdr:cNvPr>
        <xdr:cNvSpPr/>
      </xdr:nvSpPr>
      <xdr:spPr>
        <a:xfrm>
          <a:off x="65341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id="{10320633-9B29-462D-857E-2F03CC269B98}"/>
            </a:ext>
          </a:extLst>
        </xdr:cNvPr>
        <xdr:cNvSpPr/>
      </xdr:nvSpPr>
      <xdr:spPr>
        <a:xfrm>
          <a:off x="745490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id="{8EB4F3C2-2718-4567-8E17-CE73A4533BBC}"/>
            </a:ext>
          </a:extLst>
        </xdr:cNvPr>
        <xdr:cNvSpPr/>
      </xdr:nvSpPr>
      <xdr:spPr>
        <a:xfrm>
          <a:off x="117030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id="{D9097588-F453-43CF-BE52-74B9CA713740}"/>
            </a:ext>
          </a:extLst>
        </xdr:cNvPr>
        <xdr:cNvSpPr/>
      </xdr:nvSpPr>
      <xdr:spPr>
        <a:xfrm>
          <a:off x="12655550" y="65532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id="{000646BD-88FD-400A-8955-BCD809FEC254}"/>
            </a:ext>
          </a:extLst>
        </xdr:cNvPr>
        <xdr:cNvSpPr/>
      </xdr:nvSpPr>
      <xdr:spPr>
        <a:xfrm>
          <a:off x="13703300" y="65532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id="{7688947B-CBA2-4676-B636-BAF0B16B22EB}"/>
            </a:ext>
          </a:extLst>
        </xdr:cNvPr>
        <xdr:cNvSpPr/>
      </xdr:nvSpPr>
      <xdr:spPr>
        <a:xfrm>
          <a:off x="10560050" y="80264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832" name="Isosceles Triangle 831">
          <a:extLst>
            <a:ext uri="{FF2B5EF4-FFF2-40B4-BE49-F238E27FC236}">
              <a16:creationId xmlns:a16="http://schemas.microsoft.com/office/drawing/2014/main" id="{DE4E2B09-2779-4DF9-AE91-6E0289E390B8}"/>
            </a:ext>
          </a:extLst>
        </xdr:cNvPr>
        <xdr:cNvSpPr/>
      </xdr:nvSpPr>
      <xdr:spPr>
        <a:xfrm>
          <a:off x="12655550" y="80264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833" name="Isosceles Triangle 832">
          <a:extLst>
            <a:ext uri="{FF2B5EF4-FFF2-40B4-BE49-F238E27FC236}">
              <a16:creationId xmlns:a16="http://schemas.microsoft.com/office/drawing/2014/main" id="{151CB19B-4307-433E-BB63-B622B914BBAF}"/>
            </a:ext>
          </a:extLst>
        </xdr:cNvPr>
        <xdr:cNvSpPr/>
      </xdr:nvSpPr>
      <xdr:spPr>
        <a:xfrm>
          <a:off x="13703300" y="80264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id="{BAAB663F-F764-4F07-90EF-792F34747FD6}"/>
            </a:ext>
          </a:extLst>
        </xdr:cNvPr>
        <xdr:cNvSpPr/>
      </xdr:nvSpPr>
      <xdr:spPr>
        <a:xfrm>
          <a:off x="641350" y="94996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id="{27EB8C7F-346B-4FCF-8E98-B9E2595098EC}"/>
            </a:ext>
          </a:extLst>
        </xdr:cNvPr>
        <xdr:cNvSpPr/>
      </xdr:nvSpPr>
      <xdr:spPr>
        <a:xfrm>
          <a:off x="1631950" y="949960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836" name="Isosceles Triangle 835">
          <a:extLst>
            <a:ext uri="{FF2B5EF4-FFF2-40B4-BE49-F238E27FC236}">
              <a16:creationId xmlns:a16="http://schemas.microsoft.com/office/drawing/2014/main" id="{CCF591F0-B156-4DA8-9FEF-1C3EC48A84E6}"/>
            </a:ext>
          </a:extLst>
        </xdr:cNvPr>
        <xdr:cNvSpPr/>
      </xdr:nvSpPr>
      <xdr:spPr>
        <a:xfrm>
          <a:off x="745490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DA65C3C8-49D4-4E7B-A2A5-D06D61F5EBED}"/>
            </a:ext>
          </a:extLst>
        </xdr:cNvPr>
        <xdr:cNvSpPr/>
      </xdr:nvSpPr>
      <xdr:spPr>
        <a:xfrm>
          <a:off x="855980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838" name="Isosceles Triangle 837">
          <a:extLst>
            <a:ext uri="{FF2B5EF4-FFF2-40B4-BE49-F238E27FC236}">
              <a16:creationId xmlns:a16="http://schemas.microsoft.com/office/drawing/2014/main" id="{D653035A-1EB5-4917-B54F-3242BE2B2DB1}"/>
            </a:ext>
          </a:extLst>
        </xdr:cNvPr>
        <xdr:cNvSpPr/>
      </xdr:nvSpPr>
      <xdr:spPr>
        <a:xfrm>
          <a:off x="10560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839" name="Isosceles Triangle 838">
          <a:extLst>
            <a:ext uri="{FF2B5EF4-FFF2-40B4-BE49-F238E27FC236}">
              <a16:creationId xmlns:a16="http://schemas.microsoft.com/office/drawing/2014/main" id="{50A9B5BE-065A-40BD-ABD3-BAA658B0A118}"/>
            </a:ext>
          </a:extLst>
        </xdr:cNvPr>
        <xdr:cNvSpPr/>
      </xdr:nvSpPr>
      <xdr:spPr>
        <a:xfrm>
          <a:off x="11703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840" name="Isosceles Triangle 839">
          <a:extLst>
            <a:ext uri="{FF2B5EF4-FFF2-40B4-BE49-F238E27FC236}">
              <a16:creationId xmlns:a16="http://schemas.microsoft.com/office/drawing/2014/main" id="{EED8A219-5C4A-405A-A7C4-0513FA011D07}"/>
            </a:ext>
          </a:extLst>
        </xdr:cNvPr>
        <xdr:cNvSpPr/>
      </xdr:nvSpPr>
      <xdr:spPr>
        <a:xfrm>
          <a:off x="641350" y="109791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841" name="Isosceles Triangle 840">
          <a:extLst>
            <a:ext uri="{FF2B5EF4-FFF2-40B4-BE49-F238E27FC236}">
              <a16:creationId xmlns:a16="http://schemas.microsoft.com/office/drawing/2014/main" id="{D3783E08-133A-4065-A90B-BC47ECA0C0B3}"/>
            </a:ext>
          </a:extLst>
        </xdr:cNvPr>
        <xdr:cNvSpPr/>
      </xdr:nvSpPr>
      <xdr:spPr>
        <a:xfrm>
          <a:off x="1631950" y="10979150"/>
          <a:ext cx="567381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973EF7D1-D208-4DC1-A178-5551DCA51188}"/>
            </a:ext>
          </a:extLst>
        </xdr:cNvPr>
        <xdr:cNvSpPr/>
      </xdr:nvSpPr>
      <xdr:spPr>
        <a:xfrm>
          <a:off x="26797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9F2BE8A9-4D16-4873-A1DF-F00DD779F819}"/>
            </a:ext>
          </a:extLst>
        </xdr:cNvPr>
        <xdr:cNvSpPr/>
      </xdr:nvSpPr>
      <xdr:spPr>
        <a:xfrm>
          <a:off x="37147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845" name="Isosceles Triangle 844">
          <a:extLst>
            <a:ext uri="{FF2B5EF4-FFF2-40B4-BE49-F238E27FC236}">
              <a16:creationId xmlns:a16="http://schemas.microsoft.com/office/drawing/2014/main" id="{5E0569DA-50B1-41E9-B775-8765A10D026D}"/>
            </a:ext>
          </a:extLst>
        </xdr:cNvPr>
        <xdr:cNvSpPr/>
      </xdr:nvSpPr>
      <xdr:spPr>
        <a:xfrm>
          <a:off x="74549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8A236DB8-B711-4CE9-A5E3-7805A4206D78}"/>
            </a:ext>
          </a:extLst>
        </xdr:cNvPr>
        <xdr:cNvSpPr/>
      </xdr:nvSpPr>
      <xdr:spPr>
        <a:xfrm>
          <a:off x="85598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847" name="Isosceles Triangle 846">
          <a:extLst>
            <a:ext uri="{FF2B5EF4-FFF2-40B4-BE49-F238E27FC236}">
              <a16:creationId xmlns:a16="http://schemas.microsoft.com/office/drawing/2014/main" id="{CB19F813-2092-44CA-ACCC-01B351E5B6EC}"/>
            </a:ext>
          </a:extLst>
        </xdr:cNvPr>
        <xdr:cNvSpPr/>
      </xdr:nvSpPr>
      <xdr:spPr>
        <a:xfrm>
          <a:off x="9594850" y="109791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AB9A0417-1CE3-4595-B4DB-BFA1DC63BAB2}"/>
            </a:ext>
          </a:extLst>
        </xdr:cNvPr>
        <xdr:cNvSpPr/>
      </xdr:nvSpPr>
      <xdr:spPr>
        <a:xfrm>
          <a:off x="117030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id="{2B00157D-0E19-4755-AF95-6140B79346BC}"/>
            </a:ext>
          </a:extLst>
        </xdr:cNvPr>
        <xdr:cNvSpPr/>
      </xdr:nvSpPr>
      <xdr:spPr>
        <a:xfrm>
          <a:off x="12655550" y="109791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851" name="Isosceles Triangle 850">
          <a:extLst>
            <a:ext uri="{FF2B5EF4-FFF2-40B4-BE49-F238E27FC236}">
              <a16:creationId xmlns:a16="http://schemas.microsoft.com/office/drawing/2014/main" id="{E9D463F3-393A-41A7-8E2D-BFD59E3720C5}"/>
            </a:ext>
          </a:extLst>
        </xdr:cNvPr>
        <xdr:cNvSpPr/>
      </xdr:nvSpPr>
      <xdr:spPr>
        <a:xfrm>
          <a:off x="13703300" y="109791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852" name="Isosceles Triangle 851">
          <a:extLst>
            <a:ext uri="{FF2B5EF4-FFF2-40B4-BE49-F238E27FC236}">
              <a16:creationId xmlns:a16="http://schemas.microsoft.com/office/drawing/2014/main" id="{795C8D79-9144-4E43-A1C6-2E1230D158A9}"/>
            </a:ext>
          </a:extLst>
        </xdr:cNvPr>
        <xdr:cNvSpPr/>
      </xdr:nvSpPr>
      <xdr:spPr>
        <a:xfrm>
          <a:off x="6413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31D4DDFE-56F6-42A3-BF71-21F1ADE64A16}"/>
            </a:ext>
          </a:extLst>
        </xdr:cNvPr>
        <xdr:cNvSpPr/>
      </xdr:nvSpPr>
      <xdr:spPr>
        <a:xfrm>
          <a:off x="37147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79E82C85-4669-4BD0-A322-CF6C19311FEF}"/>
            </a:ext>
          </a:extLst>
        </xdr:cNvPr>
        <xdr:cNvSpPr/>
      </xdr:nvSpPr>
      <xdr:spPr>
        <a:xfrm>
          <a:off x="46609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F0415099-69C3-401B-AD64-E9D217E48967}"/>
            </a:ext>
          </a:extLst>
        </xdr:cNvPr>
        <xdr:cNvSpPr/>
      </xdr:nvSpPr>
      <xdr:spPr>
        <a:xfrm>
          <a:off x="55689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C9983481-00DB-4546-BA8F-6E8163394093}"/>
            </a:ext>
          </a:extLst>
        </xdr:cNvPr>
        <xdr:cNvSpPr/>
      </xdr:nvSpPr>
      <xdr:spPr>
        <a:xfrm>
          <a:off x="65341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id="{44C5F13B-60A0-4A62-AC24-253D084493BD}"/>
            </a:ext>
          </a:extLst>
        </xdr:cNvPr>
        <xdr:cNvSpPr/>
      </xdr:nvSpPr>
      <xdr:spPr>
        <a:xfrm>
          <a:off x="745490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id="{02252EAE-F6CE-4170-AA10-9BBABE02A096}"/>
            </a:ext>
          </a:extLst>
        </xdr:cNvPr>
        <xdr:cNvSpPr/>
      </xdr:nvSpPr>
      <xdr:spPr>
        <a:xfrm>
          <a:off x="85598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C399B18F-F69D-442F-AF3D-5F274A2D8BE2}"/>
            </a:ext>
          </a:extLst>
        </xdr:cNvPr>
        <xdr:cNvSpPr/>
      </xdr:nvSpPr>
      <xdr:spPr>
        <a:xfrm>
          <a:off x="9594850" y="124523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49C7F26C-EDB3-432D-9551-AE159869254D}"/>
            </a:ext>
          </a:extLst>
        </xdr:cNvPr>
        <xdr:cNvSpPr/>
      </xdr:nvSpPr>
      <xdr:spPr>
        <a:xfrm>
          <a:off x="105600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id="{9D8CE922-177D-4EDE-91CF-F30247A62F79}"/>
            </a:ext>
          </a:extLst>
        </xdr:cNvPr>
        <xdr:cNvSpPr/>
      </xdr:nvSpPr>
      <xdr:spPr>
        <a:xfrm>
          <a:off x="117030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B36C25B1-46B5-42FD-8CBC-04781E5EAAE2}"/>
            </a:ext>
          </a:extLst>
        </xdr:cNvPr>
        <xdr:cNvSpPr/>
      </xdr:nvSpPr>
      <xdr:spPr>
        <a:xfrm>
          <a:off x="12655550" y="124523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2AE3CFA6-8E86-46B7-A047-99795044C18A}"/>
            </a:ext>
          </a:extLst>
        </xdr:cNvPr>
        <xdr:cNvSpPr/>
      </xdr:nvSpPr>
      <xdr:spPr>
        <a:xfrm>
          <a:off x="13703300" y="124523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864" name="Isosceles Triangle 863">
          <a:extLst>
            <a:ext uri="{FF2B5EF4-FFF2-40B4-BE49-F238E27FC236}">
              <a16:creationId xmlns:a16="http://schemas.microsoft.com/office/drawing/2014/main" id="{92F7C644-DA71-4D09-B77F-5E284C9D4DDB}"/>
            </a:ext>
          </a:extLst>
        </xdr:cNvPr>
        <xdr:cNvSpPr/>
      </xdr:nvSpPr>
      <xdr:spPr>
        <a:xfrm>
          <a:off x="6413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865" name="Isosceles Triangle 864">
          <a:extLst>
            <a:ext uri="{FF2B5EF4-FFF2-40B4-BE49-F238E27FC236}">
              <a16:creationId xmlns:a16="http://schemas.microsoft.com/office/drawing/2014/main" id="{7E733E88-6B1B-42D8-AC82-B2B8A5BAB332}"/>
            </a:ext>
          </a:extLst>
        </xdr:cNvPr>
        <xdr:cNvSpPr/>
      </xdr:nvSpPr>
      <xdr:spPr>
        <a:xfrm>
          <a:off x="1631950" y="1392555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866" name="Isosceles Triangle 865">
          <a:extLst>
            <a:ext uri="{FF2B5EF4-FFF2-40B4-BE49-F238E27FC236}">
              <a16:creationId xmlns:a16="http://schemas.microsoft.com/office/drawing/2014/main" id="{69A5EF26-9420-40DE-B7B0-0E5A87A70124}"/>
            </a:ext>
          </a:extLst>
        </xdr:cNvPr>
        <xdr:cNvSpPr/>
      </xdr:nvSpPr>
      <xdr:spPr>
        <a:xfrm>
          <a:off x="26797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D469C057-52EB-4900-B831-D41B275DF615}"/>
            </a:ext>
          </a:extLst>
        </xdr:cNvPr>
        <xdr:cNvSpPr/>
      </xdr:nvSpPr>
      <xdr:spPr>
        <a:xfrm>
          <a:off x="46609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868" name="Isosceles Triangle 867">
          <a:extLst>
            <a:ext uri="{FF2B5EF4-FFF2-40B4-BE49-F238E27FC236}">
              <a16:creationId xmlns:a16="http://schemas.microsoft.com/office/drawing/2014/main" id="{21FA2950-EF77-49B0-9F19-638315696346}"/>
            </a:ext>
          </a:extLst>
        </xdr:cNvPr>
        <xdr:cNvSpPr/>
      </xdr:nvSpPr>
      <xdr:spPr>
        <a:xfrm>
          <a:off x="5583671" y="13936374"/>
          <a:ext cx="530863" cy="3546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798B5892-FD63-4FBF-92B5-21E4E907CF2F}"/>
            </a:ext>
          </a:extLst>
        </xdr:cNvPr>
        <xdr:cNvSpPr/>
      </xdr:nvSpPr>
      <xdr:spPr>
        <a:xfrm>
          <a:off x="65341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A7BD6650-3719-401F-8544-4ABB4C53ACB3}"/>
            </a:ext>
          </a:extLst>
        </xdr:cNvPr>
        <xdr:cNvSpPr/>
      </xdr:nvSpPr>
      <xdr:spPr>
        <a:xfrm>
          <a:off x="74549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0D13F163-6996-4C54-964F-821D346EB3BD}"/>
            </a:ext>
          </a:extLst>
        </xdr:cNvPr>
        <xdr:cNvSpPr/>
      </xdr:nvSpPr>
      <xdr:spPr>
        <a:xfrm>
          <a:off x="85598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EEDF80E5-824A-47FE-91BD-24AFA2CA572E}"/>
            </a:ext>
          </a:extLst>
        </xdr:cNvPr>
        <xdr:cNvSpPr/>
      </xdr:nvSpPr>
      <xdr:spPr>
        <a:xfrm>
          <a:off x="9594850" y="139255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F6B8CCC8-95E7-406B-A93D-8ADEC26A071E}"/>
            </a:ext>
          </a:extLst>
        </xdr:cNvPr>
        <xdr:cNvSpPr/>
      </xdr:nvSpPr>
      <xdr:spPr>
        <a:xfrm>
          <a:off x="105600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874" name="Isosceles Triangle 873">
          <a:extLst>
            <a:ext uri="{FF2B5EF4-FFF2-40B4-BE49-F238E27FC236}">
              <a16:creationId xmlns:a16="http://schemas.microsoft.com/office/drawing/2014/main" id="{FCF36768-0460-4EFB-AA18-47C5ACE70696}"/>
            </a:ext>
          </a:extLst>
        </xdr:cNvPr>
        <xdr:cNvSpPr/>
      </xdr:nvSpPr>
      <xdr:spPr>
        <a:xfrm>
          <a:off x="117030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875" name="Isosceles Triangle 874">
          <a:extLst>
            <a:ext uri="{FF2B5EF4-FFF2-40B4-BE49-F238E27FC236}">
              <a16:creationId xmlns:a16="http://schemas.microsoft.com/office/drawing/2014/main" id="{C799FCDE-1975-4E7C-AF41-2ECC5347277A}"/>
            </a:ext>
          </a:extLst>
        </xdr:cNvPr>
        <xdr:cNvSpPr/>
      </xdr:nvSpPr>
      <xdr:spPr>
        <a:xfrm>
          <a:off x="12655550" y="1392555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6ED5C83E-50F2-4AFB-BDE6-0A0395DE9166}"/>
            </a:ext>
          </a:extLst>
        </xdr:cNvPr>
        <xdr:cNvSpPr/>
      </xdr:nvSpPr>
      <xdr:spPr>
        <a:xfrm>
          <a:off x="13703300" y="139255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7A68E7AA-3A8E-4E97-AE77-DB354F1FAEC1}"/>
            </a:ext>
          </a:extLst>
        </xdr:cNvPr>
        <xdr:cNvSpPr/>
      </xdr:nvSpPr>
      <xdr:spPr>
        <a:xfrm>
          <a:off x="64135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78" name="Isosceles Triangle 877">
          <a:extLst>
            <a:ext uri="{FF2B5EF4-FFF2-40B4-BE49-F238E27FC236}">
              <a16:creationId xmlns:a16="http://schemas.microsoft.com/office/drawing/2014/main" id="{940E6845-474E-482F-9C6F-4EF344468AF3}"/>
            </a:ext>
          </a:extLst>
        </xdr:cNvPr>
        <xdr:cNvSpPr/>
      </xdr:nvSpPr>
      <xdr:spPr>
        <a:xfrm>
          <a:off x="46609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79" name="Isosceles Triangle 878">
          <a:extLst>
            <a:ext uri="{FF2B5EF4-FFF2-40B4-BE49-F238E27FC236}">
              <a16:creationId xmlns:a16="http://schemas.microsoft.com/office/drawing/2014/main" id="{43DF57C3-AB03-40B3-91FF-AEE54BAB09D6}"/>
            </a:ext>
          </a:extLst>
        </xdr:cNvPr>
        <xdr:cNvSpPr/>
      </xdr:nvSpPr>
      <xdr:spPr>
        <a:xfrm>
          <a:off x="6535965" y="15405100"/>
          <a:ext cx="5216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80" name="Isosceles Triangle 879">
          <a:extLst>
            <a:ext uri="{FF2B5EF4-FFF2-40B4-BE49-F238E27FC236}">
              <a16:creationId xmlns:a16="http://schemas.microsoft.com/office/drawing/2014/main" id="{32A43197-7353-4828-A1A7-FEDC9CAA41C9}"/>
            </a:ext>
          </a:extLst>
        </xdr:cNvPr>
        <xdr:cNvSpPr/>
      </xdr:nvSpPr>
      <xdr:spPr>
        <a:xfrm>
          <a:off x="74549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63ED45BC-D1E1-4072-9346-63B49C259AE1}"/>
            </a:ext>
          </a:extLst>
        </xdr:cNvPr>
        <xdr:cNvSpPr/>
      </xdr:nvSpPr>
      <xdr:spPr>
        <a:xfrm>
          <a:off x="85598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id="{9EEAE6C2-4961-4F5B-84B4-625C1496BF69}"/>
            </a:ext>
          </a:extLst>
        </xdr:cNvPr>
        <xdr:cNvSpPr/>
      </xdr:nvSpPr>
      <xdr:spPr>
        <a:xfrm>
          <a:off x="9594850" y="154051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7F9113CB-DCC7-4C7D-BCB9-2381D89209D6}"/>
            </a:ext>
          </a:extLst>
        </xdr:cNvPr>
        <xdr:cNvSpPr/>
      </xdr:nvSpPr>
      <xdr:spPr>
        <a:xfrm>
          <a:off x="1056005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id="{93C75DDF-EC82-4A29-B757-CF2D450352E1}"/>
            </a:ext>
          </a:extLst>
        </xdr:cNvPr>
        <xdr:cNvSpPr/>
      </xdr:nvSpPr>
      <xdr:spPr>
        <a:xfrm>
          <a:off x="1170305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885" name="Isosceles Triangle 884">
          <a:extLst>
            <a:ext uri="{FF2B5EF4-FFF2-40B4-BE49-F238E27FC236}">
              <a16:creationId xmlns:a16="http://schemas.microsoft.com/office/drawing/2014/main" id="{A6DB08BB-D7C1-43D3-A8EC-7ED201054489}"/>
            </a:ext>
          </a:extLst>
        </xdr:cNvPr>
        <xdr:cNvSpPr/>
      </xdr:nvSpPr>
      <xdr:spPr>
        <a:xfrm>
          <a:off x="12655550" y="154051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886" name="Isosceles Triangle 885">
          <a:extLst>
            <a:ext uri="{FF2B5EF4-FFF2-40B4-BE49-F238E27FC236}">
              <a16:creationId xmlns:a16="http://schemas.microsoft.com/office/drawing/2014/main" id="{5678026F-6E20-436C-A708-F005EBBEC3E2}"/>
            </a:ext>
          </a:extLst>
        </xdr:cNvPr>
        <xdr:cNvSpPr/>
      </xdr:nvSpPr>
      <xdr:spPr>
        <a:xfrm>
          <a:off x="13703300" y="154051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id="{1787336F-B37C-4D2C-81EB-87BA51EF637E}"/>
            </a:ext>
          </a:extLst>
        </xdr:cNvPr>
        <xdr:cNvSpPr/>
      </xdr:nvSpPr>
      <xdr:spPr>
        <a:xfrm>
          <a:off x="6413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E404A186-C66B-4F69-B6EB-F11AEED6C543}"/>
            </a:ext>
          </a:extLst>
        </xdr:cNvPr>
        <xdr:cNvSpPr/>
      </xdr:nvSpPr>
      <xdr:spPr>
        <a:xfrm>
          <a:off x="1631950" y="168783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889" name="Isosceles Triangle 888">
          <a:extLst>
            <a:ext uri="{FF2B5EF4-FFF2-40B4-BE49-F238E27FC236}">
              <a16:creationId xmlns:a16="http://schemas.microsoft.com/office/drawing/2014/main" id="{D318AF79-776D-4F81-B9E7-0DC53B035203}"/>
            </a:ext>
          </a:extLst>
        </xdr:cNvPr>
        <xdr:cNvSpPr/>
      </xdr:nvSpPr>
      <xdr:spPr>
        <a:xfrm>
          <a:off x="26797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03217669-C753-47A2-A722-CB9AB33094B8}"/>
            </a:ext>
          </a:extLst>
        </xdr:cNvPr>
        <xdr:cNvSpPr/>
      </xdr:nvSpPr>
      <xdr:spPr>
        <a:xfrm>
          <a:off x="37147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734CA0D5-A81B-42F5-8840-BC737FA36BEC}"/>
            </a:ext>
          </a:extLst>
        </xdr:cNvPr>
        <xdr:cNvSpPr/>
      </xdr:nvSpPr>
      <xdr:spPr>
        <a:xfrm>
          <a:off x="46609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892" name="Isosceles Triangle 891">
          <a:extLst>
            <a:ext uri="{FF2B5EF4-FFF2-40B4-BE49-F238E27FC236}">
              <a16:creationId xmlns:a16="http://schemas.microsoft.com/office/drawing/2014/main" id="{69916CE4-B646-402E-99AB-DDB9EA1893FA}"/>
            </a:ext>
          </a:extLst>
        </xdr:cNvPr>
        <xdr:cNvSpPr/>
      </xdr:nvSpPr>
      <xdr:spPr>
        <a:xfrm>
          <a:off x="55689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893" name="Isosceles Triangle 892">
          <a:extLst>
            <a:ext uri="{FF2B5EF4-FFF2-40B4-BE49-F238E27FC236}">
              <a16:creationId xmlns:a16="http://schemas.microsoft.com/office/drawing/2014/main" id="{93ABAC78-78B7-4E13-B016-CC8411C35D03}"/>
            </a:ext>
          </a:extLst>
        </xdr:cNvPr>
        <xdr:cNvSpPr/>
      </xdr:nvSpPr>
      <xdr:spPr>
        <a:xfrm>
          <a:off x="65341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894" name="Isosceles Triangle 893">
          <a:extLst>
            <a:ext uri="{FF2B5EF4-FFF2-40B4-BE49-F238E27FC236}">
              <a16:creationId xmlns:a16="http://schemas.microsoft.com/office/drawing/2014/main" id="{23F8FE37-8184-4307-A034-9816DBE8C8AE}"/>
            </a:ext>
          </a:extLst>
        </xdr:cNvPr>
        <xdr:cNvSpPr/>
      </xdr:nvSpPr>
      <xdr:spPr>
        <a:xfrm>
          <a:off x="745490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895" name="Isosceles Triangle 894">
          <a:extLst>
            <a:ext uri="{FF2B5EF4-FFF2-40B4-BE49-F238E27FC236}">
              <a16:creationId xmlns:a16="http://schemas.microsoft.com/office/drawing/2014/main" id="{AE9673F3-213C-47C7-8669-FD597E7CA849}"/>
            </a:ext>
          </a:extLst>
        </xdr:cNvPr>
        <xdr:cNvSpPr/>
      </xdr:nvSpPr>
      <xdr:spPr>
        <a:xfrm>
          <a:off x="85598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30</xdr:col>
      <xdr:colOff>2984</xdr:colOff>
      <xdr:row>91</xdr:row>
      <xdr:rowOff>183173</xdr:rowOff>
    </xdr:to>
    <xdr:sp macro="" textlink="">
      <xdr:nvSpPr>
        <xdr:cNvPr id="896" name="Isosceles Triangle 895">
          <a:extLst>
            <a:ext uri="{FF2B5EF4-FFF2-40B4-BE49-F238E27FC236}">
              <a16:creationId xmlns:a16="http://schemas.microsoft.com/office/drawing/2014/main" id="{DC67CFB8-A431-42DB-BC8C-62B56A1333F4}"/>
            </a:ext>
          </a:extLst>
        </xdr:cNvPr>
        <xdr:cNvSpPr/>
      </xdr:nvSpPr>
      <xdr:spPr>
        <a:xfrm>
          <a:off x="9594850" y="16878300"/>
          <a:ext cx="536384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897" name="Isosceles Triangle 896">
          <a:extLst>
            <a:ext uri="{FF2B5EF4-FFF2-40B4-BE49-F238E27FC236}">
              <a16:creationId xmlns:a16="http://schemas.microsoft.com/office/drawing/2014/main" id="{A0AA1990-E174-43B7-B2FA-4F3BD2010826}"/>
            </a:ext>
          </a:extLst>
        </xdr:cNvPr>
        <xdr:cNvSpPr/>
      </xdr:nvSpPr>
      <xdr:spPr>
        <a:xfrm>
          <a:off x="105600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898" name="Isosceles Triangle 897">
          <a:extLst>
            <a:ext uri="{FF2B5EF4-FFF2-40B4-BE49-F238E27FC236}">
              <a16:creationId xmlns:a16="http://schemas.microsoft.com/office/drawing/2014/main" id="{2D8BC99E-03CA-43E6-A993-6EDEADA3FE94}"/>
            </a:ext>
          </a:extLst>
        </xdr:cNvPr>
        <xdr:cNvSpPr/>
      </xdr:nvSpPr>
      <xdr:spPr>
        <a:xfrm>
          <a:off x="117030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899" name="Isosceles Triangle 898">
          <a:extLst>
            <a:ext uri="{FF2B5EF4-FFF2-40B4-BE49-F238E27FC236}">
              <a16:creationId xmlns:a16="http://schemas.microsoft.com/office/drawing/2014/main" id="{3E1EA76C-553E-4452-A11E-85A38C9DBC39}"/>
            </a:ext>
          </a:extLst>
        </xdr:cNvPr>
        <xdr:cNvSpPr/>
      </xdr:nvSpPr>
      <xdr:spPr>
        <a:xfrm>
          <a:off x="12655550" y="168783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900" name="Isosceles Triangle 899">
          <a:extLst>
            <a:ext uri="{FF2B5EF4-FFF2-40B4-BE49-F238E27FC236}">
              <a16:creationId xmlns:a16="http://schemas.microsoft.com/office/drawing/2014/main" id="{897B6FCE-A402-4974-A6D3-DF8AF28BDC3A}"/>
            </a:ext>
          </a:extLst>
        </xdr:cNvPr>
        <xdr:cNvSpPr/>
      </xdr:nvSpPr>
      <xdr:spPr>
        <a:xfrm>
          <a:off x="13703300" y="168783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901" name="Isosceles Triangle 900">
          <a:extLst>
            <a:ext uri="{FF2B5EF4-FFF2-40B4-BE49-F238E27FC236}">
              <a16:creationId xmlns:a16="http://schemas.microsoft.com/office/drawing/2014/main" id="{8EBBC144-C8A5-47FF-9B5F-BF8FA5BE7BEE}"/>
            </a:ext>
          </a:extLst>
        </xdr:cNvPr>
        <xdr:cNvSpPr/>
      </xdr:nvSpPr>
      <xdr:spPr>
        <a:xfrm>
          <a:off x="6413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902" name="Isosceles Triangle 901">
          <a:extLst>
            <a:ext uri="{FF2B5EF4-FFF2-40B4-BE49-F238E27FC236}">
              <a16:creationId xmlns:a16="http://schemas.microsoft.com/office/drawing/2014/main" id="{14D76495-0A93-4AC9-8391-F0808202F41C}"/>
            </a:ext>
          </a:extLst>
        </xdr:cNvPr>
        <xdr:cNvSpPr/>
      </xdr:nvSpPr>
      <xdr:spPr>
        <a:xfrm>
          <a:off x="1631950" y="18351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903" name="Isosceles Triangle 902">
          <a:extLst>
            <a:ext uri="{FF2B5EF4-FFF2-40B4-BE49-F238E27FC236}">
              <a16:creationId xmlns:a16="http://schemas.microsoft.com/office/drawing/2014/main" id="{791724DD-CBAB-4556-962A-48D83749CD7A}"/>
            </a:ext>
          </a:extLst>
        </xdr:cNvPr>
        <xdr:cNvSpPr/>
      </xdr:nvSpPr>
      <xdr:spPr>
        <a:xfrm>
          <a:off x="267970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904" name="Isosceles Triangle 903">
          <a:extLst>
            <a:ext uri="{FF2B5EF4-FFF2-40B4-BE49-F238E27FC236}">
              <a16:creationId xmlns:a16="http://schemas.microsoft.com/office/drawing/2014/main" id="{79C3AF0E-A912-4ECB-9690-69D311426C91}"/>
            </a:ext>
          </a:extLst>
        </xdr:cNvPr>
        <xdr:cNvSpPr/>
      </xdr:nvSpPr>
      <xdr:spPr>
        <a:xfrm>
          <a:off x="37147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905" name="Isosceles Triangle 904">
          <a:extLst>
            <a:ext uri="{FF2B5EF4-FFF2-40B4-BE49-F238E27FC236}">
              <a16:creationId xmlns:a16="http://schemas.microsoft.com/office/drawing/2014/main" id="{307FFE26-B983-4845-917E-4736C05EF643}"/>
            </a:ext>
          </a:extLst>
        </xdr:cNvPr>
        <xdr:cNvSpPr/>
      </xdr:nvSpPr>
      <xdr:spPr>
        <a:xfrm>
          <a:off x="55689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906" name="Isosceles Triangle 905">
          <a:extLst>
            <a:ext uri="{FF2B5EF4-FFF2-40B4-BE49-F238E27FC236}">
              <a16:creationId xmlns:a16="http://schemas.microsoft.com/office/drawing/2014/main" id="{68BF5383-4C38-413A-AC18-62D333B15C62}"/>
            </a:ext>
          </a:extLst>
        </xdr:cNvPr>
        <xdr:cNvSpPr/>
      </xdr:nvSpPr>
      <xdr:spPr>
        <a:xfrm>
          <a:off x="65341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907" name="Isosceles Triangle 906">
          <a:extLst>
            <a:ext uri="{FF2B5EF4-FFF2-40B4-BE49-F238E27FC236}">
              <a16:creationId xmlns:a16="http://schemas.microsoft.com/office/drawing/2014/main" id="{D5B3751B-5D06-456B-ABD1-B2C2CBD862B9}"/>
            </a:ext>
          </a:extLst>
        </xdr:cNvPr>
        <xdr:cNvSpPr/>
      </xdr:nvSpPr>
      <xdr:spPr>
        <a:xfrm>
          <a:off x="7468507" y="18365107"/>
          <a:ext cx="5358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908" name="Isosceles Triangle 907">
          <a:extLst>
            <a:ext uri="{FF2B5EF4-FFF2-40B4-BE49-F238E27FC236}">
              <a16:creationId xmlns:a16="http://schemas.microsoft.com/office/drawing/2014/main" id="{A356FEF7-F40E-4570-8247-0C4FB47D1D56}"/>
            </a:ext>
          </a:extLst>
        </xdr:cNvPr>
        <xdr:cNvSpPr/>
      </xdr:nvSpPr>
      <xdr:spPr>
        <a:xfrm>
          <a:off x="855980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909" name="Isosceles Triangle 908">
          <a:extLst>
            <a:ext uri="{FF2B5EF4-FFF2-40B4-BE49-F238E27FC236}">
              <a16:creationId xmlns:a16="http://schemas.microsoft.com/office/drawing/2014/main" id="{B396F841-D417-4E4E-A990-89A01562CE99}"/>
            </a:ext>
          </a:extLst>
        </xdr:cNvPr>
        <xdr:cNvSpPr/>
      </xdr:nvSpPr>
      <xdr:spPr>
        <a:xfrm>
          <a:off x="9594850" y="183515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10DF6E24-EF3B-4551-8DEE-01F6317DE04C}"/>
            </a:ext>
          </a:extLst>
        </xdr:cNvPr>
        <xdr:cNvSpPr/>
      </xdr:nvSpPr>
      <xdr:spPr>
        <a:xfrm>
          <a:off x="105600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75B2C920-2BFB-4381-B46E-86557E61FCF4}"/>
            </a:ext>
          </a:extLst>
        </xdr:cNvPr>
        <xdr:cNvSpPr/>
      </xdr:nvSpPr>
      <xdr:spPr>
        <a:xfrm>
          <a:off x="117030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C97CB455-E740-4076-B8A7-38DB8AEB80E9}"/>
            </a:ext>
          </a:extLst>
        </xdr:cNvPr>
        <xdr:cNvSpPr/>
      </xdr:nvSpPr>
      <xdr:spPr>
        <a:xfrm>
          <a:off x="12655550" y="183515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9E4C5626-691F-46DA-A60B-F60076315147}"/>
            </a:ext>
          </a:extLst>
        </xdr:cNvPr>
        <xdr:cNvSpPr/>
      </xdr:nvSpPr>
      <xdr:spPr>
        <a:xfrm>
          <a:off x="13703300" y="183515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914" name="Isosceles Triangle 913">
          <a:extLst>
            <a:ext uri="{FF2B5EF4-FFF2-40B4-BE49-F238E27FC236}">
              <a16:creationId xmlns:a16="http://schemas.microsoft.com/office/drawing/2014/main" id="{A33668DD-0956-444E-800B-D822D309CC83}"/>
            </a:ext>
          </a:extLst>
        </xdr:cNvPr>
        <xdr:cNvSpPr/>
      </xdr:nvSpPr>
      <xdr:spPr>
        <a:xfrm>
          <a:off x="6413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7013632F-E46C-48AA-BB8B-D224AD7B7CA7}"/>
            </a:ext>
          </a:extLst>
        </xdr:cNvPr>
        <xdr:cNvSpPr/>
      </xdr:nvSpPr>
      <xdr:spPr>
        <a:xfrm>
          <a:off x="1631950" y="19824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ED0D9BC2-DC36-4D81-B622-90EBE2042167}"/>
            </a:ext>
          </a:extLst>
        </xdr:cNvPr>
        <xdr:cNvSpPr/>
      </xdr:nvSpPr>
      <xdr:spPr>
        <a:xfrm>
          <a:off x="26797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B98D9C29-C4D0-4A7C-A668-697CF76E99AF}"/>
            </a:ext>
          </a:extLst>
        </xdr:cNvPr>
        <xdr:cNvSpPr/>
      </xdr:nvSpPr>
      <xdr:spPr>
        <a:xfrm>
          <a:off x="37147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4BE5C3B2-1EE6-4965-9125-A10B47A0CC61}"/>
            </a:ext>
          </a:extLst>
        </xdr:cNvPr>
        <xdr:cNvSpPr/>
      </xdr:nvSpPr>
      <xdr:spPr>
        <a:xfrm>
          <a:off x="46609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919" name="Isosceles Triangle 918">
          <a:extLst>
            <a:ext uri="{FF2B5EF4-FFF2-40B4-BE49-F238E27FC236}">
              <a16:creationId xmlns:a16="http://schemas.microsoft.com/office/drawing/2014/main" id="{3FF476A6-2F79-4B8A-883B-55F6DBD3DD11}"/>
            </a:ext>
          </a:extLst>
        </xdr:cNvPr>
        <xdr:cNvSpPr/>
      </xdr:nvSpPr>
      <xdr:spPr>
        <a:xfrm>
          <a:off x="55689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FE5A9D85-D311-41F0-B122-CF0D6812A23F}"/>
            </a:ext>
          </a:extLst>
        </xdr:cNvPr>
        <xdr:cNvSpPr/>
      </xdr:nvSpPr>
      <xdr:spPr>
        <a:xfrm>
          <a:off x="65341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809C8D56-2064-4BDF-BAA7-8677AFCBA0EE}"/>
            </a:ext>
          </a:extLst>
        </xdr:cNvPr>
        <xdr:cNvSpPr/>
      </xdr:nvSpPr>
      <xdr:spPr>
        <a:xfrm>
          <a:off x="74549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7644A140-7B02-41EA-987C-96A837F12036}"/>
            </a:ext>
          </a:extLst>
        </xdr:cNvPr>
        <xdr:cNvSpPr/>
      </xdr:nvSpPr>
      <xdr:spPr>
        <a:xfrm>
          <a:off x="1631950" y="675217"/>
          <a:ext cx="5485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923" name="Isosceles Triangle 922">
          <a:extLst>
            <a:ext uri="{FF2B5EF4-FFF2-40B4-BE49-F238E27FC236}">
              <a16:creationId xmlns:a16="http://schemas.microsoft.com/office/drawing/2014/main" id="{CAA04AE2-D749-4DB3-A731-06EBC6DF810D}"/>
            </a:ext>
          </a:extLst>
        </xdr:cNvPr>
        <xdr:cNvSpPr/>
      </xdr:nvSpPr>
      <xdr:spPr>
        <a:xfrm>
          <a:off x="55689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924" name="Isosceles Triangle 923">
          <a:extLst>
            <a:ext uri="{FF2B5EF4-FFF2-40B4-BE49-F238E27FC236}">
              <a16:creationId xmlns:a16="http://schemas.microsoft.com/office/drawing/2014/main" id="{8AA59B87-5000-44AE-9C2A-6D10C2D96F10}"/>
            </a:ext>
          </a:extLst>
        </xdr:cNvPr>
        <xdr:cNvSpPr/>
      </xdr:nvSpPr>
      <xdr:spPr>
        <a:xfrm>
          <a:off x="1631950" y="37911617"/>
          <a:ext cx="54854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EAB960B2-9D0A-4F4B-A2EC-717585C25529}"/>
            </a:ext>
          </a:extLst>
        </xdr:cNvPr>
        <xdr:cNvSpPr/>
      </xdr:nvSpPr>
      <xdr:spPr>
        <a:xfrm>
          <a:off x="2679700" y="37911616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4DA5A937-B6BC-431F-9B90-1711086BE9F8}"/>
            </a:ext>
          </a:extLst>
        </xdr:cNvPr>
        <xdr:cNvSpPr/>
      </xdr:nvSpPr>
      <xdr:spPr>
        <a:xfrm>
          <a:off x="3714750" y="379222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E5D5B36E-A213-4769-99D8-0D7C24AA4A62}"/>
            </a:ext>
          </a:extLst>
        </xdr:cNvPr>
        <xdr:cNvSpPr/>
      </xdr:nvSpPr>
      <xdr:spPr>
        <a:xfrm>
          <a:off x="1790700" y="38028033"/>
          <a:ext cx="2391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928" name="Curved Connector 523">
          <a:extLst>
            <a:ext uri="{FF2B5EF4-FFF2-40B4-BE49-F238E27FC236}">
              <a16:creationId xmlns:a16="http://schemas.microsoft.com/office/drawing/2014/main" id="{B30B658D-1099-47B5-8E21-D806FFEA89F1}"/>
            </a:ext>
          </a:extLst>
        </xdr:cNvPr>
        <xdr:cNvCxnSpPr/>
      </xdr:nvCxnSpPr>
      <xdr:spPr>
        <a:xfrm rot="16200000" flipH="1">
          <a:off x="2404533" y="37382450"/>
          <a:ext cx="10584" cy="10477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929" name="Straight Arrow Connector 928">
          <a:extLst>
            <a:ext uri="{FF2B5EF4-FFF2-40B4-BE49-F238E27FC236}">
              <a16:creationId xmlns:a16="http://schemas.microsoft.com/office/drawing/2014/main" id="{88947801-5287-4E1E-97F4-42B0C3C7AFF2}"/>
            </a:ext>
          </a:extLst>
        </xdr:cNvPr>
        <xdr:cNvCxnSpPr/>
      </xdr:nvCxnSpPr>
      <xdr:spPr>
        <a:xfrm>
          <a:off x="1497807" y="37516593"/>
          <a:ext cx="3821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930" name="Straight Arrow Connector 929">
          <a:extLst>
            <a:ext uri="{FF2B5EF4-FFF2-40B4-BE49-F238E27FC236}">
              <a16:creationId xmlns:a16="http://schemas.microsoft.com/office/drawing/2014/main" id="{667A677A-FEC9-490C-9357-C6AE0F5E4286}"/>
            </a:ext>
          </a:extLst>
        </xdr:cNvPr>
        <xdr:cNvCxnSpPr/>
      </xdr:nvCxnSpPr>
      <xdr:spPr>
        <a:xfrm>
          <a:off x="2238375" y="3752214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931" name="Straight Arrow Connector 930">
          <a:extLst>
            <a:ext uri="{FF2B5EF4-FFF2-40B4-BE49-F238E27FC236}">
              <a16:creationId xmlns:a16="http://schemas.microsoft.com/office/drawing/2014/main" id="{B30C3093-C090-4F82-A8EA-5C29360D37D7}"/>
            </a:ext>
          </a:extLst>
        </xdr:cNvPr>
        <xdr:cNvCxnSpPr/>
      </xdr:nvCxnSpPr>
      <xdr:spPr>
        <a:xfrm>
          <a:off x="3274218" y="3752214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932" name="Straight Arrow Connector 931">
          <a:extLst>
            <a:ext uri="{FF2B5EF4-FFF2-40B4-BE49-F238E27FC236}">
              <a16:creationId xmlns:a16="http://schemas.microsoft.com/office/drawing/2014/main" id="{48ADD9C3-F374-43C7-BC8F-ED825EF4DBC7}"/>
            </a:ext>
          </a:extLst>
        </xdr:cNvPr>
        <xdr:cNvCxnSpPr/>
      </xdr:nvCxnSpPr>
      <xdr:spPr>
        <a:xfrm>
          <a:off x="1153584" y="37901034"/>
          <a:ext cx="584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933" name="Straight Arrow Connector 932">
          <a:extLst>
            <a:ext uri="{FF2B5EF4-FFF2-40B4-BE49-F238E27FC236}">
              <a16:creationId xmlns:a16="http://schemas.microsoft.com/office/drawing/2014/main" id="{E4F269B1-3C30-4769-A517-EE5A20072352}"/>
            </a:ext>
          </a:extLst>
        </xdr:cNvPr>
        <xdr:cNvCxnSpPr/>
      </xdr:nvCxnSpPr>
      <xdr:spPr>
        <a:xfrm>
          <a:off x="1390650" y="38559317"/>
          <a:ext cx="2413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934" name="Picture 933" descr="A black and white symbol&#10;&#10;Description automatically generated">
          <a:extLst>
            <a:ext uri="{FF2B5EF4-FFF2-40B4-BE49-F238E27FC236}">
              <a16:creationId xmlns:a16="http://schemas.microsoft.com/office/drawing/2014/main" id="{9AEB3761-DF67-47ED-A8CA-126B5EDD2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134" y="3849581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935" name="Straight Arrow Connector 934">
          <a:extLst>
            <a:ext uri="{FF2B5EF4-FFF2-40B4-BE49-F238E27FC236}">
              <a16:creationId xmlns:a16="http://schemas.microsoft.com/office/drawing/2014/main" id="{AE322C3B-23FD-43F9-A789-B7F353C93D73}"/>
            </a:ext>
          </a:extLst>
        </xdr:cNvPr>
        <xdr:cNvCxnSpPr/>
      </xdr:nvCxnSpPr>
      <xdr:spPr>
        <a:xfrm flipH="1" flipV="1">
          <a:off x="2200010" y="3875405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936" name="Straight Arrow Connector 935">
          <a:extLst>
            <a:ext uri="{FF2B5EF4-FFF2-40B4-BE49-F238E27FC236}">
              <a16:creationId xmlns:a16="http://schemas.microsoft.com/office/drawing/2014/main" id="{8B95C4A6-5CEA-434C-9519-1AF6A791763B}"/>
            </a:ext>
          </a:extLst>
        </xdr:cNvPr>
        <xdr:cNvCxnSpPr/>
      </xdr:nvCxnSpPr>
      <xdr:spPr>
        <a:xfrm flipH="1" flipV="1">
          <a:off x="3631406" y="38882637"/>
          <a:ext cx="11906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937" name="Lightning Bolt 936">
          <a:extLst>
            <a:ext uri="{FF2B5EF4-FFF2-40B4-BE49-F238E27FC236}">
              <a16:creationId xmlns:a16="http://schemas.microsoft.com/office/drawing/2014/main" id="{805C196B-9C50-4298-9F28-26060ACA3BF6}"/>
            </a:ext>
          </a:extLst>
        </xdr:cNvPr>
        <xdr:cNvSpPr/>
      </xdr:nvSpPr>
      <xdr:spPr>
        <a:xfrm rot="2857557">
          <a:off x="5333561" y="38824512"/>
          <a:ext cx="162007" cy="3123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938" name="Lightning Bolt 937">
          <a:extLst>
            <a:ext uri="{FF2B5EF4-FFF2-40B4-BE49-F238E27FC236}">
              <a16:creationId xmlns:a16="http://schemas.microsoft.com/office/drawing/2014/main" id="{6EACEBFA-86FD-46D3-9066-F2161B6211A0}"/>
            </a:ext>
          </a:extLst>
        </xdr:cNvPr>
        <xdr:cNvSpPr/>
      </xdr:nvSpPr>
      <xdr:spPr>
        <a:xfrm rot="2857557">
          <a:off x="5350981" y="38480853"/>
          <a:ext cx="170030" cy="2868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939" name="Arrow: Up 1004">
          <a:extLst>
            <a:ext uri="{FF2B5EF4-FFF2-40B4-BE49-F238E27FC236}">
              <a16:creationId xmlns:a16="http://schemas.microsoft.com/office/drawing/2014/main" id="{C3D6FA42-4547-448C-8066-1609DB48F604}"/>
            </a:ext>
          </a:extLst>
        </xdr:cNvPr>
        <xdr:cNvSpPr/>
      </xdr:nvSpPr>
      <xdr:spPr>
        <a:xfrm>
          <a:off x="5350671" y="3773011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940" name="Arrow: Up 1005">
          <a:extLst>
            <a:ext uri="{FF2B5EF4-FFF2-40B4-BE49-F238E27FC236}">
              <a16:creationId xmlns:a16="http://schemas.microsoft.com/office/drawing/2014/main" id="{1B9817F9-F45B-404D-9737-695AC9C02C64}"/>
            </a:ext>
          </a:extLst>
        </xdr:cNvPr>
        <xdr:cNvSpPr/>
      </xdr:nvSpPr>
      <xdr:spPr>
        <a:xfrm>
          <a:off x="5350670" y="3734990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941" name="Arrow: Up-Down 1006">
          <a:extLst>
            <a:ext uri="{FF2B5EF4-FFF2-40B4-BE49-F238E27FC236}">
              <a16:creationId xmlns:a16="http://schemas.microsoft.com/office/drawing/2014/main" id="{81BCAC7D-B1E8-4D6E-BE8F-C1E267EB7444}"/>
            </a:ext>
          </a:extLst>
        </xdr:cNvPr>
        <xdr:cNvSpPr/>
      </xdr:nvSpPr>
      <xdr:spPr>
        <a:xfrm>
          <a:off x="5362574" y="3807459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942" name="Picture 95405" descr="LADDER">
          <a:extLst>
            <a:ext uri="{FF2B5EF4-FFF2-40B4-BE49-F238E27FC236}">
              <a16:creationId xmlns:a16="http://schemas.microsoft.com/office/drawing/2014/main" id="{8B4950D2-CF00-4770-AD6F-D731B7C96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688930" y="3818175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943" name="Picture 942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334CCFE-6C92-4792-88FD-5136A789EA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677023" y="3741994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944" name="Arrow: Up 1009">
          <a:extLst>
            <a:ext uri="{FF2B5EF4-FFF2-40B4-BE49-F238E27FC236}">
              <a16:creationId xmlns:a16="http://schemas.microsoft.com/office/drawing/2014/main" id="{49486DC4-2996-4336-AEAA-936E3351D83E}"/>
            </a:ext>
          </a:extLst>
        </xdr:cNvPr>
        <xdr:cNvSpPr/>
      </xdr:nvSpPr>
      <xdr:spPr>
        <a:xfrm>
          <a:off x="2236210" y="2466182"/>
          <a:ext cx="171016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945" name="Arrow: Up 1010">
          <a:extLst>
            <a:ext uri="{FF2B5EF4-FFF2-40B4-BE49-F238E27FC236}">
              <a16:creationId xmlns:a16="http://schemas.microsoft.com/office/drawing/2014/main" id="{834BA79E-4299-400A-9678-9509C1571DEC}"/>
            </a:ext>
          </a:extLst>
        </xdr:cNvPr>
        <xdr:cNvSpPr/>
      </xdr:nvSpPr>
      <xdr:spPr>
        <a:xfrm>
          <a:off x="4369881" y="2456439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946" name="Arrow: Up 1011">
          <a:extLst>
            <a:ext uri="{FF2B5EF4-FFF2-40B4-BE49-F238E27FC236}">
              <a16:creationId xmlns:a16="http://schemas.microsoft.com/office/drawing/2014/main" id="{18744D4C-1E14-41DC-9E95-EB957689D41F}"/>
            </a:ext>
          </a:extLst>
        </xdr:cNvPr>
        <xdr:cNvSpPr/>
      </xdr:nvSpPr>
      <xdr:spPr>
        <a:xfrm>
          <a:off x="1414463" y="39512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947" name="Arrow: Up 1012">
          <a:extLst>
            <a:ext uri="{FF2B5EF4-FFF2-40B4-BE49-F238E27FC236}">
              <a16:creationId xmlns:a16="http://schemas.microsoft.com/office/drawing/2014/main" id="{BB2A4DA9-703B-417B-9EB3-991967C01CE8}"/>
            </a:ext>
          </a:extLst>
        </xdr:cNvPr>
        <xdr:cNvSpPr/>
      </xdr:nvSpPr>
      <xdr:spPr>
        <a:xfrm>
          <a:off x="8144669" y="39512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948" name="Arrow: Up 1013">
          <a:extLst>
            <a:ext uri="{FF2B5EF4-FFF2-40B4-BE49-F238E27FC236}">
              <a16:creationId xmlns:a16="http://schemas.microsoft.com/office/drawing/2014/main" id="{8AE9E61D-0331-4CD3-84A7-D2A4636E21BA}"/>
            </a:ext>
          </a:extLst>
        </xdr:cNvPr>
        <xdr:cNvSpPr/>
      </xdr:nvSpPr>
      <xdr:spPr>
        <a:xfrm>
          <a:off x="1319213" y="5424487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949" name="Arrow: Up 1014">
          <a:extLst>
            <a:ext uri="{FF2B5EF4-FFF2-40B4-BE49-F238E27FC236}">
              <a16:creationId xmlns:a16="http://schemas.microsoft.com/office/drawing/2014/main" id="{7BF70049-BC95-4E44-B004-C9738FE51A8D}"/>
            </a:ext>
          </a:extLst>
        </xdr:cNvPr>
        <xdr:cNvSpPr/>
      </xdr:nvSpPr>
      <xdr:spPr>
        <a:xfrm>
          <a:off x="6323662" y="5424488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950" name="Arrow: Up 1015">
          <a:extLst>
            <a:ext uri="{FF2B5EF4-FFF2-40B4-BE49-F238E27FC236}">
              <a16:creationId xmlns:a16="http://schemas.microsoft.com/office/drawing/2014/main" id="{ECC54869-46D7-44D9-8F0E-7632BEDC4A9C}"/>
            </a:ext>
          </a:extLst>
        </xdr:cNvPr>
        <xdr:cNvSpPr/>
      </xdr:nvSpPr>
      <xdr:spPr>
        <a:xfrm>
          <a:off x="8187965" y="5403923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951" name="Arrow: Up 1016">
          <a:extLst>
            <a:ext uri="{FF2B5EF4-FFF2-40B4-BE49-F238E27FC236}">
              <a16:creationId xmlns:a16="http://schemas.microsoft.com/office/drawing/2014/main" id="{D2DF84E0-2417-4C78-A4CD-4FA7D74D07F7}"/>
            </a:ext>
          </a:extLst>
        </xdr:cNvPr>
        <xdr:cNvSpPr/>
      </xdr:nvSpPr>
      <xdr:spPr>
        <a:xfrm>
          <a:off x="10313337" y="688239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952" name="Arrow: Up 1017">
          <a:extLst>
            <a:ext uri="{FF2B5EF4-FFF2-40B4-BE49-F238E27FC236}">
              <a16:creationId xmlns:a16="http://schemas.microsoft.com/office/drawing/2014/main" id="{D0FE32A8-51BA-4E51-82F7-BCCC2249EFB9}"/>
            </a:ext>
          </a:extLst>
        </xdr:cNvPr>
        <xdr:cNvSpPr/>
      </xdr:nvSpPr>
      <xdr:spPr>
        <a:xfrm>
          <a:off x="12380119" y="83772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953" name="Arrow: Up 1018">
          <a:extLst>
            <a:ext uri="{FF2B5EF4-FFF2-40B4-BE49-F238E27FC236}">
              <a16:creationId xmlns:a16="http://schemas.microsoft.com/office/drawing/2014/main" id="{7C182D4F-3D40-45F4-A090-6C7F3664CAD5}"/>
            </a:ext>
          </a:extLst>
        </xdr:cNvPr>
        <xdr:cNvSpPr/>
      </xdr:nvSpPr>
      <xdr:spPr>
        <a:xfrm>
          <a:off x="13230225" y="83772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954" name="Arrow: Up 1019">
          <a:extLst>
            <a:ext uri="{FF2B5EF4-FFF2-40B4-BE49-F238E27FC236}">
              <a16:creationId xmlns:a16="http://schemas.microsoft.com/office/drawing/2014/main" id="{764E041F-D8C6-4EBE-A3F3-8C08AB55A319}"/>
            </a:ext>
          </a:extLst>
        </xdr:cNvPr>
        <xdr:cNvSpPr/>
      </xdr:nvSpPr>
      <xdr:spPr>
        <a:xfrm>
          <a:off x="11234954" y="838806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70858</xdr:colOff>
      <xdr:row>43</xdr:row>
      <xdr:rowOff>155072</xdr:rowOff>
    </xdr:from>
    <xdr:to>
      <xdr:col>42</xdr:col>
      <xdr:colOff>213733</xdr:colOff>
      <xdr:row>45</xdr:row>
      <xdr:rowOff>176333</xdr:rowOff>
    </xdr:to>
    <xdr:sp macro="" textlink="">
      <xdr:nvSpPr>
        <xdr:cNvPr id="955" name="Arrow: Up 1020">
          <a:extLst>
            <a:ext uri="{FF2B5EF4-FFF2-40B4-BE49-F238E27FC236}">
              <a16:creationId xmlns:a16="http://schemas.microsoft.com/office/drawing/2014/main" id="{DAB3FA75-6D4A-4238-A0DB-697D51EC0127}"/>
            </a:ext>
          </a:extLst>
        </xdr:cNvPr>
        <xdr:cNvSpPr/>
      </xdr:nvSpPr>
      <xdr:spPr>
        <a:xfrm>
          <a:off x="14294858" y="8365622"/>
          <a:ext cx="142875" cy="38956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956" name="Arrow: Up 1021">
          <a:extLst>
            <a:ext uri="{FF2B5EF4-FFF2-40B4-BE49-F238E27FC236}">
              <a16:creationId xmlns:a16="http://schemas.microsoft.com/office/drawing/2014/main" id="{65068BDA-D4A5-4734-883E-5801498AF4EE}"/>
            </a:ext>
          </a:extLst>
        </xdr:cNvPr>
        <xdr:cNvSpPr/>
      </xdr:nvSpPr>
      <xdr:spPr>
        <a:xfrm>
          <a:off x="3401941" y="9828791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957" name="Arrow: Up 1022">
          <a:extLst>
            <a:ext uri="{FF2B5EF4-FFF2-40B4-BE49-F238E27FC236}">
              <a16:creationId xmlns:a16="http://schemas.microsoft.com/office/drawing/2014/main" id="{C432F943-6103-4E74-AE91-69355295AC93}"/>
            </a:ext>
          </a:extLst>
        </xdr:cNvPr>
        <xdr:cNvSpPr/>
      </xdr:nvSpPr>
      <xdr:spPr>
        <a:xfrm>
          <a:off x="7202272" y="9817967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958" name="Arrow: Up 1023">
          <a:extLst>
            <a:ext uri="{FF2B5EF4-FFF2-40B4-BE49-F238E27FC236}">
              <a16:creationId xmlns:a16="http://schemas.microsoft.com/office/drawing/2014/main" id="{86532731-5B16-4288-BC20-38CE3956AAF9}"/>
            </a:ext>
          </a:extLst>
        </xdr:cNvPr>
        <xdr:cNvSpPr/>
      </xdr:nvSpPr>
      <xdr:spPr>
        <a:xfrm>
          <a:off x="9261475" y="113299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959" name="Arrow: Up 1024">
          <a:extLst>
            <a:ext uri="{FF2B5EF4-FFF2-40B4-BE49-F238E27FC236}">
              <a16:creationId xmlns:a16="http://schemas.microsoft.com/office/drawing/2014/main" id="{E6B3BD2F-FCDA-45B5-BBF4-C62D24001D00}"/>
            </a:ext>
          </a:extLst>
        </xdr:cNvPr>
        <xdr:cNvSpPr/>
      </xdr:nvSpPr>
      <xdr:spPr>
        <a:xfrm>
          <a:off x="11181917" y="1130834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212571</xdr:colOff>
      <xdr:row>59</xdr:row>
      <xdr:rowOff>154781</xdr:rowOff>
    </xdr:from>
    <xdr:to>
      <xdr:col>42</xdr:col>
      <xdr:colOff>383324</xdr:colOff>
      <xdr:row>61</xdr:row>
      <xdr:rowOff>180689</xdr:rowOff>
    </xdr:to>
    <xdr:sp macro="" textlink="">
      <xdr:nvSpPr>
        <xdr:cNvPr id="960" name="Arrow: Up 1025">
          <a:extLst>
            <a:ext uri="{FF2B5EF4-FFF2-40B4-BE49-F238E27FC236}">
              <a16:creationId xmlns:a16="http://schemas.microsoft.com/office/drawing/2014/main" id="{2309E05C-1DA4-484D-B731-5E25E39CEF77}"/>
            </a:ext>
          </a:extLst>
        </xdr:cNvPr>
        <xdr:cNvSpPr/>
      </xdr:nvSpPr>
      <xdr:spPr>
        <a:xfrm>
          <a:off x="14436571" y="11318081"/>
          <a:ext cx="170753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961" name="Arrow: Up 1026">
          <a:extLst>
            <a:ext uri="{FF2B5EF4-FFF2-40B4-BE49-F238E27FC236}">
              <a16:creationId xmlns:a16="http://schemas.microsoft.com/office/drawing/2014/main" id="{C42781E6-9E49-4DFB-9976-D13E06BD8910}"/>
            </a:ext>
          </a:extLst>
        </xdr:cNvPr>
        <xdr:cNvSpPr/>
      </xdr:nvSpPr>
      <xdr:spPr>
        <a:xfrm>
          <a:off x="3369469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962" name="Arrow: Up 1027">
          <a:extLst>
            <a:ext uri="{FF2B5EF4-FFF2-40B4-BE49-F238E27FC236}">
              <a16:creationId xmlns:a16="http://schemas.microsoft.com/office/drawing/2014/main" id="{0C2776C1-B640-4BC5-817C-D045316AAA8A}"/>
            </a:ext>
          </a:extLst>
        </xdr:cNvPr>
        <xdr:cNvSpPr/>
      </xdr:nvSpPr>
      <xdr:spPr>
        <a:xfrm>
          <a:off x="4409930" y="1281401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963" name="Arrow: Up 1028">
          <a:extLst>
            <a:ext uri="{FF2B5EF4-FFF2-40B4-BE49-F238E27FC236}">
              <a16:creationId xmlns:a16="http://schemas.microsoft.com/office/drawing/2014/main" id="{B68E5685-941F-455D-BA39-4570A118B2ED}"/>
            </a:ext>
          </a:extLst>
        </xdr:cNvPr>
        <xdr:cNvSpPr/>
      </xdr:nvSpPr>
      <xdr:spPr>
        <a:xfrm>
          <a:off x="5362575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964" name="Arrow: Up 1029">
          <a:extLst>
            <a:ext uri="{FF2B5EF4-FFF2-40B4-BE49-F238E27FC236}">
              <a16:creationId xmlns:a16="http://schemas.microsoft.com/office/drawing/2014/main" id="{7AFB6F89-EB3E-4929-A044-9C351B4A74C1}"/>
            </a:ext>
          </a:extLst>
        </xdr:cNvPr>
        <xdr:cNvSpPr/>
      </xdr:nvSpPr>
      <xdr:spPr>
        <a:xfrm>
          <a:off x="6270625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965" name="Arrow: Up 1030">
          <a:extLst>
            <a:ext uri="{FF2B5EF4-FFF2-40B4-BE49-F238E27FC236}">
              <a16:creationId xmlns:a16="http://schemas.microsoft.com/office/drawing/2014/main" id="{5FD4F612-DA57-42DE-BC62-077FE7CF7408}"/>
            </a:ext>
          </a:extLst>
        </xdr:cNvPr>
        <xdr:cNvSpPr/>
      </xdr:nvSpPr>
      <xdr:spPr>
        <a:xfrm>
          <a:off x="8144669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966" name="Arrow: Up 1031">
          <a:extLst>
            <a:ext uri="{FF2B5EF4-FFF2-40B4-BE49-F238E27FC236}">
              <a16:creationId xmlns:a16="http://schemas.microsoft.com/office/drawing/2014/main" id="{69860E6F-0311-4497-B065-38B97F77EBBB}"/>
            </a:ext>
          </a:extLst>
        </xdr:cNvPr>
        <xdr:cNvSpPr/>
      </xdr:nvSpPr>
      <xdr:spPr>
        <a:xfrm>
          <a:off x="10314420" y="128031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72891</xdr:colOff>
      <xdr:row>67</xdr:row>
      <xdr:rowOff>178304</xdr:rowOff>
    </xdr:from>
    <xdr:to>
      <xdr:col>42</xdr:col>
      <xdr:colOff>215766</xdr:colOff>
      <xdr:row>70</xdr:row>
      <xdr:rowOff>13712</xdr:rowOff>
    </xdr:to>
    <xdr:sp macro="" textlink="">
      <xdr:nvSpPr>
        <xdr:cNvPr id="967" name="Arrow: Up 1032">
          <a:extLst>
            <a:ext uri="{FF2B5EF4-FFF2-40B4-BE49-F238E27FC236}">
              <a16:creationId xmlns:a16="http://schemas.microsoft.com/office/drawing/2014/main" id="{5BD24A8B-38BB-4F33-9326-9FB0483B3C3C}"/>
            </a:ext>
          </a:extLst>
        </xdr:cNvPr>
        <xdr:cNvSpPr/>
      </xdr:nvSpPr>
      <xdr:spPr>
        <a:xfrm>
          <a:off x="14296891" y="1281480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968" name="Arrow: Up 1033">
          <a:extLst>
            <a:ext uri="{FF2B5EF4-FFF2-40B4-BE49-F238E27FC236}">
              <a16:creationId xmlns:a16="http://schemas.microsoft.com/office/drawing/2014/main" id="{E3B85849-4E7E-436F-A7FF-3CCAC88045A6}"/>
            </a:ext>
          </a:extLst>
        </xdr:cNvPr>
        <xdr:cNvSpPr/>
      </xdr:nvSpPr>
      <xdr:spPr>
        <a:xfrm>
          <a:off x="2375838" y="1428721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969" name="Arrow: Up 1034">
          <a:extLst>
            <a:ext uri="{FF2B5EF4-FFF2-40B4-BE49-F238E27FC236}">
              <a16:creationId xmlns:a16="http://schemas.microsoft.com/office/drawing/2014/main" id="{1435CF6C-74DA-4A49-8666-562DE88D98EB}"/>
            </a:ext>
          </a:extLst>
        </xdr:cNvPr>
        <xdr:cNvSpPr/>
      </xdr:nvSpPr>
      <xdr:spPr>
        <a:xfrm>
          <a:off x="3467966" y="14254740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970" name="Arrow: Up 1035">
          <a:extLst>
            <a:ext uri="{FF2B5EF4-FFF2-40B4-BE49-F238E27FC236}">
              <a16:creationId xmlns:a16="http://schemas.microsoft.com/office/drawing/2014/main" id="{08D91DE4-F183-4F1B-8BE3-8BF8A0211939}"/>
            </a:ext>
          </a:extLst>
        </xdr:cNvPr>
        <xdr:cNvSpPr/>
      </xdr:nvSpPr>
      <xdr:spPr>
        <a:xfrm>
          <a:off x="7199024" y="14276387"/>
          <a:ext cx="133350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971" name="Arrow: Up 1036">
          <a:extLst>
            <a:ext uri="{FF2B5EF4-FFF2-40B4-BE49-F238E27FC236}">
              <a16:creationId xmlns:a16="http://schemas.microsoft.com/office/drawing/2014/main" id="{CE1F3968-6B66-4C2B-B119-C731F82D7BAB}"/>
            </a:ext>
          </a:extLst>
        </xdr:cNvPr>
        <xdr:cNvSpPr/>
      </xdr:nvSpPr>
      <xdr:spPr>
        <a:xfrm>
          <a:off x="10336068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972" name="Arrow: Up 1037">
          <a:extLst>
            <a:ext uri="{FF2B5EF4-FFF2-40B4-BE49-F238E27FC236}">
              <a16:creationId xmlns:a16="http://schemas.microsoft.com/office/drawing/2014/main" id="{28E8D7B8-1E47-4773-B14E-67776324CDD2}"/>
            </a:ext>
          </a:extLst>
        </xdr:cNvPr>
        <xdr:cNvSpPr/>
      </xdr:nvSpPr>
      <xdr:spPr>
        <a:xfrm>
          <a:off x="13237802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973" name="Arrow: Up 1038">
          <a:extLst>
            <a:ext uri="{FF2B5EF4-FFF2-40B4-BE49-F238E27FC236}">
              <a16:creationId xmlns:a16="http://schemas.microsoft.com/office/drawing/2014/main" id="{54885523-78D8-46E4-AF5D-2CEBC5C75DB1}"/>
            </a:ext>
          </a:extLst>
        </xdr:cNvPr>
        <xdr:cNvSpPr/>
      </xdr:nvSpPr>
      <xdr:spPr>
        <a:xfrm>
          <a:off x="1428532" y="15755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974" name="Arrow: Up 1039">
          <a:extLst>
            <a:ext uri="{FF2B5EF4-FFF2-40B4-BE49-F238E27FC236}">
              <a16:creationId xmlns:a16="http://schemas.microsoft.com/office/drawing/2014/main" id="{7E986098-77D2-469E-9E24-A1100C37FC23}"/>
            </a:ext>
          </a:extLst>
        </xdr:cNvPr>
        <xdr:cNvSpPr/>
      </xdr:nvSpPr>
      <xdr:spPr>
        <a:xfrm>
          <a:off x="5255418" y="15755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975" name="Arrow: Up 1040">
          <a:extLst>
            <a:ext uri="{FF2B5EF4-FFF2-40B4-BE49-F238E27FC236}">
              <a16:creationId xmlns:a16="http://schemas.microsoft.com/office/drawing/2014/main" id="{A086209D-9CE6-4DE3-A0FE-90DCF0CF75DA}"/>
            </a:ext>
          </a:extLst>
        </xdr:cNvPr>
        <xdr:cNvSpPr/>
      </xdr:nvSpPr>
      <xdr:spPr>
        <a:xfrm>
          <a:off x="8049418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976" name="Arrow: Up 1041">
          <a:extLst>
            <a:ext uri="{FF2B5EF4-FFF2-40B4-BE49-F238E27FC236}">
              <a16:creationId xmlns:a16="http://schemas.microsoft.com/office/drawing/2014/main" id="{6E392754-BF30-4087-B0A8-8CE61D786ADD}"/>
            </a:ext>
          </a:extLst>
        </xdr:cNvPr>
        <xdr:cNvSpPr/>
      </xdr:nvSpPr>
      <xdr:spPr>
        <a:xfrm>
          <a:off x="8216106" y="17229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977" name="Arrow: Up 1042">
          <a:extLst>
            <a:ext uri="{FF2B5EF4-FFF2-40B4-BE49-F238E27FC236}">
              <a16:creationId xmlns:a16="http://schemas.microsoft.com/office/drawing/2014/main" id="{AD1569E8-9FD8-4FDC-A473-ABAFDB8E3CDE}"/>
            </a:ext>
          </a:extLst>
        </xdr:cNvPr>
        <xdr:cNvSpPr/>
      </xdr:nvSpPr>
      <xdr:spPr>
        <a:xfrm>
          <a:off x="13325475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978" name="Arrow: Up 1043">
          <a:extLst>
            <a:ext uri="{FF2B5EF4-FFF2-40B4-BE49-F238E27FC236}">
              <a16:creationId xmlns:a16="http://schemas.microsoft.com/office/drawing/2014/main" id="{1709C992-1B38-4661-8256-33000B62F626}"/>
            </a:ext>
          </a:extLst>
        </xdr:cNvPr>
        <xdr:cNvSpPr/>
      </xdr:nvSpPr>
      <xdr:spPr>
        <a:xfrm>
          <a:off x="3369469" y="1871316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979" name="Arrow: Up 1044">
          <a:extLst>
            <a:ext uri="{FF2B5EF4-FFF2-40B4-BE49-F238E27FC236}">
              <a16:creationId xmlns:a16="http://schemas.microsoft.com/office/drawing/2014/main" id="{6A6C3E0C-ABD9-453D-ADE9-C79E46E2D4DF}"/>
            </a:ext>
          </a:extLst>
        </xdr:cNvPr>
        <xdr:cNvSpPr/>
      </xdr:nvSpPr>
      <xdr:spPr>
        <a:xfrm>
          <a:off x="1275917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980" name="Isosceles Triangle 979">
          <a:extLst>
            <a:ext uri="{FF2B5EF4-FFF2-40B4-BE49-F238E27FC236}">
              <a16:creationId xmlns:a16="http://schemas.microsoft.com/office/drawing/2014/main" id="{827F01B8-3682-4A49-BA2F-19E305CE0C17}"/>
            </a:ext>
          </a:extLst>
        </xdr:cNvPr>
        <xdr:cNvSpPr/>
      </xdr:nvSpPr>
      <xdr:spPr>
        <a:xfrm>
          <a:off x="85598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981" name="Isosceles Triangle 980">
          <a:extLst>
            <a:ext uri="{FF2B5EF4-FFF2-40B4-BE49-F238E27FC236}">
              <a16:creationId xmlns:a16="http://schemas.microsoft.com/office/drawing/2014/main" id="{CCB395E4-DE6F-42FA-A2F1-EA9A8C9D2E8C}"/>
            </a:ext>
          </a:extLst>
        </xdr:cNvPr>
        <xdr:cNvSpPr/>
      </xdr:nvSpPr>
      <xdr:spPr>
        <a:xfrm>
          <a:off x="959485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982" name="Isosceles Triangle 981">
          <a:extLst>
            <a:ext uri="{FF2B5EF4-FFF2-40B4-BE49-F238E27FC236}">
              <a16:creationId xmlns:a16="http://schemas.microsoft.com/office/drawing/2014/main" id="{3C1C7E0E-1C63-4192-B0F2-A6D683F451F6}"/>
            </a:ext>
          </a:extLst>
        </xdr:cNvPr>
        <xdr:cNvSpPr/>
      </xdr:nvSpPr>
      <xdr:spPr>
        <a:xfrm>
          <a:off x="10560050" y="19824700"/>
          <a:ext cx="5358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936FFBBD-69AA-44AF-9485-51C64F89FE1D}"/>
            </a:ext>
          </a:extLst>
        </xdr:cNvPr>
        <xdr:cNvSpPr/>
      </xdr:nvSpPr>
      <xdr:spPr>
        <a:xfrm>
          <a:off x="117030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984" name="Isosceles Triangle 983">
          <a:extLst>
            <a:ext uri="{FF2B5EF4-FFF2-40B4-BE49-F238E27FC236}">
              <a16:creationId xmlns:a16="http://schemas.microsoft.com/office/drawing/2014/main" id="{E8CDEE2A-9908-4933-8A94-C7AE9067D4C1}"/>
            </a:ext>
          </a:extLst>
        </xdr:cNvPr>
        <xdr:cNvSpPr/>
      </xdr:nvSpPr>
      <xdr:spPr>
        <a:xfrm>
          <a:off x="12655550" y="198247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6776ECA5-3CCD-4FC9-B4FE-137AC7B3A219}"/>
            </a:ext>
          </a:extLst>
        </xdr:cNvPr>
        <xdr:cNvSpPr/>
      </xdr:nvSpPr>
      <xdr:spPr>
        <a:xfrm>
          <a:off x="1370330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986" name="Isosceles Triangle 985">
          <a:extLst>
            <a:ext uri="{FF2B5EF4-FFF2-40B4-BE49-F238E27FC236}">
              <a16:creationId xmlns:a16="http://schemas.microsoft.com/office/drawing/2014/main" id="{FD806BDB-316B-4998-9010-CAD0E61C04C3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987" name="Arrow: Up 1052">
          <a:extLst>
            <a:ext uri="{FF2B5EF4-FFF2-40B4-BE49-F238E27FC236}">
              <a16:creationId xmlns:a16="http://schemas.microsoft.com/office/drawing/2014/main" id="{428B00B0-6F8D-4186-856F-E21BED4450CB}"/>
            </a:ext>
          </a:extLst>
        </xdr:cNvPr>
        <xdr:cNvSpPr/>
      </xdr:nvSpPr>
      <xdr:spPr>
        <a:xfrm>
          <a:off x="10247312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988" name="Arrow: Up 1053">
          <a:extLst>
            <a:ext uri="{FF2B5EF4-FFF2-40B4-BE49-F238E27FC236}">
              <a16:creationId xmlns:a16="http://schemas.microsoft.com/office/drawing/2014/main" id="{FD5B6F4B-D3FB-4805-AA19-40B5540014FA}"/>
            </a:ext>
          </a:extLst>
        </xdr:cNvPr>
        <xdr:cNvSpPr/>
      </xdr:nvSpPr>
      <xdr:spPr>
        <a:xfrm>
          <a:off x="11141869" y="1870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119064</xdr:colOff>
      <xdr:row>99</xdr:row>
      <xdr:rowOff>166687</xdr:rowOff>
    </xdr:from>
    <xdr:to>
      <xdr:col>42</xdr:col>
      <xdr:colOff>302013</xdr:colOff>
      <xdr:row>102</xdr:row>
      <xdr:rowOff>2095</xdr:rowOff>
    </xdr:to>
    <xdr:sp macro="" textlink="">
      <xdr:nvSpPr>
        <xdr:cNvPr id="989" name="Arrow: Up 1054">
          <a:extLst>
            <a:ext uri="{FF2B5EF4-FFF2-40B4-BE49-F238E27FC236}">
              <a16:creationId xmlns:a16="http://schemas.microsoft.com/office/drawing/2014/main" id="{1E45E370-0331-44C5-AAD8-C6BC10440E90}"/>
            </a:ext>
          </a:extLst>
        </xdr:cNvPr>
        <xdr:cNvSpPr/>
      </xdr:nvSpPr>
      <xdr:spPr>
        <a:xfrm>
          <a:off x="14343064" y="18702337"/>
          <a:ext cx="182949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990" name="Arrow: Up 1055">
          <a:extLst>
            <a:ext uri="{FF2B5EF4-FFF2-40B4-BE49-F238E27FC236}">
              <a16:creationId xmlns:a16="http://schemas.microsoft.com/office/drawing/2014/main" id="{C5A74B30-FC6A-41A3-9E10-92F75CDD4A33}"/>
            </a:ext>
          </a:extLst>
        </xdr:cNvPr>
        <xdr:cNvSpPr/>
      </xdr:nvSpPr>
      <xdr:spPr>
        <a:xfrm>
          <a:off x="1244527" y="2019083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991" name="Picture 990">
          <a:extLst>
            <a:ext uri="{FF2B5EF4-FFF2-40B4-BE49-F238E27FC236}">
              <a16:creationId xmlns:a16="http://schemas.microsoft.com/office/drawing/2014/main" id="{7BB045A8-3CEE-4366-8E73-B9F57262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9800" y="18167350"/>
          <a:ext cx="569295" cy="197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992" name="Picture 991">
          <a:extLst>
            <a:ext uri="{FF2B5EF4-FFF2-40B4-BE49-F238E27FC236}">
              <a16:creationId xmlns:a16="http://schemas.microsoft.com/office/drawing/2014/main" id="{38E0CFDD-BF8C-46B7-8827-86ECEA00A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4850" y="181673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993" name="Isosceles Triangle 992">
          <a:extLst>
            <a:ext uri="{FF2B5EF4-FFF2-40B4-BE49-F238E27FC236}">
              <a16:creationId xmlns:a16="http://schemas.microsoft.com/office/drawing/2014/main" id="{972474C7-9867-49B0-A39C-706061DD6984}"/>
            </a:ext>
          </a:extLst>
        </xdr:cNvPr>
        <xdr:cNvSpPr/>
      </xdr:nvSpPr>
      <xdr:spPr>
        <a:xfrm>
          <a:off x="7457831" y="10986476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994" name="Isosceles Triangle 993">
          <a:extLst>
            <a:ext uri="{FF2B5EF4-FFF2-40B4-BE49-F238E27FC236}">
              <a16:creationId xmlns:a16="http://schemas.microsoft.com/office/drawing/2014/main" id="{BEAF46C3-5576-4D74-AC85-CF7ECD4010CB}"/>
            </a:ext>
          </a:extLst>
        </xdr:cNvPr>
        <xdr:cNvSpPr/>
      </xdr:nvSpPr>
      <xdr:spPr>
        <a:xfrm>
          <a:off x="8559800" y="109791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995" name="Isosceles Triangle 994">
          <a:extLst>
            <a:ext uri="{FF2B5EF4-FFF2-40B4-BE49-F238E27FC236}">
              <a16:creationId xmlns:a16="http://schemas.microsoft.com/office/drawing/2014/main" id="{CED3C376-C689-44C2-B55C-B9EEFB457E29}"/>
            </a:ext>
          </a:extLst>
        </xdr:cNvPr>
        <xdr:cNvSpPr/>
      </xdr:nvSpPr>
      <xdr:spPr>
        <a:xfrm>
          <a:off x="11715262" y="12450884"/>
          <a:ext cx="533888" cy="363091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996" name="Isosceles Triangle 995">
          <a:extLst>
            <a:ext uri="{FF2B5EF4-FFF2-40B4-BE49-F238E27FC236}">
              <a16:creationId xmlns:a16="http://schemas.microsoft.com/office/drawing/2014/main" id="{4841042F-098C-49D8-B2F8-B0F8CA293382}"/>
            </a:ext>
          </a:extLst>
        </xdr:cNvPr>
        <xdr:cNvSpPr/>
      </xdr:nvSpPr>
      <xdr:spPr>
        <a:xfrm>
          <a:off x="105600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id="{3FFBC771-0D21-42D4-9316-D173FC615B4E}"/>
            </a:ext>
          </a:extLst>
        </xdr:cNvPr>
        <xdr:cNvSpPr/>
      </xdr:nvSpPr>
      <xdr:spPr>
        <a:xfrm>
          <a:off x="641350" y="13935541"/>
          <a:ext cx="538037" cy="35179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id="{93E38DA3-AA49-47FF-A3C8-9A85DD78E760}"/>
            </a:ext>
          </a:extLst>
        </xdr:cNvPr>
        <xdr:cNvSpPr/>
      </xdr:nvSpPr>
      <xdr:spPr>
        <a:xfrm>
          <a:off x="13703300" y="124523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999" name="Isosceles Triangle 998">
          <a:extLst>
            <a:ext uri="{FF2B5EF4-FFF2-40B4-BE49-F238E27FC236}">
              <a16:creationId xmlns:a16="http://schemas.microsoft.com/office/drawing/2014/main" id="{8DC6E3E7-1CFA-471F-AF30-9A3E8AA6D686}"/>
            </a:ext>
          </a:extLst>
        </xdr:cNvPr>
        <xdr:cNvSpPr/>
      </xdr:nvSpPr>
      <xdr:spPr>
        <a:xfrm>
          <a:off x="12655550" y="12452350"/>
          <a:ext cx="529492" cy="37115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id="{C497F140-36A8-4F20-B12B-E3778D625DAC}"/>
            </a:ext>
          </a:extLst>
        </xdr:cNvPr>
        <xdr:cNvSpPr/>
      </xdr:nvSpPr>
      <xdr:spPr>
        <a:xfrm>
          <a:off x="1631950" y="13925550"/>
          <a:ext cx="5485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id="{A274619B-E4A5-44A1-A91A-AF7E1145311F}"/>
            </a:ext>
          </a:extLst>
        </xdr:cNvPr>
        <xdr:cNvSpPr/>
      </xdr:nvSpPr>
      <xdr:spPr>
        <a:xfrm>
          <a:off x="4660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1002" name="Isosceles Triangle 1001">
          <a:extLst>
            <a:ext uri="{FF2B5EF4-FFF2-40B4-BE49-F238E27FC236}">
              <a16:creationId xmlns:a16="http://schemas.microsoft.com/office/drawing/2014/main" id="{030B366C-09D3-41BB-ADBE-C69749033E22}"/>
            </a:ext>
          </a:extLst>
        </xdr:cNvPr>
        <xdr:cNvSpPr/>
      </xdr:nvSpPr>
      <xdr:spPr>
        <a:xfrm>
          <a:off x="26797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id="{D1E88C4A-FE96-4289-B821-A8D234901482}"/>
            </a:ext>
          </a:extLst>
        </xdr:cNvPr>
        <xdr:cNvSpPr/>
      </xdr:nvSpPr>
      <xdr:spPr>
        <a:xfrm>
          <a:off x="7454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id="{514F1389-0B5E-452B-820C-82A2A2C890BA}"/>
            </a:ext>
          </a:extLst>
        </xdr:cNvPr>
        <xdr:cNvSpPr/>
      </xdr:nvSpPr>
      <xdr:spPr>
        <a:xfrm>
          <a:off x="85598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1005" name="Isosceles Triangle 1004">
          <a:extLst>
            <a:ext uri="{FF2B5EF4-FFF2-40B4-BE49-F238E27FC236}">
              <a16:creationId xmlns:a16="http://schemas.microsoft.com/office/drawing/2014/main" id="{D8652177-FA62-46FA-9FE9-00115AD6A2ED}"/>
            </a:ext>
          </a:extLst>
        </xdr:cNvPr>
        <xdr:cNvSpPr/>
      </xdr:nvSpPr>
      <xdr:spPr>
        <a:xfrm>
          <a:off x="9594850" y="1392555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id="{977BF3B3-F30A-4B98-8FDE-7DC03B1E4A01}"/>
            </a:ext>
          </a:extLst>
        </xdr:cNvPr>
        <xdr:cNvSpPr/>
      </xdr:nvSpPr>
      <xdr:spPr>
        <a:xfrm>
          <a:off x="1170305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id="{762FF65E-DCE6-4C78-B354-3824CEE9B659}"/>
            </a:ext>
          </a:extLst>
        </xdr:cNvPr>
        <xdr:cNvSpPr/>
      </xdr:nvSpPr>
      <xdr:spPr>
        <a:xfrm>
          <a:off x="652174" y="673671"/>
          <a:ext cx="535841" cy="35179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1008" name="Isosceles Triangle 1007">
          <a:extLst>
            <a:ext uri="{FF2B5EF4-FFF2-40B4-BE49-F238E27FC236}">
              <a16:creationId xmlns:a16="http://schemas.microsoft.com/office/drawing/2014/main" id="{D5A314AC-617B-4606-AFD1-E1B57D03EDC8}"/>
            </a:ext>
          </a:extLst>
        </xdr:cNvPr>
        <xdr:cNvSpPr/>
      </xdr:nvSpPr>
      <xdr:spPr>
        <a:xfrm>
          <a:off x="6534150" y="1392555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id="{C8EED33F-2778-4D89-97AD-0A72405445B4}"/>
            </a:ext>
          </a:extLst>
        </xdr:cNvPr>
        <xdr:cNvSpPr/>
      </xdr:nvSpPr>
      <xdr:spPr>
        <a:xfrm>
          <a:off x="37147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id="{67865237-612E-4098-9F8A-8E9114FC283D}"/>
            </a:ext>
          </a:extLst>
        </xdr:cNvPr>
        <xdr:cNvSpPr/>
      </xdr:nvSpPr>
      <xdr:spPr>
        <a:xfrm>
          <a:off x="2679700" y="109791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1011" name="Isosceles Triangle 1010">
          <a:extLst>
            <a:ext uri="{FF2B5EF4-FFF2-40B4-BE49-F238E27FC236}">
              <a16:creationId xmlns:a16="http://schemas.microsoft.com/office/drawing/2014/main" id="{DCDF0A87-090C-4FC6-8EDE-0E41895CC5D4}"/>
            </a:ext>
          </a:extLst>
        </xdr:cNvPr>
        <xdr:cNvSpPr/>
      </xdr:nvSpPr>
      <xdr:spPr>
        <a:xfrm>
          <a:off x="85721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1014" name="Isosceles Triangle 1013">
          <a:extLst>
            <a:ext uri="{FF2B5EF4-FFF2-40B4-BE49-F238E27FC236}">
              <a16:creationId xmlns:a16="http://schemas.microsoft.com/office/drawing/2014/main" id="{CDFEAD02-6C69-4DB9-9D0C-5F1605313ADA}"/>
            </a:ext>
          </a:extLst>
        </xdr:cNvPr>
        <xdr:cNvSpPr/>
      </xdr:nvSpPr>
      <xdr:spPr>
        <a:xfrm>
          <a:off x="9594850" y="109791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1015" name="Isosceles Triangle 1014">
          <a:extLst>
            <a:ext uri="{FF2B5EF4-FFF2-40B4-BE49-F238E27FC236}">
              <a16:creationId xmlns:a16="http://schemas.microsoft.com/office/drawing/2014/main" id="{614877EC-021B-4886-A385-256104DE260C}"/>
            </a:ext>
          </a:extLst>
        </xdr:cNvPr>
        <xdr:cNvSpPr/>
      </xdr:nvSpPr>
      <xdr:spPr>
        <a:xfrm>
          <a:off x="558132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1016" name="Isosceles Triangle 1015">
          <a:extLst>
            <a:ext uri="{FF2B5EF4-FFF2-40B4-BE49-F238E27FC236}">
              <a16:creationId xmlns:a16="http://schemas.microsoft.com/office/drawing/2014/main" id="{FD1B494E-75CF-4F09-9991-24B5B6C6AADB}"/>
            </a:ext>
          </a:extLst>
        </xdr:cNvPr>
        <xdr:cNvSpPr/>
      </xdr:nvSpPr>
      <xdr:spPr>
        <a:xfrm>
          <a:off x="13703300" y="154051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1017" name="Isosceles Triangle 1016">
          <a:extLst>
            <a:ext uri="{FF2B5EF4-FFF2-40B4-BE49-F238E27FC236}">
              <a16:creationId xmlns:a16="http://schemas.microsoft.com/office/drawing/2014/main" id="{D77D165C-AF61-4733-BD4E-C46F4A8AECE3}"/>
            </a:ext>
          </a:extLst>
        </xdr:cNvPr>
        <xdr:cNvSpPr/>
      </xdr:nvSpPr>
      <xdr:spPr>
        <a:xfrm>
          <a:off x="12655550" y="154051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1018" name="Isosceles Triangle 1017">
          <a:extLst>
            <a:ext uri="{FF2B5EF4-FFF2-40B4-BE49-F238E27FC236}">
              <a16:creationId xmlns:a16="http://schemas.microsoft.com/office/drawing/2014/main" id="{1A1C8ED8-64DE-4026-87D0-BB9DDB477657}"/>
            </a:ext>
          </a:extLst>
        </xdr:cNvPr>
        <xdr:cNvSpPr/>
      </xdr:nvSpPr>
      <xdr:spPr>
        <a:xfrm>
          <a:off x="12655550" y="10979150"/>
          <a:ext cx="52949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1019" name="Isosceles Triangle 1018">
          <a:extLst>
            <a:ext uri="{FF2B5EF4-FFF2-40B4-BE49-F238E27FC236}">
              <a16:creationId xmlns:a16="http://schemas.microsoft.com/office/drawing/2014/main" id="{DA7DD8FE-908D-4983-BE1C-1CEA685D0A9C}"/>
            </a:ext>
          </a:extLst>
        </xdr:cNvPr>
        <xdr:cNvSpPr/>
      </xdr:nvSpPr>
      <xdr:spPr>
        <a:xfrm>
          <a:off x="11703050" y="109791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1020" name="Isosceles Triangle 1019">
          <a:extLst>
            <a:ext uri="{FF2B5EF4-FFF2-40B4-BE49-F238E27FC236}">
              <a16:creationId xmlns:a16="http://schemas.microsoft.com/office/drawing/2014/main" id="{E392C47B-CE0B-431C-92B8-C89F46B72BA4}"/>
            </a:ext>
          </a:extLst>
        </xdr:cNvPr>
        <xdr:cNvSpPr/>
      </xdr:nvSpPr>
      <xdr:spPr>
        <a:xfrm>
          <a:off x="641350" y="16878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1021" name="Isosceles Triangle 1020">
          <a:extLst>
            <a:ext uri="{FF2B5EF4-FFF2-40B4-BE49-F238E27FC236}">
              <a16:creationId xmlns:a16="http://schemas.microsoft.com/office/drawing/2014/main" id="{AF1CA1A1-9942-4B57-B1F9-56B4D52D47E0}"/>
            </a:ext>
          </a:extLst>
        </xdr:cNvPr>
        <xdr:cNvSpPr/>
      </xdr:nvSpPr>
      <xdr:spPr>
        <a:xfrm>
          <a:off x="1631950" y="168783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1022" name="Isosceles Triangle 1021">
          <a:extLst>
            <a:ext uri="{FF2B5EF4-FFF2-40B4-BE49-F238E27FC236}">
              <a16:creationId xmlns:a16="http://schemas.microsoft.com/office/drawing/2014/main" id="{E04F814E-E26B-41F1-A4FF-41DD9AC01B92}"/>
            </a:ext>
          </a:extLst>
        </xdr:cNvPr>
        <xdr:cNvSpPr/>
      </xdr:nvSpPr>
      <xdr:spPr>
        <a:xfrm>
          <a:off x="641350" y="124523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1023" name="Isosceles Triangle 1022">
          <a:extLst>
            <a:ext uri="{FF2B5EF4-FFF2-40B4-BE49-F238E27FC236}">
              <a16:creationId xmlns:a16="http://schemas.microsoft.com/office/drawing/2014/main" id="{48DE5FBE-CEB9-4165-95A7-1BDB165D859E}"/>
            </a:ext>
          </a:extLst>
        </xdr:cNvPr>
        <xdr:cNvSpPr/>
      </xdr:nvSpPr>
      <xdr:spPr>
        <a:xfrm>
          <a:off x="4660900" y="15405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1024" name="Isosceles Triangle 1023">
          <a:extLst>
            <a:ext uri="{FF2B5EF4-FFF2-40B4-BE49-F238E27FC236}">
              <a16:creationId xmlns:a16="http://schemas.microsoft.com/office/drawing/2014/main" id="{F336550C-1D0A-4550-8F1D-4877C91926DA}"/>
            </a:ext>
          </a:extLst>
        </xdr:cNvPr>
        <xdr:cNvSpPr/>
      </xdr:nvSpPr>
      <xdr:spPr>
        <a:xfrm>
          <a:off x="12655550" y="183515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1025" name="Isosceles Triangle 1024">
          <a:extLst>
            <a:ext uri="{FF2B5EF4-FFF2-40B4-BE49-F238E27FC236}">
              <a16:creationId xmlns:a16="http://schemas.microsoft.com/office/drawing/2014/main" id="{7BE4CD3D-2FA2-4BB7-95FE-DCEBB6D42813}"/>
            </a:ext>
          </a:extLst>
        </xdr:cNvPr>
        <xdr:cNvSpPr/>
      </xdr:nvSpPr>
      <xdr:spPr>
        <a:xfrm>
          <a:off x="46732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1026" name="Isosceles Triangle 1025">
          <a:extLst>
            <a:ext uri="{FF2B5EF4-FFF2-40B4-BE49-F238E27FC236}">
              <a16:creationId xmlns:a16="http://schemas.microsoft.com/office/drawing/2014/main" id="{79D5C759-B296-4CE5-86E7-7872D4478657}"/>
            </a:ext>
          </a:extLst>
        </xdr:cNvPr>
        <xdr:cNvSpPr/>
      </xdr:nvSpPr>
      <xdr:spPr>
        <a:xfrm>
          <a:off x="1170305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1027" name="Isosceles Triangle 1026">
          <a:extLst>
            <a:ext uri="{FF2B5EF4-FFF2-40B4-BE49-F238E27FC236}">
              <a16:creationId xmlns:a16="http://schemas.microsoft.com/office/drawing/2014/main" id="{C149DC6F-C51C-4562-A1EE-564B32F6765F}"/>
            </a:ext>
          </a:extLst>
        </xdr:cNvPr>
        <xdr:cNvSpPr/>
      </xdr:nvSpPr>
      <xdr:spPr>
        <a:xfrm>
          <a:off x="6546056" y="12452350"/>
          <a:ext cx="507266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1028" name="Isosceles Triangle 1027">
          <a:extLst>
            <a:ext uri="{FF2B5EF4-FFF2-40B4-BE49-F238E27FC236}">
              <a16:creationId xmlns:a16="http://schemas.microsoft.com/office/drawing/2014/main" id="{B4E4A7E8-EDD1-44BE-9E67-5AF0CC4E6482}"/>
            </a:ext>
          </a:extLst>
        </xdr:cNvPr>
        <xdr:cNvSpPr/>
      </xdr:nvSpPr>
      <xdr:spPr>
        <a:xfrm>
          <a:off x="13703300" y="183515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1029" name="Isosceles Triangle 1028">
          <a:extLst>
            <a:ext uri="{FF2B5EF4-FFF2-40B4-BE49-F238E27FC236}">
              <a16:creationId xmlns:a16="http://schemas.microsoft.com/office/drawing/2014/main" id="{86747E3C-5CFF-41F2-BC6D-73EFF0DEDAA1}"/>
            </a:ext>
          </a:extLst>
        </xdr:cNvPr>
        <xdr:cNvSpPr/>
      </xdr:nvSpPr>
      <xdr:spPr>
        <a:xfrm>
          <a:off x="2679700" y="16878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1030" name="Isosceles Triangle 1029">
          <a:extLst>
            <a:ext uri="{FF2B5EF4-FFF2-40B4-BE49-F238E27FC236}">
              <a16:creationId xmlns:a16="http://schemas.microsoft.com/office/drawing/2014/main" id="{033BEBC2-7304-4EC9-8EF3-C52199C68D3D}"/>
            </a:ext>
          </a:extLst>
        </xdr:cNvPr>
        <xdr:cNvSpPr/>
      </xdr:nvSpPr>
      <xdr:spPr>
        <a:xfrm>
          <a:off x="6534150" y="154051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1031" name="Isosceles Triangle 1030">
          <a:extLst>
            <a:ext uri="{FF2B5EF4-FFF2-40B4-BE49-F238E27FC236}">
              <a16:creationId xmlns:a16="http://schemas.microsoft.com/office/drawing/2014/main" id="{489D85D4-27D3-4E94-9D89-1A26FA7D4273}"/>
            </a:ext>
          </a:extLst>
        </xdr:cNvPr>
        <xdr:cNvSpPr/>
      </xdr:nvSpPr>
      <xdr:spPr>
        <a:xfrm>
          <a:off x="641350" y="15405100"/>
          <a:ext cx="535841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id="{B428CA9A-8B2B-4647-BD15-EBE98CE87678}"/>
            </a:ext>
          </a:extLst>
        </xdr:cNvPr>
        <xdr:cNvSpPr/>
      </xdr:nvSpPr>
      <xdr:spPr>
        <a:xfrm>
          <a:off x="371475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1033" name="Isosceles Triangle 1032">
          <a:extLst>
            <a:ext uri="{FF2B5EF4-FFF2-40B4-BE49-F238E27FC236}">
              <a16:creationId xmlns:a16="http://schemas.microsoft.com/office/drawing/2014/main" id="{3B6E4875-7415-4C63-BF20-A9DFED388535}"/>
            </a:ext>
          </a:extLst>
        </xdr:cNvPr>
        <xdr:cNvSpPr/>
      </xdr:nvSpPr>
      <xdr:spPr>
        <a:xfrm>
          <a:off x="64135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1034" name="Isosceles Triangle 1033">
          <a:extLst>
            <a:ext uri="{FF2B5EF4-FFF2-40B4-BE49-F238E27FC236}">
              <a16:creationId xmlns:a16="http://schemas.microsoft.com/office/drawing/2014/main" id="{7E85599A-D305-4A31-87FF-53514485C5FD}"/>
            </a:ext>
          </a:extLst>
        </xdr:cNvPr>
        <xdr:cNvSpPr/>
      </xdr:nvSpPr>
      <xdr:spPr>
        <a:xfrm>
          <a:off x="26797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1035" name="Isosceles Triangle 1034">
          <a:extLst>
            <a:ext uri="{FF2B5EF4-FFF2-40B4-BE49-F238E27FC236}">
              <a16:creationId xmlns:a16="http://schemas.microsoft.com/office/drawing/2014/main" id="{79E012BA-AA64-4CC7-8703-AA677BADA667}"/>
            </a:ext>
          </a:extLst>
        </xdr:cNvPr>
        <xdr:cNvSpPr/>
      </xdr:nvSpPr>
      <xdr:spPr>
        <a:xfrm>
          <a:off x="46609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1036" name="Isosceles Triangle 1035">
          <a:extLst>
            <a:ext uri="{FF2B5EF4-FFF2-40B4-BE49-F238E27FC236}">
              <a16:creationId xmlns:a16="http://schemas.microsoft.com/office/drawing/2014/main" id="{A2F263A8-C34F-4F9D-B21C-6B8B7EE88770}"/>
            </a:ext>
          </a:extLst>
        </xdr:cNvPr>
        <xdr:cNvSpPr/>
      </xdr:nvSpPr>
      <xdr:spPr>
        <a:xfrm>
          <a:off x="37147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1037" name="Isosceles Triangle 1036">
          <a:extLst>
            <a:ext uri="{FF2B5EF4-FFF2-40B4-BE49-F238E27FC236}">
              <a16:creationId xmlns:a16="http://schemas.microsoft.com/office/drawing/2014/main" id="{4A7CD0D0-D9E3-47FD-B92B-344B9D8E8E75}"/>
            </a:ext>
          </a:extLst>
        </xdr:cNvPr>
        <xdr:cNvSpPr/>
      </xdr:nvSpPr>
      <xdr:spPr>
        <a:xfrm>
          <a:off x="10560050" y="16878300"/>
          <a:ext cx="51443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1038" name="Isosceles Triangle 1037">
          <a:extLst>
            <a:ext uri="{FF2B5EF4-FFF2-40B4-BE49-F238E27FC236}">
              <a16:creationId xmlns:a16="http://schemas.microsoft.com/office/drawing/2014/main" id="{0FC72726-5091-4874-B094-CFCD72A2A495}"/>
            </a:ext>
          </a:extLst>
        </xdr:cNvPr>
        <xdr:cNvSpPr/>
      </xdr:nvSpPr>
      <xdr:spPr>
        <a:xfrm>
          <a:off x="1631950" y="198247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1039" name="Isosceles Triangle 1038">
          <a:extLst>
            <a:ext uri="{FF2B5EF4-FFF2-40B4-BE49-F238E27FC236}">
              <a16:creationId xmlns:a16="http://schemas.microsoft.com/office/drawing/2014/main" id="{900D5E39-1593-404B-9BFE-914B83B7B35E}"/>
            </a:ext>
          </a:extLst>
        </xdr:cNvPr>
        <xdr:cNvSpPr/>
      </xdr:nvSpPr>
      <xdr:spPr>
        <a:xfrm>
          <a:off x="85598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1040" name="Isosceles Triangle 1039">
          <a:extLst>
            <a:ext uri="{FF2B5EF4-FFF2-40B4-BE49-F238E27FC236}">
              <a16:creationId xmlns:a16="http://schemas.microsoft.com/office/drawing/2014/main" id="{0C2A05CD-CD99-407B-B8A5-D8362E075334}"/>
            </a:ext>
          </a:extLst>
        </xdr:cNvPr>
        <xdr:cNvSpPr/>
      </xdr:nvSpPr>
      <xdr:spPr>
        <a:xfrm>
          <a:off x="37147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1041" name="Isosceles Triangle 1040">
          <a:extLst>
            <a:ext uri="{FF2B5EF4-FFF2-40B4-BE49-F238E27FC236}">
              <a16:creationId xmlns:a16="http://schemas.microsoft.com/office/drawing/2014/main" id="{61946EEC-58A2-4E75-A300-2C2076BAD99F}"/>
            </a:ext>
          </a:extLst>
        </xdr:cNvPr>
        <xdr:cNvSpPr/>
      </xdr:nvSpPr>
      <xdr:spPr>
        <a:xfrm>
          <a:off x="13703300" y="13925550"/>
          <a:ext cx="523141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1042" name="Isosceles Triangle 1041">
          <a:extLst>
            <a:ext uri="{FF2B5EF4-FFF2-40B4-BE49-F238E27FC236}">
              <a16:creationId xmlns:a16="http://schemas.microsoft.com/office/drawing/2014/main" id="{88AD2DC2-4B17-48D2-A0C6-671A06B1B77A}"/>
            </a:ext>
          </a:extLst>
        </xdr:cNvPr>
        <xdr:cNvSpPr/>
      </xdr:nvSpPr>
      <xdr:spPr>
        <a:xfrm>
          <a:off x="9594850" y="168783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1043" name="Isosceles Triangle 1042">
          <a:extLst>
            <a:ext uri="{FF2B5EF4-FFF2-40B4-BE49-F238E27FC236}">
              <a16:creationId xmlns:a16="http://schemas.microsoft.com/office/drawing/2014/main" id="{81CB2293-D63B-4CDC-A25F-052D2B1507BA}"/>
            </a:ext>
          </a:extLst>
        </xdr:cNvPr>
        <xdr:cNvSpPr/>
      </xdr:nvSpPr>
      <xdr:spPr>
        <a:xfrm>
          <a:off x="55689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1044" name="Isosceles Triangle 1043">
          <a:extLst>
            <a:ext uri="{FF2B5EF4-FFF2-40B4-BE49-F238E27FC236}">
              <a16:creationId xmlns:a16="http://schemas.microsoft.com/office/drawing/2014/main" id="{84D8821A-4D6D-4EDE-9ED7-3183B02A4E1D}"/>
            </a:ext>
          </a:extLst>
        </xdr:cNvPr>
        <xdr:cNvSpPr/>
      </xdr:nvSpPr>
      <xdr:spPr>
        <a:xfrm>
          <a:off x="9594850" y="198247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id="{742BC972-DBA9-4C01-8078-7C5353ACAD05}"/>
            </a:ext>
          </a:extLst>
        </xdr:cNvPr>
        <xdr:cNvSpPr/>
      </xdr:nvSpPr>
      <xdr:spPr>
        <a:xfrm>
          <a:off x="13703300" y="168783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1046" name="Isosceles Triangle 1045">
          <a:extLst>
            <a:ext uri="{FF2B5EF4-FFF2-40B4-BE49-F238E27FC236}">
              <a16:creationId xmlns:a16="http://schemas.microsoft.com/office/drawing/2014/main" id="{3CC0C003-8148-4113-B4C8-37569E7EDBC1}"/>
            </a:ext>
          </a:extLst>
        </xdr:cNvPr>
        <xdr:cNvSpPr/>
      </xdr:nvSpPr>
      <xdr:spPr>
        <a:xfrm>
          <a:off x="855980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340FE1DC-482A-4B2D-982A-DF6024DF2603}"/>
            </a:ext>
          </a:extLst>
        </xdr:cNvPr>
        <xdr:cNvSpPr/>
      </xdr:nvSpPr>
      <xdr:spPr>
        <a:xfrm>
          <a:off x="466090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DEB7CA3F-F9FB-4F8A-A66A-2A35329F82AC}"/>
            </a:ext>
          </a:extLst>
        </xdr:cNvPr>
        <xdr:cNvSpPr/>
      </xdr:nvSpPr>
      <xdr:spPr>
        <a:xfrm>
          <a:off x="1631950" y="183515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FD2E1FAA-EE30-4CCC-8D80-6C3A0B31950F}"/>
            </a:ext>
          </a:extLst>
        </xdr:cNvPr>
        <xdr:cNvSpPr/>
      </xdr:nvSpPr>
      <xdr:spPr>
        <a:xfrm>
          <a:off x="6534150" y="168783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1050" name="Isosceles Triangle 1049">
          <a:extLst>
            <a:ext uri="{FF2B5EF4-FFF2-40B4-BE49-F238E27FC236}">
              <a16:creationId xmlns:a16="http://schemas.microsoft.com/office/drawing/2014/main" id="{4B3E1D8A-3AE4-474C-B1A0-DD1E572471F6}"/>
            </a:ext>
          </a:extLst>
        </xdr:cNvPr>
        <xdr:cNvSpPr/>
      </xdr:nvSpPr>
      <xdr:spPr>
        <a:xfrm>
          <a:off x="745490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A6E4FEEC-E82C-4A26-A9AC-EA410CE01DD4}"/>
            </a:ext>
          </a:extLst>
        </xdr:cNvPr>
        <xdr:cNvSpPr/>
      </xdr:nvSpPr>
      <xdr:spPr>
        <a:xfrm>
          <a:off x="12655550" y="16878300"/>
          <a:ext cx="52949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5E03E873-81D6-449B-844B-532418423AB8}"/>
            </a:ext>
          </a:extLst>
        </xdr:cNvPr>
        <xdr:cNvSpPr/>
      </xdr:nvSpPr>
      <xdr:spPr>
        <a:xfrm>
          <a:off x="6534150" y="198247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1053" name="Isosceles Triangle 1052">
          <a:extLst>
            <a:ext uri="{FF2B5EF4-FFF2-40B4-BE49-F238E27FC236}">
              <a16:creationId xmlns:a16="http://schemas.microsoft.com/office/drawing/2014/main" id="{E2324C99-7263-43C0-93BE-4105D72E63FB}"/>
            </a:ext>
          </a:extLst>
        </xdr:cNvPr>
        <xdr:cNvSpPr/>
      </xdr:nvSpPr>
      <xdr:spPr>
        <a:xfrm>
          <a:off x="8559800" y="15405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id="{5CD7D698-F0CF-4D03-A0B6-ACA53FFA3645}"/>
            </a:ext>
          </a:extLst>
        </xdr:cNvPr>
        <xdr:cNvSpPr/>
      </xdr:nvSpPr>
      <xdr:spPr>
        <a:xfrm>
          <a:off x="117030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1055" name="Isosceles Triangle 1054">
          <a:extLst>
            <a:ext uri="{FF2B5EF4-FFF2-40B4-BE49-F238E27FC236}">
              <a16:creationId xmlns:a16="http://schemas.microsoft.com/office/drawing/2014/main" id="{483BCC61-E0BF-4495-BD8F-F85A3CC21F02}"/>
            </a:ext>
          </a:extLst>
        </xdr:cNvPr>
        <xdr:cNvSpPr/>
      </xdr:nvSpPr>
      <xdr:spPr>
        <a:xfrm>
          <a:off x="65341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id="{35F1DD6C-2B47-44C9-BB7B-A78B9D185DB2}"/>
            </a:ext>
          </a:extLst>
        </xdr:cNvPr>
        <xdr:cNvSpPr/>
      </xdr:nvSpPr>
      <xdr:spPr>
        <a:xfrm>
          <a:off x="4660900" y="2127250"/>
          <a:ext cx="535841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1057" name="Isosceles Triangle 1056">
          <a:extLst>
            <a:ext uri="{FF2B5EF4-FFF2-40B4-BE49-F238E27FC236}">
              <a16:creationId xmlns:a16="http://schemas.microsoft.com/office/drawing/2014/main" id="{FA0660E0-F522-4204-95B6-4E5830C8C636}"/>
            </a:ext>
          </a:extLst>
        </xdr:cNvPr>
        <xdr:cNvSpPr/>
      </xdr:nvSpPr>
      <xdr:spPr>
        <a:xfrm>
          <a:off x="7454900" y="2127250"/>
          <a:ext cx="535841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181798</xdr:rowOff>
    </xdr:to>
    <xdr:sp macro="" textlink="">
      <xdr:nvSpPr>
        <xdr:cNvPr id="1058" name="Isosceles Triangle 1057">
          <a:extLst>
            <a:ext uri="{FF2B5EF4-FFF2-40B4-BE49-F238E27FC236}">
              <a16:creationId xmlns:a16="http://schemas.microsoft.com/office/drawing/2014/main" id="{AFC7E4AB-326F-41EA-B76F-FBF320E93E97}"/>
            </a:ext>
          </a:extLst>
        </xdr:cNvPr>
        <xdr:cNvSpPr/>
      </xdr:nvSpPr>
      <xdr:spPr>
        <a:xfrm>
          <a:off x="8563257" y="663355"/>
          <a:ext cx="540481" cy="3566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EF501549-302E-452B-8D18-4D6CC08213C0}"/>
            </a:ext>
          </a:extLst>
        </xdr:cNvPr>
        <xdr:cNvSpPr/>
      </xdr:nvSpPr>
      <xdr:spPr>
        <a:xfrm>
          <a:off x="6536871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62</xdr:col>
      <xdr:colOff>278606</xdr:colOff>
      <xdr:row>64</xdr:row>
      <xdr:rowOff>130969</xdr:rowOff>
    </xdr:from>
    <xdr:to>
      <xdr:col>62</xdr:col>
      <xdr:colOff>466322</xdr:colOff>
      <xdr:row>65</xdr:row>
      <xdr:rowOff>130969</xdr:rowOff>
    </xdr:to>
    <xdr:sp macro="" textlink="">
      <xdr:nvSpPr>
        <xdr:cNvPr id="1060" name="5-Point Star 520">
          <a:extLst>
            <a:ext uri="{FF2B5EF4-FFF2-40B4-BE49-F238E27FC236}">
              <a16:creationId xmlns:a16="http://schemas.microsoft.com/office/drawing/2014/main" id="{5B0843B5-B91E-46B9-86ED-2513AC25AFAF}"/>
            </a:ext>
          </a:extLst>
        </xdr:cNvPr>
        <xdr:cNvSpPr/>
      </xdr:nvSpPr>
      <xdr:spPr>
        <a:xfrm flipH="1">
          <a:off x="23678356" y="1221501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1061" name="Curved Connector 522">
          <a:extLst>
            <a:ext uri="{FF2B5EF4-FFF2-40B4-BE49-F238E27FC236}">
              <a16:creationId xmlns:a16="http://schemas.microsoft.com/office/drawing/2014/main" id="{E8F870BE-7E8D-48FA-A82F-DFF7FF6BE5D7}"/>
            </a:ext>
          </a:extLst>
        </xdr:cNvPr>
        <xdr:cNvCxnSpPr/>
      </xdr:nvCxnSpPr>
      <xdr:spPr>
        <a:xfrm rot="16200000" flipH="1">
          <a:off x="3494852" y="37401737"/>
          <a:ext cx="10584" cy="103505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62" name="Isosceles Triangle 1061">
          <a:extLst>
            <a:ext uri="{FF2B5EF4-FFF2-40B4-BE49-F238E27FC236}">
              <a16:creationId xmlns:a16="http://schemas.microsoft.com/office/drawing/2014/main" id="{558B7339-22D4-43B9-9203-8100008E9087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063" name="Isosceles Triangle 1062">
          <a:extLst>
            <a:ext uri="{FF2B5EF4-FFF2-40B4-BE49-F238E27FC236}">
              <a16:creationId xmlns:a16="http://schemas.microsoft.com/office/drawing/2014/main" id="{8ACC98BB-F2D9-45DB-B3DE-C3B81D07C189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E0D91BAD-DCE2-40F9-9254-18F10A47E7CD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4DF6B1E3-5821-4B8B-B87D-AEC29B0441B5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E5100957-DE8D-45C9-8042-4CFC9858917A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5F64A86E-84B5-49B4-8FB6-0C7283814557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E8BD2D8A-78A4-4147-8E2E-81F88C4D2D8A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069" name="Isosceles Triangle 1068">
          <a:extLst>
            <a:ext uri="{FF2B5EF4-FFF2-40B4-BE49-F238E27FC236}">
              <a16:creationId xmlns:a16="http://schemas.microsoft.com/office/drawing/2014/main" id="{AF0076A0-3026-4B69-A489-85E47C34933D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1070" name="Isosceles Triangle 1069">
          <a:extLst>
            <a:ext uri="{FF2B5EF4-FFF2-40B4-BE49-F238E27FC236}">
              <a16:creationId xmlns:a16="http://schemas.microsoft.com/office/drawing/2014/main" id="{EADB5FBD-E567-4E49-952D-ED08C172284B}"/>
            </a:ext>
          </a:extLst>
        </xdr:cNvPr>
        <xdr:cNvSpPr/>
      </xdr:nvSpPr>
      <xdr:spPr>
        <a:xfrm>
          <a:off x="1631950" y="21297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1071" name="Isosceles Triangle 1070">
          <a:extLst>
            <a:ext uri="{FF2B5EF4-FFF2-40B4-BE49-F238E27FC236}">
              <a16:creationId xmlns:a16="http://schemas.microsoft.com/office/drawing/2014/main" id="{E689D6F7-C1E1-4518-923A-B573114693A1}"/>
            </a:ext>
          </a:extLst>
        </xdr:cNvPr>
        <xdr:cNvSpPr/>
      </xdr:nvSpPr>
      <xdr:spPr>
        <a:xfrm>
          <a:off x="26797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1072" name="Isosceles Triangle 1071">
          <a:extLst>
            <a:ext uri="{FF2B5EF4-FFF2-40B4-BE49-F238E27FC236}">
              <a16:creationId xmlns:a16="http://schemas.microsoft.com/office/drawing/2014/main" id="{F4A7A27E-C21E-46ED-88E1-498CF53FDB52}"/>
            </a:ext>
          </a:extLst>
        </xdr:cNvPr>
        <xdr:cNvSpPr/>
      </xdr:nvSpPr>
      <xdr:spPr>
        <a:xfrm>
          <a:off x="37147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1073" name="Isosceles Triangle 1072">
          <a:extLst>
            <a:ext uri="{FF2B5EF4-FFF2-40B4-BE49-F238E27FC236}">
              <a16:creationId xmlns:a16="http://schemas.microsoft.com/office/drawing/2014/main" id="{642902DD-8F8C-4315-A768-D6A861C6C9E5}"/>
            </a:ext>
          </a:extLst>
        </xdr:cNvPr>
        <xdr:cNvSpPr/>
      </xdr:nvSpPr>
      <xdr:spPr>
        <a:xfrm>
          <a:off x="46609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1074" name="Isosceles Triangle 1073">
          <a:extLst>
            <a:ext uri="{FF2B5EF4-FFF2-40B4-BE49-F238E27FC236}">
              <a16:creationId xmlns:a16="http://schemas.microsoft.com/office/drawing/2014/main" id="{305FE75F-56D6-4961-B4C9-1DA38E3FBD04}"/>
            </a:ext>
          </a:extLst>
        </xdr:cNvPr>
        <xdr:cNvSpPr/>
      </xdr:nvSpPr>
      <xdr:spPr>
        <a:xfrm>
          <a:off x="55689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1075" name="Isosceles Triangle 1074">
          <a:extLst>
            <a:ext uri="{FF2B5EF4-FFF2-40B4-BE49-F238E27FC236}">
              <a16:creationId xmlns:a16="http://schemas.microsoft.com/office/drawing/2014/main" id="{D0A580DA-0458-4567-8934-8381317F8F3F}"/>
            </a:ext>
          </a:extLst>
        </xdr:cNvPr>
        <xdr:cNvSpPr/>
      </xdr:nvSpPr>
      <xdr:spPr>
        <a:xfrm>
          <a:off x="65341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1076" name="Isosceles Triangle 1075">
          <a:extLst>
            <a:ext uri="{FF2B5EF4-FFF2-40B4-BE49-F238E27FC236}">
              <a16:creationId xmlns:a16="http://schemas.microsoft.com/office/drawing/2014/main" id="{957DA8A7-9BCF-4497-A3E4-04046631DDC2}"/>
            </a:ext>
          </a:extLst>
        </xdr:cNvPr>
        <xdr:cNvSpPr/>
      </xdr:nvSpPr>
      <xdr:spPr>
        <a:xfrm>
          <a:off x="74549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1077" name="Isosceles Triangle 1076">
          <a:extLst>
            <a:ext uri="{FF2B5EF4-FFF2-40B4-BE49-F238E27FC236}">
              <a16:creationId xmlns:a16="http://schemas.microsoft.com/office/drawing/2014/main" id="{B82F1150-BB0B-4167-8B6B-584397EC42B8}"/>
            </a:ext>
          </a:extLst>
        </xdr:cNvPr>
        <xdr:cNvSpPr/>
      </xdr:nvSpPr>
      <xdr:spPr>
        <a:xfrm>
          <a:off x="85598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1078" name="Isosceles Triangle 1077">
          <a:extLst>
            <a:ext uri="{FF2B5EF4-FFF2-40B4-BE49-F238E27FC236}">
              <a16:creationId xmlns:a16="http://schemas.microsoft.com/office/drawing/2014/main" id="{E0285362-F3F4-4646-8DC8-3DCEB32DD0D8}"/>
            </a:ext>
          </a:extLst>
        </xdr:cNvPr>
        <xdr:cNvSpPr/>
      </xdr:nvSpPr>
      <xdr:spPr>
        <a:xfrm>
          <a:off x="959485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1079" name="Isosceles Triangle 1078">
          <a:extLst>
            <a:ext uri="{FF2B5EF4-FFF2-40B4-BE49-F238E27FC236}">
              <a16:creationId xmlns:a16="http://schemas.microsoft.com/office/drawing/2014/main" id="{65C47AE2-1D03-4C8A-88C9-66FC81CAFBD8}"/>
            </a:ext>
          </a:extLst>
        </xdr:cNvPr>
        <xdr:cNvSpPr/>
      </xdr:nvSpPr>
      <xdr:spPr>
        <a:xfrm>
          <a:off x="10560050" y="21297900"/>
          <a:ext cx="5358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1080" name="Isosceles Triangle 1079">
          <a:extLst>
            <a:ext uri="{FF2B5EF4-FFF2-40B4-BE49-F238E27FC236}">
              <a16:creationId xmlns:a16="http://schemas.microsoft.com/office/drawing/2014/main" id="{3B066C17-6B6C-4503-8686-DD6788F06833}"/>
            </a:ext>
          </a:extLst>
        </xdr:cNvPr>
        <xdr:cNvSpPr/>
      </xdr:nvSpPr>
      <xdr:spPr>
        <a:xfrm>
          <a:off x="117030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1081" name="Isosceles Triangle 1080">
          <a:extLst>
            <a:ext uri="{FF2B5EF4-FFF2-40B4-BE49-F238E27FC236}">
              <a16:creationId xmlns:a16="http://schemas.microsoft.com/office/drawing/2014/main" id="{C161E2B6-1D9C-4ABB-AA06-40E861A9118B}"/>
            </a:ext>
          </a:extLst>
        </xdr:cNvPr>
        <xdr:cNvSpPr/>
      </xdr:nvSpPr>
      <xdr:spPr>
        <a:xfrm>
          <a:off x="12655550" y="212979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1082" name="Isosceles Triangle 1081">
          <a:extLst>
            <a:ext uri="{FF2B5EF4-FFF2-40B4-BE49-F238E27FC236}">
              <a16:creationId xmlns:a16="http://schemas.microsoft.com/office/drawing/2014/main" id="{EB539E49-881A-4FFC-AEAE-E0C07A219265}"/>
            </a:ext>
          </a:extLst>
        </xdr:cNvPr>
        <xdr:cNvSpPr/>
      </xdr:nvSpPr>
      <xdr:spPr>
        <a:xfrm>
          <a:off x="1370330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1083" name="Picture 1082" descr="A black and white symbol&#10;&#10;Description automatically generated">
          <a:extLst>
            <a:ext uri="{FF2B5EF4-FFF2-40B4-BE49-F238E27FC236}">
              <a16:creationId xmlns:a16="http://schemas.microsoft.com/office/drawing/2014/main" id="{3ED6396C-F576-414B-BFC6-6958135B8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1084" name="Isosceles Triangle 1083">
          <a:extLst>
            <a:ext uri="{FF2B5EF4-FFF2-40B4-BE49-F238E27FC236}">
              <a16:creationId xmlns:a16="http://schemas.microsoft.com/office/drawing/2014/main" id="{E69E12D7-CD31-469F-88B4-919B0AA7AD10}"/>
            </a:ext>
          </a:extLst>
        </xdr:cNvPr>
        <xdr:cNvSpPr/>
      </xdr:nvSpPr>
      <xdr:spPr>
        <a:xfrm>
          <a:off x="6413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1085" name="Isosceles Triangle 1084">
          <a:extLst>
            <a:ext uri="{FF2B5EF4-FFF2-40B4-BE49-F238E27FC236}">
              <a16:creationId xmlns:a16="http://schemas.microsoft.com/office/drawing/2014/main" id="{CDBB5959-7D93-489A-B1DA-6F96CE1E109B}"/>
            </a:ext>
          </a:extLst>
        </xdr:cNvPr>
        <xdr:cNvSpPr/>
      </xdr:nvSpPr>
      <xdr:spPr>
        <a:xfrm>
          <a:off x="26797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1086" name="Isosceles Triangle 1085">
          <a:extLst>
            <a:ext uri="{FF2B5EF4-FFF2-40B4-BE49-F238E27FC236}">
              <a16:creationId xmlns:a16="http://schemas.microsoft.com/office/drawing/2014/main" id="{95288084-38AF-4CC7-8853-E28959BE6EFD}"/>
            </a:ext>
          </a:extLst>
        </xdr:cNvPr>
        <xdr:cNvSpPr/>
      </xdr:nvSpPr>
      <xdr:spPr>
        <a:xfrm>
          <a:off x="1631950" y="212979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1087" name="Isosceles Triangle 1086">
          <a:extLst>
            <a:ext uri="{FF2B5EF4-FFF2-40B4-BE49-F238E27FC236}">
              <a16:creationId xmlns:a16="http://schemas.microsoft.com/office/drawing/2014/main" id="{5A6CB52D-1BA5-4FDB-AC3B-DF122F2E07F3}"/>
            </a:ext>
          </a:extLst>
        </xdr:cNvPr>
        <xdr:cNvSpPr/>
      </xdr:nvSpPr>
      <xdr:spPr>
        <a:xfrm>
          <a:off x="37147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1088" name="Isosceles Triangle 1087">
          <a:extLst>
            <a:ext uri="{FF2B5EF4-FFF2-40B4-BE49-F238E27FC236}">
              <a16:creationId xmlns:a16="http://schemas.microsoft.com/office/drawing/2014/main" id="{C59825E6-0350-4279-B4BA-76D90CD329E9}"/>
            </a:ext>
          </a:extLst>
        </xdr:cNvPr>
        <xdr:cNvSpPr/>
      </xdr:nvSpPr>
      <xdr:spPr>
        <a:xfrm>
          <a:off x="55689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1089" name="Isosceles Triangle 1088">
          <a:extLst>
            <a:ext uri="{FF2B5EF4-FFF2-40B4-BE49-F238E27FC236}">
              <a16:creationId xmlns:a16="http://schemas.microsoft.com/office/drawing/2014/main" id="{73BF96A9-BDCD-48B5-9227-990463AAC453}"/>
            </a:ext>
          </a:extLst>
        </xdr:cNvPr>
        <xdr:cNvSpPr/>
      </xdr:nvSpPr>
      <xdr:spPr>
        <a:xfrm>
          <a:off x="9594850" y="212979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EB155BA9-E082-47E0-B97A-309A30BF743B}"/>
            </a:ext>
          </a:extLst>
        </xdr:cNvPr>
        <xdr:cNvSpPr/>
      </xdr:nvSpPr>
      <xdr:spPr>
        <a:xfrm>
          <a:off x="85598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6F99C9D5-C49C-414E-96B8-0B0C6F8315D4}"/>
            </a:ext>
          </a:extLst>
        </xdr:cNvPr>
        <xdr:cNvSpPr/>
      </xdr:nvSpPr>
      <xdr:spPr>
        <a:xfrm>
          <a:off x="4660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1092" name="Isosceles Triangle 1091">
          <a:extLst>
            <a:ext uri="{FF2B5EF4-FFF2-40B4-BE49-F238E27FC236}">
              <a16:creationId xmlns:a16="http://schemas.microsoft.com/office/drawing/2014/main" id="{49D39891-3D57-4185-8FAF-84D29ABCCF08}"/>
            </a:ext>
          </a:extLst>
        </xdr:cNvPr>
        <xdr:cNvSpPr/>
      </xdr:nvSpPr>
      <xdr:spPr>
        <a:xfrm>
          <a:off x="7454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1093" name="Isosceles Triangle 1092">
          <a:extLst>
            <a:ext uri="{FF2B5EF4-FFF2-40B4-BE49-F238E27FC236}">
              <a16:creationId xmlns:a16="http://schemas.microsoft.com/office/drawing/2014/main" id="{E188D66B-8E30-4F35-969D-F918DCFF0E4B}"/>
            </a:ext>
          </a:extLst>
        </xdr:cNvPr>
        <xdr:cNvSpPr/>
      </xdr:nvSpPr>
      <xdr:spPr>
        <a:xfrm>
          <a:off x="6500091" y="21382182"/>
          <a:ext cx="533534" cy="36220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94" name="Isosceles Triangle 1093">
          <a:extLst>
            <a:ext uri="{FF2B5EF4-FFF2-40B4-BE49-F238E27FC236}">
              <a16:creationId xmlns:a16="http://schemas.microsoft.com/office/drawing/2014/main" id="{7B28C0CE-C4C4-4F47-894F-F8823104E80F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1095" name="Isosceles Triangle 1094">
          <a:extLst>
            <a:ext uri="{FF2B5EF4-FFF2-40B4-BE49-F238E27FC236}">
              <a16:creationId xmlns:a16="http://schemas.microsoft.com/office/drawing/2014/main" id="{2ED97462-FBAA-4244-A583-B907CEE9C249}"/>
            </a:ext>
          </a:extLst>
        </xdr:cNvPr>
        <xdr:cNvSpPr/>
      </xdr:nvSpPr>
      <xdr:spPr>
        <a:xfrm>
          <a:off x="1631950" y="227711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1096" name="Isosceles Triangle 1095">
          <a:extLst>
            <a:ext uri="{FF2B5EF4-FFF2-40B4-BE49-F238E27FC236}">
              <a16:creationId xmlns:a16="http://schemas.microsoft.com/office/drawing/2014/main" id="{34D6A40F-5A82-4CDD-B4A5-4DF876ADFB80}"/>
            </a:ext>
          </a:extLst>
        </xdr:cNvPr>
        <xdr:cNvSpPr/>
      </xdr:nvSpPr>
      <xdr:spPr>
        <a:xfrm>
          <a:off x="26797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1097" name="Isosceles Triangle 1096">
          <a:extLst>
            <a:ext uri="{FF2B5EF4-FFF2-40B4-BE49-F238E27FC236}">
              <a16:creationId xmlns:a16="http://schemas.microsoft.com/office/drawing/2014/main" id="{4CAE6D3C-6486-45AE-B896-E597CB959E58}"/>
            </a:ext>
          </a:extLst>
        </xdr:cNvPr>
        <xdr:cNvSpPr/>
      </xdr:nvSpPr>
      <xdr:spPr>
        <a:xfrm>
          <a:off x="37147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1098" name="Isosceles Triangle 1097">
          <a:extLst>
            <a:ext uri="{FF2B5EF4-FFF2-40B4-BE49-F238E27FC236}">
              <a16:creationId xmlns:a16="http://schemas.microsoft.com/office/drawing/2014/main" id="{09410957-9DB9-46C9-8797-D68E8836E828}"/>
            </a:ext>
          </a:extLst>
        </xdr:cNvPr>
        <xdr:cNvSpPr/>
      </xdr:nvSpPr>
      <xdr:spPr>
        <a:xfrm>
          <a:off x="4660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1099" name="Isosceles Triangle 1098">
          <a:extLst>
            <a:ext uri="{FF2B5EF4-FFF2-40B4-BE49-F238E27FC236}">
              <a16:creationId xmlns:a16="http://schemas.microsoft.com/office/drawing/2014/main" id="{7602DBA1-F026-4A1A-A628-8BA2A9C6B8EB}"/>
            </a:ext>
          </a:extLst>
        </xdr:cNvPr>
        <xdr:cNvSpPr/>
      </xdr:nvSpPr>
      <xdr:spPr>
        <a:xfrm>
          <a:off x="55689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1100" name="Isosceles Triangle 1099">
          <a:extLst>
            <a:ext uri="{FF2B5EF4-FFF2-40B4-BE49-F238E27FC236}">
              <a16:creationId xmlns:a16="http://schemas.microsoft.com/office/drawing/2014/main" id="{2C61D6A8-8C44-48A4-9B44-FC0273A87A02}"/>
            </a:ext>
          </a:extLst>
        </xdr:cNvPr>
        <xdr:cNvSpPr/>
      </xdr:nvSpPr>
      <xdr:spPr>
        <a:xfrm>
          <a:off x="65341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1101" name="Isosceles Triangle 1100">
          <a:extLst>
            <a:ext uri="{FF2B5EF4-FFF2-40B4-BE49-F238E27FC236}">
              <a16:creationId xmlns:a16="http://schemas.microsoft.com/office/drawing/2014/main" id="{21073FDE-DF3F-4E8F-9ECA-750D3377A51D}"/>
            </a:ext>
          </a:extLst>
        </xdr:cNvPr>
        <xdr:cNvSpPr/>
      </xdr:nvSpPr>
      <xdr:spPr>
        <a:xfrm>
          <a:off x="7454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1102" name="Isosceles Triangle 1101">
          <a:extLst>
            <a:ext uri="{FF2B5EF4-FFF2-40B4-BE49-F238E27FC236}">
              <a16:creationId xmlns:a16="http://schemas.microsoft.com/office/drawing/2014/main" id="{F018FB12-9991-4E0F-9DC4-B049E91E4457}"/>
            </a:ext>
          </a:extLst>
        </xdr:cNvPr>
        <xdr:cNvSpPr/>
      </xdr:nvSpPr>
      <xdr:spPr>
        <a:xfrm>
          <a:off x="85598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1103" name="Isosceles Triangle 1102">
          <a:extLst>
            <a:ext uri="{FF2B5EF4-FFF2-40B4-BE49-F238E27FC236}">
              <a16:creationId xmlns:a16="http://schemas.microsoft.com/office/drawing/2014/main" id="{0E249BBB-8E15-441F-B913-CCBC8EF25002}"/>
            </a:ext>
          </a:extLst>
        </xdr:cNvPr>
        <xdr:cNvSpPr/>
      </xdr:nvSpPr>
      <xdr:spPr>
        <a:xfrm>
          <a:off x="9594850" y="22771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4730E2DF-9C3C-45B0-9CA8-D3D4C2F62EC6}"/>
            </a:ext>
          </a:extLst>
        </xdr:cNvPr>
        <xdr:cNvSpPr/>
      </xdr:nvSpPr>
      <xdr:spPr>
        <a:xfrm>
          <a:off x="10560050" y="227711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7799EE15-0026-4975-AA9D-494767EF62C1}"/>
            </a:ext>
          </a:extLst>
        </xdr:cNvPr>
        <xdr:cNvSpPr/>
      </xdr:nvSpPr>
      <xdr:spPr>
        <a:xfrm>
          <a:off x="11703050" y="227711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39</xdr:col>
      <xdr:colOff>7637</xdr:colOff>
      <xdr:row>123</xdr:row>
      <xdr:rowOff>183173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CECFB4D6-9B42-4E4B-A35F-B00E274E7024}"/>
            </a:ext>
          </a:extLst>
        </xdr:cNvPr>
        <xdr:cNvSpPr/>
      </xdr:nvSpPr>
      <xdr:spPr>
        <a:xfrm>
          <a:off x="12584545" y="22860000"/>
          <a:ext cx="527183" cy="367900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1107" name="Isosceles Triangle 1106">
          <a:extLst>
            <a:ext uri="{FF2B5EF4-FFF2-40B4-BE49-F238E27FC236}">
              <a16:creationId xmlns:a16="http://schemas.microsoft.com/office/drawing/2014/main" id="{626800B0-7838-4D6C-A4A3-AE2117371140}"/>
            </a:ext>
          </a:extLst>
        </xdr:cNvPr>
        <xdr:cNvSpPr/>
      </xdr:nvSpPr>
      <xdr:spPr>
        <a:xfrm>
          <a:off x="13703300" y="22771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1108" name="Arrow: Up 1186">
          <a:extLst>
            <a:ext uri="{FF2B5EF4-FFF2-40B4-BE49-F238E27FC236}">
              <a16:creationId xmlns:a16="http://schemas.microsoft.com/office/drawing/2014/main" id="{E0FB4C69-64B7-43DB-882C-396FB7D6F19E}"/>
            </a:ext>
          </a:extLst>
        </xdr:cNvPr>
        <xdr:cNvSpPr/>
      </xdr:nvSpPr>
      <xdr:spPr>
        <a:xfrm>
          <a:off x="1331118" y="23121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1109" name="Isosceles Triangle 1108">
          <a:extLst>
            <a:ext uri="{FF2B5EF4-FFF2-40B4-BE49-F238E27FC236}">
              <a16:creationId xmlns:a16="http://schemas.microsoft.com/office/drawing/2014/main" id="{A9FA693B-DF3A-4085-BD5C-23AC5C80AE4B}"/>
            </a:ext>
          </a:extLst>
        </xdr:cNvPr>
        <xdr:cNvSpPr/>
      </xdr:nvSpPr>
      <xdr:spPr>
        <a:xfrm>
          <a:off x="64135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1110" name="Isosceles Triangle 1109">
          <a:extLst>
            <a:ext uri="{FF2B5EF4-FFF2-40B4-BE49-F238E27FC236}">
              <a16:creationId xmlns:a16="http://schemas.microsoft.com/office/drawing/2014/main" id="{7E1E63D5-2CA4-42F7-B32A-E3A55681243A}"/>
            </a:ext>
          </a:extLst>
        </xdr:cNvPr>
        <xdr:cNvSpPr/>
      </xdr:nvSpPr>
      <xdr:spPr>
        <a:xfrm>
          <a:off x="267970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1111" name="Isosceles Triangle 1110">
          <a:extLst>
            <a:ext uri="{FF2B5EF4-FFF2-40B4-BE49-F238E27FC236}">
              <a16:creationId xmlns:a16="http://schemas.microsoft.com/office/drawing/2014/main" id="{452EF0D5-CA78-4D42-811D-D194D64287CB}"/>
            </a:ext>
          </a:extLst>
        </xdr:cNvPr>
        <xdr:cNvSpPr/>
      </xdr:nvSpPr>
      <xdr:spPr>
        <a:xfrm>
          <a:off x="1631950" y="227711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1112" name="Isosceles Triangle 1111">
          <a:extLst>
            <a:ext uri="{FF2B5EF4-FFF2-40B4-BE49-F238E27FC236}">
              <a16:creationId xmlns:a16="http://schemas.microsoft.com/office/drawing/2014/main" id="{70C3B694-2FD5-48BA-8C99-D854412722E1}"/>
            </a:ext>
          </a:extLst>
        </xdr:cNvPr>
        <xdr:cNvSpPr/>
      </xdr:nvSpPr>
      <xdr:spPr>
        <a:xfrm>
          <a:off x="371475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263071</xdr:colOff>
      <xdr:row>123</xdr:row>
      <xdr:rowOff>172357</xdr:rowOff>
    </xdr:to>
    <xdr:sp macro="" textlink="">
      <xdr:nvSpPr>
        <xdr:cNvPr id="1113" name="Isosceles Triangle 1112">
          <a:extLst>
            <a:ext uri="{FF2B5EF4-FFF2-40B4-BE49-F238E27FC236}">
              <a16:creationId xmlns:a16="http://schemas.microsoft.com/office/drawing/2014/main" id="{9F30060B-DB09-4A6E-BF5C-49B3D8FD0536}"/>
            </a:ext>
          </a:extLst>
        </xdr:cNvPr>
        <xdr:cNvSpPr/>
      </xdr:nvSpPr>
      <xdr:spPr>
        <a:xfrm>
          <a:off x="5568950" y="22771100"/>
          <a:ext cx="542471" cy="35650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1114" name="Isosceles Triangle 1113">
          <a:extLst>
            <a:ext uri="{FF2B5EF4-FFF2-40B4-BE49-F238E27FC236}">
              <a16:creationId xmlns:a16="http://schemas.microsoft.com/office/drawing/2014/main" id="{C765CE82-4102-4A20-9EFB-D4D121C698C5}"/>
            </a:ext>
          </a:extLst>
        </xdr:cNvPr>
        <xdr:cNvSpPr/>
      </xdr:nvSpPr>
      <xdr:spPr>
        <a:xfrm>
          <a:off x="9594850" y="22771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1115" name="Isosceles Triangle 1114">
          <a:extLst>
            <a:ext uri="{FF2B5EF4-FFF2-40B4-BE49-F238E27FC236}">
              <a16:creationId xmlns:a16="http://schemas.microsoft.com/office/drawing/2014/main" id="{1B7CDD39-E366-4584-A97A-874D0EA588C7}"/>
            </a:ext>
          </a:extLst>
        </xdr:cNvPr>
        <xdr:cNvSpPr/>
      </xdr:nvSpPr>
      <xdr:spPr>
        <a:xfrm>
          <a:off x="855980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1116" name="Isosceles Triangle 1115">
          <a:extLst>
            <a:ext uri="{FF2B5EF4-FFF2-40B4-BE49-F238E27FC236}">
              <a16:creationId xmlns:a16="http://schemas.microsoft.com/office/drawing/2014/main" id="{33B7FCC3-EBA3-4C35-926A-73B91A5D3645}"/>
            </a:ext>
          </a:extLst>
        </xdr:cNvPr>
        <xdr:cNvSpPr/>
      </xdr:nvSpPr>
      <xdr:spPr>
        <a:xfrm>
          <a:off x="466090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1117" name="Isosceles Triangle 1116">
          <a:extLst>
            <a:ext uri="{FF2B5EF4-FFF2-40B4-BE49-F238E27FC236}">
              <a16:creationId xmlns:a16="http://schemas.microsoft.com/office/drawing/2014/main" id="{A6AD75E9-B542-4BC6-B8C6-1C554E5D465E}"/>
            </a:ext>
          </a:extLst>
        </xdr:cNvPr>
        <xdr:cNvSpPr/>
      </xdr:nvSpPr>
      <xdr:spPr>
        <a:xfrm>
          <a:off x="7454900" y="22771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1118" name="Isosceles Triangle 1117">
          <a:extLst>
            <a:ext uri="{FF2B5EF4-FFF2-40B4-BE49-F238E27FC236}">
              <a16:creationId xmlns:a16="http://schemas.microsoft.com/office/drawing/2014/main" id="{F4F27976-5AC1-46A3-BC44-7F89124A5B58}"/>
            </a:ext>
          </a:extLst>
        </xdr:cNvPr>
        <xdr:cNvSpPr/>
      </xdr:nvSpPr>
      <xdr:spPr>
        <a:xfrm>
          <a:off x="6534150" y="227711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19" name="Isosceles Triangle 1118">
          <a:extLst>
            <a:ext uri="{FF2B5EF4-FFF2-40B4-BE49-F238E27FC236}">
              <a16:creationId xmlns:a16="http://schemas.microsoft.com/office/drawing/2014/main" id="{294FAFC9-AEEE-485B-A5DD-CB30A0981ACF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185062</xdr:rowOff>
    </xdr:from>
    <xdr:to>
      <xdr:col>6</xdr:col>
      <xdr:colOff>0</xdr:colOff>
      <xdr:row>132</xdr:row>
      <xdr:rowOff>0</xdr:rowOff>
    </xdr:to>
    <xdr:sp macro="" textlink="">
      <xdr:nvSpPr>
        <xdr:cNvPr id="1120" name="Isosceles Triangle 1119">
          <a:extLst>
            <a:ext uri="{FF2B5EF4-FFF2-40B4-BE49-F238E27FC236}">
              <a16:creationId xmlns:a16="http://schemas.microsoft.com/office/drawing/2014/main" id="{8C8B59C8-55CF-4603-973A-9B65450D4514}"/>
            </a:ext>
          </a:extLst>
        </xdr:cNvPr>
        <xdr:cNvSpPr/>
      </xdr:nvSpPr>
      <xdr:spPr>
        <a:xfrm>
          <a:off x="1631950" y="24245212"/>
          <a:ext cx="558800" cy="3673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132</xdr:row>
      <xdr:rowOff>4432</xdr:rowOff>
    </xdr:to>
    <xdr:sp macro="" textlink="">
      <xdr:nvSpPr>
        <xdr:cNvPr id="1121" name="Isosceles Triangle 1120">
          <a:extLst>
            <a:ext uri="{FF2B5EF4-FFF2-40B4-BE49-F238E27FC236}">
              <a16:creationId xmlns:a16="http://schemas.microsoft.com/office/drawing/2014/main" id="{13F15142-5658-40C4-AB25-8AA0EF2EFB45}"/>
            </a:ext>
          </a:extLst>
        </xdr:cNvPr>
        <xdr:cNvSpPr/>
      </xdr:nvSpPr>
      <xdr:spPr>
        <a:xfrm>
          <a:off x="2679700" y="24244300"/>
          <a:ext cx="535842" cy="37273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132</xdr:row>
      <xdr:rowOff>4432</xdr:rowOff>
    </xdr:to>
    <xdr:sp macro="" textlink="">
      <xdr:nvSpPr>
        <xdr:cNvPr id="1122" name="Isosceles Triangle 1121">
          <a:extLst>
            <a:ext uri="{FF2B5EF4-FFF2-40B4-BE49-F238E27FC236}">
              <a16:creationId xmlns:a16="http://schemas.microsoft.com/office/drawing/2014/main" id="{0665EEF7-A6FE-4B15-BBEB-A8CE61151AD2}"/>
            </a:ext>
          </a:extLst>
        </xdr:cNvPr>
        <xdr:cNvSpPr/>
      </xdr:nvSpPr>
      <xdr:spPr>
        <a:xfrm>
          <a:off x="3714750" y="24244300"/>
          <a:ext cx="535842" cy="37273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1123" name="Isosceles Triangle 1122">
          <a:extLst>
            <a:ext uri="{FF2B5EF4-FFF2-40B4-BE49-F238E27FC236}">
              <a16:creationId xmlns:a16="http://schemas.microsoft.com/office/drawing/2014/main" id="{7288F65A-C444-44E1-8176-7102CC8FBA59}"/>
            </a:ext>
          </a:extLst>
        </xdr:cNvPr>
        <xdr:cNvSpPr/>
      </xdr:nvSpPr>
      <xdr:spPr>
        <a:xfrm>
          <a:off x="4660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1124" name="Isosceles Triangle 1123">
          <a:extLst>
            <a:ext uri="{FF2B5EF4-FFF2-40B4-BE49-F238E27FC236}">
              <a16:creationId xmlns:a16="http://schemas.microsoft.com/office/drawing/2014/main" id="{A384D2F6-2953-447E-8149-27D9119EB88D}"/>
            </a:ext>
          </a:extLst>
        </xdr:cNvPr>
        <xdr:cNvSpPr/>
      </xdr:nvSpPr>
      <xdr:spPr>
        <a:xfrm>
          <a:off x="55689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1125" name="Isosceles Triangle 1124">
          <a:extLst>
            <a:ext uri="{FF2B5EF4-FFF2-40B4-BE49-F238E27FC236}">
              <a16:creationId xmlns:a16="http://schemas.microsoft.com/office/drawing/2014/main" id="{1400A5F8-3B86-411E-A68E-78677B53B694}"/>
            </a:ext>
          </a:extLst>
        </xdr:cNvPr>
        <xdr:cNvSpPr/>
      </xdr:nvSpPr>
      <xdr:spPr>
        <a:xfrm>
          <a:off x="65341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1126" name="Isosceles Triangle 1125">
          <a:extLst>
            <a:ext uri="{FF2B5EF4-FFF2-40B4-BE49-F238E27FC236}">
              <a16:creationId xmlns:a16="http://schemas.microsoft.com/office/drawing/2014/main" id="{6FC8ECE7-A328-41CB-9F67-346B5AE58D88}"/>
            </a:ext>
          </a:extLst>
        </xdr:cNvPr>
        <xdr:cNvSpPr/>
      </xdr:nvSpPr>
      <xdr:spPr>
        <a:xfrm>
          <a:off x="7454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1127" name="Isosceles Triangle 1126">
          <a:extLst>
            <a:ext uri="{FF2B5EF4-FFF2-40B4-BE49-F238E27FC236}">
              <a16:creationId xmlns:a16="http://schemas.microsoft.com/office/drawing/2014/main" id="{C040EE3F-9C4E-42A2-8E7D-AC6005B32404}"/>
            </a:ext>
          </a:extLst>
        </xdr:cNvPr>
        <xdr:cNvSpPr/>
      </xdr:nvSpPr>
      <xdr:spPr>
        <a:xfrm>
          <a:off x="85598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1128" name="Isosceles Triangle 1127">
          <a:extLst>
            <a:ext uri="{FF2B5EF4-FFF2-40B4-BE49-F238E27FC236}">
              <a16:creationId xmlns:a16="http://schemas.microsoft.com/office/drawing/2014/main" id="{CF89D9D6-3C00-4101-B552-BC5850D4B72F}"/>
            </a:ext>
          </a:extLst>
        </xdr:cNvPr>
        <xdr:cNvSpPr/>
      </xdr:nvSpPr>
      <xdr:spPr>
        <a:xfrm>
          <a:off x="9594850" y="24244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6F34A167-794D-4192-80CB-C31FD5FBEE7F}"/>
            </a:ext>
          </a:extLst>
        </xdr:cNvPr>
        <xdr:cNvSpPr/>
      </xdr:nvSpPr>
      <xdr:spPr>
        <a:xfrm>
          <a:off x="10560050" y="242443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309C1022-386B-4E2A-8DA2-EA4579D12EB0}"/>
            </a:ext>
          </a:extLst>
        </xdr:cNvPr>
        <xdr:cNvSpPr/>
      </xdr:nvSpPr>
      <xdr:spPr>
        <a:xfrm>
          <a:off x="11703050" y="24244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1131" name="Isosceles Triangle 1130">
          <a:extLst>
            <a:ext uri="{FF2B5EF4-FFF2-40B4-BE49-F238E27FC236}">
              <a16:creationId xmlns:a16="http://schemas.microsoft.com/office/drawing/2014/main" id="{BAFB8107-3737-40CA-8625-7E5BE43B4BCF}"/>
            </a:ext>
          </a:extLst>
        </xdr:cNvPr>
        <xdr:cNvSpPr/>
      </xdr:nvSpPr>
      <xdr:spPr>
        <a:xfrm>
          <a:off x="12655550" y="242443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1132" name="Isosceles Triangle 1131">
          <a:extLst>
            <a:ext uri="{FF2B5EF4-FFF2-40B4-BE49-F238E27FC236}">
              <a16:creationId xmlns:a16="http://schemas.microsoft.com/office/drawing/2014/main" id="{5E901D60-6F79-426F-898C-B82E4ADAF5DA}"/>
            </a:ext>
          </a:extLst>
        </xdr:cNvPr>
        <xdr:cNvSpPr/>
      </xdr:nvSpPr>
      <xdr:spPr>
        <a:xfrm>
          <a:off x="13703300" y="24244300"/>
          <a:ext cx="5231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1133" name="Isosceles Triangle 1132">
          <a:extLst>
            <a:ext uri="{FF2B5EF4-FFF2-40B4-BE49-F238E27FC236}">
              <a16:creationId xmlns:a16="http://schemas.microsoft.com/office/drawing/2014/main" id="{06AF40EB-5CF9-4EE7-BCB5-91747ED6FF6B}"/>
            </a:ext>
          </a:extLst>
        </xdr:cNvPr>
        <xdr:cNvSpPr/>
      </xdr:nvSpPr>
      <xdr:spPr>
        <a:xfrm>
          <a:off x="6413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1134" name="Isosceles Triangle 1133">
          <a:extLst>
            <a:ext uri="{FF2B5EF4-FFF2-40B4-BE49-F238E27FC236}">
              <a16:creationId xmlns:a16="http://schemas.microsoft.com/office/drawing/2014/main" id="{6766B5CD-D669-44FD-B6EF-1F6F56431AB2}"/>
            </a:ext>
          </a:extLst>
        </xdr:cNvPr>
        <xdr:cNvSpPr/>
      </xdr:nvSpPr>
      <xdr:spPr>
        <a:xfrm>
          <a:off x="26797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1135" name="Isosceles Triangle 1134">
          <a:extLst>
            <a:ext uri="{FF2B5EF4-FFF2-40B4-BE49-F238E27FC236}">
              <a16:creationId xmlns:a16="http://schemas.microsoft.com/office/drawing/2014/main" id="{8655365D-4711-4C7B-85DD-25D2B148B91C}"/>
            </a:ext>
          </a:extLst>
        </xdr:cNvPr>
        <xdr:cNvSpPr/>
      </xdr:nvSpPr>
      <xdr:spPr>
        <a:xfrm>
          <a:off x="37147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267B8E4F-6419-46D7-86DE-33279236EAF1}"/>
            </a:ext>
          </a:extLst>
        </xdr:cNvPr>
        <xdr:cNvSpPr/>
      </xdr:nvSpPr>
      <xdr:spPr>
        <a:xfrm>
          <a:off x="55689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1137" name="Isosceles Triangle 1136">
          <a:extLst>
            <a:ext uri="{FF2B5EF4-FFF2-40B4-BE49-F238E27FC236}">
              <a16:creationId xmlns:a16="http://schemas.microsoft.com/office/drawing/2014/main" id="{AC193471-FA8B-4A3C-B631-5A3E2A7AF6B5}"/>
            </a:ext>
          </a:extLst>
        </xdr:cNvPr>
        <xdr:cNvSpPr/>
      </xdr:nvSpPr>
      <xdr:spPr>
        <a:xfrm>
          <a:off x="9594850" y="242443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1138" name="Isosceles Triangle 1137">
          <a:extLst>
            <a:ext uri="{FF2B5EF4-FFF2-40B4-BE49-F238E27FC236}">
              <a16:creationId xmlns:a16="http://schemas.microsoft.com/office/drawing/2014/main" id="{5C2DFF03-23AD-4B96-A623-0316D9BC22F8}"/>
            </a:ext>
          </a:extLst>
        </xdr:cNvPr>
        <xdr:cNvSpPr/>
      </xdr:nvSpPr>
      <xdr:spPr>
        <a:xfrm>
          <a:off x="85598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1139" name="Isosceles Triangle 1138">
          <a:extLst>
            <a:ext uri="{FF2B5EF4-FFF2-40B4-BE49-F238E27FC236}">
              <a16:creationId xmlns:a16="http://schemas.microsoft.com/office/drawing/2014/main" id="{F8DE79E5-18E8-4FF8-8F41-5ADE4B3BB583}"/>
            </a:ext>
          </a:extLst>
        </xdr:cNvPr>
        <xdr:cNvSpPr/>
      </xdr:nvSpPr>
      <xdr:spPr>
        <a:xfrm>
          <a:off x="4660900" y="24244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1140" name="Isosceles Triangle 1139">
          <a:extLst>
            <a:ext uri="{FF2B5EF4-FFF2-40B4-BE49-F238E27FC236}">
              <a16:creationId xmlns:a16="http://schemas.microsoft.com/office/drawing/2014/main" id="{B5B991CE-6ADD-440F-B29F-21575674B8E4}"/>
            </a:ext>
          </a:extLst>
        </xdr:cNvPr>
        <xdr:cNvSpPr/>
      </xdr:nvSpPr>
      <xdr:spPr>
        <a:xfrm>
          <a:off x="7454900" y="24244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1141" name="Isosceles Triangle 1140">
          <a:extLst>
            <a:ext uri="{FF2B5EF4-FFF2-40B4-BE49-F238E27FC236}">
              <a16:creationId xmlns:a16="http://schemas.microsoft.com/office/drawing/2014/main" id="{37B977BE-5D57-4A6D-862F-243DD089FDD7}"/>
            </a:ext>
          </a:extLst>
        </xdr:cNvPr>
        <xdr:cNvSpPr/>
      </xdr:nvSpPr>
      <xdr:spPr>
        <a:xfrm>
          <a:off x="6534150" y="242443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142" name="Isosceles Triangle 1141">
          <a:extLst>
            <a:ext uri="{FF2B5EF4-FFF2-40B4-BE49-F238E27FC236}">
              <a16:creationId xmlns:a16="http://schemas.microsoft.com/office/drawing/2014/main" id="{5994C330-F583-4BD7-87A2-FC5CBCF7F9CE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1143" name="Isosceles Triangle 1142">
          <a:extLst>
            <a:ext uri="{FF2B5EF4-FFF2-40B4-BE49-F238E27FC236}">
              <a16:creationId xmlns:a16="http://schemas.microsoft.com/office/drawing/2014/main" id="{DD495299-3F23-494A-A0A6-217F968AC521}"/>
            </a:ext>
          </a:extLst>
        </xdr:cNvPr>
        <xdr:cNvSpPr/>
      </xdr:nvSpPr>
      <xdr:spPr>
        <a:xfrm>
          <a:off x="1631950" y="25717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1144" name="Isosceles Triangle 1143">
          <a:extLst>
            <a:ext uri="{FF2B5EF4-FFF2-40B4-BE49-F238E27FC236}">
              <a16:creationId xmlns:a16="http://schemas.microsoft.com/office/drawing/2014/main" id="{B567C697-F2DF-4AD4-9D15-9C9EE682BC05}"/>
            </a:ext>
          </a:extLst>
        </xdr:cNvPr>
        <xdr:cNvSpPr/>
      </xdr:nvSpPr>
      <xdr:spPr>
        <a:xfrm>
          <a:off x="26797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1145" name="Isosceles Triangle 1144">
          <a:extLst>
            <a:ext uri="{FF2B5EF4-FFF2-40B4-BE49-F238E27FC236}">
              <a16:creationId xmlns:a16="http://schemas.microsoft.com/office/drawing/2014/main" id="{FB96B80A-2B41-493B-9026-84770423517D}"/>
            </a:ext>
          </a:extLst>
        </xdr:cNvPr>
        <xdr:cNvSpPr/>
      </xdr:nvSpPr>
      <xdr:spPr>
        <a:xfrm>
          <a:off x="37147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1146" name="Isosceles Triangle 1145">
          <a:extLst>
            <a:ext uri="{FF2B5EF4-FFF2-40B4-BE49-F238E27FC236}">
              <a16:creationId xmlns:a16="http://schemas.microsoft.com/office/drawing/2014/main" id="{8D88AD2D-381D-4870-8E04-B1971F0CD2BE}"/>
            </a:ext>
          </a:extLst>
        </xdr:cNvPr>
        <xdr:cNvSpPr/>
      </xdr:nvSpPr>
      <xdr:spPr>
        <a:xfrm>
          <a:off x="4660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1147" name="Isosceles Triangle 1146">
          <a:extLst>
            <a:ext uri="{FF2B5EF4-FFF2-40B4-BE49-F238E27FC236}">
              <a16:creationId xmlns:a16="http://schemas.microsoft.com/office/drawing/2014/main" id="{9D022FF3-4F4B-445D-A4C5-E3C2343E1EC1}"/>
            </a:ext>
          </a:extLst>
        </xdr:cNvPr>
        <xdr:cNvSpPr/>
      </xdr:nvSpPr>
      <xdr:spPr>
        <a:xfrm>
          <a:off x="55689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1148" name="Isosceles Triangle 1147">
          <a:extLst>
            <a:ext uri="{FF2B5EF4-FFF2-40B4-BE49-F238E27FC236}">
              <a16:creationId xmlns:a16="http://schemas.microsoft.com/office/drawing/2014/main" id="{F6BA7F41-6B05-4119-B3E7-15A455191203}"/>
            </a:ext>
          </a:extLst>
        </xdr:cNvPr>
        <xdr:cNvSpPr/>
      </xdr:nvSpPr>
      <xdr:spPr>
        <a:xfrm>
          <a:off x="65341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1149" name="Isosceles Triangle 1148">
          <a:extLst>
            <a:ext uri="{FF2B5EF4-FFF2-40B4-BE49-F238E27FC236}">
              <a16:creationId xmlns:a16="http://schemas.microsoft.com/office/drawing/2014/main" id="{58D82AEE-6BD7-4FDA-ADCB-C0090C30FDD8}"/>
            </a:ext>
          </a:extLst>
        </xdr:cNvPr>
        <xdr:cNvSpPr/>
      </xdr:nvSpPr>
      <xdr:spPr>
        <a:xfrm>
          <a:off x="7454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1150" name="Isosceles Triangle 1149">
          <a:extLst>
            <a:ext uri="{FF2B5EF4-FFF2-40B4-BE49-F238E27FC236}">
              <a16:creationId xmlns:a16="http://schemas.microsoft.com/office/drawing/2014/main" id="{F94D1BA8-501B-445F-BBFA-7E00562949CB}"/>
            </a:ext>
          </a:extLst>
        </xdr:cNvPr>
        <xdr:cNvSpPr/>
      </xdr:nvSpPr>
      <xdr:spPr>
        <a:xfrm>
          <a:off x="85598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1151" name="Isosceles Triangle 1150">
          <a:extLst>
            <a:ext uri="{FF2B5EF4-FFF2-40B4-BE49-F238E27FC236}">
              <a16:creationId xmlns:a16="http://schemas.microsoft.com/office/drawing/2014/main" id="{F7973E34-3F81-45E4-A009-B85466E5350A}"/>
            </a:ext>
          </a:extLst>
        </xdr:cNvPr>
        <xdr:cNvSpPr/>
      </xdr:nvSpPr>
      <xdr:spPr>
        <a:xfrm>
          <a:off x="9594850" y="25717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1152" name="Isosceles Triangle 1151">
          <a:extLst>
            <a:ext uri="{FF2B5EF4-FFF2-40B4-BE49-F238E27FC236}">
              <a16:creationId xmlns:a16="http://schemas.microsoft.com/office/drawing/2014/main" id="{F7910756-1466-430F-85A1-B2A590FDD4F4}"/>
            </a:ext>
          </a:extLst>
        </xdr:cNvPr>
        <xdr:cNvSpPr/>
      </xdr:nvSpPr>
      <xdr:spPr>
        <a:xfrm>
          <a:off x="10560050" y="257175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1153" name="Isosceles Triangle 1152">
          <a:extLst>
            <a:ext uri="{FF2B5EF4-FFF2-40B4-BE49-F238E27FC236}">
              <a16:creationId xmlns:a16="http://schemas.microsoft.com/office/drawing/2014/main" id="{5AEBC4FA-F0E1-433A-9691-0E032A947F1A}"/>
            </a:ext>
          </a:extLst>
        </xdr:cNvPr>
        <xdr:cNvSpPr/>
      </xdr:nvSpPr>
      <xdr:spPr>
        <a:xfrm>
          <a:off x="11703050" y="25717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1154" name="Isosceles Triangle 1153">
          <a:extLst>
            <a:ext uri="{FF2B5EF4-FFF2-40B4-BE49-F238E27FC236}">
              <a16:creationId xmlns:a16="http://schemas.microsoft.com/office/drawing/2014/main" id="{E617D19A-8BCC-4D1F-8BB9-1078848D97E4}"/>
            </a:ext>
          </a:extLst>
        </xdr:cNvPr>
        <xdr:cNvSpPr/>
      </xdr:nvSpPr>
      <xdr:spPr>
        <a:xfrm>
          <a:off x="12655550" y="257175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1155" name="Isosceles Triangle 1154">
          <a:extLst>
            <a:ext uri="{FF2B5EF4-FFF2-40B4-BE49-F238E27FC236}">
              <a16:creationId xmlns:a16="http://schemas.microsoft.com/office/drawing/2014/main" id="{B20AF227-59F5-4277-A2DE-7AB335CB0E07}"/>
            </a:ext>
          </a:extLst>
        </xdr:cNvPr>
        <xdr:cNvSpPr/>
      </xdr:nvSpPr>
      <xdr:spPr>
        <a:xfrm>
          <a:off x="13703300" y="25717500"/>
          <a:ext cx="5231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1156" name="Arrow: Up 1234">
          <a:extLst>
            <a:ext uri="{FF2B5EF4-FFF2-40B4-BE49-F238E27FC236}">
              <a16:creationId xmlns:a16="http://schemas.microsoft.com/office/drawing/2014/main" id="{C2A80BA2-F5F6-4F92-8405-32334E6D41B0}"/>
            </a:ext>
          </a:extLst>
        </xdr:cNvPr>
        <xdr:cNvSpPr/>
      </xdr:nvSpPr>
      <xdr:spPr>
        <a:xfrm>
          <a:off x="1331118" y="2606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1157" name="Isosceles Triangle 1156">
          <a:extLst>
            <a:ext uri="{FF2B5EF4-FFF2-40B4-BE49-F238E27FC236}">
              <a16:creationId xmlns:a16="http://schemas.microsoft.com/office/drawing/2014/main" id="{84757910-3BD5-42AA-B422-98D5DCF0F2D7}"/>
            </a:ext>
          </a:extLst>
        </xdr:cNvPr>
        <xdr:cNvSpPr/>
      </xdr:nvSpPr>
      <xdr:spPr>
        <a:xfrm>
          <a:off x="641350" y="257175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1158" name="Isosceles Triangle 1157">
          <a:extLst>
            <a:ext uri="{FF2B5EF4-FFF2-40B4-BE49-F238E27FC236}">
              <a16:creationId xmlns:a16="http://schemas.microsoft.com/office/drawing/2014/main" id="{C9CE1E38-FF3E-436A-9426-F4A8F7FBF0E1}"/>
            </a:ext>
          </a:extLst>
        </xdr:cNvPr>
        <xdr:cNvSpPr/>
      </xdr:nvSpPr>
      <xdr:spPr>
        <a:xfrm>
          <a:off x="267970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1159" name="Isosceles Triangle 1158">
          <a:extLst>
            <a:ext uri="{FF2B5EF4-FFF2-40B4-BE49-F238E27FC236}">
              <a16:creationId xmlns:a16="http://schemas.microsoft.com/office/drawing/2014/main" id="{775DF4B2-AB44-4C71-825B-3171E5093FD7}"/>
            </a:ext>
          </a:extLst>
        </xdr:cNvPr>
        <xdr:cNvSpPr/>
      </xdr:nvSpPr>
      <xdr:spPr>
        <a:xfrm>
          <a:off x="1631950" y="257175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1160" name="Isosceles Triangle 1159">
          <a:extLst>
            <a:ext uri="{FF2B5EF4-FFF2-40B4-BE49-F238E27FC236}">
              <a16:creationId xmlns:a16="http://schemas.microsoft.com/office/drawing/2014/main" id="{A660F5A5-C605-4A9E-BB52-BA3FDBF399D4}"/>
            </a:ext>
          </a:extLst>
        </xdr:cNvPr>
        <xdr:cNvSpPr/>
      </xdr:nvSpPr>
      <xdr:spPr>
        <a:xfrm>
          <a:off x="371475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1161" name="Isosceles Triangle 1160">
          <a:extLst>
            <a:ext uri="{FF2B5EF4-FFF2-40B4-BE49-F238E27FC236}">
              <a16:creationId xmlns:a16="http://schemas.microsoft.com/office/drawing/2014/main" id="{8BEC2241-FAFB-4EF7-AB7D-B0CBD0C09AB8}"/>
            </a:ext>
          </a:extLst>
        </xdr:cNvPr>
        <xdr:cNvSpPr/>
      </xdr:nvSpPr>
      <xdr:spPr>
        <a:xfrm>
          <a:off x="556895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1162" name="Isosceles Triangle 1161">
          <a:extLst>
            <a:ext uri="{FF2B5EF4-FFF2-40B4-BE49-F238E27FC236}">
              <a16:creationId xmlns:a16="http://schemas.microsoft.com/office/drawing/2014/main" id="{1BCBFEDE-03AC-482D-B909-29ACC15A7425}"/>
            </a:ext>
          </a:extLst>
        </xdr:cNvPr>
        <xdr:cNvSpPr/>
      </xdr:nvSpPr>
      <xdr:spPr>
        <a:xfrm>
          <a:off x="9594850" y="257175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1163" name="Isosceles Triangle 1162">
          <a:extLst>
            <a:ext uri="{FF2B5EF4-FFF2-40B4-BE49-F238E27FC236}">
              <a16:creationId xmlns:a16="http://schemas.microsoft.com/office/drawing/2014/main" id="{8301CAD9-1CD8-48CE-A1AA-3F2D6189BC5E}"/>
            </a:ext>
          </a:extLst>
        </xdr:cNvPr>
        <xdr:cNvSpPr/>
      </xdr:nvSpPr>
      <xdr:spPr>
        <a:xfrm>
          <a:off x="85598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1164" name="Isosceles Triangle 1163">
          <a:extLst>
            <a:ext uri="{FF2B5EF4-FFF2-40B4-BE49-F238E27FC236}">
              <a16:creationId xmlns:a16="http://schemas.microsoft.com/office/drawing/2014/main" id="{BF51BE38-77DC-449B-9556-290335A264DC}"/>
            </a:ext>
          </a:extLst>
        </xdr:cNvPr>
        <xdr:cNvSpPr/>
      </xdr:nvSpPr>
      <xdr:spPr>
        <a:xfrm>
          <a:off x="46609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1165" name="Isosceles Triangle 1164">
          <a:extLst>
            <a:ext uri="{FF2B5EF4-FFF2-40B4-BE49-F238E27FC236}">
              <a16:creationId xmlns:a16="http://schemas.microsoft.com/office/drawing/2014/main" id="{A224A08F-B287-449C-A1DD-6B3E2748C722}"/>
            </a:ext>
          </a:extLst>
        </xdr:cNvPr>
        <xdr:cNvSpPr/>
      </xdr:nvSpPr>
      <xdr:spPr>
        <a:xfrm>
          <a:off x="745490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D9D7F607-93A3-43C9-B7E2-755E08DB7245}"/>
            </a:ext>
          </a:extLst>
        </xdr:cNvPr>
        <xdr:cNvSpPr/>
      </xdr:nvSpPr>
      <xdr:spPr>
        <a:xfrm>
          <a:off x="6534150" y="257175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1B99B3CB-BA5C-4D85-8211-C1BF0FECDB93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1168" name="Isosceles Triangle 1167">
          <a:extLst>
            <a:ext uri="{FF2B5EF4-FFF2-40B4-BE49-F238E27FC236}">
              <a16:creationId xmlns:a16="http://schemas.microsoft.com/office/drawing/2014/main" id="{E284432A-CF1B-403E-82B6-4809BA380E43}"/>
            </a:ext>
          </a:extLst>
        </xdr:cNvPr>
        <xdr:cNvSpPr/>
      </xdr:nvSpPr>
      <xdr:spPr>
        <a:xfrm>
          <a:off x="1631950" y="27190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1169" name="Isosceles Triangle 1168">
          <a:extLst>
            <a:ext uri="{FF2B5EF4-FFF2-40B4-BE49-F238E27FC236}">
              <a16:creationId xmlns:a16="http://schemas.microsoft.com/office/drawing/2014/main" id="{A30358E5-E9F0-436C-B60B-B19AEFB45D4E}"/>
            </a:ext>
          </a:extLst>
        </xdr:cNvPr>
        <xdr:cNvSpPr/>
      </xdr:nvSpPr>
      <xdr:spPr>
        <a:xfrm>
          <a:off x="26797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1170" name="Isosceles Triangle 1169">
          <a:extLst>
            <a:ext uri="{FF2B5EF4-FFF2-40B4-BE49-F238E27FC236}">
              <a16:creationId xmlns:a16="http://schemas.microsoft.com/office/drawing/2014/main" id="{7399F0B1-21E7-41B9-BC80-A4E58C0DC492}"/>
            </a:ext>
          </a:extLst>
        </xdr:cNvPr>
        <xdr:cNvSpPr/>
      </xdr:nvSpPr>
      <xdr:spPr>
        <a:xfrm>
          <a:off x="37147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1171" name="Isosceles Triangle 1170">
          <a:extLst>
            <a:ext uri="{FF2B5EF4-FFF2-40B4-BE49-F238E27FC236}">
              <a16:creationId xmlns:a16="http://schemas.microsoft.com/office/drawing/2014/main" id="{2485E8AC-730B-4184-82D1-78DCE9DEAADC}"/>
            </a:ext>
          </a:extLst>
        </xdr:cNvPr>
        <xdr:cNvSpPr/>
      </xdr:nvSpPr>
      <xdr:spPr>
        <a:xfrm>
          <a:off x="4660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1172" name="Isosceles Triangle 1171">
          <a:extLst>
            <a:ext uri="{FF2B5EF4-FFF2-40B4-BE49-F238E27FC236}">
              <a16:creationId xmlns:a16="http://schemas.microsoft.com/office/drawing/2014/main" id="{01F4446F-2290-4E4F-906B-128D206A9FD4}"/>
            </a:ext>
          </a:extLst>
        </xdr:cNvPr>
        <xdr:cNvSpPr/>
      </xdr:nvSpPr>
      <xdr:spPr>
        <a:xfrm>
          <a:off x="55689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1173" name="Isosceles Triangle 1172">
          <a:extLst>
            <a:ext uri="{FF2B5EF4-FFF2-40B4-BE49-F238E27FC236}">
              <a16:creationId xmlns:a16="http://schemas.microsoft.com/office/drawing/2014/main" id="{ED294DA8-CEFC-4372-8137-8C868BC191A1}"/>
            </a:ext>
          </a:extLst>
        </xdr:cNvPr>
        <xdr:cNvSpPr/>
      </xdr:nvSpPr>
      <xdr:spPr>
        <a:xfrm>
          <a:off x="65341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1174" name="Isosceles Triangle 1173">
          <a:extLst>
            <a:ext uri="{FF2B5EF4-FFF2-40B4-BE49-F238E27FC236}">
              <a16:creationId xmlns:a16="http://schemas.microsoft.com/office/drawing/2014/main" id="{66D8955B-6AD0-431D-9C09-9B8E3DEE3D5B}"/>
            </a:ext>
          </a:extLst>
        </xdr:cNvPr>
        <xdr:cNvSpPr/>
      </xdr:nvSpPr>
      <xdr:spPr>
        <a:xfrm>
          <a:off x="7454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1175" name="Isosceles Triangle 1174">
          <a:extLst>
            <a:ext uri="{FF2B5EF4-FFF2-40B4-BE49-F238E27FC236}">
              <a16:creationId xmlns:a16="http://schemas.microsoft.com/office/drawing/2014/main" id="{46D5756F-08F6-4543-800C-C0ADE3B010A6}"/>
            </a:ext>
          </a:extLst>
        </xdr:cNvPr>
        <xdr:cNvSpPr/>
      </xdr:nvSpPr>
      <xdr:spPr>
        <a:xfrm>
          <a:off x="85598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1176" name="Isosceles Triangle 1175">
          <a:extLst>
            <a:ext uri="{FF2B5EF4-FFF2-40B4-BE49-F238E27FC236}">
              <a16:creationId xmlns:a16="http://schemas.microsoft.com/office/drawing/2014/main" id="{0F3334F3-512F-4080-8697-2C0D70EB0C9A}"/>
            </a:ext>
          </a:extLst>
        </xdr:cNvPr>
        <xdr:cNvSpPr/>
      </xdr:nvSpPr>
      <xdr:spPr>
        <a:xfrm>
          <a:off x="9594850" y="27190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1177" name="Isosceles Triangle 1176">
          <a:extLst>
            <a:ext uri="{FF2B5EF4-FFF2-40B4-BE49-F238E27FC236}">
              <a16:creationId xmlns:a16="http://schemas.microsoft.com/office/drawing/2014/main" id="{4BE89EF9-2B34-4878-8EEA-9CC5768A52C5}"/>
            </a:ext>
          </a:extLst>
        </xdr:cNvPr>
        <xdr:cNvSpPr/>
      </xdr:nvSpPr>
      <xdr:spPr>
        <a:xfrm>
          <a:off x="10560050" y="271907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1178" name="Isosceles Triangle 1177">
          <a:extLst>
            <a:ext uri="{FF2B5EF4-FFF2-40B4-BE49-F238E27FC236}">
              <a16:creationId xmlns:a16="http://schemas.microsoft.com/office/drawing/2014/main" id="{600CC009-35E8-4D66-9DC6-1F4F5FF47988}"/>
            </a:ext>
          </a:extLst>
        </xdr:cNvPr>
        <xdr:cNvSpPr/>
      </xdr:nvSpPr>
      <xdr:spPr>
        <a:xfrm>
          <a:off x="11703050" y="271907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1179" name="Isosceles Triangle 1178">
          <a:extLst>
            <a:ext uri="{FF2B5EF4-FFF2-40B4-BE49-F238E27FC236}">
              <a16:creationId xmlns:a16="http://schemas.microsoft.com/office/drawing/2014/main" id="{AD6F3F96-3E16-4AC4-8D27-102CEEBBF42C}"/>
            </a:ext>
          </a:extLst>
        </xdr:cNvPr>
        <xdr:cNvSpPr/>
      </xdr:nvSpPr>
      <xdr:spPr>
        <a:xfrm>
          <a:off x="12655550" y="271907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1180" name="Isosceles Triangle 1179">
          <a:extLst>
            <a:ext uri="{FF2B5EF4-FFF2-40B4-BE49-F238E27FC236}">
              <a16:creationId xmlns:a16="http://schemas.microsoft.com/office/drawing/2014/main" id="{AE0F2233-C788-435C-9C32-26A23B65CC11}"/>
            </a:ext>
          </a:extLst>
        </xdr:cNvPr>
        <xdr:cNvSpPr/>
      </xdr:nvSpPr>
      <xdr:spPr>
        <a:xfrm>
          <a:off x="13703300" y="271907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1181" name="Arrow: Up 1259">
          <a:extLst>
            <a:ext uri="{FF2B5EF4-FFF2-40B4-BE49-F238E27FC236}">
              <a16:creationId xmlns:a16="http://schemas.microsoft.com/office/drawing/2014/main" id="{82063CFC-9F2D-4D1E-AFFC-1C5A9BDAA1FC}"/>
            </a:ext>
          </a:extLst>
        </xdr:cNvPr>
        <xdr:cNvSpPr/>
      </xdr:nvSpPr>
      <xdr:spPr>
        <a:xfrm>
          <a:off x="1331118" y="2754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1182" name="Isosceles Triangle 1181">
          <a:extLst>
            <a:ext uri="{FF2B5EF4-FFF2-40B4-BE49-F238E27FC236}">
              <a16:creationId xmlns:a16="http://schemas.microsoft.com/office/drawing/2014/main" id="{DCFAAB0A-CDDB-4833-8A3F-2A405CD7F98B}"/>
            </a:ext>
          </a:extLst>
        </xdr:cNvPr>
        <xdr:cNvSpPr/>
      </xdr:nvSpPr>
      <xdr:spPr>
        <a:xfrm>
          <a:off x="64135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1183" name="Isosceles Triangle 1182">
          <a:extLst>
            <a:ext uri="{FF2B5EF4-FFF2-40B4-BE49-F238E27FC236}">
              <a16:creationId xmlns:a16="http://schemas.microsoft.com/office/drawing/2014/main" id="{25CD6437-B214-4509-B3E7-28EDAAF3737C}"/>
            </a:ext>
          </a:extLst>
        </xdr:cNvPr>
        <xdr:cNvSpPr/>
      </xdr:nvSpPr>
      <xdr:spPr>
        <a:xfrm>
          <a:off x="26797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1184" name="Isosceles Triangle 1183">
          <a:extLst>
            <a:ext uri="{FF2B5EF4-FFF2-40B4-BE49-F238E27FC236}">
              <a16:creationId xmlns:a16="http://schemas.microsoft.com/office/drawing/2014/main" id="{E6291965-B671-498A-8564-A41898EF6138}"/>
            </a:ext>
          </a:extLst>
        </xdr:cNvPr>
        <xdr:cNvSpPr/>
      </xdr:nvSpPr>
      <xdr:spPr>
        <a:xfrm>
          <a:off x="1631950" y="271907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1185" name="Isosceles Triangle 1184">
          <a:extLst>
            <a:ext uri="{FF2B5EF4-FFF2-40B4-BE49-F238E27FC236}">
              <a16:creationId xmlns:a16="http://schemas.microsoft.com/office/drawing/2014/main" id="{A1B420FE-36DA-4267-B9CC-76D367E2B79F}"/>
            </a:ext>
          </a:extLst>
        </xdr:cNvPr>
        <xdr:cNvSpPr/>
      </xdr:nvSpPr>
      <xdr:spPr>
        <a:xfrm>
          <a:off x="37147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1186" name="Isosceles Triangle 1185">
          <a:extLst>
            <a:ext uri="{FF2B5EF4-FFF2-40B4-BE49-F238E27FC236}">
              <a16:creationId xmlns:a16="http://schemas.microsoft.com/office/drawing/2014/main" id="{8E592B9B-EEA2-472B-A210-7E1291A25E11}"/>
            </a:ext>
          </a:extLst>
        </xdr:cNvPr>
        <xdr:cNvSpPr/>
      </xdr:nvSpPr>
      <xdr:spPr>
        <a:xfrm>
          <a:off x="55689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1187" name="Isosceles Triangle 1186">
          <a:extLst>
            <a:ext uri="{FF2B5EF4-FFF2-40B4-BE49-F238E27FC236}">
              <a16:creationId xmlns:a16="http://schemas.microsoft.com/office/drawing/2014/main" id="{7C882551-86CC-4B0B-9332-E195E6233A85}"/>
            </a:ext>
          </a:extLst>
        </xdr:cNvPr>
        <xdr:cNvSpPr/>
      </xdr:nvSpPr>
      <xdr:spPr>
        <a:xfrm>
          <a:off x="9594850" y="271907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1188" name="Isosceles Triangle 1187">
          <a:extLst>
            <a:ext uri="{FF2B5EF4-FFF2-40B4-BE49-F238E27FC236}">
              <a16:creationId xmlns:a16="http://schemas.microsoft.com/office/drawing/2014/main" id="{AE16E19E-4026-44F2-9072-FF31E6212468}"/>
            </a:ext>
          </a:extLst>
        </xdr:cNvPr>
        <xdr:cNvSpPr/>
      </xdr:nvSpPr>
      <xdr:spPr>
        <a:xfrm>
          <a:off x="8559800" y="27190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1189" name="Isosceles Triangle 1188">
          <a:extLst>
            <a:ext uri="{FF2B5EF4-FFF2-40B4-BE49-F238E27FC236}">
              <a16:creationId xmlns:a16="http://schemas.microsoft.com/office/drawing/2014/main" id="{C681D664-ECB6-4735-A2A8-2A4F77F38524}"/>
            </a:ext>
          </a:extLst>
        </xdr:cNvPr>
        <xdr:cNvSpPr/>
      </xdr:nvSpPr>
      <xdr:spPr>
        <a:xfrm>
          <a:off x="466090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1190" name="Isosceles Triangle 1189">
          <a:extLst>
            <a:ext uri="{FF2B5EF4-FFF2-40B4-BE49-F238E27FC236}">
              <a16:creationId xmlns:a16="http://schemas.microsoft.com/office/drawing/2014/main" id="{A9BDEE52-9F93-48E4-BF4A-9532227FF7EE}"/>
            </a:ext>
          </a:extLst>
        </xdr:cNvPr>
        <xdr:cNvSpPr/>
      </xdr:nvSpPr>
      <xdr:spPr>
        <a:xfrm>
          <a:off x="745490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1191" name="Isosceles Triangle 1190">
          <a:extLst>
            <a:ext uri="{FF2B5EF4-FFF2-40B4-BE49-F238E27FC236}">
              <a16:creationId xmlns:a16="http://schemas.microsoft.com/office/drawing/2014/main" id="{B4203312-0C5A-4B89-9E9E-47F95C5538EF}"/>
            </a:ext>
          </a:extLst>
        </xdr:cNvPr>
        <xdr:cNvSpPr/>
      </xdr:nvSpPr>
      <xdr:spPr>
        <a:xfrm>
          <a:off x="6534150" y="271907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192" name="Isosceles Triangle 1191">
          <a:extLst>
            <a:ext uri="{FF2B5EF4-FFF2-40B4-BE49-F238E27FC236}">
              <a16:creationId xmlns:a16="http://schemas.microsoft.com/office/drawing/2014/main" id="{88F679B3-F9D0-4DDE-8D1F-DDEE06717675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1193" name="Isosceles Triangle 1192">
          <a:extLst>
            <a:ext uri="{FF2B5EF4-FFF2-40B4-BE49-F238E27FC236}">
              <a16:creationId xmlns:a16="http://schemas.microsoft.com/office/drawing/2014/main" id="{C8F2BD94-396B-488D-B41D-70A706602946}"/>
            </a:ext>
          </a:extLst>
        </xdr:cNvPr>
        <xdr:cNvSpPr/>
      </xdr:nvSpPr>
      <xdr:spPr>
        <a:xfrm>
          <a:off x="1631950" y="28663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1194" name="Isosceles Triangle 1193">
          <a:extLst>
            <a:ext uri="{FF2B5EF4-FFF2-40B4-BE49-F238E27FC236}">
              <a16:creationId xmlns:a16="http://schemas.microsoft.com/office/drawing/2014/main" id="{238823C3-32F3-4E69-9239-1D022F0CA81E}"/>
            </a:ext>
          </a:extLst>
        </xdr:cNvPr>
        <xdr:cNvSpPr/>
      </xdr:nvSpPr>
      <xdr:spPr>
        <a:xfrm>
          <a:off x="26797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1195" name="Isosceles Triangle 1194">
          <a:extLst>
            <a:ext uri="{FF2B5EF4-FFF2-40B4-BE49-F238E27FC236}">
              <a16:creationId xmlns:a16="http://schemas.microsoft.com/office/drawing/2014/main" id="{0C28E8CE-31AE-48A8-93A4-F8806DF6C6B4}"/>
            </a:ext>
          </a:extLst>
        </xdr:cNvPr>
        <xdr:cNvSpPr/>
      </xdr:nvSpPr>
      <xdr:spPr>
        <a:xfrm>
          <a:off x="37147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1196" name="Isosceles Triangle 1195">
          <a:extLst>
            <a:ext uri="{FF2B5EF4-FFF2-40B4-BE49-F238E27FC236}">
              <a16:creationId xmlns:a16="http://schemas.microsoft.com/office/drawing/2014/main" id="{767A8771-B528-45F4-9113-214521AE1B72}"/>
            </a:ext>
          </a:extLst>
        </xdr:cNvPr>
        <xdr:cNvSpPr/>
      </xdr:nvSpPr>
      <xdr:spPr>
        <a:xfrm>
          <a:off x="4660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1197" name="Isosceles Triangle 1196">
          <a:extLst>
            <a:ext uri="{FF2B5EF4-FFF2-40B4-BE49-F238E27FC236}">
              <a16:creationId xmlns:a16="http://schemas.microsoft.com/office/drawing/2014/main" id="{CC2EA010-C558-40D0-BECD-257C622AE242}"/>
            </a:ext>
          </a:extLst>
        </xdr:cNvPr>
        <xdr:cNvSpPr/>
      </xdr:nvSpPr>
      <xdr:spPr>
        <a:xfrm>
          <a:off x="5579774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1198" name="Isosceles Triangle 1197">
          <a:extLst>
            <a:ext uri="{FF2B5EF4-FFF2-40B4-BE49-F238E27FC236}">
              <a16:creationId xmlns:a16="http://schemas.microsoft.com/office/drawing/2014/main" id="{70869178-57FF-45E9-B06E-B38599C14DA8}"/>
            </a:ext>
          </a:extLst>
        </xdr:cNvPr>
        <xdr:cNvSpPr/>
      </xdr:nvSpPr>
      <xdr:spPr>
        <a:xfrm>
          <a:off x="65341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1199" name="Isosceles Triangle 1198">
          <a:extLst>
            <a:ext uri="{FF2B5EF4-FFF2-40B4-BE49-F238E27FC236}">
              <a16:creationId xmlns:a16="http://schemas.microsoft.com/office/drawing/2014/main" id="{B99E961C-3532-4148-9B51-DEB5CF656965}"/>
            </a:ext>
          </a:extLst>
        </xdr:cNvPr>
        <xdr:cNvSpPr/>
      </xdr:nvSpPr>
      <xdr:spPr>
        <a:xfrm>
          <a:off x="7454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1200" name="Isosceles Triangle 1199">
          <a:extLst>
            <a:ext uri="{FF2B5EF4-FFF2-40B4-BE49-F238E27FC236}">
              <a16:creationId xmlns:a16="http://schemas.microsoft.com/office/drawing/2014/main" id="{9B906975-B0A3-4963-AD6C-A2E798735000}"/>
            </a:ext>
          </a:extLst>
        </xdr:cNvPr>
        <xdr:cNvSpPr/>
      </xdr:nvSpPr>
      <xdr:spPr>
        <a:xfrm>
          <a:off x="85598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1201" name="Isosceles Triangle 1200">
          <a:extLst>
            <a:ext uri="{FF2B5EF4-FFF2-40B4-BE49-F238E27FC236}">
              <a16:creationId xmlns:a16="http://schemas.microsoft.com/office/drawing/2014/main" id="{6F998B87-C142-473A-AD92-89ADDD1837F7}"/>
            </a:ext>
          </a:extLst>
        </xdr:cNvPr>
        <xdr:cNvSpPr/>
      </xdr:nvSpPr>
      <xdr:spPr>
        <a:xfrm>
          <a:off x="9594850" y="28663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1202" name="Isosceles Triangle 1201">
          <a:extLst>
            <a:ext uri="{FF2B5EF4-FFF2-40B4-BE49-F238E27FC236}">
              <a16:creationId xmlns:a16="http://schemas.microsoft.com/office/drawing/2014/main" id="{42A35D79-E6C2-4D34-B41B-AB23720B37ED}"/>
            </a:ext>
          </a:extLst>
        </xdr:cNvPr>
        <xdr:cNvSpPr/>
      </xdr:nvSpPr>
      <xdr:spPr>
        <a:xfrm>
          <a:off x="10560050" y="286639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1203" name="Isosceles Triangle 1202">
          <a:extLst>
            <a:ext uri="{FF2B5EF4-FFF2-40B4-BE49-F238E27FC236}">
              <a16:creationId xmlns:a16="http://schemas.microsoft.com/office/drawing/2014/main" id="{61197353-08D3-4AB4-9987-BAABE84584A6}"/>
            </a:ext>
          </a:extLst>
        </xdr:cNvPr>
        <xdr:cNvSpPr/>
      </xdr:nvSpPr>
      <xdr:spPr>
        <a:xfrm>
          <a:off x="11703050" y="286639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1204" name="Isosceles Triangle 1203">
          <a:extLst>
            <a:ext uri="{FF2B5EF4-FFF2-40B4-BE49-F238E27FC236}">
              <a16:creationId xmlns:a16="http://schemas.microsoft.com/office/drawing/2014/main" id="{84246B47-6226-4056-AFF0-51DCBC217B8D}"/>
            </a:ext>
          </a:extLst>
        </xdr:cNvPr>
        <xdr:cNvSpPr/>
      </xdr:nvSpPr>
      <xdr:spPr>
        <a:xfrm>
          <a:off x="12655550" y="286639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1205" name="Isosceles Triangle 1204">
          <a:extLst>
            <a:ext uri="{FF2B5EF4-FFF2-40B4-BE49-F238E27FC236}">
              <a16:creationId xmlns:a16="http://schemas.microsoft.com/office/drawing/2014/main" id="{5D4E7240-FF23-48C8-BD33-7D1C8B933403}"/>
            </a:ext>
          </a:extLst>
        </xdr:cNvPr>
        <xdr:cNvSpPr/>
      </xdr:nvSpPr>
      <xdr:spPr>
        <a:xfrm>
          <a:off x="13703300" y="286639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1206" name="Arrow: Up 1284">
          <a:extLst>
            <a:ext uri="{FF2B5EF4-FFF2-40B4-BE49-F238E27FC236}">
              <a16:creationId xmlns:a16="http://schemas.microsoft.com/office/drawing/2014/main" id="{5BCCD484-1705-43C7-BC70-1259786884A4}"/>
            </a:ext>
          </a:extLst>
        </xdr:cNvPr>
        <xdr:cNvSpPr/>
      </xdr:nvSpPr>
      <xdr:spPr>
        <a:xfrm>
          <a:off x="1266175" y="28982266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1207" name="Isosceles Triangle 1206">
          <a:extLst>
            <a:ext uri="{FF2B5EF4-FFF2-40B4-BE49-F238E27FC236}">
              <a16:creationId xmlns:a16="http://schemas.microsoft.com/office/drawing/2014/main" id="{AC40637F-E510-4B21-BBD2-93EC15C31E8F}"/>
            </a:ext>
          </a:extLst>
        </xdr:cNvPr>
        <xdr:cNvSpPr/>
      </xdr:nvSpPr>
      <xdr:spPr>
        <a:xfrm>
          <a:off x="6413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1208" name="Isosceles Triangle 1207">
          <a:extLst>
            <a:ext uri="{FF2B5EF4-FFF2-40B4-BE49-F238E27FC236}">
              <a16:creationId xmlns:a16="http://schemas.microsoft.com/office/drawing/2014/main" id="{DDF3B99D-F924-4A6C-B2EE-880AAFC4B569}"/>
            </a:ext>
          </a:extLst>
        </xdr:cNvPr>
        <xdr:cNvSpPr/>
      </xdr:nvSpPr>
      <xdr:spPr>
        <a:xfrm>
          <a:off x="26797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1209" name="Isosceles Triangle 1208">
          <a:extLst>
            <a:ext uri="{FF2B5EF4-FFF2-40B4-BE49-F238E27FC236}">
              <a16:creationId xmlns:a16="http://schemas.microsoft.com/office/drawing/2014/main" id="{E0D4B43C-FF55-4D17-B656-2BA0F8259BE0}"/>
            </a:ext>
          </a:extLst>
        </xdr:cNvPr>
        <xdr:cNvSpPr/>
      </xdr:nvSpPr>
      <xdr:spPr>
        <a:xfrm>
          <a:off x="1631950" y="286639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1210" name="Isosceles Triangle 1209">
          <a:extLst>
            <a:ext uri="{FF2B5EF4-FFF2-40B4-BE49-F238E27FC236}">
              <a16:creationId xmlns:a16="http://schemas.microsoft.com/office/drawing/2014/main" id="{8DB7AADB-47D3-43B1-9F90-DE22104341F3}"/>
            </a:ext>
          </a:extLst>
        </xdr:cNvPr>
        <xdr:cNvSpPr/>
      </xdr:nvSpPr>
      <xdr:spPr>
        <a:xfrm>
          <a:off x="37147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1211" name="Isosceles Triangle 1210">
          <a:extLst>
            <a:ext uri="{FF2B5EF4-FFF2-40B4-BE49-F238E27FC236}">
              <a16:creationId xmlns:a16="http://schemas.microsoft.com/office/drawing/2014/main" id="{7D237CCE-CC93-401D-BA9F-1FFCA42CBCB7}"/>
            </a:ext>
          </a:extLst>
        </xdr:cNvPr>
        <xdr:cNvSpPr/>
      </xdr:nvSpPr>
      <xdr:spPr>
        <a:xfrm>
          <a:off x="55689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ADF28840-6AD1-4BB5-8A6D-F81BFF98E8E3}"/>
            </a:ext>
          </a:extLst>
        </xdr:cNvPr>
        <xdr:cNvSpPr/>
      </xdr:nvSpPr>
      <xdr:spPr>
        <a:xfrm>
          <a:off x="9594850" y="286639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E51F7A01-B8D6-48DE-9540-4EB70EFF18F7}"/>
            </a:ext>
          </a:extLst>
        </xdr:cNvPr>
        <xdr:cNvSpPr/>
      </xdr:nvSpPr>
      <xdr:spPr>
        <a:xfrm>
          <a:off x="85598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1214" name="Isosceles Triangle 1213">
          <a:extLst>
            <a:ext uri="{FF2B5EF4-FFF2-40B4-BE49-F238E27FC236}">
              <a16:creationId xmlns:a16="http://schemas.microsoft.com/office/drawing/2014/main" id="{EC09E907-A3D0-44EF-8262-9C4EC9B26082}"/>
            </a:ext>
          </a:extLst>
        </xdr:cNvPr>
        <xdr:cNvSpPr/>
      </xdr:nvSpPr>
      <xdr:spPr>
        <a:xfrm>
          <a:off x="4660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1215" name="Isosceles Triangle 1214">
          <a:extLst>
            <a:ext uri="{FF2B5EF4-FFF2-40B4-BE49-F238E27FC236}">
              <a16:creationId xmlns:a16="http://schemas.microsoft.com/office/drawing/2014/main" id="{65A43F98-BF32-4F92-9FFC-D47445D58FD0}"/>
            </a:ext>
          </a:extLst>
        </xdr:cNvPr>
        <xdr:cNvSpPr/>
      </xdr:nvSpPr>
      <xdr:spPr>
        <a:xfrm>
          <a:off x="7454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1216" name="Isosceles Triangle 1215">
          <a:extLst>
            <a:ext uri="{FF2B5EF4-FFF2-40B4-BE49-F238E27FC236}">
              <a16:creationId xmlns:a16="http://schemas.microsoft.com/office/drawing/2014/main" id="{E9D42C85-0262-482B-8254-76D3E9B70F73}"/>
            </a:ext>
          </a:extLst>
        </xdr:cNvPr>
        <xdr:cNvSpPr/>
      </xdr:nvSpPr>
      <xdr:spPr>
        <a:xfrm>
          <a:off x="6534150" y="286639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217" name="Isosceles Triangle 1216">
          <a:extLst>
            <a:ext uri="{FF2B5EF4-FFF2-40B4-BE49-F238E27FC236}">
              <a16:creationId xmlns:a16="http://schemas.microsoft.com/office/drawing/2014/main" id="{19B4BC76-F439-4141-A021-7A7F9067F9A5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3747</xdr:colOff>
      <xdr:row>162</xdr:row>
      <xdr:rowOff>3747</xdr:rowOff>
    </xdr:from>
    <xdr:to>
      <xdr:col>6</xdr:col>
      <xdr:colOff>4858</xdr:colOff>
      <xdr:row>164</xdr:row>
      <xdr:rowOff>2565</xdr:rowOff>
    </xdr:to>
    <xdr:sp macro="" textlink="">
      <xdr:nvSpPr>
        <xdr:cNvPr id="1218" name="Isosceles Triangle 1217">
          <a:extLst>
            <a:ext uri="{FF2B5EF4-FFF2-40B4-BE49-F238E27FC236}">
              <a16:creationId xmlns:a16="http://schemas.microsoft.com/office/drawing/2014/main" id="{635B7723-6164-4607-AD50-545D092C35C1}"/>
            </a:ext>
          </a:extLst>
        </xdr:cNvPr>
        <xdr:cNvSpPr/>
      </xdr:nvSpPr>
      <xdr:spPr>
        <a:xfrm>
          <a:off x="1635697" y="30140847"/>
          <a:ext cx="559911" cy="3671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1219" name="Isosceles Triangle 1218">
          <a:extLst>
            <a:ext uri="{FF2B5EF4-FFF2-40B4-BE49-F238E27FC236}">
              <a16:creationId xmlns:a16="http://schemas.microsoft.com/office/drawing/2014/main" id="{4F4C0E91-395A-4DFB-BF87-945C6BC685D3}"/>
            </a:ext>
          </a:extLst>
        </xdr:cNvPr>
        <xdr:cNvSpPr/>
      </xdr:nvSpPr>
      <xdr:spPr>
        <a:xfrm>
          <a:off x="26797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1220" name="Isosceles Triangle 1219">
          <a:extLst>
            <a:ext uri="{FF2B5EF4-FFF2-40B4-BE49-F238E27FC236}">
              <a16:creationId xmlns:a16="http://schemas.microsoft.com/office/drawing/2014/main" id="{0E50B60C-652F-4A92-99D5-D797E71E2359}"/>
            </a:ext>
          </a:extLst>
        </xdr:cNvPr>
        <xdr:cNvSpPr/>
      </xdr:nvSpPr>
      <xdr:spPr>
        <a:xfrm>
          <a:off x="37147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1221" name="Isosceles Triangle 1220">
          <a:extLst>
            <a:ext uri="{FF2B5EF4-FFF2-40B4-BE49-F238E27FC236}">
              <a16:creationId xmlns:a16="http://schemas.microsoft.com/office/drawing/2014/main" id="{9D2C60B9-0B47-427C-B7D1-26B8F3C9989F}"/>
            </a:ext>
          </a:extLst>
        </xdr:cNvPr>
        <xdr:cNvSpPr/>
      </xdr:nvSpPr>
      <xdr:spPr>
        <a:xfrm>
          <a:off x="4660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1222" name="Isosceles Triangle 1221">
          <a:extLst>
            <a:ext uri="{FF2B5EF4-FFF2-40B4-BE49-F238E27FC236}">
              <a16:creationId xmlns:a16="http://schemas.microsoft.com/office/drawing/2014/main" id="{B779CED8-AA49-4C0B-908D-67CC77C175F1}"/>
            </a:ext>
          </a:extLst>
        </xdr:cNvPr>
        <xdr:cNvSpPr/>
      </xdr:nvSpPr>
      <xdr:spPr>
        <a:xfrm>
          <a:off x="65341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1223" name="Isosceles Triangle 1222">
          <a:extLst>
            <a:ext uri="{FF2B5EF4-FFF2-40B4-BE49-F238E27FC236}">
              <a16:creationId xmlns:a16="http://schemas.microsoft.com/office/drawing/2014/main" id="{88FEB5EA-D3BB-4D3C-B4CD-BDC3E72B4B4B}"/>
            </a:ext>
          </a:extLst>
        </xdr:cNvPr>
        <xdr:cNvSpPr/>
      </xdr:nvSpPr>
      <xdr:spPr>
        <a:xfrm>
          <a:off x="7454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1224" name="Isosceles Triangle 1223">
          <a:extLst>
            <a:ext uri="{FF2B5EF4-FFF2-40B4-BE49-F238E27FC236}">
              <a16:creationId xmlns:a16="http://schemas.microsoft.com/office/drawing/2014/main" id="{D904E249-7925-47FB-8D5E-74D9C8B0844E}"/>
            </a:ext>
          </a:extLst>
        </xdr:cNvPr>
        <xdr:cNvSpPr/>
      </xdr:nvSpPr>
      <xdr:spPr>
        <a:xfrm>
          <a:off x="85598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1225" name="Isosceles Triangle 1224">
          <a:extLst>
            <a:ext uri="{FF2B5EF4-FFF2-40B4-BE49-F238E27FC236}">
              <a16:creationId xmlns:a16="http://schemas.microsoft.com/office/drawing/2014/main" id="{872105C9-C883-4686-ABB3-C8EE32A6A12A}"/>
            </a:ext>
          </a:extLst>
        </xdr:cNvPr>
        <xdr:cNvSpPr/>
      </xdr:nvSpPr>
      <xdr:spPr>
        <a:xfrm>
          <a:off x="9594850" y="30137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1226" name="Isosceles Triangle 1225">
          <a:extLst>
            <a:ext uri="{FF2B5EF4-FFF2-40B4-BE49-F238E27FC236}">
              <a16:creationId xmlns:a16="http://schemas.microsoft.com/office/drawing/2014/main" id="{114C05ED-765A-4228-823E-D1BC668EDACD}"/>
            </a:ext>
          </a:extLst>
        </xdr:cNvPr>
        <xdr:cNvSpPr/>
      </xdr:nvSpPr>
      <xdr:spPr>
        <a:xfrm>
          <a:off x="11703050" y="30137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1227" name="Isosceles Triangle 1226">
          <a:extLst>
            <a:ext uri="{FF2B5EF4-FFF2-40B4-BE49-F238E27FC236}">
              <a16:creationId xmlns:a16="http://schemas.microsoft.com/office/drawing/2014/main" id="{2CDEE65F-6AE2-4B8D-B615-5DB39FE423C0}"/>
            </a:ext>
          </a:extLst>
        </xdr:cNvPr>
        <xdr:cNvSpPr/>
      </xdr:nvSpPr>
      <xdr:spPr>
        <a:xfrm>
          <a:off x="12655550" y="301371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1228" name="Isosceles Triangle 1227">
          <a:extLst>
            <a:ext uri="{FF2B5EF4-FFF2-40B4-BE49-F238E27FC236}">
              <a16:creationId xmlns:a16="http://schemas.microsoft.com/office/drawing/2014/main" id="{BB3567A6-5BDD-4596-B697-E38739CFAA9C}"/>
            </a:ext>
          </a:extLst>
        </xdr:cNvPr>
        <xdr:cNvSpPr/>
      </xdr:nvSpPr>
      <xdr:spPr>
        <a:xfrm>
          <a:off x="13703300" y="30137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1229" name="Arrow: Up 1309">
          <a:extLst>
            <a:ext uri="{FF2B5EF4-FFF2-40B4-BE49-F238E27FC236}">
              <a16:creationId xmlns:a16="http://schemas.microsoft.com/office/drawing/2014/main" id="{073D7CAF-797D-4741-96ED-790FFC439ED2}"/>
            </a:ext>
          </a:extLst>
        </xdr:cNvPr>
        <xdr:cNvSpPr/>
      </xdr:nvSpPr>
      <xdr:spPr>
        <a:xfrm>
          <a:off x="1331118" y="30487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1230" name="Isosceles Triangle 1229">
          <a:extLst>
            <a:ext uri="{FF2B5EF4-FFF2-40B4-BE49-F238E27FC236}">
              <a16:creationId xmlns:a16="http://schemas.microsoft.com/office/drawing/2014/main" id="{7CC5A703-D1B4-49FF-8954-2B0D4D37FC61}"/>
            </a:ext>
          </a:extLst>
        </xdr:cNvPr>
        <xdr:cNvSpPr/>
      </xdr:nvSpPr>
      <xdr:spPr>
        <a:xfrm>
          <a:off x="641350" y="30137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1231" name="Isosceles Triangle 1230">
          <a:extLst>
            <a:ext uri="{FF2B5EF4-FFF2-40B4-BE49-F238E27FC236}">
              <a16:creationId xmlns:a16="http://schemas.microsoft.com/office/drawing/2014/main" id="{1DD3AD03-846E-4FAB-B849-1C26EE3B955E}"/>
            </a:ext>
          </a:extLst>
        </xdr:cNvPr>
        <xdr:cNvSpPr/>
      </xdr:nvSpPr>
      <xdr:spPr>
        <a:xfrm>
          <a:off x="26797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1232" name="Isosceles Triangle 1231">
          <a:extLst>
            <a:ext uri="{FF2B5EF4-FFF2-40B4-BE49-F238E27FC236}">
              <a16:creationId xmlns:a16="http://schemas.microsoft.com/office/drawing/2014/main" id="{F9522AFA-C853-4315-9E0B-F78567E916A0}"/>
            </a:ext>
          </a:extLst>
        </xdr:cNvPr>
        <xdr:cNvSpPr/>
      </xdr:nvSpPr>
      <xdr:spPr>
        <a:xfrm>
          <a:off x="1631950" y="301371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1233" name="Isosceles Triangle 1232">
          <a:extLst>
            <a:ext uri="{FF2B5EF4-FFF2-40B4-BE49-F238E27FC236}">
              <a16:creationId xmlns:a16="http://schemas.microsoft.com/office/drawing/2014/main" id="{8D9980E0-973D-43C3-9E82-A5ADD75CE9E7}"/>
            </a:ext>
          </a:extLst>
        </xdr:cNvPr>
        <xdr:cNvSpPr/>
      </xdr:nvSpPr>
      <xdr:spPr>
        <a:xfrm>
          <a:off x="371475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1234" name="Isosceles Triangle 1233">
          <a:extLst>
            <a:ext uri="{FF2B5EF4-FFF2-40B4-BE49-F238E27FC236}">
              <a16:creationId xmlns:a16="http://schemas.microsoft.com/office/drawing/2014/main" id="{2E8D3EE5-80C5-430D-A2D9-F67CCC4BE7BB}"/>
            </a:ext>
          </a:extLst>
        </xdr:cNvPr>
        <xdr:cNvSpPr/>
      </xdr:nvSpPr>
      <xdr:spPr>
        <a:xfrm>
          <a:off x="9594850" y="30137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1235" name="Isosceles Triangle 1234">
          <a:extLst>
            <a:ext uri="{FF2B5EF4-FFF2-40B4-BE49-F238E27FC236}">
              <a16:creationId xmlns:a16="http://schemas.microsoft.com/office/drawing/2014/main" id="{9F512DBC-5974-4604-AB8C-C34CBC5FF8F7}"/>
            </a:ext>
          </a:extLst>
        </xdr:cNvPr>
        <xdr:cNvSpPr/>
      </xdr:nvSpPr>
      <xdr:spPr>
        <a:xfrm>
          <a:off x="8559800" y="30137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1236" name="Isosceles Triangle 1235">
          <a:extLst>
            <a:ext uri="{FF2B5EF4-FFF2-40B4-BE49-F238E27FC236}">
              <a16:creationId xmlns:a16="http://schemas.microsoft.com/office/drawing/2014/main" id="{0072F6D1-B635-4A69-B286-5980E6923E93}"/>
            </a:ext>
          </a:extLst>
        </xdr:cNvPr>
        <xdr:cNvSpPr/>
      </xdr:nvSpPr>
      <xdr:spPr>
        <a:xfrm>
          <a:off x="4660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1237" name="Isosceles Triangle 1236">
          <a:extLst>
            <a:ext uri="{FF2B5EF4-FFF2-40B4-BE49-F238E27FC236}">
              <a16:creationId xmlns:a16="http://schemas.microsoft.com/office/drawing/2014/main" id="{DCE13725-C05F-45F2-A504-277C0E991775}"/>
            </a:ext>
          </a:extLst>
        </xdr:cNvPr>
        <xdr:cNvSpPr/>
      </xdr:nvSpPr>
      <xdr:spPr>
        <a:xfrm>
          <a:off x="7454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1238" name="Isosceles Triangle 1237">
          <a:extLst>
            <a:ext uri="{FF2B5EF4-FFF2-40B4-BE49-F238E27FC236}">
              <a16:creationId xmlns:a16="http://schemas.microsoft.com/office/drawing/2014/main" id="{BC07DE8E-EFB4-4FE0-84DF-E2457A8B6FC0}"/>
            </a:ext>
          </a:extLst>
        </xdr:cNvPr>
        <xdr:cNvSpPr/>
      </xdr:nvSpPr>
      <xdr:spPr>
        <a:xfrm>
          <a:off x="6534150" y="301371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1239" name="Isosceles Triangle 1238">
          <a:extLst>
            <a:ext uri="{FF2B5EF4-FFF2-40B4-BE49-F238E27FC236}">
              <a16:creationId xmlns:a16="http://schemas.microsoft.com/office/drawing/2014/main" id="{CC700B26-DB3F-4EC0-B1BB-18BA09C8583F}"/>
            </a:ext>
          </a:extLst>
        </xdr:cNvPr>
        <xdr:cNvSpPr/>
      </xdr:nvSpPr>
      <xdr:spPr>
        <a:xfrm>
          <a:off x="26797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1240" name="Isosceles Triangle 1239">
          <a:extLst>
            <a:ext uri="{FF2B5EF4-FFF2-40B4-BE49-F238E27FC236}">
              <a16:creationId xmlns:a16="http://schemas.microsoft.com/office/drawing/2014/main" id="{2BA6B228-A967-4BED-A189-69DC79B3B32A}"/>
            </a:ext>
          </a:extLst>
        </xdr:cNvPr>
        <xdr:cNvSpPr/>
      </xdr:nvSpPr>
      <xdr:spPr>
        <a:xfrm>
          <a:off x="37147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1241" name="Isosceles Triangle 1240">
          <a:extLst>
            <a:ext uri="{FF2B5EF4-FFF2-40B4-BE49-F238E27FC236}">
              <a16:creationId xmlns:a16="http://schemas.microsoft.com/office/drawing/2014/main" id="{CBE2AF48-5161-4FEA-A356-A5221A5E3715}"/>
            </a:ext>
          </a:extLst>
        </xdr:cNvPr>
        <xdr:cNvSpPr/>
      </xdr:nvSpPr>
      <xdr:spPr>
        <a:xfrm>
          <a:off x="4660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1242" name="Isosceles Triangle 1241">
          <a:extLst>
            <a:ext uri="{FF2B5EF4-FFF2-40B4-BE49-F238E27FC236}">
              <a16:creationId xmlns:a16="http://schemas.microsoft.com/office/drawing/2014/main" id="{BD6C599F-C36A-4F42-9C97-EFD54199D9F0}"/>
            </a:ext>
          </a:extLst>
        </xdr:cNvPr>
        <xdr:cNvSpPr/>
      </xdr:nvSpPr>
      <xdr:spPr>
        <a:xfrm>
          <a:off x="55689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1243" name="Isosceles Triangle 1242">
          <a:extLst>
            <a:ext uri="{FF2B5EF4-FFF2-40B4-BE49-F238E27FC236}">
              <a16:creationId xmlns:a16="http://schemas.microsoft.com/office/drawing/2014/main" id="{EF720EB2-2CEE-4CDB-A060-BF69E957E935}"/>
            </a:ext>
          </a:extLst>
        </xdr:cNvPr>
        <xdr:cNvSpPr/>
      </xdr:nvSpPr>
      <xdr:spPr>
        <a:xfrm>
          <a:off x="65341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1244" name="Isosceles Triangle 1243">
          <a:extLst>
            <a:ext uri="{FF2B5EF4-FFF2-40B4-BE49-F238E27FC236}">
              <a16:creationId xmlns:a16="http://schemas.microsoft.com/office/drawing/2014/main" id="{9078BD63-250A-4DC9-B272-6F33FC5F5CAA}"/>
            </a:ext>
          </a:extLst>
        </xdr:cNvPr>
        <xdr:cNvSpPr/>
      </xdr:nvSpPr>
      <xdr:spPr>
        <a:xfrm>
          <a:off x="7454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1245" name="Isosceles Triangle 1244">
          <a:extLst>
            <a:ext uri="{FF2B5EF4-FFF2-40B4-BE49-F238E27FC236}">
              <a16:creationId xmlns:a16="http://schemas.microsoft.com/office/drawing/2014/main" id="{DE2995EA-57A2-4A59-96FD-FB2C57FAE01B}"/>
            </a:ext>
          </a:extLst>
        </xdr:cNvPr>
        <xdr:cNvSpPr/>
      </xdr:nvSpPr>
      <xdr:spPr>
        <a:xfrm>
          <a:off x="85598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1246" name="Isosceles Triangle 1245">
          <a:extLst>
            <a:ext uri="{FF2B5EF4-FFF2-40B4-BE49-F238E27FC236}">
              <a16:creationId xmlns:a16="http://schemas.microsoft.com/office/drawing/2014/main" id="{5F5C5AA4-90A9-4B16-8C1D-90F95DC99C77}"/>
            </a:ext>
          </a:extLst>
        </xdr:cNvPr>
        <xdr:cNvSpPr/>
      </xdr:nvSpPr>
      <xdr:spPr>
        <a:xfrm>
          <a:off x="9594850" y="316103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1247" name="Isosceles Triangle 1246">
          <a:extLst>
            <a:ext uri="{FF2B5EF4-FFF2-40B4-BE49-F238E27FC236}">
              <a16:creationId xmlns:a16="http://schemas.microsoft.com/office/drawing/2014/main" id="{6F541E79-1478-4940-8BA5-1B8A289AA1D6}"/>
            </a:ext>
          </a:extLst>
        </xdr:cNvPr>
        <xdr:cNvSpPr/>
      </xdr:nvSpPr>
      <xdr:spPr>
        <a:xfrm>
          <a:off x="10560050" y="316103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1248" name="Isosceles Triangle 1247">
          <a:extLst>
            <a:ext uri="{FF2B5EF4-FFF2-40B4-BE49-F238E27FC236}">
              <a16:creationId xmlns:a16="http://schemas.microsoft.com/office/drawing/2014/main" id="{96F4B5AA-3D96-422A-9A34-E7D86D357BCE}"/>
            </a:ext>
          </a:extLst>
        </xdr:cNvPr>
        <xdr:cNvSpPr/>
      </xdr:nvSpPr>
      <xdr:spPr>
        <a:xfrm>
          <a:off x="11703050" y="31610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1249" name="Isosceles Triangle 1248">
          <a:extLst>
            <a:ext uri="{FF2B5EF4-FFF2-40B4-BE49-F238E27FC236}">
              <a16:creationId xmlns:a16="http://schemas.microsoft.com/office/drawing/2014/main" id="{60EE5AF2-AF6F-4DA5-A244-98145F5A26CB}"/>
            </a:ext>
          </a:extLst>
        </xdr:cNvPr>
        <xdr:cNvSpPr/>
      </xdr:nvSpPr>
      <xdr:spPr>
        <a:xfrm>
          <a:off x="12655550" y="316103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1250" name="Isosceles Triangle 1249">
          <a:extLst>
            <a:ext uri="{FF2B5EF4-FFF2-40B4-BE49-F238E27FC236}">
              <a16:creationId xmlns:a16="http://schemas.microsoft.com/office/drawing/2014/main" id="{40A2F6F9-9A02-4404-89FA-4E8AA0748735}"/>
            </a:ext>
          </a:extLst>
        </xdr:cNvPr>
        <xdr:cNvSpPr/>
      </xdr:nvSpPr>
      <xdr:spPr>
        <a:xfrm>
          <a:off x="13703300" y="31610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1251" name="Isosceles Triangle 1250">
          <a:extLst>
            <a:ext uri="{FF2B5EF4-FFF2-40B4-BE49-F238E27FC236}">
              <a16:creationId xmlns:a16="http://schemas.microsoft.com/office/drawing/2014/main" id="{9404BD46-8EF5-469B-9433-F141D02549FC}"/>
            </a:ext>
          </a:extLst>
        </xdr:cNvPr>
        <xdr:cNvSpPr/>
      </xdr:nvSpPr>
      <xdr:spPr>
        <a:xfrm>
          <a:off x="3714750" y="31610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1252" name="Isosceles Triangle 1251">
          <a:extLst>
            <a:ext uri="{FF2B5EF4-FFF2-40B4-BE49-F238E27FC236}">
              <a16:creationId xmlns:a16="http://schemas.microsoft.com/office/drawing/2014/main" id="{03B3C394-ECA9-4224-9866-37A0C811B407}"/>
            </a:ext>
          </a:extLst>
        </xdr:cNvPr>
        <xdr:cNvSpPr/>
      </xdr:nvSpPr>
      <xdr:spPr>
        <a:xfrm>
          <a:off x="5568950" y="31610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1253" name="Isosceles Triangle 1252">
          <a:extLst>
            <a:ext uri="{FF2B5EF4-FFF2-40B4-BE49-F238E27FC236}">
              <a16:creationId xmlns:a16="http://schemas.microsoft.com/office/drawing/2014/main" id="{492EB72F-5052-443A-93F1-A88ABFF59AC9}"/>
            </a:ext>
          </a:extLst>
        </xdr:cNvPr>
        <xdr:cNvSpPr/>
      </xdr:nvSpPr>
      <xdr:spPr>
        <a:xfrm>
          <a:off x="9594850" y="316103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1254" name="Isosceles Triangle 1253">
          <a:extLst>
            <a:ext uri="{FF2B5EF4-FFF2-40B4-BE49-F238E27FC236}">
              <a16:creationId xmlns:a16="http://schemas.microsoft.com/office/drawing/2014/main" id="{D397A4DF-30EF-45E7-BC95-F7C58F206AB0}"/>
            </a:ext>
          </a:extLst>
        </xdr:cNvPr>
        <xdr:cNvSpPr/>
      </xdr:nvSpPr>
      <xdr:spPr>
        <a:xfrm>
          <a:off x="85598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1255" name="Isosceles Triangle 1254">
          <a:extLst>
            <a:ext uri="{FF2B5EF4-FFF2-40B4-BE49-F238E27FC236}">
              <a16:creationId xmlns:a16="http://schemas.microsoft.com/office/drawing/2014/main" id="{1A336855-5D6E-47E6-B65F-437C6C881A6D}"/>
            </a:ext>
          </a:extLst>
        </xdr:cNvPr>
        <xdr:cNvSpPr/>
      </xdr:nvSpPr>
      <xdr:spPr>
        <a:xfrm>
          <a:off x="46609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1256" name="Isosceles Triangle 1255">
          <a:extLst>
            <a:ext uri="{FF2B5EF4-FFF2-40B4-BE49-F238E27FC236}">
              <a16:creationId xmlns:a16="http://schemas.microsoft.com/office/drawing/2014/main" id="{54A70FB5-F485-4E23-BF99-806426B97780}"/>
            </a:ext>
          </a:extLst>
        </xdr:cNvPr>
        <xdr:cNvSpPr/>
      </xdr:nvSpPr>
      <xdr:spPr>
        <a:xfrm>
          <a:off x="7454900" y="31610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1257" name="Isosceles Triangle 1256">
          <a:extLst>
            <a:ext uri="{FF2B5EF4-FFF2-40B4-BE49-F238E27FC236}">
              <a16:creationId xmlns:a16="http://schemas.microsoft.com/office/drawing/2014/main" id="{CD34A633-D327-4974-BF86-A4D2F01FA741}"/>
            </a:ext>
          </a:extLst>
        </xdr:cNvPr>
        <xdr:cNvSpPr/>
      </xdr:nvSpPr>
      <xdr:spPr>
        <a:xfrm>
          <a:off x="6534150" y="316103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258" name="Isosceles Triangle 1257">
          <a:extLst>
            <a:ext uri="{FF2B5EF4-FFF2-40B4-BE49-F238E27FC236}">
              <a16:creationId xmlns:a16="http://schemas.microsoft.com/office/drawing/2014/main" id="{E98E0429-348D-4ED0-BD97-D11236F1E27B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6</xdr:col>
      <xdr:colOff>2984</xdr:colOff>
      <xdr:row>179</xdr:row>
      <xdr:rowOff>183173</xdr:rowOff>
    </xdr:to>
    <xdr:sp macro="" textlink="">
      <xdr:nvSpPr>
        <xdr:cNvPr id="1259" name="Isosceles Triangle 1258">
          <a:extLst>
            <a:ext uri="{FF2B5EF4-FFF2-40B4-BE49-F238E27FC236}">
              <a16:creationId xmlns:a16="http://schemas.microsoft.com/office/drawing/2014/main" id="{F282FB83-D336-419B-91A3-0034DE33003A}"/>
            </a:ext>
          </a:extLst>
        </xdr:cNvPr>
        <xdr:cNvSpPr/>
      </xdr:nvSpPr>
      <xdr:spPr>
        <a:xfrm>
          <a:off x="1631950" y="33083500"/>
          <a:ext cx="561784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1260" name="Isosceles Triangle 1259">
          <a:extLst>
            <a:ext uri="{FF2B5EF4-FFF2-40B4-BE49-F238E27FC236}">
              <a16:creationId xmlns:a16="http://schemas.microsoft.com/office/drawing/2014/main" id="{27240D44-98F4-4F59-BFF5-2352581BD194}"/>
            </a:ext>
          </a:extLst>
        </xdr:cNvPr>
        <xdr:cNvSpPr/>
      </xdr:nvSpPr>
      <xdr:spPr>
        <a:xfrm>
          <a:off x="26797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1261" name="Isosceles Triangle 1260">
          <a:extLst>
            <a:ext uri="{FF2B5EF4-FFF2-40B4-BE49-F238E27FC236}">
              <a16:creationId xmlns:a16="http://schemas.microsoft.com/office/drawing/2014/main" id="{B08FB877-9B4E-43CB-87B3-B5E04EED6454}"/>
            </a:ext>
          </a:extLst>
        </xdr:cNvPr>
        <xdr:cNvSpPr/>
      </xdr:nvSpPr>
      <xdr:spPr>
        <a:xfrm>
          <a:off x="37147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1262" name="Isosceles Triangle 1261">
          <a:extLst>
            <a:ext uri="{FF2B5EF4-FFF2-40B4-BE49-F238E27FC236}">
              <a16:creationId xmlns:a16="http://schemas.microsoft.com/office/drawing/2014/main" id="{BF1652BE-5088-4008-A26E-AE405C83FDFC}"/>
            </a:ext>
          </a:extLst>
        </xdr:cNvPr>
        <xdr:cNvSpPr/>
      </xdr:nvSpPr>
      <xdr:spPr>
        <a:xfrm>
          <a:off x="4660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1263" name="Isosceles Triangle 1262">
          <a:extLst>
            <a:ext uri="{FF2B5EF4-FFF2-40B4-BE49-F238E27FC236}">
              <a16:creationId xmlns:a16="http://schemas.microsoft.com/office/drawing/2014/main" id="{80158C4B-57B8-4627-9C23-141EA907BA86}"/>
            </a:ext>
          </a:extLst>
        </xdr:cNvPr>
        <xdr:cNvSpPr/>
      </xdr:nvSpPr>
      <xdr:spPr>
        <a:xfrm>
          <a:off x="55689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1264" name="Isosceles Triangle 1263">
          <a:extLst>
            <a:ext uri="{FF2B5EF4-FFF2-40B4-BE49-F238E27FC236}">
              <a16:creationId xmlns:a16="http://schemas.microsoft.com/office/drawing/2014/main" id="{DC381BA3-BE66-4EE2-BD90-8FD04FA4EF57}"/>
            </a:ext>
          </a:extLst>
        </xdr:cNvPr>
        <xdr:cNvSpPr/>
      </xdr:nvSpPr>
      <xdr:spPr>
        <a:xfrm>
          <a:off x="65341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1265" name="Isosceles Triangle 1264">
          <a:extLst>
            <a:ext uri="{FF2B5EF4-FFF2-40B4-BE49-F238E27FC236}">
              <a16:creationId xmlns:a16="http://schemas.microsoft.com/office/drawing/2014/main" id="{9366098A-6223-44A9-8138-5E7E681EEE0C}"/>
            </a:ext>
          </a:extLst>
        </xdr:cNvPr>
        <xdr:cNvSpPr/>
      </xdr:nvSpPr>
      <xdr:spPr>
        <a:xfrm>
          <a:off x="7454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1266" name="Isosceles Triangle 1265">
          <a:extLst>
            <a:ext uri="{FF2B5EF4-FFF2-40B4-BE49-F238E27FC236}">
              <a16:creationId xmlns:a16="http://schemas.microsoft.com/office/drawing/2014/main" id="{AEEBA284-BA5A-4B37-A118-0272E8A1FAA0}"/>
            </a:ext>
          </a:extLst>
        </xdr:cNvPr>
        <xdr:cNvSpPr/>
      </xdr:nvSpPr>
      <xdr:spPr>
        <a:xfrm>
          <a:off x="85598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1267" name="Isosceles Triangle 1266">
          <a:extLst>
            <a:ext uri="{FF2B5EF4-FFF2-40B4-BE49-F238E27FC236}">
              <a16:creationId xmlns:a16="http://schemas.microsoft.com/office/drawing/2014/main" id="{DCE56595-D3FD-4FAC-802D-867688D22DD6}"/>
            </a:ext>
          </a:extLst>
        </xdr:cNvPr>
        <xdr:cNvSpPr/>
      </xdr:nvSpPr>
      <xdr:spPr>
        <a:xfrm>
          <a:off x="9594850" y="33083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1268" name="Isosceles Triangle 1267">
          <a:extLst>
            <a:ext uri="{FF2B5EF4-FFF2-40B4-BE49-F238E27FC236}">
              <a16:creationId xmlns:a16="http://schemas.microsoft.com/office/drawing/2014/main" id="{37EDC1B5-268A-4010-944A-38E5D7E705C4}"/>
            </a:ext>
          </a:extLst>
        </xdr:cNvPr>
        <xdr:cNvSpPr/>
      </xdr:nvSpPr>
      <xdr:spPr>
        <a:xfrm>
          <a:off x="10560050" y="33083500"/>
          <a:ext cx="535843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1269" name="Isosceles Triangle 1268">
          <a:extLst>
            <a:ext uri="{FF2B5EF4-FFF2-40B4-BE49-F238E27FC236}">
              <a16:creationId xmlns:a16="http://schemas.microsoft.com/office/drawing/2014/main" id="{02B08839-CF44-4F45-A21F-8ACA0563C8B5}"/>
            </a:ext>
          </a:extLst>
        </xdr:cNvPr>
        <xdr:cNvSpPr/>
      </xdr:nvSpPr>
      <xdr:spPr>
        <a:xfrm>
          <a:off x="11703050" y="33083500"/>
          <a:ext cx="535842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1270" name="Isosceles Triangle 1269">
          <a:extLst>
            <a:ext uri="{FF2B5EF4-FFF2-40B4-BE49-F238E27FC236}">
              <a16:creationId xmlns:a16="http://schemas.microsoft.com/office/drawing/2014/main" id="{8374EA49-F7E1-401E-8AF3-17CEB9E270C9}"/>
            </a:ext>
          </a:extLst>
        </xdr:cNvPr>
        <xdr:cNvSpPr/>
      </xdr:nvSpPr>
      <xdr:spPr>
        <a:xfrm>
          <a:off x="12655550" y="33083500"/>
          <a:ext cx="529492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1271" name="Isosceles Triangle 1270">
          <a:extLst>
            <a:ext uri="{FF2B5EF4-FFF2-40B4-BE49-F238E27FC236}">
              <a16:creationId xmlns:a16="http://schemas.microsoft.com/office/drawing/2014/main" id="{B8659DEF-2E08-4191-958E-70DBD7293E8C}"/>
            </a:ext>
          </a:extLst>
        </xdr:cNvPr>
        <xdr:cNvSpPr/>
      </xdr:nvSpPr>
      <xdr:spPr>
        <a:xfrm>
          <a:off x="13703300" y="33083500"/>
          <a:ext cx="523143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1272" name="Isosceles Triangle 1271">
          <a:extLst>
            <a:ext uri="{FF2B5EF4-FFF2-40B4-BE49-F238E27FC236}">
              <a16:creationId xmlns:a16="http://schemas.microsoft.com/office/drawing/2014/main" id="{8DB98DF2-9D14-4404-B3E7-4A4EC5978230}"/>
            </a:ext>
          </a:extLst>
        </xdr:cNvPr>
        <xdr:cNvSpPr/>
      </xdr:nvSpPr>
      <xdr:spPr>
        <a:xfrm>
          <a:off x="641350" y="33083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1273" name="Isosceles Triangle 1272">
          <a:extLst>
            <a:ext uri="{FF2B5EF4-FFF2-40B4-BE49-F238E27FC236}">
              <a16:creationId xmlns:a16="http://schemas.microsoft.com/office/drawing/2014/main" id="{8BDC9623-4614-4A8E-97BA-A668C8E6C6FB}"/>
            </a:ext>
          </a:extLst>
        </xdr:cNvPr>
        <xdr:cNvSpPr/>
      </xdr:nvSpPr>
      <xdr:spPr>
        <a:xfrm>
          <a:off x="26797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1274" name="Isosceles Triangle 1273">
          <a:extLst>
            <a:ext uri="{FF2B5EF4-FFF2-40B4-BE49-F238E27FC236}">
              <a16:creationId xmlns:a16="http://schemas.microsoft.com/office/drawing/2014/main" id="{6F44B8B4-9A8A-41A6-B331-A08ED1BC8336}"/>
            </a:ext>
          </a:extLst>
        </xdr:cNvPr>
        <xdr:cNvSpPr/>
      </xdr:nvSpPr>
      <xdr:spPr>
        <a:xfrm>
          <a:off x="1631950" y="330835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1275" name="Isosceles Triangle 1274">
          <a:extLst>
            <a:ext uri="{FF2B5EF4-FFF2-40B4-BE49-F238E27FC236}">
              <a16:creationId xmlns:a16="http://schemas.microsoft.com/office/drawing/2014/main" id="{AB7D8AF4-4F1D-415A-BE41-1C7DD52ECBDF}"/>
            </a:ext>
          </a:extLst>
        </xdr:cNvPr>
        <xdr:cNvSpPr/>
      </xdr:nvSpPr>
      <xdr:spPr>
        <a:xfrm>
          <a:off x="371475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1276" name="Isosceles Triangle 1275">
          <a:extLst>
            <a:ext uri="{FF2B5EF4-FFF2-40B4-BE49-F238E27FC236}">
              <a16:creationId xmlns:a16="http://schemas.microsoft.com/office/drawing/2014/main" id="{53851112-FD63-4264-9C0A-A993EB3D8CC5}"/>
            </a:ext>
          </a:extLst>
        </xdr:cNvPr>
        <xdr:cNvSpPr/>
      </xdr:nvSpPr>
      <xdr:spPr>
        <a:xfrm>
          <a:off x="556895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1277" name="Isosceles Triangle 1276">
          <a:extLst>
            <a:ext uri="{FF2B5EF4-FFF2-40B4-BE49-F238E27FC236}">
              <a16:creationId xmlns:a16="http://schemas.microsoft.com/office/drawing/2014/main" id="{CFEAF034-48F3-4582-80E0-656BADD1DC8F}"/>
            </a:ext>
          </a:extLst>
        </xdr:cNvPr>
        <xdr:cNvSpPr/>
      </xdr:nvSpPr>
      <xdr:spPr>
        <a:xfrm>
          <a:off x="9594850" y="33083500"/>
          <a:ext cx="5231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1278" name="Isosceles Triangle 1277">
          <a:extLst>
            <a:ext uri="{FF2B5EF4-FFF2-40B4-BE49-F238E27FC236}">
              <a16:creationId xmlns:a16="http://schemas.microsoft.com/office/drawing/2014/main" id="{3F193041-B9B0-4347-B0B1-9F593B82D4EB}"/>
            </a:ext>
          </a:extLst>
        </xdr:cNvPr>
        <xdr:cNvSpPr/>
      </xdr:nvSpPr>
      <xdr:spPr>
        <a:xfrm>
          <a:off x="85598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1279" name="Isosceles Triangle 1278">
          <a:extLst>
            <a:ext uri="{FF2B5EF4-FFF2-40B4-BE49-F238E27FC236}">
              <a16:creationId xmlns:a16="http://schemas.microsoft.com/office/drawing/2014/main" id="{00B99D25-1F8C-4DCE-B313-228BC732C7A5}"/>
            </a:ext>
          </a:extLst>
        </xdr:cNvPr>
        <xdr:cNvSpPr/>
      </xdr:nvSpPr>
      <xdr:spPr>
        <a:xfrm>
          <a:off x="46609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1280" name="Isosceles Triangle 1279">
          <a:extLst>
            <a:ext uri="{FF2B5EF4-FFF2-40B4-BE49-F238E27FC236}">
              <a16:creationId xmlns:a16="http://schemas.microsoft.com/office/drawing/2014/main" id="{8F2EF244-2961-45EE-A0FC-80B0C1CC91F5}"/>
            </a:ext>
          </a:extLst>
        </xdr:cNvPr>
        <xdr:cNvSpPr/>
      </xdr:nvSpPr>
      <xdr:spPr>
        <a:xfrm>
          <a:off x="74549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1281" name="Isosceles Triangle 1280">
          <a:extLst>
            <a:ext uri="{FF2B5EF4-FFF2-40B4-BE49-F238E27FC236}">
              <a16:creationId xmlns:a16="http://schemas.microsoft.com/office/drawing/2014/main" id="{AF9B2CBA-AA10-45BD-B60B-CB6D3727EEC3}"/>
            </a:ext>
          </a:extLst>
        </xdr:cNvPr>
        <xdr:cNvSpPr/>
      </xdr:nvSpPr>
      <xdr:spPr>
        <a:xfrm>
          <a:off x="6534150" y="33083500"/>
          <a:ext cx="535843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1282" name="Arrow: Up 256">
          <a:extLst>
            <a:ext uri="{FF2B5EF4-FFF2-40B4-BE49-F238E27FC236}">
              <a16:creationId xmlns:a16="http://schemas.microsoft.com/office/drawing/2014/main" id="{1F07E810-8CB8-46ED-A9D6-A2FB40168AB8}"/>
            </a:ext>
          </a:extLst>
        </xdr:cNvPr>
        <xdr:cNvSpPr/>
      </xdr:nvSpPr>
      <xdr:spPr>
        <a:xfrm>
          <a:off x="129886" y="2462934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1283" name="Arrow: Up 256">
          <a:extLst>
            <a:ext uri="{FF2B5EF4-FFF2-40B4-BE49-F238E27FC236}">
              <a16:creationId xmlns:a16="http://schemas.microsoft.com/office/drawing/2014/main" id="{560C1948-6A31-4F73-B198-A8829C8B33D0}"/>
            </a:ext>
          </a:extLst>
        </xdr:cNvPr>
        <xdr:cNvSpPr/>
      </xdr:nvSpPr>
      <xdr:spPr>
        <a:xfrm>
          <a:off x="2417770" y="2462408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1284" name="Arrow: Up 256">
          <a:extLst>
            <a:ext uri="{FF2B5EF4-FFF2-40B4-BE49-F238E27FC236}">
              <a16:creationId xmlns:a16="http://schemas.microsoft.com/office/drawing/2014/main" id="{776C00F8-5E01-4F29-9BBD-7E1546441692}"/>
            </a:ext>
          </a:extLst>
        </xdr:cNvPr>
        <xdr:cNvSpPr/>
      </xdr:nvSpPr>
      <xdr:spPr>
        <a:xfrm>
          <a:off x="5323176" y="2455142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1285" name="Arrow: Up 256">
          <a:extLst>
            <a:ext uri="{FF2B5EF4-FFF2-40B4-BE49-F238E27FC236}">
              <a16:creationId xmlns:a16="http://schemas.microsoft.com/office/drawing/2014/main" id="{35479D5D-BD74-4A2D-A2B3-F43746B695F9}"/>
            </a:ext>
          </a:extLst>
        </xdr:cNvPr>
        <xdr:cNvSpPr/>
      </xdr:nvSpPr>
      <xdr:spPr>
        <a:xfrm>
          <a:off x="8100291" y="2484582"/>
          <a:ext cx="142875" cy="38785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1286" name="Arrow: Up 232">
          <a:extLst>
            <a:ext uri="{FF2B5EF4-FFF2-40B4-BE49-F238E27FC236}">
              <a16:creationId xmlns:a16="http://schemas.microsoft.com/office/drawing/2014/main" id="{DB3F12D7-2D1E-4211-9597-5D89B5325F39}"/>
            </a:ext>
          </a:extLst>
        </xdr:cNvPr>
        <xdr:cNvSpPr/>
      </xdr:nvSpPr>
      <xdr:spPr>
        <a:xfrm>
          <a:off x="8262648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1287" name="Arrow: Up-Down 285">
          <a:extLst>
            <a:ext uri="{FF2B5EF4-FFF2-40B4-BE49-F238E27FC236}">
              <a16:creationId xmlns:a16="http://schemas.microsoft.com/office/drawing/2014/main" id="{CFB82EB1-6077-4C91-83E3-25A8AB3B1824}"/>
            </a:ext>
          </a:extLst>
        </xdr:cNvPr>
        <xdr:cNvSpPr/>
      </xdr:nvSpPr>
      <xdr:spPr>
        <a:xfrm>
          <a:off x="8446654" y="2493529"/>
          <a:ext cx="111126" cy="4001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1288" name="Arrow: Up 232">
          <a:extLst>
            <a:ext uri="{FF2B5EF4-FFF2-40B4-BE49-F238E27FC236}">
              <a16:creationId xmlns:a16="http://schemas.microsoft.com/office/drawing/2014/main" id="{0F9F7ECA-994C-4BCC-863B-5CEBDD3D6E3B}"/>
            </a:ext>
          </a:extLst>
        </xdr:cNvPr>
        <xdr:cNvSpPr/>
      </xdr:nvSpPr>
      <xdr:spPr>
        <a:xfrm>
          <a:off x="9194367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1289" name="Arrow: Up 256">
          <a:extLst>
            <a:ext uri="{FF2B5EF4-FFF2-40B4-BE49-F238E27FC236}">
              <a16:creationId xmlns:a16="http://schemas.microsoft.com/office/drawing/2014/main" id="{270F42D8-F24B-497D-AE20-6A140EBCCF01}"/>
            </a:ext>
          </a:extLst>
        </xdr:cNvPr>
        <xdr:cNvSpPr/>
      </xdr:nvSpPr>
      <xdr:spPr>
        <a:xfrm>
          <a:off x="10182369" y="2473759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1290" name="Arrow: Up 232">
          <a:extLst>
            <a:ext uri="{FF2B5EF4-FFF2-40B4-BE49-F238E27FC236}">
              <a16:creationId xmlns:a16="http://schemas.microsoft.com/office/drawing/2014/main" id="{46E92316-EF66-4CDB-8C26-1928AD4C32BD}"/>
            </a:ext>
          </a:extLst>
        </xdr:cNvPr>
        <xdr:cNvSpPr/>
      </xdr:nvSpPr>
      <xdr:spPr>
        <a:xfrm>
          <a:off x="10366375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1291" name="Arrow: Up 256">
          <a:extLst>
            <a:ext uri="{FF2B5EF4-FFF2-40B4-BE49-F238E27FC236}">
              <a16:creationId xmlns:a16="http://schemas.microsoft.com/office/drawing/2014/main" id="{0F81E5A9-7FFF-42CA-8738-86286A4D034B}"/>
            </a:ext>
          </a:extLst>
        </xdr:cNvPr>
        <xdr:cNvSpPr/>
      </xdr:nvSpPr>
      <xdr:spPr>
        <a:xfrm>
          <a:off x="11246859" y="2473758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1292" name="Arrow: Up 233">
          <a:extLst>
            <a:ext uri="{FF2B5EF4-FFF2-40B4-BE49-F238E27FC236}">
              <a16:creationId xmlns:a16="http://schemas.microsoft.com/office/drawing/2014/main" id="{67044EE6-7D92-49E8-ACDE-3A92A17370D2}"/>
            </a:ext>
          </a:extLst>
        </xdr:cNvPr>
        <xdr:cNvSpPr/>
      </xdr:nvSpPr>
      <xdr:spPr>
        <a:xfrm>
          <a:off x="12303269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1293" name="Arrow: Up 256">
          <a:extLst>
            <a:ext uri="{FF2B5EF4-FFF2-40B4-BE49-F238E27FC236}">
              <a16:creationId xmlns:a16="http://schemas.microsoft.com/office/drawing/2014/main" id="{3A113560-2B05-450F-8BAA-477C256F29D4}"/>
            </a:ext>
          </a:extLst>
        </xdr:cNvPr>
        <xdr:cNvSpPr/>
      </xdr:nvSpPr>
      <xdr:spPr>
        <a:xfrm>
          <a:off x="118197" y="3937001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1294" name="Arrow: Up 256">
          <a:extLst>
            <a:ext uri="{FF2B5EF4-FFF2-40B4-BE49-F238E27FC236}">
              <a16:creationId xmlns:a16="http://schemas.microsoft.com/office/drawing/2014/main" id="{8E8D29A0-5EF6-4A56-B8B6-5CFE3EC8053A}"/>
            </a:ext>
          </a:extLst>
        </xdr:cNvPr>
        <xdr:cNvSpPr/>
      </xdr:nvSpPr>
      <xdr:spPr>
        <a:xfrm>
          <a:off x="1265093" y="394695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1295" name="Arrow: Up 256">
          <a:extLst>
            <a:ext uri="{FF2B5EF4-FFF2-40B4-BE49-F238E27FC236}">
              <a16:creationId xmlns:a16="http://schemas.microsoft.com/office/drawing/2014/main" id="{F7B33907-6F2F-42DE-BE2B-A334F3339E6E}"/>
            </a:ext>
          </a:extLst>
        </xdr:cNvPr>
        <xdr:cNvSpPr/>
      </xdr:nvSpPr>
      <xdr:spPr>
        <a:xfrm>
          <a:off x="3360376" y="3947823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1296" name="Arrow: Up 256">
          <a:extLst>
            <a:ext uri="{FF2B5EF4-FFF2-40B4-BE49-F238E27FC236}">
              <a16:creationId xmlns:a16="http://schemas.microsoft.com/office/drawing/2014/main" id="{6D6E1175-ED30-4733-9240-B061F3C6DC51}"/>
            </a:ext>
          </a:extLst>
        </xdr:cNvPr>
        <xdr:cNvSpPr/>
      </xdr:nvSpPr>
      <xdr:spPr>
        <a:xfrm>
          <a:off x="4295198" y="393613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1297" name="Arrow: Up 228">
          <a:extLst>
            <a:ext uri="{FF2B5EF4-FFF2-40B4-BE49-F238E27FC236}">
              <a16:creationId xmlns:a16="http://schemas.microsoft.com/office/drawing/2014/main" id="{12A09FE4-83DB-426F-93F6-A60C8EB71C17}"/>
            </a:ext>
          </a:extLst>
        </xdr:cNvPr>
        <xdr:cNvSpPr/>
      </xdr:nvSpPr>
      <xdr:spPr>
        <a:xfrm>
          <a:off x="4457556" y="392531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1298" name="Arrow: Up 256">
          <a:extLst>
            <a:ext uri="{FF2B5EF4-FFF2-40B4-BE49-F238E27FC236}">
              <a16:creationId xmlns:a16="http://schemas.microsoft.com/office/drawing/2014/main" id="{CCD8D0BE-3E3A-474E-BD92-E1C20D08DC8C}"/>
            </a:ext>
          </a:extLst>
        </xdr:cNvPr>
        <xdr:cNvSpPr/>
      </xdr:nvSpPr>
      <xdr:spPr>
        <a:xfrm>
          <a:off x="5295467" y="394695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1299" name="Arrow: Up 241">
          <a:extLst>
            <a:ext uri="{FF2B5EF4-FFF2-40B4-BE49-F238E27FC236}">
              <a16:creationId xmlns:a16="http://schemas.microsoft.com/office/drawing/2014/main" id="{E2775C97-C2BD-483B-A788-952F467EDE25}"/>
            </a:ext>
          </a:extLst>
        </xdr:cNvPr>
        <xdr:cNvSpPr/>
      </xdr:nvSpPr>
      <xdr:spPr>
        <a:xfrm>
          <a:off x="6127750" y="396875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1300" name="Arrow: Up-Down 285">
          <a:extLst>
            <a:ext uri="{FF2B5EF4-FFF2-40B4-BE49-F238E27FC236}">
              <a16:creationId xmlns:a16="http://schemas.microsoft.com/office/drawing/2014/main" id="{0A92CB76-F72B-4269-A163-21FBDEA58257}"/>
            </a:ext>
          </a:extLst>
        </xdr:cNvPr>
        <xdr:cNvSpPr/>
      </xdr:nvSpPr>
      <xdr:spPr>
        <a:xfrm>
          <a:off x="6300932" y="3957782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1301" name="Arrow: Up 256">
          <a:extLst>
            <a:ext uri="{FF2B5EF4-FFF2-40B4-BE49-F238E27FC236}">
              <a16:creationId xmlns:a16="http://schemas.microsoft.com/office/drawing/2014/main" id="{6144F442-4F75-4AE2-AEB4-5BDA4FF9C9DD}"/>
            </a:ext>
          </a:extLst>
        </xdr:cNvPr>
        <xdr:cNvSpPr/>
      </xdr:nvSpPr>
      <xdr:spPr>
        <a:xfrm>
          <a:off x="9195666" y="3926175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1302" name="Arrow: Up 237">
          <a:extLst>
            <a:ext uri="{FF2B5EF4-FFF2-40B4-BE49-F238E27FC236}">
              <a16:creationId xmlns:a16="http://schemas.microsoft.com/office/drawing/2014/main" id="{E772BBE5-BECA-47F5-BF41-FA5617B8E235}"/>
            </a:ext>
          </a:extLst>
        </xdr:cNvPr>
        <xdr:cNvSpPr/>
      </xdr:nvSpPr>
      <xdr:spPr>
        <a:xfrm>
          <a:off x="11236036" y="394695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1303" name="Arrow: Up 237">
          <a:extLst>
            <a:ext uri="{FF2B5EF4-FFF2-40B4-BE49-F238E27FC236}">
              <a16:creationId xmlns:a16="http://schemas.microsoft.com/office/drawing/2014/main" id="{61F678BD-369E-4D11-BAC5-DE0C0377D751}"/>
            </a:ext>
          </a:extLst>
        </xdr:cNvPr>
        <xdr:cNvSpPr/>
      </xdr:nvSpPr>
      <xdr:spPr>
        <a:xfrm>
          <a:off x="12324918" y="39577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1304" name="Arrow: Up 256">
          <a:extLst>
            <a:ext uri="{FF2B5EF4-FFF2-40B4-BE49-F238E27FC236}">
              <a16:creationId xmlns:a16="http://schemas.microsoft.com/office/drawing/2014/main" id="{06E4A2C1-5E36-41B3-AFE7-C2D63037A94B}"/>
            </a:ext>
          </a:extLst>
        </xdr:cNvPr>
        <xdr:cNvSpPr/>
      </xdr:nvSpPr>
      <xdr:spPr>
        <a:xfrm>
          <a:off x="13290838" y="3957781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1305" name="Arrow: Up 239">
          <a:extLst>
            <a:ext uri="{FF2B5EF4-FFF2-40B4-BE49-F238E27FC236}">
              <a16:creationId xmlns:a16="http://schemas.microsoft.com/office/drawing/2014/main" id="{A347F782-0289-4D99-AD9A-0965F634CA26}"/>
            </a:ext>
          </a:extLst>
        </xdr:cNvPr>
        <xdr:cNvSpPr/>
      </xdr:nvSpPr>
      <xdr:spPr>
        <a:xfrm>
          <a:off x="2288165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162622</xdr:colOff>
      <xdr:row>30</xdr:row>
      <xdr:rowOff>30237</xdr:rowOff>
    </xdr:to>
    <xdr:sp macro="" textlink="">
      <xdr:nvSpPr>
        <xdr:cNvPr id="1306" name="Arrow: Up 256">
          <a:extLst>
            <a:ext uri="{FF2B5EF4-FFF2-40B4-BE49-F238E27FC236}">
              <a16:creationId xmlns:a16="http://schemas.microsoft.com/office/drawing/2014/main" id="{1D8F4B82-5CF2-440B-8450-A04529623574}"/>
            </a:ext>
          </a:extLst>
        </xdr:cNvPr>
        <xdr:cNvSpPr/>
      </xdr:nvSpPr>
      <xdr:spPr>
        <a:xfrm>
          <a:off x="3238500" y="5441950"/>
          <a:ext cx="162622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1307" name="Arrow: Up-Down 285">
          <a:extLst>
            <a:ext uri="{FF2B5EF4-FFF2-40B4-BE49-F238E27FC236}">
              <a16:creationId xmlns:a16="http://schemas.microsoft.com/office/drawing/2014/main" id="{5DD4B83D-BA04-47CE-812C-1E1C4B75C8FF}"/>
            </a:ext>
          </a:extLst>
        </xdr:cNvPr>
        <xdr:cNvSpPr/>
      </xdr:nvSpPr>
      <xdr:spPr>
        <a:xfrm>
          <a:off x="3400858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1308" name="Arrow: Up-Down 285">
          <a:extLst>
            <a:ext uri="{FF2B5EF4-FFF2-40B4-BE49-F238E27FC236}">
              <a16:creationId xmlns:a16="http://schemas.microsoft.com/office/drawing/2014/main" id="{4C2C9A87-6FEB-4D37-ADB1-E28BF227928D}"/>
            </a:ext>
          </a:extLst>
        </xdr:cNvPr>
        <xdr:cNvSpPr/>
      </xdr:nvSpPr>
      <xdr:spPr>
        <a:xfrm>
          <a:off x="3552392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1309" name="Arrow: Up 240">
          <a:extLst>
            <a:ext uri="{FF2B5EF4-FFF2-40B4-BE49-F238E27FC236}">
              <a16:creationId xmlns:a16="http://schemas.microsoft.com/office/drawing/2014/main" id="{70907339-BE3E-4625-92E0-409D25FD57FC}"/>
            </a:ext>
          </a:extLst>
        </xdr:cNvPr>
        <xdr:cNvSpPr/>
      </xdr:nvSpPr>
      <xdr:spPr>
        <a:xfrm>
          <a:off x="5295467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1310" name="Arrow: Up 240">
          <a:extLst>
            <a:ext uri="{FF2B5EF4-FFF2-40B4-BE49-F238E27FC236}">
              <a16:creationId xmlns:a16="http://schemas.microsoft.com/office/drawing/2014/main" id="{C0A365AE-976F-4AB0-8CA9-3BEF62177F77}"/>
            </a:ext>
          </a:extLst>
        </xdr:cNvPr>
        <xdr:cNvSpPr/>
      </xdr:nvSpPr>
      <xdr:spPr>
        <a:xfrm>
          <a:off x="6144418" y="54188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1311" name="Arrow: Up 256">
          <a:extLst>
            <a:ext uri="{FF2B5EF4-FFF2-40B4-BE49-F238E27FC236}">
              <a16:creationId xmlns:a16="http://schemas.microsoft.com/office/drawing/2014/main" id="{4AB615A9-1091-4E06-A131-BFBAF5470C5B}"/>
            </a:ext>
          </a:extLst>
        </xdr:cNvPr>
        <xdr:cNvSpPr/>
      </xdr:nvSpPr>
      <xdr:spPr>
        <a:xfrm>
          <a:off x="9226839" y="5409334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1312" name="Arrow: Up 241">
          <a:extLst>
            <a:ext uri="{FF2B5EF4-FFF2-40B4-BE49-F238E27FC236}">
              <a16:creationId xmlns:a16="http://schemas.microsoft.com/office/drawing/2014/main" id="{128FF561-40EB-4CAB-94A1-21FA5FFBE87F}"/>
            </a:ext>
          </a:extLst>
        </xdr:cNvPr>
        <xdr:cNvSpPr/>
      </xdr:nvSpPr>
      <xdr:spPr>
        <a:xfrm>
          <a:off x="12303269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1313" name="Arrow: Up 256">
          <a:extLst>
            <a:ext uri="{FF2B5EF4-FFF2-40B4-BE49-F238E27FC236}">
              <a16:creationId xmlns:a16="http://schemas.microsoft.com/office/drawing/2014/main" id="{1120FAA5-8614-4768-B571-973B22B06C8D}"/>
            </a:ext>
          </a:extLst>
        </xdr:cNvPr>
        <xdr:cNvSpPr/>
      </xdr:nvSpPr>
      <xdr:spPr>
        <a:xfrm>
          <a:off x="13258367" y="5409335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1314" name="Arrow: Up 241">
          <a:extLst>
            <a:ext uri="{FF2B5EF4-FFF2-40B4-BE49-F238E27FC236}">
              <a16:creationId xmlns:a16="http://schemas.microsoft.com/office/drawing/2014/main" id="{E23BE31C-9709-40E8-AAB2-470931812709}"/>
            </a:ext>
          </a:extLst>
        </xdr:cNvPr>
        <xdr:cNvSpPr/>
      </xdr:nvSpPr>
      <xdr:spPr>
        <a:xfrm>
          <a:off x="86591" y="6867236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1315" name="Arrow: Up 241">
          <a:extLst>
            <a:ext uri="{FF2B5EF4-FFF2-40B4-BE49-F238E27FC236}">
              <a16:creationId xmlns:a16="http://schemas.microsoft.com/office/drawing/2014/main" id="{F7688427-281C-433C-B7E8-1934FC4294C4}"/>
            </a:ext>
          </a:extLst>
        </xdr:cNvPr>
        <xdr:cNvSpPr/>
      </xdr:nvSpPr>
      <xdr:spPr>
        <a:xfrm>
          <a:off x="1330037" y="68780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1316" name="Arrow: Up 256">
          <a:extLst>
            <a:ext uri="{FF2B5EF4-FFF2-40B4-BE49-F238E27FC236}">
              <a16:creationId xmlns:a16="http://schemas.microsoft.com/office/drawing/2014/main" id="{04035459-7C20-4D06-B0FB-2133149F24BF}"/>
            </a:ext>
          </a:extLst>
        </xdr:cNvPr>
        <xdr:cNvSpPr/>
      </xdr:nvSpPr>
      <xdr:spPr>
        <a:xfrm>
          <a:off x="2288164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1317" name="Arrow: Up 256">
          <a:extLst>
            <a:ext uri="{FF2B5EF4-FFF2-40B4-BE49-F238E27FC236}">
              <a16:creationId xmlns:a16="http://schemas.microsoft.com/office/drawing/2014/main" id="{C6D54563-1933-4ED8-94B7-3565B695B637}"/>
            </a:ext>
          </a:extLst>
        </xdr:cNvPr>
        <xdr:cNvSpPr/>
      </xdr:nvSpPr>
      <xdr:spPr>
        <a:xfrm>
          <a:off x="4284374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1318" name="Arrow: Up 256">
          <a:extLst>
            <a:ext uri="{FF2B5EF4-FFF2-40B4-BE49-F238E27FC236}">
              <a16:creationId xmlns:a16="http://schemas.microsoft.com/office/drawing/2014/main" id="{6D03DD4F-9E35-4041-B036-CD9059E969F9}"/>
            </a:ext>
          </a:extLst>
        </xdr:cNvPr>
        <xdr:cNvSpPr/>
      </xdr:nvSpPr>
      <xdr:spPr>
        <a:xfrm>
          <a:off x="4446731" y="691053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1319" name="Arrow: Up 243">
          <a:extLst>
            <a:ext uri="{FF2B5EF4-FFF2-40B4-BE49-F238E27FC236}">
              <a16:creationId xmlns:a16="http://schemas.microsoft.com/office/drawing/2014/main" id="{0D81E589-E3BF-4968-B32A-F83DBB224BD6}"/>
            </a:ext>
          </a:extLst>
        </xdr:cNvPr>
        <xdr:cNvSpPr/>
      </xdr:nvSpPr>
      <xdr:spPr>
        <a:xfrm>
          <a:off x="6246813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1320" name="Arrow: Up 256">
          <a:extLst>
            <a:ext uri="{FF2B5EF4-FFF2-40B4-BE49-F238E27FC236}">
              <a16:creationId xmlns:a16="http://schemas.microsoft.com/office/drawing/2014/main" id="{FEA07482-59CC-47BC-86B7-28AD2FBF1A9B}"/>
            </a:ext>
          </a:extLst>
        </xdr:cNvPr>
        <xdr:cNvSpPr/>
      </xdr:nvSpPr>
      <xdr:spPr>
        <a:xfrm>
          <a:off x="8013700" y="69215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1321" name="Arrow: Up 243">
          <a:extLst>
            <a:ext uri="{FF2B5EF4-FFF2-40B4-BE49-F238E27FC236}">
              <a16:creationId xmlns:a16="http://schemas.microsoft.com/office/drawing/2014/main" id="{5DF75376-9FBD-4FB5-9934-BF404601C177}"/>
            </a:ext>
          </a:extLst>
        </xdr:cNvPr>
        <xdr:cNvSpPr/>
      </xdr:nvSpPr>
      <xdr:spPr>
        <a:xfrm>
          <a:off x="8165234" y="69213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1322" name="Arrow: Up-Down 285">
          <a:extLst>
            <a:ext uri="{FF2B5EF4-FFF2-40B4-BE49-F238E27FC236}">
              <a16:creationId xmlns:a16="http://schemas.microsoft.com/office/drawing/2014/main" id="{ED663F13-9517-4C43-8B1D-BFC84D1BC446}"/>
            </a:ext>
          </a:extLst>
        </xdr:cNvPr>
        <xdr:cNvSpPr/>
      </xdr:nvSpPr>
      <xdr:spPr>
        <a:xfrm>
          <a:off x="8327592" y="693232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1323" name="Arrow: Up 256">
          <a:extLst>
            <a:ext uri="{FF2B5EF4-FFF2-40B4-BE49-F238E27FC236}">
              <a16:creationId xmlns:a16="http://schemas.microsoft.com/office/drawing/2014/main" id="{80696CF1-DD80-4EBD-ABD6-A3DCB8AB69CD}"/>
            </a:ext>
          </a:extLst>
        </xdr:cNvPr>
        <xdr:cNvSpPr/>
      </xdr:nvSpPr>
      <xdr:spPr>
        <a:xfrm>
          <a:off x="10141455" y="688542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1324" name="Arrow: Up 244">
          <a:extLst>
            <a:ext uri="{FF2B5EF4-FFF2-40B4-BE49-F238E27FC236}">
              <a16:creationId xmlns:a16="http://schemas.microsoft.com/office/drawing/2014/main" id="{4DFDFC54-7FC4-4F36-B418-71FB968FBC9E}"/>
            </a:ext>
          </a:extLst>
        </xdr:cNvPr>
        <xdr:cNvSpPr/>
      </xdr:nvSpPr>
      <xdr:spPr>
        <a:xfrm>
          <a:off x="11236037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1325" name="Arrow: Up 256">
          <a:extLst>
            <a:ext uri="{FF2B5EF4-FFF2-40B4-BE49-F238E27FC236}">
              <a16:creationId xmlns:a16="http://schemas.microsoft.com/office/drawing/2014/main" id="{9323EF80-2AA8-410B-AFCF-8F6D0808F503}"/>
            </a:ext>
          </a:extLst>
        </xdr:cNvPr>
        <xdr:cNvSpPr/>
      </xdr:nvSpPr>
      <xdr:spPr>
        <a:xfrm>
          <a:off x="12303269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1326" name="Arrow: Up 256">
          <a:extLst>
            <a:ext uri="{FF2B5EF4-FFF2-40B4-BE49-F238E27FC236}">
              <a16:creationId xmlns:a16="http://schemas.microsoft.com/office/drawing/2014/main" id="{FF1CDB07-B78C-4D27-B95F-216997AE3ABA}"/>
            </a:ext>
          </a:extLst>
        </xdr:cNvPr>
        <xdr:cNvSpPr/>
      </xdr:nvSpPr>
      <xdr:spPr>
        <a:xfrm>
          <a:off x="13301663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1327" name="Arrow: Up 243">
          <a:extLst>
            <a:ext uri="{FF2B5EF4-FFF2-40B4-BE49-F238E27FC236}">
              <a16:creationId xmlns:a16="http://schemas.microsoft.com/office/drawing/2014/main" id="{2D72051D-768C-4110-A2D1-64443562A3C9}"/>
            </a:ext>
          </a:extLst>
        </xdr:cNvPr>
        <xdr:cNvSpPr/>
      </xdr:nvSpPr>
      <xdr:spPr>
        <a:xfrm>
          <a:off x="1319212" y="83729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1328" name="Arrow: Up 243">
          <a:extLst>
            <a:ext uri="{FF2B5EF4-FFF2-40B4-BE49-F238E27FC236}">
              <a16:creationId xmlns:a16="http://schemas.microsoft.com/office/drawing/2014/main" id="{787466BA-FE45-4B31-A79C-F32C3530D950}"/>
            </a:ext>
          </a:extLst>
        </xdr:cNvPr>
        <xdr:cNvSpPr/>
      </xdr:nvSpPr>
      <xdr:spPr>
        <a:xfrm>
          <a:off x="5306291" y="83620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1329" name="Arrow: Up 252">
          <a:extLst>
            <a:ext uri="{FF2B5EF4-FFF2-40B4-BE49-F238E27FC236}">
              <a16:creationId xmlns:a16="http://schemas.microsoft.com/office/drawing/2014/main" id="{93D19813-337D-455F-A1E7-AED3B1601227}"/>
            </a:ext>
          </a:extLst>
        </xdr:cNvPr>
        <xdr:cNvSpPr/>
      </xdr:nvSpPr>
      <xdr:spPr>
        <a:xfrm>
          <a:off x="5252172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1330" name="Arrow: Up 252">
          <a:extLst>
            <a:ext uri="{FF2B5EF4-FFF2-40B4-BE49-F238E27FC236}">
              <a16:creationId xmlns:a16="http://schemas.microsoft.com/office/drawing/2014/main" id="{74C212BE-47DF-4AF2-99B3-E4A808CEDDC4}"/>
            </a:ext>
          </a:extLst>
        </xdr:cNvPr>
        <xdr:cNvSpPr/>
      </xdr:nvSpPr>
      <xdr:spPr>
        <a:xfrm>
          <a:off x="5403705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1331" name="Arrow: Up-Down 285">
          <a:extLst>
            <a:ext uri="{FF2B5EF4-FFF2-40B4-BE49-F238E27FC236}">
              <a16:creationId xmlns:a16="http://schemas.microsoft.com/office/drawing/2014/main" id="{60AF2D97-AAC3-4BE2-8324-CBCC2117ACFB}"/>
            </a:ext>
          </a:extLst>
        </xdr:cNvPr>
        <xdr:cNvSpPr/>
      </xdr:nvSpPr>
      <xdr:spPr>
        <a:xfrm>
          <a:off x="8067819" y="9856932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1332" name="Arrow: Up-Down 285">
          <a:extLst>
            <a:ext uri="{FF2B5EF4-FFF2-40B4-BE49-F238E27FC236}">
              <a16:creationId xmlns:a16="http://schemas.microsoft.com/office/drawing/2014/main" id="{AC6B880A-BB06-4C5C-B32E-1FD4D6D2F061}"/>
            </a:ext>
          </a:extLst>
        </xdr:cNvPr>
        <xdr:cNvSpPr/>
      </xdr:nvSpPr>
      <xdr:spPr>
        <a:xfrm>
          <a:off x="8251825" y="9867756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1333" name="Arrow: Up 251">
          <a:extLst>
            <a:ext uri="{FF2B5EF4-FFF2-40B4-BE49-F238E27FC236}">
              <a16:creationId xmlns:a16="http://schemas.microsoft.com/office/drawing/2014/main" id="{F304F7DF-E10F-4951-A817-7EC5CC61E519}"/>
            </a:ext>
          </a:extLst>
        </xdr:cNvPr>
        <xdr:cNvSpPr/>
      </xdr:nvSpPr>
      <xdr:spPr>
        <a:xfrm>
          <a:off x="11138622" y="98569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1334" name="Arrow: Up 247">
          <a:extLst>
            <a:ext uri="{FF2B5EF4-FFF2-40B4-BE49-F238E27FC236}">
              <a16:creationId xmlns:a16="http://schemas.microsoft.com/office/drawing/2014/main" id="{24375D8F-E612-43E2-A838-ED75E1147BE3}"/>
            </a:ext>
          </a:extLst>
        </xdr:cNvPr>
        <xdr:cNvSpPr/>
      </xdr:nvSpPr>
      <xdr:spPr>
        <a:xfrm>
          <a:off x="11322628" y="9856932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1335" name="Arrow: Up 247">
          <a:extLst>
            <a:ext uri="{FF2B5EF4-FFF2-40B4-BE49-F238E27FC236}">
              <a16:creationId xmlns:a16="http://schemas.microsoft.com/office/drawing/2014/main" id="{117BB42C-AADC-46FC-831F-02CCFCD187FF}"/>
            </a:ext>
          </a:extLst>
        </xdr:cNvPr>
        <xdr:cNvSpPr/>
      </xdr:nvSpPr>
      <xdr:spPr>
        <a:xfrm>
          <a:off x="12270798" y="983528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1336" name="Arrow: Up 251">
          <a:extLst>
            <a:ext uri="{FF2B5EF4-FFF2-40B4-BE49-F238E27FC236}">
              <a16:creationId xmlns:a16="http://schemas.microsoft.com/office/drawing/2014/main" id="{C3BDE704-14A2-4454-9633-9160A75669C1}"/>
            </a:ext>
          </a:extLst>
        </xdr:cNvPr>
        <xdr:cNvSpPr/>
      </xdr:nvSpPr>
      <xdr:spPr>
        <a:xfrm>
          <a:off x="12454803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1337" name="Arrow: Up 251">
          <a:extLst>
            <a:ext uri="{FF2B5EF4-FFF2-40B4-BE49-F238E27FC236}">
              <a16:creationId xmlns:a16="http://schemas.microsoft.com/office/drawing/2014/main" id="{4B51FE78-86DF-4EE0-A144-5CFE6A43B094}"/>
            </a:ext>
          </a:extLst>
        </xdr:cNvPr>
        <xdr:cNvSpPr/>
      </xdr:nvSpPr>
      <xdr:spPr>
        <a:xfrm>
          <a:off x="1275917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1338" name="Arrow: Up 251">
          <a:extLst>
            <a:ext uri="{FF2B5EF4-FFF2-40B4-BE49-F238E27FC236}">
              <a16:creationId xmlns:a16="http://schemas.microsoft.com/office/drawing/2014/main" id="{A8C5A060-1875-4958-90D7-40060585D9F7}"/>
            </a:ext>
          </a:extLst>
        </xdr:cNvPr>
        <xdr:cNvSpPr/>
      </xdr:nvSpPr>
      <xdr:spPr>
        <a:xfrm>
          <a:off x="7168717" y="1132565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1339" name="Arrow: Up 251">
          <a:extLst>
            <a:ext uri="{FF2B5EF4-FFF2-40B4-BE49-F238E27FC236}">
              <a16:creationId xmlns:a16="http://schemas.microsoft.com/office/drawing/2014/main" id="{57DAD90D-D05F-4C0C-ACBD-3C9BBE7DE7A1}"/>
            </a:ext>
          </a:extLst>
        </xdr:cNvPr>
        <xdr:cNvSpPr/>
      </xdr:nvSpPr>
      <xdr:spPr>
        <a:xfrm>
          <a:off x="8154410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1340" name="Arrow: Up 255">
          <a:extLst>
            <a:ext uri="{FF2B5EF4-FFF2-40B4-BE49-F238E27FC236}">
              <a16:creationId xmlns:a16="http://schemas.microsoft.com/office/drawing/2014/main" id="{02CC5A08-A4B2-4979-BC13-21A281BFE532}"/>
            </a:ext>
          </a:extLst>
        </xdr:cNvPr>
        <xdr:cNvSpPr/>
      </xdr:nvSpPr>
      <xdr:spPr>
        <a:xfrm>
          <a:off x="10225665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1341" name="Arrow: Up 247">
          <a:extLst>
            <a:ext uri="{FF2B5EF4-FFF2-40B4-BE49-F238E27FC236}">
              <a16:creationId xmlns:a16="http://schemas.microsoft.com/office/drawing/2014/main" id="{BC1C7217-8BBE-4165-8BC3-5A54354A7752}"/>
            </a:ext>
          </a:extLst>
        </xdr:cNvPr>
        <xdr:cNvSpPr/>
      </xdr:nvSpPr>
      <xdr:spPr>
        <a:xfrm>
          <a:off x="11376746" y="1131483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1342" name="Arrow: Up-Down 285">
          <a:extLst>
            <a:ext uri="{FF2B5EF4-FFF2-40B4-BE49-F238E27FC236}">
              <a16:creationId xmlns:a16="http://schemas.microsoft.com/office/drawing/2014/main" id="{5E812C2A-4536-4301-8014-C2231EA6213D}"/>
            </a:ext>
          </a:extLst>
        </xdr:cNvPr>
        <xdr:cNvSpPr/>
      </xdr:nvSpPr>
      <xdr:spPr>
        <a:xfrm>
          <a:off x="12357388" y="1133648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1343" name="Arrow: Up-Down 285">
          <a:extLst>
            <a:ext uri="{FF2B5EF4-FFF2-40B4-BE49-F238E27FC236}">
              <a16:creationId xmlns:a16="http://schemas.microsoft.com/office/drawing/2014/main" id="{04553260-8576-4F35-9FCC-04E50B6D90D8}"/>
            </a:ext>
          </a:extLst>
        </xdr:cNvPr>
        <xdr:cNvSpPr/>
      </xdr:nvSpPr>
      <xdr:spPr>
        <a:xfrm>
          <a:off x="13409901" y="1134745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1344" name="Arrow: Up 257">
          <a:extLst>
            <a:ext uri="{FF2B5EF4-FFF2-40B4-BE49-F238E27FC236}">
              <a16:creationId xmlns:a16="http://schemas.microsoft.com/office/drawing/2014/main" id="{A2C9B78F-AAEC-4FD2-A4E2-78F08924E096}"/>
            </a:ext>
          </a:extLst>
        </xdr:cNvPr>
        <xdr:cNvSpPr/>
      </xdr:nvSpPr>
      <xdr:spPr>
        <a:xfrm>
          <a:off x="13225896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23232</xdr:colOff>
      <xdr:row>59</xdr:row>
      <xdr:rowOff>161349</xdr:rowOff>
    </xdr:from>
    <xdr:to>
      <xdr:col>42</xdr:col>
      <xdr:colOff>189414</xdr:colOff>
      <xdr:row>61</xdr:row>
      <xdr:rowOff>182228</xdr:rowOff>
    </xdr:to>
    <xdr:sp macro="" textlink="">
      <xdr:nvSpPr>
        <xdr:cNvPr id="1345" name="Arrow: Up-Down 285">
          <a:extLst>
            <a:ext uri="{FF2B5EF4-FFF2-40B4-BE49-F238E27FC236}">
              <a16:creationId xmlns:a16="http://schemas.microsoft.com/office/drawing/2014/main" id="{8DA417A5-F5DD-41E8-AAC4-12B524817820}"/>
            </a:ext>
          </a:extLst>
        </xdr:cNvPr>
        <xdr:cNvSpPr/>
      </xdr:nvSpPr>
      <xdr:spPr>
        <a:xfrm>
          <a:off x="14247232" y="11324649"/>
          <a:ext cx="166182" cy="389179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1346" name="Arrow: Up-Down 285">
          <a:extLst>
            <a:ext uri="{FF2B5EF4-FFF2-40B4-BE49-F238E27FC236}">
              <a16:creationId xmlns:a16="http://schemas.microsoft.com/office/drawing/2014/main" id="{B68C7261-8488-40D4-8664-B6706224E528}"/>
            </a:ext>
          </a:extLst>
        </xdr:cNvPr>
        <xdr:cNvSpPr/>
      </xdr:nvSpPr>
      <xdr:spPr>
        <a:xfrm>
          <a:off x="1308388" y="12809682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1347" name="Arrow: Up-Down 285">
          <a:extLst>
            <a:ext uri="{FF2B5EF4-FFF2-40B4-BE49-F238E27FC236}">
              <a16:creationId xmlns:a16="http://schemas.microsoft.com/office/drawing/2014/main" id="{9AA533CA-204B-4539-B731-8139D6543A29}"/>
            </a:ext>
          </a:extLst>
        </xdr:cNvPr>
        <xdr:cNvSpPr/>
      </xdr:nvSpPr>
      <xdr:spPr>
        <a:xfrm>
          <a:off x="3509097" y="1279885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1348" name="Arrow: Up 268">
          <a:extLst>
            <a:ext uri="{FF2B5EF4-FFF2-40B4-BE49-F238E27FC236}">
              <a16:creationId xmlns:a16="http://schemas.microsoft.com/office/drawing/2014/main" id="{1C61784A-29EC-40A9-B66C-C3C5B45F0383}"/>
            </a:ext>
          </a:extLst>
        </xdr:cNvPr>
        <xdr:cNvSpPr/>
      </xdr:nvSpPr>
      <xdr:spPr>
        <a:xfrm>
          <a:off x="10149898" y="1279885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1349" name="Arrow: Up 269">
          <a:extLst>
            <a:ext uri="{FF2B5EF4-FFF2-40B4-BE49-F238E27FC236}">
              <a16:creationId xmlns:a16="http://schemas.microsoft.com/office/drawing/2014/main" id="{FF9CF47B-7978-4BAE-97E3-6E95507DBC93}"/>
            </a:ext>
          </a:extLst>
        </xdr:cNvPr>
        <xdr:cNvSpPr/>
      </xdr:nvSpPr>
      <xdr:spPr>
        <a:xfrm>
          <a:off x="11344275" y="12788035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1350" name="Arrow: Up 268">
          <a:extLst>
            <a:ext uri="{FF2B5EF4-FFF2-40B4-BE49-F238E27FC236}">
              <a16:creationId xmlns:a16="http://schemas.microsoft.com/office/drawing/2014/main" id="{0BB251E6-079C-4743-9F04-B41B00F268C9}"/>
            </a:ext>
          </a:extLst>
        </xdr:cNvPr>
        <xdr:cNvSpPr/>
      </xdr:nvSpPr>
      <xdr:spPr>
        <a:xfrm>
          <a:off x="11171093" y="1278803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1351" name="Arrow: Up 271">
          <a:extLst>
            <a:ext uri="{FF2B5EF4-FFF2-40B4-BE49-F238E27FC236}">
              <a16:creationId xmlns:a16="http://schemas.microsoft.com/office/drawing/2014/main" id="{433FDF15-C33E-49C7-BA24-3894E65636AC}"/>
            </a:ext>
          </a:extLst>
        </xdr:cNvPr>
        <xdr:cNvSpPr/>
      </xdr:nvSpPr>
      <xdr:spPr>
        <a:xfrm>
          <a:off x="1405804" y="1426123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1352" name="Arrow: Up 265">
          <a:extLst>
            <a:ext uri="{FF2B5EF4-FFF2-40B4-BE49-F238E27FC236}">
              <a16:creationId xmlns:a16="http://schemas.microsoft.com/office/drawing/2014/main" id="{A6CAD935-5AB2-4210-816F-266A0F685853}"/>
            </a:ext>
          </a:extLst>
        </xdr:cNvPr>
        <xdr:cNvSpPr/>
      </xdr:nvSpPr>
      <xdr:spPr>
        <a:xfrm>
          <a:off x="1232622" y="14250410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1353" name="Arrow: Up 265">
          <a:extLst>
            <a:ext uri="{FF2B5EF4-FFF2-40B4-BE49-F238E27FC236}">
              <a16:creationId xmlns:a16="http://schemas.microsoft.com/office/drawing/2014/main" id="{44F672E3-CA58-4AF1-93AE-1B699633B720}"/>
            </a:ext>
          </a:extLst>
        </xdr:cNvPr>
        <xdr:cNvSpPr/>
      </xdr:nvSpPr>
      <xdr:spPr>
        <a:xfrm>
          <a:off x="2190750" y="14272057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1354" name="Arrow: Up 265">
          <a:extLst>
            <a:ext uri="{FF2B5EF4-FFF2-40B4-BE49-F238E27FC236}">
              <a16:creationId xmlns:a16="http://schemas.microsoft.com/office/drawing/2014/main" id="{69CE3480-95A7-4D11-90F4-F929836E7F12}"/>
            </a:ext>
          </a:extLst>
        </xdr:cNvPr>
        <xdr:cNvSpPr/>
      </xdr:nvSpPr>
      <xdr:spPr>
        <a:xfrm>
          <a:off x="3281795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1355" name="Arrow: Up 265">
          <a:extLst>
            <a:ext uri="{FF2B5EF4-FFF2-40B4-BE49-F238E27FC236}">
              <a16:creationId xmlns:a16="http://schemas.microsoft.com/office/drawing/2014/main" id="{4F15D85D-2396-4EF4-911A-291F4D1A8ACA}"/>
            </a:ext>
          </a:extLst>
        </xdr:cNvPr>
        <xdr:cNvSpPr/>
      </xdr:nvSpPr>
      <xdr:spPr>
        <a:xfrm>
          <a:off x="4370965" y="14272058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1356" name="Arrow: Up 265">
          <a:extLst>
            <a:ext uri="{FF2B5EF4-FFF2-40B4-BE49-F238E27FC236}">
              <a16:creationId xmlns:a16="http://schemas.microsoft.com/office/drawing/2014/main" id="{5A6300A4-22A2-4535-9DB6-3A1BC5209BCA}"/>
            </a:ext>
          </a:extLst>
        </xdr:cNvPr>
        <xdr:cNvSpPr/>
      </xdr:nvSpPr>
      <xdr:spPr>
        <a:xfrm>
          <a:off x="5230524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1357" name="Arrow: Up 262">
          <a:extLst>
            <a:ext uri="{FF2B5EF4-FFF2-40B4-BE49-F238E27FC236}">
              <a16:creationId xmlns:a16="http://schemas.microsoft.com/office/drawing/2014/main" id="{7C853E73-513D-4E22-8B7A-6EAA7327EA36}"/>
            </a:ext>
          </a:extLst>
        </xdr:cNvPr>
        <xdr:cNvSpPr/>
      </xdr:nvSpPr>
      <xdr:spPr>
        <a:xfrm>
          <a:off x="5382058" y="142720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1358" name="Arrow: Up 265">
          <a:extLst>
            <a:ext uri="{FF2B5EF4-FFF2-40B4-BE49-F238E27FC236}">
              <a16:creationId xmlns:a16="http://schemas.microsoft.com/office/drawing/2014/main" id="{E18AE0D6-02AE-4BBA-8AFF-434463723052}"/>
            </a:ext>
          </a:extLst>
        </xdr:cNvPr>
        <xdr:cNvSpPr/>
      </xdr:nvSpPr>
      <xdr:spPr>
        <a:xfrm>
          <a:off x="6149398" y="1429370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1359" name="Arrow: Up 275">
          <a:extLst>
            <a:ext uri="{FF2B5EF4-FFF2-40B4-BE49-F238E27FC236}">
              <a16:creationId xmlns:a16="http://schemas.microsoft.com/office/drawing/2014/main" id="{849C486D-A314-4EFC-A16A-E54CB28417D2}"/>
            </a:ext>
          </a:extLst>
        </xdr:cNvPr>
        <xdr:cNvSpPr/>
      </xdr:nvSpPr>
      <xdr:spPr>
        <a:xfrm>
          <a:off x="8067820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1360" name="Arrow: Up 262">
          <a:extLst>
            <a:ext uri="{FF2B5EF4-FFF2-40B4-BE49-F238E27FC236}">
              <a16:creationId xmlns:a16="http://schemas.microsoft.com/office/drawing/2014/main" id="{B48379B2-D06A-423D-A471-901E25C64ED5}"/>
            </a:ext>
          </a:extLst>
        </xdr:cNvPr>
        <xdr:cNvSpPr/>
      </xdr:nvSpPr>
      <xdr:spPr>
        <a:xfrm>
          <a:off x="8251825" y="14272057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1361" name="Arrow: Up 262">
          <a:extLst>
            <a:ext uri="{FF2B5EF4-FFF2-40B4-BE49-F238E27FC236}">
              <a16:creationId xmlns:a16="http://schemas.microsoft.com/office/drawing/2014/main" id="{E5D9C543-CEE2-432E-82DB-74E264095E7A}"/>
            </a:ext>
          </a:extLst>
        </xdr:cNvPr>
        <xdr:cNvSpPr/>
      </xdr:nvSpPr>
      <xdr:spPr>
        <a:xfrm>
          <a:off x="9335077" y="14261235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1362" name="Arrow: Up 275">
          <a:extLst>
            <a:ext uri="{FF2B5EF4-FFF2-40B4-BE49-F238E27FC236}">
              <a16:creationId xmlns:a16="http://schemas.microsoft.com/office/drawing/2014/main" id="{621A86F0-E7F8-4B85-8003-DC0E42E46C4A}"/>
            </a:ext>
          </a:extLst>
        </xdr:cNvPr>
        <xdr:cNvSpPr/>
      </xdr:nvSpPr>
      <xdr:spPr>
        <a:xfrm>
          <a:off x="9161896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1363" name="Arrow: Up 275">
          <a:extLst>
            <a:ext uri="{FF2B5EF4-FFF2-40B4-BE49-F238E27FC236}">
              <a16:creationId xmlns:a16="http://schemas.microsoft.com/office/drawing/2014/main" id="{3B234921-9DB6-42C1-BA2A-2F93644DA70C}"/>
            </a:ext>
          </a:extLst>
        </xdr:cNvPr>
        <xdr:cNvSpPr/>
      </xdr:nvSpPr>
      <xdr:spPr>
        <a:xfrm>
          <a:off x="10139073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1364" name="Arrow: Up 275">
          <a:extLst>
            <a:ext uri="{FF2B5EF4-FFF2-40B4-BE49-F238E27FC236}">
              <a16:creationId xmlns:a16="http://schemas.microsoft.com/office/drawing/2014/main" id="{C2D27C63-F64D-46F8-9EAB-6F6AB2535B71}"/>
            </a:ext>
          </a:extLst>
        </xdr:cNvPr>
        <xdr:cNvSpPr/>
      </xdr:nvSpPr>
      <xdr:spPr>
        <a:xfrm>
          <a:off x="11268508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1365" name="Arrow: Up 275">
          <a:extLst>
            <a:ext uri="{FF2B5EF4-FFF2-40B4-BE49-F238E27FC236}">
              <a16:creationId xmlns:a16="http://schemas.microsoft.com/office/drawing/2014/main" id="{7AE06518-7EB9-45B7-BDBA-AC59286F8694}"/>
            </a:ext>
          </a:extLst>
        </xdr:cNvPr>
        <xdr:cNvSpPr/>
      </xdr:nvSpPr>
      <xdr:spPr>
        <a:xfrm>
          <a:off x="12368212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1366" name="Arrow: Up 275">
          <a:extLst>
            <a:ext uri="{FF2B5EF4-FFF2-40B4-BE49-F238E27FC236}">
              <a16:creationId xmlns:a16="http://schemas.microsoft.com/office/drawing/2014/main" id="{0E8E8F8F-EE5C-47B1-A1CA-71D9BFB4DC3D}"/>
            </a:ext>
          </a:extLst>
        </xdr:cNvPr>
        <xdr:cNvSpPr/>
      </xdr:nvSpPr>
      <xdr:spPr>
        <a:xfrm>
          <a:off x="0" y="157734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1367" name="Arrow: Up 279">
          <a:extLst>
            <a:ext uri="{FF2B5EF4-FFF2-40B4-BE49-F238E27FC236}">
              <a16:creationId xmlns:a16="http://schemas.microsoft.com/office/drawing/2014/main" id="{52703856-CB12-42F4-866C-C3B5E6593511}"/>
            </a:ext>
          </a:extLst>
        </xdr:cNvPr>
        <xdr:cNvSpPr/>
      </xdr:nvSpPr>
      <xdr:spPr>
        <a:xfrm>
          <a:off x="162358" y="1577340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1368" name="Arrow: Up 275">
          <a:extLst>
            <a:ext uri="{FF2B5EF4-FFF2-40B4-BE49-F238E27FC236}">
              <a16:creationId xmlns:a16="http://schemas.microsoft.com/office/drawing/2014/main" id="{86B1D0DF-7D36-41BD-9253-AB2F3D10491B}"/>
            </a:ext>
          </a:extLst>
        </xdr:cNvPr>
        <xdr:cNvSpPr/>
      </xdr:nvSpPr>
      <xdr:spPr>
        <a:xfrm>
          <a:off x="1251454" y="15756804"/>
          <a:ext cx="133350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1369" name="Arrow: Up 279">
          <a:extLst>
            <a:ext uri="{FF2B5EF4-FFF2-40B4-BE49-F238E27FC236}">
              <a16:creationId xmlns:a16="http://schemas.microsoft.com/office/drawing/2014/main" id="{E0494F9F-2EA4-4D1E-B5E6-CFF44DF97906}"/>
            </a:ext>
          </a:extLst>
        </xdr:cNvPr>
        <xdr:cNvSpPr/>
      </xdr:nvSpPr>
      <xdr:spPr>
        <a:xfrm>
          <a:off x="2277340" y="15751608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1370" name="Arrow: Up 275">
          <a:extLst>
            <a:ext uri="{FF2B5EF4-FFF2-40B4-BE49-F238E27FC236}">
              <a16:creationId xmlns:a16="http://schemas.microsoft.com/office/drawing/2014/main" id="{5B3D45E1-BF67-4BCA-AC95-DD9A23518E6B}"/>
            </a:ext>
          </a:extLst>
        </xdr:cNvPr>
        <xdr:cNvSpPr/>
      </xdr:nvSpPr>
      <xdr:spPr>
        <a:xfrm>
          <a:off x="4370965" y="15740784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1371" name="Arrow: Up 281">
          <a:extLst>
            <a:ext uri="{FF2B5EF4-FFF2-40B4-BE49-F238E27FC236}">
              <a16:creationId xmlns:a16="http://schemas.microsoft.com/office/drawing/2014/main" id="{0DED8372-5F2C-4B05-A852-88E9BA8FCC81}"/>
            </a:ext>
          </a:extLst>
        </xdr:cNvPr>
        <xdr:cNvSpPr/>
      </xdr:nvSpPr>
      <xdr:spPr>
        <a:xfrm>
          <a:off x="6246813" y="157734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1372" name="Arrow: Up 284">
          <a:extLst>
            <a:ext uri="{FF2B5EF4-FFF2-40B4-BE49-F238E27FC236}">
              <a16:creationId xmlns:a16="http://schemas.microsoft.com/office/drawing/2014/main" id="{B580945A-B071-4CD4-9221-4BE42DCD441A}"/>
            </a:ext>
          </a:extLst>
        </xdr:cNvPr>
        <xdr:cNvSpPr/>
      </xdr:nvSpPr>
      <xdr:spPr>
        <a:xfrm>
          <a:off x="9216015" y="15729961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1373" name="Arrow: Up 281">
          <a:extLst>
            <a:ext uri="{FF2B5EF4-FFF2-40B4-BE49-F238E27FC236}">
              <a16:creationId xmlns:a16="http://schemas.microsoft.com/office/drawing/2014/main" id="{C51594F3-65CF-40D3-B3FC-EB97AD83915A}"/>
            </a:ext>
          </a:extLst>
        </xdr:cNvPr>
        <xdr:cNvSpPr/>
      </xdr:nvSpPr>
      <xdr:spPr>
        <a:xfrm>
          <a:off x="10268960" y="157299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1374" name="Arrow: Up 286">
          <a:extLst>
            <a:ext uri="{FF2B5EF4-FFF2-40B4-BE49-F238E27FC236}">
              <a16:creationId xmlns:a16="http://schemas.microsoft.com/office/drawing/2014/main" id="{B3ADA70D-F292-4313-9A64-C9671073791D}"/>
            </a:ext>
          </a:extLst>
        </xdr:cNvPr>
        <xdr:cNvSpPr/>
      </xdr:nvSpPr>
      <xdr:spPr>
        <a:xfrm>
          <a:off x="12346565" y="157516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69697</xdr:colOff>
      <xdr:row>83</xdr:row>
      <xdr:rowOff>140710</xdr:rowOff>
    </xdr:from>
    <xdr:to>
      <xdr:col>42</xdr:col>
      <xdr:colOff>215477</xdr:colOff>
      <xdr:row>85</xdr:row>
      <xdr:rowOff>170947</xdr:rowOff>
    </xdr:to>
    <xdr:sp macro="" textlink="">
      <xdr:nvSpPr>
        <xdr:cNvPr id="1375" name="Arrow: Up 281">
          <a:extLst>
            <a:ext uri="{FF2B5EF4-FFF2-40B4-BE49-F238E27FC236}">
              <a16:creationId xmlns:a16="http://schemas.microsoft.com/office/drawing/2014/main" id="{89DA6C65-380D-4F18-A714-68648B81A231}"/>
            </a:ext>
          </a:extLst>
        </xdr:cNvPr>
        <xdr:cNvSpPr/>
      </xdr:nvSpPr>
      <xdr:spPr>
        <a:xfrm>
          <a:off x="14293697" y="15729960"/>
          <a:ext cx="145780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1376" name="Arrow: Up 275">
          <a:extLst>
            <a:ext uri="{FF2B5EF4-FFF2-40B4-BE49-F238E27FC236}">
              <a16:creationId xmlns:a16="http://schemas.microsoft.com/office/drawing/2014/main" id="{A2262CBC-BC04-479D-AB7E-D879346BC35B}"/>
            </a:ext>
          </a:extLst>
        </xdr:cNvPr>
        <xdr:cNvSpPr/>
      </xdr:nvSpPr>
      <xdr:spPr>
        <a:xfrm>
          <a:off x="2288165" y="17235632"/>
          <a:ext cx="133350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1377" name="Arrow: Up 289">
          <a:extLst>
            <a:ext uri="{FF2B5EF4-FFF2-40B4-BE49-F238E27FC236}">
              <a16:creationId xmlns:a16="http://schemas.microsoft.com/office/drawing/2014/main" id="{E4A5FDF1-56A5-4DFF-AA91-46E2024A9604}"/>
            </a:ext>
          </a:extLst>
        </xdr:cNvPr>
        <xdr:cNvSpPr/>
      </xdr:nvSpPr>
      <xdr:spPr>
        <a:xfrm>
          <a:off x="3400858" y="172356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1378" name="Arrow: Up 275">
          <a:extLst>
            <a:ext uri="{FF2B5EF4-FFF2-40B4-BE49-F238E27FC236}">
              <a16:creationId xmlns:a16="http://schemas.microsoft.com/office/drawing/2014/main" id="{9C152FE5-3946-4A8A-B35F-609CBE380080}"/>
            </a:ext>
          </a:extLst>
        </xdr:cNvPr>
        <xdr:cNvSpPr/>
      </xdr:nvSpPr>
      <xdr:spPr>
        <a:xfrm>
          <a:off x="4273550" y="172466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1379" name="Arrow: Up 289">
          <a:extLst>
            <a:ext uri="{FF2B5EF4-FFF2-40B4-BE49-F238E27FC236}">
              <a16:creationId xmlns:a16="http://schemas.microsoft.com/office/drawing/2014/main" id="{9782D2B2-F139-4127-8D5C-4C891FA3E52B}"/>
            </a:ext>
          </a:extLst>
        </xdr:cNvPr>
        <xdr:cNvSpPr/>
      </xdr:nvSpPr>
      <xdr:spPr>
        <a:xfrm>
          <a:off x="4425084" y="172464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32472</xdr:colOff>
      <xdr:row>91</xdr:row>
      <xdr:rowOff>139390</xdr:rowOff>
    </xdr:from>
    <xdr:to>
      <xdr:col>42</xdr:col>
      <xdr:colOff>175347</xdr:colOff>
      <xdr:row>93</xdr:row>
      <xdr:rowOff>169628</xdr:rowOff>
    </xdr:to>
    <xdr:sp macro="" textlink="">
      <xdr:nvSpPr>
        <xdr:cNvPr id="1380" name="Arrow: Up 292">
          <a:extLst>
            <a:ext uri="{FF2B5EF4-FFF2-40B4-BE49-F238E27FC236}">
              <a16:creationId xmlns:a16="http://schemas.microsoft.com/office/drawing/2014/main" id="{7C760629-9B2A-4727-BFDB-D0FF86E250BF}"/>
            </a:ext>
          </a:extLst>
        </xdr:cNvPr>
        <xdr:cNvSpPr/>
      </xdr:nvSpPr>
      <xdr:spPr>
        <a:xfrm>
          <a:off x="14256472" y="17201840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205654</xdr:colOff>
      <xdr:row>91</xdr:row>
      <xdr:rowOff>149159</xdr:rowOff>
    </xdr:from>
    <xdr:to>
      <xdr:col>42</xdr:col>
      <xdr:colOff>360092</xdr:colOff>
      <xdr:row>93</xdr:row>
      <xdr:rowOff>170421</xdr:rowOff>
    </xdr:to>
    <xdr:sp macro="" textlink="">
      <xdr:nvSpPr>
        <xdr:cNvPr id="1381" name="Arrow: Up 295">
          <a:extLst>
            <a:ext uri="{FF2B5EF4-FFF2-40B4-BE49-F238E27FC236}">
              <a16:creationId xmlns:a16="http://schemas.microsoft.com/office/drawing/2014/main" id="{7B1D2B3C-B134-4D23-B767-65112294177F}"/>
            </a:ext>
          </a:extLst>
        </xdr:cNvPr>
        <xdr:cNvSpPr/>
      </xdr:nvSpPr>
      <xdr:spPr>
        <a:xfrm>
          <a:off x="14429654" y="17211609"/>
          <a:ext cx="154438" cy="38956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1382" name="Arrow: Up 296">
          <a:extLst>
            <a:ext uri="{FF2B5EF4-FFF2-40B4-BE49-F238E27FC236}">
              <a16:creationId xmlns:a16="http://schemas.microsoft.com/office/drawing/2014/main" id="{B00D82C7-2EA3-43C6-9F18-975F5766617B}"/>
            </a:ext>
          </a:extLst>
        </xdr:cNvPr>
        <xdr:cNvSpPr/>
      </xdr:nvSpPr>
      <xdr:spPr>
        <a:xfrm>
          <a:off x="1416627" y="18687185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1383" name="Arrow: Up 291">
          <a:extLst>
            <a:ext uri="{FF2B5EF4-FFF2-40B4-BE49-F238E27FC236}">
              <a16:creationId xmlns:a16="http://schemas.microsoft.com/office/drawing/2014/main" id="{71094B02-DA29-49A3-A582-A0435296CFE5}"/>
            </a:ext>
          </a:extLst>
        </xdr:cNvPr>
        <xdr:cNvSpPr/>
      </xdr:nvSpPr>
      <xdr:spPr>
        <a:xfrm>
          <a:off x="6268460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1384" name="Arrow: Up 310">
          <a:extLst>
            <a:ext uri="{FF2B5EF4-FFF2-40B4-BE49-F238E27FC236}">
              <a16:creationId xmlns:a16="http://schemas.microsoft.com/office/drawing/2014/main" id="{7FAB0E8C-38B5-4EA7-9C32-BCCBD53EAC64}"/>
            </a:ext>
          </a:extLst>
        </xdr:cNvPr>
        <xdr:cNvSpPr/>
      </xdr:nvSpPr>
      <xdr:spPr>
        <a:xfrm>
          <a:off x="12335741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1385" name="Arrow: Up 296">
          <a:extLst>
            <a:ext uri="{FF2B5EF4-FFF2-40B4-BE49-F238E27FC236}">
              <a16:creationId xmlns:a16="http://schemas.microsoft.com/office/drawing/2014/main" id="{DFB64BB0-8EC3-410F-84D2-0A7883C7F512}"/>
            </a:ext>
          </a:extLst>
        </xdr:cNvPr>
        <xdr:cNvSpPr/>
      </xdr:nvSpPr>
      <xdr:spPr>
        <a:xfrm>
          <a:off x="1416627" y="2019300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1386" name="Arrow: Up 296">
          <a:extLst>
            <a:ext uri="{FF2B5EF4-FFF2-40B4-BE49-F238E27FC236}">
              <a16:creationId xmlns:a16="http://schemas.microsoft.com/office/drawing/2014/main" id="{687783CD-294C-491E-83D2-946017742CA0}"/>
            </a:ext>
          </a:extLst>
        </xdr:cNvPr>
        <xdr:cNvSpPr/>
      </xdr:nvSpPr>
      <xdr:spPr>
        <a:xfrm>
          <a:off x="2320636" y="20149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1387" name="Arrow: Up 296">
          <a:extLst>
            <a:ext uri="{FF2B5EF4-FFF2-40B4-BE49-F238E27FC236}">
              <a16:creationId xmlns:a16="http://schemas.microsoft.com/office/drawing/2014/main" id="{740F9AD2-B55E-4BCA-A454-F1616ABFD6BC}"/>
            </a:ext>
          </a:extLst>
        </xdr:cNvPr>
        <xdr:cNvSpPr/>
      </xdr:nvSpPr>
      <xdr:spPr>
        <a:xfrm>
          <a:off x="3379210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1388" name="Arrow: Up 313">
          <a:extLst>
            <a:ext uri="{FF2B5EF4-FFF2-40B4-BE49-F238E27FC236}">
              <a16:creationId xmlns:a16="http://schemas.microsoft.com/office/drawing/2014/main" id="{48FD1E30-9FD3-4879-8B19-4B27E54BC182}"/>
            </a:ext>
          </a:extLst>
        </xdr:cNvPr>
        <xdr:cNvSpPr/>
      </xdr:nvSpPr>
      <xdr:spPr>
        <a:xfrm>
          <a:off x="4370965" y="201712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1389" name="Arrow: Up 313">
          <a:extLst>
            <a:ext uri="{FF2B5EF4-FFF2-40B4-BE49-F238E27FC236}">
              <a16:creationId xmlns:a16="http://schemas.microsoft.com/office/drawing/2014/main" id="{8F60A7A2-5141-4172-B03F-002ECA3D57D5}"/>
            </a:ext>
          </a:extLst>
        </xdr:cNvPr>
        <xdr:cNvSpPr/>
      </xdr:nvSpPr>
      <xdr:spPr>
        <a:xfrm>
          <a:off x="7125422" y="201603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1390" name="Arrow: Up-Down 285">
          <a:extLst>
            <a:ext uri="{FF2B5EF4-FFF2-40B4-BE49-F238E27FC236}">
              <a16:creationId xmlns:a16="http://schemas.microsoft.com/office/drawing/2014/main" id="{D0F31EEE-CEE9-4810-A1F8-34789FCA35B8}"/>
            </a:ext>
          </a:extLst>
        </xdr:cNvPr>
        <xdr:cNvSpPr/>
      </xdr:nvSpPr>
      <xdr:spPr>
        <a:xfrm>
          <a:off x="7287780" y="2018203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1391" name="Arrow: Up 296">
          <a:extLst>
            <a:ext uri="{FF2B5EF4-FFF2-40B4-BE49-F238E27FC236}">
              <a16:creationId xmlns:a16="http://schemas.microsoft.com/office/drawing/2014/main" id="{C9846EAA-7FC0-4452-8AC0-A543102DF9BA}"/>
            </a:ext>
          </a:extLst>
        </xdr:cNvPr>
        <xdr:cNvSpPr/>
      </xdr:nvSpPr>
      <xdr:spPr>
        <a:xfrm>
          <a:off x="8186881" y="201603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1392" name="Arrow: Up 296">
          <a:extLst>
            <a:ext uri="{FF2B5EF4-FFF2-40B4-BE49-F238E27FC236}">
              <a16:creationId xmlns:a16="http://schemas.microsoft.com/office/drawing/2014/main" id="{71DDA4FA-1D9B-4389-95E0-658C33CA4BA2}"/>
            </a:ext>
          </a:extLst>
        </xdr:cNvPr>
        <xdr:cNvSpPr/>
      </xdr:nvSpPr>
      <xdr:spPr>
        <a:xfrm>
          <a:off x="11225213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1393" name="Arrow: Up 296">
          <a:extLst>
            <a:ext uri="{FF2B5EF4-FFF2-40B4-BE49-F238E27FC236}">
              <a16:creationId xmlns:a16="http://schemas.microsoft.com/office/drawing/2014/main" id="{F250292C-0A70-4C41-B374-75355FC8167B}"/>
            </a:ext>
          </a:extLst>
        </xdr:cNvPr>
        <xdr:cNvSpPr/>
      </xdr:nvSpPr>
      <xdr:spPr>
        <a:xfrm>
          <a:off x="12433156" y="20182031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1394" name="Arrow: Up 313">
          <a:extLst>
            <a:ext uri="{FF2B5EF4-FFF2-40B4-BE49-F238E27FC236}">
              <a16:creationId xmlns:a16="http://schemas.microsoft.com/office/drawing/2014/main" id="{06B28555-EFD0-4EFA-89EF-55F555CF63D9}"/>
            </a:ext>
          </a:extLst>
        </xdr:cNvPr>
        <xdr:cNvSpPr/>
      </xdr:nvSpPr>
      <xdr:spPr>
        <a:xfrm>
          <a:off x="12270798" y="20192856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1395" name="Arrow: Up 296">
          <a:extLst>
            <a:ext uri="{FF2B5EF4-FFF2-40B4-BE49-F238E27FC236}">
              <a16:creationId xmlns:a16="http://schemas.microsoft.com/office/drawing/2014/main" id="{CEF4E114-65FC-4A0A-8FE8-F307203D18B1}"/>
            </a:ext>
          </a:extLst>
        </xdr:cNvPr>
        <xdr:cNvSpPr/>
      </xdr:nvSpPr>
      <xdr:spPr>
        <a:xfrm>
          <a:off x="13301663" y="20160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107</xdr:row>
      <xdr:rowOff>162358</xdr:rowOff>
    </xdr:from>
    <xdr:to>
      <xdr:col>42</xdr:col>
      <xdr:colOff>290397</xdr:colOff>
      <xdr:row>110</xdr:row>
      <xdr:rowOff>6742</xdr:rowOff>
    </xdr:to>
    <xdr:sp macro="" textlink="">
      <xdr:nvSpPr>
        <xdr:cNvPr id="1396" name="Arrow: Up 296">
          <a:extLst>
            <a:ext uri="{FF2B5EF4-FFF2-40B4-BE49-F238E27FC236}">
              <a16:creationId xmlns:a16="http://schemas.microsoft.com/office/drawing/2014/main" id="{D007825B-DB2E-463B-8266-A946033F93CF}"/>
            </a:ext>
          </a:extLst>
        </xdr:cNvPr>
        <xdr:cNvSpPr/>
      </xdr:nvSpPr>
      <xdr:spPr>
        <a:xfrm>
          <a:off x="14333032" y="20171208"/>
          <a:ext cx="181365" cy="39683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1397" name="Arrow: Up 296">
          <a:extLst>
            <a:ext uri="{FF2B5EF4-FFF2-40B4-BE49-F238E27FC236}">
              <a16:creationId xmlns:a16="http://schemas.microsoft.com/office/drawing/2014/main" id="{A86F8F61-2DE7-4EB6-986F-7F4089A9926F}"/>
            </a:ext>
          </a:extLst>
        </xdr:cNvPr>
        <xdr:cNvSpPr/>
      </xdr:nvSpPr>
      <xdr:spPr>
        <a:xfrm>
          <a:off x="1308389" y="216444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1398" name="Arrow: Up 296">
          <a:extLst>
            <a:ext uri="{FF2B5EF4-FFF2-40B4-BE49-F238E27FC236}">
              <a16:creationId xmlns:a16="http://schemas.microsoft.com/office/drawing/2014/main" id="{71B970AC-A029-4251-8A6F-69CD96926A70}"/>
            </a:ext>
          </a:extLst>
        </xdr:cNvPr>
        <xdr:cNvSpPr/>
      </xdr:nvSpPr>
      <xdr:spPr>
        <a:xfrm>
          <a:off x="2298988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1399" name="Arrow: Up 296">
          <a:extLst>
            <a:ext uri="{FF2B5EF4-FFF2-40B4-BE49-F238E27FC236}">
              <a16:creationId xmlns:a16="http://schemas.microsoft.com/office/drawing/2014/main" id="{2F659EC2-7EC5-4DC2-B9B6-E1B9E4B2C7DE}"/>
            </a:ext>
          </a:extLst>
        </xdr:cNvPr>
        <xdr:cNvSpPr/>
      </xdr:nvSpPr>
      <xdr:spPr>
        <a:xfrm>
          <a:off x="3314267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1400" name="Arrow: Up-Down 285">
          <a:extLst>
            <a:ext uri="{FF2B5EF4-FFF2-40B4-BE49-F238E27FC236}">
              <a16:creationId xmlns:a16="http://schemas.microsoft.com/office/drawing/2014/main" id="{9390ED8D-F712-451D-81B5-858752EBD442}"/>
            </a:ext>
          </a:extLst>
        </xdr:cNvPr>
        <xdr:cNvSpPr/>
      </xdr:nvSpPr>
      <xdr:spPr>
        <a:xfrm>
          <a:off x="3498273" y="21644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1401" name="Arrow: Up 296">
          <a:extLst>
            <a:ext uri="{FF2B5EF4-FFF2-40B4-BE49-F238E27FC236}">
              <a16:creationId xmlns:a16="http://schemas.microsoft.com/office/drawing/2014/main" id="{E7127D2C-5BDE-494B-92C9-E46FB0AF6C0B}"/>
            </a:ext>
          </a:extLst>
        </xdr:cNvPr>
        <xdr:cNvSpPr/>
      </xdr:nvSpPr>
      <xdr:spPr>
        <a:xfrm>
          <a:off x="4360141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1402" name="Arrow: Up 296">
          <a:extLst>
            <a:ext uri="{FF2B5EF4-FFF2-40B4-BE49-F238E27FC236}">
              <a16:creationId xmlns:a16="http://schemas.microsoft.com/office/drawing/2014/main" id="{28984273-C5BB-493A-A1D5-306702A31EB6}"/>
            </a:ext>
          </a:extLst>
        </xdr:cNvPr>
        <xdr:cNvSpPr/>
      </xdr:nvSpPr>
      <xdr:spPr>
        <a:xfrm>
          <a:off x="5306291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1403" name="Arrow: Up 296">
          <a:extLst>
            <a:ext uri="{FF2B5EF4-FFF2-40B4-BE49-F238E27FC236}">
              <a16:creationId xmlns:a16="http://schemas.microsoft.com/office/drawing/2014/main" id="{6604A631-C07E-40CB-B0BD-689816AA7BC1}"/>
            </a:ext>
          </a:extLst>
        </xdr:cNvPr>
        <xdr:cNvSpPr/>
      </xdr:nvSpPr>
      <xdr:spPr>
        <a:xfrm>
          <a:off x="7168717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1404" name="Arrow: Up 296">
          <a:extLst>
            <a:ext uri="{FF2B5EF4-FFF2-40B4-BE49-F238E27FC236}">
              <a16:creationId xmlns:a16="http://schemas.microsoft.com/office/drawing/2014/main" id="{219958D9-6E55-4B7F-AED8-85601066AB52}"/>
            </a:ext>
          </a:extLst>
        </xdr:cNvPr>
        <xdr:cNvSpPr/>
      </xdr:nvSpPr>
      <xdr:spPr>
        <a:xfrm>
          <a:off x="10236489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1405" name="Arrow: Up 296">
          <a:extLst>
            <a:ext uri="{FF2B5EF4-FFF2-40B4-BE49-F238E27FC236}">
              <a16:creationId xmlns:a16="http://schemas.microsoft.com/office/drawing/2014/main" id="{AB58F7D0-5859-43A1-9A8D-92EBE9F1F47B}"/>
            </a:ext>
          </a:extLst>
        </xdr:cNvPr>
        <xdr:cNvSpPr/>
      </xdr:nvSpPr>
      <xdr:spPr>
        <a:xfrm>
          <a:off x="11225213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1406" name="Arrow: Up 296">
          <a:extLst>
            <a:ext uri="{FF2B5EF4-FFF2-40B4-BE49-F238E27FC236}">
              <a16:creationId xmlns:a16="http://schemas.microsoft.com/office/drawing/2014/main" id="{9340BBAB-6DED-4DD8-9902-C2084BAAF420}"/>
            </a:ext>
          </a:extLst>
        </xdr:cNvPr>
        <xdr:cNvSpPr/>
      </xdr:nvSpPr>
      <xdr:spPr>
        <a:xfrm>
          <a:off x="13290838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1407" name="Arrow: Up 296">
          <a:extLst>
            <a:ext uri="{FF2B5EF4-FFF2-40B4-BE49-F238E27FC236}">
              <a16:creationId xmlns:a16="http://schemas.microsoft.com/office/drawing/2014/main" id="{6BD47FC7-B41A-43ED-8B19-D6BA85B1FE56}"/>
            </a:ext>
          </a:extLst>
        </xdr:cNvPr>
        <xdr:cNvSpPr/>
      </xdr:nvSpPr>
      <xdr:spPr>
        <a:xfrm>
          <a:off x="3411681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1408" name="Arrow: Up 296">
          <a:extLst>
            <a:ext uri="{FF2B5EF4-FFF2-40B4-BE49-F238E27FC236}">
              <a16:creationId xmlns:a16="http://schemas.microsoft.com/office/drawing/2014/main" id="{8D13D87A-D588-415C-A89A-37147F292C5B}"/>
            </a:ext>
          </a:extLst>
        </xdr:cNvPr>
        <xdr:cNvSpPr/>
      </xdr:nvSpPr>
      <xdr:spPr>
        <a:xfrm>
          <a:off x="5317115" y="23106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1409" name="Arrow: Up 296">
          <a:extLst>
            <a:ext uri="{FF2B5EF4-FFF2-40B4-BE49-F238E27FC236}">
              <a16:creationId xmlns:a16="http://schemas.microsoft.com/office/drawing/2014/main" id="{E009911F-7A45-4CB7-BBDE-79D62908FB01}"/>
            </a:ext>
          </a:extLst>
        </xdr:cNvPr>
        <xdr:cNvSpPr/>
      </xdr:nvSpPr>
      <xdr:spPr>
        <a:xfrm>
          <a:off x="11246860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1410" name="Arrow: Up 296">
          <a:extLst>
            <a:ext uri="{FF2B5EF4-FFF2-40B4-BE49-F238E27FC236}">
              <a16:creationId xmlns:a16="http://schemas.microsoft.com/office/drawing/2014/main" id="{9C80B165-8C9C-42AA-BBCB-E30AC5336C9A}"/>
            </a:ext>
          </a:extLst>
        </xdr:cNvPr>
        <xdr:cNvSpPr/>
      </xdr:nvSpPr>
      <xdr:spPr>
        <a:xfrm>
          <a:off x="13323310" y="231067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1411" name="Arrow: Up 296">
          <a:extLst>
            <a:ext uri="{FF2B5EF4-FFF2-40B4-BE49-F238E27FC236}">
              <a16:creationId xmlns:a16="http://schemas.microsoft.com/office/drawing/2014/main" id="{3BDD74AB-DDE4-417F-B6F4-52DA840C9715}"/>
            </a:ext>
          </a:extLst>
        </xdr:cNvPr>
        <xdr:cNvSpPr/>
      </xdr:nvSpPr>
      <xdr:spPr>
        <a:xfrm>
          <a:off x="1319212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1412" name="Arrow: Up 296">
          <a:extLst>
            <a:ext uri="{FF2B5EF4-FFF2-40B4-BE49-F238E27FC236}">
              <a16:creationId xmlns:a16="http://schemas.microsoft.com/office/drawing/2014/main" id="{3990499B-47EE-4BDC-80E7-424E3394760B}"/>
            </a:ext>
          </a:extLst>
        </xdr:cNvPr>
        <xdr:cNvSpPr/>
      </xdr:nvSpPr>
      <xdr:spPr>
        <a:xfrm>
          <a:off x="3379210" y="24612455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1413" name="Arrow: Up 296">
          <a:extLst>
            <a:ext uri="{FF2B5EF4-FFF2-40B4-BE49-F238E27FC236}">
              <a16:creationId xmlns:a16="http://schemas.microsoft.com/office/drawing/2014/main" id="{8C9B3846-DA5D-4FBA-BE79-836325357DCC}"/>
            </a:ext>
          </a:extLst>
        </xdr:cNvPr>
        <xdr:cNvSpPr/>
      </xdr:nvSpPr>
      <xdr:spPr>
        <a:xfrm>
          <a:off x="531711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1414" name="Arrow: Up 296">
          <a:extLst>
            <a:ext uri="{FF2B5EF4-FFF2-40B4-BE49-F238E27FC236}">
              <a16:creationId xmlns:a16="http://schemas.microsoft.com/office/drawing/2014/main" id="{B47C70A8-5AF8-4D2B-AA93-3D1CE24DAA20}"/>
            </a:ext>
          </a:extLst>
        </xdr:cNvPr>
        <xdr:cNvSpPr/>
      </xdr:nvSpPr>
      <xdr:spPr>
        <a:xfrm>
          <a:off x="724448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1415" name="Arrow: Up 805">
          <a:extLst>
            <a:ext uri="{FF2B5EF4-FFF2-40B4-BE49-F238E27FC236}">
              <a16:creationId xmlns:a16="http://schemas.microsoft.com/office/drawing/2014/main" id="{03D890DF-11F0-427B-BE37-EA631EF5F20C}"/>
            </a:ext>
          </a:extLst>
        </xdr:cNvPr>
        <xdr:cNvSpPr/>
      </xdr:nvSpPr>
      <xdr:spPr>
        <a:xfrm>
          <a:off x="7092950" y="245691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1416" name="Arrow: Up 805">
          <a:extLst>
            <a:ext uri="{FF2B5EF4-FFF2-40B4-BE49-F238E27FC236}">
              <a16:creationId xmlns:a16="http://schemas.microsoft.com/office/drawing/2014/main" id="{4B580048-C74B-4C24-A886-AA31997B270E}"/>
            </a:ext>
          </a:extLst>
        </xdr:cNvPr>
        <xdr:cNvSpPr/>
      </xdr:nvSpPr>
      <xdr:spPr>
        <a:xfrm>
          <a:off x="9151071" y="245908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1417" name="Arrow: Up 296">
          <a:extLst>
            <a:ext uri="{FF2B5EF4-FFF2-40B4-BE49-F238E27FC236}">
              <a16:creationId xmlns:a16="http://schemas.microsoft.com/office/drawing/2014/main" id="{C110F89D-0D20-424F-8E6F-EFF89FCFF0B6}"/>
            </a:ext>
          </a:extLst>
        </xdr:cNvPr>
        <xdr:cNvSpPr/>
      </xdr:nvSpPr>
      <xdr:spPr>
        <a:xfrm>
          <a:off x="9356725" y="245799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1418" name="Arrow: Up 296">
          <a:extLst>
            <a:ext uri="{FF2B5EF4-FFF2-40B4-BE49-F238E27FC236}">
              <a16:creationId xmlns:a16="http://schemas.microsoft.com/office/drawing/2014/main" id="{1C9DB09F-EBAF-47B7-8274-F3B8EB0D019F}"/>
            </a:ext>
          </a:extLst>
        </xdr:cNvPr>
        <xdr:cNvSpPr/>
      </xdr:nvSpPr>
      <xdr:spPr>
        <a:xfrm>
          <a:off x="10258136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140711</xdr:colOff>
      <xdr:row>131</xdr:row>
      <xdr:rowOff>184797</xdr:rowOff>
    </xdr:from>
    <xdr:to>
      <xdr:col>42</xdr:col>
      <xdr:colOff>325244</xdr:colOff>
      <xdr:row>134</xdr:row>
      <xdr:rowOff>20204</xdr:rowOff>
    </xdr:to>
    <xdr:sp macro="" textlink="">
      <xdr:nvSpPr>
        <xdr:cNvPr id="1419" name="Arrow: Up 805">
          <a:extLst>
            <a:ext uri="{FF2B5EF4-FFF2-40B4-BE49-F238E27FC236}">
              <a16:creationId xmlns:a16="http://schemas.microsoft.com/office/drawing/2014/main" id="{8B60C5DF-EC3D-487E-A9BE-7624032571FA}"/>
            </a:ext>
          </a:extLst>
        </xdr:cNvPr>
        <xdr:cNvSpPr/>
      </xdr:nvSpPr>
      <xdr:spPr>
        <a:xfrm>
          <a:off x="14364711" y="24613247"/>
          <a:ext cx="184533" cy="38785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1420" name="Arrow: Up 805">
          <a:extLst>
            <a:ext uri="{FF2B5EF4-FFF2-40B4-BE49-F238E27FC236}">
              <a16:creationId xmlns:a16="http://schemas.microsoft.com/office/drawing/2014/main" id="{29117E0E-8DA0-491B-9FF7-44CD262520DB}"/>
            </a:ext>
          </a:extLst>
        </xdr:cNvPr>
        <xdr:cNvSpPr/>
      </xdr:nvSpPr>
      <xdr:spPr>
        <a:xfrm>
          <a:off x="2201574" y="26064008"/>
          <a:ext cx="151534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1421" name="Arrow: Up 296">
          <a:extLst>
            <a:ext uri="{FF2B5EF4-FFF2-40B4-BE49-F238E27FC236}">
              <a16:creationId xmlns:a16="http://schemas.microsoft.com/office/drawing/2014/main" id="{0FD4AAA2-FB9A-4044-BCDB-514643AEB26D}"/>
            </a:ext>
          </a:extLst>
        </xdr:cNvPr>
        <xdr:cNvSpPr/>
      </xdr:nvSpPr>
      <xdr:spPr>
        <a:xfrm>
          <a:off x="2385579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1422" name="Arrow: Up 805">
          <a:extLst>
            <a:ext uri="{FF2B5EF4-FFF2-40B4-BE49-F238E27FC236}">
              <a16:creationId xmlns:a16="http://schemas.microsoft.com/office/drawing/2014/main" id="{226E8C46-E556-457F-9196-196CF8E91E72}"/>
            </a:ext>
          </a:extLst>
        </xdr:cNvPr>
        <xdr:cNvSpPr/>
      </xdr:nvSpPr>
      <xdr:spPr>
        <a:xfrm>
          <a:off x="7125422" y="26031536"/>
          <a:ext cx="151534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1423" name="Arrow: Up 296">
          <a:extLst>
            <a:ext uri="{FF2B5EF4-FFF2-40B4-BE49-F238E27FC236}">
              <a16:creationId xmlns:a16="http://schemas.microsoft.com/office/drawing/2014/main" id="{E224A920-006C-41EB-84DB-432C89BE6BA6}"/>
            </a:ext>
          </a:extLst>
        </xdr:cNvPr>
        <xdr:cNvSpPr/>
      </xdr:nvSpPr>
      <xdr:spPr>
        <a:xfrm>
          <a:off x="7298603" y="26020713"/>
          <a:ext cx="158461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1424" name="Arrow: Up 296">
          <a:extLst>
            <a:ext uri="{FF2B5EF4-FFF2-40B4-BE49-F238E27FC236}">
              <a16:creationId xmlns:a16="http://schemas.microsoft.com/office/drawing/2014/main" id="{2F92A1C9-3553-40AF-A9FF-CD9C195D7527}"/>
            </a:ext>
          </a:extLst>
        </xdr:cNvPr>
        <xdr:cNvSpPr/>
      </xdr:nvSpPr>
      <xdr:spPr>
        <a:xfrm>
          <a:off x="11236037" y="260531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1425" name="Arrow: Up 296">
          <a:extLst>
            <a:ext uri="{FF2B5EF4-FFF2-40B4-BE49-F238E27FC236}">
              <a16:creationId xmlns:a16="http://schemas.microsoft.com/office/drawing/2014/main" id="{C8461F99-CE7F-49EB-BF36-A8D5C25FD4E2}"/>
            </a:ext>
          </a:extLst>
        </xdr:cNvPr>
        <xdr:cNvSpPr/>
      </xdr:nvSpPr>
      <xdr:spPr>
        <a:xfrm>
          <a:off x="12346565" y="260423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1426" name="Arrow: Up 296">
          <a:extLst>
            <a:ext uri="{FF2B5EF4-FFF2-40B4-BE49-F238E27FC236}">
              <a16:creationId xmlns:a16="http://schemas.microsoft.com/office/drawing/2014/main" id="{11E558E3-1397-4331-A161-AB0A46918C7E}"/>
            </a:ext>
          </a:extLst>
        </xdr:cNvPr>
        <xdr:cNvSpPr/>
      </xdr:nvSpPr>
      <xdr:spPr>
        <a:xfrm>
          <a:off x="13355782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83425</xdr:colOff>
      <xdr:row>139</xdr:row>
      <xdr:rowOff>184796</xdr:rowOff>
    </xdr:from>
    <xdr:to>
      <xdr:col>42</xdr:col>
      <xdr:colOff>226300</xdr:colOff>
      <xdr:row>142</xdr:row>
      <xdr:rowOff>20204</xdr:rowOff>
    </xdr:to>
    <xdr:sp macro="" textlink="">
      <xdr:nvSpPr>
        <xdr:cNvPr id="1427" name="Arrow: Up 913">
          <a:extLst>
            <a:ext uri="{FF2B5EF4-FFF2-40B4-BE49-F238E27FC236}">
              <a16:creationId xmlns:a16="http://schemas.microsoft.com/office/drawing/2014/main" id="{D48F7F7A-5352-4C38-B477-1E8929BB45DC}"/>
            </a:ext>
          </a:extLst>
        </xdr:cNvPr>
        <xdr:cNvSpPr/>
      </xdr:nvSpPr>
      <xdr:spPr>
        <a:xfrm>
          <a:off x="14307425" y="26086446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1428" name="Arrow: Up 296">
          <a:extLst>
            <a:ext uri="{FF2B5EF4-FFF2-40B4-BE49-F238E27FC236}">
              <a16:creationId xmlns:a16="http://schemas.microsoft.com/office/drawing/2014/main" id="{1EF753FC-1049-43F9-A0E8-BB469462F82B}"/>
            </a:ext>
          </a:extLst>
        </xdr:cNvPr>
        <xdr:cNvSpPr/>
      </xdr:nvSpPr>
      <xdr:spPr>
        <a:xfrm>
          <a:off x="2277341" y="27526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1429" name="Arrow: Up 296">
          <a:extLst>
            <a:ext uri="{FF2B5EF4-FFF2-40B4-BE49-F238E27FC236}">
              <a16:creationId xmlns:a16="http://schemas.microsoft.com/office/drawing/2014/main" id="{A7E236A6-E03B-49C1-8DF5-5D522E06051E}"/>
            </a:ext>
          </a:extLst>
        </xdr:cNvPr>
        <xdr:cNvSpPr/>
      </xdr:nvSpPr>
      <xdr:spPr>
        <a:xfrm>
          <a:off x="6181869" y="275372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1430" name="Arrow: Up 296">
          <a:extLst>
            <a:ext uri="{FF2B5EF4-FFF2-40B4-BE49-F238E27FC236}">
              <a16:creationId xmlns:a16="http://schemas.microsoft.com/office/drawing/2014/main" id="{63F6E892-FA56-4570-AE5B-B6E0952A3794}"/>
            </a:ext>
          </a:extLst>
        </xdr:cNvPr>
        <xdr:cNvSpPr/>
      </xdr:nvSpPr>
      <xdr:spPr>
        <a:xfrm>
          <a:off x="929178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1431" name="Arrow: Up 296">
          <a:extLst>
            <a:ext uri="{FF2B5EF4-FFF2-40B4-BE49-F238E27FC236}">
              <a16:creationId xmlns:a16="http://schemas.microsoft.com/office/drawing/2014/main" id="{A9F89924-65F6-4C24-AF67-32B741516274}"/>
            </a:ext>
          </a:extLst>
        </xdr:cNvPr>
        <xdr:cNvSpPr/>
      </xdr:nvSpPr>
      <xdr:spPr>
        <a:xfrm>
          <a:off x="1016072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1432" name="Arrow: Up-Down 285">
          <a:extLst>
            <a:ext uri="{FF2B5EF4-FFF2-40B4-BE49-F238E27FC236}">
              <a16:creationId xmlns:a16="http://schemas.microsoft.com/office/drawing/2014/main" id="{357A188A-E2D2-43C6-BAC4-707251D424D1}"/>
            </a:ext>
          </a:extLst>
        </xdr:cNvPr>
        <xdr:cNvSpPr/>
      </xdr:nvSpPr>
      <xdr:spPr>
        <a:xfrm>
          <a:off x="10333904" y="2752638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1433" name="Arrow: Up 913">
          <a:extLst>
            <a:ext uri="{FF2B5EF4-FFF2-40B4-BE49-F238E27FC236}">
              <a16:creationId xmlns:a16="http://schemas.microsoft.com/office/drawing/2014/main" id="{146A89D9-8894-4E6B-BA51-CD2E72A1FD1B}"/>
            </a:ext>
          </a:extLst>
        </xdr:cNvPr>
        <xdr:cNvSpPr/>
      </xdr:nvSpPr>
      <xdr:spPr>
        <a:xfrm>
          <a:off x="12357389" y="27548031"/>
          <a:ext cx="142875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1434" name="Arrow: Up 296">
          <a:extLst>
            <a:ext uri="{FF2B5EF4-FFF2-40B4-BE49-F238E27FC236}">
              <a16:creationId xmlns:a16="http://schemas.microsoft.com/office/drawing/2014/main" id="{AE19CCCA-5DC9-4FF3-A65B-F78826C47652}"/>
            </a:ext>
          </a:extLst>
        </xdr:cNvPr>
        <xdr:cNvSpPr/>
      </xdr:nvSpPr>
      <xdr:spPr>
        <a:xfrm>
          <a:off x="1427451" y="289887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1435" name="Arrow: Up-Down 285">
          <a:extLst>
            <a:ext uri="{FF2B5EF4-FFF2-40B4-BE49-F238E27FC236}">
              <a16:creationId xmlns:a16="http://schemas.microsoft.com/office/drawing/2014/main" id="{12E9415D-371A-47AB-9008-4B4601C69603}"/>
            </a:ext>
          </a:extLst>
        </xdr:cNvPr>
        <xdr:cNvSpPr/>
      </xdr:nvSpPr>
      <xdr:spPr>
        <a:xfrm>
          <a:off x="3379210" y="29010409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1436" name="Arrow: Up 913">
          <a:extLst>
            <a:ext uri="{FF2B5EF4-FFF2-40B4-BE49-F238E27FC236}">
              <a16:creationId xmlns:a16="http://schemas.microsoft.com/office/drawing/2014/main" id="{312CEE70-3D02-4E61-AAAF-50788899F979}"/>
            </a:ext>
          </a:extLst>
        </xdr:cNvPr>
        <xdr:cNvSpPr/>
      </xdr:nvSpPr>
      <xdr:spPr>
        <a:xfrm>
          <a:off x="4381788" y="2901040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1437" name="Arrow: Up-Down 285">
          <a:extLst>
            <a:ext uri="{FF2B5EF4-FFF2-40B4-BE49-F238E27FC236}">
              <a16:creationId xmlns:a16="http://schemas.microsoft.com/office/drawing/2014/main" id="{153B3599-AE01-4897-BDEC-9B37FBBFF1FA}"/>
            </a:ext>
          </a:extLst>
        </xdr:cNvPr>
        <xdr:cNvSpPr/>
      </xdr:nvSpPr>
      <xdr:spPr>
        <a:xfrm>
          <a:off x="6268460" y="29010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1438" name="Arrow: Up-Down 285">
          <a:extLst>
            <a:ext uri="{FF2B5EF4-FFF2-40B4-BE49-F238E27FC236}">
              <a16:creationId xmlns:a16="http://schemas.microsoft.com/office/drawing/2014/main" id="{2F79DC69-DAB9-4841-8177-8CA83E5A3F23}"/>
            </a:ext>
          </a:extLst>
        </xdr:cNvPr>
        <xdr:cNvSpPr/>
      </xdr:nvSpPr>
      <xdr:spPr>
        <a:xfrm>
          <a:off x="7244484" y="2903220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1439" name="Arrow: Up 296">
          <a:extLst>
            <a:ext uri="{FF2B5EF4-FFF2-40B4-BE49-F238E27FC236}">
              <a16:creationId xmlns:a16="http://schemas.microsoft.com/office/drawing/2014/main" id="{83D41200-CD6D-4B0D-87CC-FAD0D06A4143}"/>
            </a:ext>
          </a:extLst>
        </xdr:cNvPr>
        <xdr:cNvSpPr/>
      </xdr:nvSpPr>
      <xdr:spPr>
        <a:xfrm>
          <a:off x="7092950" y="290320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1440" name="Arrow: Up-Down 285">
          <a:extLst>
            <a:ext uri="{FF2B5EF4-FFF2-40B4-BE49-F238E27FC236}">
              <a16:creationId xmlns:a16="http://schemas.microsoft.com/office/drawing/2014/main" id="{49D9D887-860A-4D8D-A2B5-3565EB3FE02A}"/>
            </a:ext>
          </a:extLst>
        </xdr:cNvPr>
        <xdr:cNvSpPr/>
      </xdr:nvSpPr>
      <xdr:spPr>
        <a:xfrm>
          <a:off x="8251825" y="28988761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1441" name="Arrow: Up 296">
          <a:extLst>
            <a:ext uri="{FF2B5EF4-FFF2-40B4-BE49-F238E27FC236}">
              <a16:creationId xmlns:a16="http://schemas.microsoft.com/office/drawing/2014/main" id="{90F93B7A-21C1-45B0-BCEA-28AEA58FA90A}"/>
            </a:ext>
          </a:extLst>
        </xdr:cNvPr>
        <xdr:cNvSpPr/>
      </xdr:nvSpPr>
      <xdr:spPr>
        <a:xfrm>
          <a:off x="8111115" y="289887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1442" name="Arrow: Up 913">
          <a:extLst>
            <a:ext uri="{FF2B5EF4-FFF2-40B4-BE49-F238E27FC236}">
              <a16:creationId xmlns:a16="http://schemas.microsoft.com/office/drawing/2014/main" id="{DD2874BD-050F-4125-8E82-0987D640F312}"/>
            </a:ext>
          </a:extLst>
        </xdr:cNvPr>
        <xdr:cNvSpPr/>
      </xdr:nvSpPr>
      <xdr:spPr>
        <a:xfrm>
          <a:off x="9248487" y="289995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1443" name="Arrow: Up 296">
          <a:extLst>
            <a:ext uri="{FF2B5EF4-FFF2-40B4-BE49-F238E27FC236}">
              <a16:creationId xmlns:a16="http://schemas.microsoft.com/office/drawing/2014/main" id="{758B1D2E-2D01-46F7-ABED-D6BC4B632A82}"/>
            </a:ext>
          </a:extLst>
        </xdr:cNvPr>
        <xdr:cNvSpPr/>
      </xdr:nvSpPr>
      <xdr:spPr>
        <a:xfrm>
          <a:off x="10247313" y="2902123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1444" name="Arrow: Up-Down 285">
          <a:extLst>
            <a:ext uri="{FF2B5EF4-FFF2-40B4-BE49-F238E27FC236}">
              <a16:creationId xmlns:a16="http://schemas.microsoft.com/office/drawing/2014/main" id="{AA2DC044-EBDD-41D8-8F2B-8B8717FE4301}"/>
            </a:ext>
          </a:extLst>
        </xdr:cNvPr>
        <xdr:cNvSpPr/>
      </xdr:nvSpPr>
      <xdr:spPr>
        <a:xfrm>
          <a:off x="11344275" y="29032056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1445" name="Arrow: Up 296">
          <a:extLst>
            <a:ext uri="{FF2B5EF4-FFF2-40B4-BE49-F238E27FC236}">
              <a16:creationId xmlns:a16="http://schemas.microsoft.com/office/drawing/2014/main" id="{7327647E-706C-4BDA-A7A3-64ECF98B65DC}"/>
            </a:ext>
          </a:extLst>
        </xdr:cNvPr>
        <xdr:cNvSpPr/>
      </xdr:nvSpPr>
      <xdr:spPr>
        <a:xfrm>
          <a:off x="11160270" y="28999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155</xdr:row>
      <xdr:rowOff>174766</xdr:rowOff>
    </xdr:from>
    <xdr:to>
      <xdr:col>42</xdr:col>
      <xdr:colOff>302013</xdr:colOff>
      <xdr:row>158</xdr:row>
      <xdr:rowOff>19150</xdr:rowOff>
    </xdr:to>
    <xdr:sp macro="" textlink="">
      <xdr:nvSpPr>
        <xdr:cNvPr id="1446" name="Arrow: Up 296">
          <a:extLst>
            <a:ext uri="{FF2B5EF4-FFF2-40B4-BE49-F238E27FC236}">
              <a16:creationId xmlns:a16="http://schemas.microsoft.com/office/drawing/2014/main" id="{BB02ADA6-0712-45F9-829C-D385D86E0501}"/>
            </a:ext>
          </a:extLst>
        </xdr:cNvPr>
        <xdr:cNvSpPr/>
      </xdr:nvSpPr>
      <xdr:spPr>
        <a:xfrm>
          <a:off x="14333032" y="29022816"/>
          <a:ext cx="192981" cy="39683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1447" name="Arrow: Up 296">
          <a:extLst>
            <a:ext uri="{FF2B5EF4-FFF2-40B4-BE49-F238E27FC236}">
              <a16:creationId xmlns:a16="http://schemas.microsoft.com/office/drawing/2014/main" id="{840C1C25-4345-4C2D-8514-6B0F118438BA}"/>
            </a:ext>
          </a:extLst>
        </xdr:cNvPr>
        <xdr:cNvSpPr/>
      </xdr:nvSpPr>
      <xdr:spPr>
        <a:xfrm>
          <a:off x="4414260" y="304619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1448" name="Arrow: Up 913">
          <a:extLst>
            <a:ext uri="{FF2B5EF4-FFF2-40B4-BE49-F238E27FC236}">
              <a16:creationId xmlns:a16="http://schemas.microsoft.com/office/drawing/2014/main" id="{C6605D51-706A-46A2-A2BC-ACB9913056D8}"/>
            </a:ext>
          </a:extLst>
        </xdr:cNvPr>
        <xdr:cNvSpPr/>
      </xdr:nvSpPr>
      <xdr:spPr>
        <a:xfrm>
          <a:off x="8056996" y="3047278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1449" name="Arrow: Up 296">
          <a:extLst>
            <a:ext uri="{FF2B5EF4-FFF2-40B4-BE49-F238E27FC236}">
              <a16:creationId xmlns:a16="http://schemas.microsoft.com/office/drawing/2014/main" id="{6316694C-01F0-4ABE-BF4E-EA862E8B566F}"/>
            </a:ext>
          </a:extLst>
        </xdr:cNvPr>
        <xdr:cNvSpPr/>
      </xdr:nvSpPr>
      <xdr:spPr>
        <a:xfrm>
          <a:off x="8262648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1450" name="Arrow: Up 913">
          <a:extLst>
            <a:ext uri="{FF2B5EF4-FFF2-40B4-BE49-F238E27FC236}">
              <a16:creationId xmlns:a16="http://schemas.microsoft.com/office/drawing/2014/main" id="{D90C68CB-84AB-4E13-A668-B0C0AD63D5C1}"/>
            </a:ext>
          </a:extLst>
        </xdr:cNvPr>
        <xdr:cNvSpPr/>
      </xdr:nvSpPr>
      <xdr:spPr>
        <a:xfrm>
          <a:off x="13215072" y="304727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1451" name="Arrow: Up 296">
          <a:extLst>
            <a:ext uri="{FF2B5EF4-FFF2-40B4-BE49-F238E27FC236}">
              <a16:creationId xmlns:a16="http://schemas.microsoft.com/office/drawing/2014/main" id="{753C71DD-1DF4-4E83-8918-7007B65646A4}"/>
            </a:ext>
          </a:extLst>
        </xdr:cNvPr>
        <xdr:cNvSpPr/>
      </xdr:nvSpPr>
      <xdr:spPr>
        <a:xfrm>
          <a:off x="13420725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1452" name="Arrow: Up 296">
          <a:extLst>
            <a:ext uri="{FF2B5EF4-FFF2-40B4-BE49-F238E27FC236}">
              <a16:creationId xmlns:a16="http://schemas.microsoft.com/office/drawing/2014/main" id="{797833A8-EACD-4088-B11B-A5A91BBB851D}"/>
            </a:ext>
          </a:extLst>
        </xdr:cNvPr>
        <xdr:cNvSpPr/>
      </xdr:nvSpPr>
      <xdr:spPr>
        <a:xfrm>
          <a:off x="1340860" y="319351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1453" name="Arrow: Up 1075">
          <a:extLst>
            <a:ext uri="{FF2B5EF4-FFF2-40B4-BE49-F238E27FC236}">
              <a16:creationId xmlns:a16="http://schemas.microsoft.com/office/drawing/2014/main" id="{49C61F7E-70B7-4F61-BF21-8D4D6EA6AB0C}"/>
            </a:ext>
          </a:extLst>
        </xdr:cNvPr>
        <xdr:cNvSpPr/>
      </xdr:nvSpPr>
      <xdr:spPr>
        <a:xfrm>
          <a:off x="5241347" y="31956807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1454" name="Arrow: Up 296">
          <a:extLst>
            <a:ext uri="{FF2B5EF4-FFF2-40B4-BE49-F238E27FC236}">
              <a16:creationId xmlns:a16="http://schemas.microsoft.com/office/drawing/2014/main" id="{9C459AB0-E72D-42FF-81F5-201A9FE542E5}"/>
            </a:ext>
          </a:extLst>
        </xdr:cNvPr>
        <xdr:cNvSpPr/>
      </xdr:nvSpPr>
      <xdr:spPr>
        <a:xfrm>
          <a:off x="5392882" y="31967632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1455" name="Arrow: Up 296">
          <a:extLst>
            <a:ext uri="{FF2B5EF4-FFF2-40B4-BE49-F238E27FC236}">
              <a16:creationId xmlns:a16="http://schemas.microsoft.com/office/drawing/2014/main" id="{EE0B83AE-1F40-464F-B051-C60023BAFF8B}"/>
            </a:ext>
          </a:extLst>
        </xdr:cNvPr>
        <xdr:cNvSpPr/>
      </xdr:nvSpPr>
      <xdr:spPr>
        <a:xfrm>
          <a:off x="7201189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1456" name="Arrow: Up 296">
          <a:extLst>
            <a:ext uri="{FF2B5EF4-FFF2-40B4-BE49-F238E27FC236}">
              <a16:creationId xmlns:a16="http://schemas.microsoft.com/office/drawing/2014/main" id="{F8DA0837-2A72-477F-8FBC-1E1BBD9CF9E9}"/>
            </a:ext>
          </a:extLst>
        </xdr:cNvPr>
        <xdr:cNvSpPr/>
      </xdr:nvSpPr>
      <xdr:spPr>
        <a:xfrm>
          <a:off x="8111115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1457" name="Arrow: Up 296">
          <a:extLst>
            <a:ext uri="{FF2B5EF4-FFF2-40B4-BE49-F238E27FC236}">
              <a16:creationId xmlns:a16="http://schemas.microsoft.com/office/drawing/2014/main" id="{6C403AC3-A722-49C6-9BD7-89BAFCF014B3}"/>
            </a:ext>
          </a:extLst>
        </xdr:cNvPr>
        <xdr:cNvSpPr/>
      </xdr:nvSpPr>
      <xdr:spPr>
        <a:xfrm>
          <a:off x="9259312" y="31956807"/>
          <a:ext cx="129886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1458" name="Arrow: Up 296">
          <a:extLst>
            <a:ext uri="{FF2B5EF4-FFF2-40B4-BE49-F238E27FC236}">
              <a16:creationId xmlns:a16="http://schemas.microsoft.com/office/drawing/2014/main" id="{12AED6A7-5722-4B63-8729-C865A0A67170}"/>
            </a:ext>
          </a:extLst>
        </xdr:cNvPr>
        <xdr:cNvSpPr/>
      </xdr:nvSpPr>
      <xdr:spPr>
        <a:xfrm>
          <a:off x="10258137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1459" name="Arrow: Up 296">
          <a:extLst>
            <a:ext uri="{FF2B5EF4-FFF2-40B4-BE49-F238E27FC236}">
              <a16:creationId xmlns:a16="http://schemas.microsoft.com/office/drawing/2014/main" id="{D6365728-F5E1-449B-94B1-0412F3652A1D}"/>
            </a:ext>
          </a:extLst>
        </xdr:cNvPr>
        <xdr:cNvSpPr/>
      </xdr:nvSpPr>
      <xdr:spPr>
        <a:xfrm>
          <a:off x="11225213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1460" name="Arrow: Up 296">
          <a:extLst>
            <a:ext uri="{FF2B5EF4-FFF2-40B4-BE49-F238E27FC236}">
              <a16:creationId xmlns:a16="http://schemas.microsoft.com/office/drawing/2014/main" id="{4891D4E4-EC98-4FEC-8406-A6B8FE495440}"/>
            </a:ext>
          </a:extLst>
        </xdr:cNvPr>
        <xdr:cNvSpPr/>
      </xdr:nvSpPr>
      <xdr:spPr>
        <a:xfrm>
          <a:off x="12335740" y="319568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1461" name="Arrow: Up 296">
          <a:extLst>
            <a:ext uri="{FF2B5EF4-FFF2-40B4-BE49-F238E27FC236}">
              <a16:creationId xmlns:a16="http://schemas.microsoft.com/office/drawing/2014/main" id="{BA30A385-DC4A-403B-B2D9-FF2DE6433DC2}"/>
            </a:ext>
          </a:extLst>
        </xdr:cNvPr>
        <xdr:cNvSpPr/>
      </xdr:nvSpPr>
      <xdr:spPr>
        <a:xfrm>
          <a:off x="13312486" y="31956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85800</xdr:colOff>
      <xdr:row>171</xdr:row>
      <xdr:rowOff>174765</xdr:rowOff>
    </xdr:from>
    <xdr:to>
      <xdr:col>42</xdr:col>
      <xdr:colOff>228675</xdr:colOff>
      <xdr:row>174</xdr:row>
      <xdr:rowOff>19149</xdr:rowOff>
    </xdr:to>
    <xdr:sp macro="" textlink="">
      <xdr:nvSpPr>
        <xdr:cNvPr id="1462" name="Arrow: Up 913">
          <a:extLst>
            <a:ext uri="{FF2B5EF4-FFF2-40B4-BE49-F238E27FC236}">
              <a16:creationId xmlns:a16="http://schemas.microsoft.com/office/drawing/2014/main" id="{2DB23447-6132-4008-A0D0-CD265AD1A861}"/>
            </a:ext>
          </a:extLst>
        </xdr:cNvPr>
        <xdr:cNvSpPr/>
      </xdr:nvSpPr>
      <xdr:spPr>
        <a:xfrm>
          <a:off x="14309800" y="31969215"/>
          <a:ext cx="142875" cy="3968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1463" name="Arrow: Up 281">
          <a:extLst>
            <a:ext uri="{FF2B5EF4-FFF2-40B4-BE49-F238E27FC236}">
              <a16:creationId xmlns:a16="http://schemas.microsoft.com/office/drawing/2014/main" id="{0DBED415-E2C7-4A20-BDDE-E2BD98175BED}"/>
            </a:ext>
          </a:extLst>
        </xdr:cNvPr>
        <xdr:cNvSpPr/>
      </xdr:nvSpPr>
      <xdr:spPr>
        <a:xfrm>
          <a:off x="8143587" y="1575160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1464" name="Lightning Bolt 1463">
          <a:extLst>
            <a:ext uri="{FF2B5EF4-FFF2-40B4-BE49-F238E27FC236}">
              <a16:creationId xmlns:a16="http://schemas.microsoft.com/office/drawing/2014/main" id="{60B164B6-8FCE-40D4-A4F4-F2ADC7A1B94A}"/>
            </a:ext>
          </a:extLst>
        </xdr:cNvPr>
        <xdr:cNvSpPr/>
      </xdr:nvSpPr>
      <xdr:spPr>
        <a:xfrm rot="2857557">
          <a:off x="7085463" y="5524399"/>
          <a:ext cx="36358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1465" name="Lightning Bolt 1464">
          <a:extLst>
            <a:ext uri="{FF2B5EF4-FFF2-40B4-BE49-F238E27FC236}">
              <a16:creationId xmlns:a16="http://schemas.microsoft.com/office/drawing/2014/main" id="{87C2C4D9-EBA8-4F56-8A27-EA385A4D0D4A}"/>
            </a:ext>
          </a:extLst>
        </xdr:cNvPr>
        <xdr:cNvSpPr/>
      </xdr:nvSpPr>
      <xdr:spPr>
        <a:xfrm rot="2857557">
          <a:off x="8253310" y="12848784"/>
          <a:ext cx="327129" cy="3538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1466" name="Lightning Bolt 1465">
          <a:extLst>
            <a:ext uri="{FF2B5EF4-FFF2-40B4-BE49-F238E27FC236}">
              <a16:creationId xmlns:a16="http://schemas.microsoft.com/office/drawing/2014/main" id="{7FFDD9AA-84A6-4F10-84B8-613D6F41CE97}"/>
            </a:ext>
          </a:extLst>
        </xdr:cNvPr>
        <xdr:cNvSpPr/>
      </xdr:nvSpPr>
      <xdr:spPr>
        <a:xfrm rot="2857557">
          <a:off x="6242354" y="14349676"/>
          <a:ext cx="360678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1467" name="Lightning Bolt 1466">
          <a:extLst>
            <a:ext uri="{FF2B5EF4-FFF2-40B4-BE49-F238E27FC236}">
              <a16:creationId xmlns:a16="http://schemas.microsoft.com/office/drawing/2014/main" id="{E87046B9-CECD-4E3A-AD23-DEF8BD216E1E}"/>
            </a:ext>
          </a:extLst>
        </xdr:cNvPr>
        <xdr:cNvSpPr/>
      </xdr:nvSpPr>
      <xdr:spPr>
        <a:xfrm rot="2857557">
          <a:off x="9105322" y="17242726"/>
          <a:ext cx="46748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1468" name="Lightning Bolt 1467">
          <a:extLst>
            <a:ext uri="{FF2B5EF4-FFF2-40B4-BE49-F238E27FC236}">
              <a16:creationId xmlns:a16="http://schemas.microsoft.com/office/drawing/2014/main" id="{45FA26C4-4123-4447-AFAA-2547C56EE982}"/>
            </a:ext>
          </a:extLst>
        </xdr:cNvPr>
        <xdr:cNvSpPr/>
      </xdr:nvSpPr>
      <xdr:spPr>
        <a:xfrm rot="2857557">
          <a:off x="9106938" y="26031038"/>
          <a:ext cx="4423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1469" name="Lightning Bolt 1468">
          <a:extLst>
            <a:ext uri="{FF2B5EF4-FFF2-40B4-BE49-F238E27FC236}">
              <a16:creationId xmlns:a16="http://schemas.microsoft.com/office/drawing/2014/main" id="{2DCDF30E-FD20-41A8-8869-AB787D6DA7BD}"/>
            </a:ext>
          </a:extLst>
        </xdr:cNvPr>
        <xdr:cNvSpPr/>
      </xdr:nvSpPr>
      <xdr:spPr>
        <a:xfrm rot="2857557">
          <a:off x="6239479" y="27598808"/>
          <a:ext cx="358657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1470" name="Picture 14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539A083B-8A8C-4B3A-9794-9FF6F3E4A5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05992" y="98610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1471" name="Picture 14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D3B42CB2-BD47-4A9C-A50C-410A5D101B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3344958" y="15740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1472" name="Picture 14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8524E48E-8FA4-4419-B3DD-AA15030568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57479" y="290212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1473" name="Picture 95405" descr="LADDER">
          <a:extLst>
            <a:ext uri="{FF2B5EF4-FFF2-40B4-BE49-F238E27FC236}">
              <a16:creationId xmlns:a16="http://schemas.microsoft.com/office/drawing/2014/main" id="{3B50863E-60FC-4950-BF4E-646010DA9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388254" y="1415299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1474" name="Picture 1473" descr="A black and white symbol&#10;&#10;Description automatically generated">
          <a:extLst>
            <a:ext uri="{FF2B5EF4-FFF2-40B4-BE49-F238E27FC236}">
              <a16:creationId xmlns:a16="http://schemas.microsoft.com/office/drawing/2014/main" id="{FE1EA7AF-FCB8-4A37-B3D5-EDDDBC31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1475" name="Picture 1474" descr="A black and white symbol&#10;&#10;Description automatically generated">
          <a:extLst>
            <a:ext uri="{FF2B5EF4-FFF2-40B4-BE49-F238E27FC236}">
              <a16:creationId xmlns:a16="http://schemas.microsoft.com/office/drawing/2014/main" id="{48B243BD-73CF-4D9B-9987-48E222AE6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1476" name="Picture 1475" descr="A black and white symbol&#10;&#10;Description automatically generated">
          <a:extLst>
            <a:ext uri="{FF2B5EF4-FFF2-40B4-BE49-F238E27FC236}">
              <a16:creationId xmlns:a16="http://schemas.microsoft.com/office/drawing/2014/main" id="{61E2A76F-B87B-42FF-B03E-544DEE52A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1477" name="Picture 1476" descr="A black and white symbol&#10;&#10;Description automatically generated">
          <a:extLst>
            <a:ext uri="{FF2B5EF4-FFF2-40B4-BE49-F238E27FC236}">
              <a16:creationId xmlns:a16="http://schemas.microsoft.com/office/drawing/2014/main" id="{7A4A9013-4EFD-45A3-9C81-50FEEE1DF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2251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1478" name="Picture 1477" descr="A black and white symbol&#10;&#10;Description automatically generated">
          <a:extLst>
            <a:ext uri="{FF2B5EF4-FFF2-40B4-BE49-F238E27FC236}">
              <a16:creationId xmlns:a16="http://schemas.microsoft.com/office/drawing/2014/main" id="{F3F8BB4D-C558-4373-9D0B-1E782BEAF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8354" y="285288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1479" name="Picture 1478" descr="A black and white symbol&#10;&#10;Description automatically generated">
          <a:extLst>
            <a:ext uri="{FF2B5EF4-FFF2-40B4-BE49-F238E27FC236}">
              <a16:creationId xmlns:a16="http://schemas.microsoft.com/office/drawing/2014/main" id="{61B04F8D-4352-4E32-B050-3870C85C7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875" y="43478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1480" name="Picture 1479" descr="A black and white symbol&#10;&#10;Description automatically generated">
          <a:extLst>
            <a:ext uri="{FF2B5EF4-FFF2-40B4-BE49-F238E27FC236}">
              <a16:creationId xmlns:a16="http://schemas.microsoft.com/office/drawing/2014/main" id="{8C506DA4-1E46-4000-B39A-0675FC2EF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8873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1481" name="Picture 1480" descr="A black and white symbol&#10;&#10;Description automatically generated">
          <a:extLst>
            <a:ext uri="{FF2B5EF4-FFF2-40B4-BE49-F238E27FC236}">
              <a16:creationId xmlns:a16="http://schemas.microsoft.com/office/drawing/2014/main" id="{DA4892CB-2B09-4294-84DE-CDE438C43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2275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1482" name="Picture 1481" descr="A black and white symbol&#10;&#10;Description automatically generated">
          <a:extLst>
            <a:ext uri="{FF2B5EF4-FFF2-40B4-BE49-F238E27FC236}">
              <a16:creationId xmlns:a16="http://schemas.microsoft.com/office/drawing/2014/main" id="{D7DB6131-7414-48AF-8EF7-7C6BA4BF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11206</xdr:rowOff>
    </xdr:from>
    <xdr:ext cx="230186" cy="271084"/>
    <xdr:pic>
      <xdr:nvPicPr>
        <xdr:cNvPr id="1483" name="Picture 1482" descr="A black and white symbol&#10;&#10;Description automatically generated">
          <a:extLst>
            <a:ext uri="{FF2B5EF4-FFF2-40B4-BE49-F238E27FC236}">
              <a16:creationId xmlns:a16="http://schemas.microsoft.com/office/drawing/2014/main" id="{EA460D51-4063-40D0-90E4-1F9DFD93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7299" y="4348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1484" name="Picture 1483" descr="A black and white symbol&#10;&#10;Description automatically generated">
          <a:extLst>
            <a:ext uri="{FF2B5EF4-FFF2-40B4-BE49-F238E27FC236}">
              <a16:creationId xmlns:a16="http://schemas.microsoft.com/office/drawing/2014/main" id="{D157CD3A-3213-41D8-8D78-6E99C1379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1485" name="Picture 1484" descr="A black and white symbol&#10;&#10;Description automatically generated">
          <a:extLst>
            <a:ext uri="{FF2B5EF4-FFF2-40B4-BE49-F238E27FC236}">
              <a16:creationId xmlns:a16="http://schemas.microsoft.com/office/drawing/2014/main" id="{B69760B0-0A04-4868-858B-97BC9215C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1486" name="Picture 1485" descr="A black and white symbol&#10;&#10;Description automatically generated">
          <a:extLst>
            <a:ext uri="{FF2B5EF4-FFF2-40B4-BE49-F238E27FC236}">
              <a16:creationId xmlns:a16="http://schemas.microsoft.com/office/drawing/2014/main" id="{1A469FBC-A9E2-4808-A699-1F98ACBF3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8973" y="431525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1487" name="Picture 1486" descr="A black and white symbol&#10;&#10;Description automatically generated">
          <a:extLst>
            <a:ext uri="{FF2B5EF4-FFF2-40B4-BE49-F238E27FC236}">
              <a16:creationId xmlns:a16="http://schemas.microsoft.com/office/drawing/2014/main" id="{FC07CC54-7676-4871-B680-588EAD62E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1488" name="Picture 1487" descr="A black and white symbol&#10;&#10;Description automatically generated">
          <a:extLst>
            <a:ext uri="{FF2B5EF4-FFF2-40B4-BE49-F238E27FC236}">
              <a16:creationId xmlns:a16="http://schemas.microsoft.com/office/drawing/2014/main" id="{A5E1ED8A-D472-429E-B1A9-68B4772C8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523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1489" name="Picture 1488" descr="A black and white symbol&#10;&#10;Description automatically generated">
          <a:extLst>
            <a:ext uri="{FF2B5EF4-FFF2-40B4-BE49-F238E27FC236}">
              <a16:creationId xmlns:a16="http://schemas.microsoft.com/office/drawing/2014/main" id="{C3EEF550-07EA-454B-B1A9-8B0A7030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1490" name="Picture 1489" descr="A black and white symbol&#10;&#10;Description automatically generated">
          <a:extLst>
            <a:ext uri="{FF2B5EF4-FFF2-40B4-BE49-F238E27FC236}">
              <a16:creationId xmlns:a16="http://schemas.microsoft.com/office/drawing/2014/main" id="{CC11F760-092E-441A-8194-18F9F3F80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1491" name="Picture 1490" descr="A black and white symbol&#10;&#10;Description automatically generated">
          <a:extLst>
            <a:ext uri="{FF2B5EF4-FFF2-40B4-BE49-F238E27FC236}">
              <a16:creationId xmlns:a16="http://schemas.microsoft.com/office/drawing/2014/main" id="{A51B340C-30C2-4C6B-A578-D7CEBD2EF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1492" name="Picture 1491" descr="A black and white symbol&#10;&#10;Description automatically generated">
          <a:extLst>
            <a:ext uri="{FF2B5EF4-FFF2-40B4-BE49-F238E27FC236}">
              <a16:creationId xmlns:a16="http://schemas.microsoft.com/office/drawing/2014/main" id="{FC7D228C-33BC-40B2-AF14-C76AB97AF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1493" name="Picture 1492" descr="A black and white symbol&#10;&#10;Description automatically generated">
          <a:extLst>
            <a:ext uri="{FF2B5EF4-FFF2-40B4-BE49-F238E27FC236}">
              <a16:creationId xmlns:a16="http://schemas.microsoft.com/office/drawing/2014/main" id="{33E80A2A-628C-47B9-9614-FF281C47B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87738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1494" name="Picture 1493" descr="A black and white symbol&#10;&#10;Description automatically generated">
          <a:extLst>
            <a:ext uri="{FF2B5EF4-FFF2-40B4-BE49-F238E27FC236}">
              <a16:creationId xmlns:a16="http://schemas.microsoft.com/office/drawing/2014/main" id="{2F6ADDD5-ABAE-452B-AFEE-C33D3D3E4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1495" name="Picture 1494" descr="A black and white symbol&#10;&#10;Description automatically generated">
          <a:extLst>
            <a:ext uri="{FF2B5EF4-FFF2-40B4-BE49-F238E27FC236}">
              <a16:creationId xmlns:a16="http://schemas.microsoft.com/office/drawing/2014/main" id="{14E11BF4-4380-41B8-8328-AE8FAE52F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1496" name="Picture 1495" descr="A black and white symbol&#10;&#10;Description automatically generated">
          <a:extLst>
            <a:ext uri="{FF2B5EF4-FFF2-40B4-BE49-F238E27FC236}">
              <a16:creationId xmlns:a16="http://schemas.microsoft.com/office/drawing/2014/main" id="{480D7DCA-007E-41B3-A7F8-AB25F49BA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1497" name="Picture 1496" descr="A black and white symbol&#10;&#10;Description automatically generated">
          <a:extLst>
            <a:ext uri="{FF2B5EF4-FFF2-40B4-BE49-F238E27FC236}">
              <a16:creationId xmlns:a16="http://schemas.microsoft.com/office/drawing/2014/main" id="{5B871684-2FD7-4044-A644-C813F34E5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1498" name="Picture 1497" descr="A black and white symbol&#10;&#10;Description automatically generated">
          <a:extLst>
            <a:ext uri="{FF2B5EF4-FFF2-40B4-BE49-F238E27FC236}">
              <a16:creationId xmlns:a16="http://schemas.microsoft.com/office/drawing/2014/main" id="{B1724700-EB69-458D-BE6E-1BF30F290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1499" name="Picture 1498" descr="A black and white symbol&#10;&#10;Description automatically generated">
          <a:extLst>
            <a:ext uri="{FF2B5EF4-FFF2-40B4-BE49-F238E27FC236}">
              <a16:creationId xmlns:a16="http://schemas.microsoft.com/office/drawing/2014/main" id="{C3B0F937-7102-454C-9B99-882ED3EB3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1500" name="Picture 1499" descr="A black and white symbol&#10;&#10;Description automatically generated">
          <a:extLst>
            <a:ext uri="{FF2B5EF4-FFF2-40B4-BE49-F238E27FC236}">
              <a16:creationId xmlns:a16="http://schemas.microsoft.com/office/drawing/2014/main" id="{D27A463D-868A-4706-B402-36163920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1501" name="Picture 1500" descr="A black and white symbol&#10;&#10;Description automatically generated">
          <a:extLst>
            <a:ext uri="{FF2B5EF4-FFF2-40B4-BE49-F238E27FC236}">
              <a16:creationId xmlns:a16="http://schemas.microsoft.com/office/drawing/2014/main" id="{D4EEAEAF-BF61-459F-AB3E-DD1EFF918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1502" name="Picture 1501" descr="A black and white symbol&#10;&#10;Description automatically generated">
          <a:extLst>
            <a:ext uri="{FF2B5EF4-FFF2-40B4-BE49-F238E27FC236}">
              <a16:creationId xmlns:a16="http://schemas.microsoft.com/office/drawing/2014/main" id="{98812F60-FE05-45DC-B04F-54DB4A98A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1503" name="Picture 1502" descr="A black and white symbol&#10;&#10;Description automatically generated">
          <a:extLst>
            <a:ext uri="{FF2B5EF4-FFF2-40B4-BE49-F238E27FC236}">
              <a16:creationId xmlns:a16="http://schemas.microsoft.com/office/drawing/2014/main" id="{EF400118-E529-4FAE-A528-5FC71BC6D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1504" name="Picture 1503" descr="A black and white symbol&#10;&#10;Description automatically generated">
          <a:extLst>
            <a:ext uri="{FF2B5EF4-FFF2-40B4-BE49-F238E27FC236}">
              <a16:creationId xmlns:a16="http://schemas.microsoft.com/office/drawing/2014/main" id="{C7DE942D-0D6D-4BC4-9E67-98571D870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1505" name="Picture 1504" descr="A black and white symbol&#10;&#10;Description automatically generated">
          <a:extLst>
            <a:ext uri="{FF2B5EF4-FFF2-40B4-BE49-F238E27FC236}">
              <a16:creationId xmlns:a16="http://schemas.microsoft.com/office/drawing/2014/main" id="{C77C60AE-2B8B-4A56-9FC2-9CED49B55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1506" name="Picture 1505" descr="A black and white symbol&#10;&#10;Description automatically generated">
          <a:extLst>
            <a:ext uri="{FF2B5EF4-FFF2-40B4-BE49-F238E27FC236}">
              <a16:creationId xmlns:a16="http://schemas.microsoft.com/office/drawing/2014/main" id="{2667FEDF-0792-4800-8C26-10208C6D0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1507" name="Picture 1506" descr="A black and white symbol&#10;&#10;Description automatically generated">
          <a:extLst>
            <a:ext uri="{FF2B5EF4-FFF2-40B4-BE49-F238E27FC236}">
              <a16:creationId xmlns:a16="http://schemas.microsoft.com/office/drawing/2014/main" id="{88F8C2C6-0B93-47FE-BC4E-5B90E290A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1508" name="Picture 1507" descr="A black and white symbol&#10;&#10;Description automatically generated">
          <a:extLst>
            <a:ext uri="{FF2B5EF4-FFF2-40B4-BE49-F238E27FC236}">
              <a16:creationId xmlns:a16="http://schemas.microsoft.com/office/drawing/2014/main" id="{AD17FC75-5726-48B2-ADFA-8E4EC41F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1509" name="Picture 1508" descr="A black and white symbol&#10;&#10;Description automatically generated">
          <a:extLst>
            <a:ext uri="{FF2B5EF4-FFF2-40B4-BE49-F238E27FC236}">
              <a16:creationId xmlns:a16="http://schemas.microsoft.com/office/drawing/2014/main" id="{657CCC49-1FF9-4AE3-91CC-19D5B0E14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1510" name="Picture 1509" descr="A black and white symbol&#10;&#10;Description automatically generated">
          <a:extLst>
            <a:ext uri="{FF2B5EF4-FFF2-40B4-BE49-F238E27FC236}">
              <a16:creationId xmlns:a16="http://schemas.microsoft.com/office/drawing/2014/main" id="{C32D158E-64DC-4136-9A2B-C6445A257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1511" name="Picture 1510" descr="A black and white symbol&#10;&#10;Description automatically generated">
          <a:extLst>
            <a:ext uri="{FF2B5EF4-FFF2-40B4-BE49-F238E27FC236}">
              <a16:creationId xmlns:a16="http://schemas.microsoft.com/office/drawing/2014/main" id="{21DAC91E-97E1-45BB-B009-311EFCA24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1512" name="Picture 1511" descr="A black and white symbol&#10;&#10;Description automatically generated">
          <a:extLst>
            <a:ext uri="{FF2B5EF4-FFF2-40B4-BE49-F238E27FC236}">
              <a16:creationId xmlns:a16="http://schemas.microsoft.com/office/drawing/2014/main" id="{1BBEB93E-2D98-4E75-9350-7468854CA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62</xdr:row>
      <xdr:rowOff>0</xdr:rowOff>
    </xdr:from>
    <xdr:ext cx="230186" cy="271084"/>
    <xdr:pic>
      <xdr:nvPicPr>
        <xdr:cNvPr id="1513" name="Picture 1512" descr="A black and white symbol&#10;&#10;Description automatically generated">
          <a:extLst>
            <a:ext uri="{FF2B5EF4-FFF2-40B4-BE49-F238E27FC236}">
              <a16:creationId xmlns:a16="http://schemas.microsoft.com/office/drawing/2014/main" id="{375F7C56-F1CB-4970-A452-A516E9A75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5617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1514" name="Picture 1513" descr="A black and white symbol&#10;&#10;Description automatically generated">
          <a:extLst>
            <a:ext uri="{FF2B5EF4-FFF2-40B4-BE49-F238E27FC236}">
              <a16:creationId xmlns:a16="http://schemas.microsoft.com/office/drawing/2014/main" id="{2523FF7E-C395-4DC3-B5FD-7B1EC6211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1515" name="Picture 1514" descr="A black and white symbol&#10;&#10;Description automatically generated">
          <a:extLst>
            <a:ext uri="{FF2B5EF4-FFF2-40B4-BE49-F238E27FC236}">
              <a16:creationId xmlns:a16="http://schemas.microsoft.com/office/drawing/2014/main" id="{828D0A9F-925C-4142-A1E2-C6CA95490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1516" name="Picture 1515" descr="A black and white symbol&#10;&#10;Description automatically generated">
          <a:extLst>
            <a:ext uri="{FF2B5EF4-FFF2-40B4-BE49-F238E27FC236}">
              <a16:creationId xmlns:a16="http://schemas.microsoft.com/office/drawing/2014/main" id="{617630E8-1860-4D1A-A582-845598DC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1517" name="Picture 1516" descr="A black and white symbol&#10;&#10;Description automatically generated">
          <a:extLst>
            <a:ext uri="{FF2B5EF4-FFF2-40B4-BE49-F238E27FC236}">
              <a16:creationId xmlns:a16="http://schemas.microsoft.com/office/drawing/2014/main" id="{FFCACFBC-EA28-4504-8691-F4FFCA747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1518" name="Picture 1517" descr="A black and white symbol&#10;&#10;Description automatically generated">
          <a:extLst>
            <a:ext uri="{FF2B5EF4-FFF2-40B4-BE49-F238E27FC236}">
              <a16:creationId xmlns:a16="http://schemas.microsoft.com/office/drawing/2014/main" id="{2ECF4A3B-2D34-4552-BA74-9BC38FB4B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1519" name="Picture 1518" descr="A black and white symbol&#10;&#10;Description automatically generated">
          <a:extLst>
            <a:ext uri="{FF2B5EF4-FFF2-40B4-BE49-F238E27FC236}">
              <a16:creationId xmlns:a16="http://schemas.microsoft.com/office/drawing/2014/main" id="{6A0881BF-87AD-439D-B75E-58F4FA7B8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1520" name="Picture 1519" descr="A black and white symbol&#10;&#10;Description automatically generated">
          <a:extLst>
            <a:ext uri="{FF2B5EF4-FFF2-40B4-BE49-F238E27FC236}">
              <a16:creationId xmlns:a16="http://schemas.microsoft.com/office/drawing/2014/main" id="{C29D7DF7-82AF-46BF-812E-ADE0403C0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1521" name="Picture 1520" descr="A black and white symbol&#10;&#10;Description automatically generated">
          <a:extLst>
            <a:ext uri="{FF2B5EF4-FFF2-40B4-BE49-F238E27FC236}">
              <a16:creationId xmlns:a16="http://schemas.microsoft.com/office/drawing/2014/main" id="{C8A1EDB2-8A71-43F7-8B0C-D00E47016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1522" name="Picture 1521" descr="A black and white symbol&#10;&#10;Description automatically generated">
          <a:extLst>
            <a:ext uri="{FF2B5EF4-FFF2-40B4-BE49-F238E27FC236}">
              <a16:creationId xmlns:a16="http://schemas.microsoft.com/office/drawing/2014/main" id="{AD2B3E21-58DF-4B66-8F0F-C6D8CD5D3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1523" name="Picture 1522" descr="A black and white symbol&#10;&#10;Description automatically generated">
          <a:extLst>
            <a:ext uri="{FF2B5EF4-FFF2-40B4-BE49-F238E27FC236}">
              <a16:creationId xmlns:a16="http://schemas.microsoft.com/office/drawing/2014/main" id="{43254915-FDBE-426C-B3BE-CD19EDAAE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1524" name="Picture 1523" descr="A black and white symbol&#10;&#10;Description automatically generated">
          <a:extLst>
            <a:ext uri="{FF2B5EF4-FFF2-40B4-BE49-F238E27FC236}">
              <a16:creationId xmlns:a16="http://schemas.microsoft.com/office/drawing/2014/main" id="{2C836759-A4B4-43C1-985C-ED6CF851C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1525" name="Picture 1524" descr="A black and white symbol&#10;&#10;Description automatically generated">
          <a:extLst>
            <a:ext uri="{FF2B5EF4-FFF2-40B4-BE49-F238E27FC236}">
              <a16:creationId xmlns:a16="http://schemas.microsoft.com/office/drawing/2014/main" id="{9C2CA24C-0FA7-4537-AC6B-1DDFA942D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1526" name="Picture 1525" descr="A black and white symbol&#10;&#10;Description automatically generated">
          <a:extLst>
            <a:ext uri="{FF2B5EF4-FFF2-40B4-BE49-F238E27FC236}">
              <a16:creationId xmlns:a16="http://schemas.microsoft.com/office/drawing/2014/main" id="{998357A2-E92F-48C9-A497-950A2E1F9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1527" name="Picture 1526" descr="A black and white symbol&#10;&#10;Description automatically generated">
          <a:extLst>
            <a:ext uri="{FF2B5EF4-FFF2-40B4-BE49-F238E27FC236}">
              <a16:creationId xmlns:a16="http://schemas.microsoft.com/office/drawing/2014/main" id="{F20F7324-6E93-4546-B444-6E2005A72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1528" name="Picture 1527" descr="A black and white symbol&#10;&#10;Description automatically generated">
          <a:extLst>
            <a:ext uri="{FF2B5EF4-FFF2-40B4-BE49-F238E27FC236}">
              <a16:creationId xmlns:a16="http://schemas.microsoft.com/office/drawing/2014/main" id="{5BEE3B59-88A3-4D42-B529-C8829148F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1529" name="Picture 1528" descr="A black and white symbol&#10;&#10;Description automatically generated">
          <a:extLst>
            <a:ext uri="{FF2B5EF4-FFF2-40B4-BE49-F238E27FC236}">
              <a16:creationId xmlns:a16="http://schemas.microsoft.com/office/drawing/2014/main" id="{7FC1EA38-E7E2-4005-89D0-BA033F7FA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1530" name="Picture 1529" descr="A black and white symbol&#10;&#10;Description automatically generated">
          <a:extLst>
            <a:ext uri="{FF2B5EF4-FFF2-40B4-BE49-F238E27FC236}">
              <a16:creationId xmlns:a16="http://schemas.microsoft.com/office/drawing/2014/main" id="{7B3416EF-138A-436C-BDD5-9FA9E18BA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1531" name="Picture 1530" descr="A black and white symbol&#10;&#10;Description automatically generated">
          <a:extLst>
            <a:ext uri="{FF2B5EF4-FFF2-40B4-BE49-F238E27FC236}">
              <a16:creationId xmlns:a16="http://schemas.microsoft.com/office/drawing/2014/main" id="{038A78F0-9017-48A8-A5AC-094943588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93</xdr:row>
      <xdr:rowOff>174238</xdr:rowOff>
    </xdr:from>
    <xdr:ext cx="230186" cy="271084"/>
    <xdr:pic>
      <xdr:nvPicPr>
        <xdr:cNvPr id="1532" name="Picture 1531" descr="A black and white symbol&#10;&#10;Description automatically generated">
          <a:extLst>
            <a:ext uri="{FF2B5EF4-FFF2-40B4-BE49-F238E27FC236}">
              <a16:creationId xmlns:a16="http://schemas.microsoft.com/office/drawing/2014/main" id="{824C0627-AFBE-45A9-8CD3-B703C7892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5617" y="176049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1533" name="Picture 1532" descr="A black and white symbol&#10;&#10;Description automatically generated">
          <a:extLst>
            <a:ext uri="{FF2B5EF4-FFF2-40B4-BE49-F238E27FC236}">
              <a16:creationId xmlns:a16="http://schemas.microsoft.com/office/drawing/2014/main" id="{785AD5DA-C90E-472C-B49B-469EDB52E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1534" name="Picture 1533" descr="A black and white symbol&#10;&#10;Description automatically generated">
          <a:extLst>
            <a:ext uri="{FF2B5EF4-FFF2-40B4-BE49-F238E27FC236}">
              <a16:creationId xmlns:a16="http://schemas.microsoft.com/office/drawing/2014/main" id="{E8C7C46C-A5C1-48B3-A97E-6DF83B9A7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1535" name="Picture 1534" descr="A black and white symbol&#10;&#10;Description automatically generated">
          <a:extLst>
            <a:ext uri="{FF2B5EF4-FFF2-40B4-BE49-F238E27FC236}">
              <a16:creationId xmlns:a16="http://schemas.microsoft.com/office/drawing/2014/main" id="{686AC9D1-EC82-40EA-A18A-FA7D7B227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1536" name="Picture 1535" descr="A black and white symbol&#10;&#10;Description automatically generated">
          <a:extLst>
            <a:ext uri="{FF2B5EF4-FFF2-40B4-BE49-F238E27FC236}">
              <a16:creationId xmlns:a16="http://schemas.microsoft.com/office/drawing/2014/main" id="{77B29B5F-696D-4CED-947A-8F40F6EEB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1537" name="Picture 1536" descr="A black and white symbol&#10;&#10;Description automatically generated">
          <a:extLst>
            <a:ext uri="{FF2B5EF4-FFF2-40B4-BE49-F238E27FC236}">
              <a16:creationId xmlns:a16="http://schemas.microsoft.com/office/drawing/2014/main" id="{302954C8-30BF-40F9-B6E1-DCAEC07C8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1538" name="Picture 1537" descr="A black and white symbol&#10;&#10;Description automatically generated">
          <a:extLst>
            <a:ext uri="{FF2B5EF4-FFF2-40B4-BE49-F238E27FC236}">
              <a16:creationId xmlns:a16="http://schemas.microsoft.com/office/drawing/2014/main" id="{ED894590-A2DC-47D3-8EC0-BCE02C2B3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1539" name="Lightning Bolt 1538">
          <a:extLst>
            <a:ext uri="{FF2B5EF4-FFF2-40B4-BE49-F238E27FC236}">
              <a16:creationId xmlns:a16="http://schemas.microsoft.com/office/drawing/2014/main" id="{BF972AF2-611E-48A2-BB23-04180CAC475F}"/>
            </a:ext>
          </a:extLst>
        </xdr:cNvPr>
        <xdr:cNvSpPr/>
      </xdr:nvSpPr>
      <xdr:spPr>
        <a:xfrm rot="2857557">
          <a:off x="5279182" y="39241483"/>
          <a:ext cx="17003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1540" name="Lightning Bolt 1539">
          <a:extLst>
            <a:ext uri="{FF2B5EF4-FFF2-40B4-BE49-F238E27FC236}">
              <a16:creationId xmlns:a16="http://schemas.microsoft.com/office/drawing/2014/main" id="{09C236C7-70B4-47A3-B0BF-964F27F4CDBD}"/>
            </a:ext>
          </a:extLst>
        </xdr:cNvPr>
        <xdr:cNvSpPr/>
      </xdr:nvSpPr>
      <xdr:spPr>
        <a:xfrm rot="2857557">
          <a:off x="8252823" y="15881144"/>
          <a:ext cx="387014" cy="2223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1541" name="Lightning Bolt 1540">
          <a:extLst>
            <a:ext uri="{FF2B5EF4-FFF2-40B4-BE49-F238E27FC236}">
              <a16:creationId xmlns:a16="http://schemas.microsoft.com/office/drawing/2014/main" id="{BEEFBAA6-496B-4CA6-AA3F-05C3DC663DF5}"/>
            </a:ext>
          </a:extLst>
        </xdr:cNvPr>
        <xdr:cNvSpPr/>
      </xdr:nvSpPr>
      <xdr:spPr>
        <a:xfrm rot="2857557">
          <a:off x="2378209" y="21705896"/>
          <a:ext cx="376334" cy="296650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1542" name="Lightning Bolt 1541">
          <a:extLst>
            <a:ext uri="{FF2B5EF4-FFF2-40B4-BE49-F238E27FC236}">
              <a16:creationId xmlns:a16="http://schemas.microsoft.com/office/drawing/2014/main" id="{2338B7A0-2082-4E16-9007-72F243EA402F}"/>
            </a:ext>
          </a:extLst>
        </xdr:cNvPr>
        <xdr:cNvSpPr/>
      </xdr:nvSpPr>
      <xdr:spPr>
        <a:xfrm rot="2857557">
          <a:off x="11412527" y="29072042"/>
          <a:ext cx="376334" cy="2963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252116</xdr:colOff>
      <xdr:row>5</xdr:row>
      <xdr:rowOff>184006</xdr:rowOff>
    </xdr:from>
    <xdr:ext cx="230186" cy="271084"/>
    <xdr:pic>
      <xdr:nvPicPr>
        <xdr:cNvPr id="1543" name="Picture 1542" descr="A black and white symbol&#10;&#10;Description automatically generated">
          <a:extLst>
            <a:ext uri="{FF2B5EF4-FFF2-40B4-BE49-F238E27FC236}">
              <a16:creationId xmlns:a16="http://schemas.microsoft.com/office/drawing/2014/main" id="{BC3C12B5-FF7C-4737-BE6D-4726CE6BD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2116" y="13905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1544" name="Picture 1543" descr="A black and white symbol&#10;&#10;Description automatically generated">
          <a:extLst>
            <a:ext uri="{FF2B5EF4-FFF2-40B4-BE49-F238E27FC236}">
              <a16:creationId xmlns:a16="http://schemas.microsoft.com/office/drawing/2014/main" id="{81B16FFA-CFAB-4C6D-B932-9864166AC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1545" name="Picture 1544" descr="A black and white symbol&#10;&#10;Description automatically generated">
          <a:extLst>
            <a:ext uri="{FF2B5EF4-FFF2-40B4-BE49-F238E27FC236}">
              <a16:creationId xmlns:a16="http://schemas.microsoft.com/office/drawing/2014/main" id="{FD69DF10-1620-47F6-9B66-F7C04AD51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1546" name="Picture 1545" descr="A black and white symbol&#10;&#10;Description automatically generated">
          <a:extLst>
            <a:ext uri="{FF2B5EF4-FFF2-40B4-BE49-F238E27FC236}">
              <a16:creationId xmlns:a16="http://schemas.microsoft.com/office/drawing/2014/main" id="{8E4C687C-E59A-463B-ADFA-C3B1F040F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1547" name="Picture 1546" descr="A black and white symbol&#10;&#10;Description automatically generated">
          <a:extLst>
            <a:ext uri="{FF2B5EF4-FFF2-40B4-BE49-F238E27FC236}">
              <a16:creationId xmlns:a16="http://schemas.microsoft.com/office/drawing/2014/main" id="{8EACB8A5-44C3-4A25-8074-47622E5E5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1548" name="Picture 1547" descr="A black and white symbol&#10;&#10;Description automatically generated">
          <a:extLst>
            <a:ext uri="{FF2B5EF4-FFF2-40B4-BE49-F238E27FC236}">
              <a16:creationId xmlns:a16="http://schemas.microsoft.com/office/drawing/2014/main" id="{13F45321-795E-4B9B-90BF-54641D7CB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1549" name="Picture 1548" descr="A black and white symbol&#10;&#10;Description automatically generated">
          <a:extLst>
            <a:ext uri="{FF2B5EF4-FFF2-40B4-BE49-F238E27FC236}">
              <a16:creationId xmlns:a16="http://schemas.microsoft.com/office/drawing/2014/main" id="{0CF1ABE5-0950-45CC-9FA1-1C6F34038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1550" name="Picture 1549" descr="A black and white symbol&#10;&#10;Description automatically generated">
          <a:extLst>
            <a:ext uri="{FF2B5EF4-FFF2-40B4-BE49-F238E27FC236}">
              <a16:creationId xmlns:a16="http://schemas.microsoft.com/office/drawing/2014/main" id="{B23808CB-4912-4155-831E-4409DA22D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1551" name="Picture 1550" descr="A black and white symbol&#10;&#10;Description automatically generated">
          <a:extLst>
            <a:ext uri="{FF2B5EF4-FFF2-40B4-BE49-F238E27FC236}">
              <a16:creationId xmlns:a16="http://schemas.microsoft.com/office/drawing/2014/main" id="{1BAE12F7-0765-41B5-A633-24DDC5374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1552" name="Picture 1551" descr="A black and white symbol&#10;&#10;Description automatically generated">
          <a:extLst>
            <a:ext uri="{FF2B5EF4-FFF2-40B4-BE49-F238E27FC236}">
              <a16:creationId xmlns:a16="http://schemas.microsoft.com/office/drawing/2014/main" id="{143507C9-4C09-4FD9-A5AC-AF0B74DCD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1553" name="Picture 1552" descr="A black and white symbol&#10;&#10;Description automatically generated">
          <a:extLst>
            <a:ext uri="{FF2B5EF4-FFF2-40B4-BE49-F238E27FC236}">
              <a16:creationId xmlns:a16="http://schemas.microsoft.com/office/drawing/2014/main" id="{36D61EDA-7223-4B99-B35D-05462E3F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1554" name="Picture 1553" descr="A black and white symbol&#10;&#10;Description automatically generated">
          <a:extLst>
            <a:ext uri="{FF2B5EF4-FFF2-40B4-BE49-F238E27FC236}">
              <a16:creationId xmlns:a16="http://schemas.microsoft.com/office/drawing/2014/main" id="{74369A6B-DD3F-40C7-9031-231493874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1555" name="Picture 1554" descr="A black and white symbol&#10;&#10;Description automatically generated">
          <a:extLst>
            <a:ext uri="{FF2B5EF4-FFF2-40B4-BE49-F238E27FC236}">
              <a16:creationId xmlns:a16="http://schemas.microsoft.com/office/drawing/2014/main" id="{5C6E8271-8E9B-460B-A983-D5F23AC56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1556" name="Picture 1555" descr="A black and white symbol&#10;&#10;Description automatically generated">
          <a:extLst>
            <a:ext uri="{FF2B5EF4-FFF2-40B4-BE49-F238E27FC236}">
              <a16:creationId xmlns:a16="http://schemas.microsoft.com/office/drawing/2014/main" id="{9529C885-5427-47DB-A309-4F6A28006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1557" name="Picture 1556" descr="A black and white symbol&#10;&#10;Description automatically generated">
          <a:extLst>
            <a:ext uri="{FF2B5EF4-FFF2-40B4-BE49-F238E27FC236}">
              <a16:creationId xmlns:a16="http://schemas.microsoft.com/office/drawing/2014/main" id="{5C2BD547-9903-4855-AEA2-2F1069C5F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1558" name="Picture 1557" descr="A black and white symbol&#10;&#10;Description automatically generated">
          <a:extLst>
            <a:ext uri="{FF2B5EF4-FFF2-40B4-BE49-F238E27FC236}">
              <a16:creationId xmlns:a16="http://schemas.microsoft.com/office/drawing/2014/main" id="{3113D77A-4E4F-4A99-B77C-C321E48AB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1559" name="Picture 1558" descr="A black and white symbol&#10;&#10;Description automatically generated">
          <a:extLst>
            <a:ext uri="{FF2B5EF4-FFF2-40B4-BE49-F238E27FC236}">
              <a16:creationId xmlns:a16="http://schemas.microsoft.com/office/drawing/2014/main" id="{3240A8A5-082A-4163-9E54-7F72B3A90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1560" name="Picture 1559" descr="A black and white symbol&#10;&#10;Description automatically generated">
          <a:extLst>
            <a:ext uri="{FF2B5EF4-FFF2-40B4-BE49-F238E27FC236}">
              <a16:creationId xmlns:a16="http://schemas.microsoft.com/office/drawing/2014/main" id="{7B8813F2-E8C0-49FD-9ABE-38F247986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1561" name="Picture 1560" descr="A black and white symbol&#10;&#10;Description automatically generated">
          <a:extLst>
            <a:ext uri="{FF2B5EF4-FFF2-40B4-BE49-F238E27FC236}">
              <a16:creationId xmlns:a16="http://schemas.microsoft.com/office/drawing/2014/main" id="{33D8752F-D098-41F6-8BAC-79FB20A45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1562" name="Picture 1561" descr="A black and white symbol&#10;&#10;Description automatically generated">
          <a:extLst>
            <a:ext uri="{FF2B5EF4-FFF2-40B4-BE49-F238E27FC236}">
              <a16:creationId xmlns:a16="http://schemas.microsoft.com/office/drawing/2014/main" id="{4A19E4A0-97B8-40C2-A350-83F9D63DA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1563" name="Picture 1562" descr="A black and white symbol&#10;&#10;Description automatically generated">
          <a:extLst>
            <a:ext uri="{FF2B5EF4-FFF2-40B4-BE49-F238E27FC236}">
              <a16:creationId xmlns:a16="http://schemas.microsoft.com/office/drawing/2014/main" id="{782233C2-6EA2-4C8E-A4A2-692DE9D86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1564" name="Picture 1563" descr="A black and white symbol&#10;&#10;Description automatically generated">
          <a:extLst>
            <a:ext uri="{FF2B5EF4-FFF2-40B4-BE49-F238E27FC236}">
              <a16:creationId xmlns:a16="http://schemas.microsoft.com/office/drawing/2014/main" id="{8D5E16C6-7A3F-4A54-A326-A14DF2BD1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1565" name="Picture 1564" descr="A black and white symbol&#10;&#10;Description automatically generated">
          <a:extLst>
            <a:ext uri="{FF2B5EF4-FFF2-40B4-BE49-F238E27FC236}">
              <a16:creationId xmlns:a16="http://schemas.microsoft.com/office/drawing/2014/main" id="{282CB36C-B105-4AA7-80FE-5AB4831A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1566" name="Picture 1565" descr="A black and white symbol&#10;&#10;Description automatically generated">
          <a:extLst>
            <a:ext uri="{FF2B5EF4-FFF2-40B4-BE49-F238E27FC236}">
              <a16:creationId xmlns:a16="http://schemas.microsoft.com/office/drawing/2014/main" id="{C3005985-F5B3-4FF9-B2F0-CCF09960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1567" name="Picture 1566" descr="A black and white symbol&#10;&#10;Description automatically generated">
          <a:extLst>
            <a:ext uri="{FF2B5EF4-FFF2-40B4-BE49-F238E27FC236}">
              <a16:creationId xmlns:a16="http://schemas.microsoft.com/office/drawing/2014/main" id="{FCC81C9F-9166-4DD1-AC35-CD047A9AC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1568" name="Picture 1567" descr="A black and white symbol&#10;&#10;Description automatically generated">
          <a:extLst>
            <a:ext uri="{FF2B5EF4-FFF2-40B4-BE49-F238E27FC236}">
              <a16:creationId xmlns:a16="http://schemas.microsoft.com/office/drawing/2014/main" id="{8E524189-E31D-4F7C-9B95-264B9575C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1569" name="Picture 1568" descr="A black and white symbol&#10;&#10;Description automatically generated">
          <a:extLst>
            <a:ext uri="{FF2B5EF4-FFF2-40B4-BE49-F238E27FC236}">
              <a16:creationId xmlns:a16="http://schemas.microsoft.com/office/drawing/2014/main" id="{F4EE0307-5118-422E-ABE4-BFFB105D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1570" name="Picture 1569" descr="A black and white symbol&#10;&#10;Description automatically generated">
          <a:extLst>
            <a:ext uri="{FF2B5EF4-FFF2-40B4-BE49-F238E27FC236}">
              <a16:creationId xmlns:a16="http://schemas.microsoft.com/office/drawing/2014/main" id="{6B13A208-A830-46F7-95C9-FBF5C7526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1571" name="Picture 1570" descr="A black and white symbol&#10;&#10;Description automatically generated">
          <a:extLst>
            <a:ext uri="{FF2B5EF4-FFF2-40B4-BE49-F238E27FC236}">
              <a16:creationId xmlns:a16="http://schemas.microsoft.com/office/drawing/2014/main" id="{DFAB3DEF-E391-45A4-8DBE-459DE6E3E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1572" name="Picture 1571" descr="A black and white symbol&#10;&#10;Description automatically generated">
          <a:extLst>
            <a:ext uri="{FF2B5EF4-FFF2-40B4-BE49-F238E27FC236}">
              <a16:creationId xmlns:a16="http://schemas.microsoft.com/office/drawing/2014/main" id="{BF16A982-A439-414A-8300-9465ED461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1573" name="Picture 1572" descr="A black and white symbol&#10;&#10;Description automatically generated">
          <a:extLst>
            <a:ext uri="{FF2B5EF4-FFF2-40B4-BE49-F238E27FC236}">
              <a16:creationId xmlns:a16="http://schemas.microsoft.com/office/drawing/2014/main" id="{ADB1A0FA-AEF5-4A84-ACB3-3CBCC1BB0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1574" name="Picture 1573" descr="A black and white symbol&#10;&#10;Description automatically generated">
          <a:extLst>
            <a:ext uri="{FF2B5EF4-FFF2-40B4-BE49-F238E27FC236}">
              <a16:creationId xmlns:a16="http://schemas.microsoft.com/office/drawing/2014/main" id="{C74F461D-D203-4A0C-B608-050F6CA5E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1575" name="Picture 1574" descr="A black and white symbol&#10;&#10;Description automatically generated">
          <a:extLst>
            <a:ext uri="{FF2B5EF4-FFF2-40B4-BE49-F238E27FC236}">
              <a16:creationId xmlns:a16="http://schemas.microsoft.com/office/drawing/2014/main" id="{B955197E-71DD-4B97-AA47-731D986DF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1576" name="Picture 1575" descr="A black and white symbol&#10;&#10;Description automatically generated">
          <a:extLst>
            <a:ext uri="{FF2B5EF4-FFF2-40B4-BE49-F238E27FC236}">
              <a16:creationId xmlns:a16="http://schemas.microsoft.com/office/drawing/2014/main" id="{3B268BD6-CA58-41E5-86DF-2DED952C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1577" name="Picture 1576" descr="A black and white symbol&#10;&#10;Description automatically generated">
          <a:extLst>
            <a:ext uri="{FF2B5EF4-FFF2-40B4-BE49-F238E27FC236}">
              <a16:creationId xmlns:a16="http://schemas.microsoft.com/office/drawing/2014/main" id="{16880587-DE78-4FE4-80BF-5A417FA94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1578" name="Picture 1577" descr="A black and white symbol&#10;&#10;Description automatically generated">
          <a:extLst>
            <a:ext uri="{FF2B5EF4-FFF2-40B4-BE49-F238E27FC236}">
              <a16:creationId xmlns:a16="http://schemas.microsoft.com/office/drawing/2014/main" id="{F1999FFF-8AA3-446B-ABC3-3E4E95F1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</xdr:colOff>
      <xdr:row>125</xdr:row>
      <xdr:rowOff>174238</xdr:rowOff>
    </xdr:from>
    <xdr:ext cx="230186" cy="271084"/>
    <xdr:pic>
      <xdr:nvPicPr>
        <xdr:cNvPr id="1579" name="Picture 1578" descr="A black and white symbol&#10;&#10;Description automatically generated">
          <a:extLst>
            <a:ext uri="{FF2B5EF4-FFF2-40B4-BE49-F238E27FC236}">
              <a16:creationId xmlns:a16="http://schemas.microsoft.com/office/drawing/2014/main" id="{E969ACBA-6ACC-45B8-8DC1-7512994B9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1" y="23497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1580" name="Picture 1579" descr="A black and white symbol&#10;&#10;Description automatically generated">
          <a:extLst>
            <a:ext uri="{FF2B5EF4-FFF2-40B4-BE49-F238E27FC236}">
              <a16:creationId xmlns:a16="http://schemas.microsoft.com/office/drawing/2014/main" id="{51D02F7F-F49B-4D93-B520-E43FE1F41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1581" name="Picture 1580" descr="A black and white symbol&#10;&#10;Description automatically generated">
          <a:extLst>
            <a:ext uri="{FF2B5EF4-FFF2-40B4-BE49-F238E27FC236}">
              <a16:creationId xmlns:a16="http://schemas.microsoft.com/office/drawing/2014/main" id="{1A2A9989-6795-4688-87F2-70CCE6D23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1582" name="Picture 1581" descr="A black and white symbol&#10;&#10;Description automatically generated">
          <a:extLst>
            <a:ext uri="{FF2B5EF4-FFF2-40B4-BE49-F238E27FC236}">
              <a16:creationId xmlns:a16="http://schemas.microsoft.com/office/drawing/2014/main" id="{62A30CFA-89F9-42AF-86DC-9A51E22A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1583" name="Picture 1582" descr="A black and white symbol&#10;&#10;Description automatically generated">
          <a:extLst>
            <a:ext uri="{FF2B5EF4-FFF2-40B4-BE49-F238E27FC236}">
              <a16:creationId xmlns:a16="http://schemas.microsoft.com/office/drawing/2014/main" id="{53A8CD84-59D3-4AC0-BDEC-88DDBBFC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1584" name="Picture 1583" descr="A black and white symbol&#10;&#10;Description automatically generated">
          <a:extLst>
            <a:ext uri="{FF2B5EF4-FFF2-40B4-BE49-F238E27FC236}">
              <a16:creationId xmlns:a16="http://schemas.microsoft.com/office/drawing/2014/main" id="{2A51898F-D956-4712-B3B3-BD70A1D34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1585" name="Picture 1584" descr="A black and white symbol&#10;&#10;Description automatically generated">
          <a:extLst>
            <a:ext uri="{FF2B5EF4-FFF2-40B4-BE49-F238E27FC236}">
              <a16:creationId xmlns:a16="http://schemas.microsoft.com/office/drawing/2014/main" id="{DE1C7D0A-92E0-4B18-A1F2-89D5E84AB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1586" name="Picture 1585" descr="A black and white symbol&#10;&#10;Description automatically generated">
          <a:extLst>
            <a:ext uri="{FF2B5EF4-FFF2-40B4-BE49-F238E27FC236}">
              <a16:creationId xmlns:a16="http://schemas.microsoft.com/office/drawing/2014/main" id="{18050B06-253D-4B64-B812-E01C08534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1587" name="Picture 1586" descr="A black and white symbol&#10;&#10;Description automatically generated">
          <a:extLst>
            <a:ext uri="{FF2B5EF4-FFF2-40B4-BE49-F238E27FC236}">
              <a16:creationId xmlns:a16="http://schemas.microsoft.com/office/drawing/2014/main" id="{ED5DBE91-BB8B-42AE-BDDF-B09CC75AF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1588" name="Picture 1587" descr="A black and white symbol&#10;&#10;Description automatically generated">
          <a:extLst>
            <a:ext uri="{FF2B5EF4-FFF2-40B4-BE49-F238E27FC236}">
              <a16:creationId xmlns:a16="http://schemas.microsoft.com/office/drawing/2014/main" id="{0F6967E1-2ADD-4C71-B274-3EEF065DF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1589" name="Picture 1588" descr="A black and white symbol&#10;&#10;Description automatically generated">
          <a:extLst>
            <a:ext uri="{FF2B5EF4-FFF2-40B4-BE49-F238E27FC236}">
              <a16:creationId xmlns:a16="http://schemas.microsoft.com/office/drawing/2014/main" id="{D3E66E54-852F-43CE-AF9D-D6B1AC05E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1590" name="Picture 1589" descr="A black and white symbol&#10;&#10;Description automatically generated">
          <a:extLst>
            <a:ext uri="{FF2B5EF4-FFF2-40B4-BE49-F238E27FC236}">
              <a16:creationId xmlns:a16="http://schemas.microsoft.com/office/drawing/2014/main" id="{E083C12B-F2BA-4645-9D59-50017F8CE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1591" name="Picture 1590" descr="A black and white symbol&#10;&#10;Description automatically generated">
          <a:extLst>
            <a:ext uri="{FF2B5EF4-FFF2-40B4-BE49-F238E27FC236}">
              <a16:creationId xmlns:a16="http://schemas.microsoft.com/office/drawing/2014/main" id="{3D9AA485-3623-4949-A10F-FB3E1E9AE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1592" name="Picture 1591" descr="A black and white symbol&#10;&#10;Description automatically generated">
          <a:extLst>
            <a:ext uri="{FF2B5EF4-FFF2-40B4-BE49-F238E27FC236}">
              <a16:creationId xmlns:a16="http://schemas.microsoft.com/office/drawing/2014/main" id="{98D35960-305B-4919-80AE-E9CD2F4B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940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1593" name="Picture 1592" descr="A black and white symbol&#10;&#10;Description automatically generated">
          <a:extLst>
            <a:ext uri="{FF2B5EF4-FFF2-40B4-BE49-F238E27FC236}">
              <a16:creationId xmlns:a16="http://schemas.microsoft.com/office/drawing/2014/main" id="{71883C17-5784-4350-B3B2-72AE2AECF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1594" name="Picture 1593" descr="A black and white symbol&#10;&#10;Description automatically generated">
          <a:extLst>
            <a:ext uri="{FF2B5EF4-FFF2-40B4-BE49-F238E27FC236}">
              <a16:creationId xmlns:a16="http://schemas.microsoft.com/office/drawing/2014/main" id="{88C6E835-8381-435D-A666-F1F2B5AC2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1595" name="Picture 1594" descr="A black and white symbol&#10;&#10;Description automatically generated">
          <a:extLst>
            <a:ext uri="{FF2B5EF4-FFF2-40B4-BE49-F238E27FC236}">
              <a16:creationId xmlns:a16="http://schemas.microsoft.com/office/drawing/2014/main" id="{7D9A8E17-8A67-4324-9A0A-E4512E565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1596" name="Picture 1595" descr="A black and white symbol&#10;&#10;Description automatically generated">
          <a:extLst>
            <a:ext uri="{FF2B5EF4-FFF2-40B4-BE49-F238E27FC236}">
              <a16:creationId xmlns:a16="http://schemas.microsoft.com/office/drawing/2014/main" id="{915D8BB6-6FFC-45B5-BA5E-0BF40B243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1597" name="Picture 1596" descr="A black and white symbol&#10;&#10;Description automatically generated">
          <a:extLst>
            <a:ext uri="{FF2B5EF4-FFF2-40B4-BE49-F238E27FC236}">
              <a16:creationId xmlns:a16="http://schemas.microsoft.com/office/drawing/2014/main" id="{D0BC4170-9649-4061-A63C-CAC5A777F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1598" name="Lightning Bolt 1597">
          <a:extLst>
            <a:ext uri="{FF2B5EF4-FFF2-40B4-BE49-F238E27FC236}">
              <a16:creationId xmlns:a16="http://schemas.microsoft.com/office/drawing/2014/main" id="{81A78A89-B02E-414A-B8D8-6AE3BB398708}"/>
            </a:ext>
          </a:extLst>
        </xdr:cNvPr>
        <xdr:cNvSpPr/>
      </xdr:nvSpPr>
      <xdr:spPr>
        <a:xfrm rot="2857557">
          <a:off x="6294335" y="14395009"/>
          <a:ext cx="333479" cy="2141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1599" name="Picture 1598" descr="A black and white symbol&#10;&#10;Description automatically generated">
          <a:extLst>
            <a:ext uri="{FF2B5EF4-FFF2-40B4-BE49-F238E27FC236}">
              <a16:creationId xmlns:a16="http://schemas.microsoft.com/office/drawing/2014/main" id="{BC299FB7-DB24-4C42-A1E6-3F0F9F23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532" y="72875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1600" name="Isosceles Triangle 1599">
          <a:extLst>
            <a:ext uri="{FF2B5EF4-FFF2-40B4-BE49-F238E27FC236}">
              <a16:creationId xmlns:a16="http://schemas.microsoft.com/office/drawing/2014/main" id="{6CEC1457-AD6F-4BC1-B501-44B6170E0128}"/>
            </a:ext>
          </a:extLst>
        </xdr:cNvPr>
        <xdr:cNvSpPr/>
      </xdr:nvSpPr>
      <xdr:spPr>
        <a:xfrm>
          <a:off x="745490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1601" name="Isosceles Triangle 1600">
          <a:extLst>
            <a:ext uri="{FF2B5EF4-FFF2-40B4-BE49-F238E27FC236}">
              <a16:creationId xmlns:a16="http://schemas.microsoft.com/office/drawing/2014/main" id="{93C0B6C4-35AC-4B44-99A3-B686A7479207}"/>
            </a:ext>
          </a:extLst>
        </xdr:cNvPr>
        <xdr:cNvSpPr/>
      </xdr:nvSpPr>
      <xdr:spPr>
        <a:xfrm>
          <a:off x="3714750" y="6553200"/>
          <a:ext cx="53584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118</xdr:row>
      <xdr:rowOff>0</xdr:rowOff>
    </xdr:from>
    <xdr:ext cx="230186" cy="271084"/>
    <xdr:pic>
      <xdr:nvPicPr>
        <xdr:cNvPr id="1602" name="Picture 1601" descr="A black and white symbol&#10;&#10;Description automatically generated">
          <a:extLst>
            <a:ext uri="{FF2B5EF4-FFF2-40B4-BE49-F238E27FC236}">
              <a16:creationId xmlns:a16="http://schemas.microsoft.com/office/drawing/2014/main" id="{059335A7-5818-42A3-8813-2FE8975E3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174</xdr:row>
      <xdr:rowOff>0</xdr:rowOff>
    </xdr:from>
    <xdr:ext cx="230186" cy="271084"/>
    <xdr:pic>
      <xdr:nvPicPr>
        <xdr:cNvPr id="1603" name="Picture 1602" descr="A black and white symbol&#10;&#10;Description automatically generated">
          <a:extLst>
            <a:ext uri="{FF2B5EF4-FFF2-40B4-BE49-F238E27FC236}">
              <a16:creationId xmlns:a16="http://schemas.microsoft.com/office/drawing/2014/main" id="{8FB4A84C-F967-45E0-AE3F-328B4C597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166</xdr:row>
      <xdr:rowOff>0</xdr:rowOff>
    </xdr:from>
    <xdr:ext cx="230186" cy="271084"/>
    <xdr:pic>
      <xdr:nvPicPr>
        <xdr:cNvPr id="1604" name="Picture 1603" descr="A black and white symbol&#10;&#10;Description automatically generated">
          <a:extLst>
            <a:ext uri="{FF2B5EF4-FFF2-40B4-BE49-F238E27FC236}">
              <a16:creationId xmlns:a16="http://schemas.microsoft.com/office/drawing/2014/main" id="{66A824BE-0801-4E5A-A70C-9AA5A3537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166</xdr:row>
      <xdr:rowOff>0</xdr:rowOff>
    </xdr:from>
    <xdr:ext cx="230186" cy="271084"/>
    <xdr:pic>
      <xdr:nvPicPr>
        <xdr:cNvPr id="1605" name="Picture 1604" descr="A black and white symbol&#10;&#10;Description automatically generated">
          <a:extLst>
            <a:ext uri="{FF2B5EF4-FFF2-40B4-BE49-F238E27FC236}">
              <a16:creationId xmlns:a16="http://schemas.microsoft.com/office/drawing/2014/main" id="{69A14708-4EA3-4997-8FEE-C1D0E8824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166</xdr:row>
      <xdr:rowOff>0</xdr:rowOff>
    </xdr:from>
    <xdr:ext cx="230186" cy="271084"/>
    <xdr:pic>
      <xdr:nvPicPr>
        <xdr:cNvPr id="1606" name="Picture 1605" descr="A black and white symbol&#10;&#10;Description automatically generated">
          <a:extLst>
            <a:ext uri="{FF2B5EF4-FFF2-40B4-BE49-F238E27FC236}">
              <a16:creationId xmlns:a16="http://schemas.microsoft.com/office/drawing/2014/main" id="{CBAF2FAD-559F-4881-89C8-6848B29F0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11616</xdr:colOff>
      <xdr:row>157</xdr:row>
      <xdr:rowOff>174238</xdr:rowOff>
    </xdr:from>
    <xdr:ext cx="230186" cy="271084"/>
    <xdr:pic>
      <xdr:nvPicPr>
        <xdr:cNvPr id="1607" name="Picture 1606" descr="A black and white symbol&#10;&#10;Description automatically generated">
          <a:extLst>
            <a:ext uri="{FF2B5EF4-FFF2-40B4-BE49-F238E27FC236}">
              <a16:creationId xmlns:a16="http://schemas.microsoft.com/office/drawing/2014/main" id="{AB544138-898D-4BB0-9614-75C926798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5616" y="293905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142</xdr:row>
      <xdr:rowOff>0</xdr:rowOff>
    </xdr:from>
    <xdr:ext cx="230186" cy="271084"/>
    <xdr:pic>
      <xdr:nvPicPr>
        <xdr:cNvPr id="1608" name="Picture 1607" descr="A black and white symbol&#10;&#10;Description automatically generated">
          <a:extLst>
            <a:ext uri="{FF2B5EF4-FFF2-40B4-BE49-F238E27FC236}">
              <a16:creationId xmlns:a16="http://schemas.microsoft.com/office/drawing/2014/main" id="{E0E003C6-D407-4C6B-9D4D-CC0B3687F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30186" cy="271084"/>
    <xdr:pic>
      <xdr:nvPicPr>
        <xdr:cNvPr id="1609" name="Picture 1608" descr="A black and white symbol&#10;&#10;Description automatically generated">
          <a:extLst>
            <a:ext uri="{FF2B5EF4-FFF2-40B4-BE49-F238E27FC236}">
              <a16:creationId xmlns:a16="http://schemas.microsoft.com/office/drawing/2014/main" id="{AFE79463-906D-4659-B29E-CCD7CAD44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23233</xdr:colOff>
      <xdr:row>134</xdr:row>
      <xdr:rowOff>11616</xdr:rowOff>
    </xdr:from>
    <xdr:ext cx="230186" cy="271084"/>
    <xdr:pic>
      <xdr:nvPicPr>
        <xdr:cNvPr id="1610" name="Picture 1609" descr="A black and white symbol&#10;&#10;Description automatically generated">
          <a:extLst>
            <a:ext uri="{FF2B5EF4-FFF2-40B4-BE49-F238E27FC236}">
              <a16:creationId xmlns:a16="http://schemas.microsoft.com/office/drawing/2014/main" id="{28926C1D-4C7E-45EA-BB67-2279EFC08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7233" y="2499251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126</xdr:row>
      <xdr:rowOff>0</xdr:rowOff>
    </xdr:from>
    <xdr:ext cx="230186" cy="271084"/>
    <xdr:pic>
      <xdr:nvPicPr>
        <xdr:cNvPr id="1611" name="Picture 1610" descr="A black and white symbol&#10;&#10;Description automatically generated">
          <a:extLst>
            <a:ext uri="{FF2B5EF4-FFF2-40B4-BE49-F238E27FC236}">
              <a16:creationId xmlns:a16="http://schemas.microsoft.com/office/drawing/2014/main" id="{4631FFB0-EE27-4A31-8E5D-75CE3B8EF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1612" name="Picture 1611" descr="A black and white symbol&#10;&#10;Description automatically generated">
          <a:extLst>
            <a:ext uri="{FF2B5EF4-FFF2-40B4-BE49-F238E27FC236}">
              <a16:creationId xmlns:a16="http://schemas.microsoft.com/office/drawing/2014/main" id="{D4030819-B4D4-4DE2-9B13-DEF0934FA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118</xdr:row>
      <xdr:rowOff>0</xdr:rowOff>
    </xdr:from>
    <xdr:ext cx="230186" cy="271084"/>
    <xdr:pic>
      <xdr:nvPicPr>
        <xdr:cNvPr id="1613" name="Picture 1612" descr="A black and white symbol&#10;&#10;Description automatically generated">
          <a:extLst>
            <a:ext uri="{FF2B5EF4-FFF2-40B4-BE49-F238E27FC236}">
              <a16:creationId xmlns:a16="http://schemas.microsoft.com/office/drawing/2014/main" id="{8FCE1D9A-3897-4552-9051-11B4D63BA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42</xdr:row>
      <xdr:rowOff>0</xdr:rowOff>
    </xdr:from>
    <xdr:to>
      <xdr:col>15</xdr:col>
      <xdr:colOff>0</xdr:colOff>
      <xdr:row>44</xdr:row>
      <xdr:rowOff>0</xdr:rowOff>
    </xdr:to>
    <xdr:sp macro="" textlink="">
      <xdr:nvSpPr>
        <xdr:cNvPr id="1614" name="Isosceles Triangle 1613">
          <a:extLst>
            <a:ext uri="{FF2B5EF4-FFF2-40B4-BE49-F238E27FC236}">
              <a16:creationId xmlns:a16="http://schemas.microsoft.com/office/drawing/2014/main" id="{B354D88A-C1BA-4344-9FFA-686F3DC34CFC}"/>
            </a:ext>
          </a:extLst>
        </xdr:cNvPr>
        <xdr:cNvSpPr/>
      </xdr:nvSpPr>
      <xdr:spPr>
        <a:xfrm>
          <a:off x="4660900" y="8026400"/>
          <a:ext cx="558800" cy="3683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256442</xdr:colOff>
      <xdr:row>51</xdr:row>
      <xdr:rowOff>183174</xdr:rowOff>
    </xdr:to>
    <xdr:sp macro="" textlink="">
      <xdr:nvSpPr>
        <xdr:cNvPr id="1615" name="Isosceles Triangle 1614">
          <a:extLst>
            <a:ext uri="{FF2B5EF4-FFF2-40B4-BE49-F238E27FC236}">
              <a16:creationId xmlns:a16="http://schemas.microsoft.com/office/drawing/2014/main" id="{2794D58D-55F3-40EB-A7CA-204019B56CBC}"/>
            </a:ext>
          </a:extLst>
        </xdr:cNvPr>
        <xdr:cNvSpPr/>
      </xdr:nvSpPr>
      <xdr:spPr>
        <a:xfrm>
          <a:off x="3714750" y="9499600"/>
          <a:ext cx="53584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24</xdr:col>
      <xdr:colOff>507999</xdr:colOff>
      <xdr:row>18</xdr:row>
      <xdr:rowOff>0</xdr:rowOff>
    </xdr:from>
    <xdr:to>
      <xdr:col>27</xdr:col>
      <xdr:colOff>23090</xdr:colOff>
      <xdr:row>20</xdr:row>
      <xdr:rowOff>11545</xdr:rowOff>
    </xdr:to>
    <xdr:sp macro="" textlink="">
      <xdr:nvSpPr>
        <xdr:cNvPr id="1616" name="Isosceles Triangle 1615">
          <a:extLst>
            <a:ext uri="{FF2B5EF4-FFF2-40B4-BE49-F238E27FC236}">
              <a16:creationId xmlns:a16="http://schemas.microsoft.com/office/drawing/2014/main" id="{1A3E1B41-DB89-43F7-8B8F-3B257D2C51E2}"/>
            </a:ext>
          </a:extLst>
        </xdr:cNvPr>
        <xdr:cNvSpPr/>
      </xdr:nvSpPr>
      <xdr:spPr>
        <a:xfrm>
          <a:off x="8474363" y="3613727"/>
          <a:ext cx="611909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86</xdr:row>
      <xdr:rowOff>0</xdr:rowOff>
    </xdr:from>
    <xdr:ext cx="230186" cy="271084"/>
    <xdr:pic>
      <xdr:nvPicPr>
        <xdr:cNvPr id="1617" name="Picture 1616" descr="A black and white symbol&#10;&#10;Description automatically generated">
          <a:extLst>
            <a:ext uri="{FF2B5EF4-FFF2-40B4-BE49-F238E27FC236}">
              <a16:creationId xmlns:a16="http://schemas.microsoft.com/office/drawing/2014/main" id="{EE11431A-4057-46D1-AD84-E462EF98E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58</xdr:row>
      <xdr:rowOff>0</xdr:rowOff>
    </xdr:from>
    <xdr:to>
      <xdr:col>20</xdr:col>
      <xdr:colOff>256442</xdr:colOff>
      <xdr:row>59</xdr:row>
      <xdr:rowOff>183175</xdr:rowOff>
    </xdr:to>
    <xdr:sp macro="" textlink="">
      <xdr:nvSpPr>
        <xdr:cNvPr id="1618" name="Isosceles Triangle 1617">
          <a:extLst>
            <a:ext uri="{FF2B5EF4-FFF2-40B4-BE49-F238E27FC236}">
              <a16:creationId xmlns:a16="http://schemas.microsoft.com/office/drawing/2014/main" id="{8FC72E7E-9409-45A4-9252-ADA6FECE6DFC}"/>
            </a:ext>
          </a:extLst>
        </xdr:cNvPr>
        <xdr:cNvSpPr/>
      </xdr:nvSpPr>
      <xdr:spPr>
        <a:xfrm>
          <a:off x="6534150" y="10979150"/>
          <a:ext cx="535842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11206</xdr:colOff>
      <xdr:row>26</xdr:row>
      <xdr:rowOff>0</xdr:rowOff>
    </xdr:from>
    <xdr:to>
      <xdr:col>26</xdr:col>
      <xdr:colOff>267647</xdr:colOff>
      <xdr:row>27</xdr:row>
      <xdr:rowOff>183175</xdr:rowOff>
    </xdr:to>
    <xdr:sp macro="" textlink="">
      <xdr:nvSpPr>
        <xdr:cNvPr id="1619" name="Isosceles Triangle 1618">
          <a:extLst>
            <a:ext uri="{FF2B5EF4-FFF2-40B4-BE49-F238E27FC236}">
              <a16:creationId xmlns:a16="http://schemas.microsoft.com/office/drawing/2014/main" id="{D1FEBD67-9ADC-4FE8-8BC7-B11704E8BC85}"/>
            </a:ext>
          </a:extLst>
        </xdr:cNvPr>
        <xdr:cNvSpPr/>
      </xdr:nvSpPr>
      <xdr:spPr>
        <a:xfrm>
          <a:off x="8571006" y="5073650"/>
          <a:ext cx="535841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0" name="Lightning Bolt 1619">
          <a:extLst>
            <a:ext uri="{FF2B5EF4-FFF2-40B4-BE49-F238E27FC236}">
              <a16:creationId xmlns:a16="http://schemas.microsoft.com/office/drawing/2014/main" id="{32BC533F-F022-437B-A0D4-F7F6FB563ACC}"/>
            </a:ext>
          </a:extLst>
        </xdr:cNvPr>
        <xdr:cNvSpPr/>
      </xdr:nvSpPr>
      <xdr:spPr>
        <a:xfrm rot="2857557">
          <a:off x="13354354" y="14292526"/>
          <a:ext cx="360678" cy="4149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1" name="Lightning Bolt 1620">
          <a:extLst>
            <a:ext uri="{FF2B5EF4-FFF2-40B4-BE49-F238E27FC236}">
              <a16:creationId xmlns:a16="http://schemas.microsoft.com/office/drawing/2014/main" id="{ACB09FEE-FC86-4AD1-BDBF-F7CB978DA0B7}"/>
            </a:ext>
          </a:extLst>
        </xdr:cNvPr>
        <xdr:cNvSpPr/>
      </xdr:nvSpPr>
      <xdr:spPr>
        <a:xfrm rot="2857557">
          <a:off x="13406335" y="14337859"/>
          <a:ext cx="333479" cy="3284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2" name="Lightning Bolt 1621">
          <a:extLst>
            <a:ext uri="{FF2B5EF4-FFF2-40B4-BE49-F238E27FC236}">
              <a16:creationId xmlns:a16="http://schemas.microsoft.com/office/drawing/2014/main" id="{ADC0ADC1-1942-45FF-8485-D26AC64B68CA}"/>
            </a:ext>
          </a:extLst>
        </xdr:cNvPr>
        <xdr:cNvSpPr/>
      </xdr:nvSpPr>
      <xdr:spPr>
        <a:xfrm rot="2857557">
          <a:off x="13354354" y="14292526"/>
          <a:ext cx="360678" cy="4149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596AC79F-4F1A-4008-BDF3-C0ADC5751F75}"/>
            </a:ext>
          </a:extLst>
        </xdr:cNvPr>
        <xdr:cNvSpPr/>
      </xdr:nvSpPr>
      <xdr:spPr>
        <a:xfrm rot="2857557">
          <a:off x="13406335" y="14337859"/>
          <a:ext cx="333479" cy="3284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27</xdr:col>
      <xdr:colOff>11206</xdr:colOff>
      <xdr:row>35</xdr:row>
      <xdr:rowOff>183172</xdr:rowOff>
    </xdr:to>
    <xdr:sp macro="" textlink="">
      <xdr:nvSpPr>
        <xdr:cNvPr id="1624" name="Isosceles Triangle 1623">
          <a:extLst>
            <a:ext uri="{FF2B5EF4-FFF2-40B4-BE49-F238E27FC236}">
              <a16:creationId xmlns:a16="http://schemas.microsoft.com/office/drawing/2014/main" id="{653214D3-7E83-4AA0-9020-16A49399BB46}"/>
            </a:ext>
          </a:extLst>
        </xdr:cNvPr>
        <xdr:cNvSpPr/>
      </xdr:nvSpPr>
      <xdr:spPr>
        <a:xfrm>
          <a:off x="8559800" y="6553200"/>
          <a:ext cx="570006" cy="36732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256443</xdr:colOff>
      <xdr:row>51</xdr:row>
      <xdr:rowOff>183174</xdr:rowOff>
    </xdr:to>
    <xdr:sp macro="" textlink="">
      <xdr:nvSpPr>
        <xdr:cNvPr id="1625" name="Isosceles Triangle 1624">
          <a:extLst>
            <a:ext uri="{FF2B5EF4-FFF2-40B4-BE49-F238E27FC236}">
              <a16:creationId xmlns:a16="http://schemas.microsoft.com/office/drawing/2014/main" id="{6D106048-5C4E-4B40-B4E9-1A9AB6D6B762}"/>
            </a:ext>
          </a:extLst>
        </xdr:cNvPr>
        <xdr:cNvSpPr/>
      </xdr:nvSpPr>
      <xdr:spPr>
        <a:xfrm>
          <a:off x="4660900" y="9499600"/>
          <a:ext cx="535843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19</xdr:row>
      <xdr:rowOff>183175</xdr:rowOff>
    </xdr:to>
    <xdr:sp macro="" textlink="">
      <xdr:nvSpPr>
        <xdr:cNvPr id="1626" name="Isosceles Triangle 1625">
          <a:extLst>
            <a:ext uri="{FF2B5EF4-FFF2-40B4-BE49-F238E27FC236}">
              <a16:creationId xmlns:a16="http://schemas.microsoft.com/office/drawing/2014/main" id="{1EF12452-6CF3-42C1-B73F-5E9CC3DE9068}"/>
            </a:ext>
          </a:extLst>
        </xdr:cNvPr>
        <xdr:cNvSpPr/>
      </xdr:nvSpPr>
      <xdr:spPr>
        <a:xfrm>
          <a:off x="13703300" y="3600450"/>
          <a:ext cx="520700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11206</xdr:colOff>
      <xdr:row>35</xdr:row>
      <xdr:rowOff>183172</xdr:rowOff>
    </xdr:to>
    <xdr:sp macro="" textlink="">
      <xdr:nvSpPr>
        <xdr:cNvPr id="1627" name="Isosceles Triangle 1626">
          <a:extLst>
            <a:ext uri="{FF2B5EF4-FFF2-40B4-BE49-F238E27FC236}">
              <a16:creationId xmlns:a16="http://schemas.microsoft.com/office/drawing/2014/main" id="{DADE86E6-063A-42EE-88FE-B55EBCD2E403}"/>
            </a:ext>
          </a:extLst>
        </xdr:cNvPr>
        <xdr:cNvSpPr/>
      </xdr:nvSpPr>
      <xdr:spPr>
        <a:xfrm>
          <a:off x="5568950" y="6553200"/>
          <a:ext cx="570006" cy="36732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</xdr:colOff>
      <xdr:row>50</xdr:row>
      <xdr:rowOff>0</xdr:rowOff>
    </xdr:from>
    <xdr:to>
      <xdr:col>42</xdr:col>
      <xdr:colOff>1</xdr:colOff>
      <xdr:row>51</xdr:row>
      <xdr:rowOff>181033</xdr:rowOff>
    </xdr:to>
    <xdr:sp macro="" textlink="">
      <xdr:nvSpPr>
        <xdr:cNvPr id="1628" name="Isosceles Triangle 1627">
          <a:extLst>
            <a:ext uri="{FF2B5EF4-FFF2-40B4-BE49-F238E27FC236}">
              <a16:creationId xmlns:a16="http://schemas.microsoft.com/office/drawing/2014/main" id="{E154138D-908E-40C6-8563-78CA790CA782}"/>
            </a:ext>
          </a:extLst>
        </xdr:cNvPr>
        <xdr:cNvSpPr/>
      </xdr:nvSpPr>
      <xdr:spPr>
        <a:xfrm>
          <a:off x="13703301" y="9499600"/>
          <a:ext cx="520700" cy="36518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437029</xdr:colOff>
      <xdr:row>34</xdr:row>
      <xdr:rowOff>11206</xdr:rowOff>
    </xdr:from>
    <xdr:to>
      <xdr:col>30</xdr:col>
      <xdr:colOff>22411</xdr:colOff>
      <xdr:row>36</xdr:row>
      <xdr:rowOff>3878</xdr:rowOff>
    </xdr:to>
    <xdr:sp macro="" textlink="">
      <xdr:nvSpPr>
        <xdr:cNvPr id="1629" name="Isosceles Triangle 1628">
          <a:extLst>
            <a:ext uri="{FF2B5EF4-FFF2-40B4-BE49-F238E27FC236}">
              <a16:creationId xmlns:a16="http://schemas.microsoft.com/office/drawing/2014/main" id="{0F2CD939-0499-49B5-AF8A-E14B796D49CC}"/>
            </a:ext>
          </a:extLst>
        </xdr:cNvPr>
        <xdr:cNvSpPr/>
      </xdr:nvSpPr>
      <xdr:spPr>
        <a:xfrm>
          <a:off x="9555629" y="6564406"/>
          <a:ext cx="595032" cy="3609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256443</xdr:colOff>
      <xdr:row>51</xdr:row>
      <xdr:rowOff>183174</xdr:rowOff>
    </xdr:to>
    <xdr:sp macro="" textlink="">
      <xdr:nvSpPr>
        <xdr:cNvPr id="1630" name="Isosceles Triangle 1629">
          <a:extLst>
            <a:ext uri="{FF2B5EF4-FFF2-40B4-BE49-F238E27FC236}">
              <a16:creationId xmlns:a16="http://schemas.microsoft.com/office/drawing/2014/main" id="{97D4D6D4-CEE3-4017-A8BB-1B7ACAFEBCB3}"/>
            </a:ext>
          </a:extLst>
        </xdr:cNvPr>
        <xdr:cNvSpPr/>
      </xdr:nvSpPr>
      <xdr:spPr>
        <a:xfrm>
          <a:off x="6534150" y="9499600"/>
          <a:ext cx="535843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256440</xdr:colOff>
      <xdr:row>27</xdr:row>
      <xdr:rowOff>183175</xdr:rowOff>
    </xdr:to>
    <xdr:sp macro="" textlink="">
      <xdr:nvSpPr>
        <xdr:cNvPr id="1631" name="Isosceles Triangle 1630">
          <a:extLst>
            <a:ext uri="{FF2B5EF4-FFF2-40B4-BE49-F238E27FC236}">
              <a16:creationId xmlns:a16="http://schemas.microsoft.com/office/drawing/2014/main" id="{3F901A95-80E5-4521-AEB3-1DA3E34E775D}"/>
            </a:ext>
          </a:extLst>
        </xdr:cNvPr>
        <xdr:cNvSpPr/>
      </xdr:nvSpPr>
      <xdr:spPr>
        <a:xfrm>
          <a:off x="3714750" y="5073650"/>
          <a:ext cx="535840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38</xdr:row>
      <xdr:rowOff>0</xdr:rowOff>
    </xdr:from>
    <xdr:ext cx="230186" cy="271084"/>
    <xdr:pic>
      <xdr:nvPicPr>
        <xdr:cNvPr id="1632" name="Picture 1631" descr="A black and white symbol&#10;&#10;Description automatically generated">
          <a:extLst>
            <a:ext uri="{FF2B5EF4-FFF2-40B4-BE49-F238E27FC236}">
              <a16:creationId xmlns:a16="http://schemas.microsoft.com/office/drawing/2014/main" id="{13206672-8276-4AB3-9871-5C6EB29E7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30</xdr:row>
      <xdr:rowOff>0</xdr:rowOff>
    </xdr:from>
    <xdr:ext cx="230186" cy="271084"/>
    <xdr:pic>
      <xdr:nvPicPr>
        <xdr:cNvPr id="1633" name="Picture 1632" descr="A black and white symbol&#10;&#10;Description automatically generated">
          <a:extLst>
            <a:ext uri="{FF2B5EF4-FFF2-40B4-BE49-F238E27FC236}">
              <a16:creationId xmlns:a16="http://schemas.microsoft.com/office/drawing/2014/main" id="{B2CFA5E5-3C95-4E9C-AE3E-4CFDC4B3D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0</xdr:colOff>
      <xdr:row>26</xdr:row>
      <xdr:rowOff>0</xdr:rowOff>
    </xdr:from>
    <xdr:to>
      <xdr:col>30</xdr:col>
      <xdr:colOff>21117</xdr:colOff>
      <xdr:row>27</xdr:row>
      <xdr:rowOff>183175</xdr:rowOff>
    </xdr:to>
    <xdr:sp macro="" textlink="">
      <xdr:nvSpPr>
        <xdr:cNvPr id="1634" name="Isosceles Triangle 1633">
          <a:extLst>
            <a:ext uri="{FF2B5EF4-FFF2-40B4-BE49-F238E27FC236}">
              <a16:creationId xmlns:a16="http://schemas.microsoft.com/office/drawing/2014/main" id="{293CB55E-A4CA-46D0-88D1-44D49AC3D420}"/>
            </a:ext>
          </a:extLst>
        </xdr:cNvPr>
        <xdr:cNvSpPr/>
      </xdr:nvSpPr>
      <xdr:spPr>
        <a:xfrm>
          <a:off x="9594850" y="5073650"/>
          <a:ext cx="554517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66</xdr:row>
      <xdr:rowOff>0</xdr:rowOff>
    </xdr:from>
    <xdr:to>
      <xdr:col>6</xdr:col>
      <xdr:colOff>11206</xdr:colOff>
      <xdr:row>67</xdr:row>
      <xdr:rowOff>183175</xdr:rowOff>
    </xdr:to>
    <xdr:sp macro="" textlink="">
      <xdr:nvSpPr>
        <xdr:cNvPr id="1635" name="Isosceles Triangle 1634">
          <a:extLst>
            <a:ext uri="{FF2B5EF4-FFF2-40B4-BE49-F238E27FC236}">
              <a16:creationId xmlns:a16="http://schemas.microsoft.com/office/drawing/2014/main" id="{70439E9D-C1FB-4D22-A0C0-C7BCD2CBFEB8}"/>
            </a:ext>
          </a:extLst>
        </xdr:cNvPr>
        <xdr:cNvSpPr/>
      </xdr:nvSpPr>
      <xdr:spPr>
        <a:xfrm>
          <a:off x="1631950" y="12452350"/>
          <a:ext cx="570006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9</xdr:col>
      <xdr:colOff>11206</xdr:colOff>
      <xdr:row>51</xdr:row>
      <xdr:rowOff>183174</xdr:rowOff>
    </xdr:to>
    <xdr:sp macro="" textlink="">
      <xdr:nvSpPr>
        <xdr:cNvPr id="1636" name="Isosceles Triangle 1635">
          <a:extLst>
            <a:ext uri="{FF2B5EF4-FFF2-40B4-BE49-F238E27FC236}">
              <a16:creationId xmlns:a16="http://schemas.microsoft.com/office/drawing/2014/main" id="{4D9CC581-2065-4278-9E61-E68028C7296A}"/>
            </a:ext>
          </a:extLst>
        </xdr:cNvPr>
        <xdr:cNvSpPr/>
      </xdr:nvSpPr>
      <xdr:spPr>
        <a:xfrm>
          <a:off x="2679700" y="9499600"/>
          <a:ext cx="570006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14</xdr:row>
      <xdr:rowOff>0</xdr:rowOff>
    </xdr:from>
    <xdr:ext cx="230186" cy="271084"/>
    <xdr:pic>
      <xdr:nvPicPr>
        <xdr:cNvPr id="1637" name="Picture 1636" descr="A black and white symbol&#10;&#10;Description automatically generated">
          <a:extLst>
            <a:ext uri="{FF2B5EF4-FFF2-40B4-BE49-F238E27FC236}">
              <a16:creationId xmlns:a16="http://schemas.microsoft.com/office/drawing/2014/main" id="{0C245ACA-1C11-4207-94EE-C3ADA7BEE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453018</xdr:colOff>
      <xdr:row>66</xdr:row>
      <xdr:rowOff>0</xdr:rowOff>
    </xdr:from>
    <xdr:to>
      <xdr:col>9</xdr:col>
      <xdr:colOff>11206</xdr:colOff>
      <xdr:row>67</xdr:row>
      <xdr:rowOff>183175</xdr:rowOff>
    </xdr:to>
    <xdr:sp macro="" textlink="">
      <xdr:nvSpPr>
        <xdr:cNvPr id="1638" name="Isosceles Triangle 1637">
          <a:extLst>
            <a:ext uri="{FF2B5EF4-FFF2-40B4-BE49-F238E27FC236}">
              <a16:creationId xmlns:a16="http://schemas.microsoft.com/office/drawing/2014/main" id="{E1DC0E35-44D7-4D07-93DB-FF4213B55003}"/>
            </a:ext>
          </a:extLst>
        </xdr:cNvPr>
        <xdr:cNvSpPr/>
      </xdr:nvSpPr>
      <xdr:spPr>
        <a:xfrm>
          <a:off x="2643768" y="12452350"/>
          <a:ext cx="605938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22</xdr:row>
      <xdr:rowOff>0</xdr:rowOff>
    </xdr:from>
    <xdr:ext cx="230186" cy="271084"/>
    <xdr:pic>
      <xdr:nvPicPr>
        <xdr:cNvPr id="1639" name="Picture 1638" descr="A black and white symbol&#10;&#10;Description automatically generated">
          <a:extLst>
            <a:ext uri="{FF2B5EF4-FFF2-40B4-BE49-F238E27FC236}">
              <a16:creationId xmlns:a16="http://schemas.microsoft.com/office/drawing/2014/main" id="{57E561C4-7B7D-450C-AD83-9179800DB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464633</xdr:colOff>
      <xdr:row>34</xdr:row>
      <xdr:rowOff>0</xdr:rowOff>
    </xdr:from>
    <xdr:to>
      <xdr:col>9</xdr:col>
      <xdr:colOff>11615</xdr:colOff>
      <xdr:row>35</xdr:row>
      <xdr:rowOff>183174</xdr:rowOff>
    </xdr:to>
    <xdr:sp macro="" textlink="">
      <xdr:nvSpPr>
        <xdr:cNvPr id="1640" name="Isosceles Triangle 1639">
          <a:extLst>
            <a:ext uri="{FF2B5EF4-FFF2-40B4-BE49-F238E27FC236}">
              <a16:creationId xmlns:a16="http://schemas.microsoft.com/office/drawing/2014/main" id="{2EF4330C-209A-4822-9376-6742DF3283CF}"/>
            </a:ext>
          </a:extLst>
        </xdr:cNvPr>
        <xdr:cNvSpPr/>
      </xdr:nvSpPr>
      <xdr:spPr>
        <a:xfrm>
          <a:off x="2655383" y="6553200"/>
          <a:ext cx="59473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86</xdr:row>
      <xdr:rowOff>0</xdr:rowOff>
    </xdr:from>
    <xdr:ext cx="230186" cy="271084"/>
    <xdr:pic>
      <xdr:nvPicPr>
        <xdr:cNvPr id="1641" name="Picture 1640" descr="A black and white symbol&#10;&#10;Description automatically generated">
          <a:extLst>
            <a:ext uri="{FF2B5EF4-FFF2-40B4-BE49-F238E27FC236}">
              <a16:creationId xmlns:a16="http://schemas.microsoft.com/office/drawing/2014/main" id="{D1F61444-B2CA-47E7-8D67-E0631CC23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34</xdr:row>
      <xdr:rowOff>0</xdr:rowOff>
    </xdr:from>
    <xdr:to>
      <xdr:col>33</xdr:col>
      <xdr:colOff>26785</xdr:colOff>
      <xdr:row>35</xdr:row>
      <xdr:rowOff>178526</xdr:rowOff>
    </xdr:to>
    <xdr:sp macro="" textlink="">
      <xdr:nvSpPr>
        <xdr:cNvPr id="1642" name="Isosceles Triangle 1641">
          <a:extLst>
            <a:ext uri="{FF2B5EF4-FFF2-40B4-BE49-F238E27FC236}">
              <a16:creationId xmlns:a16="http://schemas.microsoft.com/office/drawing/2014/main" id="{7FAFA386-251F-4080-9680-4655DA9770E3}"/>
            </a:ext>
          </a:extLst>
        </xdr:cNvPr>
        <xdr:cNvSpPr/>
      </xdr:nvSpPr>
      <xdr:spPr>
        <a:xfrm>
          <a:off x="10560050" y="6553200"/>
          <a:ext cx="572885" cy="3626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18</xdr:row>
      <xdr:rowOff>0</xdr:rowOff>
    </xdr:from>
    <xdr:to>
      <xdr:col>36</xdr:col>
      <xdr:colOff>893</xdr:colOff>
      <xdr:row>19</xdr:row>
      <xdr:rowOff>183173</xdr:rowOff>
    </xdr:to>
    <xdr:sp macro="" textlink="">
      <xdr:nvSpPr>
        <xdr:cNvPr id="1643" name="Isosceles Triangle 1642">
          <a:extLst>
            <a:ext uri="{FF2B5EF4-FFF2-40B4-BE49-F238E27FC236}">
              <a16:creationId xmlns:a16="http://schemas.microsoft.com/office/drawing/2014/main" id="{E84016D5-03B0-44BA-B06D-457DE5870A20}"/>
            </a:ext>
          </a:extLst>
        </xdr:cNvPr>
        <xdr:cNvSpPr/>
      </xdr:nvSpPr>
      <xdr:spPr>
        <a:xfrm>
          <a:off x="11637818" y="3613727"/>
          <a:ext cx="543530" cy="367901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22</xdr:row>
      <xdr:rowOff>0</xdr:rowOff>
    </xdr:from>
    <xdr:ext cx="230186" cy="271084"/>
    <xdr:pic>
      <xdr:nvPicPr>
        <xdr:cNvPr id="1644" name="Picture 1643" descr="A black and white symbol&#10;&#10;Description automatically generated">
          <a:extLst>
            <a:ext uri="{FF2B5EF4-FFF2-40B4-BE49-F238E27FC236}">
              <a16:creationId xmlns:a16="http://schemas.microsoft.com/office/drawing/2014/main" id="{ABAC4963-FD9A-45B1-B399-1726801A2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22</xdr:row>
      <xdr:rowOff>0</xdr:rowOff>
    </xdr:from>
    <xdr:ext cx="230186" cy="271084"/>
    <xdr:pic>
      <xdr:nvPicPr>
        <xdr:cNvPr id="1645" name="Picture 1644" descr="A black and white symbol&#10;&#10;Description automatically generated">
          <a:extLst>
            <a:ext uri="{FF2B5EF4-FFF2-40B4-BE49-F238E27FC236}">
              <a16:creationId xmlns:a16="http://schemas.microsoft.com/office/drawing/2014/main" id="{890E949B-D894-4782-96ED-1264FA6CE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174237</xdr:colOff>
      <xdr:row>30</xdr:row>
      <xdr:rowOff>0</xdr:rowOff>
    </xdr:from>
    <xdr:ext cx="230186" cy="271084"/>
    <xdr:pic>
      <xdr:nvPicPr>
        <xdr:cNvPr id="1646" name="Picture 1645" descr="A black and white symbol&#10;&#10;Description automatically generated">
          <a:extLst>
            <a:ext uri="{FF2B5EF4-FFF2-40B4-BE49-F238E27FC236}">
              <a16:creationId xmlns:a16="http://schemas.microsoft.com/office/drawing/2014/main" id="{1F51E6FB-428A-4209-9BF5-87B7E274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337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126</xdr:row>
      <xdr:rowOff>0</xdr:rowOff>
    </xdr:from>
    <xdr:ext cx="230186" cy="271084"/>
    <xdr:pic>
      <xdr:nvPicPr>
        <xdr:cNvPr id="1647" name="Picture 1646" descr="A black and white symbol&#10;&#10;Description automatically generated">
          <a:extLst>
            <a:ext uri="{FF2B5EF4-FFF2-40B4-BE49-F238E27FC236}">
              <a16:creationId xmlns:a16="http://schemas.microsoft.com/office/drawing/2014/main" id="{911E9FF5-0128-4BE6-BAF1-85342F85E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126</xdr:row>
      <xdr:rowOff>0</xdr:rowOff>
    </xdr:from>
    <xdr:ext cx="230186" cy="271084"/>
    <xdr:pic>
      <xdr:nvPicPr>
        <xdr:cNvPr id="1648" name="Picture 1647" descr="A black and white symbol&#10;&#10;Description automatically generated">
          <a:extLst>
            <a:ext uri="{FF2B5EF4-FFF2-40B4-BE49-F238E27FC236}">
              <a16:creationId xmlns:a16="http://schemas.microsoft.com/office/drawing/2014/main" id="{86A74CD4-67EE-4C70-8052-6C4AE1861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54</xdr:row>
      <xdr:rowOff>0</xdr:rowOff>
    </xdr:from>
    <xdr:ext cx="230186" cy="271084"/>
    <xdr:pic>
      <xdr:nvPicPr>
        <xdr:cNvPr id="1649" name="Picture 1648" descr="A black and white symbol&#10;&#10;Description automatically generated">
          <a:extLst>
            <a:ext uri="{FF2B5EF4-FFF2-40B4-BE49-F238E27FC236}">
              <a16:creationId xmlns:a16="http://schemas.microsoft.com/office/drawing/2014/main" id="{50F78EB6-F566-4BDB-B3F3-1435B4C12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26</xdr:row>
      <xdr:rowOff>0</xdr:rowOff>
    </xdr:from>
    <xdr:to>
      <xdr:col>3</xdr:col>
      <xdr:colOff>4741</xdr:colOff>
      <xdr:row>27</xdr:row>
      <xdr:rowOff>184669</xdr:rowOff>
    </xdr:to>
    <xdr:sp macro="" textlink="">
      <xdr:nvSpPr>
        <xdr:cNvPr id="1650" name="Isosceles Triangle 1649">
          <a:extLst>
            <a:ext uri="{FF2B5EF4-FFF2-40B4-BE49-F238E27FC236}">
              <a16:creationId xmlns:a16="http://schemas.microsoft.com/office/drawing/2014/main" id="{465799B4-315D-4227-B970-E8201A1ED151}"/>
            </a:ext>
          </a:extLst>
        </xdr:cNvPr>
        <xdr:cNvSpPr/>
      </xdr:nvSpPr>
      <xdr:spPr>
        <a:xfrm>
          <a:off x="641350" y="5073650"/>
          <a:ext cx="563541" cy="36881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62</xdr:row>
      <xdr:rowOff>0</xdr:rowOff>
    </xdr:from>
    <xdr:ext cx="230186" cy="271084"/>
    <xdr:pic>
      <xdr:nvPicPr>
        <xdr:cNvPr id="1651" name="Picture 1650" descr="A black and white symbol&#10;&#10;Description automatically generated">
          <a:extLst>
            <a:ext uri="{FF2B5EF4-FFF2-40B4-BE49-F238E27FC236}">
              <a16:creationId xmlns:a16="http://schemas.microsoft.com/office/drawing/2014/main" id="{D10061BA-7091-4364-8227-04508C00E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62</xdr:row>
      <xdr:rowOff>0</xdr:rowOff>
    </xdr:from>
    <xdr:ext cx="230186" cy="271084"/>
    <xdr:pic>
      <xdr:nvPicPr>
        <xdr:cNvPr id="1652" name="Picture 1651" descr="A black and white symbol&#10;&#10;Description automatically generated">
          <a:extLst>
            <a:ext uri="{FF2B5EF4-FFF2-40B4-BE49-F238E27FC236}">
              <a16:creationId xmlns:a16="http://schemas.microsoft.com/office/drawing/2014/main" id="{3B11CE44-E743-4DD7-8ADA-097B5C8E0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166</xdr:row>
      <xdr:rowOff>0</xdr:rowOff>
    </xdr:from>
    <xdr:ext cx="230186" cy="271084"/>
    <xdr:pic>
      <xdr:nvPicPr>
        <xdr:cNvPr id="1653" name="Picture 1652" descr="A black and white symbol&#10;&#10;Description automatically generated">
          <a:extLst>
            <a:ext uri="{FF2B5EF4-FFF2-40B4-BE49-F238E27FC236}">
              <a16:creationId xmlns:a16="http://schemas.microsoft.com/office/drawing/2014/main" id="{745AB83F-7E56-496B-AC9B-53AEAA94A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30</xdr:row>
      <xdr:rowOff>0</xdr:rowOff>
    </xdr:from>
    <xdr:ext cx="230186" cy="271084"/>
    <xdr:pic>
      <xdr:nvPicPr>
        <xdr:cNvPr id="1654" name="Picture 1653" descr="A black and white symbol&#10;&#10;Description automatically generated">
          <a:extLst>
            <a:ext uri="{FF2B5EF4-FFF2-40B4-BE49-F238E27FC236}">
              <a16:creationId xmlns:a16="http://schemas.microsoft.com/office/drawing/2014/main" id="{3F782AFF-81D4-4718-BD8D-039325748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30</xdr:row>
      <xdr:rowOff>0</xdr:rowOff>
    </xdr:from>
    <xdr:ext cx="230186" cy="271084"/>
    <xdr:pic>
      <xdr:nvPicPr>
        <xdr:cNvPr id="1655" name="Picture 1654" descr="A black and white symbol&#10;&#10;Description automatically generated">
          <a:extLst>
            <a:ext uri="{FF2B5EF4-FFF2-40B4-BE49-F238E27FC236}">
              <a16:creationId xmlns:a16="http://schemas.microsoft.com/office/drawing/2014/main" id="{1CB59FD8-CA3E-4129-88EC-03798AE8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22</xdr:row>
      <xdr:rowOff>0</xdr:rowOff>
    </xdr:from>
    <xdr:ext cx="230186" cy="271084"/>
    <xdr:pic>
      <xdr:nvPicPr>
        <xdr:cNvPr id="1656" name="Picture 1655" descr="A black and white symbol&#10;&#10;Description automatically generated">
          <a:extLst>
            <a:ext uri="{FF2B5EF4-FFF2-40B4-BE49-F238E27FC236}">
              <a16:creationId xmlns:a16="http://schemas.microsoft.com/office/drawing/2014/main" id="{D43AA423-6C18-446C-8C9D-E7438B2B6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118</xdr:row>
      <xdr:rowOff>0</xdr:rowOff>
    </xdr:from>
    <xdr:ext cx="230186" cy="271084"/>
    <xdr:pic>
      <xdr:nvPicPr>
        <xdr:cNvPr id="1657" name="Picture 1656" descr="A black and white symbol&#10;&#10;Description automatically generated">
          <a:extLst>
            <a:ext uri="{FF2B5EF4-FFF2-40B4-BE49-F238E27FC236}">
              <a16:creationId xmlns:a16="http://schemas.microsoft.com/office/drawing/2014/main" id="{CA7EE881-29CE-431C-A0F7-5B7360D5C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174</xdr:row>
      <xdr:rowOff>0</xdr:rowOff>
    </xdr:from>
    <xdr:ext cx="230186" cy="271084"/>
    <xdr:pic>
      <xdr:nvPicPr>
        <xdr:cNvPr id="1658" name="Picture 1657" descr="A black and white symbol&#10;&#10;Description automatically generated">
          <a:extLst>
            <a:ext uri="{FF2B5EF4-FFF2-40B4-BE49-F238E27FC236}">
              <a16:creationId xmlns:a16="http://schemas.microsoft.com/office/drawing/2014/main" id="{83C81DD4-F6F1-4900-BE2A-70880EFC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126</xdr:row>
      <xdr:rowOff>0</xdr:rowOff>
    </xdr:from>
    <xdr:ext cx="230186" cy="271084"/>
    <xdr:pic>
      <xdr:nvPicPr>
        <xdr:cNvPr id="1659" name="Picture 1658" descr="A black and white symbol&#10;&#10;Description automatically generated">
          <a:extLst>
            <a:ext uri="{FF2B5EF4-FFF2-40B4-BE49-F238E27FC236}">
              <a16:creationId xmlns:a16="http://schemas.microsoft.com/office/drawing/2014/main" id="{18B54878-46CE-4E4E-AE57-8797D3BB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230186" cy="271084"/>
    <xdr:pic>
      <xdr:nvPicPr>
        <xdr:cNvPr id="1660" name="Picture 1659" descr="A black and white symbol&#10;&#10;Description automatically generated">
          <a:extLst>
            <a:ext uri="{FF2B5EF4-FFF2-40B4-BE49-F238E27FC236}">
              <a16:creationId xmlns:a16="http://schemas.microsoft.com/office/drawing/2014/main" id="{64A0288E-EF54-41B7-A2CC-BBF8D1710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230186" cy="271084"/>
    <xdr:pic>
      <xdr:nvPicPr>
        <xdr:cNvPr id="1661" name="Picture 1660" descr="A black and white symbol&#10;&#10;Description automatically generated">
          <a:extLst>
            <a:ext uri="{FF2B5EF4-FFF2-40B4-BE49-F238E27FC236}">
              <a16:creationId xmlns:a16="http://schemas.microsoft.com/office/drawing/2014/main" id="{DE103957-CDEB-47CF-A98D-818FADAE1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46</xdr:row>
      <xdr:rowOff>0</xdr:rowOff>
    </xdr:from>
    <xdr:ext cx="230186" cy="271084"/>
    <xdr:pic>
      <xdr:nvPicPr>
        <xdr:cNvPr id="1662" name="Picture 1661" descr="A black and white symbol&#10;&#10;Description automatically generated">
          <a:extLst>
            <a:ext uri="{FF2B5EF4-FFF2-40B4-BE49-F238E27FC236}">
              <a16:creationId xmlns:a16="http://schemas.microsoft.com/office/drawing/2014/main" id="{78CA2487-3CFC-47B9-BD74-86FE2DCFE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18</xdr:row>
      <xdr:rowOff>0</xdr:rowOff>
    </xdr:from>
    <xdr:to>
      <xdr:col>17</xdr:col>
      <xdr:colOff>256442</xdr:colOff>
      <xdr:row>19</xdr:row>
      <xdr:rowOff>183173</xdr:rowOff>
    </xdr:to>
    <xdr:sp macro="" textlink="">
      <xdr:nvSpPr>
        <xdr:cNvPr id="1663" name="Isosceles Triangle 1662">
          <a:extLst>
            <a:ext uri="{FF2B5EF4-FFF2-40B4-BE49-F238E27FC236}">
              <a16:creationId xmlns:a16="http://schemas.microsoft.com/office/drawing/2014/main" id="{98D09C37-DD2D-4992-964E-ACB886C5789E}"/>
            </a:ext>
          </a:extLst>
        </xdr:cNvPr>
        <xdr:cNvSpPr/>
      </xdr:nvSpPr>
      <xdr:spPr>
        <a:xfrm>
          <a:off x="556895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126</xdr:row>
      <xdr:rowOff>0</xdr:rowOff>
    </xdr:from>
    <xdr:ext cx="230186" cy="271084"/>
    <xdr:pic>
      <xdr:nvPicPr>
        <xdr:cNvPr id="1664" name="Picture 1663" descr="A black and white symbol&#10;&#10;Description automatically generated">
          <a:extLst>
            <a:ext uri="{FF2B5EF4-FFF2-40B4-BE49-F238E27FC236}">
              <a16:creationId xmlns:a16="http://schemas.microsoft.com/office/drawing/2014/main" id="{97507D7C-8422-4FE8-85F3-CA6EC417C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46</xdr:row>
      <xdr:rowOff>0</xdr:rowOff>
    </xdr:from>
    <xdr:ext cx="230186" cy="271084"/>
    <xdr:pic>
      <xdr:nvPicPr>
        <xdr:cNvPr id="1665" name="Picture 1664" descr="A black and white symbol&#10;&#10;Description automatically generated">
          <a:extLst>
            <a:ext uri="{FF2B5EF4-FFF2-40B4-BE49-F238E27FC236}">
              <a16:creationId xmlns:a16="http://schemas.microsoft.com/office/drawing/2014/main" id="{49CA5912-8DD6-4B4C-8486-0521E14DE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30186" cy="271084"/>
    <xdr:pic>
      <xdr:nvPicPr>
        <xdr:cNvPr id="1666" name="Picture 1665" descr="A black and white symbol&#10;&#10;Description automatically generated">
          <a:extLst>
            <a:ext uri="{FF2B5EF4-FFF2-40B4-BE49-F238E27FC236}">
              <a16:creationId xmlns:a16="http://schemas.microsoft.com/office/drawing/2014/main" id="{465C4040-9965-4FDF-B1FB-8A7BC91C6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14968</xdr:colOff>
      <xdr:row>26</xdr:row>
      <xdr:rowOff>9526</xdr:rowOff>
    </xdr:from>
    <xdr:to>
      <xdr:col>14</xdr:col>
      <xdr:colOff>271408</xdr:colOff>
      <xdr:row>27</xdr:row>
      <xdr:rowOff>192701</xdr:rowOff>
    </xdr:to>
    <xdr:sp macro="" textlink="">
      <xdr:nvSpPr>
        <xdr:cNvPr id="1667" name="Isosceles Triangle 1666">
          <a:extLst>
            <a:ext uri="{FF2B5EF4-FFF2-40B4-BE49-F238E27FC236}">
              <a16:creationId xmlns:a16="http://schemas.microsoft.com/office/drawing/2014/main" id="{87AF5D0F-0FE1-4A74-ABEC-E2F7EA657E89}"/>
            </a:ext>
          </a:extLst>
        </xdr:cNvPr>
        <xdr:cNvSpPr/>
      </xdr:nvSpPr>
      <xdr:spPr>
        <a:xfrm>
          <a:off x="4675868" y="5083176"/>
          <a:ext cx="535840" cy="360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166</xdr:row>
      <xdr:rowOff>0</xdr:rowOff>
    </xdr:from>
    <xdr:ext cx="230186" cy="271084"/>
    <xdr:pic>
      <xdr:nvPicPr>
        <xdr:cNvPr id="1668" name="Picture 1667" descr="A black and white symbol&#10;&#10;Description automatically generated">
          <a:extLst>
            <a:ext uri="{FF2B5EF4-FFF2-40B4-BE49-F238E27FC236}">
              <a16:creationId xmlns:a16="http://schemas.microsoft.com/office/drawing/2014/main" id="{DF5AB1D3-79C2-47A4-ADBC-AEDB50E08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126</xdr:row>
      <xdr:rowOff>0</xdr:rowOff>
    </xdr:from>
    <xdr:ext cx="230186" cy="271084"/>
    <xdr:pic>
      <xdr:nvPicPr>
        <xdr:cNvPr id="1669" name="Picture 1668" descr="A black and white symbol&#10;&#10;Description automatically generated">
          <a:extLst>
            <a:ext uri="{FF2B5EF4-FFF2-40B4-BE49-F238E27FC236}">
              <a16:creationId xmlns:a16="http://schemas.microsoft.com/office/drawing/2014/main" id="{66FDAB8C-5C60-4086-9113-A1BF9F245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126</xdr:row>
      <xdr:rowOff>0</xdr:rowOff>
    </xdr:from>
    <xdr:ext cx="230186" cy="271084"/>
    <xdr:pic>
      <xdr:nvPicPr>
        <xdr:cNvPr id="1670" name="Picture 1669" descr="A black and white symbol&#10;&#10;Description automatically generated">
          <a:extLst>
            <a:ext uri="{FF2B5EF4-FFF2-40B4-BE49-F238E27FC236}">
              <a16:creationId xmlns:a16="http://schemas.microsoft.com/office/drawing/2014/main" id="{391CB9CB-C582-4AE9-9402-E3A1D7A53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166</xdr:row>
      <xdr:rowOff>0</xdr:rowOff>
    </xdr:from>
    <xdr:ext cx="230186" cy="271084"/>
    <xdr:pic>
      <xdr:nvPicPr>
        <xdr:cNvPr id="1671" name="Picture 1670" descr="A black and white symbol&#10;&#10;Description automatically generated">
          <a:extLst>
            <a:ext uri="{FF2B5EF4-FFF2-40B4-BE49-F238E27FC236}">
              <a16:creationId xmlns:a16="http://schemas.microsoft.com/office/drawing/2014/main" id="{7A6B29EF-A4F8-4C4E-92B7-CF5E8FBB5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420353</xdr:colOff>
      <xdr:row>26</xdr:row>
      <xdr:rowOff>-1</xdr:rowOff>
    </xdr:from>
    <xdr:to>
      <xdr:col>33</xdr:col>
      <xdr:colOff>17888</xdr:colOff>
      <xdr:row>28</xdr:row>
      <xdr:rowOff>8944</xdr:rowOff>
    </xdr:to>
    <xdr:sp macro="" textlink="">
      <xdr:nvSpPr>
        <xdr:cNvPr id="1672" name="Isosceles Triangle 1671">
          <a:extLst>
            <a:ext uri="{FF2B5EF4-FFF2-40B4-BE49-F238E27FC236}">
              <a16:creationId xmlns:a16="http://schemas.microsoft.com/office/drawing/2014/main" id="{18673E26-BF50-4284-BB31-7D16EDCF0C52}"/>
            </a:ext>
          </a:extLst>
        </xdr:cNvPr>
        <xdr:cNvSpPr/>
      </xdr:nvSpPr>
      <xdr:spPr>
        <a:xfrm>
          <a:off x="10548603" y="5073649"/>
          <a:ext cx="575435" cy="37724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54</xdr:row>
      <xdr:rowOff>0</xdr:rowOff>
    </xdr:from>
    <xdr:ext cx="230186" cy="271084"/>
    <xdr:pic>
      <xdr:nvPicPr>
        <xdr:cNvPr id="1673" name="Picture 1672" descr="A black and white symbol&#10;&#10;Description automatically generated">
          <a:extLst>
            <a:ext uri="{FF2B5EF4-FFF2-40B4-BE49-F238E27FC236}">
              <a16:creationId xmlns:a16="http://schemas.microsoft.com/office/drawing/2014/main" id="{59EFFA23-57CF-4F70-A283-FB1B682C3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174</xdr:row>
      <xdr:rowOff>0</xdr:rowOff>
    </xdr:from>
    <xdr:ext cx="230186" cy="271084"/>
    <xdr:pic>
      <xdr:nvPicPr>
        <xdr:cNvPr id="1674" name="Picture 1673" descr="A black and white symbol&#10;&#10;Description automatically generated">
          <a:extLst>
            <a:ext uri="{FF2B5EF4-FFF2-40B4-BE49-F238E27FC236}">
              <a16:creationId xmlns:a16="http://schemas.microsoft.com/office/drawing/2014/main" id="{DA3C9973-C487-4C9C-B208-D68D63558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118</xdr:row>
      <xdr:rowOff>0</xdr:rowOff>
    </xdr:from>
    <xdr:ext cx="230186" cy="271084"/>
    <xdr:pic>
      <xdr:nvPicPr>
        <xdr:cNvPr id="1675" name="Picture 1674" descr="A black and white symbol&#10;&#10;Description automatically generated">
          <a:extLst>
            <a:ext uri="{FF2B5EF4-FFF2-40B4-BE49-F238E27FC236}">
              <a16:creationId xmlns:a16="http://schemas.microsoft.com/office/drawing/2014/main" id="{65BFF7F5-6A9E-4597-80C4-51F3871B1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166</xdr:row>
      <xdr:rowOff>0</xdr:rowOff>
    </xdr:from>
    <xdr:ext cx="230186" cy="271084"/>
    <xdr:pic>
      <xdr:nvPicPr>
        <xdr:cNvPr id="1676" name="Picture 1675" descr="A black and white symbol&#10;&#10;Description automatically generated">
          <a:extLst>
            <a:ext uri="{FF2B5EF4-FFF2-40B4-BE49-F238E27FC236}">
              <a16:creationId xmlns:a16="http://schemas.microsoft.com/office/drawing/2014/main" id="{7DD90255-BC5E-46E7-9001-E49787E13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42</xdr:row>
      <xdr:rowOff>0</xdr:rowOff>
    </xdr:from>
    <xdr:to>
      <xdr:col>35</xdr:col>
      <xdr:colOff>246916</xdr:colOff>
      <xdr:row>43</xdr:row>
      <xdr:rowOff>183173</xdr:rowOff>
    </xdr:to>
    <xdr:sp macro="" textlink="">
      <xdr:nvSpPr>
        <xdr:cNvPr id="1677" name="Isosceles Triangle 1676">
          <a:extLst>
            <a:ext uri="{FF2B5EF4-FFF2-40B4-BE49-F238E27FC236}">
              <a16:creationId xmlns:a16="http://schemas.microsoft.com/office/drawing/2014/main" id="{DE2F884D-0075-446D-AE38-FEDC8ECC3F39}"/>
            </a:ext>
          </a:extLst>
        </xdr:cNvPr>
        <xdr:cNvSpPr/>
      </xdr:nvSpPr>
      <xdr:spPr>
        <a:xfrm>
          <a:off x="11703050" y="8026400"/>
          <a:ext cx="5263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12</xdr:col>
      <xdr:colOff>0</xdr:colOff>
      <xdr:row>44</xdr:row>
      <xdr:rowOff>0</xdr:rowOff>
    </xdr:to>
    <xdr:sp macro="" textlink="">
      <xdr:nvSpPr>
        <xdr:cNvPr id="1678" name="Isosceles Triangle 1677">
          <a:extLst>
            <a:ext uri="{FF2B5EF4-FFF2-40B4-BE49-F238E27FC236}">
              <a16:creationId xmlns:a16="http://schemas.microsoft.com/office/drawing/2014/main" id="{A9345608-5E33-4812-9CE6-F2B5746F66CB}"/>
            </a:ext>
          </a:extLst>
        </xdr:cNvPr>
        <xdr:cNvSpPr/>
      </xdr:nvSpPr>
      <xdr:spPr>
        <a:xfrm>
          <a:off x="3714750" y="8026400"/>
          <a:ext cx="558800" cy="3683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42</xdr:col>
      <xdr:colOff>0</xdr:colOff>
      <xdr:row>3</xdr:row>
      <xdr:rowOff>183173</xdr:rowOff>
    </xdr:to>
    <xdr:sp macro="" textlink="">
      <xdr:nvSpPr>
        <xdr:cNvPr id="1679" name="Isosceles Triangle 1678">
          <a:extLst>
            <a:ext uri="{FF2B5EF4-FFF2-40B4-BE49-F238E27FC236}">
              <a16:creationId xmlns:a16="http://schemas.microsoft.com/office/drawing/2014/main" id="{0EBAE85C-7E16-4538-9193-1901FFD3AA7A}"/>
            </a:ext>
          </a:extLst>
        </xdr:cNvPr>
        <xdr:cNvSpPr/>
      </xdr:nvSpPr>
      <xdr:spPr>
        <a:xfrm>
          <a:off x="13703300" y="654050"/>
          <a:ext cx="520700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174</xdr:row>
      <xdr:rowOff>0</xdr:rowOff>
    </xdr:from>
    <xdr:ext cx="230186" cy="271084"/>
    <xdr:pic>
      <xdr:nvPicPr>
        <xdr:cNvPr id="1680" name="Picture 1679" descr="A black and white symbol&#10;&#10;Description automatically generated">
          <a:extLst>
            <a:ext uri="{FF2B5EF4-FFF2-40B4-BE49-F238E27FC236}">
              <a16:creationId xmlns:a16="http://schemas.microsoft.com/office/drawing/2014/main" id="{659952C3-DA63-457A-A19C-25E7D6C28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681" name="Picture 1680" descr="A black and white symbol&#10;&#10;Description automatically generated">
          <a:extLst>
            <a:ext uri="{FF2B5EF4-FFF2-40B4-BE49-F238E27FC236}">
              <a16:creationId xmlns:a16="http://schemas.microsoft.com/office/drawing/2014/main" id="{05BF27C6-9A83-46BD-8AAE-401FEC53D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411306</xdr:colOff>
      <xdr:row>18</xdr:row>
      <xdr:rowOff>0</xdr:rowOff>
    </xdr:from>
    <xdr:to>
      <xdr:col>33</xdr:col>
      <xdr:colOff>10823</xdr:colOff>
      <xdr:row>19</xdr:row>
      <xdr:rowOff>183173</xdr:rowOff>
    </xdr:to>
    <xdr:sp macro="" textlink="">
      <xdr:nvSpPr>
        <xdr:cNvPr id="1682" name="Isosceles Triangle 1681">
          <a:extLst>
            <a:ext uri="{FF2B5EF4-FFF2-40B4-BE49-F238E27FC236}">
              <a16:creationId xmlns:a16="http://schemas.microsoft.com/office/drawing/2014/main" id="{192440CE-FDEF-4BB7-AC10-A9DE99E846B4}"/>
            </a:ext>
          </a:extLst>
        </xdr:cNvPr>
        <xdr:cNvSpPr/>
      </xdr:nvSpPr>
      <xdr:spPr>
        <a:xfrm>
          <a:off x="10539556" y="3600450"/>
          <a:ext cx="577417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6</xdr:col>
      <xdr:colOff>1584</xdr:colOff>
      <xdr:row>35</xdr:row>
      <xdr:rowOff>183174</xdr:rowOff>
    </xdr:to>
    <xdr:sp macro="" textlink="">
      <xdr:nvSpPr>
        <xdr:cNvPr id="1683" name="Isosceles Triangle 1682">
          <a:extLst>
            <a:ext uri="{FF2B5EF4-FFF2-40B4-BE49-F238E27FC236}">
              <a16:creationId xmlns:a16="http://schemas.microsoft.com/office/drawing/2014/main" id="{D9ADA413-8D48-4039-B923-20F9B67927A2}"/>
            </a:ext>
          </a:extLst>
        </xdr:cNvPr>
        <xdr:cNvSpPr/>
      </xdr:nvSpPr>
      <xdr:spPr>
        <a:xfrm>
          <a:off x="1631950" y="6553200"/>
          <a:ext cx="560384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6</xdr:col>
      <xdr:colOff>0</xdr:colOff>
      <xdr:row>11</xdr:row>
      <xdr:rowOff>183174</xdr:rowOff>
    </xdr:to>
    <xdr:sp macro="" textlink="">
      <xdr:nvSpPr>
        <xdr:cNvPr id="1684" name="Isosceles Triangle 1683">
          <a:extLst>
            <a:ext uri="{FF2B5EF4-FFF2-40B4-BE49-F238E27FC236}">
              <a16:creationId xmlns:a16="http://schemas.microsoft.com/office/drawing/2014/main" id="{AF28143F-39B3-43B2-AE4C-0510C324F199}"/>
            </a:ext>
          </a:extLst>
        </xdr:cNvPr>
        <xdr:cNvSpPr/>
      </xdr:nvSpPr>
      <xdr:spPr>
        <a:xfrm>
          <a:off x="1631950" y="212725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62</xdr:row>
      <xdr:rowOff>0</xdr:rowOff>
    </xdr:from>
    <xdr:ext cx="230186" cy="271084"/>
    <xdr:pic>
      <xdr:nvPicPr>
        <xdr:cNvPr id="1685" name="Picture 1684" descr="A black and white symbol&#10;&#10;Description automatically generated">
          <a:extLst>
            <a:ext uri="{FF2B5EF4-FFF2-40B4-BE49-F238E27FC236}">
              <a16:creationId xmlns:a16="http://schemas.microsoft.com/office/drawing/2014/main" id="{6F32808D-2AE8-40F0-858D-03C84C096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166</xdr:row>
      <xdr:rowOff>0</xdr:rowOff>
    </xdr:from>
    <xdr:ext cx="230186" cy="271084"/>
    <xdr:pic>
      <xdr:nvPicPr>
        <xdr:cNvPr id="1686" name="Picture 1685" descr="A black and white symbol&#10;&#10;Description automatically generated">
          <a:extLst>
            <a:ext uri="{FF2B5EF4-FFF2-40B4-BE49-F238E27FC236}">
              <a16:creationId xmlns:a16="http://schemas.microsoft.com/office/drawing/2014/main" id="{6904FD9C-C720-4A6A-AC4C-374DCAC3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18</xdr:row>
      <xdr:rowOff>0</xdr:rowOff>
    </xdr:from>
    <xdr:to>
      <xdr:col>8</xdr:col>
      <xdr:colOff>256442</xdr:colOff>
      <xdr:row>19</xdr:row>
      <xdr:rowOff>183173</xdr:rowOff>
    </xdr:to>
    <xdr:sp macro="" textlink="">
      <xdr:nvSpPr>
        <xdr:cNvPr id="1687" name="Isosceles Triangle 1686">
          <a:extLst>
            <a:ext uri="{FF2B5EF4-FFF2-40B4-BE49-F238E27FC236}">
              <a16:creationId xmlns:a16="http://schemas.microsoft.com/office/drawing/2014/main" id="{D0ED108F-04E0-46D4-9040-2A451BE2945F}"/>
            </a:ext>
          </a:extLst>
        </xdr:cNvPr>
        <xdr:cNvSpPr/>
      </xdr:nvSpPr>
      <xdr:spPr>
        <a:xfrm>
          <a:off x="267970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12</xdr:col>
      <xdr:colOff>11616</xdr:colOff>
      <xdr:row>11</xdr:row>
      <xdr:rowOff>183174</xdr:rowOff>
    </xdr:to>
    <xdr:sp macro="" textlink="">
      <xdr:nvSpPr>
        <xdr:cNvPr id="1688" name="Isosceles Triangle 1687">
          <a:extLst>
            <a:ext uri="{FF2B5EF4-FFF2-40B4-BE49-F238E27FC236}">
              <a16:creationId xmlns:a16="http://schemas.microsoft.com/office/drawing/2014/main" id="{5F2BFEE7-7CCE-45F1-808A-F741C98EE428}"/>
            </a:ext>
          </a:extLst>
        </xdr:cNvPr>
        <xdr:cNvSpPr/>
      </xdr:nvSpPr>
      <xdr:spPr>
        <a:xfrm>
          <a:off x="3714750" y="2127250"/>
          <a:ext cx="570416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194387</xdr:rowOff>
    </xdr:from>
    <xdr:to>
      <xdr:col>9</xdr:col>
      <xdr:colOff>0</xdr:colOff>
      <xdr:row>43</xdr:row>
      <xdr:rowOff>194386</xdr:rowOff>
    </xdr:to>
    <xdr:sp macro="" textlink="">
      <xdr:nvSpPr>
        <xdr:cNvPr id="1689" name="Isosceles Triangle 1688">
          <a:extLst>
            <a:ext uri="{FF2B5EF4-FFF2-40B4-BE49-F238E27FC236}">
              <a16:creationId xmlns:a16="http://schemas.microsoft.com/office/drawing/2014/main" id="{E21F5D56-6AA0-4ABD-A6AC-FB9B81AEAE3C}"/>
            </a:ext>
          </a:extLst>
        </xdr:cNvPr>
        <xdr:cNvSpPr/>
      </xdr:nvSpPr>
      <xdr:spPr>
        <a:xfrm>
          <a:off x="2679700" y="8023937"/>
          <a:ext cx="558800" cy="3682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42</xdr:row>
      <xdr:rowOff>0</xdr:rowOff>
    </xdr:from>
    <xdr:to>
      <xdr:col>27</xdr:col>
      <xdr:colOff>10822</xdr:colOff>
      <xdr:row>43</xdr:row>
      <xdr:rowOff>183173</xdr:rowOff>
    </xdr:to>
    <xdr:sp macro="" textlink="">
      <xdr:nvSpPr>
        <xdr:cNvPr id="1690" name="Isosceles Triangle 1689">
          <a:extLst>
            <a:ext uri="{FF2B5EF4-FFF2-40B4-BE49-F238E27FC236}">
              <a16:creationId xmlns:a16="http://schemas.microsoft.com/office/drawing/2014/main" id="{9BBF7D14-70F9-4B3D-8DE1-9454D2EDDCC7}"/>
            </a:ext>
          </a:extLst>
        </xdr:cNvPr>
        <xdr:cNvSpPr/>
      </xdr:nvSpPr>
      <xdr:spPr>
        <a:xfrm>
          <a:off x="8559800" y="8026400"/>
          <a:ext cx="56962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150</xdr:row>
      <xdr:rowOff>0</xdr:rowOff>
    </xdr:from>
    <xdr:ext cx="230186" cy="271084"/>
    <xdr:pic>
      <xdr:nvPicPr>
        <xdr:cNvPr id="1691" name="Picture 1690" descr="A black and white symbol&#10;&#10;Description automatically generated">
          <a:extLst>
            <a:ext uri="{FF2B5EF4-FFF2-40B4-BE49-F238E27FC236}">
              <a16:creationId xmlns:a16="http://schemas.microsoft.com/office/drawing/2014/main" id="{70DAF049-2F87-4EF6-A932-351B63DD4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174</xdr:row>
      <xdr:rowOff>0</xdr:rowOff>
    </xdr:from>
    <xdr:ext cx="230186" cy="271084"/>
    <xdr:pic>
      <xdr:nvPicPr>
        <xdr:cNvPr id="1692" name="Picture 1691" descr="A black and white symbol&#10;&#10;Description automatically generated">
          <a:extLst>
            <a:ext uri="{FF2B5EF4-FFF2-40B4-BE49-F238E27FC236}">
              <a16:creationId xmlns:a16="http://schemas.microsoft.com/office/drawing/2014/main" id="{A892A034-0EE8-44EB-BE3F-1A5721CCC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230186" cy="271084"/>
    <xdr:pic>
      <xdr:nvPicPr>
        <xdr:cNvPr id="1693" name="Picture 1692" descr="A black and white symbol&#10;&#10;Description automatically generated">
          <a:extLst>
            <a:ext uri="{FF2B5EF4-FFF2-40B4-BE49-F238E27FC236}">
              <a16:creationId xmlns:a16="http://schemas.microsoft.com/office/drawing/2014/main" id="{9B41A36F-7001-48DE-85EE-8B548138F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58</xdr:row>
      <xdr:rowOff>0</xdr:rowOff>
    </xdr:from>
    <xdr:to>
      <xdr:col>14</xdr:col>
      <xdr:colOff>256441</xdr:colOff>
      <xdr:row>59</xdr:row>
      <xdr:rowOff>183175</xdr:rowOff>
    </xdr:to>
    <xdr:sp macro="" textlink="">
      <xdr:nvSpPr>
        <xdr:cNvPr id="1694" name="Isosceles Triangle 1693">
          <a:extLst>
            <a:ext uri="{FF2B5EF4-FFF2-40B4-BE49-F238E27FC236}">
              <a16:creationId xmlns:a16="http://schemas.microsoft.com/office/drawing/2014/main" id="{4EFB6B16-3811-4C09-B3B2-0D6E0A4B5B86}"/>
            </a:ext>
          </a:extLst>
        </xdr:cNvPr>
        <xdr:cNvSpPr/>
      </xdr:nvSpPr>
      <xdr:spPr>
        <a:xfrm>
          <a:off x="4660900" y="10979150"/>
          <a:ext cx="535841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11615</xdr:colOff>
      <xdr:row>11</xdr:row>
      <xdr:rowOff>183174</xdr:rowOff>
    </xdr:to>
    <xdr:sp macro="" textlink="">
      <xdr:nvSpPr>
        <xdr:cNvPr id="1695" name="Isosceles Triangle 1694">
          <a:extLst>
            <a:ext uri="{FF2B5EF4-FFF2-40B4-BE49-F238E27FC236}">
              <a16:creationId xmlns:a16="http://schemas.microsoft.com/office/drawing/2014/main" id="{E597F931-80F9-4429-83E3-4E282A52F290}"/>
            </a:ext>
          </a:extLst>
        </xdr:cNvPr>
        <xdr:cNvSpPr/>
      </xdr:nvSpPr>
      <xdr:spPr>
        <a:xfrm>
          <a:off x="5568950" y="2127250"/>
          <a:ext cx="570415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10823</xdr:colOff>
      <xdr:row>43</xdr:row>
      <xdr:rowOff>183173</xdr:rowOff>
    </xdr:to>
    <xdr:sp macro="" textlink="">
      <xdr:nvSpPr>
        <xdr:cNvPr id="1696" name="Isosceles Triangle 1695">
          <a:extLst>
            <a:ext uri="{FF2B5EF4-FFF2-40B4-BE49-F238E27FC236}">
              <a16:creationId xmlns:a16="http://schemas.microsoft.com/office/drawing/2014/main" id="{36DE8CE7-AE9A-4547-A3AB-7893C43F1887}"/>
            </a:ext>
          </a:extLst>
        </xdr:cNvPr>
        <xdr:cNvSpPr/>
      </xdr:nvSpPr>
      <xdr:spPr>
        <a:xfrm>
          <a:off x="7454900" y="8026400"/>
          <a:ext cx="56962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150</xdr:row>
      <xdr:rowOff>0</xdr:rowOff>
    </xdr:from>
    <xdr:ext cx="230186" cy="271084"/>
    <xdr:pic>
      <xdr:nvPicPr>
        <xdr:cNvPr id="1697" name="Picture 1696" descr="A black and white symbol&#10;&#10;Description automatically generated">
          <a:extLst>
            <a:ext uri="{FF2B5EF4-FFF2-40B4-BE49-F238E27FC236}">
              <a16:creationId xmlns:a16="http://schemas.microsoft.com/office/drawing/2014/main" id="{B7AF9518-77CD-45CB-8AA9-C1D9F5726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41</xdr:row>
      <xdr:rowOff>194387</xdr:rowOff>
    </xdr:from>
    <xdr:to>
      <xdr:col>3</xdr:col>
      <xdr:colOff>0</xdr:colOff>
      <xdr:row>43</xdr:row>
      <xdr:rowOff>194386</xdr:rowOff>
    </xdr:to>
    <xdr:sp macro="" textlink="">
      <xdr:nvSpPr>
        <xdr:cNvPr id="1698" name="Isosceles Triangle 1697">
          <a:extLst>
            <a:ext uri="{FF2B5EF4-FFF2-40B4-BE49-F238E27FC236}">
              <a16:creationId xmlns:a16="http://schemas.microsoft.com/office/drawing/2014/main" id="{677FB887-5350-4BF2-ADC2-4FC557240AB2}"/>
            </a:ext>
          </a:extLst>
        </xdr:cNvPr>
        <xdr:cNvSpPr/>
      </xdr:nvSpPr>
      <xdr:spPr>
        <a:xfrm>
          <a:off x="641350" y="8023937"/>
          <a:ext cx="558800" cy="3682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11616</xdr:colOff>
      <xdr:row>19</xdr:row>
      <xdr:rowOff>183173</xdr:rowOff>
    </xdr:to>
    <xdr:sp macro="" textlink="">
      <xdr:nvSpPr>
        <xdr:cNvPr id="1699" name="Isosceles Triangle 1698">
          <a:extLst>
            <a:ext uri="{FF2B5EF4-FFF2-40B4-BE49-F238E27FC236}">
              <a16:creationId xmlns:a16="http://schemas.microsoft.com/office/drawing/2014/main" id="{0DD6B02E-D6A2-4946-8A84-7FDA8EDDCD35}"/>
            </a:ext>
          </a:extLst>
        </xdr:cNvPr>
        <xdr:cNvSpPr/>
      </xdr:nvSpPr>
      <xdr:spPr>
        <a:xfrm>
          <a:off x="1631950" y="3600450"/>
          <a:ext cx="5704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0</xdr:colOff>
      <xdr:row>11</xdr:row>
      <xdr:rowOff>183174</xdr:rowOff>
    </xdr:to>
    <xdr:sp macro="" textlink="">
      <xdr:nvSpPr>
        <xdr:cNvPr id="1700" name="Isosceles Triangle 1699">
          <a:extLst>
            <a:ext uri="{FF2B5EF4-FFF2-40B4-BE49-F238E27FC236}">
              <a16:creationId xmlns:a16="http://schemas.microsoft.com/office/drawing/2014/main" id="{8D9B47B7-D5A1-4BE4-A2D8-0F58F348EA51}"/>
            </a:ext>
          </a:extLst>
        </xdr:cNvPr>
        <xdr:cNvSpPr/>
      </xdr:nvSpPr>
      <xdr:spPr>
        <a:xfrm>
          <a:off x="13703300" y="2127250"/>
          <a:ext cx="5207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162</xdr:row>
      <xdr:rowOff>0</xdr:rowOff>
    </xdr:from>
    <xdr:to>
      <xdr:col>33</xdr:col>
      <xdr:colOff>11616</xdr:colOff>
      <xdr:row>163</xdr:row>
      <xdr:rowOff>183175</xdr:rowOff>
    </xdr:to>
    <xdr:sp macro="" textlink="">
      <xdr:nvSpPr>
        <xdr:cNvPr id="1701" name="Isosceles Triangle 1700">
          <a:extLst>
            <a:ext uri="{FF2B5EF4-FFF2-40B4-BE49-F238E27FC236}">
              <a16:creationId xmlns:a16="http://schemas.microsoft.com/office/drawing/2014/main" id="{A83C0222-6A15-4ABE-B7EC-E4AF3EEF792C}"/>
            </a:ext>
          </a:extLst>
        </xdr:cNvPr>
        <xdr:cNvSpPr/>
      </xdr:nvSpPr>
      <xdr:spPr>
        <a:xfrm>
          <a:off x="10560050" y="30137100"/>
          <a:ext cx="557716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150</xdr:row>
      <xdr:rowOff>0</xdr:rowOff>
    </xdr:from>
    <xdr:ext cx="230186" cy="271084"/>
    <xdr:pic>
      <xdr:nvPicPr>
        <xdr:cNvPr id="1702" name="Picture 1701" descr="A black and white symbol&#10;&#10;Description automatically generated">
          <a:extLst>
            <a:ext uri="{FF2B5EF4-FFF2-40B4-BE49-F238E27FC236}">
              <a16:creationId xmlns:a16="http://schemas.microsoft.com/office/drawing/2014/main" id="{1696ACB7-CBD0-49E2-80F4-7AD615D73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42</xdr:row>
      <xdr:rowOff>0</xdr:rowOff>
    </xdr:from>
    <xdr:to>
      <xdr:col>21</xdr:col>
      <xdr:colOff>0</xdr:colOff>
      <xdr:row>44</xdr:row>
      <xdr:rowOff>0</xdr:rowOff>
    </xdr:to>
    <xdr:sp macro="" textlink="">
      <xdr:nvSpPr>
        <xdr:cNvPr id="1703" name="Isosceles Triangle 1702">
          <a:extLst>
            <a:ext uri="{FF2B5EF4-FFF2-40B4-BE49-F238E27FC236}">
              <a16:creationId xmlns:a16="http://schemas.microsoft.com/office/drawing/2014/main" id="{E0045D30-C7CC-4788-BB90-BFF4F793B9F1}"/>
            </a:ext>
          </a:extLst>
        </xdr:cNvPr>
        <xdr:cNvSpPr/>
      </xdr:nvSpPr>
      <xdr:spPr>
        <a:xfrm>
          <a:off x="6534150" y="8026400"/>
          <a:ext cx="558800" cy="3683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150</xdr:row>
      <xdr:rowOff>0</xdr:rowOff>
    </xdr:from>
    <xdr:ext cx="230186" cy="271084"/>
    <xdr:pic>
      <xdr:nvPicPr>
        <xdr:cNvPr id="1704" name="Picture 1703" descr="A black and white symbol&#10;&#10;Description automatically generated">
          <a:extLst>
            <a:ext uri="{FF2B5EF4-FFF2-40B4-BE49-F238E27FC236}">
              <a16:creationId xmlns:a16="http://schemas.microsoft.com/office/drawing/2014/main" id="{E26A8834-7FC4-41B3-A7EA-02E6B7E14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10</xdr:row>
      <xdr:rowOff>0</xdr:rowOff>
    </xdr:from>
    <xdr:to>
      <xdr:col>39</xdr:col>
      <xdr:colOff>11616</xdr:colOff>
      <xdr:row>12</xdr:row>
      <xdr:rowOff>1745</xdr:rowOff>
    </xdr:to>
    <xdr:sp macro="" textlink="">
      <xdr:nvSpPr>
        <xdr:cNvPr id="1705" name="Isosceles Triangle 1704">
          <a:extLst>
            <a:ext uri="{FF2B5EF4-FFF2-40B4-BE49-F238E27FC236}">
              <a16:creationId xmlns:a16="http://schemas.microsoft.com/office/drawing/2014/main" id="{193EAF59-8A63-41ED-B3E9-7BE2E043DCB7}"/>
            </a:ext>
          </a:extLst>
        </xdr:cNvPr>
        <xdr:cNvSpPr/>
      </xdr:nvSpPr>
      <xdr:spPr>
        <a:xfrm>
          <a:off x="12655550" y="2127250"/>
          <a:ext cx="538666" cy="37004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256443</xdr:colOff>
      <xdr:row>19</xdr:row>
      <xdr:rowOff>183173</xdr:rowOff>
    </xdr:to>
    <xdr:sp macro="" textlink="">
      <xdr:nvSpPr>
        <xdr:cNvPr id="1706" name="Isosceles Triangle 1705">
          <a:extLst>
            <a:ext uri="{FF2B5EF4-FFF2-40B4-BE49-F238E27FC236}">
              <a16:creationId xmlns:a16="http://schemas.microsoft.com/office/drawing/2014/main" id="{E75E313D-93BB-4BC2-8BBA-03F87AFE2200}"/>
            </a:ext>
          </a:extLst>
        </xdr:cNvPr>
        <xdr:cNvSpPr/>
      </xdr:nvSpPr>
      <xdr:spPr>
        <a:xfrm>
          <a:off x="3714750" y="360045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9</xdr:col>
      <xdr:colOff>0</xdr:colOff>
      <xdr:row>83</xdr:row>
      <xdr:rowOff>183174</xdr:rowOff>
    </xdr:to>
    <xdr:sp macro="" textlink="">
      <xdr:nvSpPr>
        <xdr:cNvPr id="1707" name="Isosceles Triangle 1706">
          <a:extLst>
            <a:ext uri="{FF2B5EF4-FFF2-40B4-BE49-F238E27FC236}">
              <a16:creationId xmlns:a16="http://schemas.microsoft.com/office/drawing/2014/main" id="{E4E2E6E1-3657-4863-B2D7-F039F60E289E}"/>
            </a:ext>
          </a:extLst>
        </xdr:cNvPr>
        <xdr:cNvSpPr/>
      </xdr:nvSpPr>
      <xdr:spPr>
        <a:xfrm>
          <a:off x="2679700" y="1540510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42</xdr:col>
      <xdr:colOff>0</xdr:colOff>
      <xdr:row>70</xdr:row>
      <xdr:rowOff>0</xdr:rowOff>
    </xdr:from>
    <xdr:ext cx="230186" cy="271084"/>
    <xdr:pic>
      <xdr:nvPicPr>
        <xdr:cNvPr id="1708" name="Picture 1707" descr="A black and white symbol&#10;&#10;Description automatically generated">
          <a:extLst>
            <a:ext uri="{FF2B5EF4-FFF2-40B4-BE49-F238E27FC236}">
              <a16:creationId xmlns:a16="http://schemas.microsoft.com/office/drawing/2014/main" id="{47E524ED-C938-46A6-B5BE-A50389C99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230186" cy="271084"/>
    <xdr:pic>
      <xdr:nvPicPr>
        <xdr:cNvPr id="1709" name="Picture 1708" descr="A black and white symbol&#10;&#10;Description automatically generated">
          <a:extLst>
            <a:ext uri="{FF2B5EF4-FFF2-40B4-BE49-F238E27FC236}">
              <a16:creationId xmlns:a16="http://schemas.microsoft.com/office/drawing/2014/main" id="{E201C06E-615B-4D04-BACA-2227F3FDB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170</xdr:row>
      <xdr:rowOff>0</xdr:rowOff>
    </xdr:from>
    <xdr:to>
      <xdr:col>6</xdr:col>
      <xdr:colOff>0</xdr:colOff>
      <xdr:row>171</xdr:row>
      <xdr:rowOff>183174</xdr:rowOff>
    </xdr:to>
    <xdr:sp macro="" textlink="">
      <xdr:nvSpPr>
        <xdr:cNvPr id="1710" name="Isosceles Triangle 1709">
          <a:extLst>
            <a:ext uri="{FF2B5EF4-FFF2-40B4-BE49-F238E27FC236}">
              <a16:creationId xmlns:a16="http://schemas.microsoft.com/office/drawing/2014/main" id="{339040AE-D6C8-43C5-9CD4-0356D8FBC882}"/>
            </a:ext>
          </a:extLst>
        </xdr:cNvPr>
        <xdr:cNvSpPr/>
      </xdr:nvSpPr>
      <xdr:spPr>
        <a:xfrm>
          <a:off x="1631950" y="3161030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11616</xdr:colOff>
      <xdr:row>43</xdr:row>
      <xdr:rowOff>183173</xdr:rowOff>
    </xdr:to>
    <xdr:sp macro="" textlink="">
      <xdr:nvSpPr>
        <xdr:cNvPr id="1711" name="Isosceles Triangle 1710">
          <a:extLst>
            <a:ext uri="{FF2B5EF4-FFF2-40B4-BE49-F238E27FC236}">
              <a16:creationId xmlns:a16="http://schemas.microsoft.com/office/drawing/2014/main" id="{9899FCF7-9D91-4FF4-8C6B-F89413E10DE8}"/>
            </a:ext>
          </a:extLst>
        </xdr:cNvPr>
        <xdr:cNvSpPr/>
      </xdr:nvSpPr>
      <xdr:spPr>
        <a:xfrm>
          <a:off x="9594850" y="8026400"/>
          <a:ext cx="5450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18</xdr:row>
      <xdr:rowOff>0</xdr:rowOff>
    </xdr:from>
    <xdr:to>
      <xdr:col>39</xdr:col>
      <xdr:colOff>12509</xdr:colOff>
      <xdr:row>19</xdr:row>
      <xdr:rowOff>183173</xdr:rowOff>
    </xdr:to>
    <xdr:sp macro="" textlink="">
      <xdr:nvSpPr>
        <xdr:cNvPr id="1712" name="Isosceles Triangle 1711">
          <a:extLst>
            <a:ext uri="{FF2B5EF4-FFF2-40B4-BE49-F238E27FC236}">
              <a16:creationId xmlns:a16="http://schemas.microsoft.com/office/drawing/2014/main" id="{D402C21A-4D29-4A2B-8504-F392B033BF7F}"/>
            </a:ext>
          </a:extLst>
        </xdr:cNvPr>
        <xdr:cNvSpPr/>
      </xdr:nvSpPr>
      <xdr:spPr>
        <a:xfrm>
          <a:off x="12655550" y="3600450"/>
          <a:ext cx="539559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0</xdr:colOff>
      <xdr:row>19</xdr:row>
      <xdr:rowOff>183173</xdr:rowOff>
    </xdr:to>
    <xdr:sp macro="" textlink="">
      <xdr:nvSpPr>
        <xdr:cNvPr id="1713" name="Isosceles Triangle 1712">
          <a:extLst>
            <a:ext uri="{FF2B5EF4-FFF2-40B4-BE49-F238E27FC236}">
              <a16:creationId xmlns:a16="http://schemas.microsoft.com/office/drawing/2014/main" id="{1B4996A6-9F10-4F85-B90F-C5337E7C7820}"/>
            </a:ext>
          </a:extLst>
        </xdr:cNvPr>
        <xdr:cNvSpPr/>
      </xdr:nvSpPr>
      <xdr:spPr>
        <a:xfrm>
          <a:off x="4660900" y="3600450"/>
          <a:ext cx="558800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183174</xdr:rowOff>
    </xdr:to>
    <xdr:sp macro="" textlink="">
      <xdr:nvSpPr>
        <xdr:cNvPr id="1714" name="Isosceles Triangle 1713">
          <a:extLst>
            <a:ext uri="{FF2B5EF4-FFF2-40B4-BE49-F238E27FC236}">
              <a16:creationId xmlns:a16="http://schemas.microsoft.com/office/drawing/2014/main" id="{F5810D86-7682-49E3-9BD0-07C8192C4E7F}"/>
            </a:ext>
          </a:extLst>
        </xdr:cNvPr>
        <xdr:cNvSpPr/>
      </xdr:nvSpPr>
      <xdr:spPr>
        <a:xfrm>
          <a:off x="3714750" y="1540510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1715" name="Picture 1714" descr="A black and white symbol&#10;&#10;Description automatically generated">
          <a:extLst>
            <a:ext uri="{FF2B5EF4-FFF2-40B4-BE49-F238E27FC236}">
              <a16:creationId xmlns:a16="http://schemas.microsoft.com/office/drawing/2014/main" id="{EF707F7D-3E9C-4F40-93F4-C6BF47C64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</xdr:colOff>
      <xdr:row>10</xdr:row>
      <xdr:rowOff>0</xdr:rowOff>
    </xdr:from>
    <xdr:to>
      <xdr:col>30</xdr:col>
      <xdr:colOff>1</xdr:colOff>
      <xdr:row>11</xdr:row>
      <xdr:rowOff>183174</xdr:rowOff>
    </xdr:to>
    <xdr:sp macro="" textlink="">
      <xdr:nvSpPr>
        <xdr:cNvPr id="1716" name="Isosceles Triangle 1715">
          <a:extLst>
            <a:ext uri="{FF2B5EF4-FFF2-40B4-BE49-F238E27FC236}">
              <a16:creationId xmlns:a16="http://schemas.microsoft.com/office/drawing/2014/main" id="{68C2874F-B8EC-46A6-BA64-80CF8EB59E16}"/>
            </a:ext>
          </a:extLst>
        </xdr:cNvPr>
        <xdr:cNvSpPr/>
      </xdr:nvSpPr>
      <xdr:spPr>
        <a:xfrm>
          <a:off x="9594851" y="2127250"/>
          <a:ext cx="5334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</xdr:colOff>
      <xdr:row>50</xdr:row>
      <xdr:rowOff>0</xdr:rowOff>
    </xdr:from>
    <xdr:to>
      <xdr:col>30</xdr:col>
      <xdr:colOff>1</xdr:colOff>
      <xdr:row>51</xdr:row>
      <xdr:rowOff>183174</xdr:rowOff>
    </xdr:to>
    <xdr:sp macro="" textlink="">
      <xdr:nvSpPr>
        <xdr:cNvPr id="1717" name="Isosceles Triangle 1716">
          <a:extLst>
            <a:ext uri="{FF2B5EF4-FFF2-40B4-BE49-F238E27FC236}">
              <a16:creationId xmlns:a16="http://schemas.microsoft.com/office/drawing/2014/main" id="{77D2A549-3FBE-43DD-AF8C-7F0E345B7600}"/>
            </a:ext>
          </a:extLst>
        </xdr:cNvPr>
        <xdr:cNvSpPr/>
      </xdr:nvSpPr>
      <xdr:spPr>
        <a:xfrm>
          <a:off x="9594851" y="9499600"/>
          <a:ext cx="5334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82</xdr:row>
      <xdr:rowOff>0</xdr:rowOff>
    </xdr:from>
    <xdr:to>
      <xdr:col>18</xdr:col>
      <xdr:colOff>-1</xdr:colOff>
      <xdr:row>83</xdr:row>
      <xdr:rowOff>183174</xdr:rowOff>
    </xdr:to>
    <xdr:sp macro="" textlink="">
      <xdr:nvSpPr>
        <xdr:cNvPr id="1718" name="Isosceles Triangle 1717">
          <a:extLst>
            <a:ext uri="{FF2B5EF4-FFF2-40B4-BE49-F238E27FC236}">
              <a16:creationId xmlns:a16="http://schemas.microsoft.com/office/drawing/2014/main" id="{1A243826-5120-454C-9FB8-3445083968E1}"/>
            </a:ext>
          </a:extLst>
        </xdr:cNvPr>
        <xdr:cNvSpPr/>
      </xdr:nvSpPr>
      <xdr:spPr>
        <a:xfrm>
          <a:off x="5568950" y="15405100"/>
          <a:ext cx="558799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134</xdr:row>
      <xdr:rowOff>0</xdr:rowOff>
    </xdr:from>
    <xdr:ext cx="230186" cy="271084"/>
    <xdr:pic>
      <xdr:nvPicPr>
        <xdr:cNvPr id="1719" name="Picture 1718" descr="A black and white symbol&#10;&#10;Description automatically generated">
          <a:extLst>
            <a:ext uri="{FF2B5EF4-FFF2-40B4-BE49-F238E27FC236}">
              <a16:creationId xmlns:a16="http://schemas.microsoft.com/office/drawing/2014/main" id="{5E483FB3-4B61-418C-BF31-12BD2CCA0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162</xdr:row>
      <xdr:rowOff>0</xdr:rowOff>
    </xdr:from>
    <xdr:to>
      <xdr:col>17</xdr:col>
      <xdr:colOff>255548</xdr:colOff>
      <xdr:row>163</xdr:row>
      <xdr:rowOff>183175</xdr:rowOff>
    </xdr:to>
    <xdr:sp macro="" textlink="">
      <xdr:nvSpPr>
        <xdr:cNvPr id="1720" name="Isosceles Triangle 1719">
          <a:extLst>
            <a:ext uri="{FF2B5EF4-FFF2-40B4-BE49-F238E27FC236}">
              <a16:creationId xmlns:a16="http://schemas.microsoft.com/office/drawing/2014/main" id="{0D909D2F-74A5-4B38-BB13-E3F282C1FDDF}"/>
            </a:ext>
          </a:extLst>
        </xdr:cNvPr>
        <xdr:cNvSpPr/>
      </xdr:nvSpPr>
      <xdr:spPr>
        <a:xfrm>
          <a:off x="5568950" y="30137100"/>
          <a:ext cx="534948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3</xdr:col>
      <xdr:colOff>11616</xdr:colOff>
      <xdr:row>19</xdr:row>
      <xdr:rowOff>183173</xdr:rowOff>
    </xdr:to>
    <xdr:sp macro="" textlink="">
      <xdr:nvSpPr>
        <xdr:cNvPr id="1721" name="Isosceles Triangle 1720">
          <a:extLst>
            <a:ext uri="{FF2B5EF4-FFF2-40B4-BE49-F238E27FC236}">
              <a16:creationId xmlns:a16="http://schemas.microsoft.com/office/drawing/2014/main" id="{FD0A7180-394B-43E6-9CC4-341ACB31D9CC}"/>
            </a:ext>
          </a:extLst>
        </xdr:cNvPr>
        <xdr:cNvSpPr/>
      </xdr:nvSpPr>
      <xdr:spPr>
        <a:xfrm>
          <a:off x="641350" y="3600450"/>
          <a:ext cx="5704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30</xdr:col>
      <xdr:colOff>0</xdr:colOff>
      <xdr:row>94</xdr:row>
      <xdr:rowOff>0</xdr:rowOff>
    </xdr:from>
    <xdr:ext cx="230186" cy="271084"/>
    <xdr:pic>
      <xdr:nvPicPr>
        <xdr:cNvPr id="1722" name="Picture 1721" descr="A black and white symbol&#10;&#10;Description automatically generated">
          <a:extLst>
            <a:ext uri="{FF2B5EF4-FFF2-40B4-BE49-F238E27FC236}">
              <a16:creationId xmlns:a16="http://schemas.microsoft.com/office/drawing/2014/main" id="{306D4872-7DE8-4955-A2AB-C07380103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26</xdr:row>
      <xdr:rowOff>0</xdr:rowOff>
    </xdr:from>
    <xdr:to>
      <xdr:col>17</xdr:col>
      <xdr:colOff>256440</xdr:colOff>
      <xdr:row>27</xdr:row>
      <xdr:rowOff>183175</xdr:rowOff>
    </xdr:to>
    <xdr:sp macro="" textlink="">
      <xdr:nvSpPr>
        <xdr:cNvPr id="1723" name="Isosceles Triangle 1722">
          <a:extLst>
            <a:ext uri="{FF2B5EF4-FFF2-40B4-BE49-F238E27FC236}">
              <a16:creationId xmlns:a16="http://schemas.microsoft.com/office/drawing/2014/main" id="{7C3F3384-ECB7-486C-87F6-E88EA808734E}"/>
            </a:ext>
          </a:extLst>
        </xdr:cNvPr>
        <xdr:cNvSpPr/>
      </xdr:nvSpPr>
      <xdr:spPr>
        <a:xfrm>
          <a:off x="5568950" y="5073650"/>
          <a:ext cx="535840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256443</xdr:colOff>
      <xdr:row>51</xdr:row>
      <xdr:rowOff>183174</xdr:rowOff>
    </xdr:to>
    <xdr:sp macro="" textlink="">
      <xdr:nvSpPr>
        <xdr:cNvPr id="1724" name="Isosceles Triangle 1723">
          <a:extLst>
            <a:ext uri="{FF2B5EF4-FFF2-40B4-BE49-F238E27FC236}">
              <a16:creationId xmlns:a16="http://schemas.microsoft.com/office/drawing/2014/main" id="{30FB535B-3082-4B83-B9E0-8F29B9D28353}"/>
            </a:ext>
          </a:extLst>
        </xdr:cNvPr>
        <xdr:cNvSpPr/>
      </xdr:nvSpPr>
      <xdr:spPr>
        <a:xfrm>
          <a:off x="5568950" y="9499600"/>
          <a:ext cx="535843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14</xdr:row>
      <xdr:rowOff>1</xdr:rowOff>
    </xdr:from>
    <xdr:ext cx="230186" cy="271084"/>
    <xdr:pic>
      <xdr:nvPicPr>
        <xdr:cNvPr id="1725" name="Picture 1724" descr="A black and white symbol&#10;&#10;Description automatically generated">
          <a:extLst>
            <a:ext uri="{FF2B5EF4-FFF2-40B4-BE49-F238E27FC236}">
              <a16:creationId xmlns:a16="http://schemas.microsoft.com/office/drawing/2014/main" id="{BB378FA6-B262-40A5-9DF2-81FD07206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8638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53</xdr:row>
      <xdr:rowOff>174238</xdr:rowOff>
    </xdr:from>
    <xdr:ext cx="230186" cy="271084"/>
    <xdr:pic>
      <xdr:nvPicPr>
        <xdr:cNvPr id="1726" name="Picture 1725" descr="A black and white symbol&#10;&#10;Description automatically generated">
          <a:extLst>
            <a:ext uri="{FF2B5EF4-FFF2-40B4-BE49-F238E27FC236}">
              <a16:creationId xmlns:a16="http://schemas.microsoft.com/office/drawing/2014/main" id="{AE100E5F-1BC3-40D8-99BA-5D741C61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023263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150</xdr:row>
      <xdr:rowOff>0</xdr:rowOff>
    </xdr:from>
    <xdr:ext cx="230186" cy="271084"/>
    <xdr:pic>
      <xdr:nvPicPr>
        <xdr:cNvPr id="1727" name="Picture 1726" descr="A black and white symbol&#10;&#10;Description automatically generated">
          <a:extLst>
            <a:ext uri="{FF2B5EF4-FFF2-40B4-BE49-F238E27FC236}">
              <a16:creationId xmlns:a16="http://schemas.microsoft.com/office/drawing/2014/main" id="{F280D044-40F8-49AE-8A85-52641A743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23232</xdr:colOff>
      <xdr:row>102</xdr:row>
      <xdr:rowOff>1</xdr:rowOff>
    </xdr:from>
    <xdr:ext cx="230186" cy="271084"/>
    <xdr:pic>
      <xdr:nvPicPr>
        <xdr:cNvPr id="1728" name="Picture 1727" descr="A black and white symbol&#10;&#10;Description automatically generated">
          <a:extLst>
            <a:ext uri="{FF2B5EF4-FFF2-40B4-BE49-F238E27FC236}">
              <a16:creationId xmlns:a16="http://schemas.microsoft.com/office/drawing/2014/main" id="{D6192236-7585-4D40-AEE7-B01E6A795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932" y="1908810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133</xdr:row>
      <xdr:rowOff>174238</xdr:rowOff>
    </xdr:from>
    <xdr:ext cx="230186" cy="271084"/>
    <xdr:pic>
      <xdr:nvPicPr>
        <xdr:cNvPr id="1729" name="Picture 1728" descr="A black and white symbol&#10;&#10;Description automatically generated">
          <a:extLst>
            <a:ext uri="{FF2B5EF4-FFF2-40B4-BE49-F238E27FC236}">
              <a16:creationId xmlns:a16="http://schemas.microsoft.com/office/drawing/2014/main" id="{06F4C7DF-6C97-4E7B-BAD9-5F0DD7F08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49709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255549</xdr:colOff>
      <xdr:row>78</xdr:row>
      <xdr:rowOff>0</xdr:rowOff>
    </xdr:from>
    <xdr:ext cx="230186" cy="271084"/>
    <xdr:pic>
      <xdr:nvPicPr>
        <xdr:cNvPr id="1730" name="Picture 1729" descr="A black and white symbol&#10;&#10;Description automatically generated">
          <a:extLst>
            <a:ext uri="{FF2B5EF4-FFF2-40B4-BE49-F238E27FC236}">
              <a16:creationId xmlns:a16="http://schemas.microsoft.com/office/drawing/2014/main" id="{974EFEAC-390D-4A76-9FC7-7FCF46CF2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9099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30</xdr:row>
      <xdr:rowOff>0</xdr:rowOff>
    </xdr:from>
    <xdr:ext cx="230186" cy="271084"/>
    <xdr:pic>
      <xdr:nvPicPr>
        <xdr:cNvPr id="1731" name="Picture 1730" descr="A black and white symbol&#10;&#10;Description automatically generated">
          <a:extLst>
            <a:ext uri="{FF2B5EF4-FFF2-40B4-BE49-F238E27FC236}">
              <a16:creationId xmlns:a16="http://schemas.microsoft.com/office/drawing/2014/main" id="{8FC6E97D-13E8-42A8-AD3E-62613331B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85</xdr:row>
      <xdr:rowOff>174238</xdr:rowOff>
    </xdr:from>
    <xdr:ext cx="230186" cy="271084"/>
    <xdr:pic>
      <xdr:nvPicPr>
        <xdr:cNvPr id="1732" name="Picture 1731" descr="A black and white symbol&#10;&#10;Description automatically generated">
          <a:extLst>
            <a:ext uri="{FF2B5EF4-FFF2-40B4-BE49-F238E27FC236}">
              <a16:creationId xmlns:a16="http://schemas.microsoft.com/office/drawing/2014/main" id="{7F30B7AC-CC8B-4623-B96C-B41392A5B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6131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33" name="Picture 1732" descr="A black and white symbol&#10;&#10;Description automatically generated">
          <a:extLst>
            <a:ext uri="{FF2B5EF4-FFF2-40B4-BE49-F238E27FC236}">
              <a16:creationId xmlns:a16="http://schemas.microsoft.com/office/drawing/2014/main" id="{5DFC8527-49F0-4C36-A3E8-F51554733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85</xdr:row>
      <xdr:rowOff>174238</xdr:rowOff>
    </xdr:from>
    <xdr:ext cx="230186" cy="271084"/>
    <xdr:pic>
      <xdr:nvPicPr>
        <xdr:cNvPr id="1734" name="Picture 1733" descr="A black and white symbol&#10;&#10;Description automatically generated">
          <a:extLst>
            <a:ext uri="{FF2B5EF4-FFF2-40B4-BE49-F238E27FC236}">
              <a16:creationId xmlns:a16="http://schemas.microsoft.com/office/drawing/2014/main" id="{51065384-51D5-446E-A884-64AD89EB1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6131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233265</xdr:colOff>
      <xdr:row>78</xdr:row>
      <xdr:rowOff>0</xdr:rowOff>
    </xdr:from>
    <xdr:ext cx="230186" cy="271084"/>
    <xdr:pic>
      <xdr:nvPicPr>
        <xdr:cNvPr id="1735" name="Picture 1734" descr="A black and white symbol&#10;&#10;Description automatically generated">
          <a:extLst>
            <a:ext uri="{FF2B5EF4-FFF2-40B4-BE49-F238E27FC236}">
              <a16:creationId xmlns:a16="http://schemas.microsoft.com/office/drawing/2014/main" id="{F70AE480-8EC6-4963-9CA8-BC635DCE7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4815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6" name="Picture 1735" descr="A black and white symbol&#10;&#10;Description automatically generated">
          <a:extLst>
            <a:ext uri="{FF2B5EF4-FFF2-40B4-BE49-F238E27FC236}">
              <a16:creationId xmlns:a16="http://schemas.microsoft.com/office/drawing/2014/main" id="{D495F652-1E97-408D-BAA5-6C660F6FD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7" name="Picture 1736" descr="A black and white symbol&#10;&#10;Description automatically generated">
          <a:extLst>
            <a:ext uri="{FF2B5EF4-FFF2-40B4-BE49-F238E27FC236}">
              <a16:creationId xmlns:a16="http://schemas.microsoft.com/office/drawing/2014/main" id="{8E4A3288-A5AC-4BDC-BBA7-1DB1EBA8A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38" name="Picture 1737" descr="A black and white symbol&#10;&#10;Description automatically generated">
          <a:extLst>
            <a:ext uri="{FF2B5EF4-FFF2-40B4-BE49-F238E27FC236}">
              <a16:creationId xmlns:a16="http://schemas.microsoft.com/office/drawing/2014/main" id="{5140BE10-6B48-4B67-A866-641A42696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39" name="Picture 1738" descr="A black and white symbol&#10;&#10;Description automatically generated">
          <a:extLst>
            <a:ext uri="{FF2B5EF4-FFF2-40B4-BE49-F238E27FC236}">
              <a16:creationId xmlns:a16="http://schemas.microsoft.com/office/drawing/2014/main" id="{B68F3EF9-1C7C-4D08-B4C1-325E7F90C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0" name="Picture 1739" descr="A black and white symbol&#10;&#10;Description automatically generated">
          <a:extLst>
            <a:ext uri="{FF2B5EF4-FFF2-40B4-BE49-F238E27FC236}">
              <a16:creationId xmlns:a16="http://schemas.microsoft.com/office/drawing/2014/main" id="{DFFBF77D-2B81-42CD-B04A-C6FDA71D5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1" name="Picture 1740" descr="A black and white symbol&#10;&#10;Description automatically generated">
          <a:extLst>
            <a:ext uri="{FF2B5EF4-FFF2-40B4-BE49-F238E27FC236}">
              <a16:creationId xmlns:a16="http://schemas.microsoft.com/office/drawing/2014/main" id="{E4B6CD37-A90D-4E94-B4E4-DBD39E722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2" name="Picture 1741" descr="A black and white symbol&#10;&#10;Description automatically generated">
          <a:extLst>
            <a:ext uri="{FF2B5EF4-FFF2-40B4-BE49-F238E27FC236}">
              <a16:creationId xmlns:a16="http://schemas.microsoft.com/office/drawing/2014/main" id="{289BC8F7-59FA-46B9-8C31-337AF195D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3" name="Picture 1742" descr="A black and white symbol&#10;&#10;Description automatically generated">
          <a:extLst>
            <a:ext uri="{FF2B5EF4-FFF2-40B4-BE49-F238E27FC236}">
              <a16:creationId xmlns:a16="http://schemas.microsoft.com/office/drawing/2014/main" id="{F997E92A-246B-4253-95BD-DF62DC571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4" name="Picture 1743" descr="A black and white symbol&#10;&#10;Description automatically generated">
          <a:extLst>
            <a:ext uri="{FF2B5EF4-FFF2-40B4-BE49-F238E27FC236}">
              <a16:creationId xmlns:a16="http://schemas.microsoft.com/office/drawing/2014/main" id="{82B8374D-0EC8-4F82-B46E-4FC003704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5" name="Picture 1744" descr="A black and white symbol&#10;&#10;Description automatically generated">
          <a:extLst>
            <a:ext uri="{FF2B5EF4-FFF2-40B4-BE49-F238E27FC236}">
              <a16:creationId xmlns:a16="http://schemas.microsoft.com/office/drawing/2014/main" id="{D965306C-9CF3-4675-AED7-0AE4DE5EF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6" name="Picture 1745" descr="A black and white symbol&#10;&#10;Description automatically generated">
          <a:extLst>
            <a:ext uri="{FF2B5EF4-FFF2-40B4-BE49-F238E27FC236}">
              <a16:creationId xmlns:a16="http://schemas.microsoft.com/office/drawing/2014/main" id="{1705F430-3233-498B-8F1A-AEDBA9D72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7" name="Picture 1746" descr="A black and white symbol&#10;&#10;Description automatically generated">
          <a:extLst>
            <a:ext uri="{FF2B5EF4-FFF2-40B4-BE49-F238E27FC236}">
              <a16:creationId xmlns:a16="http://schemas.microsoft.com/office/drawing/2014/main" id="{DE8F58AB-AC27-48A5-80BC-B98BDA068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48" name="Picture 1747" descr="A black and white symbol&#10;&#10;Description automatically generated">
          <a:extLst>
            <a:ext uri="{FF2B5EF4-FFF2-40B4-BE49-F238E27FC236}">
              <a16:creationId xmlns:a16="http://schemas.microsoft.com/office/drawing/2014/main" id="{C048B6B3-18D3-40D0-A8DD-0B087F853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49" name="Picture 1748" descr="A black and white symbol&#10;&#10;Description automatically generated">
          <a:extLst>
            <a:ext uri="{FF2B5EF4-FFF2-40B4-BE49-F238E27FC236}">
              <a16:creationId xmlns:a16="http://schemas.microsoft.com/office/drawing/2014/main" id="{8C428E8E-ADBD-4607-ABBC-69CA0D53E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0" name="Picture 1749" descr="A black and white symbol&#10;&#10;Description automatically generated">
          <a:extLst>
            <a:ext uri="{FF2B5EF4-FFF2-40B4-BE49-F238E27FC236}">
              <a16:creationId xmlns:a16="http://schemas.microsoft.com/office/drawing/2014/main" id="{D8B02E12-6409-4C7A-BBD8-9B303D07E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1" name="Picture 1750" descr="A black and white symbol&#10;&#10;Description automatically generated">
          <a:extLst>
            <a:ext uri="{FF2B5EF4-FFF2-40B4-BE49-F238E27FC236}">
              <a16:creationId xmlns:a16="http://schemas.microsoft.com/office/drawing/2014/main" id="{EC276FB3-D0B4-43A3-9761-0F126DE8F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2" name="Picture 1751" descr="A black and white symbol&#10;&#10;Description automatically generated">
          <a:extLst>
            <a:ext uri="{FF2B5EF4-FFF2-40B4-BE49-F238E27FC236}">
              <a16:creationId xmlns:a16="http://schemas.microsoft.com/office/drawing/2014/main" id="{5E90AF95-926D-4C2E-9E5F-F0AB64953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3" name="Picture 1752" descr="A black and white symbol&#10;&#10;Description automatically generated">
          <a:extLst>
            <a:ext uri="{FF2B5EF4-FFF2-40B4-BE49-F238E27FC236}">
              <a16:creationId xmlns:a16="http://schemas.microsoft.com/office/drawing/2014/main" id="{892AD360-B635-4794-B8BB-3A69D7ACE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4" name="Picture 1753" descr="A black and white symbol&#10;&#10;Description automatically generated">
          <a:extLst>
            <a:ext uri="{FF2B5EF4-FFF2-40B4-BE49-F238E27FC236}">
              <a16:creationId xmlns:a16="http://schemas.microsoft.com/office/drawing/2014/main" id="{FC493D72-8C7C-4AE5-85EF-0BD185FAC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5" name="Picture 1754" descr="A black and white symbol&#10;&#10;Description automatically generated">
          <a:extLst>
            <a:ext uri="{FF2B5EF4-FFF2-40B4-BE49-F238E27FC236}">
              <a16:creationId xmlns:a16="http://schemas.microsoft.com/office/drawing/2014/main" id="{21683B77-CD3D-46A0-A4B4-95B95FAA8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756" name="Picture 1755" descr="A black and white symbol&#10;&#10;Description automatically generated">
          <a:extLst>
            <a:ext uri="{FF2B5EF4-FFF2-40B4-BE49-F238E27FC236}">
              <a16:creationId xmlns:a16="http://schemas.microsoft.com/office/drawing/2014/main" id="{8994CF6D-80F1-4B9F-961B-7DDE5ABCE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</xdr:row>
      <xdr:rowOff>0</xdr:rowOff>
    </xdr:from>
    <xdr:ext cx="230186" cy="271084"/>
    <xdr:pic>
      <xdr:nvPicPr>
        <xdr:cNvPr id="1757" name="Picture 1756" descr="A black and white symbol&#10;&#10;Description automatically generated">
          <a:extLst>
            <a:ext uri="{FF2B5EF4-FFF2-40B4-BE49-F238E27FC236}">
              <a16:creationId xmlns:a16="http://schemas.microsoft.com/office/drawing/2014/main" id="{1F3F1DD6-5C1B-4048-BF3B-EC5BC89E8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33</xdr:row>
      <xdr:rowOff>184668</xdr:rowOff>
    </xdr:from>
    <xdr:to>
      <xdr:col>39</xdr:col>
      <xdr:colOff>13457</xdr:colOff>
      <xdr:row>35</xdr:row>
      <xdr:rowOff>173453</xdr:rowOff>
    </xdr:to>
    <xdr:sp macro="" textlink="">
      <xdr:nvSpPr>
        <xdr:cNvPr id="1758" name="Isosceles Triangle 1757">
          <a:extLst>
            <a:ext uri="{FF2B5EF4-FFF2-40B4-BE49-F238E27FC236}">
              <a16:creationId xmlns:a16="http://schemas.microsoft.com/office/drawing/2014/main" id="{AEA38C2A-1B70-4760-89F1-0A79F00B3AD4}"/>
            </a:ext>
          </a:extLst>
        </xdr:cNvPr>
        <xdr:cNvSpPr/>
      </xdr:nvSpPr>
      <xdr:spPr>
        <a:xfrm>
          <a:off x="12655550" y="6553718"/>
          <a:ext cx="540507" cy="3570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59" name="Picture 1758" descr="A black and white symbol&#10;&#10;Description automatically generated">
          <a:extLst>
            <a:ext uri="{FF2B5EF4-FFF2-40B4-BE49-F238E27FC236}">
              <a16:creationId xmlns:a16="http://schemas.microsoft.com/office/drawing/2014/main" id="{10B78339-026D-4CA3-8CE3-032BA56FE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0" name="Picture 1759" descr="A black and white symbol&#10;&#10;Description automatically generated">
          <a:extLst>
            <a:ext uri="{FF2B5EF4-FFF2-40B4-BE49-F238E27FC236}">
              <a16:creationId xmlns:a16="http://schemas.microsoft.com/office/drawing/2014/main" id="{5D1D9567-5279-4CCB-A293-E650D0DAC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1" name="Picture 1760" descr="A black and white symbol&#10;&#10;Description automatically generated">
          <a:extLst>
            <a:ext uri="{FF2B5EF4-FFF2-40B4-BE49-F238E27FC236}">
              <a16:creationId xmlns:a16="http://schemas.microsoft.com/office/drawing/2014/main" id="{51BFADBB-4C3C-4470-8D92-84ABA474A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2" name="Picture 1761" descr="A black and white symbol&#10;&#10;Description automatically generated">
          <a:extLst>
            <a:ext uri="{FF2B5EF4-FFF2-40B4-BE49-F238E27FC236}">
              <a16:creationId xmlns:a16="http://schemas.microsoft.com/office/drawing/2014/main" id="{D2C299B3-BC75-41FE-989C-123554356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3" name="Picture 1762" descr="A black and white symbol&#10;&#10;Description automatically generated">
          <a:extLst>
            <a:ext uri="{FF2B5EF4-FFF2-40B4-BE49-F238E27FC236}">
              <a16:creationId xmlns:a16="http://schemas.microsoft.com/office/drawing/2014/main" id="{C195B068-77F8-4361-A283-9EDD56DBF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4" name="Picture 1763" descr="A black and white symbol&#10;&#10;Description automatically generated">
          <a:extLst>
            <a:ext uri="{FF2B5EF4-FFF2-40B4-BE49-F238E27FC236}">
              <a16:creationId xmlns:a16="http://schemas.microsoft.com/office/drawing/2014/main" id="{4C71542C-5307-44A3-9D59-1AE0EA6AD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65" name="Picture 1764" descr="A black and white symbol&#10;&#10;Description automatically generated">
          <a:extLst>
            <a:ext uri="{FF2B5EF4-FFF2-40B4-BE49-F238E27FC236}">
              <a16:creationId xmlns:a16="http://schemas.microsoft.com/office/drawing/2014/main" id="{FA80B5A8-8FB9-405E-B8F9-C6F82E946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66" name="Picture 1765" descr="A black and white symbol&#10;&#10;Description automatically generated">
          <a:extLst>
            <a:ext uri="{FF2B5EF4-FFF2-40B4-BE49-F238E27FC236}">
              <a16:creationId xmlns:a16="http://schemas.microsoft.com/office/drawing/2014/main" id="{6EBDB193-6EE4-424D-BB8A-4E855C374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67" name="Picture 1766" descr="A black and white symbol&#10;&#10;Description automatically generated">
          <a:extLst>
            <a:ext uri="{FF2B5EF4-FFF2-40B4-BE49-F238E27FC236}">
              <a16:creationId xmlns:a16="http://schemas.microsoft.com/office/drawing/2014/main" id="{CC443088-239E-411B-B67D-89B5CB707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68" name="Picture 1767" descr="A black and white symbol&#10;&#10;Description automatically generated">
          <a:extLst>
            <a:ext uri="{FF2B5EF4-FFF2-40B4-BE49-F238E27FC236}">
              <a16:creationId xmlns:a16="http://schemas.microsoft.com/office/drawing/2014/main" id="{AEA60FC2-AEF1-4AFF-AA74-70346AE2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69" name="Picture 1768" descr="A black and white symbol&#10;&#10;Description automatically generated">
          <a:extLst>
            <a:ext uri="{FF2B5EF4-FFF2-40B4-BE49-F238E27FC236}">
              <a16:creationId xmlns:a16="http://schemas.microsoft.com/office/drawing/2014/main" id="{99B576F6-E5F5-4722-BD64-0659D1BB2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70" name="Picture 1769" descr="A black and white symbol&#10;&#10;Description automatically generated">
          <a:extLst>
            <a:ext uri="{FF2B5EF4-FFF2-40B4-BE49-F238E27FC236}">
              <a16:creationId xmlns:a16="http://schemas.microsoft.com/office/drawing/2014/main" id="{D355F405-6BFD-4266-BEAB-CCCFD28DB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71" name="Picture 1770" descr="A black and white symbol&#10;&#10;Description automatically generated">
          <a:extLst>
            <a:ext uri="{FF2B5EF4-FFF2-40B4-BE49-F238E27FC236}">
              <a16:creationId xmlns:a16="http://schemas.microsoft.com/office/drawing/2014/main" id="{23E44CEB-CC7B-4D85-A106-DADFA3BAD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2" name="Picture 1771" descr="A black and white symbol&#10;&#10;Description automatically generated">
          <a:extLst>
            <a:ext uri="{FF2B5EF4-FFF2-40B4-BE49-F238E27FC236}">
              <a16:creationId xmlns:a16="http://schemas.microsoft.com/office/drawing/2014/main" id="{921A5C52-2637-40BF-95A0-6F9F2D42C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3" name="Picture 1772" descr="A black and white symbol&#10;&#10;Description automatically generated">
          <a:extLst>
            <a:ext uri="{FF2B5EF4-FFF2-40B4-BE49-F238E27FC236}">
              <a16:creationId xmlns:a16="http://schemas.microsoft.com/office/drawing/2014/main" id="{3CC52B92-173B-4627-877B-FD9D2E6A1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74" name="Picture 1773" descr="A black and white symbol&#10;&#10;Description automatically generated">
          <a:extLst>
            <a:ext uri="{FF2B5EF4-FFF2-40B4-BE49-F238E27FC236}">
              <a16:creationId xmlns:a16="http://schemas.microsoft.com/office/drawing/2014/main" id="{D0E6716B-1362-4407-816F-1A4DC8574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75" name="Picture 1774" descr="A black and white symbol&#10;&#10;Description automatically generated">
          <a:extLst>
            <a:ext uri="{FF2B5EF4-FFF2-40B4-BE49-F238E27FC236}">
              <a16:creationId xmlns:a16="http://schemas.microsoft.com/office/drawing/2014/main" id="{DCC56BA8-E4DF-4606-B3F0-5122491D3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76" name="Picture 1775" descr="A black and white symbol&#10;&#10;Description automatically generated">
          <a:extLst>
            <a:ext uri="{FF2B5EF4-FFF2-40B4-BE49-F238E27FC236}">
              <a16:creationId xmlns:a16="http://schemas.microsoft.com/office/drawing/2014/main" id="{F5FA2B12-981D-4D6A-A28C-62FDDF5AA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77" name="Picture 1776" descr="A black and white symbol&#10;&#10;Description automatically generated">
          <a:extLst>
            <a:ext uri="{FF2B5EF4-FFF2-40B4-BE49-F238E27FC236}">
              <a16:creationId xmlns:a16="http://schemas.microsoft.com/office/drawing/2014/main" id="{307D7268-1ACD-4453-A23C-D43DAF6D3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22</xdr:row>
      <xdr:rowOff>0</xdr:rowOff>
    </xdr:from>
    <xdr:ext cx="230186" cy="271084"/>
    <xdr:pic>
      <xdr:nvPicPr>
        <xdr:cNvPr id="1778" name="Picture 1777" descr="A black and white symbol&#10;&#10;Description automatically generated">
          <a:extLst>
            <a:ext uri="{FF2B5EF4-FFF2-40B4-BE49-F238E27FC236}">
              <a16:creationId xmlns:a16="http://schemas.microsoft.com/office/drawing/2014/main" id="{7BFC6A7B-6B48-4478-992C-37314C6F7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79" name="Picture 1778" descr="A black and white symbol&#10;&#10;Description automatically generated">
          <a:extLst>
            <a:ext uri="{FF2B5EF4-FFF2-40B4-BE49-F238E27FC236}">
              <a16:creationId xmlns:a16="http://schemas.microsoft.com/office/drawing/2014/main" id="{5E82EDB4-2B69-4B9A-AF89-2F7B48B66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0" name="Picture 1779" descr="A black and white symbol&#10;&#10;Description automatically generated">
          <a:extLst>
            <a:ext uri="{FF2B5EF4-FFF2-40B4-BE49-F238E27FC236}">
              <a16:creationId xmlns:a16="http://schemas.microsoft.com/office/drawing/2014/main" id="{972347DD-B277-401A-A1BE-9B3871CF2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1" name="Picture 1780" descr="A black and white symbol&#10;&#10;Description automatically generated">
          <a:extLst>
            <a:ext uri="{FF2B5EF4-FFF2-40B4-BE49-F238E27FC236}">
              <a16:creationId xmlns:a16="http://schemas.microsoft.com/office/drawing/2014/main" id="{69D8DF3A-A4E7-4768-BE38-CCB845A68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2" name="Picture 1781" descr="A black and white symbol&#10;&#10;Description automatically generated">
          <a:extLst>
            <a:ext uri="{FF2B5EF4-FFF2-40B4-BE49-F238E27FC236}">
              <a16:creationId xmlns:a16="http://schemas.microsoft.com/office/drawing/2014/main" id="{E76488A3-14DB-4C5D-87EF-94703B389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83" name="Picture 1782" descr="A black and white symbol&#10;&#10;Description automatically generated">
          <a:extLst>
            <a:ext uri="{FF2B5EF4-FFF2-40B4-BE49-F238E27FC236}">
              <a16:creationId xmlns:a16="http://schemas.microsoft.com/office/drawing/2014/main" id="{A686A26C-8341-4AA7-B893-EE7EDF14C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84" name="Picture 1783" descr="A black and white symbol&#10;&#10;Description automatically generated">
          <a:extLst>
            <a:ext uri="{FF2B5EF4-FFF2-40B4-BE49-F238E27FC236}">
              <a16:creationId xmlns:a16="http://schemas.microsoft.com/office/drawing/2014/main" id="{0D602A9A-E375-4378-91DE-F614309BD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85" name="Picture 1784" descr="A black and white symbol&#10;&#10;Description automatically generated">
          <a:extLst>
            <a:ext uri="{FF2B5EF4-FFF2-40B4-BE49-F238E27FC236}">
              <a16:creationId xmlns:a16="http://schemas.microsoft.com/office/drawing/2014/main" id="{2E886FBC-A561-4EAA-9266-A08D1DC63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86" name="Picture 1785" descr="A black and white symbol&#10;&#10;Description automatically generated">
          <a:extLst>
            <a:ext uri="{FF2B5EF4-FFF2-40B4-BE49-F238E27FC236}">
              <a16:creationId xmlns:a16="http://schemas.microsoft.com/office/drawing/2014/main" id="{0F4EFB56-713D-4B8C-B9AE-4A8A2D373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787" name="Picture 1786" descr="A black and white symbol&#10;&#10;Description automatically generated">
          <a:extLst>
            <a:ext uri="{FF2B5EF4-FFF2-40B4-BE49-F238E27FC236}">
              <a16:creationId xmlns:a16="http://schemas.microsoft.com/office/drawing/2014/main" id="{17AB0FB8-AC81-403A-AC3C-D4738A818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788" name="Picture 1787" descr="A black and white symbol&#10;&#10;Description automatically generated">
          <a:extLst>
            <a:ext uri="{FF2B5EF4-FFF2-40B4-BE49-F238E27FC236}">
              <a16:creationId xmlns:a16="http://schemas.microsoft.com/office/drawing/2014/main" id="{93DC439A-EA73-443C-B4DD-4FECA803C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789" name="Picture 1788" descr="A black and white symbol&#10;&#10;Description automatically generated">
          <a:extLst>
            <a:ext uri="{FF2B5EF4-FFF2-40B4-BE49-F238E27FC236}">
              <a16:creationId xmlns:a16="http://schemas.microsoft.com/office/drawing/2014/main" id="{1FD3CF0E-12A9-44E4-A416-2F9608B4F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790" name="Picture 1789" descr="A black and white symbol&#10;&#10;Description automatically generated">
          <a:extLst>
            <a:ext uri="{FF2B5EF4-FFF2-40B4-BE49-F238E27FC236}">
              <a16:creationId xmlns:a16="http://schemas.microsoft.com/office/drawing/2014/main" id="{17B70F73-B0AE-408D-ACD3-49D017AFD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791" name="Picture 1790" descr="A black and white symbol&#10;&#10;Description automatically generated">
          <a:extLst>
            <a:ext uri="{FF2B5EF4-FFF2-40B4-BE49-F238E27FC236}">
              <a16:creationId xmlns:a16="http://schemas.microsoft.com/office/drawing/2014/main" id="{808BB6E1-69C6-4547-A190-9F92EA643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792" name="Picture 1791" descr="A black and white symbol&#10;&#10;Description automatically generated">
          <a:extLst>
            <a:ext uri="{FF2B5EF4-FFF2-40B4-BE49-F238E27FC236}">
              <a16:creationId xmlns:a16="http://schemas.microsoft.com/office/drawing/2014/main" id="{96FFE7D0-7168-4219-A1A1-51996BD25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1793" name="Picture 1792" descr="A black and white symbol&#10;&#10;Description automatically generated">
          <a:extLst>
            <a:ext uri="{FF2B5EF4-FFF2-40B4-BE49-F238E27FC236}">
              <a16:creationId xmlns:a16="http://schemas.microsoft.com/office/drawing/2014/main" id="{3F82FB1F-34AD-4DE5-AA67-DF25B0FBB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1794" name="Picture 1793" descr="A black and white symbol&#10;&#10;Description automatically generated">
          <a:extLst>
            <a:ext uri="{FF2B5EF4-FFF2-40B4-BE49-F238E27FC236}">
              <a16:creationId xmlns:a16="http://schemas.microsoft.com/office/drawing/2014/main" id="{6422A7F8-F00A-45BB-B03C-D378494FF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230186" cy="271084"/>
    <xdr:pic>
      <xdr:nvPicPr>
        <xdr:cNvPr id="1795" name="Picture 1794" descr="A black and white symbol&#10;&#10;Description automatically generated">
          <a:extLst>
            <a:ext uri="{FF2B5EF4-FFF2-40B4-BE49-F238E27FC236}">
              <a16:creationId xmlns:a16="http://schemas.microsoft.com/office/drawing/2014/main" id="{C9DFABDC-5DFC-442A-8BA0-47125152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</xdr:row>
      <xdr:rowOff>0</xdr:rowOff>
    </xdr:from>
    <xdr:ext cx="230186" cy="271084"/>
    <xdr:pic>
      <xdr:nvPicPr>
        <xdr:cNvPr id="1796" name="Picture 1795" descr="A black and white symbol&#10;&#10;Description automatically generated">
          <a:extLst>
            <a:ext uri="{FF2B5EF4-FFF2-40B4-BE49-F238E27FC236}">
              <a16:creationId xmlns:a16="http://schemas.microsoft.com/office/drawing/2014/main" id="{339DD4C6-0E8B-4909-BC95-65B132B93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102</xdr:row>
      <xdr:rowOff>0</xdr:rowOff>
    </xdr:from>
    <xdr:ext cx="230186" cy="271084"/>
    <xdr:pic>
      <xdr:nvPicPr>
        <xdr:cNvPr id="1797" name="Picture 1796" descr="A black and white symbol&#10;&#10;Description automatically generated">
          <a:extLst>
            <a:ext uri="{FF2B5EF4-FFF2-40B4-BE49-F238E27FC236}">
              <a16:creationId xmlns:a16="http://schemas.microsoft.com/office/drawing/2014/main" id="{DAF156B2-3D79-4880-81C5-C0BFF188D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1798" name="Picture 1797" descr="A black and white symbol&#10;&#10;Description automatically generated">
          <a:extLst>
            <a:ext uri="{FF2B5EF4-FFF2-40B4-BE49-F238E27FC236}">
              <a16:creationId xmlns:a16="http://schemas.microsoft.com/office/drawing/2014/main" id="{69E594AB-EF23-457C-B756-AC685C325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242455</xdr:colOff>
      <xdr:row>6</xdr:row>
      <xdr:rowOff>0</xdr:rowOff>
    </xdr:from>
    <xdr:ext cx="230186" cy="271084"/>
    <xdr:pic>
      <xdr:nvPicPr>
        <xdr:cNvPr id="1799" name="Picture 1798" descr="A black and white symbol&#10;&#10;Description automatically generated">
          <a:extLst>
            <a:ext uri="{FF2B5EF4-FFF2-40B4-BE49-F238E27FC236}">
              <a16:creationId xmlns:a16="http://schemas.microsoft.com/office/drawing/2014/main" id="{FEFABC46-E5EE-423D-822D-0A63A57D7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6605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118</xdr:row>
      <xdr:rowOff>0</xdr:rowOff>
    </xdr:from>
    <xdr:ext cx="230186" cy="271084"/>
    <xdr:pic>
      <xdr:nvPicPr>
        <xdr:cNvPr id="1800" name="Picture 1799" descr="A black and white symbol&#10;&#10;Description automatically generated">
          <a:extLst>
            <a:ext uri="{FF2B5EF4-FFF2-40B4-BE49-F238E27FC236}">
              <a16:creationId xmlns:a16="http://schemas.microsoft.com/office/drawing/2014/main" id="{726A6D53-1C5C-4D31-ABCA-0E018B749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142</xdr:row>
      <xdr:rowOff>0</xdr:rowOff>
    </xdr:from>
    <xdr:ext cx="230186" cy="271084"/>
    <xdr:pic>
      <xdr:nvPicPr>
        <xdr:cNvPr id="1801" name="Picture 1800" descr="A black and white symbol&#10;&#10;Description automatically generated">
          <a:extLst>
            <a:ext uri="{FF2B5EF4-FFF2-40B4-BE49-F238E27FC236}">
              <a16:creationId xmlns:a16="http://schemas.microsoft.com/office/drawing/2014/main" id="{23046388-EA8B-463F-B0D9-A4329A314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1802" name="Picture 1801" descr="A black and white symbol&#10;&#10;Description automatically generated">
          <a:extLst>
            <a:ext uri="{FF2B5EF4-FFF2-40B4-BE49-F238E27FC236}">
              <a16:creationId xmlns:a16="http://schemas.microsoft.com/office/drawing/2014/main" id="{4F4725E3-6931-47D1-9999-9606A891E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133</xdr:row>
      <xdr:rowOff>169334</xdr:rowOff>
    </xdr:from>
    <xdr:ext cx="230186" cy="271084"/>
    <xdr:pic>
      <xdr:nvPicPr>
        <xdr:cNvPr id="1803" name="Picture 1802" descr="A black and white symbol&#10;&#10;Description automatically generated">
          <a:extLst>
            <a:ext uri="{FF2B5EF4-FFF2-40B4-BE49-F238E27FC236}">
              <a16:creationId xmlns:a16="http://schemas.microsoft.com/office/drawing/2014/main" id="{D2AF4CC2-F0B7-4723-94A4-BC48AA222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496608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110</xdr:row>
      <xdr:rowOff>0</xdr:rowOff>
    </xdr:from>
    <xdr:ext cx="230186" cy="271084"/>
    <xdr:pic>
      <xdr:nvPicPr>
        <xdr:cNvPr id="1804" name="Picture 1803" descr="A black and white symbol&#10;&#10;Description automatically generated">
          <a:extLst>
            <a:ext uri="{FF2B5EF4-FFF2-40B4-BE49-F238E27FC236}">
              <a16:creationId xmlns:a16="http://schemas.microsoft.com/office/drawing/2014/main" id="{A5FB6FE1-8CBB-4331-B7F5-D51E48FC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1805" name="Picture 1804" descr="A black and white symbol&#10;&#10;Description automatically generated">
          <a:extLst>
            <a:ext uri="{FF2B5EF4-FFF2-40B4-BE49-F238E27FC236}">
              <a16:creationId xmlns:a16="http://schemas.microsoft.com/office/drawing/2014/main" id="{043FD769-B3E0-4EF2-A4BD-03AE9DA2F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38</xdr:row>
      <xdr:rowOff>0</xdr:rowOff>
    </xdr:from>
    <xdr:ext cx="230186" cy="271084"/>
    <xdr:pic>
      <xdr:nvPicPr>
        <xdr:cNvPr id="1806" name="Picture 1805" descr="A black and white symbol&#10;&#10;Description automatically generated">
          <a:extLst>
            <a:ext uri="{FF2B5EF4-FFF2-40B4-BE49-F238E27FC236}">
              <a16:creationId xmlns:a16="http://schemas.microsoft.com/office/drawing/2014/main" id="{1A33B612-4176-41AF-88EC-B9BBF5F72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</xdr:row>
      <xdr:rowOff>22746</xdr:rowOff>
    </xdr:from>
    <xdr:ext cx="230186" cy="271084"/>
    <xdr:pic>
      <xdr:nvPicPr>
        <xdr:cNvPr id="1807" name="Picture 1806" descr="A black and white symbol&#10;&#10;Description automatically generated">
          <a:extLst>
            <a:ext uri="{FF2B5EF4-FFF2-40B4-BE49-F238E27FC236}">
              <a16:creationId xmlns:a16="http://schemas.microsoft.com/office/drawing/2014/main" id="{435F8756-D07D-4B2C-B15E-FE463F253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41339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1808" name="Picture 1807" descr="A black and white symbol&#10;&#10;Description automatically generated">
          <a:extLst>
            <a:ext uri="{FF2B5EF4-FFF2-40B4-BE49-F238E27FC236}">
              <a16:creationId xmlns:a16="http://schemas.microsoft.com/office/drawing/2014/main" id="{9C05C0E8-C6B6-47B8-A5B2-A46064F39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1809" name="Picture 1808" descr="A black and white symbol&#10;&#10;Description automatically generated">
          <a:extLst>
            <a:ext uri="{FF2B5EF4-FFF2-40B4-BE49-F238E27FC236}">
              <a16:creationId xmlns:a16="http://schemas.microsoft.com/office/drawing/2014/main" id="{3CAFEA17-3BDC-46CE-A0A6-59AF5E18D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</xdr:row>
      <xdr:rowOff>0</xdr:rowOff>
    </xdr:from>
    <xdr:ext cx="230186" cy="271084"/>
    <xdr:pic>
      <xdr:nvPicPr>
        <xdr:cNvPr id="1810" name="Picture 1809" descr="A black and white symbol&#10;&#10;Description automatically generated">
          <a:extLst>
            <a:ext uri="{FF2B5EF4-FFF2-40B4-BE49-F238E27FC236}">
              <a16:creationId xmlns:a16="http://schemas.microsoft.com/office/drawing/2014/main" id="{73B1F2FC-C897-4E61-B939-A73880D93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11373</xdr:colOff>
      <xdr:row>13</xdr:row>
      <xdr:rowOff>170597</xdr:rowOff>
    </xdr:from>
    <xdr:ext cx="230186" cy="271084"/>
    <xdr:pic>
      <xdr:nvPicPr>
        <xdr:cNvPr id="1811" name="Picture 1810" descr="A black and white symbol&#10;&#10;Description automatically generated">
          <a:extLst>
            <a:ext uri="{FF2B5EF4-FFF2-40B4-BE49-F238E27FC236}">
              <a16:creationId xmlns:a16="http://schemas.microsoft.com/office/drawing/2014/main" id="{FA4C8D26-BA38-49F0-B6B1-87C40E617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9123" y="285029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14</xdr:row>
      <xdr:rowOff>11374</xdr:rowOff>
    </xdr:from>
    <xdr:ext cx="230186" cy="271084"/>
    <xdr:pic>
      <xdr:nvPicPr>
        <xdr:cNvPr id="1812" name="Picture 1811" descr="A black and white symbol&#10;&#10;Description automatically generated">
          <a:extLst>
            <a:ext uri="{FF2B5EF4-FFF2-40B4-BE49-F238E27FC236}">
              <a16:creationId xmlns:a16="http://schemas.microsoft.com/office/drawing/2014/main" id="{F9B54317-49A4-488D-BACD-B0B677381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8752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62</xdr:row>
      <xdr:rowOff>0</xdr:rowOff>
    </xdr:from>
    <xdr:ext cx="230186" cy="271084"/>
    <xdr:pic>
      <xdr:nvPicPr>
        <xdr:cNvPr id="1813" name="Picture 1812" descr="A black and white symbol&#10;&#10;Description automatically generated">
          <a:extLst>
            <a:ext uri="{FF2B5EF4-FFF2-40B4-BE49-F238E27FC236}">
              <a16:creationId xmlns:a16="http://schemas.microsoft.com/office/drawing/2014/main" id="{F6185A18-2D40-453B-A6C0-7708EE8A6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261583</xdr:colOff>
      <xdr:row>61</xdr:row>
      <xdr:rowOff>181969</xdr:rowOff>
    </xdr:from>
    <xdr:ext cx="230186" cy="271084"/>
    <xdr:pic>
      <xdr:nvPicPr>
        <xdr:cNvPr id="1814" name="Picture 1813" descr="A black and white symbol&#10;&#10;Description automatically generated">
          <a:extLst>
            <a:ext uri="{FF2B5EF4-FFF2-40B4-BE49-F238E27FC236}">
              <a16:creationId xmlns:a16="http://schemas.microsoft.com/office/drawing/2014/main" id="{DF772420-D8B3-480D-95C2-E2DB70117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0683" y="1171356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62</xdr:row>
      <xdr:rowOff>0</xdr:rowOff>
    </xdr:from>
    <xdr:ext cx="230186" cy="271084"/>
    <xdr:pic>
      <xdr:nvPicPr>
        <xdr:cNvPr id="1815" name="Picture 1814" descr="A black and white symbol&#10;&#10;Description automatically generated">
          <a:extLst>
            <a:ext uri="{FF2B5EF4-FFF2-40B4-BE49-F238E27FC236}">
              <a16:creationId xmlns:a16="http://schemas.microsoft.com/office/drawing/2014/main" id="{CC63BD12-F876-4480-88C2-74E38E3A2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62</xdr:row>
      <xdr:rowOff>0</xdr:rowOff>
    </xdr:from>
    <xdr:ext cx="230186" cy="271084"/>
    <xdr:pic>
      <xdr:nvPicPr>
        <xdr:cNvPr id="1816" name="Picture 1815" descr="A black and white symbol&#10;&#10;Description automatically generated">
          <a:extLst>
            <a:ext uri="{FF2B5EF4-FFF2-40B4-BE49-F238E27FC236}">
              <a16:creationId xmlns:a16="http://schemas.microsoft.com/office/drawing/2014/main" id="{CF08AEAE-6404-4A3E-BF9A-E6E1C781C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37</xdr:row>
      <xdr:rowOff>170598</xdr:rowOff>
    </xdr:from>
    <xdr:ext cx="230186" cy="271084"/>
    <xdr:pic>
      <xdr:nvPicPr>
        <xdr:cNvPr id="1817" name="Picture 1816" descr="A black and white symbol&#10;&#10;Description automatically generated">
          <a:extLst>
            <a:ext uri="{FF2B5EF4-FFF2-40B4-BE49-F238E27FC236}">
              <a16:creationId xmlns:a16="http://schemas.microsoft.com/office/drawing/2014/main" id="{983E0AE3-B56E-4F6C-BF52-BECAFC240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727624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150091</xdr:colOff>
      <xdr:row>10</xdr:row>
      <xdr:rowOff>127000</xdr:rowOff>
    </xdr:from>
    <xdr:to>
      <xdr:col>20</xdr:col>
      <xdr:colOff>108720</xdr:colOff>
      <xdr:row>11</xdr:row>
      <xdr:rowOff>116417</xdr:rowOff>
    </xdr:to>
    <xdr:sp macro="" textlink="">
      <xdr:nvSpPr>
        <xdr:cNvPr id="1818" name="5-Point Star 520">
          <a:extLst>
            <a:ext uri="{FF2B5EF4-FFF2-40B4-BE49-F238E27FC236}">
              <a16:creationId xmlns:a16="http://schemas.microsoft.com/office/drawing/2014/main" id="{8B4141DE-BE8E-4285-9E63-EEBB30021DA1}"/>
            </a:ext>
          </a:extLst>
        </xdr:cNvPr>
        <xdr:cNvSpPr/>
      </xdr:nvSpPr>
      <xdr:spPr>
        <a:xfrm>
          <a:off x="6650182" y="2262909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150091</xdr:colOff>
      <xdr:row>10</xdr:row>
      <xdr:rowOff>138545</xdr:rowOff>
    </xdr:from>
    <xdr:to>
      <xdr:col>23</xdr:col>
      <xdr:colOff>108720</xdr:colOff>
      <xdr:row>11</xdr:row>
      <xdr:rowOff>127962</xdr:rowOff>
    </xdr:to>
    <xdr:sp macro="" textlink="">
      <xdr:nvSpPr>
        <xdr:cNvPr id="1819" name="5-Point Star 520">
          <a:extLst>
            <a:ext uri="{FF2B5EF4-FFF2-40B4-BE49-F238E27FC236}">
              <a16:creationId xmlns:a16="http://schemas.microsoft.com/office/drawing/2014/main" id="{33FEC8F7-0B2C-470A-AE95-2A647394D572}"/>
            </a:ext>
          </a:extLst>
        </xdr:cNvPr>
        <xdr:cNvSpPr/>
      </xdr:nvSpPr>
      <xdr:spPr>
        <a:xfrm>
          <a:off x="7562273" y="227445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138546</xdr:colOff>
      <xdr:row>10</xdr:row>
      <xdr:rowOff>127000</xdr:rowOff>
    </xdr:from>
    <xdr:to>
      <xdr:col>32</xdr:col>
      <xdr:colOff>97175</xdr:colOff>
      <xdr:row>11</xdr:row>
      <xdr:rowOff>116417</xdr:rowOff>
    </xdr:to>
    <xdr:sp macro="" textlink="">
      <xdr:nvSpPr>
        <xdr:cNvPr id="1821" name="5-Point Star 520">
          <a:extLst>
            <a:ext uri="{FF2B5EF4-FFF2-40B4-BE49-F238E27FC236}">
              <a16:creationId xmlns:a16="http://schemas.microsoft.com/office/drawing/2014/main" id="{880203F1-564C-41AA-B7EA-2C46B7A975E9}"/>
            </a:ext>
          </a:extLst>
        </xdr:cNvPr>
        <xdr:cNvSpPr/>
      </xdr:nvSpPr>
      <xdr:spPr>
        <a:xfrm>
          <a:off x="10633364" y="2262909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127001</xdr:colOff>
      <xdr:row>10</xdr:row>
      <xdr:rowOff>138546</xdr:rowOff>
    </xdr:from>
    <xdr:to>
      <xdr:col>26</xdr:col>
      <xdr:colOff>85630</xdr:colOff>
      <xdr:row>11</xdr:row>
      <xdr:rowOff>127963</xdr:rowOff>
    </xdr:to>
    <xdr:sp macro="" textlink="">
      <xdr:nvSpPr>
        <xdr:cNvPr id="1820" name="5-Point Star 520">
          <a:extLst>
            <a:ext uri="{FF2B5EF4-FFF2-40B4-BE49-F238E27FC236}">
              <a16:creationId xmlns:a16="http://schemas.microsoft.com/office/drawing/2014/main" id="{F0702276-FA3D-41F3-BA60-F403B2B6997E}"/>
            </a:ext>
          </a:extLst>
        </xdr:cNvPr>
        <xdr:cNvSpPr/>
      </xdr:nvSpPr>
      <xdr:spPr>
        <a:xfrm>
          <a:off x="8636001" y="2274455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161635</xdr:colOff>
      <xdr:row>10</xdr:row>
      <xdr:rowOff>150091</xdr:rowOff>
    </xdr:from>
    <xdr:to>
      <xdr:col>29</xdr:col>
      <xdr:colOff>131809</xdr:colOff>
      <xdr:row>11</xdr:row>
      <xdr:rowOff>139508</xdr:rowOff>
    </xdr:to>
    <xdr:sp macro="" textlink="">
      <xdr:nvSpPr>
        <xdr:cNvPr id="1823" name="5-Point Star 520">
          <a:extLst>
            <a:ext uri="{FF2B5EF4-FFF2-40B4-BE49-F238E27FC236}">
              <a16:creationId xmlns:a16="http://schemas.microsoft.com/office/drawing/2014/main" id="{4DA05422-74ED-4DFE-8591-98D0BC21661E}"/>
            </a:ext>
          </a:extLst>
        </xdr:cNvPr>
        <xdr:cNvSpPr/>
      </xdr:nvSpPr>
      <xdr:spPr>
        <a:xfrm>
          <a:off x="9698180" y="2286000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138546</xdr:colOff>
      <xdr:row>10</xdr:row>
      <xdr:rowOff>138545</xdr:rowOff>
    </xdr:from>
    <xdr:to>
      <xdr:col>35</xdr:col>
      <xdr:colOff>97175</xdr:colOff>
      <xdr:row>11</xdr:row>
      <xdr:rowOff>127962</xdr:rowOff>
    </xdr:to>
    <xdr:sp macro="" textlink="">
      <xdr:nvSpPr>
        <xdr:cNvPr id="1824" name="5-Point Star 520">
          <a:extLst>
            <a:ext uri="{FF2B5EF4-FFF2-40B4-BE49-F238E27FC236}">
              <a16:creationId xmlns:a16="http://schemas.microsoft.com/office/drawing/2014/main" id="{EDBD24F9-D0AA-4CBD-8D43-3BD1458610B1}"/>
            </a:ext>
          </a:extLst>
        </xdr:cNvPr>
        <xdr:cNvSpPr/>
      </xdr:nvSpPr>
      <xdr:spPr>
        <a:xfrm>
          <a:off x="11776364" y="227445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158</xdr:row>
      <xdr:rowOff>0</xdr:rowOff>
    </xdr:from>
    <xdr:ext cx="230186" cy="271084"/>
    <xdr:pic>
      <xdr:nvPicPr>
        <xdr:cNvPr id="1825" name="Picture 1824" descr="A black and white symbol&#10;&#10;Description automatically generated">
          <a:extLst>
            <a:ext uri="{FF2B5EF4-FFF2-40B4-BE49-F238E27FC236}">
              <a16:creationId xmlns:a16="http://schemas.microsoft.com/office/drawing/2014/main" id="{F562DB71-BF3A-4F37-9058-C36083F5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7455" y="295101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150091</xdr:colOff>
      <xdr:row>10</xdr:row>
      <xdr:rowOff>127000</xdr:rowOff>
    </xdr:from>
    <xdr:to>
      <xdr:col>38</xdr:col>
      <xdr:colOff>108720</xdr:colOff>
      <xdr:row>11</xdr:row>
      <xdr:rowOff>116417</xdr:rowOff>
    </xdr:to>
    <xdr:sp macro="" textlink="">
      <xdr:nvSpPr>
        <xdr:cNvPr id="1822" name="5-Point Star 520">
          <a:extLst>
            <a:ext uri="{FF2B5EF4-FFF2-40B4-BE49-F238E27FC236}">
              <a16:creationId xmlns:a16="http://schemas.microsoft.com/office/drawing/2014/main" id="{7747F5CD-7B72-44F0-8862-D294E0A91439}"/>
            </a:ext>
          </a:extLst>
        </xdr:cNvPr>
        <xdr:cNvSpPr/>
      </xdr:nvSpPr>
      <xdr:spPr>
        <a:xfrm>
          <a:off x="12734636" y="2262909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161637</xdr:colOff>
      <xdr:row>10</xdr:row>
      <xdr:rowOff>138545</xdr:rowOff>
    </xdr:from>
    <xdr:to>
      <xdr:col>41</xdr:col>
      <xdr:colOff>120266</xdr:colOff>
      <xdr:row>11</xdr:row>
      <xdr:rowOff>127962</xdr:rowOff>
    </xdr:to>
    <xdr:sp macro="" textlink="">
      <xdr:nvSpPr>
        <xdr:cNvPr id="1826" name="5-Point Star 520">
          <a:extLst>
            <a:ext uri="{FF2B5EF4-FFF2-40B4-BE49-F238E27FC236}">
              <a16:creationId xmlns:a16="http://schemas.microsoft.com/office/drawing/2014/main" id="{8B0950C2-38C5-437B-9FE9-3026795C69BD}"/>
            </a:ext>
          </a:extLst>
        </xdr:cNvPr>
        <xdr:cNvSpPr/>
      </xdr:nvSpPr>
      <xdr:spPr>
        <a:xfrm>
          <a:off x="13785273" y="227445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150091</xdr:colOff>
      <xdr:row>18</xdr:row>
      <xdr:rowOff>115455</xdr:rowOff>
    </xdr:from>
    <xdr:to>
      <xdr:col>2</xdr:col>
      <xdr:colOff>108720</xdr:colOff>
      <xdr:row>19</xdr:row>
      <xdr:rowOff>104871</xdr:rowOff>
    </xdr:to>
    <xdr:sp macro="" textlink="">
      <xdr:nvSpPr>
        <xdr:cNvPr id="1827" name="5-Point Star 520">
          <a:extLst>
            <a:ext uri="{FF2B5EF4-FFF2-40B4-BE49-F238E27FC236}">
              <a16:creationId xmlns:a16="http://schemas.microsoft.com/office/drawing/2014/main" id="{F054C038-5A7D-4D69-8CD3-CAE5C35482CF}"/>
            </a:ext>
          </a:extLst>
        </xdr:cNvPr>
        <xdr:cNvSpPr/>
      </xdr:nvSpPr>
      <xdr:spPr>
        <a:xfrm>
          <a:off x="796636" y="3729182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161637</xdr:colOff>
      <xdr:row>18</xdr:row>
      <xdr:rowOff>103909</xdr:rowOff>
    </xdr:from>
    <xdr:to>
      <xdr:col>5</xdr:col>
      <xdr:colOff>108721</xdr:colOff>
      <xdr:row>19</xdr:row>
      <xdr:rowOff>93325</xdr:rowOff>
    </xdr:to>
    <xdr:sp macro="" textlink="">
      <xdr:nvSpPr>
        <xdr:cNvPr id="1828" name="5-Point Star 520">
          <a:extLst>
            <a:ext uri="{FF2B5EF4-FFF2-40B4-BE49-F238E27FC236}">
              <a16:creationId xmlns:a16="http://schemas.microsoft.com/office/drawing/2014/main" id="{0F1266D5-983C-48BE-AA7F-81B3E218751D}"/>
            </a:ext>
          </a:extLst>
        </xdr:cNvPr>
        <xdr:cNvSpPr/>
      </xdr:nvSpPr>
      <xdr:spPr>
        <a:xfrm>
          <a:off x="1789546" y="371763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161636</xdr:colOff>
      <xdr:row>18</xdr:row>
      <xdr:rowOff>103909</xdr:rowOff>
    </xdr:from>
    <xdr:to>
      <xdr:col>8</xdr:col>
      <xdr:colOff>120265</xdr:colOff>
      <xdr:row>19</xdr:row>
      <xdr:rowOff>93325</xdr:rowOff>
    </xdr:to>
    <xdr:sp macro="" textlink="">
      <xdr:nvSpPr>
        <xdr:cNvPr id="1830" name="5-Point Star 520">
          <a:extLst>
            <a:ext uri="{FF2B5EF4-FFF2-40B4-BE49-F238E27FC236}">
              <a16:creationId xmlns:a16="http://schemas.microsoft.com/office/drawing/2014/main" id="{66C68FC4-0317-4C9E-81F1-E894327BC8E4}"/>
            </a:ext>
          </a:extLst>
        </xdr:cNvPr>
        <xdr:cNvSpPr/>
      </xdr:nvSpPr>
      <xdr:spPr>
        <a:xfrm>
          <a:off x="2828636" y="371763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161637</xdr:colOff>
      <xdr:row>18</xdr:row>
      <xdr:rowOff>80818</xdr:rowOff>
    </xdr:from>
    <xdr:to>
      <xdr:col>11</xdr:col>
      <xdr:colOff>120266</xdr:colOff>
      <xdr:row>19</xdr:row>
      <xdr:rowOff>70234</xdr:rowOff>
    </xdr:to>
    <xdr:sp macro="" textlink="">
      <xdr:nvSpPr>
        <xdr:cNvPr id="1831" name="5-Point Star 520">
          <a:extLst>
            <a:ext uri="{FF2B5EF4-FFF2-40B4-BE49-F238E27FC236}">
              <a16:creationId xmlns:a16="http://schemas.microsoft.com/office/drawing/2014/main" id="{F088C601-51CD-4E3D-AF14-E9BD2BD880D8}"/>
            </a:ext>
          </a:extLst>
        </xdr:cNvPr>
        <xdr:cNvSpPr/>
      </xdr:nvSpPr>
      <xdr:spPr>
        <a:xfrm>
          <a:off x="3856182" y="3694545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161636</xdr:colOff>
      <xdr:row>18</xdr:row>
      <xdr:rowOff>80818</xdr:rowOff>
    </xdr:from>
    <xdr:to>
      <xdr:col>14</xdr:col>
      <xdr:colOff>120265</xdr:colOff>
      <xdr:row>19</xdr:row>
      <xdr:rowOff>70234</xdr:rowOff>
    </xdr:to>
    <xdr:sp macro="" textlink="">
      <xdr:nvSpPr>
        <xdr:cNvPr id="1832" name="5-Point Star 520">
          <a:extLst>
            <a:ext uri="{FF2B5EF4-FFF2-40B4-BE49-F238E27FC236}">
              <a16:creationId xmlns:a16="http://schemas.microsoft.com/office/drawing/2014/main" id="{2C222C3E-7B53-4114-9115-185BF54732C8}"/>
            </a:ext>
          </a:extLst>
        </xdr:cNvPr>
        <xdr:cNvSpPr/>
      </xdr:nvSpPr>
      <xdr:spPr>
        <a:xfrm>
          <a:off x="4802909" y="3694545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161637</xdr:colOff>
      <xdr:row>18</xdr:row>
      <xdr:rowOff>115454</xdr:rowOff>
    </xdr:from>
    <xdr:to>
      <xdr:col>17</xdr:col>
      <xdr:colOff>120266</xdr:colOff>
      <xdr:row>19</xdr:row>
      <xdr:rowOff>104870</xdr:rowOff>
    </xdr:to>
    <xdr:sp macro="" textlink="">
      <xdr:nvSpPr>
        <xdr:cNvPr id="1833" name="5-Point Star 520">
          <a:extLst>
            <a:ext uri="{FF2B5EF4-FFF2-40B4-BE49-F238E27FC236}">
              <a16:creationId xmlns:a16="http://schemas.microsoft.com/office/drawing/2014/main" id="{D5CB02B1-C429-4D4C-B389-ACBF2F00B1A1}"/>
            </a:ext>
          </a:extLst>
        </xdr:cNvPr>
        <xdr:cNvSpPr/>
      </xdr:nvSpPr>
      <xdr:spPr>
        <a:xfrm>
          <a:off x="5703455" y="3729181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138545</xdr:colOff>
      <xdr:row>18</xdr:row>
      <xdr:rowOff>92364</xdr:rowOff>
    </xdr:from>
    <xdr:to>
      <xdr:col>20</xdr:col>
      <xdr:colOff>97174</xdr:colOff>
      <xdr:row>19</xdr:row>
      <xdr:rowOff>81780</xdr:rowOff>
    </xdr:to>
    <xdr:sp macro="" textlink="">
      <xdr:nvSpPr>
        <xdr:cNvPr id="1834" name="5-Point Star 520">
          <a:extLst>
            <a:ext uri="{FF2B5EF4-FFF2-40B4-BE49-F238E27FC236}">
              <a16:creationId xmlns:a16="http://schemas.microsoft.com/office/drawing/2014/main" id="{EF95E330-76A8-416B-A968-A23CF468025A}"/>
            </a:ext>
          </a:extLst>
        </xdr:cNvPr>
        <xdr:cNvSpPr/>
      </xdr:nvSpPr>
      <xdr:spPr>
        <a:xfrm>
          <a:off x="6638636" y="3706091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161637</xdr:colOff>
      <xdr:row>18</xdr:row>
      <xdr:rowOff>115455</xdr:rowOff>
    </xdr:from>
    <xdr:to>
      <xdr:col>23</xdr:col>
      <xdr:colOff>120266</xdr:colOff>
      <xdr:row>19</xdr:row>
      <xdr:rowOff>104871</xdr:rowOff>
    </xdr:to>
    <xdr:sp macro="" textlink="">
      <xdr:nvSpPr>
        <xdr:cNvPr id="1835" name="5-Point Star 520">
          <a:extLst>
            <a:ext uri="{FF2B5EF4-FFF2-40B4-BE49-F238E27FC236}">
              <a16:creationId xmlns:a16="http://schemas.microsoft.com/office/drawing/2014/main" id="{E55C18A4-CFF1-4A4C-BCCE-1A9955A74493}"/>
            </a:ext>
          </a:extLst>
        </xdr:cNvPr>
        <xdr:cNvSpPr/>
      </xdr:nvSpPr>
      <xdr:spPr>
        <a:xfrm>
          <a:off x="7573819" y="3729182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173182</xdr:colOff>
      <xdr:row>18</xdr:row>
      <xdr:rowOff>126999</xdr:rowOff>
    </xdr:from>
    <xdr:to>
      <xdr:col>26</xdr:col>
      <xdr:colOff>131811</xdr:colOff>
      <xdr:row>19</xdr:row>
      <xdr:rowOff>116415</xdr:rowOff>
    </xdr:to>
    <xdr:sp macro="" textlink="">
      <xdr:nvSpPr>
        <xdr:cNvPr id="1836" name="5-Point Star 520">
          <a:extLst>
            <a:ext uri="{FF2B5EF4-FFF2-40B4-BE49-F238E27FC236}">
              <a16:creationId xmlns:a16="http://schemas.microsoft.com/office/drawing/2014/main" id="{9768A849-2B5D-4C80-8F41-EAD8E8AF3844}"/>
            </a:ext>
          </a:extLst>
        </xdr:cNvPr>
        <xdr:cNvSpPr/>
      </xdr:nvSpPr>
      <xdr:spPr>
        <a:xfrm>
          <a:off x="8682182" y="374072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11546</xdr:colOff>
      <xdr:row>10</xdr:row>
      <xdr:rowOff>11546</xdr:rowOff>
    </xdr:from>
    <xdr:to>
      <xdr:col>22</xdr:col>
      <xdr:colOff>254000</xdr:colOff>
      <xdr:row>10</xdr:row>
      <xdr:rowOff>22130</xdr:rowOff>
    </xdr:to>
    <xdr:cxnSp macro="">
      <xdr:nvCxnSpPr>
        <xdr:cNvPr id="1837" name="Curved Connector 522">
          <a:extLst>
            <a:ext uri="{FF2B5EF4-FFF2-40B4-BE49-F238E27FC236}">
              <a16:creationId xmlns:a16="http://schemas.microsoft.com/office/drawing/2014/main" id="{563E2AE7-EAA2-48E1-967C-34E016302972}"/>
            </a:ext>
          </a:extLst>
        </xdr:cNvPr>
        <xdr:cNvCxnSpPr/>
      </xdr:nvCxnSpPr>
      <xdr:spPr>
        <a:xfrm rot="16200000" flipH="1">
          <a:off x="7222163" y="1714020"/>
          <a:ext cx="10584" cy="877454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10</xdr:row>
      <xdr:rowOff>0</xdr:rowOff>
    </xdr:from>
    <xdr:to>
      <xdr:col>26</xdr:col>
      <xdr:colOff>0</xdr:colOff>
      <xdr:row>10</xdr:row>
      <xdr:rowOff>10584</xdr:rowOff>
    </xdr:to>
    <xdr:cxnSp macro="">
      <xdr:nvCxnSpPr>
        <xdr:cNvPr id="1840" name="Curved Connector 522">
          <a:extLst>
            <a:ext uri="{FF2B5EF4-FFF2-40B4-BE49-F238E27FC236}">
              <a16:creationId xmlns:a16="http://schemas.microsoft.com/office/drawing/2014/main" id="{92F8A23E-EF8C-4416-967D-BE9919B18510}"/>
            </a:ext>
          </a:extLst>
        </xdr:cNvPr>
        <xdr:cNvCxnSpPr/>
      </xdr:nvCxnSpPr>
      <xdr:spPr>
        <a:xfrm rot="16200000" flipH="1">
          <a:off x="8232390" y="1592792"/>
          <a:ext cx="10584" cy="1096818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10</xdr:row>
      <xdr:rowOff>1</xdr:rowOff>
    </xdr:from>
    <xdr:to>
      <xdr:col>29</xdr:col>
      <xdr:colOff>11546</xdr:colOff>
      <xdr:row>10</xdr:row>
      <xdr:rowOff>10585</xdr:rowOff>
    </xdr:to>
    <xdr:cxnSp macro="">
      <xdr:nvCxnSpPr>
        <xdr:cNvPr id="1842" name="Curved Connector 522">
          <a:extLst>
            <a:ext uri="{FF2B5EF4-FFF2-40B4-BE49-F238E27FC236}">
              <a16:creationId xmlns:a16="http://schemas.microsoft.com/office/drawing/2014/main" id="{F7FEDB67-C1F4-40D8-9667-74ADFE21CDBA}"/>
            </a:ext>
          </a:extLst>
        </xdr:cNvPr>
        <xdr:cNvCxnSpPr/>
      </xdr:nvCxnSpPr>
      <xdr:spPr>
        <a:xfrm rot="16200000" flipH="1">
          <a:off x="9294573" y="1627429"/>
          <a:ext cx="10584" cy="1027545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9</xdr:row>
      <xdr:rowOff>173181</xdr:rowOff>
    </xdr:from>
    <xdr:to>
      <xdr:col>32</xdr:col>
      <xdr:colOff>11546</xdr:colOff>
      <xdr:row>9</xdr:row>
      <xdr:rowOff>183765</xdr:rowOff>
    </xdr:to>
    <xdr:cxnSp macro="">
      <xdr:nvCxnSpPr>
        <xdr:cNvPr id="1844" name="Curved Connector 522">
          <a:extLst>
            <a:ext uri="{FF2B5EF4-FFF2-40B4-BE49-F238E27FC236}">
              <a16:creationId xmlns:a16="http://schemas.microsoft.com/office/drawing/2014/main" id="{0DB64093-9CC3-49B7-80F7-6E924988EF76}"/>
            </a:ext>
          </a:extLst>
        </xdr:cNvPr>
        <xdr:cNvCxnSpPr/>
      </xdr:nvCxnSpPr>
      <xdr:spPr>
        <a:xfrm rot="16200000" flipH="1">
          <a:off x="10287481" y="1638973"/>
          <a:ext cx="10584" cy="981364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150091</xdr:colOff>
      <xdr:row>18</xdr:row>
      <xdr:rowOff>127000</xdr:rowOff>
    </xdr:from>
    <xdr:to>
      <xdr:col>29</xdr:col>
      <xdr:colOff>120265</xdr:colOff>
      <xdr:row>19</xdr:row>
      <xdr:rowOff>116416</xdr:rowOff>
    </xdr:to>
    <xdr:sp macro="" textlink="">
      <xdr:nvSpPr>
        <xdr:cNvPr id="1845" name="5-Point Star 520">
          <a:extLst>
            <a:ext uri="{FF2B5EF4-FFF2-40B4-BE49-F238E27FC236}">
              <a16:creationId xmlns:a16="http://schemas.microsoft.com/office/drawing/2014/main" id="{645E299A-BAE2-4943-8469-04CEEB60596F}"/>
            </a:ext>
          </a:extLst>
        </xdr:cNvPr>
        <xdr:cNvSpPr/>
      </xdr:nvSpPr>
      <xdr:spPr>
        <a:xfrm>
          <a:off x="9686636" y="3740727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150091</xdr:colOff>
      <xdr:row>18</xdr:row>
      <xdr:rowOff>127000</xdr:rowOff>
    </xdr:from>
    <xdr:to>
      <xdr:col>32</xdr:col>
      <xdr:colOff>108720</xdr:colOff>
      <xdr:row>19</xdr:row>
      <xdr:rowOff>116416</xdr:rowOff>
    </xdr:to>
    <xdr:sp macro="" textlink="">
      <xdr:nvSpPr>
        <xdr:cNvPr id="1846" name="5-Point Star 520">
          <a:extLst>
            <a:ext uri="{FF2B5EF4-FFF2-40B4-BE49-F238E27FC236}">
              <a16:creationId xmlns:a16="http://schemas.microsoft.com/office/drawing/2014/main" id="{CABAF36A-DD74-41C6-B8B1-C637CCCE5B08}"/>
            </a:ext>
          </a:extLst>
        </xdr:cNvPr>
        <xdr:cNvSpPr/>
      </xdr:nvSpPr>
      <xdr:spPr>
        <a:xfrm>
          <a:off x="10644909" y="3740727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1847" name="Picture 1846" descr="A black and white symbol&#10;&#10;Description automatically generated">
          <a:extLst>
            <a:ext uri="{FF2B5EF4-FFF2-40B4-BE49-F238E27FC236}">
              <a16:creationId xmlns:a16="http://schemas.microsoft.com/office/drawing/2014/main" id="{0D5065AC-C4FA-4217-9868-8EEC2BA2A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727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161637</xdr:colOff>
      <xdr:row>18</xdr:row>
      <xdr:rowOff>161637</xdr:rowOff>
    </xdr:from>
    <xdr:to>
      <xdr:col>35</xdr:col>
      <xdr:colOff>120266</xdr:colOff>
      <xdr:row>19</xdr:row>
      <xdr:rowOff>151053</xdr:rowOff>
    </xdr:to>
    <xdr:sp macro="" textlink="">
      <xdr:nvSpPr>
        <xdr:cNvPr id="1838" name="5-Point Star 520">
          <a:extLst>
            <a:ext uri="{FF2B5EF4-FFF2-40B4-BE49-F238E27FC236}">
              <a16:creationId xmlns:a16="http://schemas.microsoft.com/office/drawing/2014/main" id="{8D57C208-F8ED-4B81-880A-C10A1FBB6108}"/>
            </a:ext>
          </a:extLst>
        </xdr:cNvPr>
        <xdr:cNvSpPr/>
      </xdr:nvSpPr>
      <xdr:spPr>
        <a:xfrm>
          <a:off x="11799455" y="377536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138545</xdr:colOff>
      <xdr:row>18</xdr:row>
      <xdr:rowOff>138545</xdr:rowOff>
    </xdr:from>
    <xdr:to>
      <xdr:col>38</xdr:col>
      <xdr:colOff>97174</xdr:colOff>
      <xdr:row>19</xdr:row>
      <xdr:rowOff>127961</xdr:rowOff>
    </xdr:to>
    <xdr:sp macro="" textlink="">
      <xdr:nvSpPr>
        <xdr:cNvPr id="1839" name="5-Point Star 520">
          <a:extLst>
            <a:ext uri="{FF2B5EF4-FFF2-40B4-BE49-F238E27FC236}">
              <a16:creationId xmlns:a16="http://schemas.microsoft.com/office/drawing/2014/main" id="{B2A40BA2-3816-4B5E-AA73-70AABBACCA28}"/>
            </a:ext>
          </a:extLst>
        </xdr:cNvPr>
        <xdr:cNvSpPr/>
      </xdr:nvSpPr>
      <xdr:spPr>
        <a:xfrm>
          <a:off x="12861636" y="3752272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150091</xdr:colOff>
      <xdr:row>18</xdr:row>
      <xdr:rowOff>127000</xdr:rowOff>
    </xdr:from>
    <xdr:to>
      <xdr:col>41</xdr:col>
      <xdr:colOff>108720</xdr:colOff>
      <xdr:row>19</xdr:row>
      <xdr:rowOff>116416</xdr:rowOff>
    </xdr:to>
    <xdr:sp macro="" textlink="">
      <xdr:nvSpPr>
        <xdr:cNvPr id="1841" name="5-Point Star 520">
          <a:extLst>
            <a:ext uri="{FF2B5EF4-FFF2-40B4-BE49-F238E27FC236}">
              <a16:creationId xmlns:a16="http://schemas.microsoft.com/office/drawing/2014/main" id="{D69406B3-FBB3-42B0-9A67-7FAD25173DAD}"/>
            </a:ext>
          </a:extLst>
        </xdr:cNvPr>
        <xdr:cNvSpPr/>
      </xdr:nvSpPr>
      <xdr:spPr>
        <a:xfrm>
          <a:off x="13912273" y="3740727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184695" y="66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306608" y="6879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210675" y="6985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125075" y="687917"/>
          <a:ext cx="5136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210925" y="6985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115800" y="686594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210925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125075" y="2190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220075" y="2201574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1723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12</xdr:row>
      <xdr:rowOff>1744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6640286" y="2104571"/>
          <a:ext cx="537656" cy="36460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514850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2960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9210675" y="371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543175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09600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55257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54317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256442</xdr:colOff>
      <xdr:row>27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514850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29602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71723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12109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115800" y="523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609600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4514850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62960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71723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1210925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2115800" y="676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3115925" y="6762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194387</xdr:rowOff>
    </xdr:from>
    <xdr:to>
      <xdr:col>6</xdr:col>
      <xdr:colOff>0</xdr:colOff>
      <xdr:row>43</xdr:row>
      <xdr:rowOff>194386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552575" y="8290637"/>
          <a:ext cx="523875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18</xdr:col>
      <xdr:colOff>0</xdr:colOff>
      <xdr:row>44</xdr:row>
      <xdr:rowOff>0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381625" y="8286750"/>
          <a:ext cx="533400" cy="3810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0125075" y="828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12115800" y="828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3115925" y="828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609600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155257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256442</xdr:colOff>
      <xdr:row>51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62960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717232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822007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0125075" y="981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12109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609600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1552575" y="11334750"/>
          <a:ext cx="532456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5431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6099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3816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71723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82200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9210675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0125075" y="1133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112109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12115800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13115925" y="1133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60960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360997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4514850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38162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62960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71723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82200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9210675" y="1285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10125075" y="12858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112109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12115800" y="1285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13115925" y="12858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60960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15525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5431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4514850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396346" y="14393574"/>
          <a:ext cx="51816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62960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717232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82200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9210675" y="1438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10125075" y="14382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1121092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12115800" y="1438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3115925" y="1438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609600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55257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451485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6294665" y="15906750"/>
          <a:ext cx="51213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717232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8220075" y="15906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9210675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10125075" y="15906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1121092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12115800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13115925" y="1590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60960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15525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25431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360997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514850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53816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62960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71723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822007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9210675" y="17430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10125075" y="17430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112109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12115800" y="17430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13115925" y="17430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609600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15525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25431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36099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357190</xdr:colOff>
      <xdr:row>98</xdr:row>
      <xdr:rowOff>10824</xdr:rowOff>
    </xdr:from>
    <xdr:to>
      <xdr:col>15</xdr:col>
      <xdr:colOff>1</xdr:colOff>
      <xdr:row>100</xdr:row>
      <xdr:rowOff>1229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4500565" y="18965574"/>
          <a:ext cx="547686" cy="37140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538162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629602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7185932" y="18968357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82200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9210675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10125075" y="1895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112109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12115800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13115925" y="1895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60960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15525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254317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360997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4514850" y="20478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538162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62960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71723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155257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2543175" y="687916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31751</xdr:rowOff>
    </xdr:from>
    <xdr:to>
      <xdr:col>12</xdr:col>
      <xdr:colOff>9071</xdr:colOff>
      <xdr:row>3</xdr:row>
      <xdr:rowOff>172359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3728357" y="684894"/>
          <a:ext cx="571500" cy="32203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390070</xdr:colOff>
      <xdr:row>2</xdr:row>
      <xdr:rowOff>31750</xdr:rowOff>
    </xdr:from>
    <xdr:to>
      <xdr:col>15</xdr:col>
      <xdr:colOff>27213</xdr:colOff>
      <xdr:row>3</xdr:row>
      <xdr:rowOff>172358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4680856" y="684893"/>
          <a:ext cx="589643" cy="32203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538162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1552575" y="37082942"/>
          <a:ext cx="52314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2543175" y="370829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3609975" y="370935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136" name="5-Point Star 520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1711325" y="37199358"/>
          <a:ext cx="223309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137" name="Curved Connector 523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CxnSpPr/>
      </xdr:nvCxnSpPr>
      <xdr:spPr>
        <a:xfrm rot="16200000" flipH="1">
          <a:off x="2296583" y="36582350"/>
          <a:ext cx="10584" cy="9906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/>
      </xdr:nvCxnSpPr>
      <xdr:spPr>
        <a:xfrm>
          <a:off x="1440657" y="366688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CxnSpPr/>
      </xdr:nvCxnSpPr>
      <xdr:spPr>
        <a:xfrm>
          <a:off x="2124075" y="366807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CxnSpPr/>
      </xdr:nvCxnSpPr>
      <xdr:spPr>
        <a:xfrm>
          <a:off x="3112293" y="366807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CxnSpPr/>
      </xdr:nvCxnSpPr>
      <xdr:spPr>
        <a:xfrm>
          <a:off x="1109134" y="370723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>
          <a:off x="1333500" y="377496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143" name="Picture 1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884" y="376861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/>
      </xdr:nvCxnSpPr>
      <xdr:spPr>
        <a:xfrm flipH="1" flipV="1">
          <a:off x="2085710" y="379507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/>
      </xdr:nvCxnSpPr>
      <xdr:spPr>
        <a:xfrm flipH="1" flipV="1">
          <a:off x="3469481" y="380857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146" name="Lightning Bolt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 rot="2857557">
          <a:off x="5150999" y="380386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147" name="Lightning Bolt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 rot="2857557">
          <a:off x="5168418" y="376823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148" name="Arrow: Up 169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5179221" y="368950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149" name="Arrow: Up 170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5179220" y="365021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150" name="Arrow: Up-Down 17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5191124" y="372522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151" name="Picture 95405" descr="LADDER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0805" y="373594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152" name="Picture 15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438898" y="365722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53" name="Arrow: Up 174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2121910" y="25360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54" name="Arrow: Up 175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4239706" y="25262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55" name="Arrow: Up 176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1357313" y="4071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56" name="Arrow: Up 177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7836694" y="407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57" name="Arrow: Up 178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1262063" y="559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58" name="Arrow: Up 179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6110937" y="559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59" name="Arrow: Up 180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7879990" y="55753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60" name="Arrow: Up 18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9900587" y="7098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61" name="Arrow: Up 182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11865769" y="864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62" name="Arrow: Up 183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12668250" y="8643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63" name="Arrow: Up 18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10768229" y="86547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64" name="Arrow: Up 185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3240016" y="101462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65" name="Arrow: Up 186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6938747" y="101354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66" name="Arrow: Up 187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8896350" y="1169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67" name="Arrow: Up 188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10715192" y="11670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68" name="Arrow: Up 189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3207544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69" name="Arrow: Up 190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4279755" y="13226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70" name="Arrow: Up 19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5191125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71" name="Arrow: Up 192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6057900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72" name="Arrow: Up 193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7836694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73" name="Arrow: Up 19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9901670" y="1321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74" name="Arrow: Up 195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2261538" y="147507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75" name="Arrow: Up 196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3306041" y="147182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76" name="Arrow: Up 197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6935499" y="147399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77" name="Arrow: Up 198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9923318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178" name="Arrow: Up 199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12675827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179" name="Arrow: Up 200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1371382" y="1626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180" name="Arrow: Up 20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5083968" y="1626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181" name="Arrow: Up 20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7741443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182" name="Arrow: Up 203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7908131" y="17787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183" name="Arrow: Up 204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12763500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184" name="Arrow: Up 205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3207544" y="19322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185" name="Arrow: Up 206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1218767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82200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9210675" y="2047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10125075" y="20478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112109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12115800" y="2047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13115925" y="20478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193" name="Arrow: Up 214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9834562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194" name="Arrow: Up 215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10675144" y="1931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195" name="Arrow: Up 216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1187377" y="208575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18764250"/>
          <a:ext cx="543895" cy="20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87642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7175256" y="113420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82200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11223137" y="12854109"/>
          <a:ext cx="511663" cy="37261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10125075" y="128587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609600" y="14392741"/>
          <a:ext cx="525337" cy="3581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13115925" y="12858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12115800" y="128587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15525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16912</xdr:rowOff>
    </xdr:from>
    <xdr:to>
      <xdr:col>12</xdr:col>
      <xdr:colOff>11616</xdr:colOff>
      <xdr:row>76</xdr:row>
      <xdr:rowOff>0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3609975" y="14399662"/>
          <a:ext cx="545016" cy="3640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4514850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25431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71723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82200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9210675" y="1438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112109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620424" y="6863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62960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36099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25431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823244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10122048" y="113335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53816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9210675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539399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13115925" y="15906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12115800" y="15906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12115800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112109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177476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13115925" y="11334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60960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1552575" y="17430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609600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4514850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12115800" y="18954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4527220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1121092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6307931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13115925" y="18954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25431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6296025" y="15906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609600" y="159067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36099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60960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25431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451485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155257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3609975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10125075" y="174307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155257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82200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36099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13115925" y="14382750"/>
          <a:ext cx="5898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9210675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53816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9210675" y="20478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13115925" y="17430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82200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451485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1552575" y="1895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6296025" y="17430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71723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12115800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629602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822007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112109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62960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4514850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7172325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8223532" y="676055"/>
          <a:ext cx="527781" cy="3693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6298746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268" name="5-Point Star 520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 flipH="1">
          <a:off x="22986206" y="126087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269" name="Curved Connector 522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CxnSpPr/>
      </xdr:nvCxnSpPr>
      <xdr:spPr>
        <a:xfrm rot="16200000" flipH="1">
          <a:off x="3361502" y="365571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256442</xdr:colOff>
      <xdr:row>171</xdr:row>
      <xdr:rowOff>183173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609600" y="3267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5525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25431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36099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451485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53816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62960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717232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822007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9210675" y="2200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10125075" y="22002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1121092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12115800" y="2200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13115925" y="22002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292" name="Picture 2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60960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25431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155257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36099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53816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9210675" y="2200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82200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451485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71723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629602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15525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25431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36099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451485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53816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62960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71723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82200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9210675" y="2352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10125075" y="23526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11210925" y="2352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12115800" y="2352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13115925" y="2352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317" name="Arrow: Up 35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1273968" y="2388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609600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25431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155257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36099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538162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9210675" y="2352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82200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4514850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717232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629602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188966</xdr:rowOff>
    </xdr:from>
    <xdr:to>
      <xdr:col>6</xdr:col>
      <xdr:colOff>0</xdr:colOff>
      <xdr:row>132</xdr:row>
      <xdr:rowOff>0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1552575" y="25049216"/>
          <a:ext cx="523875" cy="38253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25431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36099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332" name="Isosceles Triangl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451485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53816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62960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335" name="Isosceles Triangl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71723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82200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337" name="Isosceles Triangl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9210675" y="250507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10125075" y="25050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11210925" y="25050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340" name="Isosceles Triangl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12115800" y="2505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13115925" y="2505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60960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25431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36099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53816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9210675" y="25050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82200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451485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71723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6296025" y="25050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15525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25431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354" name="Isosceles Triangl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36099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355" name="Isosceles Triangl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451485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356" name="Isosceles Triangl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53816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357" name="Isosceles Triangl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62960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358" name="Isosceles Triangl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71723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359" name="Isosceles Triangl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82200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9210675" y="2657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>
        <a:xfrm>
          <a:off x="10125075" y="26574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>
        <a:xfrm>
          <a:off x="11210925" y="26574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>
        <a:xfrm>
          <a:off x="12115800" y="26574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xfrm>
          <a:off x="13115925" y="26574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365" name="Arrow: Up 399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>
        <a:xfrm>
          <a:off x="1273968" y="2693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609600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25431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1552575" y="26574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36099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538162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9210675" y="26574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82200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4514850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717232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6296025" y="26574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15525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25431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36099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451485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53816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62960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71723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82200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9210675" y="2809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10125075" y="28098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11210925" y="28098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12115800" y="28098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13115925" y="28098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390" name="Arrow: Up 424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1273968" y="2845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609600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25431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155257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36099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53816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xfrm>
          <a:off x="9210675" y="28098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8220075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4514850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71723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629602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15525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25431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36099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>
        <a:xfrm>
          <a:off x="451485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5392449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62960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71723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82200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9210675" y="2962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/>
      </xdr:nvSpPr>
      <xdr:spPr>
        <a:xfrm>
          <a:off x="10125075" y="29622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11210925" y="29622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12115800" y="29622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>
        <a:xfrm>
          <a:off x="13115925" y="29622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415" name="Arrow: Up 449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/>
      </xdr:nvSpPr>
      <xdr:spPr>
        <a:xfrm>
          <a:off x="1209025" y="299474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>
        <a:xfrm>
          <a:off x="60960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>
        <a:xfrm>
          <a:off x="25431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155257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36099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53816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/>
      </xdr:nvSpPr>
      <xdr:spPr>
        <a:xfrm>
          <a:off x="9210675" y="29622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>
        <a:xfrm>
          <a:off x="82200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451485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71723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629602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15363</xdr:colOff>
      <xdr:row>162</xdr:row>
      <xdr:rowOff>15363</xdr:rowOff>
    </xdr:from>
    <xdr:to>
      <xdr:col>6</xdr:col>
      <xdr:colOff>16474</xdr:colOff>
      <xdr:row>164</xdr:row>
      <xdr:rowOff>14181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1567938" y="31162113"/>
          <a:ext cx="524986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25431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36099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451485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62960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71723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82200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9210675" y="3114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11210925" y="3114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436" name="Isosceles Triangle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12115800" y="3114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437" name="Isosceles Triangl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13115925" y="3114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438" name="Arrow: Up 474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1273968" y="3150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439" name="Isosceles Triangl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>
        <a:xfrm>
          <a:off x="60960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25431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155257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36099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9210675" y="3114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82200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451485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717232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629602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25431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36099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4514850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53816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62960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71723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82200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9210675" y="32670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10125075" y="32670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457" name="Isosceles Triangle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11210925" y="32670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12115800" y="3267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13115925" y="3267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460" name="Isosceles Triangle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36099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538162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9210675" y="32670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82200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4514850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717232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6296025" y="32670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256442</xdr:colOff>
      <xdr:row>179</xdr:row>
      <xdr:rowOff>183173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15525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25431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36099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451485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53816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>
          <a:off x="62960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71723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>
          <a:off x="82200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>
        <a:xfrm>
          <a:off x="9210675" y="3419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>
        <a:xfrm>
          <a:off x="10125075" y="34194750"/>
          <a:ext cx="5136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/>
      </xdr:nvSpPr>
      <xdr:spPr>
        <a:xfrm>
          <a:off x="11210925" y="34194750"/>
          <a:ext cx="52314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/>
      </xdr:nvSpPr>
      <xdr:spPr>
        <a:xfrm>
          <a:off x="12115800" y="34194750"/>
          <a:ext cx="50409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/>
      </xdr:nvSpPr>
      <xdr:spPr>
        <a:xfrm>
          <a:off x="13115925" y="34194750"/>
          <a:ext cx="5898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>
          <a:off x="609600" y="3419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482" name="Isosceles Triangle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>
          <a:off x="25431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483" name="Isosceles Triangle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1552575" y="34194750"/>
          <a:ext cx="523143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484" name="Isosceles Triangle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36099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538162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9210675" y="34194750"/>
          <a:ext cx="50409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82200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4514850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717232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6296025" y="34194750"/>
          <a:ext cx="523143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491" name="Arrow: Up 256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129886" y="25327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492" name="Arrow: Up 256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2303470" y="25322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493" name="Arrow: Up 256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5151726" y="25249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494" name="Arrow: Up 256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7792316" y="25544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495" name="Arrow: Up 232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/>
      </xdr:nvSpPr>
      <xdr:spPr>
        <a:xfrm>
          <a:off x="7954673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496" name="Arrow: Up-Down 28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8138679" y="25760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497" name="Arrow: Up 232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8829242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498" name="Arrow: Up 256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9769619" y="25436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499" name="Arrow: Up 232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9953625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500" name="Arrow: Up 256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10780134" y="25436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501" name="Arrow: Up 233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/>
      </xdr:nvSpPr>
      <xdr:spPr>
        <a:xfrm>
          <a:off x="11788919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502" name="Arrow: Up 256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118197" y="40576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503" name="Arrow: Up 256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1207943" y="4067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504" name="Arrow: Up 256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/>
      </xdr:nvSpPr>
      <xdr:spPr>
        <a:xfrm>
          <a:off x="3198451" y="40684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505" name="Arrow: Up 256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4165023" y="4056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506" name="Arrow: Up 228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/>
      </xdr:nvSpPr>
      <xdr:spPr>
        <a:xfrm>
          <a:off x="4327381" y="404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507" name="Arrow: Up 25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/>
      </xdr:nvSpPr>
      <xdr:spPr>
        <a:xfrm>
          <a:off x="5124017" y="4067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508" name="Arrow: Up 241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/>
      </xdr:nvSpPr>
      <xdr:spPr>
        <a:xfrm>
          <a:off x="5915025" y="40957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509" name="Arrow: Up-Down 285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/>
      </xdr:nvSpPr>
      <xdr:spPr>
        <a:xfrm>
          <a:off x="6088207" y="40784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510" name="Arrow: Up 256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/>
      </xdr:nvSpPr>
      <xdr:spPr>
        <a:xfrm>
          <a:off x="8830541" y="40468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511" name="Arrow: Up 237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/>
      </xdr:nvSpPr>
      <xdr:spPr>
        <a:xfrm>
          <a:off x="10769311" y="4067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512" name="Arrow: Up 237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/>
      </xdr:nvSpPr>
      <xdr:spPr>
        <a:xfrm>
          <a:off x="11810568" y="407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513" name="Arrow: Up 256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/>
      </xdr:nvSpPr>
      <xdr:spPr>
        <a:xfrm>
          <a:off x="12728863" y="40784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514" name="Arrow: Up 239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/>
      </xdr:nvSpPr>
      <xdr:spPr>
        <a:xfrm>
          <a:off x="2173865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142875</xdr:colOff>
      <xdr:row>30</xdr:row>
      <xdr:rowOff>30237</xdr:rowOff>
    </xdr:to>
    <xdr:sp macro="" textlink="">
      <xdr:nvSpPr>
        <xdr:cNvPr id="515" name="Arrow: Up 256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/>
      </xdr:nvSpPr>
      <xdr:spPr>
        <a:xfrm>
          <a:off x="3076575" y="5619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516" name="Arrow: Up-Down 28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/>
      </xdr:nvSpPr>
      <xdr:spPr>
        <a:xfrm>
          <a:off x="3238933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517" name="Arrow: Up-Down 285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3390467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518" name="Arrow: Up 240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5124017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519" name="Arrow: Up 240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/>
      </xdr:nvSpPr>
      <xdr:spPr>
        <a:xfrm>
          <a:off x="5931693" y="55903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520" name="Arrow: Up 256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8861714" y="558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521" name="Arrow: Up 24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>
          <a:off x="11788919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522" name="Arrow: Up 256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/>
      </xdr:nvSpPr>
      <xdr:spPr>
        <a:xfrm>
          <a:off x="12696392" y="55807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523" name="Arrow: Up 241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/>
      </xdr:nvSpPr>
      <xdr:spPr>
        <a:xfrm>
          <a:off x="86591" y="70831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524" name="Arrow: Up 241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/>
      </xdr:nvSpPr>
      <xdr:spPr>
        <a:xfrm>
          <a:off x="1272887" y="709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525" name="Arrow: Up 256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/>
      </xdr:nvSpPr>
      <xdr:spPr>
        <a:xfrm>
          <a:off x="2173864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526" name="Arrow: Up 256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/>
      </xdr:nvSpPr>
      <xdr:spPr>
        <a:xfrm>
          <a:off x="415419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527" name="Arrow: Up 25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/>
      </xdr:nvSpPr>
      <xdr:spPr>
        <a:xfrm>
          <a:off x="4316556" y="7126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528" name="Arrow: Up 243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/>
      </xdr:nvSpPr>
      <xdr:spPr>
        <a:xfrm>
          <a:off x="6034088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529" name="Arrow: Up 256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/>
      </xdr:nvSpPr>
      <xdr:spPr>
        <a:xfrm>
          <a:off x="7705725" y="7143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530" name="Arrow: Up 243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/>
      </xdr:nvSpPr>
      <xdr:spPr>
        <a:xfrm>
          <a:off x="7857259" y="713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531" name="Arrow: Up-Down 285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/>
      </xdr:nvSpPr>
      <xdr:spPr>
        <a:xfrm>
          <a:off x="8019617" y="71545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532" name="Arrow: Up 256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/>
      </xdr:nvSpPr>
      <xdr:spPr>
        <a:xfrm>
          <a:off x="9728705" y="71013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533" name="Arrow: Up 244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/>
      </xdr:nvSpPr>
      <xdr:spPr>
        <a:xfrm>
          <a:off x="10769312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534" name="Arrow: Up 256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/>
      </xdr:nvSpPr>
      <xdr:spPr>
        <a:xfrm>
          <a:off x="1178891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535" name="Arrow: Up 256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>
          <a:off x="12739688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536" name="Arrow: Up 243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xfrm>
          <a:off x="1262062" y="863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537" name="Arrow: Up 243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/>
      </xdr:nvSpPr>
      <xdr:spPr>
        <a:xfrm>
          <a:off x="5134841" y="8628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538" name="Arrow: Up 252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/>
      </xdr:nvSpPr>
      <xdr:spPr>
        <a:xfrm>
          <a:off x="5080722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539" name="Arrow: Up 252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/>
      </xdr:nvSpPr>
      <xdr:spPr>
        <a:xfrm>
          <a:off x="5232255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540" name="Arrow: Up-Down 285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/>
      </xdr:nvSpPr>
      <xdr:spPr>
        <a:xfrm>
          <a:off x="7759844" y="10174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541" name="Arrow: Up-Down 285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/>
      </xdr:nvSpPr>
      <xdr:spPr>
        <a:xfrm>
          <a:off x="7943850" y="10185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542" name="Arrow: Up 25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/>
      </xdr:nvSpPr>
      <xdr:spPr>
        <a:xfrm>
          <a:off x="10671897" y="1017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543" name="Arrow: Up 247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/>
      </xdr:nvSpPr>
      <xdr:spPr>
        <a:xfrm>
          <a:off x="10855903" y="10174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544" name="Arrow: Up 247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/>
      </xdr:nvSpPr>
      <xdr:spPr>
        <a:xfrm>
          <a:off x="11756448" y="10152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545" name="Arrow: Up 251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/>
      </xdr:nvSpPr>
      <xdr:spPr>
        <a:xfrm>
          <a:off x="11940453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546" name="Arrow: Up 251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xfrm>
          <a:off x="1218767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547" name="Arrow: Up 251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/>
      </xdr:nvSpPr>
      <xdr:spPr>
        <a:xfrm>
          <a:off x="6905192" y="11687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548" name="Arrow: Up 251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xfrm>
          <a:off x="7846435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549" name="Arrow: Up 255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/>
      </xdr:nvSpPr>
      <xdr:spPr>
        <a:xfrm>
          <a:off x="9812915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550" name="Arrow: Up 247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xfrm>
          <a:off x="10910021" y="11676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551" name="Arrow: Up-Down 285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/>
      </xdr:nvSpPr>
      <xdr:spPr>
        <a:xfrm>
          <a:off x="11843038" y="11698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552" name="Arrow: Up-Down 285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/>
      </xdr:nvSpPr>
      <xdr:spPr>
        <a:xfrm>
          <a:off x="12847926" y="11715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553" name="Arrow: Up 257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/>
      </xdr:nvSpPr>
      <xdr:spPr>
        <a:xfrm>
          <a:off x="12663921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554" name="Arrow: Up-Down 285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/>
      </xdr:nvSpPr>
      <xdr:spPr>
        <a:xfrm>
          <a:off x="1251238" y="13222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555" name="Arrow: Up-Down 285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/>
      </xdr:nvSpPr>
      <xdr:spPr>
        <a:xfrm>
          <a:off x="3347172" y="13211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556" name="Arrow: Up 268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/>
      </xdr:nvSpPr>
      <xdr:spPr>
        <a:xfrm>
          <a:off x="9737148" y="13211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557" name="Arrow: Up 269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/>
      </xdr:nvSpPr>
      <xdr:spPr>
        <a:xfrm>
          <a:off x="10877550" y="13200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558" name="Arrow: Up 268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xfrm>
          <a:off x="10704368" y="13200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559" name="Arrow: Up 271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/>
      </xdr:nvSpPr>
      <xdr:spPr>
        <a:xfrm>
          <a:off x="1348654" y="1472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560" name="Arrow: Up 265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1175472" y="147139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561" name="Arrow: Up 265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2076450" y="14735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562" name="Arrow: Up 265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xfrm>
          <a:off x="3119870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563" name="Arrow: Up 265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/>
      </xdr:nvSpPr>
      <xdr:spPr>
        <a:xfrm>
          <a:off x="4240790" y="1473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564" name="Arrow: Up 265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/>
      </xdr:nvSpPr>
      <xdr:spPr>
        <a:xfrm>
          <a:off x="5059074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565" name="Arrow: Up 262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5210608" y="147356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566" name="Arrow: Up 2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5936673" y="14757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567" name="Arrow: Up 275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/>
      </xdr:nvSpPr>
      <xdr:spPr>
        <a:xfrm>
          <a:off x="7759845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568" name="Arrow: Up 262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xfrm>
          <a:off x="7943850" y="1473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569" name="Arrow: Up 262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/>
      </xdr:nvSpPr>
      <xdr:spPr>
        <a:xfrm>
          <a:off x="8969952" y="14724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570" name="Arrow: Up 275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/>
      </xdr:nvSpPr>
      <xdr:spPr>
        <a:xfrm>
          <a:off x="8796771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571" name="Arrow: Up 275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/>
      </xdr:nvSpPr>
      <xdr:spPr>
        <a:xfrm>
          <a:off x="972632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572" name="Arrow: Up 275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/>
      </xdr:nvSpPr>
      <xdr:spPr>
        <a:xfrm>
          <a:off x="1080178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573" name="Arrow: Up 275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/>
      </xdr:nvSpPr>
      <xdr:spPr>
        <a:xfrm>
          <a:off x="11853862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574" name="Arrow: Up 275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/>
      </xdr:nvSpPr>
      <xdr:spPr>
        <a:xfrm>
          <a:off x="0" y="16287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575" name="Arrow: Up 279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/>
      </xdr:nvSpPr>
      <xdr:spPr>
        <a:xfrm>
          <a:off x="162358" y="162877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576" name="Arrow: Up 2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/>
      </xdr:nvSpPr>
      <xdr:spPr>
        <a:xfrm>
          <a:off x="1194304" y="162648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577" name="Arrow: Up 279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/>
      </xdr:nvSpPr>
      <xdr:spPr>
        <a:xfrm>
          <a:off x="2163040" y="162596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578" name="Arrow: Up 275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/>
      </xdr:nvSpPr>
      <xdr:spPr>
        <a:xfrm>
          <a:off x="4240790" y="16248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579" name="Arrow: Up 281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/>
      </xdr:nvSpPr>
      <xdr:spPr>
        <a:xfrm>
          <a:off x="6034088" y="16287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580" name="Arrow: Up 284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/>
      </xdr:nvSpPr>
      <xdr:spPr>
        <a:xfrm>
          <a:off x="8850890" y="162379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581" name="Arrow: Up 28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/>
      </xdr:nvSpPr>
      <xdr:spPr>
        <a:xfrm>
          <a:off x="9856210" y="16237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582" name="Arrow: Up 286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/>
      </xdr:nvSpPr>
      <xdr:spPr>
        <a:xfrm>
          <a:off x="11832215" y="1625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583" name="Arrow: Up 275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/>
      </xdr:nvSpPr>
      <xdr:spPr>
        <a:xfrm>
          <a:off x="2173865" y="177944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584" name="Arrow: Up 289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/>
      </xdr:nvSpPr>
      <xdr:spPr>
        <a:xfrm>
          <a:off x="3238933" y="1779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585" name="Arrow: Up 275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/>
      </xdr:nvSpPr>
      <xdr:spPr>
        <a:xfrm>
          <a:off x="4143375" y="17811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586" name="Arrow: Up 289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/>
      </xdr:nvSpPr>
      <xdr:spPr>
        <a:xfrm>
          <a:off x="4294909" y="1780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587" name="Arrow: Up 29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/>
      </xdr:nvSpPr>
      <xdr:spPr>
        <a:xfrm>
          <a:off x="1359477" y="192967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588" name="Arrow: Up 291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6055735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589" name="Arrow: Up 310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/>
      </xdr:nvSpPr>
      <xdr:spPr>
        <a:xfrm>
          <a:off x="11821391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590" name="Arrow: Up 296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xfrm>
          <a:off x="1359477" y="208597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591" name="Arrow: Up 296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/>
      </xdr:nvSpPr>
      <xdr:spPr>
        <a:xfrm>
          <a:off x="2206336" y="2080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592" name="Arrow: Up 296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3217285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593" name="Arrow: Up 31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/>
      </xdr:nvSpPr>
      <xdr:spPr>
        <a:xfrm>
          <a:off x="4240790" y="20831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594" name="Arrow: Up 31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/>
      </xdr:nvSpPr>
      <xdr:spPr>
        <a:xfrm>
          <a:off x="6861897" y="2082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595" name="Arrow: Up-Down 285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/>
      </xdr:nvSpPr>
      <xdr:spPr>
        <a:xfrm>
          <a:off x="7024255" y="20842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596" name="Arrow: Up 296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/>
      </xdr:nvSpPr>
      <xdr:spPr>
        <a:xfrm>
          <a:off x="7878906" y="20820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597" name="Arrow: Up 2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/>
      </xdr:nvSpPr>
      <xdr:spPr>
        <a:xfrm>
          <a:off x="10758488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598" name="Arrow: Up 296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/>
      </xdr:nvSpPr>
      <xdr:spPr>
        <a:xfrm>
          <a:off x="11918806" y="208424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599" name="Arrow: Up 313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/>
      </xdr:nvSpPr>
      <xdr:spPr>
        <a:xfrm>
          <a:off x="11756448" y="20853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600" name="Arrow: Up 296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/>
      </xdr:nvSpPr>
      <xdr:spPr>
        <a:xfrm>
          <a:off x="12739688" y="2082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601" name="Arrow: Up 296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/>
      </xdr:nvSpPr>
      <xdr:spPr>
        <a:xfrm>
          <a:off x="1251239" y="2235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602" name="Arrow: Up 296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/>
      </xdr:nvSpPr>
      <xdr:spPr>
        <a:xfrm>
          <a:off x="21846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603" name="Arrow: Up 296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/>
      </xdr:nvSpPr>
      <xdr:spPr>
        <a:xfrm>
          <a:off x="3152342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604" name="Arrow: Up-Down 285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/>
      </xdr:nvSpPr>
      <xdr:spPr>
        <a:xfrm>
          <a:off x="3336348" y="2235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605" name="Arrow: Up 296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/>
      </xdr:nvSpPr>
      <xdr:spPr>
        <a:xfrm>
          <a:off x="4229966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606" name="Arrow: Up 296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/>
      </xdr:nvSpPr>
      <xdr:spPr>
        <a:xfrm>
          <a:off x="5134841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607" name="Arrow: Up 29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/>
      </xdr:nvSpPr>
      <xdr:spPr>
        <a:xfrm>
          <a:off x="6905192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608" name="Arrow: Up 296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/>
      </xdr:nvSpPr>
      <xdr:spPr>
        <a:xfrm>
          <a:off x="9823739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609" name="Arrow: Up 296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/>
      </xdr:nvSpPr>
      <xdr:spPr>
        <a:xfrm>
          <a:off x="107584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610" name="Arrow: Up 296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/>
      </xdr:nvSpPr>
      <xdr:spPr>
        <a:xfrm>
          <a:off x="12728863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611" name="Arrow: Up 296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/>
      </xdr:nvSpPr>
      <xdr:spPr>
        <a:xfrm>
          <a:off x="3249756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612" name="Arrow: Up 296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/>
      </xdr:nvSpPr>
      <xdr:spPr>
        <a:xfrm>
          <a:off x="5145665" y="2386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613" name="Arrow: Up 296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/>
      </xdr:nvSpPr>
      <xdr:spPr>
        <a:xfrm>
          <a:off x="10780135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614" name="Arrow: Up 296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/>
      </xdr:nvSpPr>
      <xdr:spPr>
        <a:xfrm>
          <a:off x="12761335" y="23868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615" name="Arrow: Up 296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1262062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616" name="Arrow: Up 296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3217285" y="254252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617" name="Arrow: Up 29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/>
      </xdr:nvSpPr>
      <xdr:spPr>
        <a:xfrm>
          <a:off x="5145665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618" name="Arrow: Up 296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6980960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619" name="Arrow: Up 805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/>
      </xdr:nvSpPr>
      <xdr:spPr>
        <a:xfrm>
          <a:off x="6829425" y="25381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620" name="Arrow: Up 805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/>
      </xdr:nvSpPr>
      <xdr:spPr>
        <a:xfrm>
          <a:off x="8785946" y="25403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621" name="Arrow: Up 296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/>
      </xdr:nvSpPr>
      <xdr:spPr>
        <a:xfrm>
          <a:off x="8991600" y="25392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622" name="Arrow: Up 296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/>
      </xdr:nvSpPr>
      <xdr:spPr>
        <a:xfrm>
          <a:off x="9845386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623" name="Arrow: Up 805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/>
      </xdr:nvSpPr>
      <xdr:spPr>
        <a:xfrm>
          <a:off x="2087274" y="269276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624" name="Arrow: Up 296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xfrm>
          <a:off x="2271279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625" name="Arrow: Up 805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6861897" y="268951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626" name="Arrow: Up 296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xfrm>
          <a:off x="7035078" y="268843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627" name="Arrow: Up 29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/>
      </xdr:nvSpPr>
      <xdr:spPr>
        <a:xfrm>
          <a:off x="10769312" y="26916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628" name="Arrow: Up 296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/>
      </xdr:nvSpPr>
      <xdr:spPr>
        <a:xfrm>
          <a:off x="11832215" y="2690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629" name="Arrow: Up 296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/>
      </xdr:nvSpPr>
      <xdr:spPr>
        <a:xfrm>
          <a:off x="12793807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630" name="Arrow: Up 296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/>
      </xdr:nvSpPr>
      <xdr:spPr>
        <a:xfrm>
          <a:off x="2163041" y="2844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631" name="Arrow: Up 296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/>
      </xdr:nvSpPr>
      <xdr:spPr>
        <a:xfrm>
          <a:off x="5969144" y="28451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632" name="Arrow: Up 296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/>
      </xdr:nvSpPr>
      <xdr:spPr>
        <a:xfrm>
          <a:off x="8926657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633" name="Arrow: Up 296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9747972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634" name="Arrow: Up-Down 285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/>
      </xdr:nvSpPr>
      <xdr:spPr>
        <a:xfrm>
          <a:off x="9921154" y="284407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635" name="Arrow: Up 913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/>
      </xdr:nvSpPr>
      <xdr:spPr>
        <a:xfrm>
          <a:off x="11843039" y="284624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636" name="Arrow: Up 296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/>
      </xdr:nvSpPr>
      <xdr:spPr>
        <a:xfrm>
          <a:off x="1370301" y="2995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637" name="Arrow: Up-Down 285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/>
      </xdr:nvSpPr>
      <xdr:spPr>
        <a:xfrm>
          <a:off x="3217285" y="299756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638" name="Arrow: Up 913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/>
      </xdr:nvSpPr>
      <xdr:spPr>
        <a:xfrm>
          <a:off x="4251613" y="2997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639" name="Arrow: Up-Down 285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/>
      </xdr:nvSpPr>
      <xdr:spPr>
        <a:xfrm>
          <a:off x="6055735" y="2997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640" name="Arrow: Up-Down 285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xfrm>
          <a:off x="6980959" y="30003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641" name="Arrow: Up 296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/>
      </xdr:nvSpPr>
      <xdr:spPr>
        <a:xfrm>
          <a:off x="6829425" y="2999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642" name="Arrow: Up-Down 285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/>
      </xdr:nvSpPr>
      <xdr:spPr>
        <a:xfrm>
          <a:off x="7943850" y="299539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643" name="Arrow: Up 296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/>
      </xdr:nvSpPr>
      <xdr:spPr>
        <a:xfrm>
          <a:off x="7803140" y="29953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644" name="Arrow: Up 91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/>
      </xdr:nvSpPr>
      <xdr:spPr>
        <a:xfrm>
          <a:off x="8883362" y="2996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645" name="Arrow: Up 296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/>
      </xdr:nvSpPr>
      <xdr:spPr>
        <a:xfrm>
          <a:off x="9834563" y="29986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646" name="Arrow: Up-Down 28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/>
      </xdr:nvSpPr>
      <xdr:spPr>
        <a:xfrm>
          <a:off x="10877550" y="29997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647" name="Arrow: Up 29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/>
      </xdr:nvSpPr>
      <xdr:spPr>
        <a:xfrm>
          <a:off x="10693545" y="2996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648" name="Arrow: Up 296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/>
      </xdr:nvSpPr>
      <xdr:spPr>
        <a:xfrm>
          <a:off x="4284085" y="31477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649" name="Arrow: Up 913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/>
      </xdr:nvSpPr>
      <xdr:spPr>
        <a:xfrm>
          <a:off x="7749021" y="31488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650" name="Arrow: Up 296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xfrm>
          <a:off x="7954673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651" name="Arrow: Up 913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/>
      </xdr:nvSpPr>
      <xdr:spPr>
        <a:xfrm>
          <a:off x="12653097" y="31488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652" name="Arrow: Up 296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/>
      </xdr:nvSpPr>
      <xdr:spPr>
        <a:xfrm>
          <a:off x="12858750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653" name="Arrow: Up 296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/>
      </xdr:nvSpPr>
      <xdr:spPr>
        <a:xfrm>
          <a:off x="1283710" y="330019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654" name="Arrow: Up 1075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/>
      </xdr:nvSpPr>
      <xdr:spPr>
        <a:xfrm>
          <a:off x="5069897" y="33023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655" name="Arrow: Up 296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/>
      </xdr:nvSpPr>
      <xdr:spPr>
        <a:xfrm>
          <a:off x="5221432" y="330344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656" name="Arrow: Up 296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/>
      </xdr:nvSpPr>
      <xdr:spPr>
        <a:xfrm>
          <a:off x="6937664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657" name="Arrow: Up 29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/>
      </xdr:nvSpPr>
      <xdr:spPr>
        <a:xfrm>
          <a:off x="7803140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658" name="Arrow: Up 296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/>
      </xdr:nvSpPr>
      <xdr:spPr>
        <a:xfrm>
          <a:off x="8894187" y="330236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659" name="Arrow: Up 296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/>
      </xdr:nvSpPr>
      <xdr:spPr>
        <a:xfrm>
          <a:off x="9845387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660" name="Arrow: Up 296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/>
      </xdr:nvSpPr>
      <xdr:spPr>
        <a:xfrm>
          <a:off x="10758488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661" name="Arrow: Up 296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/>
      </xdr:nvSpPr>
      <xdr:spPr>
        <a:xfrm>
          <a:off x="11821390" y="33023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662" name="Arrow: Up 296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/>
      </xdr:nvSpPr>
      <xdr:spPr>
        <a:xfrm>
          <a:off x="12750511" y="3302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663" name="Arrow: Up 281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/>
      </xdr:nvSpPr>
      <xdr:spPr>
        <a:xfrm>
          <a:off x="7835612" y="16259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664" name="Lightning Bolt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/>
      </xdr:nvSpPr>
      <xdr:spPr>
        <a:xfrm rot="2857557">
          <a:off x="6818763" y="57053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/>
      </xdr:nvSpPr>
      <xdr:spPr>
        <a:xfrm rot="2857557">
          <a:off x="7926285" y="132869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/>
      </xdr:nvSpPr>
      <xdr:spPr>
        <a:xfrm rot="2857557">
          <a:off x="6013754" y="148354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/>
      </xdr:nvSpPr>
      <xdr:spPr>
        <a:xfrm rot="2857557">
          <a:off x="8730672" y="178110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668" name="Lightning Bolt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/>
      </xdr:nvSpPr>
      <xdr:spPr>
        <a:xfrm rot="2857557">
          <a:off x="8735463" y="269009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669" name="Lightning Bolt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/>
      </xdr:nvSpPr>
      <xdr:spPr>
        <a:xfrm rot="2857557">
          <a:off x="6007704" y="285386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670" name="Picture 6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098017" y="101785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671" name="Picture 6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782983" y="16248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672" name="Picture 6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149504" y="299864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673" name="Picture 95405" descr="LADDER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826279" y="146165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674" name="Picture 6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675" name="Picture 6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676" name="Picture 6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677" name="Picture 6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9801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678" name="Picture 6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3529" y="29354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679" name="Picture 6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487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680" name="Picture 6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648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681" name="Picture 6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682" name="Picture 6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0</xdr:rowOff>
    </xdr:from>
    <xdr:ext cx="230186" cy="271084"/>
    <xdr:pic>
      <xdr:nvPicPr>
        <xdr:cNvPr id="683" name="Picture 6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274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684" name="Picture 6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685" name="Picture 6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686" name="Picture 6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6548" y="44486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687" name="Picture 6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688" name="Picture 6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073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689" name="Picture 6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690" name="Picture 6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691" name="Picture 6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692" name="Picture 6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693" name="Picture 6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9059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694" name="Picture 6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695" name="Picture 6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696" name="Picture 6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697" name="Picture 6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698" name="Picture 6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699" name="Picture 6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700" name="Picture 6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701" name="Picture 7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702" name="Picture 7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703" name="Picture 70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704" name="Picture 7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705" name="Picture 7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706" name="Picture 7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707" name="Picture 7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708" name="Picture 7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709" name="Picture 7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710" name="Picture 7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711" name="Picture 7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712" name="Picture 7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713" name="Picture 7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714" name="Picture 7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715" name="Picture 7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716" name="Picture 71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717" name="Picture 7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718" name="Picture 71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719" name="Picture 7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720" name="Picture 71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721" name="Picture 7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722" name="Picture 72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723" name="Picture 72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724" name="Picture 7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725" name="Picture 72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726" name="Picture 72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727" name="Picture 7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728" name="Picture 7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729" name="Picture 7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730" name="Picture 7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731" name="Picture 7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737" name="Lightning Bolt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/>
      </xdr:nvSpPr>
      <xdr:spPr>
        <a:xfrm rot="2857557">
          <a:off x="5104557" y="385112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738" name="Lightning Bolt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/>
      </xdr:nvSpPr>
      <xdr:spPr>
        <a:xfrm rot="2857557">
          <a:off x="7925798" y="164145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739" name="Lightning Bolt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/>
      </xdr:nvSpPr>
      <xdr:spPr>
        <a:xfrm rot="2857557">
          <a:off x="2243272" y="224377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740" name="Lightning Bolt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/>
      </xdr:nvSpPr>
      <xdr:spPr>
        <a:xfrm rot="2857557">
          <a:off x="10923577" y="300594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741" name="Picture 7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742" name="Picture 74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743" name="Picture 7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744" name="Picture 74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745" name="Picture 7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746" name="Picture 7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747" name="Picture 7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748" name="Picture 7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749" name="Picture 7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750" name="Picture 7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751" name="Picture 7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752" name="Picture 7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753" name="Picture 7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754" name="Picture 7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755" name="Picture 7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756" name="Picture 7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757" name="Picture 7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758" name="Picture 7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759" name="Picture 7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760" name="Picture 7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761" name="Picture 7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762" name="Picture 7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763" name="Picture 7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764" name="Picture 7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765" name="Picture 76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766" name="Picture 7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767" name="Picture 7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768" name="Picture 7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769" name="Picture 7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770" name="Picture 7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771" name="Picture 7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772" name="Picture 7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773" name="Picture 7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774" name="Picture 7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775" name="Picture 7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776" name="Picture 7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777" name="Picture 7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778" name="Picture 7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779" name="Picture 7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780" name="Picture 7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781" name="Picture 7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782" name="Picture 7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783" name="Picture 7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784" name="Picture 7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785" name="Picture 7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786" name="Picture 7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787" name="Picture 7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788" name="Picture 7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38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789" name="Picture 7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790" name="Picture 7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791" name="Picture 7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792" name="Picture 7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793" name="Picture 7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794" name="Lightning Bolt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/>
      </xdr:nvSpPr>
      <xdr:spPr>
        <a:xfrm rot="2857557">
          <a:off x="6068910" y="148776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795" name="Picture 7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707" y="75161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50</xdr:row>
      <xdr:rowOff>10703</xdr:rowOff>
    </xdr:from>
    <xdr:to>
      <xdr:col>39</xdr:col>
      <xdr:colOff>11616</xdr:colOff>
      <xdr:row>52</xdr:row>
      <xdr:rowOff>1236</xdr:rowOff>
    </xdr:to>
    <xdr:sp macro="" textlink="">
      <xdr:nvSpPr>
        <xdr:cNvPr id="796" name="Isosceles Triangle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/>
      </xdr:nvSpPr>
      <xdr:spPr>
        <a:xfrm>
          <a:off x="12115800" y="9821453"/>
          <a:ext cx="516441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/>
      </xdr:nvSpPr>
      <xdr:spPr>
        <a:xfrm>
          <a:off x="71723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/>
      </xdr:nvSpPr>
      <xdr:spPr>
        <a:xfrm>
          <a:off x="3609975" y="6762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487865</xdr:colOff>
      <xdr:row>26</xdr:row>
      <xdr:rowOff>0</xdr:rowOff>
    </xdr:from>
    <xdr:to>
      <xdr:col>42</xdr:col>
      <xdr:colOff>11616</xdr:colOff>
      <xdr:row>27</xdr:row>
      <xdr:rowOff>183174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/>
      </xdr:nvSpPr>
      <xdr:spPr>
        <a:xfrm>
          <a:off x="13108490" y="5238750"/>
          <a:ext cx="609601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800" name="Isosceles Triangle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/>
      </xdr:nvSpPr>
      <xdr:spPr>
        <a:xfrm>
          <a:off x="7184695" y="66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/>
      </xdr:nvSpPr>
      <xdr:spPr>
        <a:xfrm>
          <a:off x="6306608" y="6879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/>
      </xdr:nvSpPr>
      <xdr:spPr>
        <a:xfrm>
          <a:off x="9210675" y="6985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/>
      </xdr:nvSpPr>
      <xdr:spPr>
        <a:xfrm>
          <a:off x="10494818" y="679258"/>
          <a:ext cx="533533" cy="35154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/>
      </xdr:nvSpPr>
      <xdr:spPr>
        <a:xfrm>
          <a:off x="11820071" y="684893"/>
          <a:ext cx="537657" cy="34494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/>
      </xdr:nvSpPr>
      <xdr:spPr>
        <a:xfrm>
          <a:off x="12115800" y="686594"/>
          <a:ext cx="50409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/>
      </xdr:nvSpPr>
      <xdr:spPr>
        <a:xfrm>
          <a:off x="112109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807" name="Isosceles Triangle 806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/>
      </xdr:nvSpPr>
      <xdr:spPr>
        <a:xfrm>
          <a:off x="10125075" y="219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808" name="Isosceles Triangle 807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/>
      </xdr:nvSpPr>
      <xdr:spPr>
        <a:xfrm>
          <a:off x="8220075" y="2201574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/>
      </xdr:nvSpPr>
      <xdr:spPr>
        <a:xfrm>
          <a:off x="71723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/>
      </xdr:nvSpPr>
      <xdr:spPr>
        <a:xfrm>
          <a:off x="62960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811" name="Isosceles Triangle 810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/>
      </xdr:nvSpPr>
      <xdr:spPr>
        <a:xfrm>
          <a:off x="4514850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/>
      </xdr:nvSpPr>
      <xdr:spPr>
        <a:xfrm>
          <a:off x="62960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/>
      </xdr:nvSpPr>
      <xdr:spPr>
        <a:xfrm>
          <a:off x="9210675" y="3714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/>
      </xdr:nvSpPr>
      <xdr:spPr>
        <a:xfrm>
          <a:off x="254317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/>
      </xdr:nvSpPr>
      <xdr:spPr>
        <a:xfrm>
          <a:off x="609600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/>
      </xdr:nvSpPr>
      <xdr:spPr>
        <a:xfrm>
          <a:off x="155257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/>
      </xdr:nvSpPr>
      <xdr:spPr>
        <a:xfrm>
          <a:off x="254317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11339</xdr:colOff>
      <xdr:row>25</xdr:row>
      <xdr:rowOff>192766</xdr:rowOff>
    </xdr:from>
    <xdr:to>
      <xdr:col>14</xdr:col>
      <xdr:colOff>267781</xdr:colOff>
      <xdr:row>27</xdr:row>
      <xdr:rowOff>183173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/>
      </xdr:nvSpPr>
      <xdr:spPr>
        <a:xfrm>
          <a:off x="4526189" y="5241016"/>
          <a:ext cx="523142" cy="37140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/>
      </xdr:nvSpPr>
      <xdr:spPr>
        <a:xfrm>
          <a:off x="62960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/>
      </xdr:nvSpPr>
      <xdr:spPr>
        <a:xfrm>
          <a:off x="71723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/>
      </xdr:nvSpPr>
      <xdr:spPr>
        <a:xfrm>
          <a:off x="1121092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/>
      </xdr:nvSpPr>
      <xdr:spPr>
        <a:xfrm>
          <a:off x="12115800" y="523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/>
      </xdr:nvSpPr>
      <xdr:spPr>
        <a:xfrm>
          <a:off x="609600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/>
      </xdr:nvSpPr>
      <xdr:spPr>
        <a:xfrm>
          <a:off x="4514850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/>
      </xdr:nvSpPr>
      <xdr:spPr>
        <a:xfrm>
          <a:off x="62960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/>
      </xdr:nvSpPr>
      <xdr:spPr>
        <a:xfrm>
          <a:off x="7172325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/>
      </xdr:nvSpPr>
      <xdr:spPr>
        <a:xfrm>
          <a:off x="112109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/>
      </xdr:nvSpPr>
      <xdr:spPr>
        <a:xfrm>
          <a:off x="12115800" y="676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/>
      </xdr:nvSpPr>
      <xdr:spPr>
        <a:xfrm>
          <a:off x="13115925" y="676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17</xdr:col>
      <xdr:colOff>256442</xdr:colOff>
      <xdr:row>44</xdr:row>
      <xdr:rowOff>1745</xdr:rowOff>
    </xdr:to>
    <xdr:sp macro="" textlink="">
      <xdr:nvSpPr>
        <xdr:cNvPr id="830" name="Isosceles Triangle 829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/>
      </xdr:nvSpPr>
      <xdr:spPr>
        <a:xfrm>
          <a:off x="5597071" y="7919357"/>
          <a:ext cx="537657" cy="36460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/>
      </xdr:nvSpPr>
      <xdr:spPr>
        <a:xfrm>
          <a:off x="10125075" y="828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832" name="Isosceles Triangle 83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/>
      </xdr:nvSpPr>
      <xdr:spPr>
        <a:xfrm>
          <a:off x="12115800" y="828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833" name="Isosceles Triangle 832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/>
      </xdr:nvSpPr>
      <xdr:spPr>
        <a:xfrm>
          <a:off x="13115925" y="828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/>
      </xdr:nvSpPr>
      <xdr:spPr>
        <a:xfrm>
          <a:off x="609600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/>
      </xdr:nvSpPr>
      <xdr:spPr>
        <a:xfrm>
          <a:off x="155257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836" name="Isosceles Triangle 835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/>
      </xdr:nvSpPr>
      <xdr:spPr>
        <a:xfrm>
          <a:off x="71723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/>
      </xdr:nvSpPr>
      <xdr:spPr>
        <a:xfrm>
          <a:off x="822007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838" name="Isosceles Triangle 837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/>
      </xdr:nvSpPr>
      <xdr:spPr>
        <a:xfrm>
          <a:off x="10125075" y="981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839" name="Isosceles Triangle 838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/>
      </xdr:nvSpPr>
      <xdr:spPr>
        <a:xfrm>
          <a:off x="112109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840" name="Isosceles Triangle 839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/>
      </xdr:nvSpPr>
      <xdr:spPr>
        <a:xfrm>
          <a:off x="609600" y="11334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841" name="Isosceles Triangle 840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/>
      </xdr:nvSpPr>
      <xdr:spPr>
        <a:xfrm>
          <a:off x="1552575" y="11334750"/>
          <a:ext cx="53245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/>
      </xdr:nvSpPr>
      <xdr:spPr>
        <a:xfrm>
          <a:off x="25431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/>
      </xdr:nvSpPr>
      <xdr:spPr>
        <a:xfrm>
          <a:off x="36099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/>
      </xdr:nvSpPr>
      <xdr:spPr>
        <a:xfrm>
          <a:off x="53816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845" name="Isosceles Triangle 844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/>
      </xdr:nvSpPr>
      <xdr:spPr>
        <a:xfrm>
          <a:off x="71723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/>
      </xdr:nvSpPr>
      <xdr:spPr>
        <a:xfrm>
          <a:off x="82200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847" name="Isosceles Triangle 846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/>
      </xdr:nvSpPr>
      <xdr:spPr>
        <a:xfrm>
          <a:off x="9210675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/>
      </xdr:nvSpPr>
      <xdr:spPr>
        <a:xfrm>
          <a:off x="10125075" y="1133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/>
      </xdr:nvSpPr>
      <xdr:spPr>
        <a:xfrm>
          <a:off x="112109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/>
      </xdr:nvSpPr>
      <xdr:spPr>
        <a:xfrm>
          <a:off x="12115800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851" name="Isosceles Triangle 850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/>
      </xdr:nvSpPr>
      <xdr:spPr>
        <a:xfrm>
          <a:off x="13115925" y="1133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852" name="Isosceles Triangle 85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/>
      </xdr:nvSpPr>
      <xdr:spPr>
        <a:xfrm>
          <a:off x="60960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/>
      </xdr:nvSpPr>
      <xdr:spPr>
        <a:xfrm>
          <a:off x="36099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/>
      </xdr:nvSpPr>
      <xdr:spPr>
        <a:xfrm>
          <a:off x="451485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/>
      </xdr:nvSpPr>
      <xdr:spPr>
        <a:xfrm>
          <a:off x="53816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/>
      </xdr:nvSpPr>
      <xdr:spPr>
        <a:xfrm>
          <a:off x="62960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/>
      </xdr:nvSpPr>
      <xdr:spPr>
        <a:xfrm>
          <a:off x="717232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/>
      </xdr:nvSpPr>
      <xdr:spPr>
        <a:xfrm>
          <a:off x="82200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/>
      </xdr:nvSpPr>
      <xdr:spPr>
        <a:xfrm>
          <a:off x="9210675" y="1285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/>
      </xdr:nvSpPr>
      <xdr:spPr>
        <a:xfrm>
          <a:off x="10125075" y="12858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/>
      </xdr:nvSpPr>
      <xdr:spPr>
        <a:xfrm>
          <a:off x="112109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/>
      </xdr:nvSpPr>
      <xdr:spPr>
        <a:xfrm>
          <a:off x="12115800" y="1285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/>
      </xdr:nvSpPr>
      <xdr:spPr>
        <a:xfrm>
          <a:off x="13115925" y="12858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864" name="Isosceles Triangle 863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/>
      </xdr:nvSpPr>
      <xdr:spPr>
        <a:xfrm>
          <a:off x="60960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865" name="Isosceles Triangle 864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/>
      </xdr:nvSpPr>
      <xdr:spPr>
        <a:xfrm>
          <a:off x="15525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866" name="Isosceles Triangle 86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/>
      </xdr:nvSpPr>
      <xdr:spPr>
        <a:xfrm>
          <a:off x="25431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/>
      </xdr:nvSpPr>
      <xdr:spPr>
        <a:xfrm>
          <a:off x="451485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868" name="Isosceles Triangle 867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/>
      </xdr:nvSpPr>
      <xdr:spPr>
        <a:xfrm>
          <a:off x="5396346" y="14393574"/>
          <a:ext cx="51816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/>
      </xdr:nvSpPr>
      <xdr:spPr>
        <a:xfrm>
          <a:off x="62960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/>
      </xdr:nvSpPr>
      <xdr:spPr>
        <a:xfrm>
          <a:off x="71723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/>
      </xdr:nvSpPr>
      <xdr:spPr>
        <a:xfrm>
          <a:off x="82200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/>
      </xdr:nvSpPr>
      <xdr:spPr>
        <a:xfrm>
          <a:off x="9210675" y="1438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/>
      </xdr:nvSpPr>
      <xdr:spPr>
        <a:xfrm>
          <a:off x="10125075" y="14382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874" name="Isosceles Triangle 873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/>
      </xdr:nvSpPr>
      <xdr:spPr>
        <a:xfrm>
          <a:off x="112109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875" name="Isosceles Triangle 874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/>
      </xdr:nvSpPr>
      <xdr:spPr>
        <a:xfrm>
          <a:off x="12115800" y="1438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/>
      </xdr:nvSpPr>
      <xdr:spPr>
        <a:xfrm>
          <a:off x="13115925" y="1438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/>
      </xdr:nvSpPr>
      <xdr:spPr>
        <a:xfrm>
          <a:off x="60960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78" name="Isosceles Triangle 877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/>
      </xdr:nvSpPr>
      <xdr:spPr>
        <a:xfrm>
          <a:off x="451485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79" name="Isosceles Triangle 878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/>
      </xdr:nvSpPr>
      <xdr:spPr>
        <a:xfrm>
          <a:off x="6294665" y="15906750"/>
          <a:ext cx="51213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80" name="Isosceles Triangle 879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/>
      </xdr:nvSpPr>
      <xdr:spPr>
        <a:xfrm>
          <a:off x="717232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/>
      </xdr:nvSpPr>
      <xdr:spPr>
        <a:xfrm>
          <a:off x="822007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/>
      </xdr:nvSpPr>
      <xdr:spPr>
        <a:xfrm>
          <a:off x="9210675" y="1590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/>
      </xdr:nvSpPr>
      <xdr:spPr>
        <a:xfrm>
          <a:off x="10125075" y="1590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/>
      </xdr:nvSpPr>
      <xdr:spPr>
        <a:xfrm>
          <a:off x="1121092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885" name="Isosceles Triangle 884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/>
      </xdr:nvSpPr>
      <xdr:spPr>
        <a:xfrm>
          <a:off x="12115800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886" name="Isosceles Triangle 885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/>
      </xdr:nvSpPr>
      <xdr:spPr>
        <a:xfrm>
          <a:off x="13115925" y="15906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/>
      </xdr:nvSpPr>
      <xdr:spPr>
        <a:xfrm>
          <a:off x="60960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/>
      </xdr:nvSpPr>
      <xdr:spPr>
        <a:xfrm>
          <a:off x="15525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889" name="Isosceles Triangle 88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/>
      </xdr:nvSpPr>
      <xdr:spPr>
        <a:xfrm>
          <a:off x="25431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/>
      </xdr:nvSpPr>
      <xdr:spPr>
        <a:xfrm>
          <a:off x="36099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/>
      </xdr:nvSpPr>
      <xdr:spPr>
        <a:xfrm>
          <a:off x="451485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892" name="Isosceles Triangle 89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/>
      </xdr:nvSpPr>
      <xdr:spPr>
        <a:xfrm>
          <a:off x="53816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893" name="Isosceles Triangle 892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/>
      </xdr:nvSpPr>
      <xdr:spPr>
        <a:xfrm>
          <a:off x="62960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894" name="Isosceles Triangle 893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/>
      </xdr:nvSpPr>
      <xdr:spPr>
        <a:xfrm>
          <a:off x="71723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895" name="Isosceles Triangle 894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/>
      </xdr:nvSpPr>
      <xdr:spPr>
        <a:xfrm>
          <a:off x="82200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30</xdr:col>
      <xdr:colOff>2984</xdr:colOff>
      <xdr:row>91</xdr:row>
      <xdr:rowOff>183173</xdr:rowOff>
    </xdr:to>
    <xdr:sp macro="" textlink="">
      <xdr:nvSpPr>
        <xdr:cNvPr id="896" name="Isosceles Triangle 895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/>
      </xdr:nvSpPr>
      <xdr:spPr>
        <a:xfrm>
          <a:off x="9210675" y="17430750"/>
          <a:ext cx="507809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897" name="Isosceles Triangle 896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/>
      </xdr:nvSpPr>
      <xdr:spPr>
        <a:xfrm>
          <a:off x="10125075" y="1743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898" name="Isosceles Triangle 897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/>
      </xdr:nvSpPr>
      <xdr:spPr>
        <a:xfrm>
          <a:off x="112109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899" name="Isosceles Triangle 898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/>
      </xdr:nvSpPr>
      <xdr:spPr>
        <a:xfrm>
          <a:off x="12115800" y="17430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900" name="Isosceles Triangle 899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/>
      </xdr:nvSpPr>
      <xdr:spPr>
        <a:xfrm>
          <a:off x="13115925" y="17430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901" name="Isosceles Triangle 900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/>
      </xdr:nvSpPr>
      <xdr:spPr>
        <a:xfrm>
          <a:off x="609600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902" name="Isosceles Triangle 90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/>
      </xdr:nvSpPr>
      <xdr:spPr>
        <a:xfrm>
          <a:off x="15525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903" name="Isosceles Triangle 902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/>
      </xdr:nvSpPr>
      <xdr:spPr>
        <a:xfrm>
          <a:off x="25431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904" name="Isosceles Triangle 903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/>
      </xdr:nvSpPr>
      <xdr:spPr>
        <a:xfrm>
          <a:off x="36099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905" name="Isosceles Triangle 904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/>
      </xdr:nvSpPr>
      <xdr:spPr>
        <a:xfrm>
          <a:off x="53816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906" name="Isosceles Triangle 905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/>
      </xdr:nvSpPr>
      <xdr:spPr>
        <a:xfrm>
          <a:off x="62960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907" name="Isosceles Triangle 906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/>
      </xdr:nvSpPr>
      <xdr:spPr>
        <a:xfrm>
          <a:off x="7185932" y="18968357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908" name="Isosceles Triangle 907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/>
      </xdr:nvSpPr>
      <xdr:spPr>
        <a:xfrm>
          <a:off x="82200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909" name="Isosceles Triangle 908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/>
      </xdr:nvSpPr>
      <xdr:spPr>
        <a:xfrm>
          <a:off x="9210675" y="18954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/>
      </xdr:nvSpPr>
      <xdr:spPr>
        <a:xfrm>
          <a:off x="10125075" y="1895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/>
      </xdr:nvSpPr>
      <xdr:spPr>
        <a:xfrm>
          <a:off x="11637818" y="18426545"/>
          <a:ext cx="533533" cy="3679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/>
      </xdr:nvSpPr>
      <xdr:spPr>
        <a:xfrm>
          <a:off x="12115800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/>
      </xdr:nvSpPr>
      <xdr:spPr>
        <a:xfrm>
          <a:off x="13115925" y="1895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914" name="Isosceles Triangle 913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/>
      </xdr:nvSpPr>
      <xdr:spPr>
        <a:xfrm>
          <a:off x="60960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/>
      </xdr:nvSpPr>
      <xdr:spPr>
        <a:xfrm>
          <a:off x="15525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/>
      </xdr:nvSpPr>
      <xdr:spPr>
        <a:xfrm>
          <a:off x="25431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/>
      </xdr:nvSpPr>
      <xdr:spPr>
        <a:xfrm>
          <a:off x="36099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/>
      </xdr:nvSpPr>
      <xdr:spPr>
        <a:xfrm>
          <a:off x="451485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919" name="Isosceles Triangle 918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/>
      </xdr:nvSpPr>
      <xdr:spPr>
        <a:xfrm>
          <a:off x="53816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/>
      </xdr:nvSpPr>
      <xdr:spPr>
        <a:xfrm>
          <a:off x="62960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/>
      </xdr:nvSpPr>
      <xdr:spPr>
        <a:xfrm>
          <a:off x="71723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/>
      </xdr:nvSpPr>
      <xdr:spPr>
        <a:xfrm>
          <a:off x="155257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/>
      </xdr:nvSpPr>
      <xdr:spPr>
        <a:xfrm>
          <a:off x="538162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/>
      </xdr:nvSpPr>
      <xdr:spPr>
        <a:xfrm>
          <a:off x="1552575" y="37082942"/>
          <a:ext cx="52314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/>
      </xdr:nvSpPr>
      <xdr:spPr>
        <a:xfrm>
          <a:off x="2543175" y="370829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/>
      </xdr:nvSpPr>
      <xdr:spPr>
        <a:xfrm>
          <a:off x="3609975" y="370935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/>
      </xdr:nvSpPr>
      <xdr:spPr>
        <a:xfrm>
          <a:off x="1711325" y="37199358"/>
          <a:ext cx="223309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CxnSpPr/>
      </xdr:nvCxnSpPr>
      <xdr:spPr>
        <a:xfrm rot="16200000" flipH="1">
          <a:off x="2296583" y="36582350"/>
          <a:ext cx="10584" cy="9906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931" name="Straight Arrow Connector 930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CxnSpPr/>
      </xdr:nvCxnSpPr>
      <xdr:spPr>
        <a:xfrm>
          <a:off x="1440657" y="366688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932" name="Straight Arrow Connector 93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CxnSpPr/>
      </xdr:nvCxnSpPr>
      <xdr:spPr>
        <a:xfrm>
          <a:off x="2124075" y="366807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933" name="Straight Arrow Connector 932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CxnSpPr/>
      </xdr:nvCxnSpPr>
      <xdr:spPr>
        <a:xfrm>
          <a:off x="3112293" y="366807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934" name="Straight Arrow Connector 933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CxnSpPr/>
      </xdr:nvCxnSpPr>
      <xdr:spPr>
        <a:xfrm>
          <a:off x="1109134" y="370723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935" name="Straight Arrow Connector 934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CxnSpPr/>
      </xdr:nvCxnSpPr>
      <xdr:spPr>
        <a:xfrm>
          <a:off x="1333500" y="377496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936" name="Picture 9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884" y="376861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937" name="Straight Arrow Connector 936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CxnSpPr/>
      </xdr:nvCxnSpPr>
      <xdr:spPr>
        <a:xfrm flipH="1" flipV="1">
          <a:off x="2085710" y="379507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938" name="Straight Arrow Connector 937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CxnSpPr/>
      </xdr:nvCxnSpPr>
      <xdr:spPr>
        <a:xfrm flipH="1" flipV="1">
          <a:off x="3469481" y="380857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939" name="Lightning Bolt 938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/>
      </xdr:nvSpPr>
      <xdr:spPr>
        <a:xfrm rot="2857557">
          <a:off x="5150999" y="380386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940" name="Lightning Bolt 939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/>
      </xdr:nvSpPr>
      <xdr:spPr>
        <a:xfrm rot="2857557">
          <a:off x="5168418" y="376823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941" name="Arrow: Up 1004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/>
      </xdr:nvSpPr>
      <xdr:spPr>
        <a:xfrm>
          <a:off x="5179221" y="368950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942" name="Arrow: Up 1005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/>
      </xdr:nvSpPr>
      <xdr:spPr>
        <a:xfrm>
          <a:off x="5179220" y="365021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943" name="Arrow: Up-Down 1006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/>
      </xdr:nvSpPr>
      <xdr:spPr>
        <a:xfrm>
          <a:off x="5191124" y="372522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944" name="Picture 95405" descr="LADDER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0805" y="373594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945" name="Picture 94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438898" y="365722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946" name="Arrow: Up 1009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/>
      </xdr:nvSpPr>
      <xdr:spPr>
        <a:xfrm>
          <a:off x="2121910" y="25360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947" name="Arrow: Up 1010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/>
      </xdr:nvSpPr>
      <xdr:spPr>
        <a:xfrm>
          <a:off x="4239706" y="25262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948" name="Arrow: Up 1011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/>
      </xdr:nvSpPr>
      <xdr:spPr>
        <a:xfrm>
          <a:off x="1357313" y="4071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949" name="Arrow: Up 1012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/>
      </xdr:nvSpPr>
      <xdr:spPr>
        <a:xfrm>
          <a:off x="7836694" y="407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950" name="Arrow: Up 1013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/>
      </xdr:nvSpPr>
      <xdr:spPr>
        <a:xfrm>
          <a:off x="1262063" y="559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951" name="Arrow: Up 1014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/>
      </xdr:nvSpPr>
      <xdr:spPr>
        <a:xfrm>
          <a:off x="6110937" y="559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952" name="Arrow: Up 1015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/>
      </xdr:nvSpPr>
      <xdr:spPr>
        <a:xfrm>
          <a:off x="7879990" y="55753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953" name="Arrow: Up 1016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/>
      </xdr:nvSpPr>
      <xdr:spPr>
        <a:xfrm>
          <a:off x="9900587" y="7098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954" name="Arrow: Up 1017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/>
      </xdr:nvSpPr>
      <xdr:spPr>
        <a:xfrm>
          <a:off x="11865769" y="864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955" name="Arrow: Up 1018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/>
      </xdr:nvSpPr>
      <xdr:spPr>
        <a:xfrm>
          <a:off x="12668250" y="8643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956" name="Arrow: Up 1019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/>
      </xdr:nvSpPr>
      <xdr:spPr>
        <a:xfrm>
          <a:off x="10768229" y="86547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70858</xdr:colOff>
      <xdr:row>43</xdr:row>
      <xdr:rowOff>155072</xdr:rowOff>
    </xdr:from>
    <xdr:to>
      <xdr:col>42</xdr:col>
      <xdr:colOff>213733</xdr:colOff>
      <xdr:row>45</xdr:row>
      <xdr:rowOff>176333</xdr:rowOff>
    </xdr:to>
    <xdr:sp macro="" textlink="">
      <xdr:nvSpPr>
        <xdr:cNvPr id="957" name="Arrow: Up 1020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/>
      </xdr:nvSpPr>
      <xdr:spPr>
        <a:xfrm>
          <a:off x="13777333" y="8632322"/>
          <a:ext cx="142875" cy="40226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958" name="Arrow: Up 102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/>
      </xdr:nvSpPr>
      <xdr:spPr>
        <a:xfrm>
          <a:off x="3240016" y="101462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959" name="Arrow: Up 1022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/>
      </xdr:nvSpPr>
      <xdr:spPr>
        <a:xfrm>
          <a:off x="6938747" y="101354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960" name="Arrow: Up 1023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/>
      </xdr:nvSpPr>
      <xdr:spPr>
        <a:xfrm>
          <a:off x="8896350" y="1169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961" name="Arrow: Up 1024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/>
      </xdr:nvSpPr>
      <xdr:spPr>
        <a:xfrm>
          <a:off x="10715192" y="11670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212571</xdr:colOff>
      <xdr:row>59</xdr:row>
      <xdr:rowOff>154781</xdr:rowOff>
    </xdr:from>
    <xdr:to>
      <xdr:col>42</xdr:col>
      <xdr:colOff>383324</xdr:colOff>
      <xdr:row>61</xdr:row>
      <xdr:rowOff>180689</xdr:rowOff>
    </xdr:to>
    <xdr:sp macro="" textlink="">
      <xdr:nvSpPr>
        <xdr:cNvPr id="962" name="Arrow: Up 1025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/>
      </xdr:nvSpPr>
      <xdr:spPr>
        <a:xfrm>
          <a:off x="13919046" y="11680031"/>
          <a:ext cx="170753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963" name="Arrow: Up 1026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/>
      </xdr:nvSpPr>
      <xdr:spPr>
        <a:xfrm>
          <a:off x="3207544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964" name="Arrow: Up 1027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/>
      </xdr:nvSpPr>
      <xdr:spPr>
        <a:xfrm>
          <a:off x="4279755" y="13226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965" name="Arrow: Up 1028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/>
      </xdr:nvSpPr>
      <xdr:spPr>
        <a:xfrm>
          <a:off x="5191125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966" name="Arrow: Up 1029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/>
      </xdr:nvSpPr>
      <xdr:spPr>
        <a:xfrm>
          <a:off x="6057900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967" name="Arrow: Up 1030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/>
      </xdr:nvSpPr>
      <xdr:spPr>
        <a:xfrm>
          <a:off x="7836694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968" name="Arrow: Up 1031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/>
      </xdr:nvSpPr>
      <xdr:spPr>
        <a:xfrm>
          <a:off x="9901670" y="1321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72891</xdr:colOff>
      <xdr:row>67</xdr:row>
      <xdr:rowOff>178304</xdr:rowOff>
    </xdr:from>
    <xdr:to>
      <xdr:col>42</xdr:col>
      <xdr:colOff>215766</xdr:colOff>
      <xdr:row>70</xdr:row>
      <xdr:rowOff>13712</xdr:rowOff>
    </xdr:to>
    <xdr:sp macro="" textlink="">
      <xdr:nvSpPr>
        <xdr:cNvPr id="969" name="Arrow: Up 1032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/>
      </xdr:nvSpPr>
      <xdr:spPr>
        <a:xfrm>
          <a:off x="13779366" y="13227554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970" name="Arrow: Up 1033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/>
      </xdr:nvSpPr>
      <xdr:spPr>
        <a:xfrm>
          <a:off x="2261538" y="147507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971" name="Arrow: Up 1034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/>
      </xdr:nvSpPr>
      <xdr:spPr>
        <a:xfrm>
          <a:off x="3306041" y="147182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972" name="Arrow: Up 1035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/>
      </xdr:nvSpPr>
      <xdr:spPr>
        <a:xfrm>
          <a:off x="6935499" y="147399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973" name="Arrow: Up 1036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/>
      </xdr:nvSpPr>
      <xdr:spPr>
        <a:xfrm>
          <a:off x="9923318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974" name="Arrow: Up 1037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/>
      </xdr:nvSpPr>
      <xdr:spPr>
        <a:xfrm>
          <a:off x="12675827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975" name="Arrow: Up 1038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/>
      </xdr:nvSpPr>
      <xdr:spPr>
        <a:xfrm>
          <a:off x="1371382" y="1626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976" name="Arrow: Up 1039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/>
      </xdr:nvSpPr>
      <xdr:spPr>
        <a:xfrm>
          <a:off x="5083968" y="1626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977" name="Arrow: Up 1040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/>
      </xdr:nvSpPr>
      <xdr:spPr>
        <a:xfrm>
          <a:off x="7741443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978" name="Arrow: Up 1041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/>
      </xdr:nvSpPr>
      <xdr:spPr>
        <a:xfrm>
          <a:off x="7908131" y="17787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979" name="Arrow: Up 1042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/>
      </xdr:nvSpPr>
      <xdr:spPr>
        <a:xfrm>
          <a:off x="12763500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980" name="Arrow: Up 1043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/>
      </xdr:nvSpPr>
      <xdr:spPr>
        <a:xfrm>
          <a:off x="3207544" y="19322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981" name="Arrow: Up 1044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/>
      </xdr:nvSpPr>
      <xdr:spPr>
        <a:xfrm>
          <a:off x="1218767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982" name="Isosceles Triangle 98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/>
      </xdr:nvSpPr>
      <xdr:spPr>
        <a:xfrm>
          <a:off x="82200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/>
      </xdr:nvSpPr>
      <xdr:spPr>
        <a:xfrm>
          <a:off x="9210675" y="2047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984" name="Isosceles Triangle 983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/>
      </xdr:nvSpPr>
      <xdr:spPr>
        <a:xfrm>
          <a:off x="10125075" y="20478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/>
      </xdr:nvSpPr>
      <xdr:spPr>
        <a:xfrm>
          <a:off x="112109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986" name="Isosceles Triangle 985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/>
      </xdr:nvSpPr>
      <xdr:spPr>
        <a:xfrm>
          <a:off x="12115800" y="2047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/>
      </xdr:nvSpPr>
      <xdr:spPr>
        <a:xfrm>
          <a:off x="13115925" y="20478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989" name="Arrow: Up 1052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/>
      </xdr:nvSpPr>
      <xdr:spPr>
        <a:xfrm>
          <a:off x="9834562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990" name="Arrow: Up 1053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/>
      </xdr:nvSpPr>
      <xdr:spPr>
        <a:xfrm>
          <a:off x="10675144" y="1931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119064</xdr:colOff>
      <xdr:row>99</xdr:row>
      <xdr:rowOff>166687</xdr:rowOff>
    </xdr:from>
    <xdr:to>
      <xdr:col>42</xdr:col>
      <xdr:colOff>302013</xdr:colOff>
      <xdr:row>102</xdr:row>
      <xdr:rowOff>2095</xdr:rowOff>
    </xdr:to>
    <xdr:sp macro="" textlink="">
      <xdr:nvSpPr>
        <xdr:cNvPr id="991" name="Arrow: Up 1054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/>
      </xdr:nvSpPr>
      <xdr:spPr>
        <a:xfrm>
          <a:off x="13825539" y="19311937"/>
          <a:ext cx="182949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992" name="Arrow: Up 1055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/>
      </xdr:nvSpPr>
      <xdr:spPr>
        <a:xfrm>
          <a:off x="1187377" y="208575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993" name="Picture 992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18764250"/>
          <a:ext cx="543895" cy="20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994" name="Picture 993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87642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995" name="Isosceles Triangle 994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/>
      </xdr:nvSpPr>
      <xdr:spPr>
        <a:xfrm>
          <a:off x="7175256" y="113420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996" name="Isosceles Triangle 995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/>
      </xdr:nvSpPr>
      <xdr:spPr>
        <a:xfrm>
          <a:off x="822007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/>
      </xdr:nvSpPr>
      <xdr:spPr>
        <a:xfrm>
          <a:off x="11223137" y="12854109"/>
          <a:ext cx="511663" cy="37261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/>
      </xdr:nvSpPr>
      <xdr:spPr>
        <a:xfrm>
          <a:off x="10125075" y="128587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999" name="Isosceles Triangle 998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/>
      </xdr:nvSpPr>
      <xdr:spPr>
        <a:xfrm>
          <a:off x="609600" y="14392741"/>
          <a:ext cx="525337" cy="35814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/>
      </xdr:nvSpPr>
      <xdr:spPr>
        <a:xfrm>
          <a:off x="13115925" y="12858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/>
      </xdr:nvSpPr>
      <xdr:spPr>
        <a:xfrm>
          <a:off x="12115800" y="128587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1002" name="Isosceles Triangle 100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/>
      </xdr:nvSpPr>
      <xdr:spPr>
        <a:xfrm>
          <a:off x="15525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/>
      </xdr:nvSpPr>
      <xdr:spPr>
        <a:xfrm>
          <a:off x="4514850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/>
      </xdr:nvSpPr>
      <xdr:spPr>
        <a:xfrm>
          <a:off x="25431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1005" name="Isosceles Triangle 1004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/>
      </xdr:nvSpPr>
      <xdr:spPr>
        <a:xfrm>
          <a:off x="71723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/>
      </xdr:nvSpPr>
      <xdr:spPr>
        <a:xfrm>
          <a:off x="82200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/>
      </xdr:nvSpPr>
      <xdr:spPr>
        <a:xfrm>
          <a:off x="9210675" y="1438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1008" name="Isosceles Triangle 1007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/>
      </xdr:nvSpPr>
      <xdr:spPr>
        <a:xfrm>
          <a:off x="112109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/>
      </xdr:nvSpPr>
      <xdr:spPr>
        <a:xfrm>
          <a:off x="620424" y="6863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/>
      </xdr:nvSpPr>
      <xdr:spPr>
        <a:xfrm>
          <a:off x="6296025" y="14382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1011" name="Isosceles Triangle 1010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/>
      </xdr:nvSpPr>
      <xdr:spPr>
        <a:xfrm>
          <a:off x="36099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1012" name="Isosceles Triangle 101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/>
      </xdr:nvSpPr>
      <xdr:spPr>
        <a:xfrm>
          <a:off x="254317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1013" name="Isosceles Triangle 1012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/>
      </xdr:nvSpPr>
      <xdr:spPr>
        <a:xfrm>
          <a:off x="823244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1014" name="Isosceles Triangle 1013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/>
      </xdr:nvSpPr>
      <xdr:spPr>
        <a:xfrm>
          <a:off x="10122048" y="113335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1015" name="Isosceles Triangle 1014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/>
      </xdr:nvSpPr>
      <xdr:spPr>
        <a:xfrm>
          <a:off x="53816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1016" name="Isosceles Triangle 1015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/>
      </xdr:nvSpPr>
      <xdr:spPr>
        <a:xfrm>
          <a:off x="9210675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1017" name="Isosceles Triangle 1016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/>
      </xdr:nvSpPr>
      <xdr:spPr>
        <a:xfrm>
          <a:off x="539399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1018" name="Isosceles Triangle 1017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/>
      </xdr:nvSpPr>
      <xdr:spPr>
        <a:xfrm>
          <a:off x="13115925" y="15906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1019" name="Isosceles Triangle 1018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/>
      </xdr:nvSpPr>
      <xdr:spPr>
        <a:xfrm>
          <a:off x="12115800" y="15906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1020" name="Isosceles Triangle 1019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/>
      </xdr:nvSpPr>
      <xdr:spPr>
        <a:xfrm>
          <a:off x="12115800" y="11334750"/>
          <a:ext cx="50409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1021" name="Isosceles Triangle 1020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/>
      </xdr:nvSpPr>
      <xdr:spPr>
        <a:xfrm>
          <a:off x="1121092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1022" name="Isosceles Triangle 102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/>
      </xdr:nvSpPr>
      <xdr:spPr>
        <a:xfrm>
          <a:off x="609600" y="1743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1023" name="Isosceles Triangle 1022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/>
      </xdr:nvSpPr>
      <xdr:spPr>
        <a:xfrm>
          <a:off x="1552575" y="1743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1024" name="Isosceles Triangle 102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/>
      </xdr:nvSpPr>
      <xdr:spPr>
        <a:xfrm>
          <a:off x="609600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1025" name="Isosceles Triangle 10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4514850" y="1590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1026" name="Isosceles Triangle 10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xfrm>
          <a:off x="12115800" y="18954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1027" name="Isosceles Triangle 10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>
        <a:xfrm>
          <a:off x="4527220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1028" name="Isosceles Triangle 10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>
        <a:xfrm>
          <a:off x="1121092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1029" name="Isosceles Triangle 10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>
        <a:xfrm>
          <a:off x="6307931" y="12858750"/>
          <a:ext cx="494566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1030" name="Isosceles Triangle 102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>
        <a:xfrm>
          <a:off x="13115925" y="18954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1031" name="Isosceles Triangle 103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>
        <a:xfrm>
          <a:off x="2543175" y="1743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>
        <a:xfrm>
          <a:off x="6296025" y="15906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1033" name="Isosceles Triangle 103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>
        <a:xfrm>
          <a:off x="609600" y="159067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1034" name="Isosceles Triangle 103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/>
      </xdr:nvSpPr>
      <xdr:spPr>
        <a:xfrm>
          <a:off x="36099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1035" name="Isosceles Triangle 103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/>
      </xdr:nvSpPr>
      <xdr:spPr>
        <a:xfrm>
          <a:off x="60960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1036" name="Isosceles Triangle 103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/>
      </xdr:nvSpPr>
      <xdr:spPr>
        <a:xfrm>
          <a:off x="25431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1037" name="Isosceles Triangle 1036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/>
      </xdr:nvSpPr>
      <xdr:spPr>
        <a:xfrm>
          <a:off x="451485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1038" name="Isosceles Triangle 1037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/>
      </xdr:nvSpPr>
      <xdr:spPr>
        <a:xfrm>
          <a:off x="3609975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1039" name="Isosceles Triangle 1038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/>
      </xdr:nvSpPr>
      <xdr:spPr>
        <a:xfrm>
          <a:off x="10125075" y="174307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1040" name="Isosceles Triangle 1039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/>
      </xdr:nvSpPr>
      <xdr:spPr>
        <a:xfrm>
          <a:off x="155257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1041" name="Isosceles Triangle 1040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/>
      </xdr:nvSpPr>
      <xdr:spPr>
        <a:xfrm>
          <a:off x="82200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1042" name="Isosceles Triangle 104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/>
      </xdr:nvSpPr>
      <xdr:spPr>
        <a:xfrm>
          <a:off x="36099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1043" name="Isosceles Triangle 104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/>
      </xdr:nvSpPr>
      <xdr:spPr>
        <a:xfrm>
          <a:off x="13115925" y="14382750"/>
          <a:ext cx="589816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1044" name="Isosceles Triangle 104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/>
      </xdr:nvSpPr>
      <xdr:spPr>
        <a:xfrm>
          <a:off x="9210675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/>
      </xdr:nvSpPr>
      <xdr:spPr>
        <a:xfrm>
          <a:off x="53816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1046" name="Isosceles Triangle 1045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/>
      </xdr:nvSpPr>
      <xdr:spPr>
        <a:xfrm>
          <a:off x="9210675" y="20478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/>
      </xdr:nvSpPr>
      <xdr:spPr>
        <a:xfrm>
          <a:off x="13115925" y="17430750"/>
          <a:ext cx="589817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/>
      </xdr:nvSpPr>
      <xdr:spPr>
        <a:xfrm>
          <a:off x="82200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/>
      </xdr:nvSpPr>
      <xdr:spPr>
        <a:xfrm>
          <a:off x="4514850" y="2047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1050" name="Isosceles Triangle 1049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/>
      </xdr:nvSpPr>
      <xdr:spPr>
        <a:xfrm>
          <a:off x="1552575" y="18954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/>
      </xdr:nvSpPr>
      <xdr:spPr>
        <a:xfrm>
          <a:off x="6296025" y="1743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/>
      </xdr:nvSpPr>
      <xdr:spPr>
        <a:xfrm>
          <a:off x="7172325" y="20478750"/>
          <a:ext cx="523142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1053" name="Isosceles Triangle 1052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/>
      </xdr:nvSpPr>
      <xdr:spPr>
        <a:xfrm>
          <a:off x="12115800" y="1743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/>
      </xdr:nvSpPr>
      <xdr:spPr>
        <a:xfrm>
          <a:off x="6296025" y="20478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1055" name="Isosceles Triangle 1054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/>
      </xdr:nvSpPr>
      <xdr:spPr>
        <a:xfrm>
          <a:off x="8220075" y="1590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/>
      </xdr:nvSpPr>
      <xdr:spPr>
        <a:xfrm>
          <a:off x="112109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1057" name="Isosceles Triangle 1056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/>
      </xdr:nvSpPr>
      <xdr:spPr>
        <a:xfrm>
          <a:off x="62960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1058" name="Isosceles Triangle 1057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/>
      </xdr:nvSpPr>
      <xdr:spPr>
        <a:xfrm>
          <a:off x="4514850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/>
      </xdr:nvSpPr>
      <xdr:spPr>
        <a:xfrm>
          <a:off x="7300148" y="2079037"/>
          <a:ext cx="529256" cy="35621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181798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/>
      </xdr:nvSpPr>
      <xdr:spPr>
        <a:xfrm>
          <a:off x="8512457" y="667396"/>
          <a:ext cx="538172" cy="35722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/>
      </xdr:nvSpPr>
      <xdr:spPr>
        <a:xfrm>
          <a:off x="6298746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1062" name="5-Point Star 520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/>
      </xdr:nvSpPr>
      <xdr:spPr>
        <a:xfrm flipH="1">
          <a:off x="22986206" y="126087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1063" name="Curved Connector 522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CxnSpPr/>
      </xdr:nvCxnSpPr>
      <xdr:spPr>
        <a:xfrm rot="16200000" flipH="1">
          <a:off x="3361502" y="365571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069" name="Isosceles Triangle 1068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070" name="Isosceles Triangle 1069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071" name="Isosceles Triangle 1070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1072" name="Isosceles Triangle 107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/>
      </xdr:nvSpPr>
      <xdr:spPr>
        <a:xfrm>
          <a:off x="15525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1073" name="Isosceles Triangle 1072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/>
      </xdr:nvSpPr>
      <xdr:spPr>
        <a:xfrm>
          <a:off x="25431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1074" name="Isosceles Triangle 1073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/>
      </xdr:nvSpPr>
      <xdr:spPr>
        <a:xfrm>
          <a:off x="36099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1075" name="Isosceles Triangle 1074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/>
      </xdr:nvSpPr>
      <xdr:spPr>
        <a:xfrm>
          <a:off x="451485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1076" name="Isosceles Triangle 1075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/>
      </xdr:nvSpPr>
      <xdr:spPr>
        <a:xfrm>
          <a:off x="53816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1077" name="Isosceles Triangle 1076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/>
      </xdr:nvSpPr>
      <xdr:spPr>
        <a:xfrm>
          <a:off x="62960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1078" name="Isosceles Triangle 1077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/>
      </xdr:nvSpPr>
      <xdr:spPr>
        <a:xfrm>
          <a:off x="71723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1079" name="Isosceles Triangle 1078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/>
      </xdr:nvSpPr>
      <xdr:spPr>
        <a:xfrm>
          <a:off x="82200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1080" name="Isosceles Triangle 1079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/>
      </xdr:nvSpPr>
      <xdr:spPr>
        <a:xfrm>
          <a:off x="9210675" y="2200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1081" name="Isosceles Triangle 1080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/>
      </xdr:nvSpPr>
      <xdr:spPr>
        <a:xfrm>
          <a:off x="10125075" y="22002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1082" name="Isosceles Triangle 108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>
        <a:xfrm>
          <a:off x="112109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1083" name="Isosceles Triangle 1082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/>
      </xdr:nvSpPr>
      <xdr:spPr>
        <a:xfrm>
          <a:off x="12115800" y="2200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1084" name="Isosceles Triangle 1083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/>
      </xdr:nvSpPr>
      <xdr:spPr>
        <a:xfrm>
          <a:off x="13115925" y="22002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1085" name="Picture 10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1086" name="Isosceles Triangle 1085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>
        <a:xfrm>
          <a:off x="60960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1087" name="Isosceles Triangle 1086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/>
      </xdr:nvSpPr>
      <xdr:spPr>
        <a:xfrm>
          <a:off x="25431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1088" name="Isosceles Triangle 1087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/>
      </xdr:nvSpPr>
      <xdr:spPr>
        <a:xfrm>
          <a:off x="155257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1089" name="Isosceles Triangle 1088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/>
      </xdr:nvSpPr>
      <xdr:spPr>
        <a:xfrm>
          <a:off x="36099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/>
      </xdr:nvSpPr>
      <xdr:spPr>
        <a:xfrm>
          <a:off x="53816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/>
      </xdr:nvSpPr>
      <xdr:spPr>
        <a:xfrm>
          <a:off x="9210675" y="2200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1092" name="Isosceles Triangle 109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/>
      </xdr:nvSpPr>
      <xdr:spPr>
        <a:xfrm>
          <a:off x="82200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1093" name="Isosceles Triangle 1092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/>
      </xdr:nvSpPr>
      <xdr:spPr>
        <a:xfrm>
          <a:off x="451485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1094" name="Isosceles Triangle 1093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/>
      </xdr:nvSpPr>
      <xdr:spPr>
        <a:xfrm>
          <a:off x="71723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1095" name="Isosceles Triangle 1094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/>
      </xdr:nvSpPr>
      <xdr:spPr>
        <a:xfrm>
          <a:off x="629602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96" name="Isosceles Triangle 1095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1097" name="Isosceles Triangle 1096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/>
      </xdr:nvSpPr>
      <xdr:spPr>
        <a:xfrm>
          <a:off x="15525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1098" name="Isosceles Triangle 1097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/>
      </xdr:nvSpPr>
      <xdr:spPr>
        <a:xfrm>
          <a:off x="25431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1099" name="Isosceles Triangle 1098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/>
      </xdr:nvSpPr>
      <xdr:spPr>
        <a:xfrm>
          <a:off x="36099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1100" name="Isosceles Triangle 1099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/>
      </xdr:nvSpPr>
      <xdr:spPr>
        <a:xfrm>
          <a:off x="451485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1101" name="Isosceles Triangle 1100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/>
      </xdr:nvSpPr>
      <xdr:spPr>
        <a:xfrm>
          <a:off x="53816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1102" name="Isosceles Triangle 110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/>
      </xdr:nvSpPr>
      <xdr:spPr>
        <a:xfrm>
          <a:off x="62960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1103" name="Isosceles Triangle 1102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/>
      </xdr:nvSpPr>
      <xdr:spPr>
        <a:xfrm>
          <a:off x="71723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/>
      </xdr:nvSpPr>
      <xdr:spPr>
        <a:xfrm>
          <a:off x="8509000" y="22860000"/>
          <a:ext cx="533533" cy="3679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/>
      </xdr:nvSpPr>
      <xdr:spPr>
        <a:xfrm>
          <a:off x="9210675" y="2352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/>
      </xdr:nvSpPr>
      <xdr:spPr>
        <a:xfrm>
          <a:off x="10125075" y="23526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1107" name="Isosceles Triangle 1106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/>
      </xdr:nvSpPr>
      <xdr:spPr>
        <a:xfrm>
          <a:off x="11210925" y="2352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1108" name="Isosceles Triangle 1107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/>
      </xdr:nvSpPr>
      <xdr:spPr>
        <a:xfrm>
          <a:off x="12115800" y="2352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1109" name="Isosceles Triangle 1108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/>
      </xdr:nvSpPr>
      <xdr:spPr>
        <a:xfrm>
          <a:off x="13115925" y="2352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1110" name="Arrow: Up 1186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/>
      </xdr:nvSpPr>
      <xdr:spPr>
        <a:xfrm>
          <a:off x="1273968" y="2388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1111" name="Isosceles Triangle 1110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/>
      </xdr:nvSpPr>
      <xdr:spPr>
        <a:xfrm>
          <a:off x="609600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1112" name="Isosceles Triangle 111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/>
      </xdr:nvSpPr>
      <xdr:spPr>
        <a:xfrm>
          <a:off x="25431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1113" name="Isosceles Triangle 1112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/>
      </xdr:nvSpPr>
      <xdr:spPr>
        <a:xfrm>
          <a:off x="155257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1114" name="Isosceles Triangle 1113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/>
      </xdr:nvSpPr>
      <xdr:spPr>
        <a:xfrm>
          <a:off x="36099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263071</xdr:colOff>
      <xdr:row>123</xdr:row>
      <xdr:rowOff>172357</xdr:rowOff>
    </xdr:to>
    <xdr:sp macro="" textlink="">
      <xdr:nvSpPr>
        <xdr:cNvPr id="1115" name="Isosceles Triangle 1114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/>
      </xdr:nvSpPr>
      <xdr:spPr>
        <a:xfrm>
          <a:off x="5597071" y="22451786"/>
          <a:ext cx="544286" cy="3537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1116" name="Isosceles Triangle 1115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/>
      </xdr:nvSpPr>
      <xdr:spPr>
        <a:xfrm>
          <a:off x="9210675" y="2352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1117" name="Isosceles Triangle 1116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/>
      </xdr:nvSpPr>
      <xdr:spPr>
        <a:xfrm>
          <a:off x="82200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1118" name="Isosceles Triangle 1117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/>
      </xdr:nvSpPr>
      <xdr:spPr>
        <a:xfrm>
          <a:off x="4514850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1119" name="Isosceles Triangle 1118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/>
      </xdr:nvSpPr>
      <xdr:spPr>
        <a:xfrm>
          <a:off x="7172325" y="2352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1120" name="Isosceles Triangle 1119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/>
      </xdr:nvSpPr>
      <xdr:spPr>
        <a:xfrm>
          <a:off x="6296025" y="23526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21" name="Isosceles Triangle 1120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185062</xdr:rowOff>
    </xdr:from>
    <xdr:to>
      <xdr:col>6</xdr:col>
      <xdr:colOff>0</xdr:colOff>
      <xdr:row>132</xdr:row>
      <xdr:rowOff>0</xdr:rowOff>
    </xdr:to>
    <xdr:sp macro="" textlink="">
      <xdr:nvSpPr>
        <xdr:cNvPr id="1122" name="Isosceles Triangle 112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/>
      </xdr:nvSpPr>
      <xdr:spPr>
        <a:xfrm>
          <a:off x="1552575" y="25045312"/>
          <a:ext cx="523875" cy="38643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132</xdr:row>
      <xdr:rowOff>4432</xdr:rowOff>
    </xdr:to>
    <xdr:sp macro="" textlink="">
      <xdr:nvSpPr>
        <xdr:cNvPr id="1123" name="Isosceles Triangle 1122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/>
      </xdr:nvSpPr>
      <xdr:spPr>
        <a:xfrm>
          <a:off x="2634074" y="23556148"/>
          <a:ext cx="529257" cy="36191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132</xdr:row>
      <xdr:rowOff>4432</xdr:rowOff>
    </xdr:to>
    <xdr:sp macro="" textlink="">
      <xdr:nvSpPr>
        <xdr:cNvPr id="1124" name="Isosceles Triangle 1123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/>
      </xdr:nvSpPr>
      <xdr:spPr>
        <a:xfrm>
          <a:off x="3640667" y="23556148"/>
          <a:ext cx="529256" cy="36191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1125" name="Isosceles Triangle 1124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/>
      </xdr:nvSpPr>
      <xdr:spPr>
        <a:xfrm>
          <a:off x="451485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1126" name="Isosceles Triangle 1125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/>
      </xdr:nvSpPr>
      <xdr:spPr>
        <a:xfrm>
          <a:off x="53816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1127" name="Isosceles Triangle 1126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/>
      </xdr:nvSpPr>
      <xdr:spPr>
        <a:xfrm>
          <a:off x="62960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1128" name="Isosceles Triangle 1127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/>
      </xdr:nvSpPr>
      <xdr:spPr>
        <a:xfrm>
          <a:off x="71723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/>
      </xdr:nvSpPr>
      <xdr:spPr>
        <a:xfrm>
          <a:off x="82200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/>
      </xdr:nvSpPr>
      <xdr:spPr>
        <a:xfrm>
          <a:off x="9210675" y="250507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1131" name="Isosceles Triangle 1130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/>
      </xdr:nvSpPr>
      <xdr:spPr>
        <a:xfrm>
          <a:off x="10125075" y="25050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1132" name="Isosceles Triangle 113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/>
      </xdr:nvSpPr>
      <xdr:spPr>
        <a:xfrm>
          <a:off x="11210925" y="2505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1133" name="Isosceles Triangle 1132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/>
      </xdr:nvSpPr>
      <xdr:spPr>
        <a:xfrm>
          <a:off x="12115800" y="2505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1134" name="Isosceles Triangle 1133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/>
      </xdr:nvSpPr>
      <xdr:spPr>
        <a:xfrm>
          <a:off x="13115925" y="25050750"/>
          <a:ext cx="5898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1135" name="Isosceles Triangle 1134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/>
      </xdr:nvSpPr>
      <xdr:spPr>
        <a:xfrm>
          <a:off x="60960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/>
      </xdr:nvSpPr>
      <xdr:spPr>
        <a:xfrm>
          <a:off x="25431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1137" name="Isosceles Triangle 1136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/>
      </xdr:nvSpPr>
      <xdr:spPr>
        <a:xfrm>
          <a:off x="36099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1138" name="Isosceles Triangle 1137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/>
      </xdr:nvSpPr>
      <xdr:spPr>
        <a:xfrm>
          <a:off x="53816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1139" name="Isosceles Triangle 1138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/>
      </xdr:nvSpPr>
      <xdr:spPr>
        <a:xfrm>
          <a:off x="9210675" y="2505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1140" name="Isosceles Triangle 1139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/>
      </xdr:nvSpPr>
      <xdr:spPr>
        <a:xfrm>
          <a:off x="82200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1141" name="Isosceles Triangle 1140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/>
      </xdr:nvSpPr>
      <xdr:spPr>
        <a:xfrm>
          <a:off x="4514850" y="2505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1142" name="Isosceles Triangle 114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/>
      </xdr:nvSpPr>
      <xdr:spPr>
        <a:xfrm>
          <a:off x="7172325" y="2505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1143" name="Isosceles Triangle 1142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/>
      </xdr:nvSpPr>
      <xdr:spPr>
        <a:xfrm>
          <a:off x="6296025" y="2505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144" name="Isosceles Triangle 1143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1145" name="Isosceles Triangle 1144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/>
      </xdr:nvSpPr>
      <xdr:spPr>
        <a:xfrm>
          <a:off x="15525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1146" name="Isosceles Triangle 1145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/>
      </xdr:nvSpPr>
      <xdr:spPr>
        <a:xfrm>
          <a:off x="25431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1147" name="Isosceles Triangle 114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/>
      </xdr:nvSpPr>
      <xdr:spPr>
        <a:xfrm>
          <a:off x="36099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1148" name="Isosceles Triangle 1147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/>
      </xdr:nvSpPr>
      <xdr:spPr>
        <a:xfrm>
          <a:off x="451485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1149" name="Isosceles Triangle 1148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/>
      </xdr:nvSpPr>
      <xdr:spPr>
        <a:xfrm>
          <a:off x="53816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1150" name="Isosceles Triangle 1149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/>
      </xdr:nvSpPr>
      <xdr:spPr>
        <a:xfrm>
          <a:off x="62960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1151" name="Isosceles Triangle 1150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/>
      </xdr:nvSpPr>
      <xdr:spPr>
        <a:xfrm>
          <a:off x="71723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1152" name="Isosceles Triangle 115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/>
      </xdr:nvSpPr>
      <xdr:spPr>
        <a:xfrm>
          <a:off x="82200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1153" name="Isosceles Triangle 1152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/>
      </xdr:nvSpPr>
      <xdr:spPr>
        <a:xfrm>
          <a:off x="9210675" y="2657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1154" name="Isosceles Triangle 1153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/>
      </xdr:nvSpPr>
      <xdr:spPr>
        <a:xfrm>
          <a:off x="10125075" y="26574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1155" name="Isosceles Triangle 1154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/>
      </xdr:nvSpPr>
      <xdr:spPr>
        <a:xfrm>
          <a:off x="11210925" y="2657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1156" name="Isosceles Triangle 1155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/>
      </xdr:nvSpPr>
      <xdr:spPr>
        <a:xfrm>
          <a:off x="12115800" y="2657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1157" name="Isosceles Triangle 115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/>
      </xdr:nvSpPr>
      <xdr:spPr>
        <a:xfrm>
          <a:off x="13115925" y="26574750"/>
          <a:ext cx="5898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1158" name="Arrow: Up 1234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/>
      </xdr:nvSpPr>
      <xdr:spPr>
        <a:xfrm>
          <a:off x="1273968" y="2693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1159" name="Isosceles Triangle 1158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/>
      </xdr:nvSpPr>
      <xdr:spPr>
        <a:xfrm>
          <a:off x="609600" y="26574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1160" name="Isosceles Triangle 1159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/>
      </xdr:nvSpPr>
      <xdr:spPr>
        <a:xfrm>
          <a:off x="254317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1161" name="Isosceles Triangle 1160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/>
      </xdr:nvSpPr>
      <xdr:spPr>
        <a:xfrm>
          <a:off x="1552575" y="26574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1162" name="Isosceles Triangle 116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/>
      </xdr:nvSpPr>
      <xdr:spPr>
        <a:xfrm>
          <a:off x="360997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1163" name="Isosceles Triangle 1162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/>
      </xdr:nvSpPr>
      <xdr:spPr>
        <a:xfrm>
          <a:off x="538162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1164" name="Isosceles Triangle 1163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/>
      </xdr:nvSpPr>
      <xdr:spPr>
        <a:xfrm>
          <a:off x="9210675" y="26574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1165" name="Isosceles Triangle 1164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/>
      </xdr:nvSpPr>
      <xdr:spPr>
        <a:xfrm>
          <a:off x="82200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/>
      </xdr:nvSpPr>
      <xdr:spPr>
        <a:xfrm>
          <a:off x="4514850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/>
      </xdr:nvSpPr>
      <xdr:spPr>
        <a:xfrm>
          <a:off x="717232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1168" name="Isosceles Triangle 1167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/>
      </xdr:nvSpPr>
      <xdr:spPr>
        <a:xfrm>
          <a:off x="6296025" y="2657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169" name="Isosceles Triangle 1168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1170" name="Isosceles Triangle 1169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/>
      </xdr:nvSpPr>
      <xdr:spPr>
        <a:xfrm>
          <a:off x="15525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1171" name="Isosceles Triangle 1170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/>
      </xdr:nvSpPr>
      <xdr:spPr>
        <a:xfrm>
          <a:off x="25431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1172" name="Isosceles Triangle 117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/>
      </xdr:nvSpPr>
      <xdr:spPr>
        <a:xfrm>
          <a:off x="36099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1173" name="Isosceles Triangle 1172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/>
      </xdr:nvSpPr>
      <xdr:spPr>
        <a:xfrm>
          <a:off x="451485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1174" name="Isosceles Triangle 1173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/>
      </xdr:nvSpPr>
      <xdr:spPr>
        <a:xfrm>
          <a:off x="53816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1175" name="Isosceles Triangle 1174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/>
      </xdr:nvSpPr>
      <xdr:spPr>
        <a:xfrm>
          <a:off x="62960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1176" name="Isosceles Triangle 1175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/>
      </xdr:nvSpPr>
      <xdr:spPr>
        <a:xfrm>
          <a:off x="71723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1177" name="Isosceles Triangle 1176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/>
      </xdr:nvSpPr>
      <xdr:spPr>
        <a:xfrm>
          <a:off x="82200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1178" name="Isosceles Triangle 1177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/>
      </xdr:nvSpPr>
      <xdr:spPr>
        <a:xfrm>
          <a:off x="9210675" y="2809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1179" name="Isosceles Triangle 1178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/>
      </xdr:nvSpPr>
      <xdr:spPr>
        <a:xfrm>
          <a:off x="10125075" y="28098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1180" name="Isosceles Triangle 1179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/>
      </xdr:nvSpPr>
      <xdr:spPr>
        <a:xfrm>
          <a:off x="11210925" y="28098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1181" name="Isosceles Triangle 1180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/>
      </xdr:nvSpPr>
      <xdr:spPr>
        <a:xfrm>
          <a:off x="12115800" y="28098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1182" name="Isosceles Triangle 118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/>
      </xdr:nvSpPr>
      <xdr:spPr>
        <a:xfrm>
          <a:off x="13115925" y="28098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1183" name="Arrow: Up 1259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/>
      </xdr:nvSpPr>
      <xdr:spPr>
        <a:xfrm>
          <a:off x="1273968" y="2845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1184" name="Isosceles Triangle 1183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/>
      </xdr:nvSpPr>
      <xdr:spPr>
        <a:xfrm>
          <a:off x="609600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1185" name="Isosceles Triangle 1184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/>
      </xdr:nvSpPr>
      <xdr:spPr>
        <a:xfrm>
          <a:off x="25431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1186" name="Isosceles Triangle 1185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/>
      </xdr:nvSpPr>
      <xdr:spPr>
        <a:xfrm>
          <a:off x="1552575" y="28098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1187" name="Isosceles Triangle 1186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/>
      </xdr:nvSpPr>
      <xdr:spPr>
        <a:xfrm>
          <a:off x="36099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1188" name="Isosceles Triangle 1187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/>
      </xdr:nvSpPr>
      <xdr:spPr>
        <a:xfrm>
          <a:off x="53816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1189" name="Isosceles Triangle 1188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/>
      </xdr:nvSpPr>
      <xdr:spPr>
        <a:xfrm>
          <a:off x="9210675" y="28098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1190" name="Isosceles Triangle 1189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/>
      </xdr:nvSpPr>
      <xdr:spPr>
        <a:xfrm>
          <a:off x="8220075" y="2809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1191" name="Isosceles Triangle 1190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/>
      </xdr:nvSpPr>
      <xdr:spPr>
        <a:xfrm>
          <a:off x="4514850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1192" name="Isosceles Triangle 1191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/>
      </xdr:nvSpPr>
      <xdr:spPr>
        <a:xfrm>
          <a:off x="7172325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1193" name="Isosceles Triangle 1192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/>
      </xdr:nvSpPr>
      <xdr:spPr>
        <a:xfrm>
          <a:off x="629602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194" name="Isosceles Triangle 1193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1195" name="Isosceles Triangle 1194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/>
      </xdr:nvSpPr>
      <xdr:spPr>
        <a:xfrm>
          <a:off x="15525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1196" name="Isosceles Triangle 1195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/>
      </xdr:nvSpPr>
      <xdr:spPr>
        <a:xfrm>
          <a:off x="25431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1197" name="Isosceles Triangle 1196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/>
      </xdr:nvSpPr>
      <xdr:spPr>
        <a:xfrm>
          <a:off x="36099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1198" name="Isosceles Triangle 1197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/>
      </xdr:nvSpPr>
      <xdr:spPr>
        <a:xfrm>
          <a:off x="451485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1199" name="Isosceles Triangle 1198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/>
      </xdr:nvSpPr>
      <xdr:spPr>
        <a:xfrm>
          <a:off x="5392449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1200" name="Isosceles Triangle 1199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/>
      </xdr:nvSpPr>
      <xdr:spPr>
        <a:xfrm>
          <a:off x="62960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1201" name="Isosceles Triangle 1200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/>
      </xdr:nvSpPr>
      <xdr:spPr>
        <a:xfrm>
          <a:off x="71723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1202" name="Isosceles Triangle 120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/>
      </xdr:nvSpPr>
      <xdr:spPr>
        <a:xfrm>
          <a:off x="82200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1203" name="Isosceles Triangle 1202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/>
      </xdr:nvSpPr>
      <xdr:spPr>
        <a:xfrm>
          <a:off x="9210675" y="2962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1204" name="Isosceles Triangle 1203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/>
      </xdr:nvSpPr>
      <xdr:spPr>
        <a:xfrm>
          <a:off x="10125075" y="29622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1205" name="Isosceles Triangle 1204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/>
      </xdr:nvSpPr>
      <xdr:spPr>
        <a:xfrm>
          <a:off x="11210925" y="29622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1206" name="Isosceles Triangle 1205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/>
      </xdr:nvSpPr>
      <xdr:spPr>
        <a:xfrm>
          <a:off x="12115800" y="2962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1207" name="Isosceles Triangle 1206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/>
      </xdr:nvSpPr>
      <xdr:spPr>
        <a:xfrm>
          <a:off x="13115925" y="29622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1208" name="Arrow: Up 1284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/>
      </xdr:nvSpPr>
      <xdr:spPr>
        <a:xfrm>
          <a:off x="1209025" y="299474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1209" name="Isosceles Triangle 1208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/>
      </xdr:nvSpPr>
      <xdr:spPr>
        <a:xfrm>
          <a:off x="60960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1210" name="Isosceles Triangle 1209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/>
      </xdr:nvSpPr>
      <xdr:spPr>
        <a:xfrm>
          <a:off x="25431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1211" name="Isosceles Triangle 1210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/>
      </xdr:nvSpPr>
      <xdr:spPr>
        <a:xfrm>
          <a:off x="155257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/>
      </xdr:nvSpPr>
      <xdr:spPr>
        <a:xfrm>
          <a:off x="36099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/>
      </xdr:nvSpPr>
      <xdr:spPr>
        <a:xfrm>
          <a:off x="53816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1214" name="Isosceles Triangle 1213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/>
      </xdr:nvSpPr>
      <xdr:spPr>
        <a:xfrm>
          <a:off x="9210675" y="29622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1215" name="Isosceles Triangle 1214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/>
      </xdr:nvSpPr>
      <xdr:spPr>
        <a:xfrm>
          <a:off x="82200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1216" name="Isosceles Triangle 1215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/>
      </xdr:nvSpPr>
      <xdr:spPr>
        <a:xfrm>
          <a:off x="451485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1217" name="Isosceles Triangle 1216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/>
      </xdr:nvSpPr>
      <xdr:spPr>
        <a:xfrm>
          <a:off x="71723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1218" name="Isosceles Triangle 1217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/>
      </xdr:nvSpPr>
      <xdr:spPr>
        <a:xfrm>
          <a:off x="629602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219" name="Isosceles Triangle 1218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3747</xdr:colOff>
      <xdr:row>162</xdr:row>
      <xdr:rowOff>3747</xdr:rowOff>
    </xdr:from>
    <xdr:to>
      <xdr:col>6</xdr:col>
      <xdr:colOff>4858</xdr:colOff>
      <xdr:row>164</xdr:row>
      <xdr:rowOff>2565</xdr:rowOff>
    </xdr:to>
    <xdr:sp macro="" textlink="">
      <xdr:nvSpPr>
        <xdr:cNvPr id="1220" name="Isosceles Triangle 1219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/>
      </xdr:nvSpPr>
      <xdr:spPr>
        <a:xfrm>
          <a:off x="1556322" y="31150497"/>
          <a:ext cx="524986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1221" name="Isosceles Triangle 1220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/>
      </xdr:nvSpPr>
      <xdr:spPr>
        <a:xfrm>
          <a:off x="25431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1222" name="Isosceles Triangle 122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/>
      </xdr:nvSpPr>
      <xdr:spPr>
        <a:xfrm>
          <a:off x="36099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1223" name="Isosceles Triangle 1222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/>
      </xdr:nvSpPr>
      <xdr:spPr>
        <a:xfrm>
          <a:off x="451485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1224" name="Isosceles Triangle 1223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/>
      </xdr:nvSpPr>
      <xdr:spPr>
        <a:xfrm>
          <a:off x="62960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1225" name="Isosceles Triangle 1224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/>
      </xdr:nvSpPr>
      <xdr:spPr>
        <a:xfrm>
          <a:off x="71723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1226" name="Isosceles Triangle 1225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/>
      </xdr:nvSpPr>
      <xdr:spPr>
        <a:xfrm>
          <a:off x="82200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1227" name="Isosceles Triangle 1226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/>
      </xdr:nvSpPr>
      <xdr:spPr>
        <a:xfrm>
          <a:off x="9210675" y="3114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1228" name="Isosceles Triangle 1227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/>
      </xdr:nvSpPr>
      <xdr:spPr>
        <a:xfrm>
          <a:off x="11210925" y="3114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1229" name="Isosceles Triangle 1228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/>
      </xdr:nvSpPr>
      <xdr:spPr>
        <a:xfrm>
          <a:off x="12115800" y="3114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1230" name="Isosceles Triangle 1229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/>
      </xdr:nvSpPr>
      <xdr:spPr>
        <a:xfrm>
          <a:off x="13115925" y="3114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1231" name="Arrow: Up 1309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/>
      </xdr:nvSpPr>
      <xdr:spPr>
        <a:xfrm>
          <a:off x="1273968" y="3150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1232" name="Isosceles Triangle 123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/>
      </xdr:nvSpPr>
      <xdr:spPr>
        <a:xfrm>
          <a:off x="609600" y="3114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1233" name="Isosceles Triangle 1232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/>
      </xdr:nvSpPr>
      <xdr:spPr>
        <a:xfrm>
          <a:off x="25431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1234" name="Isosceles Triangle 1233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/>
      </xdr:nvSpPr>
      <xdr:spPr>
        <a:xfrm>
          <a:off x="1552575" y="31146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1235" name="Isosceles Triangle 1234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/>
      </xdr:nvSpPr>
      <xdr:spPr>
        <a:xfrm>
          <a:off x="36099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1236" name="Isosceles Triangle 1235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/>
      </xdr:nvSpPr>
      <xdr:spPr>
        <a:xfrm>
          <a:off x="9210675" y="3114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1237" name="Isosceles Triangle 1236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/>
      </xdr:nvSpPr>
      <xdr:spPr>
        <a:xfrm>
          <a:off x="8220075" y="3114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1238" name="Isosceles Triangle 1237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/>
      </xdr:nvSpPr>
      <xdr:spPr>
        <a:xfrm>
          <a:off x="451485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1239" name="Isosceles Triangle 1238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/>
      </xdr:nvSpPr>
      <xdr:spPr>
        <a:xfrm>
          <a:off x="717232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1240" name="Isosceles Triangle 1239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/>
      </xdr:nvSpPr>
      <xdr:spPr>
        <a:xfrm>
          <a:off x="629602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1241" name="Isosceles Triangle 1240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/>
      </xdr:nvSpPr>
      <xdr:spPr>
        <a:xfrm>
          <a:off x="25431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1242" name="Isosceles Triangle 124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/>
      </xdr:nvSpPr>
      <xdr:spPr>
        <a:xfrm>
          <a:off x="36099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1243" name="Isosceles Triangle 1242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/>
      </xdr:nvSpPr>
      <xdr:spPr>
        <a:xfrm>
          <a:off x="4514850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1244" name="Isosceles Triangle 1243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/>
      </xdr:nvSpPr>
      <xdr:spPr>
        <a:xfrm>
          <a:off x="53816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1245" name="Isosceles Triangle 1244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/>
      </xdr:nvSpPr>
      <xdr:spPr>
        <a:xfrm>
          <a:off x="62960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1246" name="Isosceles Triangle 1245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/>
      </xdr:nvSpPr>
      <xdr:spPr>
        <a:xfrm>
          <a:off x="71723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1247" name="Isosceles Triangle 1246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/>
      </xdr:nvSpPr>
      <xdr:spPr>
        <a:xfrm>
          <a:off x="82200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1248" name="Isosceles Triangle 1247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/>
      </xdr:nvSpPr>
      <xdr:spPr>
        <a:xfrm>
          <a:off x="9210675" y="32670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1249" name="Isosceles Triangle 1248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/>
      </xdr:nvSpPr>
      <xdr:spPr>
        <a:xfrm>
          <a:off x="10125075" y="32670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1250" name="Isosceles Triangle 1249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/>
      </xdr:nvSpPr>
      <xdr:spPr>
        <a:xfrm>
          <a:off x="11210925" y="3267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1251" name="Isosceles Triangle 1250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/>
      </xdr:nvSpPr>
      <xdr:spPr>
        <a:xfrm>
          <a:off x="12115800" y="32670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1252" name="Isosceles Triangle 125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/>
      </xdr:nvSpPr>
      <xdr:spPr>
        <a:xfrm>
          <a:off x="13115925" y="3267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1253" name="Isosceles Triangle 1252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/>
      </xdr:nvSpPr>
      <xdr:spPr>
        <a:xfrm>
          <a:off x="360997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1254" name="Isosceles Triangle 1253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/>
      </xdr:nvSpPr>
      <xdr:spPr>
        <a:xfrm>
          <a:off x="538162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1255" name="Isosceles Triangle 1254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/>
      </xdr:nvSpPr>
      <xdr:spPr>
        <a:xfrm>
          <a:off x="9210675" y="3267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1256" name="Isosceles Triangle 1255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/>
      </xdr:nvSpPr>
      <xdr:spPr>
        <a:xfrm>
          <a:off x="82200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1257" name="Isosceles Triangle 1256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/>
      </xdr:nvSpPr>
      <xdr:spPr>
        <a:xfrm>
          <a:off x="4514850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1258" name="Isosceles Triangle 1257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/>
      </xdr:nvSpPr>
      <xdr:spPr>
        <a:xfrm>
          <a:off x="717232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1259" name="Isosceles Triangle 1258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/>
      </xdr:nvSpPr>
      <xdr:spPr>
        <a:xfrm>
          <a:off x="6296025" y="3267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260" name="Isosceles Triangle 1259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6</xdr:col>
      <xdr:colOff>2984</xdr:colOff>
      <xdr:row>179</xdr:row>
      <xdr:rowOff>183173</xdr:rowOff>
    </xdr:to>
    <xdr:sp macro="" textlink="">
      <xdr:nvSpPr>
        <xdr:cNvPr id="1261" name="Isosceles Triangle 1260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/>
      </xdr:nvSpPr>
      <xdr:spPr>
        <a:xfrm>
          <a:off x="1552575" y="34194750"/>
          <a:ext cx="526859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1262" name="Isosceles Triangle 126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/>
      </xdr:nvSpPr>
      <xdr:spPr>
        <a:xfrm>
          <a:off x="25431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1263" name="Isosceles Triangle 1262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/>
      </xdr:nvSpPr>
      <xdr:spPr>
        <a:xfrm>
          <a:off x="36099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1264" name="Isosceles Triangle 1263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/>
      </xdr:nvSpPr>
      <xdr:spPr>
        <a:xfrm>
          <a:off x="451485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1265" name="Isosceles Triangle 1264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/>
      </xdr:nvSpPr>
      <xdr:spPr>
        <a:xfrm>
          <a:off x="53816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1266" name="Isosceles Triangle 1265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/>
      </xdr:nvSpPr>
      <xdr:spPr>
        <a:xfrm>
          <a:off x="62960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1267" name="Isosceles Triangle 1266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/>
      </xdr:nvSpPr>
      <xdr:spPr>
        <a:xfrm>
          <a:off x="71723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1268" name="Isosceles Triangle 1267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/>
      </xdr:nvSpPr>
      <xdr:spPr>
        <a:xfrm>
          <a:off x="82200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1269" name="Isosceles Triangle 1268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/>
      </xdr:nvSpPr>
      <xdr:spPr>
        <a:xfrm>
          <a:off x="9210675" y="3419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1270" name="Isosceles Triangle 1269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/>
      </xdr:nvSpPr>
      <xdr:spPr>
        <a:xfrm>
          <a:off x="10125075" y="34194750"/>
          <a:ext cx="513618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1271" name="Isosceles Triangle 1270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/>
      </xdr:nvSpPr>
      <xdr:spPr>
        <a:xfrm>
          <a:off x="11210925" y="34194750"/>
          <a:ext cx="523142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1272" name="Isosceles Triangle 127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/>
      </xdr:nvSpPr>
      <xdr:spPr>
        <a:xfrm>
          <a:off x="12115800" y="34194750"/>
          <a:ext cx="504092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1273" name="Isosceles Triangle 1272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/>
      </xdr:nvSpPr>
      <xdr:spPr>
        <a:xfrm>
          <a:off x="13115925" y="34194750"/>
          <a:ext cx="589818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1274" name="Isosceles Triangle 1273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/>
      </xdr:nvSpPr>
      <xdr:spPr>
        <a:xfrm>
          <a:off x="609600" y="3419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1275" name="Isosceles Triangle 1274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/>
      </xdr:nvSpPr>
      <xdr:spPr>
        <a:xfrm>
          <a:off x="25431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1276" name="Isosceles Triangle 1275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/>
      </xdr:nvSpPr>
      <xdr:spPr>
        <a:xfrm>
          <a:off x="1552575" y="3419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1277" name="Isosceles Triangle 1276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/>
      </xdr:nvSpPr>
      <xdr:spPr>
        <a:xfrm>
          <a:off x="36099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1278" name="Isosceles Triangle 1277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/>
      </xdr:nvSpPr>
      <xdr:spPr>
        <a:xfrm>
          <a:off x="538162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1279" name="Isosceles Triangle 1278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/>
      </xdr:nvSpPr>
      <xdr:spPr>
        <a:xfrm>
          <a:off x="9210675" y="34194750"/>
          <a:ext cx="50409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1280" name="Isosceles Triangle 1279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/>
      </xdr:nvSpPr>
      <xdr:spPr>
        <a:xfrm>
          <a:off x="82200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1281" name="Isosceles Triangle 1280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/>
      </xdr:nvSpPr>
      <xdr:spPr>
        <a:xfrm>
          <a:off x="4514850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1282" name="Isosceles Triangle 128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/>
      </xdr:nvSpPr>
      <xdr:spPr>
        <a:xfrm>
          <a:off x="717232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1283" name="Isosceles Triangle 1282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/>
      </xdr:nvSpPr>
      <xdr:spPr>
        <a:xfrm>
          <a:off x="6296025" y="34194750"/>
          <a:ext cx="523143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1284" name="Arrow: Up 256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/>
      </xdr:nvSpPr>
      <xdr:spPr>
        <a:xfrm>
          <a:off x="129886" y="25327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1285" name="Arrow: Up 256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/>
      </xdr:nvSpPr>
      <xdr:spPr>
        <a:xfrm>
          <a:off x="2303470" y="25322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1286" name="Arrow: Up 256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/>
      </xdr:nvSpPr>
      <xdr:spPr>
        <a:xfrm>
          <a:off x="5151726" y="25249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1287" name="Arrow: Up 256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/>
      </xdr:nvSpPr>
      <xdr:spPr>
        <a:xfrm>
          <a:off x="7792316" y="25544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1288" name="Arrow: Up 232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/>
      </xdr:nvSpPr>
      <xdr:spPr>
        <a:xfrm>
          <a:off x="7954673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1289" name="Arrow: Up-Down 285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/>
      </xdr:nvSpPr>
      <xdr:spPr>
        <a:xfrm>
          <a:off x="8138679" y="25760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1290" name="Arrow: Up 232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/>
      </xdr:nvSpPr>
      <xdr:spPr>
        <a:xfrm>
          <a:off x="8829242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1291" name="Arrow: Up 256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/>
      </xdr:nvSpPr>
      <xdr:spPr>
        <a:xfrm>
          <a:off x="9769619" y="25436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1292" name="Arrow: Up 232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/>
      </xdr:nvSpPr>
      <xdr:spPr>
        <a:xfrm>
          <a:off x="9953625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1293" name="Arrow: Up 256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/>
      </xdr:nvSpPr>
      <xdr:spPr>
        <a:xfrm>
          <a:off x="10780134" y="25436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1294" name="Arrow: Up 233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/>
      </xdr:nvSpPr>
      <xdr:spPr>
        <a:xfrm>
          <a:off x="11788919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1295" name="Arrow: Up 256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/>
      </xdr:nvSpPr>
      <xdr:spPr>
        <a:xfrm>
          <a:off x="118197" y="40576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1296" name="Arrow: Up 256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/>
      </xdr:nvSpPr>
      <xdr:spPr>
        <a:xfrm>
          <a:off x="1207943" y="4067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1297" name="Arrow: Up 256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/>
      </xdr:nvSpPr>
      <xdr:spPr>
        <a:xfrm>
          <a:off x="3198451" y="40684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1298" name="Arrow: Up 256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/>
      </xdr:nvSpPr>
      <xdr:spPr>
        <a:xfrm>
          <a:off x="4165023" y="4056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1299" name="Arrow: Up 228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/>
      </xdr:nvSpPr>
      <xdr:spPr>
        <a:xfrm>
          <a:off x="4327381" y="404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1300" name="Arrow: Up 256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/>
      </xdr:nvSpPr>
      <xdr:spPr>
        <a:xfrm>
          <a:off x="5124017" y="4067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1301" name="Arrow: Up 241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/>
      </xdr:nvSpPr>
      <xdr:spPr>
        <a:xfrm>
          <a:off x="5915025" y="40957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1302" name="Arrow: Up-Down 285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/>
      </xdr:nvSpPr>
      <xdr:spPr>
        <a:xfrm>
          <a:off x="6088207" y="40784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1303" name="Arrow: Up 256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/>
      </xdr:nvSpPr>
      <xdr:spPr>
        <a:xfrm>
          <a:off x="8830541" y="40468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1304" name="Arrow: Up 237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/>
      </xdr:nvSpPr>
      <xdr:spPr>
        <a:xfrm>
          <a:off x="10769311" y="4067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1305" name="Arrow: Up 237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/>
      </xdr:nvSpPr>
      <xdr:spPr>
        <a:xfrm>
          <a:off x="11810568" y="407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1306" name="Arrow: Up 256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/>
      </xdr:nvSpPr>
      <xdr:spPr>
        <a:xfrm>
          <a:off x="12728863" y="40784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1307" name="Arrow: Up 239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/>
      </xdr:nvSpPr>
      <xdr:spPr>
        <a:xfrm>
          <a:off x="2173865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162622</xdr:colOff>
      <xdr:row>30</xdr:row>
      <xdr:rowOff>30237</xdr:rowOff>
    </xdr:to>
    <xdr:sp macro="" textlink="">
      <xdr:nvSpPr>
        <xdr:cNvPr id="1308" name="Arrow: Up 256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/>
      </xdr:nvSpPr>
      <xdr:spPr>
        <a:xfrm>
          <a:off x="3076575" y="5619750"/>
          <a:ext cx="162622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1309" name="Arrow: Up-Down 285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/>
      </xdr:nvSpPr>
      <xdr:spPr>
        <a:xfrm>
          <a:off x="3238933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1310" name="Arrow: Up-Down 285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/>
      </xdr:nvSpPr>
      <xdr:spPr>
        <a:xfrm>
          <a:off x="3390467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1311" name="Arrow: Up 240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/>
      </xdr:nvSpPr>
      <xdr:spPr>
        <a:xfrm>
          <a:off x="5124017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1312" name="Arrow: Up 240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/>
      </xdr:nvSpPr>
      <xdr:spPr>
        <a:xfrm>
          <a:off x="5931693" y="55903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1313" name="Arrow: Up 256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/>
      </xdr:nvSpPr>
      <xdr:spPr>
        <a:xfrm>
          <a:off x="8861714" y="558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1314" name="Arrow: Up 241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/>
      </xdr:nvSpPr>
      <xdr:spPr>
        <a:xfrm>
          <a:off x="11788919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1315" name="Arrow: Up 256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/>
      </xdr:nvSpPr>
      <xdr:spPr>
        <a:xfrm>
          <a:off x="12696392" y="55807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1316" name="Arrow: Up 241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/>
      </xdr:nvSpPr>
      <xdr:spPr>
        <a:xfrm>
          <a:off x="86591" y="70831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1317" name="Arrow: Up 241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/>
      </xdr:nvSpPr>
      <xdr:spPr>
        <a:xfrm>
          <a:off x="1272887" y="709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1318" name="Arrow: Up 256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/>
      </xdr:nvSpPr>
      <xdr:spPr>
        <a:xfrm>
          <a:off x="2173864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1319" name="Arrow: Up 256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/>
      </xdr:nvSpPr>
      <xdr:spPr>
        <a:xfrm>
          <a:off x="415419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1320" name="Arrow: Up 256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/>
      </xdr:nvSpPr>
      <xdr:spPr>
        <a:xfrm>
          <a:off x="4316556" y="7126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1321" name="Arrow: Up 243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/>
      </xdr:nvSpPr>
      <xdr:spPr>
        <a:xfrm>
          <a:off x="6034088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1322" name="Arrow: Up 256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/>
      </xdr:nvSpPr>
      <xdr:spPr>
        <a:xfrm>
          <a:off x="7705725" y="7143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1323" name="Arrow: Up 243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/>
      </xdr:nvSpPr>
      <xdr:spPr>
        <a:xfrm>
          <a:off x="7857259" y="713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1324" name="Arrow: Up-Down 285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/>
      </xdr:nvSpPr>
      <xdr:spPr>
        <a:xfrm>
          <a:off x="8019617" y="71545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1325" name="Arrow: Up 256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/>
      </xdr:nvSpPr>
      <xdr:spPr>
        <a:xfrm>
          <a:off x="9728705" y="71013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1326" name="Arrow: Up 244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/>
      </xdr:nvSpPr>
      <xdr:spPr>
        <a:xfrm>
          <a:off x="10769312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1327" name="Arrow: Up 256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/>
      </xdr:nvSpPr>
      <xdr:spPr>
        <a:xfrm>
          <a:off x="1178891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1328" name="Arrow: Up 256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/>
      </xdr:nvSpPr>
      <xdr:spPr>
        <a:xfrm>
          <a:off x="12739688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1329" name="Arrow: Up 243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/>
      </xdr:nvSpPr>
      <xdr:spPr>
        <a:xfrm>
          <a:off x="1262062" y="863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1330" name="Arrow: Up 243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/>
      </xdr:nvSpPr>
      <xdr:spPr>
        <a:xfrm>
          <a:off x="5134841" y="8628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1331" name="Arrow: Up 252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/>
      </xdr:nvSpPr>
      <xdr:spPr>
        <a:xfrm>
          <a:off x="5080722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1332" name="Arrow: Up 252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/>
      </xdr:nvSpPr>
      <xdr:spPr>
        <a:xfrm>
          <a:off x="5232255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1333" name="Arrow: Up-Down 285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/>
      </xdr:nvSpPr>
      <xdr:spPr>
        <a:xfrm>
          <a:off x="7759844" y="10174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1334" name="Arrow: Up-Down 285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/>
      </xdr:nvSpPr>
      <xdr:spPr>
        <a:xfrm>
          <a:off x="7943850" y="10185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1335" name="Arrow: Up 251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/>
      </xdr:nvSpPr>
      <xdr:spPr>
        <a:xfrm>
          <a:off x="10671897" y="1017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1336" name="Arrow: Up 247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/>
      </xdr:nvSpPr>
      <xdr:spPr>
        <a:xfrm>
          <a:off x="10855903" y="10174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1337" name="Arrow: Up 247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/>
      </xdr:nvSpPr>
      <xdr:spPr>
        <a:xfrm>
          <a:off x="11756448" y="10152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1338" name="Arrow: Up 251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/>
      </xdr:nvSpPr>
      <xdr:spPr>
        <a:xfrm>
          <a:off x="11940453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1339" name="Arrow: Up 251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/>
      </xdr:nvSpPr>
      <xdr:spPr>
        <a:xfrm>
          <a:off x="1218767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1340" name="Arrow: Up 251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/>
      </xdr:nvSpPr>
      <xdr:spPr>
        <a:xfrm>
          <a:off x="6905192" y="11687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1341" name="Arrow: Up 251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/>
      </xdr:nvSpPr>
      <xdr:spPr>
        <a:xfrm>
          <a:off x="7846435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1342" name="Arrow: Up 255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/>
      </xdr:nvSpPr>
      <xdr:spPr>
        <a:xfrm>
          <a:off x="9812915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1343" name="Arrow: Up 247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/>
      </xdr:nvSpPr>
      <xdr:spPr>
        <a:xfrm>
          <a:off x="10910021" y="11676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1344" name="Arrow: Up-Down 285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/>
      </xdr:nvSpPr>
      <xdr:spPr>
        <a:xfrm>
          <a:off x="11843038" y="11698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1345" name="Arrow: Up-Down 285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/>
      </xdr:nvSpPr>
      <xdr:spPr>
        <a:xfrm>
          <a:off x="12847926" y="11715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1346" name="Arrow: Up 257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/>
      </xdr:nvSpPr>
      <xdr:spPr>
        <a:xfrm>
          <a:off x="12663921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23232</xdr:colOff>
      <xdr:row>59</xdr:row>
      <xdr:rowOff>161349</xdr:rowOff>
    </xdr:from>
    <xdr:to>
      <xdr:col>42</xdr:col>
      <xdr:colOff>189414</xdr:colOff>
      <xdr:row>61</xdr:row>
      <xdr:rowOff>182228</xdr:rowOff>
    </xdr:to>
    <xdr:sp macro="" textlink="">
      <xdr:nvSpPr>
        <xdr:cNvPr id="1347" name="Arrow: Up-Down 285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/>
      </xdr:nvSpPr>
      <xdr:spPr>
        <a:xfrm>
          <a:off x="13729707" y="11686599"/>
          <a:ext cx="166182" cy="401879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1348" name="Arrow: Up-Down 285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/>
      </xdr:nvSpPr>
      <xdr:spPr>
        <a:xfrm>
          <a:off x="1251238" y="13222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1349" name="Arrow: Up-Down 285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/>
      </xdr:nvSpPr>
      <xdr:spPr>
        <a:xfrm>
          <a:off x="3347172" y="13211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1350" name="Arrow: Up 268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/>
      </xdr:nvSpPr>
      <xdr:spPr>
        <a:xfrm>
          <a:off x="9737148" y="13211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1351" name="Arrow: Up 269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/>
      </xdr:nvSpPr>
      <xdr:spPr>
        <a:xfrm>
          <a:off x="10877550" y="13200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1352" name="Arrow: Up 268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/>
      </xdr:nvSpPr>
      <xdr:spPr>
        <a:xfrm>
          <a:off x="10704368" y="13200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1353" name="Arrow: Up 271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/>
      </xdr:nvSpPr>
      <xdr:spPr>
        <a:xfrm>
          <a:off x="1348654" y="1472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1354" name="Arrow: Up 265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/>
      </xdr:nvSpPr>
      <xdr:spPr>
        <a:xfrm>
          <a:off x="1175472" y="147139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1355" name="Arrow: Up 265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/>
      </xdr:nvSpPr>
      <xdr:spPr>
        <a:xfrm>
          <a:off x="2076450" y="14735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1356" name="Arrow: Up 265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/>
      </xdr:nvSpPr>
      <xdr:spPr>
        <a:xfrm>
          <a:off x="3119870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1357" name="Arrow: Up 265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/>
      </xdr:nvSpPr>
      <xdr:spPr>
        <a:xfrm>
          <a:off x="4240790" y="1473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1358" name="Arrow: Up 265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/>
      </xdr:nvSpPr>
      <xdr:spPr>
        <a:xfrm>
          <a:off x="5059074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1359" name="Arrow: Up 262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/>
      </xdr:nvSpPr>
      <xdr:spPr>
        <a:xfrm>
          <a:off x="5210608" y="147356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1360" name="Arrow: Up 265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/>
      </xdr:nvSpPr>
      <xdr:spPr>
        <a:xfrm>
          <a:off x="5936673" y="14757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1361" name="Arrow: Up 275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/>
      </xdr:nvSpPr>
      <xdr:spPr>
        <a:xfrm>
          <a:off x="7759845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1362" name="Arrow: Up 262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/>
      </xdr:nvSpPr>
      <xdr:spPr>
        <a:xfrm>
          <a:off x="7943850" y="1473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1363" name="Arrow: Up 262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/>
      </xdr:nvSpPr>
      <xdr:spPr>
        <a:xfrm>
          <a:off x="8969952" y="14724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1364" name="Arrow: Up 275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/>
      </xdr:nvSpPr>
      <xdr:spPr>
        <a:xfrm>
          <a:off x="8796771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1365" name="Arrow: Up 275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/>
      </xdr:nvSpPr>
      <xdr:spPr>
        <a:xfrm>
          <a:off x="972632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1366" name="Arrow: Up 275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/>
      </xdr:nvSpPr>
      <xdr:spPr>
        <a:xfrm>
          <a:off x="1080178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1367" name="Arrow: Up 275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/>
      </xdr:nvSpPr>
      <xdr:spPr>
        <a:xfrm>
          <a:off x="11853862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1368" name="Arrow: Up 275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/>
      </xdr:nvSpPr>
      <xdr:spPr>
        <a:xfrm>
          <a:off x="0" y="16287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1369" name="Arrow: Up 279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/>
      </xdr:nvSpPr>
      <xdr:spPr>
        <a:xfrm>
          <a:off x="162358" y="162877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1370" name="Arrow: Up 275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/>
      </xdr:nvSpPr>
      <xdr:spPr>
        <a:xfrm>
          <a:off x="1194304" y="162648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1371" name="Arrow: Up 279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/>
      </xdr:nvSpPr>
      <xdr:spPr>
        <a:xfrm>
          <a:off x="2163040" y="162596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1372" name="Arrow: Up 275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/>
      </xdr:nvSpPr>
      <xdr:spPr>
        <a:xfrm>
          <a:off x="4240790" y="16248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1373" name="Arrow: Up 281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/>
      </xdr:nvSpPr>
      <xdr:spPr>
        <a:xfrm>
          <a:off x="6034088" y="16287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1374" name="Arrow: Up 284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/>
      </xdr:nvSpPr>
      <xdr:spPr>
        <a:xfrm>
          <a:off x="8850890" y="162379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1375" name="Arrow: Up 281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/>
      </xdr:nvSpPr>
      <xdr:spPr>
        <a:xfrm>
          <a:off x="9856210" y="16237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1376" name="Arrow: Up 286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/>
      </xdr:nvSpPr>
      <xdr:spPr>
        <a:xfrm>
          <a:off x="11832215" y="1625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69697</xdr:colOff>
      <xdr:row>83</xdr:row>
      <xdr:rowOff>140710</xdr:rowOff>
    </xdr:from>
    <xdr:to>
      <xdr:col>42</xdr:col>
      <xdr:colOff>215477</xdr:colOff>
      <xdr:row>85</xdr:row>
      <xdr:rowOff>170947</xdr:rowOff>
    </xdr:to>
    <xdr:sp macro="" textlink="">
      <xdr:nvSpPr>
        <xdr:cNvPr id="1377" name="Arrow: Up 281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/>
      </xdr:nvSpPr>
      <xdr:spPr>
        <a:xfrm>
          <a:off x="13776172" y="16237960"/>
          <a:ext cx="145780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1378" name="Arrow: Up 275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/>
      </xdr:nvSpPr>
      <xdr:spPr>
        <a:xfrm>
          <a:off x="2173865" y="177944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1379" name="Arrow: Up 289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/>
      </xdr:nvSpPr>
      <xdr:spPr>
        <a:xfrm>
          <a:off x="3238933" y="1779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1380" name="Arrow: Up 275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/>
      </xdr:nvSpPr>
      <xdr:spPr>
        <a:xfrm>
          <a:off x="4143375" y="17811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1381" name="Arrow: Up 289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/>
      </xdr:nvSpPr>
      <xdr:spPr>
        <a:xfrm>
          <a:off x="4294909" y="1780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32472</xdr:colOff>
      <xdr:row>91</xdr:row>
      <xdr:rowOff>139390</xdr:rowOff>
    </xdr:from>
    <xdr:to>
      <xdr:col>42</xdr:col>
      <xdr:colOff>175347</xdr:colOff>
      <xdr:row>93</xdr:row>
      <xdr:rowOff>169628</xdr:rowOff>
    </xdr:to>
    <xdr:sp macro="" textlink="">
      <xdr:nvSpPr>
        <xdr:cNvPr id="1382" name="Arrow: Up 292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/>
      </xdr:nvSpPr>
      <xdr:spPr>
        <a:xfrm>
          <a:off x="13738947" y="1776064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205654</xdr:colOff>
      <xdr:row>91</xdr:row>
      <xdr:rowOff>149159</xdr:rowOff>
    </xdr:from>
    <xdr:to>
      <xdr:col>42</xdr:col>
      <xdr:colOff>360092</xdr:colOff>
      <xdr:row>93</xdr:row>
      <xdr:rowOff>170421</xdr:rowOff>
    </xdr:to>
    <xdr:sp macro="" textlink="">
      <xdr:nvSpPr>
        <xdr:cNvPr id="1383" name="Arrow: Up 295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/>
      </xdr:nvSpPr>
      <xdr:spPr>
        <a:xfrm>
          <a:off x="13912129" y="17770409"/>
          <a:ext cx="154438" cy="40226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1384" name="Arrow: Up 296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/>
      </xdr:nvSpPr>
      <xdr:spPr>
        <a:xfrm>
          <a:off x="1359477" y="192967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1385" name="Arrow: Up 291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/>
      </xdr:nvSpPr>
      <xdr:spPr>
        <a:xfrm>
          <a:off x="6055735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1386" name="Arrow: Up 310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/>
      </xdr:nvSpPr>
      <xdr:spPr>
        <a:xfrm>
          <a:off x="11821391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1387" name="Arrow: Up 296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/>
      </xdr:nvSpPr>
      <xdr:spPr>
        <a:xfrm>
          <a:off x="1359477" y="208597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1388" name="Arrow: Up 296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/>
      </xdr:nvSpPr>
      <xdr:spPr>
        <a:xfrm>
          <a:off x="2206336" y="2080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1389" name="Arrow: Up 296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/>
      </xdr:nvSpPr>
      <xdr:spPr>
        <a:xfrm>
          <a:off x="3217285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1390" name="Arrow: Up 313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/>
      </xdr:nvSpPr>
      <xdr:spPr>
        <a:xfrm>
          <a:off x="4240790" y="20831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1391" name="Arrow: Up 313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/>
      </xdr:nvSpPr>
      <xdr:spPr>
        <a:xfrm>
          <a:off x="6861897" y="2082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1392" name="Arrow: Up-Down 285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/>
      </xdr:nvSpPr>
      <xdr:spPr>
        <a:xfrm>
          <a:off x="7024255" y="20842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1393" name="Arrow: Up 296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/>
      </xdr:nvSpPr>
      <xdr:spPr>
        <a:xfrm>
          <a:off x="7878906" y="20820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1394" name="Arrow: Up 296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/>
      </xdr:nvSpPr>
      <xdr:spPr>
        <a:xfrm>
          <a:off x="10758488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1395" name="Arrow: Up 296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/>
      </xdr:nvSpPr>
      <xdr:spPr>
        <a:xfrm>
          <a:off x="11918806" y="208424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1396" name="Arrow: Up 313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/>
      </xdr:nvSpPr>
      <xdr:spPr>
        <a:xfrm>
          <a:off x="11756448" y="20853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1397" name="Arrow: Up 296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/>
      </xdr:nvSpPr>
      <xdr:spPr>
        <a:xfrm>
          <a:off x="12739688" y="2082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107</xdr:row>
      <xdr:rowOff>162358</xdr:rowOff>
    </xdr:from>
    <xdr:to>
      <xdr:col>42</xdr:col>
      <xdr:colOff>290397</xdr:colOff>
      <xdr:row>110</xdr:row>
      <xdr:rowOff>6742</xdr:rowOff>
    </xdr:to>
    <xdr:sp macro="" textlink="">
      <xdr:nvSpPr>
        <xdr:cNvPr id="1398" name="Arrow: Up 296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/>
      </xdr:nvSpPr>
      <xdr:spPr>
        <a:xfrm>
          <a:off x="13815507" y="20831608"/>
          <a:ext cx="181365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1399" name="Arrow: Up 296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/>
      </xdr:nvSpPr>
      <xdr:spPr>
        <a:xfrm>
          <a:off x="1251239" y="2235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1400" name="Arrow: Up 296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/>
      </xdr:nvSpPr>
      <xdr:spPr>
        <a:xfrm>
          <a:off x="21846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1401" name="Arrow: Up 296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/>
      </xdr:nvSpPr>
      <xdr:spPr>
        <a:xfrm>
          <a:off x="3152342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1402" name="Arrow: Up-Down 285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/>
      </xdr:nvSpPr>
      <xdr:spPr>
        <a:xfrm>
          <a:off x="3336348" y="2235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1403" name="Arrow: Up 296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/>
      </xdr:nvSpPr>
      <xdr:spPr>
        <a:xfrm>
          <a:off x="4229966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1404" name="Arrow: Up 296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/>
      </xdr:nvSpPr>
      <xdr:spPr>
        <a:xfrm>
          <a:off x="5134841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1405" name="Arrow: Up 296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/>
      </xdr:nvSpPr>
      <xdr:spPr>
        <a:xfrm>
          <a:off x="6905192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1406" name="Arrow: Up 296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/>
      </xdr:nvSpPr>
      <xdr:spPr>
        <a:xfrm>
          <a:off x="9823739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1407" name="Arrow: Up 296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/>
      </xdr:nvSpPr>
      <xdr:spPr>
        <a:xfrm>
          <a:off x="107584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1408" name="Arrow: Up 296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/>
      </xdr:nvSpPr>
      <xdr:spPr>
        <a:xfrm>
          <a:off x="12728863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1409" name="Arrow: Up 296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/>
      </xdr:nvSpPr>
      <xdr:spPr>
        <a:xfrm>
          <a:off x="3249756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1410" name="Arrow: Up 296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/>
      </xdr:nvSpPr>
      <xdr:spPr>
        <a:xfrm>
          <a:off x="5145665" y="2386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1411" name="Arrow: Up 296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/>
      </xdr:nvSpPr>
      <xdr:spPr>
        <a:xfrm>
          <a:off x="10780135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1412" name="Arrow: Up 296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/>
      </xdr:nvSpPr>
      <xdr:spPr>
        <a:xfrm>
          <a:off x="12761335" y="23868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1413" name="Arrow: Up 296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/>
      </xdr:nvSpPr>
      <xdr:spPr>
        <a:xfrm>
          <a:off x="1262062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1414" name="Arrow: Up 296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/>
      </xdr:nvSpPr>
      <xdr:spPr>
        <a:xfrm>
          <a:off x="3217285" y="254252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1415" name="Arrow: Up 296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/>
      </xdr:nvSpPr>
      <xdr:spPr>
        <a:xfrm>
          <a:off x="5145665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1416" name="Arrow: Up 296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/>
      </xdr:nvSpPr>
      <xdr:spPr>
        <a:xfrm>
          <a:off x="6980960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1417" name="Arrow: Up 805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/>
      </xdr:nvSpPr>
      <xdr:spPr>
        <a:xfrm>
          <a:off x="6829425" y="25381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1418" name="Arrow: Up 805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/>
      </xdr:nvSpPr>
      <xdr:spPr>
        <a:xfrm>
          <a:off x="8785946" y="25403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1419" name="Arrow: Up 296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/>
      </xdr:nvSpPr>
      <xdr:spPr>
        <a:xfrm>
          <a:off x="8991600" y="25392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1420" name="Arrow: Up 296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/>
      </xdr:nvSpPr>
      <xdr:spPr>
        <a:xfrm>
          <a:off x="9845386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140711</xdr:colOff>
      <xdr:row>131</xdr:row>
      <xdr:rowOff>184797</xdr:rowOff>
    </xdr:from>
    <xdr:to>
      <xdr:col>42</xdr:col>
      <xdr:colOff>325244</xdr:colOff>
      <xdr:row>134</xdr:row>
      <xdr:rowOff>20204</xdr:rowOff>
    </xdr:to>
    <xdr:sp macro="" textlink="">
      <xdr:nvSpPr>
        <xdr:cNvPr id="1421" name="Arrow: Up 805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/>
      </xdr:nvSpPr>
      <xdr:spPr>
        <a:xfrm>
          <a:off x="13847186" y="25426047"/>
          <a:ext cx="184533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1422" name="Arrow: Up 805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/>
      </xdr:nvSpPr>
      <xdr:spPr>
        <a:xfrm>
          <a:off x="2087274" y="269276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1423" name="Arrow: Up 296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/>
      </xdr:nvSpPr>
      <xdr:spPr>
        <a:xfrm>
          <a:off x="2271279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1424" name="Arrow: Up 805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/>
      </xdr:nvSpPr>
      <xdr:spPr>
        <a:xfrm>
          <a:off x="6861897" y="268951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1425" name="Arrow: Up 296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/>
      </xdr:nvSpPr>
      <xdr:spPr>
        <a:xfrm>
          <a:off x="7035078" y="268843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1426" name="Arrow: Up 296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/>
      </xdr:nvSpPr>
      <xdr:spPr>
        <a:xfrm>
          <a:off x="10769312" y="26916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1427" name="Arrow: Up 296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/>
      </xdr:nvSpPr>
      <xdr:spPr>
        <a:xfrm>
          <a:off x="11832215" y="2690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1428" name="Arrow: Up 296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/>
      </xdr:nvSpPr>
      <xdr:spPr>
        <a:xfrm>
          <a:off x="12793807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83425</xdr:colOff>
      <xdr:row>139</xdr:row>
      <xdr:rowOff>184796</xdr:rowOff>
    </xdr:from>
    <xdr:to>
      <xdr:col>42</xdr:col>
      <xdr:colOff>226300</xdr:colOff>
      <xdr:row>142</xdr:row>
      <xdr:rowOff>20204</xdr:rowOff>
    </xdr:to>
    <xdr:sp macro="" textlink="">
      <xdr:nvSpPr>
        <xdr:cNvPr id="1429" name="Arrow: Up 913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/>
      </xdr:nvSpPr>
      <xdr:spPr>
        <a:xfrm>
          <a:off x="13789900" y="2695004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1430" name="Arrow: Up 296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/>
      </xdr:nvSpPr>
      <xdr:spPr>
        <a:xfrm>
          <a:off x="2163041" y="2844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1431" name="Arrow: Up 296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/>
      </xdr:nvSpPr>
      <xdr:spPr>
        <a:xfrm>
          <a:off x="5969144" y="28451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1432" name="Arrow: Up 296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/>
      </xdr:nvSpPr>
      <xdr:spPr>
        <a:xfrm>
          <a:off x="8926657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1433" name="Arrow: Up 296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/>
      </xdr:nvSpPr>
      <xdr:spPr>
        <a:xfrm>
          <a:off x="9747972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1434" name="Arrow: Up-Down 285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/>
      </xdr:nvSpPr>
      <xdr:spPr>
        <a:xfrm>
          <a:off x="9921154" y="284407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1435" name="Arrow: Up 913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/>
      </xdr:nvSpPr>
      <xdr:spPr>
        <a:xfrm>
          <a:off x="11843039" y="284624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1436" name="Arrow: Up 296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/>
      </xdr:nvSpPr>
      <xdr:spPr>
        <a:xfrm>
          <a:off x="1370301" y="2995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1437" name="Arrow: Up-Down 285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/>
      </xdr:nvSpPr>
      <xdr:spPr>
        <a:xfrm>
          <a:off x="3217285" y="299756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1438" name="Arrow: Up 913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/>
      </xdr:nvSpPr>
      <xdr:spPr>
        <a:xfrm>
          <a:off x="4251613" y="2997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1439" name="Arrow: Up-Down 285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/>
      </xdr:nvSpPr>
      <xdr:spPr>
        <a:xfrm>
          <a:off x="6055735" y="2997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1440" name="Arrow: Up-Down 285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/>
      </xdr:nvSpPr>
      <xdr:spPr>
        <a:xfrm>
          <a:off x="6980959" y="30003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1441" name="Arrow: Up 296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/>
      </xdr:nvSpPr>
      <xdr:spPr>
        <a:xfrm>
          <a:off x="6829425" y="2999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1442" name="Arrow: Up-Down 285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/>
      </xdr:nvSpPr>
      <xdr:spPr>
        <a:xfrm>
          <a:off x="7943850" y="299539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1443" name="Arrow: Up 296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/>
      </xdr:nvSpPr>
      <xdr:spPr>
        <a:xfrm>
          <a:off x="7803140" y="29953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1444" name="Arrow: Up 913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/>
      </xdr:nvSpPr>
      <xdr:spPr>
        <a:xfrm>
          <a:off x="8883362" y="2996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1445" name="Arrow: Up 296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/>
      </xdr:nvSpPr>
      <xdr:spPr>
        <a:xfrm>
          <a:off x="9834563" y="29986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1446" name="Arrow: Up-Down 285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/>
      </xdr:nvSpPr>
      <xdr:spPr>
        <a:xfrm>
          <a:off x="10877550" y="29997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1447" name="Arrow: Up 296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/>
      </xdr:nvSpPr>
      <xdr:spPr>
        <a:xfrm>
          <a:off x="10693545" y="2996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155</xdr:row>
      <xdr:rowOff>174766</xdr:rowOff>
    </xdr:from>
    <xdr:to>
      <xdr:col>42</xdr:col>
      <xdr:colOff>302013</xdr:colOff>
      <xdr:row>158</xdr:row>
      <xdr:rowOff>19150</xdr:rowOff>
    </xdr:to>
    <xdr:sp macro="" textlink="">
      <xdr:nvSpPr>
        <xdr:cNvPr id="1448" name="Arrow: Up 296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/>
      </xdr:nvSpPr>
      <xdr:spPr>
        <a:xfrm>
          <a:off x="13815507" y="29988016"/>
          <a:ext cx="192981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1449" name="Arrow: Up 296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/>
      </xdr:nvSpPr>
      <xdr:spPr>
        <a:xfrm>
          <a:off x="4284085" y="31477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1450" name="Arrow: Up 913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/>
      </xdr:nvSpPr>
      <xdr:spPr>
        <a:xfrm>
          <a:off x="7749021" y="31488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1451" name="Arrow: Up 296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/>
      </xdr:nvSpPr>
      <xdr:spPr>
        <a:xfrm>
          <a:off x="7954673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1452" name="Arrow: Up 913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/>
      </xdr:nvSpPr>
      <xdr:spPr>
        <a:xfrm>
          <a:off x="12653097" y="31488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1453" name="Arrow: Up 296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/>
      </xdr:nvSpPr>
      <xdr:spPr>
        <a:xfrm>
          <a:off x="12858750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1454" name="Arrow: Up 296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/>
      </xdr:nvSpPr>
      <xdr:spPr>
        <a:xfrm>
          <a:off x="1283710" y="330019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1455" name="Arrow: Up 1075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/>
      </xdr:nvSpPr>
      <xdr:spPr>
        <a:xfrm>
          <a:off x="5069897" y="33023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1456" name="Arrow: Up 296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/>
      </xdr:nvSpPr>
      <xdr:spPr>
        <a:xfrm>
          <a:off x="5221432" y="330344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1457" name="Arrow: Up 296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/>
      </xdr:nvSpPr>
      <xdr:spPr>
        <a:xfrm>
          <a:off x="6937664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1458" name="Arrow: Up 296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/>
      </xdr:nvSpPr>
      <xdr:spPr>
        <a:xfrm>
          <a:off x="7803140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1459" name="Arrow: Up 296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/>
      </xdr:nvSpPr>
      <xdr:spPr>
        <a:xfrm>
          <a:off x="8894187" y="330236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1460" name="Arrow: Up 296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/>
      </xdr:nvSpPr>
      <xdr:spPr>
        <a:xfrm>
          <a:off x="9845387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1461" name="Arrow: Up 296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/>
      </xdr:nvSpPr>
      <xdr:spPr>
        <a:xfrm>
          <a:off x="10758488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1462" name="Arrow: Up 296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/>
      </xdr:nvSpPr>
      <xdr:spPr>
        <a:xfrm>
          <a:off x="11821390" y="33023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1463" name="Arrow: Up 296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/>
      </xdr:nvSpPr>
      <xdr:spPr>
        <a:xfrm>
          <a:off x="12750511" y="3302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85800</xdr:colOff>
      <xdr:row>171</xdr:row>
      <xdr:rowOff>174765</xdr:rowOff>
    </xdr:from>
    <xdr:to>
      <xdr:col>42</xdr:col>
      <xdr:colOff>228675</xdr:colOff>
      <xdr:row>174</xdr:row>
      <xdr:rowOff>19149</xdr:rowOff>
    </xdr:to>
    <xdr:sp macro="" textlink="">
      <xdr:nvSpPr>
        <xdr:cNvPr id="1464" name="Arrow: Up 913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/>
      </xdr:nvSpPr>
      <xdr:spPr>
        <a:xfrm>
          <a:off x="13792275" y="33036015"/>
          <a:ext cx="142875" cy="41588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1465" name="Arrow: Up 281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/>
      </xdr:nvSpPr>
      <xdr:spPr>
        <a:xfrm>
          <a:off x="7835612" y="16259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1466" name="Lightning Bolt 1465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/>
      </xdr:nvSpPr>
      <xdr:spPr>
        <a:xfrm rot="2857557">
          <a:off x="6818763" y="57053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1467" name="Lightning Bolt 1466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/>
      </xdr:nvSpPr>
      <xdr:spPr>
        <a:xfrm rot="2857557">
          <a:off x="7926285" y="132869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1468" name="Lightning Bolt 1467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/>
      </xdr:nvSpPr>
      <xdr:spPr>
        <a:xfrm rot="2857557">
          <a:off x="6013754" y="148354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1469" name="Lightning Bolt 1468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/>
      </xdr:nvSpPr>
      <xdr:spPr>
        <a:xfrm rot="2857557">
          <a:off x="8730672" y="178110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1470" name="Lightning Bolt 1469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/>
      </xdr:nvSpPr>
      <xdr:spPr>
        <a:xfrm rot="2857557">
          <a:off x="8735463" y="269009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1471" name="Lightning Bolt 1470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/>
      </xdr:nvSpPr>
      <xdr:spPr>
        <a:xfrm rot="2857557">
          <a:off x="6007704" y="285386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1472" name="Picture 14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098017" y="101785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1473" name="Picture 1472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782983" y="16248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1474" name="Picture 147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149504" y="299864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1475" name="Picture 95405" descr="LADDER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826279" y="146165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1476" name="Picture 14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1477" name="Picture 14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1478" name="Picture 14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1479" name="Picture 14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9801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1480" name="Picture 14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3529" y="29354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1481" name="Picture 14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487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1482" name="Picture 14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648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1483" name="Picture 14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1484" name="Picture 14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11206</xdr:rowOff>
    </xdr:from>
    <xdr:ext cx="230186" cy="271084"/>
    <xdr:pic>
      <xdr:nvPicPr>
        <xdr:cNvPr id="1485" name="Picture 14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274" y="44879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1486" name="Picture 14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1487" name="Picture 14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1488" name="Picture 14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6548" y="44486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1489" name="Picture 14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1490" name="Picture 14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073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1491" name="Picture 14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1492" name="Picture 14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1493" name="Picture 14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1494" name="Picture 14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1495" name="Picture 14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9059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1496" name="Picture 14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1497" name="Picture 14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1498" name="Picture 14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1499" name="Picture 14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1500" name="Picture 14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1501" name="Picture 15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1502" name="Picture 15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1503" name="Picture 150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1504" name="Picture 15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1505" name="Picture 15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1506" name="Picture 15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1507" name="Picture 15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1508" name="Picture 15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1509" name="Picture 15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1510" name="Picture 15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1511" name="Picture 15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1512" name="Picture 15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1513" name="Picture 15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1514" name="Picture 15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62</xdr:row>
      <xdr:rowOff>0</xdr:rowOff>
    </xdr:from>
    <xdr:ext cx="230186" cy="271084"/>
    <xdr:pic>
      <xdr:nvPicPr>
        <xdr:cNvPr id="1515" name="Picture 15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2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1516" name="Picture 151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1517" name="Picture 15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1518" name="Picture 151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1519" name="Picture 15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1520" name="Picture 151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1521" name="Picture 15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1522" name="Picture 152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1523" name="Picture 152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1524" name="Picture 15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1525" name="Picture 152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1526" name="Picture 152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1527" name="Picture 15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1528" name="Picture 15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1529" name="Picture 15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1530" name="Picture 15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1531" name="Picture 15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1532" name="Picture 15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1533" name="Picture 15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93</xdr:row>
      <xdr:rowOff>174238</xdr:rowOff>
    </xdr:from>
    <xdr:ext cx="230186" cy="271084"/>
    <xdr:pic>
      <xdr:nvPicPr>
        <xdr:cNvPr id="1534" name="Picture 15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2" y="1817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1535" name="Picture 15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1536" name="Picture 15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1537" name="Picture 153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1538" name="Picture 153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1539" name="Picture 15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1540" name="Picture 153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1541" name="Lightning Bolt 1540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/>
      </xdr:nvSpPr>
      <xdr:spPr>
        <a:xfrm rot="2857557">
          <a:off x="5104557" y="385112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1542" name="Lightning Bolt 154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/>
      </xdr:nvSpPr>
      <xdr:spPr>
        <a:xfrm rot="2857557">
          <a:off x="7925798" y="164145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1543" name="Lightning Bolt 1542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/>
      </xdr:nvSpPr>
      <xdr:spPr>
        <a:xfrm rot="2857557">
          <a:off x="2243272" y="224377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1544" name="Lightning Bolt 1543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/>
      </xdr:nvSpPr>
      <xdr:spPr>
        <a:xfrm rot="2857557">
          <a:off x="10923577" y="300594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252116</xdr:colOff>
      <xdr:row>5</xdr:row>
      <xdr:rowOff>184006</xdr:rowOff>
    </xdr:from>
    <xdr:ext cx="230186" cy="271084"/>
    <xdr:pic>
      <xdr:nvPicPr>
        <xdr:cNvPr id="1545" name="Picture 15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0941" y="1422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1546" name="Picture 15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1547" name="Picture 15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1548" name="Picture 15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1549" name="Picture 15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1550" name="Picture 15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1551" name="Picture 15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1552" name="Picture 15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1553" name="Picture 15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1554" name="Picture 15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1555" name="Picture 15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1556" name="Picture 15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1557" name="Picture 15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1558" name="Picture 15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1559" name="Picture 15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1560" name="Picture 15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1561" name="Picture 15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1562" name="Picture 15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1563" name="Picture 15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1564" name="Picture 15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1565" name="Picture 156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1566" name="Picture 15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1567" name="Picture 15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1568" name="Picture 15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1569" name="Picture 15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1570" name="Picture 15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1571" name="Picture 15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1572" name="Picture 15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1573" name="Picture 15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1574" name="Picture 15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1575" name="Picture 15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1576" name="Picture 15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1577" name="Picture 15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1578" name="Picture 15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1579" name="Picture 15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1580" name="Picture 15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</xdr:colOff>
      <xdr:row>125</xdr:row>
      <xdr:rowOff>174238</xdr:rowOff>
    </xdr:from>
    <xdr:ext cx="230186" cy="271084"/>
    <xdr:pic>
      <xdr:nvPicPr>
        <xdr:cNvPr id="1581" name="Picture 15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6" y="2427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1582" name="Picture 15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1583" name="Picture 15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1584" name="Picture 15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1585" name="Picture 15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1586" name="Picture 15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1587" name="Picture 15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1588" name="Picture 15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1589" name="Picture 15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1590" name="Picture 15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1591" name="Picture 15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1592" name="Picture 15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1593" name="Picture 15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1594" name="Picture 15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38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1595" name="Picture 15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1596" name="Picture 15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1597" name="Picture 15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1598" name="Picture 15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1599" name="Picture 15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1600" name="Lightning Bolt 1599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/>
      </xdr:nvSpPr>
      <xdr:spPr>
        <a:xfrm rot="2857557">
          <a:off x="6068910" y="148776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1601" name="Picture 16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707" y="75161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1602" name="Isosceles Triangle 160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/>
      </xdr:nvSpPr>
      <xdr:spPr>
        <a:xfrm>
          <a:off x="71723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1603" name="Isosceles Triangle 1602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/>
      </xdr:nvSpPr>
      <xdr:spPr>
        <a:xfrm>
          <a:off x="3609975" y="6762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118</xdr:row>
      <xdr:rowOff>0</xdr:rowOff>
    </xdr:from>
    <xdr:ext cx="230186" cy="271084"/>
    <xdr:pic>
      <xdr:nvPicPr>
        <xdr:cNvPr id="1604" name="Picture 16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174</xdr:row>
      <xdr:rowOff>0</xdr:rowOff>
    </xdr:from>
    <xdr:ext cx="230186" cy="271084"/>
    <xdr:pic>
      <xdr:nvPicPr>
        <xdr:cNvPr id="1605" name="Picture 16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166</xdr:row>
      <xdr:rowOff>0</xdr:rowOff>
    </xdr:from>
    <xdr:ext cx="230186" cy="271084"/>
    <xdr:pic>
      <xdr:nvPicPr>
        <xdr:cNvPr id="1606" name="Picture 16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166</xdr:row>
      <xdr:rowOff>0</xdr:rowOff>
    </xdr:from>
    <xdr:ext cx="230186" cy="271084"/>
    <xdr:pic>
      <xdr:nvPicPr>
        <xdr:cNvPr id="1607" name="Picture 16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166</xdr:row>
      <xdr:rowOff>0</xdr:rowOff>
    </xdr:from>
    <xdr:ext cx="230186" cy="271084"/>
    <xdr:pic>
      <xdr:nvPicPr>
        <xdr:cNvPr id="1608" name="Picture 16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11616</xdr:colOff>
      <xdr:row>157</xdr:row>
      <xdr:rowOff>174238</xdr:rowOff>
    </xdr:from>
    <xdr:ext cx="230186" cy="271084"/>
    <xdr:pic>
      <xdr:nvPicPr>
        <xdr:cNvPr id="1609" name="Picture 16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1" y="30368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142</xdr:row>
      <xdr:rowOff>0</xdr:rowOff>
    </xdr:from>
    <xdr:ext cx="230186" cy="271084"/>
    <xdr:pic>
      <xdr:nvPicPr>
        <xdr:cNvPr id="1610" name="Picture 16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30186" cy="271084"/>
    <xdr:pic>
      <xdr:nvPicPr>
        <xdr:cNvPr id="1611" name="Picture 16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23233</xdr:colOff>
      <xdr:row>134</xdr:row>
      <xdr:rowOff>11616</xdr:rowOff>
    </xdr:from>
    <xdr:ext cx="230186" cy="271084"/>
    <xdr:pic>
      <xdr:nvPicPr>
        <xdr:cNvPr id="1612" name="Picture 16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9708" y="2582436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126</xdr:row>
      <xdr:rowOff>0</xdr:rowOff>
    </xdr:from>
    <xdr:ext cx="230186" cy="271084"/>
    <xdr:pic>
      <xdr:nvPicPr>
        <xdr:cNvPr id="1613" name="Picture 16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1614" name="Picture 16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118</xdr:row>
      <xdr:rowOff>0</xdr:rowOff>
    </xdr:from>
    <xdr:ext cx="230186" cy="271084"/>
    <xdr:pic>
      <xdr:nvPicPr>
        <xdr:cNvPr id="1615" name="Picture 16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42</xdr:row>
      <xdr:rowOff>0</xdr:rowOff>
    </xdr:from>
    <xdr:to>
      <xdr:col>15</xdr:col>
      <xdr:colOff>0</xdr:colOff>
      <xdr:row>44</xdr:row>
      <xdr:rowOff>0</xdr:rowOff>
    </xdr:to>
    <xdr:sp macro="" textlink="">
      <xdr:nvSpPr>
        <xdr:cNvPr id="1616" name="Isosceles Triangle 1615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/>
      </xdr:nvSpPr>
      <xdr:spPr>
        <a:xfrm>
          <a:off x="4514850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256442</xdr:colOff>
      <xdr:row>51</xdr:row>
      <xdr:rowOff>183174</xdr:rowOff>
    </xdr:to>
    <xdr:sp macro="" textlink="">
      <xdr:nvSpPr>
        <xdr:cNvPr id="1617" name="Isosceles Triangle 1616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/>
      </xdr:nvSpPr>
      <xdr:spPr>
        <a:xfrm>
          <a:off x="3609975" y="9810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18</xdr:row>
      <xdr:rowOff>0</xdr:rowOff>
    </xdr:from>
    <xdr:to>
      <xdr:col>26</xdr:col>
      <xdr:colOff>256441</xdr:colOff>
      <xdr:row>19</xdr:row>
      <xdr:rowOff>183173</xdr:rowOff>
    </xdr:to>
    <xdr:sp macro="" textlink="">
      <xdr:nvSpPr>
        <xdr:cNvPr id="1618" name="Isosceles Triangle 1617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/>
      </xdr:nvSpPr>
      <xdr:spPr>
        <a:xfrm>
          <a:off x="8220075" y="3714750"/>
          <a:ext cx="5231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86</xdr:row>
      <xdr:rowOff>0</xdr:rowOff>
    </xdr:from>
    <xdr:ext cx="230186" cy="271084"/>
    <xdr:pic>
      <xdr:nvPicPr>
        <xdr:cNvPr id="1619" name="Picture 16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58</xdr:row>
      <xdr:rowOff>0</xdr:rowOff>
    </xdr:from>
    <xdr:to>
      <xdr:col>20</xdr:col>
      <xdr:colOff>256442</xdr:colOff>
      <xdr:row>59</xdr:row>
      <xdr:rowOff>183175</xdr:rowOff>
    </xdr:to>
    <xdr:sp macro="" textlink="">
      <xdr:nvSpPr>
        <xdr:cNvPr id="1620" name="Isosceles Triangle 1619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/>
      </xdr:nvSpPr>
      <xdr:spPr>
        <a:xfrm>
          <a:off x="6296025" y="11334750"/>
          <a:ext cx="5231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11206</xdr:colOff>
      <xdr:row>26</xdr:row>
      <xdr:rowOff>0</xdr:rowOff>
    </xdr:from>
    <xdr:to>
      <xdr:col>26</xdr:col>
      <xdr:colOff>267647</xdr:colOff>
      <xdr:row>27</xdr:row>
      <xdr:rowOff>183175</xdr:rowOff>
    </xdr:to>
    <xdr:sp macro="" textlink="">
      <xdr:nvSpPr>
        <xdr:cNvPr id="1621" name="Isosceles Triangle 1620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/>
      </xdr:nvSpPr>
      <xdr:spPr>
        <a:xfrm>
          <a:off x="8231281" y="52387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2" name="Lightning Bolt 1621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/>
      </xdr:nvSpPr>
      <xdr:spPr>
        <a:xfrm rot="2857557">
          <a:off x="12776504" y="147783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/>
      </xdr:nvSpPr>
      <xdr:spPr>
        <a:xfrm rot="2857557">
          <a:off x="12831660" y="148204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4" name="Lightning Bolt 1623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/>
      </xdr:nvSpPr>
      <xdr:spPr>
        <a:xfrm rot="2857557">
          <a:off x="12776504" y="147783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5" name="Lightning Bolt 1624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/>
      </xdr:nvSpPr>
      <xdr:spPr>
        <a:xfrm rot="2857557">
          <a:off x="12831660" y="148204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27</xdr:col>
      <xdr:colOff>11206</xdr:colOff>
      <xdr:row>35</xdr:row>
      <xdr:rowOff>183172</xdr:rowOff>
    </xdr:to>
    <xdr:sp macro="" textlink="">
      <xdr:nvSpPr>
        <xdr:cNvPr id="1626" name="Isosceles Triangle 1625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/>
      </xdr:nvSpPr>
      <xdr:spPr>
        <a:xfrm>
          <a:off x="8220075" y="67627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256443</xdr:colOff>
      <xdr:row>51</xdr:row>
      <xdr:rowOff>183174</xdr:rowOff>
    </xdr:to>
    <xdr:sp macro="" textlink="">
      <xdr:nvSpPr>
        <xdr:cNvPr id="1627" name="Isosceles Triangle 1626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/>
      </xdr:nvSpPr>
      <xdr:spPr>
        <a:xfrm>
          <a:off x="4514850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19</xdr:row>
      <xdr:rowOff>183175</xdr:rowOff>
    </xdr:to>
    <xdr:sp macro="" textlink="">
      <xdr:nvSpPr>
        <xdr:cNvPr id="1628" name="Isosceles Triangle 1627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/>
      </xdr:nvSpPr>
      <xdr:spPr>
        <a:xfrm>
          <a:off x="13115925" y="3714750"/>
          <a:ext cx="59055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11206</xdr:colOff>
      <xdr:row>35</xdr:row>
      <xdr:rowOff>183172</xdr:rowOff>
    </xdr:to>
    <xdr:sp macro="" textlink="">
      <xdr:nvSpPr>
        <xdr:cNvPr id="1629" name="Isosceles Triangle 1628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/>
      </xdr:nvSpPr>
      <xdr:spPr>
        <a:xfrm>
          <a:off x="5381625" y="67627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</xdr:colOff>
      <xdr:row>50</xdr:row>
      <xdr:rowOff>0</xdr:rowOff>
    </xdr:from>
    <xdr:to>
      <xdr:col>42</xdr:col>
      <xdr:colOff>1</xdr:colOff>
      <xdr:row>51</xdr:row>
      <xdr:rowOff>181033</xdr:rowOff>
    </xdr:to>
    <xdr:sp macro="" textlink="">
      <xdr:nvSpPr>
        <xdr:cNvPr id="1630" name="Isosceles Triangle 1629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/>
      </xdr:nvSpPr>
      <xdr:spPr>
        <a:xfrm>
          <a:off x="13115926" y="9810750"/>
          <a:ext cx="590550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437029</xdr:colOff>
      <xdr:row>34</xdr:row>
      <xdr:rowOff>11206</xdr:rowOff>
    </xdr:from>
    <xdr:to>
      <xdr:col>30</xdr:col>
      <xdr:colOff>22411</xdr:colOff>
      <xdr:row>36</xdr:row>
      <xdr:rowOff>3878</xdr:rowOff>
    </xdr:to>
    <xdr:sp macro="" textlink="">
      <xdr:nvSpPr>
        <xdr:cNvPr id="1631" name="Isosceles Triangle 1630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/>
      </xdr:nvSpPr>
      <xdr:spPr>
        <a:xfrm>
          <a:off x="9190504" y="6773956"/>
          <a:ext cx="547407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256443</xdr:colOff>
      <xdr:row>51</xdr:row>
      <xdr:rowOff>183174</xdr:rowOff>
    </xdr:to>
    <xdr:sp macro="" textlink="">
      <xdr:nvSpPr>
        <xdr:cNvPr id="1632" name="Isosceles Triangle 1631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/>
      </xdr:nvSpPr>
      <xdr:spPr>
        <a:xfrm>
          <a:off x="6296025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256440</xdr:colOff>
      <xdr:row>27</xdr:row>
      <xdr:rowOff>183175</xdr:rowOff>
    </xdr:to>
    <xdr:sp macro="" textlink="">
      <xdr:nvSpPr>
        <xdr:cNvPr id="1633" name="Isosceles Triangle 1632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/>
      </xdr:nvSpPr>
      <xdr:spPr>
        <a:xfrm>
          <a:off x="3609975" y="52387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38</xdr:row>
      <xdr:rowOff>0</xdr:rowOff>
    </xdr:from>
    <xdr:ext cx="230186" cy="271084"/>
    <xdr:pic>
      <xdr:nvPicPr>
        <xdr:cNvPr id="1634" name="Picture 16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30</xdr:row>
      <xdr:rowOff>0</xdr:rowOff>
    </xdr:from>
    <xdr:ext cx="230186" cy="271084"/>
    <xdr:pic>
      <xdr:nvPicPr>
        <xdr:cNvPr id="1635" name="Picture 16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0</xdr:colOff>
      <xdr:row>26</xdr:row>
      <xdr:rowOff>0</xdr:rowOff>
    </xdr:from>
    <xdr:to>
      <xdr:col>30</xdr:col>
      <xdr:colOff>21117</xdr:colOff>
      <xdr:row>27</xdr:row>
      <xdr:rowOff>183175</xdr:rowOff>
    </xdr:to>
    <xdr:sp macro="" textlink="">
      <xdr:nvSpPr>
        <xdr:cNvPr id="1636" name="Isosceles Triangle 1635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/>
      </xdr:nvSpPr>
      <xdr:spPr>
        <a:xfrm>
          <a:off x="9210675" y="5238750"/>
          <a:ext cx="5259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66</xdr:row>
      <xdr:rowOff>0</xdr:rowOff>
    </xdr:from>
    <xdr:to>
      <xdr:col>6</xdr:col>
      <xdr:colOff>11206</xdr:colOff>
      <xdr:row>67</xdr:row>
      <xdr:rowOff>183175</xdr:rowOff>
    </xdr:to>
    <xdr:sp macro="" textlink="">
      <xdr:nvSpPr>
        <xdr:cNvPr id="1637" name="Isosceles Triangle 1636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/>
      </xdr:nvSpPr>
      <xdr:spPr>
        <a:xfrm>
          <a:off x="1552575" y="12858750"/>
          <a:ext cx="53508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9</xdr:col>
      <xdr:colOff>11206</xdr:colOff>
      <xdr:row>51</xdr:row>
      <xdr:rowOff>183174</xdr:rowOff>
    </xdr:to>
    <xdr:sp macro="" textlink="">
      <xdr:nvSpPr>
        <xdr:cNvPr id="1638" name="Isosceles Triangle 1637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/>
      </xdr:nvSpPr>
      <xdr:spPr>
        <a:xfrm>
          <a:off x="2543175" y="9810750"/>
          <a:ext cx="54460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14</xdr:row>
      <xdr:rowOff>0</xdr:rowOff>
    </xdr:from>
    <xdr:ext cx="230186" cy="271084"/>
    <xdr:pic>
      <xdr:nvPicPr>
        <xdr:cNvPr id="1639" name="Picture 16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453018</xdr:colOff>
      <xdr:row>66</xdr:row>
      <xdr:rowOff>0</xdr:rowOff>
    </xdr:from>
    <xdr:to>
      <xdr:col>9</xdr:col>
      <xdr:colOff>11206</xdr:colOff>
      <xdr:row>67</xdr:row>
      <xdr:rowOff>183175</xdr:rowOff>
    </xdr:to>
    <xdr:sp macro="" textlink="">
      <xdr:nvSpPr>
        <xdr:cNvPr id="1640" name="Isosceles Triangle 1639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/>
      </xdr:nvSpPr>
      <xdr:spPr>
        <a:xfrm>
          <a:off x="2529468" y="12858750"/>
          <a:ext cx="558313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22</xdr:row>
      <xdr:rowOff>0</xdr:rowOff>
    </xdr:from>
    <xdr:ext cx="230186" cy="271084"/>
    <xdr:pic>
      <xdr:nvPicPr>
        <xdr:cNvPr id="1641" name="Picture 16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464633</xdr:colOff>
      <xdr:row>34</xdr:row>
      <xdr:rowOff>0</xdr:rowOff>
    </xdr:from>
    <xdr:to>
      <xdr:col>9</xdr:col>
      <xdr:colOff>11615</xdr:colOff>
      <xdr:row>35</xdr:row>
      <xdr:rowOff>183174</xdr:rowOff>
    </xdr:to>
    <xdr:sp macro="" textlink="">
      <xdr:nvSpPr>
        <xdr:cNvPr id="1642" name="Isosceles Triangle 1641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/>
      </xdr:nvSpPr>
      <xdr:spPr>
        <a:xfrm>
          <a:off x="2541083" y="6762750"/>
          <a:ext cx="547107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86</xdr:row>
      <xdr:rowOff>0</xdr:rowOff>
    </xdr:from>
    <xdr:ext cx="230186" cy="271084"/>
    <xdr:pic>
      <xdr:nvPicPr>
        <xdr:cNvPr id="1643" name="Picture 16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34</xdr:row>
      <xdr:rowOff>0</xdr:rowOff>
    </xdr:from>
    <xdr:to>
      <xdr:col>33</xdr:col>
      <xdr:colOff>26785</xdr:colOff>
      <xdr:row>35</xdr:row>
      <xdr:rowOff>178526</xdr:rowOff>
    </xdr:to>
    <xdr:sp macro="" textlink="">
      <xdr:nvSpPr>
        <xdr:cNvPr id="1644" name="Isosceles Triangle 1643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/>
      </xdr:nvSpPr>
      <xdr:spPr>
        <a:xfrm>
          <a:off x="10125075" y="6762750"/>
          <a:ext cx="541135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18</xdr:row>
      <xdr:rowOff>0</xdr:rowOff>
    </xdr:from>
    <xdr:to>
      <xdr:col>36</xdr:col>
      <xdr:colOff>893</xdr:colOff>
      <xdr:row>19</xdr:row>
      <xdr:rowOff>183173</xdr:rowOff>
    </xdr:to>
    <xdr:sp macro="" textlink="">
      <xdr:nvSpPr>
        <xdr:cNvPr id="1645" name="Isosceles Triangle 1644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/>
      </xdr:nvSpPr>
      <xdr:spPr>
        <a:xfrm>
          <a:off x="11210925" y="3714750"/>
          <a:ext cx="52476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22</xdr:row>
      <xdr:rowOff>0</xdr:rowOff>
    </xdr:from>
    <xdr:ext cx="230186" cy="271084"/>
    <xdr:pic>
      <xdr:nvPicPr>
        <xdr:cNvPr id="1646" name="Picture 16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22</xdr:row>
      <xdr:rowOff>0</xdr:rowOff>
    </xdr:from>
    <xdr:ext cx="230186" cy="271084"/>
    <xdr:pic>
      <xdr:nvPicPr>
        <xdr:cNvPr id="1647" name="Picture 16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174237</xdr:colOff>
      <xdr:row>30</xdr:row>
      <xdr:rowOff>0</xdr:rowOff>
    </xdr:from>
    <xdr:ext cx="230186" cy="271084"/>
    <xdr:pic>
      <xdr:nvPicPr>
        <xdr:cNvPr id="1648" name="Picture 16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4112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126</xdr:row>
      <xdr:rowOff>0</xdr:rowOff>
    </xdr:from>
    <xdr:ext cx="230186" cy="271084"/>
    <xdr:pic>
      <xdr:nvPicPr>
        <xdr:cNvPr id="1649" name="Picture 16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126</xdr:row>
      <xdr:rowOff>0</xdr:rowOff>
    </xdr:from>
    <xdr:ext cx="230186" cy="271084"/>
    <xdr:pic>
      <xdr:nvPicPr>
        <xdr:cNvPr id="1650" name="Picture 16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54</xdr:row>
      <xdr:rowOff>0</xdr:rowOff>
    </xdr:from>
    <xdr:ext cx="230186" cy="271084"/>
    <xdr:pic>
      <xdr:nvPicPr>
        <xdr:cNvPr id="1651" name="Picture 16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26</xdr:row>
      <xdr:rowOff>0</xdr:rowOff>
    </xdr:from>
    <xdr:to>
      <xdr:col>3</xdr:col>
      <xdr:colOff>4741</xdr:colOff>
      <xdr:row>27</xdr:row>
      <xdr:rowOff>184669</xdr:rowOff>
    </xdr:to>
    <xdr:sp macro="" textlink="">
      <xdr:nvSpPr>
        <xdr:cNvPr id="1652" name="Isosceles Triangle 1651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/>
      </xdr:nvSpPr>
      <xdr:spPr>
        <a:xfrm>
          <a:off x="609600" y="5238750"/>
          <a:ext cx="538141" cy="37516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62</xdr:row>
      <xdr:rowOff>0</xdr:rowOff>
    </xdr:from>
    <xdr:ext cx="230186" cy="271084"/>
    <xdr:pic>
      <xdr:nvPicPr>
        <xdr:cNvPr id="1653" name="Picture 16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62</xdr:row>
      <xdr:rowOff>0</xdr:rowOff>
    </xdr:from>
    <xdr:ext cx="230186" cy="271084"/>
    <xdr:pic>
      <xdr:nvPicPr>
        <xdr:cNvPr id="1654" name="Picture 16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166</xdr:row>
      <xdr:rowOff>0</xdr:rowOff>
    </xdr:from>
    <xdr:ext cx="230186" cy="271084"/>
    <xdr:pic>
      <xdr:nvPicPr>
        <xdr:cNvPr id="1655" name="Picture 16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30</xdr:row>
      <xdr:rowOff>0</xdr:rowOff>
    </xdr:from>
    <xdr:ext cx="230186" cy="271084"/>
    <xdr:pic>
      <xdr:nvPicPr>
        <xdr:cNvPr id="1656" name="Picture 16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30</xdr:row>
      <xdr:rowOff>0</xdr:rowOff>
    </xdr:from>
    <xdr:ext cx="230186" cy="271084"/>
    <xdr:pic>
      <xdr:nvPicPr>
        <xdr:cNvPr id="1657" name="Picture 16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22</xdr:row>
      <xdr:rowOff>0</xdr:rowOff>
    </xdr:from>
    <xdr:ext cx="230186" cy="271084"/>
    <xdr:pic>
      <xdr:nvPicPr>
        <xdr:cNvPr id="1658" name="Picture 16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118</xdr:row>
      <xdr:rowOff>0</xdr:rowOff>
    </xdr:from>
    <xdr:ext cx="230186" cy="271084"/>
    <xdr:pic>
      <xdr:nvPicPr>
        <xdr:cNvPr id="1659" name="Picture 16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174</xdr:row>
      <xdr:rowOff>0</xdr:rowOff>
    </xdr:from>
    <xdr:ext cx="230186" cy="271084"/>
    <xdr:pic>
      <xdr:nvPicPr>
        <xdr:cNvPr id="1660" name="Picture 16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126</xdr:row>
      <xdr:rowOff>0</xdr:rowOff>
    </xdr:from>
    <xdr:ext cx="230186" cy="271084"/>
    <xdr:pic>
      <xdr:nvPicPr>
        <xdr:cNvPr id="1661" name="Picture 16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230186" cy="271084"/>
    <xdr:pic>
      <xdr:nvPicPr>
        <xdr:cNvPr id="1662" name="Picture 16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230186" cy="271084"/>
    <xdr:pic>
      <xdr:nvPicPr>
        <xdr:cNvPr id="1663" name="Picture 16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46</xdr:row>
      <xdr:rowOff>0</xdr:rowOff>
    </xdr:from>
    <xdr:ext cx="230186" cy="271084"/>
    <xdr:pic>
      <xdr:nvPicPr>
        <xdr:cNvPr id="1664" name="Picture 16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18</xdr:row>
      <xdr:rowOff>0</xdr:rowOff>
    </xdr:from>
    <xdr:to>
      <xdr:col>17</xdr:col>
      <xdr:colOff>256442</xdr:colOff>
      <xdr:row>19</xdr:row>
      <xdr:rowOff>183173</xdr:rowOff>
    </xdr:to>
    <xdr:sp macro="" textlink="">
      <xdr:nvSpPr>
        <xdr:cNvPr id="1665" name="Isosceles Triangle 1664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/>
      </xdr:nvSpPr>
      <xdr:spPr>
        <a:xfrm>
          <a:off x="53816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126</xdr:row>
      <xdr:rowOff>0</xdr:rowOff>
    </xdr:from>
    <xdr:ext cx="230186" cy="271084"/>
    <xdr:pic>
      <xdr:nvPicPr>
        <xdr:cNvPr id="1666" name="Picture 16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46</xdr:row>
      <xdr:rowOff>0</xdr:rowOff>
    </xdr:from>
    <xdr:ext cx="230186" cy="271084"/>
    <xdr:pic>
      <xdr:nvPicPr>
        <xdr:cNvPr id="1667" name="Picture 16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30186" cy="271084"/>
    <xdr:pic>
      <xdr:nvPicPr>
        <xdr:cNvPr id="1668" name="Picture 16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14968</xdr:colOff>
      <xdr:row>26</xdr:row>
      <xdr:rowOff>9526</xdr:rowOff>
    </xdr:from>
    <xdr:to>
      <xdr:col>14</xdr:col>
      <xdr:colOff>271408</xdr:colOff>
      <xdr:row>27</xdr:row>
      <xdr:rowOff>192701</xdr:rowOff>
    </xdr:to>
    <xdr:sp macro="" textlink="">
      <xdr:nvSpPr>
        <xdr:cNvPr id="1669" name="Isosceles Triangle 1668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/>
      </xdr:nvSpPr>
      <xdr:spPr>
        <a:xfrm>
          <a:off x="4529818" y="5248276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166</xdr:row>
      <xdr:rowOff>0</xdr:rowOff>
    </xdr:from>
    <xdr:ext cx="230186" cy="271084"/>
    <xdr:pic>
      <xdr:nvPicPr>
        <xdr:cNvPr id="1670" name="Picture 16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126</xdr:row>
      <xdr:rowOff>0</xdr:rowOff>
    </xdr:from>
    <xdr:ext cx="230186" cy="271084"/>
    <xdr:pic>
      <xdr:nvPicPr>
        <xdr:cNvPr id="1671" name="Picture 16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126</xdr:row>
      <xdr:rowOff>0</xdr:rowOff>
    </xdr:from>
    <xdr:ext cx="230186" cy="271084"/>
    <xdr:pic>
      <xdr:nvPicPr>
        <xdr:cNvPr id="1672" name="Picture 16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166</xdr:row>
      <xdr:rowOff>0</xdr:rowOff>
    </xdr:from>
    <xdr:ext cx="230186" cy="271084"/>
    <xdr:pic>
      <xdr:nvPicPr>
        <xdr:cNvPr id="1673" name="Picture 16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404092</xdr:colOff>
      <xdr:row>26</xdr:row>
      <xdr:rowOff>1</xdr:rowOff>
    </xdr:from>
    <xdr:to>
      <xdr:col>33</xdr:col>
      <xdr:colOff>0</xdr:colOff>
      <xdr:row>27</xdr:row>
      <xdr:rowOff>173183</xdr:rowOff>
    </xdr:to>
    <xdr:sp macro="" textlink="">
      <xdr:nvSpPr>
        <xdr:cNvPr id="1674" name="Isosceles Triangle 1673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/>
      </xdr:nvSpPr>
      <xdr:spPr>
        <a:xfrm>
          <a:off x="10471728" y="5091546"/>
          <a:ext cx="565727" cy="35791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54</xdr:row>
      <xdr:rowOff>0</xdr:rowOff>
    </xdr:from>
    <xdr:ext cx="230186" cy="271084"/>
    <xdr:pic>
      <xdr:nvPicPr>
        <xdr:cNvPr id="1675" name="Picture 16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174</xdr:row>
      <xdr:rowOff>0</xdr:rowOff>
    </xdr:from>
    <xdr:ext cx="230186" cy="271084"/>
    <xdr:pic>
      <xdr:nvPicPr>
        <xdr:cNvPr id="1676" name="Picture 16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118</xdr:row>
      <xdr:rowOff>0</xdr:rowOff>
    </xdr:from>
    <xdr:ext cx="230186" cy="271084"/>
    <xdr:pic>
      <xdr:nvPicPr>
        <xdr:cNvPr id="1677" name="Picture 16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166</xdr:row>
      <xdr:rowOff>0</xdr:rowOff>
    </xdr:from>
    <xdr:ext cx="230186" cy="271084"/>
    <xdr:pic>
      <xdr:nvPicPr>
        <xdr:cNvPr id="1678" name="Picture 16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42</xdr:row>
      <xdr:rowOff>0</xdr:rowOff>
    </xdr:from>
    <xdr:to>
      <xdr:col>35</xdr:col>
      <xdr:colOff>246916</xdr:colOff>
      <xdr:row>43</xdr:row>
      <xdr:rowOff>183173</xdr:rowOff>
    </xdr:to>
    <xdr:sp macro="" textlink="">
      <xdr:nvSpPr>
        <xdr:cNvPr id="1679" name="Isosceles Triangle 1678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/>
      </xdr:nvSpPr>
      <xdr:spPr>
        <a:xfrm>
          <a:off x="11210925" y="8286750"/>
          <a:ext cx="5136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12</xdr:col>
      <xdr:colOff>0</xdr:colOff>
      <xdr:row>44</xdr:row>
      <xdr:rowOff>0</xdr:rowOff>
    </xdr:to>
    <xdr:sp macro="" textlink="">
      <xdr:nvSpPr>
        <xdr:cNvPr id="1680" name="Isosceles Triangle 1679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/>
      </xdr:nvSpPr>
      <xdr:spPr>
        <a:xfrm>
          <a:off x="3609975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42</xdr:col>
      <xdr:colOff>0</xdr:colOff>
      <xdr:row>3</xdr:row>
      <xdr:rowOff>183173</xdr:rowOff>
    </xdr:to>
    <xdr:sp macro="" textlink="">
      <xdr:nvSpPr>
        <xdr:cNvPr id="1681" name="Isosceles Triangle 1680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/>
      </xdr:nvSpPr>
      <xdr:spPr>
        <a:xfrm>
          <a:off x="13115925" y="666750"/>
          <a:ext cx="59055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174</xdr:row>
      <xdr:rowOff>0</xdr:rowOff>
    </xdr:from>
    <xdr:ext cx="230186" cy="271084"/>
    <xdr:pic>
      <xdr:nvPicPr>
        <xdr:cNvPr id="1682" name="Picture 16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683" name="Picture 16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411306</xdr:colOff>
      <xdr:row>18</xdr:row>
      <xdr:rowOff>0</xdr:rowOff>
    </xdr:from>
    <xdr:to>
      <xdr:col>33</xdr:col>
      <xdr:colOff>10823</xdr:colOff>
      <xdr:row>19</xdr:row>
      <xdr:rowOff>183173</xdr:rowOff>
    </xdr:to>
    <xdr:sp macro="" textlink="">
      <xdr:nvSpPr>
        <xdr:cNvPr id="1684" name="Isosceles Triangle 1683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/>
      </xdr:nvSpPr>
      <xdr:spPr>
        <a:xfrm>
          <a:off x="10126806" y="3714750"/>
          <a:ext cx="5234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6</xdr:col>
      <xdr:colOff>1584</xdr:colOff>
      <xdr:row>35</xdr:row>
      <xdr:rowOff>183174</xdr:rowOff>
    </xdr:to>
    <xdr:sp macro="" textlink="">
      <xdr:nvSpPr>
        <xdr:cNvPr id="1685" name="Isosceles Triangle 1684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/>
      </xdr:nvSpPr>
      <xdr:spPr>
        <a:xfrm>
          <a:off x="1552575" y="6762750"/>
          <a:ext cx="525459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6</xdr:col>
      <xdr:colOff>0</xdr:colOff>
      <xdr:row>11</xdr:row>
      <xdr:rowOff>183174</xdr:rowOff>
    </xdr:to>
    <xdr:sp macro="" textlink="">
      <xdr:nvSpPr>
        <xdr:cNvPr id="1686" name="Isosceles Triangle 1685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/>
      </xdr:nvSpPr>
      <xdr:spPr>
        <a:xfrm>
          <a:off x="1552575" y="2190750"/>
          <a:ext cx="52387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62</xdr:row>
      <xdr:rowOff>0</xdr:rowOff>
    </xdr:from>
    <xdr:ext cx="230186" cy="271084"/>
    <xdr:pic>
      <xdr:nvPicPr>
        <xdr:cNvPr id="1687" name="Picture 16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166</xdr:row>
      <xdr:rowOff>0</xdr:rowOff>
    </xdr:from>
    <xdr:ext cx="230186" cy="271084"/>
    <xdr:pic>
      <xdr:nvPicPr>
        <xdr:cNvPr id="1688" name="Picture 16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18</xdr:row>
      <xdr:rowOff>0</xdr:rowOff>
    </xdr:from>
    <xdr:to>
      <xdr:col>8</xdr:col>
      <xdr:colOff>256442</xdr:colOff>
      <xdr:row>19</xdr:row>
      <xdr:rowOff>183173</xdr:rowOff>
    </xdr:to>
    <xdr:sp macro="" textlink="">
      <xdr:nvSpPr>
        <xdr:cNvPr id="1689" name="Isosceles Triangle 1688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/>
      </xdr:nvSpPr>
      <xdr:spPr>
        <a:xfrm>
          <a:off x="254317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12</xdr:col>
      <xdr:colOff>11616</xdr:colOff>
      <xdr:row>11</xdr:row>
      <xdr:rowOff>183174</xdr:rowOff>
    </xdr:to>
    <xdr:sp macro="" textlink="">
      <xdr:nvSpPr>
        <xdr:cNvPr id="1690" name="Isosceles Triangle 1689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/>
      </xdr:nvSpPr>
      <xdr:spPr>
        <a:xfrm>
          <a:off x="3609975" y="2190750"/>
          <a:ext cx="54501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194387</xdr:rowOff>
    </xdr:from>
    <xdr:to>
      <xdr:col>9</xdr:col>
      <xdr:colOff>0</xdr:colOff>
      <xdr:row>43</xdr:row>
      <xdr:rowOff>194386</xdr:rowOff>
    </xdr:to>
    <xdr:sp macro="" textlink="">
      <xdr:nvSpPr>
        <xdr:cNvPr id="1691" name="Isosceles Triangle 1690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/>
      </xdr:nvSpPr>
      <xdr:spPr>
        <a:xfrm>
          <a:off x="2543175" y="8290637"/>
          <a:ext cx="533400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42</xdr:row>
      <xdr:rowOff>0</xdr:rowOff>
    </xdr:from>
    <xdr:to>
      <xdr:col>27</xdr:col>
      <xdr:colOff>10822</xdr:colOff>
      <xdr:row>43</xdr:row>
      <xdr:rowOff>183173</xdr:rowOff>
    </xdr:to>
    <xdr:sp macro="" textlink="">
      <xdr:nvSpPr>
        <xdr:cNvPr id="1692" name="Isosceles Triangle 1691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/>
      </xdr:nvSpPr>
      <xdr:spPr>
        <a:xfrm>
          <a:off x="8220075" y="8286750"/>
          <a:ext cx="54422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150</xdr:row>
      <xdr:rowOff>0</xdr:rowOff>
    </xdr:from>
    <xdr:ext cx="230186" cy="271084"/>
    <xdr:pic>
      <xdr:nvPicPr>
        <xdr:cNvPr id="1693" name="Picture 16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174</xdr:row>
      <xdr:rowOff>0</xdr:rowOff>
    </xdr:from>
    <xdr:ext cx="230186" cy="271084"/>
    <xdr:pic>
      <xdr:nvPicPr>
        <xdr:cNvPr id="1694" name="Picture 16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230186" cy="271084"/>
    <xdr:pic>
      <xdr:nvPicPr>
        <xdr:cNvPr id="1695" name="Picture 16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58</xdr:row>
      <xdr:rowOff>0</xdr:rowOff>
    </xdr:from>
    <xdr:to>
      <xdr:col>14</xdr:col>
      <xdr:colOff>256441</xdr:colOff>
      <xdr:row>59</xdr:row>
      <xdr:rowOff>183175</xdr:rowOff>
    </xdr:to>
    <xdr:sp macro="" textlink="">
      <xdr:nvSpPr>
        <xdr:cNvPr id="1696" name="Isosceles Triangle 1695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/>
      </xdr:nvSpPr>
      <xdr:spPr>
        <a:xfrm>
          <a:off x="4514850" y="113347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11615</xdr:colOff>
      <xdr:row>11</xdr:row>
      <xdr:rowOff>183174</xdr:rowOff>
    </xdr:to>
    <xdr:sp macro="" textlink="">
      <xdr:nvSpPr>
        <xdr:cNvPr id="1697" name="Isosceles Triangle 1696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/>
      </xdr:nvSpPr>
      <xdr:spPr>
        <a:xfrm>
          <a:off x="5381625" y="2190750"/>
          <a:ext cx="54501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10823</xdr:colOff>
      <xdr:row>43</xdr:row>
      <xdr:rowOff>183173</xdr:rowOff>
    </xdr:to>
    <xdr:sp macro="" textlink="">
      <xdr:nvSpPr>
        <xdr:cNvPr id="1698" name="Isosceles Triangle 1697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/>
      </xdr:nvSpPr>
      <xdr:spPr>
        <a:xfrm>
          <a:off x="7172325" y="8286750"/>
          <a:ext cx="54422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150</xdr:row>
      <xdr:rowOff>0</xdr:rowOff>
    </xdr:from>
    <xdr:ext cx="230186" cy="271084"/>
    <xdr:pic>
      <xdr:nvPicPr>
        <xdr:cNvPr id="1699" name="Picture 16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41</xdr:row>
      <xdr:rowOff>194387</xdr:rowOff>
    </xdr:from>
    <xdr:to>
      <xdr:col>3</xdr:col>
      <xdr:colOff>0</xdr:colOff>
      <xdr:row>43</xdr:row>
      <xdr:rowOff>194386</xdr:rowOff>
    </xdr:to>
    <xdr:sp macro="" textlink="">
      <xdr:nvSpPr>
        <xdr:cNvPr id="1700" name="Isosceles Triangle 1699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/>
      </xdr:nvSpPr>
      <xdr:spPr>
        <a:xfrm>
          <a:off x="609600" y="8290637"/>
          <a:ext cx="533400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11616</xdr:colOff>
      <xdr:row>19</xdr:row>
      <xdr:rowOff>183173</xdr:rowOff>
    </xdr:to>
    <xdr:sp macro="" textlink="">
      <xdr:nvSpPr>
        <xdr:cNvPr id="1701" name="Isosceles Triangle 1700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/>
      </xdr:nvSpPr>
      <xdr:spPr>
        <a:xfrm>
          <a:off x="1552575" y="3714750"/>
          <a:ext cx="53549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0</xdr:colOff>
      <xdr:row>11</xdr:row>
      <xdr:rowOff>183174</xdr:rowOff>
    </xdr:to>
    <xdr:sp macro="" textlink="">
      <xdr:nvSpPr>
        <xdr:cNvPr id="1702" name="Isosceles Triangle 1701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/>
      </xdr:nvSpPr>
      <xdr:spPr>
        <a:xfrm>
          <a:off x="13115925" y="2190750"/>
          <a:ext cx="59055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162</xdr:row>
      <xdr:rowOff>0</xdr:rowOff>
    </xdr:from>
    <xdr:to>
      <xdr:col>33</xdr:col>
      <xdr:colOff>11616</xdr:colOff>
      <xdr:row>163</xdr:row>
      <xdr:rowOff>183175</xdr:rowOff>
    </xdr:to>
    <xdr:sp macro="" textlink="">
      <xdr:nvSpPr>
        <xdr:cNvPr id="1703" name="Isosceles Triangle 1702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/>
      </xdr:nvSpPr>
      <xdr:spPr>
        <a:xfrm>
          <a:off x="10125075" y="31146750"/>
          <a:ext cx="525966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150</xdr:row>
      <xdr:rowOff>0</xdr:rowOff>
    </xdr:from>
    <xdr:ext cx="230186" cy="271084"/>
    <xdr:pic>
      <xdr:nvPicPr>
        <xdr:cNvPr id="1704" name="Picture 17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42</xdr:row>
      <xdr:rowOff>0</xdr:rowOff>
    </xdr:from>
    <xdr:to>
      <xdr:col>21</xdr:col>
      <xdr:colOff>0</xdr:colOff>
      <xdr:row>44</xdr:row>
      <xdr:rowOff>0</xdr:rowOff>
    </xdr:to>
    <xdr:sp macro="" textlink="">
      <xdr:nvSpPr>
        <xdr:cNvPr id="1705" name="Isosceles Triangle 1704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/>
      </xdr:nvSpPr>
      <xdr:spPr>
        <a:xfrm>
          <a:off x="6296025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150</xdr:row>
      <xdr:rowOff>0</xdr:rowOff>
    </xdr:from>
    <xdr:ext cx="230186" cy="271084"/>
    <xdr:pic>
      <xdr:nvPicPr>
        <xdr:cNvPr id="1706" name="Picture 17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10</xdr:row>
      <xdr:rowOff>0</xdr:rowOff>
    </xdr:from>
    <xdr:to>
      <xdr:col>39</xdr:col>
      <xdr:colOff>11616</xdr:colOff>
      <xdr:row>12</xdr:row>
      <xdr:rowOff>1745</xdr:rowOff>
    </xdr:to>
    <xdr:sp macro="" textlink="">
      <xdr:nvSpPr>
        <xdr:cNvPr id="1707" name="Isosceles Triangle 1706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/>
      </xdr:nvSpPr>
      <xdr:spPr>
        <a:xfrm>
          <a:off x="12763500" y="2104571"/>
          <a:ext cx="537759" cy="36460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256443</xdr:colOff>
      <xdr:row>19</xdr:row>
      <xdr:rowOff>183173</xdr:rowOff>
    </xdr:to>
    <xdr:sp macro="" textlink="">
      <xdr:nvSpPr>
        <xdr:cNvPr id="1708" name="Isosceles Triangle 1707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/>
      </xdr:nvSpPr>
      <xdr:spPr>
        <a:xfrm>
          <a:off x="3609975" y="3714750"/>
          <a:ext cx="52314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9</xdr:col>
      <xdr:colOff>0</xdr:colOff>
      <xdr:row>83</xdr:row>
      <xdr:rowOff>183174</xdr:rowOff>
    </xdr:to>
    <xdr:sp macro="" textlink="">
      <xdr:nvSpPr>
        <xdr:cNvPr id="1709" name="Isosceles Triangle 1708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/>
      </xdr:nvSpPr>
      <xdr:spPr>
        <a:xfrm>
          <a:off x="2543175" y="15906750"/>
          <a:ext cx="53340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42</xdr:col>
      <xdr:colOff>0</xdr:colOff>
      <xdr:row>70</xdr:row>
      <xdr:rowOff>0</xdr:rowOff>
    </xdr:from>
    <xdr:ext cx="230186" cy="271084"/>
    <xdr:pic>
      <xdr:nvPicPr>
        <xdr:cNvPr id="1710" name="Picture 17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230186" cy="271084"/>
    <xdr:pic>
      <xdr:nvPicPr>
        <xdr:cNvPr id="1711" name="Picture 17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170</xdr:row>
      <xdr:rowOff>0</xdr:rowOff>
    </xdr:from>
    <xdr:to>
      <xdr:col>6</xdr:col>
      <xdr:colOff>0</xdr:colOff>
      <xdr:row>171</xdr:row>
      <xdr:rowOff>183174</xdr:rowOff>
    </xdr:to>
    <xdr:sp macro="" textlink="">
      <xdr:nvSpPr>
        <xdr:cNvPr id="1712" name="Isosceles Triangle 1711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/>
      </xdr:nvSpPr>
      <xdr:spPr>
        <a:xfrm>
          <a:off x="1552575" y="32670750"/>
          <a:ext cx="52387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11616</xdr:colOff>
      <xdr:row>43</xdr:row>
      <xdr:rowOff>183173</xdr:rowOff>
    </xdr:to>
    <xdr:sp macro="" textlink="">
      <xdr:nvSpPr>
        <xdr:cNvPr id="1713" name="Isosceles Triangle 1712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/>
      </xdr:nvSpPr>
      <xdr:spPr>
        <a:xfrm>
          <a:off x="9210675" y="8286750"/>
          <a:ext cx="5164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18</xdr:row>
      <xdr:rowOff>0</xdr:rowOff>
    </xdr:from>
    <xdr:to>
      <xdr:col>39</xdr:col>
      <xdr:colOff>12509</xdr:colOff>
      <xdr:row>19</xdr:row>
      <xdr:rowOff>183173</xdr:rowOff>
    </xdr:to>
    <xdr:sp macro="" textlink="">
      <xdr:nvSpPr>
        <xdr:cNvPr id="1714" name="Isosceles Triangle 1713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/>
      </xdr:nvSpPr>
      <xdr:spPr>
        <a:xfrm>
          <a:off x="12115800" y="3714750"/>
          <a:ext cx="517334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0</xdr:colOff>
      <xdr:row>19</xdr:row>
      <xdr:rowOff>183173</xdr:rowOff>
    </xdr:to>
    <xdr:sp macro="" textlink="">
      <xdr:nvSpPr>
        <xdr:cNvPr id="1715" name="Isosceles Triangle 1714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/>
      </xdr:nvSpPr>
      <xdr:spPr>
        <a:xfrm>
          <a:off x="4514850" y="3714750"/>
          <a:ext cx="53340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183174</xdr:rowOff>
    </xdr:to>
    <xdr:sp macro="" textlink="">
      <xdr:nvSpPr>
        <xdr:cNvPr id="1716" name="Isosceles Triangle 1715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/>
      </xdr:nvSpPr>
      <xdr:spPr>
        <a:xfrm>
          <a:off x="3609975" y="15906750"/>
          <a:ext cx="53340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1717" name="Picture 17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</xdr:colOff>
      <xdr:row>10</xdr:row>
      <xdr:rowOff>0</xdr:rowOff>
    </xdr:from>
    <xdr:to>
      <xdr:col>30</xdr:col>
      <xdr:colOff>1</xdr:colOff>
      <xdr:row>11</xdr:row>
      <xdr:rowOff>183174</xdr:rowOff>
    </xdr:to>
    <xdr:sp macro="" textlink="">
      <xdr:nvSpPr>
        <xdr:cNvPr id="1718" name="Isosceles Triangle 1717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/>
      </xdr:nvSpPr>
      <xdr:spPr>
        <a:xfrm>
          <a:off x="9210676" y="2190750"/>
          <a:ext cx="50482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</xdr:colOff>
      <xdr:row>50</xdr:row>
      <xdr:rowOff>0</xdr:rowOff>
    </xdr:from>
    <xdr:to>
      <xdr:col>30</xdr:col>
      <xdr:colOff>1</xdr:colOff>
      <xdr:row>51</xdr:row>
      <xdr:rowOff>183174</xdr:rowOff>
    </xdr:to>
    <xdr:sp macro="" textlink="">
      <xdr:nvSpPr>
        <xdr:cNvPr id="1719" name="Isosceles Triangle 1718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/>
      </xdr:nvSpPr>
      <xdr:spPr>
        <a:xfrm>
          <a:off x="9210676" y="9810750"/>
          <a:ext cx="50482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82</xdr:row>
      <xdr:rowOff>0</xdr:rowOff>
    </xdr:from>
    <xdr:to>
      <xdr:col>18</xdr:col>
      <xdr:colOff>-1</xdr:colOff>
      <xdr:row>83</xdr:row>
      <xdr:rowOff>183174</xdr:rowOff>
    </xdr:to>
    <xdr:sp macro="" textlink="">
      <xdr:nvSpPr>
        <xdr:cNvPr id="1720" name="Isosceles Triangle 1719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/>
      </xdr:nvSpPr>
      <xdr:spPr>
        <a:xfrm>
          <a:off x="5381625" y="15906750"/>
          <a:ext cx="533399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134</xdr:row>
      <xdr:rowOff>0</xdr:rowOff>
    </xdr:from>
    <xdr:ext cx="230186" cy="271084"/>
    <xdr:pic>
      <xdr:nvPicPr>
        <xdr:cNvPr id="1721" name="Picture 17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162</xdr:row>
      <xdr:rowOff>0</xdr:rowOff>
    </xdr:from>
    <xdr:to>
      <xdr:col>17</xdr:col>
      <xdr:colOff>255548</xdr:colOff>
      <xdr:row>163</xdr:row>
      <xdr:rowOff>183175</xdr:rowOff>
    </xdr:to>
    <xdr:sp macro="" textlink="">
      <xdr:nvSpPr>
        <xdr:cNvPr id="1722" name="Isosceles Triangle 1721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/>
      </xdr:nvSpPr>
      <xdr:spPr>
        <a:xfrm>
          <a:off x="5381625" y="31146750"/>
          <a:ext cx="522248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3</xdr:col>
      <xdr:colOff>11616</xdr:colOff>
      <xdr:row>19</xdr:row>
      <xdr:rowOff>183173</xdr:rowOff>
    </xdr:to>
    <xdr:sp macro="" textlink="">
      <xdr:nvSpPr>
        <xdr:cNvPr id="1723" name="Isosceles Triangle 1722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/>
      </xdr:nvSpPr>
      <xdr:spPr>
        <a:xfrm>
          <a:off x="609600" y="3714750"/>
          <a:ext cx="5450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30</xdr:col>
      <xdr:colOff>0</xdr:colOff>
      <xdr:row>94</xdr:row>
      <xdr:rowOff>0</xdr:rowOff>
    </xdr:from>
    <xdr:ext cx="230186" cy="271084"/>
    <xdr:pic>
      <xdr:nvPicPr>
        <xdr:cNvPr id="1724" name="Picture 17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26</xdr:row>
      <xdr:rowOff>0</xdr:rowOff>
    </xdr:from>
    <xdr:to>
      <xdr:col>17</xdr:col>
      <xdr:colOff>256440</xdr:colOff>
      <xdr:row>27</xdr:row>
      <xdr:rowOff>183175</xdr:rowOff>
    </xdr:to>
    <xdr:sp macro="" textlink="">
      <xdr:nvSpPr>
        <xdr:cNvPr id="1725" name="Isosceles Triangle 1724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/>
      </xdr:nvSpPr>
      <xdr:spPr>
        <a:xfrm>
          <a:off x="5381625" y="52387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256443</xdr:colOff>
      <xdr:row>51</xdr:row>
      <xdr:rowOff>183174</xdr:rowOff>
    </xdr:to>
    <xdr:sp macro="" textlink="">
      <xdr:nvSpPr>
        <xdr:cNvPr id="1726" name="Isosceles Triangle 1725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/>
      </xdr:nvSpPr>
      <xdr:spPr>
        <a:xfrm>
          <a:off x="5381625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14</xdr:row>
      <xdr:rowOff>1</xdr:rowOff>
    </xdr:from>
    <xdr:ext cx="230186" cy="271084"/>
    <xdr:pic>
      <xdr:nvPicPr>
        <xdr:cNvPr id="1727" name="Picture 17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9527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53</xdr:row>
      <xdr:rowOff>174238</xdr:rowOff>
    </xdr:from>
    <xdr:ext cx="230186" cy="271084"/>
    <xdr:pic>
      <xdr:nvPicPr>
        <xdr:cNvPr id="1728" name="Picture 17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055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150</xdr:row>
      <xdr:rowOff>0</xdr:rowOff>
    </xdr:from>
    <xdr:ext cx="230186" cy="271084"/>
    <xdr:pic>
      <xdr:nvPicPr>
        <xdr:cNvPr id="1729" name="Picture 17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23232</xdr:colOff>
      <xdr:row>102</xdr:row>
      <xdr:rowOff>1</xdr:rowOff>
    </xdr:from>
    <xdr:ext cx="230186" cy="271084"/>
    <xdr:pic>
      <xdr:nvPicPr>
        <xdr:cNvPr id="1730" name="Picture 17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1482" y="197167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133</xdr:row>
      <xdr:rowOff>174238</xdr:rowOff>
    </xdr:from>
    <xdr:ext cx="230186" cy="271084"/>
    <xdr:pic>
      <xdr:nvPicPr>
        <xdr:cNvPr id="1731" name="Picture 17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2579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255549</xdr:colOff>
      <xdr:row>78</xdr:row>
      <xdr:rowOff>0</xdr:rowOff>
    </xdr:from>
    <xdr:ext cx="230186" cy="271084"/>
    <xdr:pic>
      <xdr:nvPicPr>
        <xdr:cNvPr id="1732" name="Picture 17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8274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63500</xdr:colOff>
      <xdr:row>30</xdr:row>
      <xdr:rowOff>53765</xdr:rowOff>
    </xdr:from>
    <xdr:ext cx="230186" cy="271084"/>
    <xdr:pic>
      <xdr:nvPicPr>
        <xdr:cNvPr id="1733" name="Picture 17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6214" y="57959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85</xdr:row>
      <xdr:rowOff>174238</xdr:rowOff>
    </xdr:from>
    <xdr:ext cx="230186" cy="271084"/>
    <xdr:pic>
      <xdr:nvPicPr>
        <xdr:cNvPr id="1734" name="Picture 17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665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35" name="Picture 17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85</xdr:row>
      <xdr:rowOff>174238</xdr:rowOff>
    </xdr:from>
    <xdr:ext cx="230186" cy="271084"/>
    <xdr:pic>
      <xdr:nvPicPr>
        <xdr:cNvPr id="1736" name="Picture 17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665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233265</xdr:colOff>
      <xdr:row>78</xdr:row>
      <xdr:rowOff>0</xdr:rowOff>
    </xdr:from>
    <xdr:ext cx="230186" cy="271084"/>
    <xdr:pic>
      <xdr:nvPicPr>
        <xdr:cNvPr id="1737" name="Picture 173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111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8" name="Picture 173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9" name="Picture 17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40" name="Picture 173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41" name="Picture 17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2" name="Picture 174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3" name="Picture 17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4" name="Picture 174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5" name="Picture 17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6" name="Picture 17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7" name="Picture 17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8" name="Picture 17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9" name="Picture 17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50" name="Picture 17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51" name="Picture 17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2" name="Picture 17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3" name="Picture 17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4" name="Picture 17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5" name="Picture 17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6" name="Picture 17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7" name="Picture 17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758" name="Picture 17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</xdr:row>
      <xdr:rowOff>0</xdr:rowOff>
    </xdr:from>
    <xdr:ext cx="230186" cy="271084"/>
    <xdr:pic>
      <xdr:nvPicPr>
        <xdr:cNvPr id="1759" name="Picture 17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33</xdr:row>
      <xdr:rowOff>184668</xdr:rowOff>
    </xdr:from>
    <xdr:to>
      <xdr:col>39</xdr:col>
      <xdr:colOff>13457</xdr:colOff>
      <xdr:row>35</xdr:row>
      <xdr:rowOff>173453</xdr:rowOff>
    </xdr:to>
    <xdr:sp macro="" textlink="">
      <xdr:nvSpPr>
        <xdr:cNvPr id="1760" name="Isosceles Triangle 1759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/>
      </xdr:nvSpPr>
      <xdr:spPr>
        <a:xfrm>
          <a:off x="12115800" y="6756918"/>
          <a:ext cx="518282" cy="3697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1" name="Picture 17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2" name="Picture 17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3" name="Picture 17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4" name="Picture 17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6" name="Picture 17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8" name="Picture 17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69" name="Picture 17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70" name="Picture 17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71" name="Picture 17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72" name="Picture 17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74" name="Picture 17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76" name="Picture 17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77" name="Picture 17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5" name="Picture 17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9" name="Picture 17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82" name="Picture 17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83" name="Picture 17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84" name="Picture 17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85" name="Picture 17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22</xdr:row>
      <xdr:rowOff>0</xdr:rowOff>
    </xdr:from>
    <xdr:ext cx="230186" cy="271084"/>
    <xdr:pic>
      <xdr:nvPicPr>
        <xdr:cNvPr id="1781" name="Picture 17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6" name="Picture 17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7" name="Picture 17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9" name="Picture 17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91" name="Picture 17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93" name="Picture 17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95" name="Picture 17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97" name="Picture 17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98" name="Picture 17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800" name="Picture 17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802" name="Picture 18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804" name="Picture 18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805" name="Picture 18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807" name="Picture 18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809" name="Picture 18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1796" name="Picture 1795" descr="A black and white symbol&#10;&#10;Description automatically generated">
          <a:extLst>
            <a:ext uri="{FF2B5EF4-FFF2-40B4-BE49-F238E27FC236}">
              <a16:creationId xmlns:a16="http://schemas.microsoft.com/office/drawing/2014/main" id="{1A537400-02CF-4655-90BF-C42E505D8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4909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1799" name="Picture 1798" descr="A black and white symbol&#10;&#10;Description automatically generated">
          <a:extLst>
            <a:ext uri="{FF2B5EF4-FFF2-40B4-BE49-F238E27FC236}">
              <a16:creationId xmlns:a16="http://schemas.microsoft.com/office/drawing/2014/main" id="{2B0B5D48-3C65-4D91-A27F-F69BF522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1273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230186" cy="271084"/>
    <xdr:pic>
      <xdr:nvPicPr>
        <xdr:cNvPr id="1801" name="Picture 1800" descr="A black and white symbol&#10;&#10;Description automatically generated">
          <a:extLst>
            <a:ext uri="{FF2B5EF4-FFF2-40B4-BE49-F238E27FC236}">
              <a16:creationId xmlns:a16="http://schemas.microsoft.com/office/drawing/2014/main" id="{0664A4B8-783D-4272-A1B0-F5457D48D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1643" y="137885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</xdr:row>
      <xdr:rowOff>0</xdr:rowOff>
    </xdr:from>
    <xdr:ext cx="230186" cy="271084"/>
    <xdr:pic>
      <xdr:nvPicPr>
        <xdr:cNvPr id="1803" name="Picture 1802" descr="A black and white symbol&#10;&#10;Description automatically generated">
          <a:extLst>
            <a:ext uri="{FF2B5EF4-FFF2-40B4-BE49-F238E27FC236}">
              <a16:creationId xmlns:a16="http://schemas.microsoft.com/office/drawing/2014/main" id="{F626CE04-ADD2-44EE-BDF1-25AD3002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" y="86450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102</xdr:row>
      <xdr:rowOff>0</xdr:rowOff>
    </xdr:from>
    <xdr:ext cx="230186" cy="271084"/>
    <xdr:pic>
      <xdr:nvPicPr>
        <xdr:cNvPr id="1810" name="Picture 1809" descr="A black and white symbol&#10;&#10;Description automatically generated">
          <a:extLst>
            <a:ext uri="{FF2B5EF4-FFF2-40B4-BE49-F238E27FC236}">
              <a16:creationId xmlns:a16="http://schemas.microsoft.com/office/drawing/2014/main" id="{DB6ECD93-402C-4107-89FF-A1029697B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1214" y="1882321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1812" name="Picture 1811" descr="A black and white symbol&#10;&#10;Description automatically generated">
          <a:extLst>
            <a:ext uri="{FF2B5EF4-FFF2-40B4-BE49-F238E27FC236}">
              <a16:creationId xmlns:a16="http://schemas.microsoft.com/office/drawing/2014/main" id="{33A81BAC-3C7E-47A7-AC97-791E7D65D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3071" y="137885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242455</xdr:colOff>
      <xdr:row>6</xdr:row>
      <xdr:rowOff>0</xdr:rowOff>
    </xdr:from>
    <xdr:ext cx="230186" cy="271084"/>
    <xdr:pic>
      <xdr:nvPicPr>
        <xdr:cNvPr id="1806" name="Picture 1805" descr="A black and white symbol&#10;&#10;Description automatically generated">
          <a:extLst>
            <a:ext uri="{FF2B5EF4-FFF2-40B4-BE49-F238E27FC236}">
              <a16:creationId xmlns:a16="http://schemas.microsoft.com/office/drawing/2014/main" id="{B1AC266E-4189-4958-91B2-05B368E06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4091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118</xdr:row>
      <xdr:rowOff>0</xdr:rowOff>
    </xdr:from>
    <xdr:ext cx="230186" cy="271084"/>
    <xdr:pic>
      <xdr:nvPicPr>
        <xdr:cNvPr id="1808" name="Picture 1807" descr="A black and white symbol&#10;&#10;Description automatically generated">
          <a:extLst>
            <a:ext uri="{FF2B5EF4-FFF2-40B4-BE49-F238E27FC236}">
              <a16:creationId xmlns:a16="http://schemas.microsoft.com/office/drawing/2014/main" id="{4D113848-A0C5-4EBE-B635-6F4EB8C0C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636" y="2212109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142</xdr:row>
      <xdr:rowOff>0</xdr:rowOff>
    </xdr:from>
    <xdr:ext cx="230186" cy="271084"/>
    <xdr:pic>
      <xdr:nvPicPr>
        <xdr:cNvPr id="1811" name="Picture 1810" descr="A black and white symbol&#10;&#10;Description automatically generated">
          <a:extLst>
            <a:ext uri="{FF2B5EF4-FFF2-40B4-BE49-F238E27FC236}">
              <a16:creationId xmlns:a16="http://schemas.microsoft.com/office/drawing/2014/main" id="{43BCC4A6-20BC-4FE4-8BFD-E0A8510E2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182" y="2655454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923" name="Picture 922" descr="A black and white symbol&#10;&#10;Description automatically generated">
          <a:extLst>
            <a:ext uri="{FF2B5EF4-FFF2-40B4-BE49-F238E27FC236}">
              <a16:creationId xmlns:a16="http://schemas.microsoft.com/office/drawing/2014/main" id="{7F176B2F-5019-4F33-9C2D-680BCB275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1926" y="13640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133</xdr:row>
      <xdr:rowOff>169334</xdr:rowOff>
    </xdr:from>
    <xdr:ext cx="230186" cy="271084"/>
    <xdr:pic>
      <xdr:nvPicPr>
        <xdr:cNvPr id="924" name="Picture 923" descr="A black and white symbol&#10;&#10;Description automatically generated">
          <a:extLst>
            <a:ext uri="{FF2B5EF4-FFF2-40B4-BE49-F238E27FC236}">
              <a16:creationId xmlns:a16="http://schemas.microsoft.com/office/drawing/2014/main" id="{0B4DCF38-E664-4D92-AA45-8379E56E7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96" y="2426170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110</xdr:row>
      <xdr:rowOff>0</xdr:rowOff>
    </xdr:from>
    <xdr:ext cx="230186" cy="271084"/>
    <xdr:pic>
      <xdr:nvPicPr>
        <xdr:cNvPr id="1765" name="Picture 1764" descr="A black and white symbol&#10;&#10;Description automatically generated">
          <a:extLst>
            <a:ext uri="{FF2B5EF4-FFF2-40B4-BE49-F238E27FC236}">
              <a16:creationId xmlns:a16="http://schemas.microsoft.com/office/drawing/2014/main" id="{A1F8A4F4-1869-4573-98E9-2401D548C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5407" y="1998133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140195</xdr:colOff>
      <xdr:row>10</xdr:row>
      <xdr:rowOff>123508</xdr:rowOff>
    </xdr:from>
    <xdr:to>
      <xdr:col>20</xdr:col>
      <xdr:colOff>98824</xdr:colOff>
      <xdr:row>11</xdr:row>
      <xdr:rowOff>112924</xdr:rowOff>
    </xdr:to>
    <xdr:sp macro="" textlink="">
      <xdr:nvSpPr>
        <xdr:cNvPr id="1813" name="5-Point Star 520">
          <a:extLst>
            <a:ext uri="{FF2B5EF4-FFF2-40B4-BE49-F238E27FC236}">
              <a16:creationId xmlns:a16="http://schemas.microsoft.com/office/drawing/2014/main" id="{C8C93300-4168-43C9-A3D5-E7B2FF1A0B5D}"/>
            </a:ext>
          </a:extLst>
        </xdr:cNvPr>
        <xdr:cNvSpPr/>
      </xdr:nvSpPr>
      <xdr:spPr>
        <a:xfrm>
          <a:off x="6647077" y="2275037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135854</xdr:colOff>
      <xdr:row>10</xdr:row>
      <xdr:rowOff>99331</xdr:rowOff>
    </xdr:from>
    <xdr:to>
      <xdr:col>23</xdr:col>
      <xdr:colOff>94483</xdr:colOff>
      <xdr:row>11</xdr:row>
      <xdr:rowOff>88747</xdr:rowOff>
    </xdr:to>
    <xdr:sp macro="" textlink="">
      <xdr:nvSpPr>
        <xdr:cNvPr id="1816" name="5-Point Star 520">
          <a:extLst>
            <a:ext uri="{FF2B5EF4-FFF2-40B4-BE49-F238E27FC236}">
              <a16:creationId xmlns:a16="http://schemas.microsoft.com/office/drawing/2014/main" id="{BFCE3ED7-63AA-42EC-B7B9-A472898727B4}"/>
            </a:ext>
          </a:extLst>
        </xdr:cNvPr>
        <xdr:cNvSpPr/>
      </xdr:nvSpPr>
      <xdr:spPr>
        <a:xfrm>
          <a:off x="7554148" y="2250860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136898</xdr:colOff>
      <xdr:row>10</xdr:row>
      <xdr:rowOff>147162</xdr:rowOff>
    </xdr:from>
    <xdr:to>
      <xdr:col>26</xdr:col>
      <xdr:colOff>95528</xdr:colOff>
      <xdr:row>11</xdr:row>
      <xdr:rowOff>136578</xdr:rowOff>
    </xdr:to>
    <xdr:sp macro="" textlink="">
      <xdr:nvSpPr>
        <xdr:cNvPr id="1817" name="5-Point Star 520">
          <a:extLst>
            <a:ext uri="{FF2B5EF4-FFF2-40B4-BE49-F238E27FC236}">
              <a16:creationId xmlns:a16="http://schemas.microsoft.com/office/drawing/2014/main" id="{4284C079-017D-4AD5-8BDA-CC54D92B488B}"/>
            </a:ext>
          </a:extLst>
        </xdr:cNvPr>
        <xdr:cNvSpPr/>
      </xdr:nvSpPr>
      <xdr:spPr>
        <a:xfrm>
          <a:off x="8653369" y="2298691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129428</xdr:colOff>
      <xdr:row>10</xdr:row>
      <xdr:rowOff>128868</xdr:rowOff>
    </xdr:from>
    <xdr:to>
      <xdr:col>32</xdr:col>
      <xdr:colOff>88057</xdr:colOff>
      <xdr:row>11</xdr:row>
      <xdr:rowOff>118284</xdr:rowOff>
    </xdr:to>
    <xdr:sp macro="" textlink="">
      <xdr:nvSpPr>
        <xdr:cNvPr id="1820" name="5-Point Star 520">
          <a:extLst>
            <a:ext uri="{FF2B5EF4-FFF2-40B4-BE49-F238E27FC236}">
              <a16:creationId xmlns:a16="http://schemas.microsoft.com/office/drawing/2014/main" id="{24CE16FE-626B-4E5A-A76F-AF5CE0FB0711}"/>
            </a:ext>
          </a:extLst>
        </xdr:cNvPr>
        <xdr:cNvSpPr/>
      </xdr:nvSpPr>
      <xdr:spPr>
        <a:xfrm>
          <a:off x="10648016" y="2280397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0</xdr:colOff>
      <xdr:row>134</xdr:row>
      <xdr:rowOff>0</xdr:rowOff>
    </xdr:from>
    <xdr:ext cx="230186" cy="271084"/>
    <xdr:pic>
      <xdr:nvPicPr>
        <xdr:cNvPr id="1814" name="Picture 1813" descr="A black and white symbol&#10;&#10;Description automatically generated">
          <a:extLst>
            <a:ext uri="{FF2B5EF4-FFF2-40B4-BE49-F238E27FC236}">
              <a16:creationId xmlns:a16="http://schemas.microsoft.com/office/drawing/2014/main" id="{FC1E8155-FB65-4E2F-AC8C-39788CAA0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1182" y="2507672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3" name="Rectangle 3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 editAs="oneCell">
    <xdr:from>
      <xdr:col>0</xdr:col>
      <xdr:colOff>361950</xdr:colOff>
      <xdr:row>0</xdr:row>
      <xdr:rowOff>190500</xdr:rowOff>
    </xdr:from>
    <xdr:to>
      <xdr:col>2</xdr:col>
      <xdr:colOff>85725</xdr:colOff>
      <xdr:row>3</xdr:row>
      <xdr:rowOff>104775</xdr:rowOff>
    </xdr:to>
    <xdr:pic>
      <xdr:nvPicPr>
        <xdr:cNvPr id="18" name="Picture 9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90500"/>
          <a:ext cx="9429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304800</xdr:colOff>
      <xdr:row>0</xdr:row>
      <xdr:rowOff>9525</xdr:rowOff>
    </xdr:from>
    <xdr:to>
      <xdr:col>26</xdr:col>
      <xdr:colOff>327025</xdr:colOff>
      <xdr:row>4</xdr:row>
      <xdr:rowOff>171450</xdr:rowOff>
    </xdr:to>
    <xdr:pic>
      <xdr:nvPicPr>
        <xdr:cNvPr id="19" name="Picture 10" descr="download.png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21800" y="9525"/>
          <a:ext cx="20478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6</xdr:row>
      <xdr:rowOff>4762</xdr:rowOff>
    </xdr:from>
    <xdr:to>
      <xdr:col>15</xdr:col>
      <xdr:colOff>533400</xdr:colOff>
      <xdr:row>20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IPAT-I\Sipat-Seoni%20Ckt%231%20&amp;%202\L&amp;T,%20Package-A1,circuit-1\Interim%20deviation\L&amp;T%20Interim%20deviation%20Supp,%20Erec%20statement-all%20annexu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rmap07/AppData/Local/Microsoft/Windows/INetCache/Content.Outlook/BTLGUXGA/Visual%20chart%20TA%20509%20(18.09.2025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KG%20F%20Progress%20DPR-TB4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entative%20work%20plan%20-%20May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TL"/>
      <sheetName val="ASST TOTAL"/>
      <sheetName val="Annex-1"/>
      <sheetName val="Annex-3A"/>
      <sheetName val="Annex-3b,1"/>
      <sheetName val="Annex-3b,2"/>
      <sheetName val="Annex-3c"/>
      <sheetName val="Annex-7,Contingent"/>
      <sheetName val="Annex-4,TLM"/>
      <sheetName val="Type test"/>
      <sheetName val="Annex-6,Supply"/>
      <sheetName val="Annex-6,F&amp;I"/>
      <sheetName val="Annex-6,Erecn.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C-765kV MKTL"/>
      <sheetName val="SUMMARY"/>
      <sheetName val="FOUNDATION"/>
      <sheetName val="EARTHING"/>
      <sheetName val="ERECTION"/>
      <sheetName val="XING"/>
      <sheetName val="SUPPLY"/>
      <sheetName val="Sheet1"/>
      <sheetName val="SURVEY SUMMARY"/>
      <sheetName val="SURVEY STATUS "/>
      <sheetName val="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Name of Line:- 765 KV D/C Mandsaur - Kurawar (Part-1)Transmission Line(WZ-4)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ess Summary"/>
      <sheetName val="Project Details"/>
      <sheetName val="X-ing Status"/>
      <sheetName val="L2 Schedule vs Actual"/>
      <sheetName val="Hindrance Register (Row)"/>
      <sheetName val="Page Chart"/>
      <sheetName val="Survey"/>
      <sheetName val="Foundation"/>
      <sheetName val="Earthing"/>
      <sheetName val="Erection Productivity"/>
      <sheetName val="Crane Erection Productivity"/>
      <sheetName val="Erection Compiled"/>
      <sheetName val="Tackwelding"/>
      <sheetName val="Stringing"/>
      <sheetName val="Stringing associated works"/>
      <sheetName val="Stringing Productivity"/>
      <sheetName val="OPGW"/>
      <sheetName val="Accessories details"/>
      <sheetName val="Visual chart"/>
      <sheetName val="Visual chart Edit"/>
      <sheetName val="Benching F"/>
    </sheetNames>
    <sheetDataSet>
      <sheetData sheetId="0"/>
      <sheetData sheetId="1"/>
      <sheetData sheetId="2"/>
      <sheetData sheetId="3"/>
      <sheetData sheetId="4"/>
      <sheetData sheetId="5">
        <row r="4">
          <cell r="X4">
            <v>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DN"/>
      <sheetName val="Erection"/>
      <sheetName val="Analysis"/>
      <sheetName val="Sheet1"/>
    </sheetNames>
    <sheetDataSet>
      <sheetData sheetId="0"/>
      <sheetData sheetId="1">
        <row r="1">
          <cell r="H1">
            <v>2188.230834</v>
          </cell>
          <cell r="I1">
            <v>2.2045504119999988</v>
          </cell>
          <cell r="J1"/>
        </row>
        <row r="2">
          <cell r="F2" t="str">
            <v>Location No</v>
          </cell>
          <cell r="G2" t="str">
            <v>Tower Type</v>
          </cell>
          <cell r="H2" t="str">
            <v>MT</v>
          </cell>
          <cell r="I2" t="str">
            <v>Rev</v>
          </cell>
          <cell r="J2"/>
        </row>
        <row r="3">
          <cell r="F3" t="str">
            <v>24/1</v>
          </cell>
          <cell r="G3" t="str">
            <v>DA+0</v>
          </cell>
          <cell r="H3">
            <v>36.159756000000002</v>
          </cell>
          <cell r="I3">
            <v>363769.59999999998</v>
          </cell>
          <cell r="J3">
            <v>3.6376959999999996</v>
          </cell>
        </row>
        <row r="4">
          <cell r="F4" t="str">
            <v>24/2</v>
          </cell>
          <cell r="G4" t="str">
            <v>DA+0</v>
          </cell>
          <cell r="H4">
            <v>36.159756000000002</v>
          </cell>
          <cell r="I4">
            <v>363769.59999999998</v>
          </cell>
          <cell r="J4">
            <v>3.6376959999999996</v>
          </cell>
        </row>
        <row r="5">
          <cell r="F5" t="str">
            <v>24/3</v>
          </cell>
          <cell r="G5" t="str">
            <v>DA+6</v>
          </cell>
          <cell r="H5">
            <v>43.8</v>
          </cell>
          <cell r="I5">
            <v>440668.24000000005</v>
          </cell>
          <cell r="J5">
            <v>4.4066824000000002</v>
          </cell>
        </row>
        <row r="6">
          <cell r="F6" t="str">
            <v>21/1</v>
          </cell>
          <cell r="G6" t="str">
            <v>DA(-)3</v>
          </cell>
          <cell r="H6">
            <v>34.79</v>
          </cell>
          <cell r="I6">
            <v>349987.39999999997</v>
          </cell>
          <cell r="J6">
            <v>3.4998739999999997</v>
          </cell>
        </row>
        <row r="7">
          <cell r="F7" t="str">
            <v>21/2</v>
          </cell>
          <cell r="G7" t="str">
            <v>DA+0</v>
          </cell>
          <cell r="H7">
            <v>36.159756000000002</v>
          </cell>
          <cell r="I7">
            <v>363769.59999999998</v>
          </cell>
          <cell r="J7">
            <v>3.6376959999999996</v>
          </cell>
        </row>
        <row r="8">
          <cell r="F8" t="str">
            <v>13/5</v>
          </cell>
          <cell r="G8" t="str">
            <v>DA+0</v>
          </cell>
          <cell r="H8">
            <v>36.159756000000002</v>
          </cell>
          <cell r="I8">
            <v>363769.59999999998</v>
          </cell>
          <cell r="J8">
            <v>3.6376959999999996</v>
          </cell>
        </row>
        <row r="9">
          <cell r="F9" t="str">
            <v>24/4</v>
          </cell>
          <cell r="G9" t="str">
            <v>DA(-)3</v>
          </cell>
          <cell r="H9">
            <v>34.79</v>
          </cell>
          <cell r="I9">
            <v>349987.39999999997</v>
          </cell>
          <cell r="J9">
            <v>3.4998739999999997</v>
          </cell>
        </row>
        <row r="10">
          <cell r="F10" t="str">
            <v>24/5</v>
          </cell>
          <cell r="G10" t="str">
            <v>DA(-)3</v>
          </cell>
          <cell r="H10">
            <v>34.79</v>
          </cell>
          <cell r="I10">
            <v>349987.39999999997</v>
          </cell>
          <cell r="J10">
            <v>3.4998739999999997</v>
          </cell>
        </row>
        <row r="11">
          <cell r="F11" t="str">
            <v>34/2</v>
          </cell>
          <cell r="G11" t="str">
            <v>DA(-)3</v>
          </cell>
          <cell r="H11">
            <v>34.79</v>
          </cell>
          <cell r="I11">
            <v>349987.39999999997</v>
          </cell>
          <cell r="J11">
            <v>3.4998739999999997</v>
          </cell>
        </row>
        <row r="12">
          <cell r="F12" t="str">
            <v>63/3</v>
          </cell>
          <cell r="G12" t="str">
            <v>DA(-)3</v>
          </cell>
          <cell r="H12">
            <v>34.79</v>
          </cell>
          <cell r="I12">
            <v>349987.39999999997</v>
          </cell>
          <cell r="J12">
            <v>3.4998739999999997</v>
          </cell>
        </row>
        <row r="13">
          <cell r="F13" t="str">
            <v>63/2</v>
          </cell>
          <cell r="G13" t="str">
            <v>DA(-)3</v>
          </cell>
          <cell r="H13">
            <v>34.79</v>
          </cell>
          <cell r="I13">
            <v>349987.39999999997</v>
          </cell>
          <cell r="J13">
            <v>3.4998739999999997</v>
          </cell>
        </row>
        <row r="14">
          <cell r="F14" t="str">
            <v>36/1</v>
          </cell>
          <cell r="G14" t="str">
            <v>DA+0</v>
          </cell>
          <cell r="H14">
            <v>36.159756000000002</v>
          </cell>
          <cell r="I14">
            <v>363769.59999999998</v>
          </cell>
          <cell r="J14">
            <v>3.6376959999999996</v>
          </cell>
        </row>
        <row r="15">
          <cell r="F15" t="str">
            <v>36/8</v>
          </cell>
          <cell r="G15" t="str">
            <v>DA+0</v>
          </cell>
          <cell r="H15">
            <v>36.159756000000002</v>
          </cell>
          <cell r="I15">
            <v>363769.59999999998</v>
          </cell>
          <cell r="J15">
            <v>3.6376959999999996</v>
          </cell>
        </row>
        <row r="16">
          <cell r="F16" t="str">
            <v>39/10</v>
          </cell>
          <cell r="G16" t="str">
            <v>DA+0</v>
          </cell>
          <cell r="H16">
            <v>36.159756000000002</v>
          </cell>
          <cell r="I16">
            <v>363769.59999999998</v>
          </cell>
          <cell r="J16">
            <v>3.6376959999999996</v>
          </cell>
        </row>
        <row r="17">
          <cell r="F17" t="str">
            <v>39/11</v>
          </cell>
          <cell r="G17" t="str">
            <v>DA+3</v>
          </cell>
          <cell r="H17">
            <v>37.93</v>
          </cell>
          <cell r="I17">
            <v>381585.86</v>
          </cell>
          <cell r="J17">
            <v>3.8158585999999999</v>
          </cell>
        </row>
        <row r="18">
          <cell r="F18" t="str">
            <v>46A/2</v>
          </cell>
          <cell r="G18" t="str">
            <v>DA(-)3</v>
          </cell>
          <cell r="H18">
            <v>34.79</v>
          </cell>
          <cell r="I18">
            <v>349987.39999999997</v>
          </cell>
          <cell r="J18">
            <v>3.4998739999999997</v>
          </cell>
        </row>
        <row r="19">
          <cell r="F19" t="str">
            <v>46A/3</v>
          </cell>
          <cell r="G19" t="str">
            <v>DA(-)3</v>
          </cell>
          <cell r="H19">
            <v>34.79</v>
          </cell>
          <cell r="I19">
            <v>349987.39999999997</v>
          </cell>
          <cell r="J19">
            <v>3.4998739999999997</v>
          </cell>
        </row>
        <row r="20">
          <cell r="F20" t="str">
            <v>41/7</v>
          </cell>
          <cell r="G20" t="str">
            <v>DA+6</v>
          </cell>
          <cell r="H20">
            <v>43.8</v>
          </cell>
          <cell r="I20">
            <v>440668.24000000005</v>
          </cell>
          <cell r="J20">
            <v>4.4066824000000002</v>
          </cell>
        </row>
        <row r="21">
          <cell r="F21" t="str">
            <v>41/3</v>
          </cell>
          <cell r="G21" t="str">
            <v>DA+1.5</v>
          </cell>
          <cell r="H21">
            <v>37.138323999999997</v>
          </cell>
          <cell r="I21">
            <v>373608.27999999997</v>
          </cell>
          <cell r="J21">
            <v>3.7360827999999997</v>
          </cell>
        </row>
        <row r="22">
          <cell r="F22" t="str">
            <v>65/1</v>
          </cell>
          <cell r="G22" t="str">
            <v>DA(-)1.5</v>
          </cell>
          <cell r="H22">
            <v>35.6</v>
          </cell>
          <cell r="I22">
            <v>358156.12</v>
          </cell>
          <cell r="J22">
            <v>3.5815611999999999</v>
          </cell>
        </row>
        <row r="23">
          <cell r="F23" t="str">
            <v>65/3</v>
          </cell>
          <cell r="G23" t="str">
            <v>DA+6</v>
          </cell>
          <cell r="H23">
            <v>43.8</v>
          </cell>
          <cell r="I23">
            <v>440668.24000000005</v>
          </cell>
          <cell r="J23">
            <v>4.4066824000000002</v>
          </cell>
        </row>
        <row r="24">
          <cell r="F24" t="str">
            <v>65/4</v>
          </cell>
          <cell r="G24" t="str">
            <v>DA(-)1.5</v>
          </cell>
          <cell r="H24">
            <v>35.6</v>
          </cell>
          <cell r="I24">
            <v>358156.12</v>
          </cell>
          <cell r="J24">
            <v>3.5815611999999999</v>
          </cell>
        </row>
        <row r="25">
          <cell r="F25" t="str">
            <v>65/5</v>
          </cell>
          <cell r="G25" t="str">
            <v>DA(-)3</v>
          </cell>
          <cell r="H25">
            <v>34.79</v>
          </cell>
          <cell r="I25">
            <v>349987.39999999997</v>
          </cell>
          <cell r="J25">
            <v>3.4998739999999997</v>
          </cell>
        </row>
        <row r="26">
          <cell r="F26" t="str">
            <v>67/1</v>
          </cell>
          <cell r="G26" t="str">
            <v>DA(-)3</v>
          </cell>
          <cell r="H26">
            <v>34.79</v>
          </cell>
          <cell r="I26">
            <v>349987.39999999997</v>
          </cell>
          <cell r="J26">
            <v>3.4998739999999997</v>
          </cell>
        </row>
        <row r="27">
          <cell r="F27" t="str">
            <v>67/2</v>
          </cell>
          <cell r="G27" t="str">
            <v>DA(-)3</v>
          </cell>
          <cell r="H27">
            <v>34.79</v>
          </cell>
          <cell r="I27">
            <v>349987.39999999997</v>
          </cell>
          <cell r="J27">
            <v>3.4998739999999997</v>
          </cell>
        </row>
        <row r="28">
          <cell r="F28" t="str">
            <v>47/3</v>
          </cell>
          <cell r="G28" t="str">
            <v>DA+0</v>
          </cell>
          <cell r="H28">
            <v>36.159756000000002</v>
          </cell>
          <cell r="I28">
            <v>363769.59999999998</v>
          </cell>
          <cell r="J28">
            <v>3.6376959999999996</v>
          </cell>
        </row>
        <row r="29">
          <cell r="F29" t="str">
            <v>47/4</v>
          </cell>
          <cell r="G29" t="str">
            <v>DA+3</v>
          </cell>
          <cell r="H29">
            <v>37.93</v>
          </cell>
          <cell r="I29">
            <v>381585.86</v>
          </cell>
          <cell r="J29">
            <v>3.8158585999999999</v>
          </cell>
        </row>
        <row r="30">
          <cell r="F30" t="str">
            <v>48/3</v>
          </cell>
          <cell r="G30" t="str">
            <v>DA+3</v>
          </cell>
          <cell r="H30">
            <v>37.93</v>
          </cell>
          <cell r="I30">
            <v>381585.86</v>
          </cell>
          <cell r="J30">
            <v>3.8158585999999999</v>
          </cell>
        </row>
        <row r="31">
          <cell r="F31" t="str">
            <v>49/2</v>
          </cell>
          <cell r="G31" t="str">
            <v>DA+0</v>
          </cell>
          <cell r="H31">
            <v>36.159756000000002</v>
          </cell>
          <cell r="I31">
            <v>363769.59999999998</v>
          </cell>
          <cell r="J31">
            <v>3.6376959999999996</v>
          </cell>
        </row>
        <row r="32">
          <cell r="F32" t="str">
            <v>41/1</v>
          </cell>
          <cell r="G32" t="str">
            <v>DA+6</v>
          </cell>
          <cell r="H32">
            <v>43.8</v>
          </cell>
          <cell r="I32">
            <v>440668.24000000005</v>
          </cell>
          <cell r="J32">
            <v>4.4066824000000002</v>
          </cell>
        </row>
        <row r="33">
          <cell r="F33" t="str">
            <v>41/2</v>
          </cell>
          <cell r="G33" t="str">
            <v>DA(-)1.5</v>
          </cell>
          <cell r="H33">
            <v>35.6</v>
          </cell>
          <cell r="I33">
            <v>358156.12</v>
          </cell>
          <cell r="J33">
            <v>3.5815611999999999</v>
          </cell>
        </row>
        <row r="34">
          <cell r="F34" t="str">
            <v>41/4</v>
          </cell>
          <cell r="G34" t="str">
            <v>DA+3</v>
          </cell>
          <cell r="H34">
            <v>37.93</v>
          </cell>
          <cell r="I34">
            <v>381585.86</v>
          </cell>
          <cell r="J34">
            <v>3.8158585999999999</v>
          </cell>
        </row>
        <row r="35">
          <cell r="F35" t="str">
            <v>41/5</v>
          </cell>
          <cell r="G35" t="str">
            <v>DA+0</v>
          </cell>
          <cell r="H35">
            <v>36.159756000000002</v>
          </cell>
          <cell r="I35">
            <v>363769.59999999998</v>
          </cell>
          <cell r="J35">
            <v>3.6376959999999996</v>
          </cell>
        </row>
        <row r="36">
          <cell r="F36" t="str">
            <v>38/6</v>
          </cell>
          <cell r="G36" t="str">
            <v>DA(-)3</v>
          </cell>
          <cell r="H36">
            <v>34.79</v>
          </cell>
          <cell r="I36">
            <v>349987.39999999997</v>
          </cell>
          <cell r="J36">
            <v>3.4998739999999997</v>
          </cell>
        </row>
        <row r="37">
          <cell r="F37" t="str">
            <v>39/5</v>
          </cell>
          <cell r="G37" t="str">
            <v>DA+0</v>
          </cell>
          <cell r="H37">
            <v>36.159756000000002</v>
          </cell>
          <cell r="I37">
            <v>363769.59999999998</v>
          </cell>
          <cell r="J37">
            <v>3.6376959999999996</v>
          </cell>
        </row>
        <row r="38">
          <cell r="F38" t="str">
            <v>39/7</v>
          </cell>
          <cell r="G38" t="str">
            <v>DA+0</v>
          </cell>
          <cell r="H38">
            <v>36.159756000000002</v>
          </cell>
          <cell r="I38">
            <v>363769.59999999998</v>
          </cell>
          <cell r="J38">
            <v>3.6376959999999996</v>
          </cell>
        </row>
        <row r="39">
          <cell r="F39" t="str">
            <v>21/0</v>
          </cell>
          <cell r="G39" t="str">
            <v>DC2+0</v>
          </cell>
          <cell r="H39">
            <v>67.260000000000005</v>
          </cell>
          <cell r="I39">
            <v>676655.72</v>
          </cell>
          <cell r="J39">
            <v>6.7665571999999994</v>
          </cell>
        </row>
        <row r="40">
          <cell r="F40" t="str">
            <v>46A/0</v>
          </cell>
          <cell r="G40" t="str">
            <v>DC1+0</v>
          </cell>
          <cell r="H40">
            <v>62.44</v>
          </cell>
          <cell r="I40">
            <v>628186.64</v>
          </cell>
          <cell r="J40">
            <v>6.2818664000000002</v>
          </cell>
        </row>
        <row r="41">
          <cell r="F41" t="str">
            <v>39/6</v>
          </cell>
          <cell r="G41" t="str">
            <v>DC2+0</v>
          </cell>
          <cell r="H41">
            <v>67.260000000000005</v>
          </cell>
          <cell r="I41">
            <v>676655.72</v>
          </cell>
          <cell r="J41">
            <v>6.7665571999999994</v>
          </cell>
        </row>
        <row r="42">
          <cell r="F42" t="str">
            <v>35/0</v>
          </cell>
          <cell r="G42" t="str">
            <v>DB2+3</v>
          </cell>
          <cell r="H42">
            <v>62.1</v>
          </cell>
          <cell r="I42">
            <v>624886.96</v>
          </cell>
          <cell r="J42">
            <v>6.2488695999999999</v>
          </cell>
        </row>
        <row r="43">
          <cell r="F43" t="str">
            <v>29/0</v>
          </cell>
          <cell r="G43" t="str">
            <v>DD45+18</v>
          </cell>
          <cell r="H43">
            <v>110.62602199999999</v>
          </cell>
          <cell r="I43">
            <v>1112887.5</v>
          </cell>
          <cell r="J43">
            <v>11.128875000000001</v>
          </cell>
        </row>
        <row r="44">
          <cell r="F44" t="str">
            <v>31/0</v>
          </cell>
          <cell r="G44" t="str">
            <v>DD60+0</v>
          </cell>
          <cell r="H44">
            <v>83.13</v>
          </cell>
          <cell r="I44">
            <v>836328.04</v>
          </cell>
          <cell r="J44">
            <v>8.3632804000000007</v>
          </cell>
        </row>
        <row r="45">
          <cell r="F45" t="str">
            <v>28/0</v>
          </cell>
          <cell r="G45" t="str">
            <v>DD45+6</v>
          </cell>
          <cell r="H45">
            <v>85.506823999999995</v>
          </cell>
          <cell r="I45">
            <v>889988.08000000007</v>
          </cell>
          <cell r="J45">
            <v>8.8998808</v>
          </cell>
        </row>
        <row r="46">
          <cell r="F46" t="str">
            <v>32/0</v>
          </cell>
          <cell r="G46" t="str">
            <v>DD60+9</v>
          </cell>
          <cell r="H46">
            <v>101.95259200000001</v>
          </cell>
          <cell r="I46">
            <v>1025647.18</v>
          </cell>
          <cell r="J46">
            <v>10.2564718</v>
          </cell>
        </row>
        <row r="47">
          <cell r="F47" t="str">
            <v>53A/0</v>
          </cell>
          <cell r="G47" t="str">
            <v>DB1(-)1.5</v>
          </cell>
          <cell r="H47">
            <v>55.4</v>
          </cell>
          <cell r="I47">
            <v>557837.06000000006</v>
          </cell>
          <cell r="J47">
            <v>5.5783706000000004</v>
          </cell>
        </row>
        <row r="48">
          <cell r="F48" t="str">
            <v>53B/0</v>
          </cell>
          <cell r="G48" t="str">
            <v>DB2(-)1.5</v>
          </cell>
          <cell r="H48">
            <v>59.5</v>
          </cell>
          <cell r="I48">
            <v>598580.05999999994</v>
          </cell>
          <cell r="J48">
            <v>5.9858005999999992</v>
          </cell>
        </row>
        <row r="49">
          <cell r="F49" t="str">
            <v>48/0</v>
          </cell>
          <cell r="G49" t="str">
            <v>DB1+0</v>
          </cell>
          <cell r="H49">
            <v>55.4</v>
          </cell>
          <cell r="I49">
            <v>557837.06000000006</v>
          </cell>
          <cell r="J49">
            <v>5.5783706000000004</v>
          </cell>
        </row>
        <row r="50">
          <cell r="F50" t="str">
            <v>5/0</v>
          </cell>
          <cell r="G50" t="str">
            <v>DB1+0</v>
          </cell>
          <cell r="H50">
            <v>55.4</v>
          </cell>
          <cell r="I50">
            <v>557837.06000000006</v>
          </cell>
          <cell r="J50">
            <v>5.5783706000000004</v>
          </cell>
        </row>
      </sheetData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69.308268055553" createdVersion="7" refreshedVersion="7" minRefreshableVersion="3" recordCount="8" xr:uid="{34776822-DBFE-4A7B-94DD-512EFB4E900B}">
  <cacheSource type="worksheet">
    <worksheetSource ref="E2:F10" sheet="Sheet2"/>
  </cacheSource>
  <cacheFields count="2">
    <cacheField name="WK" numFmtId="0">
      <sharedItems count="4">
        <s v="W2"/>
        <s v="W1"/>
        <s v="W4"/>
        <s v="W3"/>
      </sharedItems>
    </cacheField>
    <cacheField name="Rev" numFmtId="0">
      <sharedItems containsSemiMixedTypes="0" containsString="0" containsNumber="1" minValue="5.4959937183199994" maxValue="31.68171571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69.309615972219" createdVersion="7" refreshedVersion="7" minRefreshableVersion="3" recordCount="29" xr:uid="{D697680D-07DC-4074-A662-4F5ADAB06CC8}">
  <cacheSource type="worksheet">
    <worksheetSource ref="E14:G43" sheet="Sheet2"/>
  </cacheSource>
  <cacheFields count="3">
    <cacheField name="WK" numFmtId="0">
      <sharedItems count="4">
        <s v="W3"/>
        <s v="W1"/>
        <s v="W2"/>
        <s v="W4"/>
      </sharedItems>
    </cacheField>
    <cacheField name="Rev" numFmtId="0">
      <sharedItems containsSemiMixedTypes="0" containsString="0" containsNumber="1" minValue="3.4998739999999997" maxValue="11.128875000000001"/>
    </cacheField>
    <cacheField name="MT" numFmtId="0">
      <sharedItems containsSemiMixedTypes="0" containsString="0" containsNumber="1" minValue="34.79" maxValue="110.626021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71.502037152779" createdVersion="7" refreshedVersion="7" minRefreshableVersion="3" recordCount="210" xr:uid="{49F84DCB-ED89-4499-9EDD-7DE695DFB1AD}">
  <cacheSource type="worksheet">
    <worksheetSource ref="A2:M212" sheet="ERECTION"/>
  </cacheSource>
  <cacheFields count="13">
    <cacheField name="SL NO." numFmtId="0">
      <sharedItems containsSemiMixedTypes="0" containsString="0" containsNumber="1" containsInteger="1" minValue="1" maxValue="211"/>
    </cacheField>
    <cacheField name="LOC No. " numFmtId="0">
      <sharedItems/>
    </cacheField>
    <cacheField name="Tower Type" numFmtId="0">
      <sharedItems/>
    </cacheField>
    <cacheField name="WK" numFmtId="0">
      <sharedItems containsBlank="1"/>
    </cacheField>
    <cacheField name="Rev" numFmtId="0">
      <sharedItems containsString="0" containsBlank="1" containsNumber="1" minValue="3.4998739999999997" maxValue="11.128875000000001"/>
    </cacheField>
    <cacheField name="MT" numFmtId="0">
      <sharedItems containsString="0" containsBlank="1" containsNumber="1" minValue="34.79" maxValue="110.62602199999999"/>
    </cacheField>
    <cacheField name="District wise section" numFmtId="0">
      <sharedItems count="3">
        <s v="Gantry - AP39/0"/>
        <s v="AP 47/11 - AP68"/>
        <s v="AP39/1 - 47/10"/>
      </sharedItems>
    </cacheField>
    <cacheField name="STATUS " numFmtId="0">
      <sharedItems count="5">
        <s v="COMPLETED "/>
        <s v="COMPLETED  "/>
        <s v="1st section u/p"/>
        <s v="Material shifting "/>
        <s v="Cross arm u/p" u="1"/>
      </sharedItems>
    </cacheField>
    <cacheField name="STARTING DATE" numFmtId="14">
      <sharedItems containsDate="1" containsMixedTypes="1" minDate="2025-05-27T00:00:00" maxDate="2026-05-28T00:00:00"/>
    </cacheField>
    <cacheField name="ENDING DATE " numFmtId="0">
      <sharedItems containsDate="1" containsBlank="1" containsMixedTypes="1" minDate="2025-09-03T00:00:00" maxDate="2026-05-28T00:00:00"/>
    </cacheField>
    <cacheField name="Work starting month" numFmtId="0">
      <sharedItems/>
    </cacheField>
    <cacheField name="Work completion Month" numFmtId="0">
      <sharedItems containsBlank="1"/>
    </cacheField>
    <cacheField name="Sub-Contrac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82.65901087963" createdVersion="7" refreshedVersion="7" minRefreshableVersion="3" recordCount="274" xr:uid="{D3A9AA45-E82A-4AA5-8E46-7D46112B4381}">
  <cacheSource type="worksheet">
    <worksheetSource ref="A2:N276" sheet="FOUNDATION"/>
  </cacheSource>
  <cacheFields count="14">
    <cacheField name="SL NO." numFmtId="0">
      <sharedItems containsSemiMixedTypes="0" containsString="0" containsNumber="1" containsInteger="1" minValue="1" maxValue="274"/>
    </cacheField>
    <cacheField name="LOC No. " numFmtId="0">
      <sharedItems/>
    </cacheField>
    <cacheField name="District wise section" numFmtId="0">
      <sharedItems count="3">
        <s v="Gantry - AP39/0"/>
        <s v="AP39/1 - 47/10"/>
        <s v="AP 47/11 - AP68"/>
      </sharedItems>
    </cacheField>
    <cacheField name="TOWER-TYPE" numFmtId="0">
      <sharedItems/>
    </cacheField>
    <cacheField name="CLASSIFICATION " numFmtId="0">
      <sharedItems containsBlank="1"/>
    </cacheField>
    <cacheField name="WK" numFmtId="0">
      <sharedItems containsBlank="1"/>
    </cacheField>
    <cacheField name="Rev" numFmtId="0">
      <sharedItems containsString="0" containsBlank="1" containsNumber="1" minValue="5.4959937183199994" maxValue="31.681715710000002"/>
    </cacheField>
    <cacheField name="MT" numFmtId="0">
      <sharedItems containsNonDate="0" containsString="0" containsBlank="1"/>
    </cacheField>
    <cacheField name="STATUS " numFmtId="0">
      <sharedItems count="5">
        <s v="COMPLETED"/>
        <s v="COMPLETED  "/>
        <s v="No Progress (Water pipe line)"/>
        <s v="ROW"/>
        <s v="Excavation u/p"/>
      </sharedItems>
    </cacheField>
    <cacheField name="STARTING DATE" numFmtId="0">
      <sharedItems containsDate="1" containsBlank="1" containsMixedTypes="1" minDate="2025-05-14T00:00:00" maxDate="2026-06-07T00:00:00"/>
    </cacheField>
    <cacheField name="ENDING DATE " numFmtId="0">
      <sharedItems containsDate="1" containsBlank="1" containsMixedTypes="1" minDate="2025-01-01T00:00:00" maxDate="2026-06-08T00:00:00"/>
    </cacheField>
    <cacheField name="Work started month" numFmtId="0">
      <sharedItems containsBlank="1"/>
    </cacheField>
    <cacheField name="Completed month" numFmtId="0">
      <sharedItems containsBlank="1"/>
    </cacheField>
    <cacheField name="Sub-Contrac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5.4959937183199994"/>
  </r>
  <r>
    <x v="1"/>
    <n v="16.938269999999999"/>
  </r>
  <r>
    <x v="2"/>
    <n v="26.745646600000001"/>
  </r>
  <r>
    <x v="0"/>
    <n v="26.7446269"/>
  </r>
  <r>
    <x v="3"/>
    <n v="31.681715710000002"/>
  </r>
  <r>
    <x v="2"/>
    <n v="19.31312149"/>
  </r>
  <r>
    <x v="2"/>
    <n v="17.270996950000001"/>
  </r>
  <r>
    <x v="3"/>
    <n v="7.2371699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7.3684469999999997"/>
    <n v="73.244547999999995"/>
  </r>
  <r>
    <x v="1"/>
    <n v="5.5783706000000004"/>
    <n v="55.4"/>
  </r>
  <r>
    <x v="2"/>
    <n v="11.128875000000001"/>
    <n v="110.62602199999999"/>
  </r>
  <r>
    <x v="2"/>
    <n v="10.2564718"/>
    <n v="101.95259200000001"/>
  </r>
  <r>
    <x v="1"/>
    <n v="3.6376959999999996"/>
    <n v="36.159756000000002"/>
  </r>
  <r>
    <x v="2"/>
    <n v="3.8158585999999999"/>
    <n v="37.931088000000003"/>
  </r>
  <r>
    <x v="2"/>
    <n v="6.2818664000000002"/>
    <n v="62.44"/>
  </r>
  <r>
    <x v="1"/>
    <n v="3.5815611999999999"/>
    <n v="35.6"/>
  </r>
  <r>
    <x v="2"/>
    <n v="8.3632804000000007"/>
    <n v="83.13"/>
  </r>
  <r>
    <x v="1"/>
    <n v="3.4998739999999997"/>
    <n v="34.79"/>
  </r>
  <r>
    <x v="0"/>
    <n v="3.6376959999999996"/>
    <n v="36.159756000000002"/>
  </r>
  <r>
    <x v="1"/>
    <n v="3.4998739999999997"/>
    <n v="34.79"/>
  </r>
  <r>
    <x v="2"/>
    <n v="3.6376959999999996"/>
    <n v="36.159756000000002"/>
  </r>
  <r>
    <x v="2"/>
    <n v="3.4998739999999997"/>
    <n v="34.79"/>
  </r>
  <r>
    <x v="2"/>
    <n v="3.6376959999999996"/>
    <n v="36.159756000000002"/>
  </r>
  <r>
    <x v="0"/>
    <n v="3.4998739999999997"/>
    <n v="34.79"/>
  </r>
  <r>
    <x v="0"/>
    <n v="4.4066824000000002"/>
    <n v="43.8"/>
  </r>
  <r>
    <x v="0"/>
    <n v="3.6376959999999996"/>
    <n v="36.159756000000002"/>
  </r>
  <r>
    <x v="0"/>
    <n v="3.4998739999999997"/>
    <n v="34.79"/>
  </r>
  <r>
    <x v="3"/>
    <n v="8.8998808"/>
    <n v="85.506823999999995"/>
  </r>
  <r>
    <x v="0"/>
    <n v="3.4998739999999997"/>
    <n v="34.79"/>
  </r>
  <r>
    <x v="3"/>
    <n v="3.8158585999999999"/>
    <n v="37.931088000000003"/>
  </r>
  <r>
    <x v="0"/>
    <n v="3.6376959999999996"/>
    <n v="36.159756000000002"/>
  </r>
  <r>
    <x v="3"/>
    <n v="3.4998739999999997"/>
    <n v="34.79"/>
  </r>
  <r>
    <x v="3"/>
    <n v="3.6376959999999996"/>
    <n v="36.159756000000002"/>
  </r>
  <r>
    <x v="3"/>
    <n v="3.8158585999999999"/>
    <n v="37.931088000000003"/>
  </r>
  <r>
    <x v="3"/>
    <n v="3.6376959999999996"/>
    <n v="36.159756000000002"/>
  </r>
  <r>
    <x v="3"/>
    <n v="6.7665571999999994"/>
    <n v="67.261728000000005"/>
  </r>
  <r>
    <x v="3"/>
    <n v="3.8158585999999999"/>
    <n v="37.93108800000000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n v="1"/>
    <s v="16/4"/>
    <s v="DA+0"/>
    <m/>
    <m/>
    <m/>
    <x v="0"/>
    <x v="0"/>
    <s v="22/08/2025"/>
    <d v="2025-09-03T00:00:00"/>
    <s v="Aug'25"/>
    <s v="Sep'25"/>
    <s v="DEVI CONST.-I"/>
  </r>
  <r>
    <n v="2"/>
    <s v="13/2"/>
    <s v="DA+0"/>
    <m/>
    <m/>
    <m/>
    <x v="0"/>
    <x v="0"/>
    <s v="22/08/2025"/>
    <s v="15.09.2025"/>
    <s v="Aug'25"/>
    <s v="Sep'25"/>
    <s v="DEONATH MAHATO "/>
  </r>
  <r>
    <n v="3"/>
    <s v="8/5"/>
    <s v="DA+0"/>
    <m/>
    <m/>
    <m/>
    <x v="0"/>
    <x v="0"/>
    <s v="25/08/2025"/>
    <s v="08.09.2025"/>
    <s v="Aug'25"/>
    <s v="Sep'25"/>
    <s v="JAWALA SINGH "/>
  </r>
  <r>
    <n v="4"/>
    <s v="12/6"/>
    <s v="DA+0"/>
    <m/>
    <m/>
    <m/>
    <x v="0"/>
    <x v="0"/>
    <s v="25/08/2025"/>
    <s v="18.09.2025"/>
    <s v="Aug'25"/>
    <s v="Sep'25"/>
    <s v="MODINA INDIA  "/>
  </r>
  <r>
    <n v="5"/>
    <s v="12/1"/>
    <s v="DA+3"/>
    <m/>
    <m/>
    <m/>
    <x v="0"/>
    <x v="0"/>
    <s v="02.09.2025"/>
    <s v="23.09.2025"/>
    <s v="Sep'25"/>
    <s v="Sep'25"/>
    <s v="OM CONSTRUCTION"/>
  </r>
  <r>
    <n v="6"/>
    <s v="15/2"/>
    <s v="DA+3"/>
    <m/>
    <m/>
    <m/>
    <x v="0"/>
    <x v="0"/>
    <s v="02.09.2025"/>
    <s v="12.09.2025"/>
    <s v="Sep'25"/>
    <s v="Sep'25"/>
    <s v="HEMLAL MAHATO-I (Anita Devi)"/>
  </r>
  <r>
    <n v="7"/>
    <s v="20/1"/>
    <s v="DA(-)3"/>
    <m/>
    <m/>
    <m/>
    <x v="0"/>
    <x v="0"/>
    <s v="07.09.2025"/>
    <s v="14.09.2025"/>
    <s v="Sep'25"/>
    <s v="Sep'25"/>
    <s v="DEVI CONST.-I"/>
  </r>
  <r>
    <n v="8"/>
    <s v="16/1"/>
    <s v="DA+0"/>
    <m/>
    <m/>
    <m/>
    <x v="0"/>
    <x v="0"/>
    <s v="07.09.2025"/>
    <s v="12.09.2025"/>
    <s v="Sep'25"/>
    <s v="Sep'25"/>
    <s v="DEVI CONST.-II"/>
  </r>
  <r>
    <n v="9"/>
    <s v="8/6"/>
    <s v="DA+0"/>
    <m/>
    <m/>
    <m/>
    <x v="0"/>
    <x v="0"/>
    <s v="25/08/2025"/>
    <s v="14.09.2025"/>
    <s v="Aug'25"/>
    <s v="Sep'25"/>
    <s v="JAWALA SINGH "/>
  </r>
  <r>
    <n v="10"/>
    <s v="13/4"/>
    <s v="DA(-)3"/>
    <m/>
    <m/>
    <m/>
    <x v="0"/>
    <x v="0"/>
    <s v="13.09.2025"/>
    <s v="27.09.2025"/>
    <s v="Sep'25"/>
    <s v="Sep'25"/>
    <s v="DEONATH MAHATO "/>
  </r>
  <r>
    <n v="11"/>
    <s v="15/5"/>
    <s v="DA(-)3"/>
    <m/>
    <m/>
    <m/>
    <x v="0"/>
    <x v="0"/>
    <s v="11.09.2025"/>
    <s v="19.09.2025"/>
    <s v="Sep'25"/>
    <s v="Sep'25"/>
    <s v="HEMLAL MAHATO-I (Anita Devi)"/>
  </r>
  <r>
    <n v="12"/>
    <s v="16/8"/>
    <s v="DA(-)3"/>
    <m/>
    <m/>
    <m/>
    <x v="0"/>
    <x v="0"/>
    <s v="13.09.2025"/>
    <s v="19.09.2025"/>
    <s v="Sep'25"/>
    <s v="Sep'25"/>
    <s v="DEVI CONST.-I"/>
  </r>
  <r>
    <n v="13"/>
    <s v="8/7"/>
    <s v="DA+0"/>
    <m/>
    <m/>
    <m/>
    <x v="0"/>
    <x v="0"/>
    <s v="14.09.2025"/>
    <s v="20.09.2025"/>
    <s v="Sep'25"/>
    <s v="Sep'25"/>
    <s v="JAWALA SINGH "/>
  </r>
  <r>
    <n v="14"/>
    <s v="22/1"/>
    <s v="DA+6"/>
    <m/>
    <m/>
    <m/>
    <x v="0"/>
    <x v="0"/>
    <s v="15.09.2025"/>
    <s v="23.09.2025"/>
    <s v="Sep'25"/>
    <s v="Sep'25"/>
    <s v="DEVI CONST.-II"/>
  </r>
  <r>
    <n v="15"/>
    <s v="12/2"/>
    <s v="DA(-)3"/>
    <m/>
    <m/>
    <m/>
    <x v="0"/>
    <x v="0"/>
    <s v="25.09.2025"/>
    <s v="04.10.2025"/>
    <s v="Sep'25"/>
    <s v="Oct'25"/>
    <s v="OM CONSTRUCTION"/>
  </r>
  <r>
    <n v="16"/>
    <s v="14/1"/>
    <s v="DA+0"/>
    <m/>
    <m/>
    <m/>
    <x v="0"/>
    <x v="0"/>
    <s v="16.09.2025"/>
    <s v="24.09.2025"/>
    <s v="Sep'25"/>
    <s v="Sep'25"/>
    <s v="HEMLAL MAHATO-II (Anita Devi)"/>
  </r>
  <r>
    <n v="17"/>
    <s v="16/9"/>
    <s v="DA+0"/>
    <m/>
    <m/>
    <m/>
    <x v="0"/>
    <x v="0"/>
    <s v="19.09.2025"/>
    <s v="25.09.2025"/>
    <s v="Sep'25"/>
    <s v="Sep'25"/>
    <s v="DEVI CONST.-I"/>
  </r>
  <r>
    <n v="18"/>
    <s v="9/1"/>
    <s v="DA+3"/>
    <m/>
    <m/>
    <m/>
    <x v="0"/>
    <x v="0"/>
    <s v="20.09.2025"/>
    <s v="26.09.2025"/>
    <s v="Sep'25"/>
    <s v="Sep'25"/>
    <s v="JAWALA SINGH "/>
  </r>
  <r>
    <n v="19"/>
    <s v="20/2"/>
    <s v="DA(-)3"/>
    <m/>
    <m/>
    <m/>
    <x v="0"/>
    <x v="0"/>
    <s v="23.09.2025"/>
    <s v="29.09.2025"/>
    <s v="Sep'25"/>
    <s v="Sep'25"/>
    <s v="DEVI CONST.-II"/>
  </r>
  <r>
    <n v="20"/>
    <s v="14/2"/>
    <s v="DA+0"/>
    <m/>
    <m/>
    <m/>
    <x v="0"/>
    <x v="0"/>
    <s v="24.09.2025"/>
    <s v="30.09.2025"/>
    <s v="Sep'25"/>
    <s v="Sep'25"/>
    <s v="HEMLAL MAHATO-I (Anita Devi)"/>
  </r>
  <r>
    <n v="21"/>
    <s v="16/7"/>
    <s v="DA+0"/>
    <m/>
    <m/>
    <m/>
    <x v="0"/>
    <x v="0"/>
    <s v="01.10.2025"/>
    <s v="06.10.2025"/>
    <s v="Oct'25"/>
    <s v="Oct'25"/>
    <s v="DEVI CONST.-I"/>
  </r>
  <r>
    <n v="22"/>
    <s v="10/1"/>
    <s v="DA+0"/>
    <m/>
    <m/>
    <m/>
    <x v="0"/>
    <x v="0"/>
    <s v="27.09.2025"/>
    <s v="02.10.2025"/>
    <s v="Sep'25"/>
    <s v="Oct'25"/>
    <s v="JAWALA SINGH "/>
  </r>
  <r>
    <n v="23"/>
    <s v="13/1"/>
    <s v="DA(-)1.5"/>
    <m/>
    <m/>
    <m/>
    <x v="0"/>
    <x v="0"/>
    <s v="01.10.2025"/>
    <s v="13.10.2025"/>
    <s v="Oct'25"/>
    <s v="Oct'25"/>
    <s v="DEONATH MAHATO "/>
  </r>
  <r>
    <n v="24"/>
    <s v="16/11"/>
    <s v="DA+0"/>
    <m/>
    <m/>
    <m/>
    <x v="0"/>
    <x v="0"/>
    <s v="25.09.2025"/>
    <s v="01.10.2025"/>
    <s v="Sep'25"/>
    <s v="Oct'25"/>
    <s v="DEVI CONST.-I"/>
  </r>
  <r>
    <n v="25"/>
    <s v="24/6"/>
    <s v="DA+3"/>
    <m/>
    <m/>
    <m/>
    <x v="0"/>
    <x v="0"/>
    <s v="01.10.2025"/>
    <s v="06.10.2025"/>
    <s v="Oct'25"/>
    <s v="Oct'25"/>
    <s v="DEVI CONST.-II"/>
  </r>
  <r>
    <n v="26"/>
    <s v="14/3"/>
    <s v="DA(-)3"/>
    <m/>
    <m/>
    <m/>
    <x v="0"/>
    <x v="0"/>
    <s v="05.10.2025"/>
    <s v="16.10.2025"/>
    <s v="Oct'25"/>
    <s v="Oct'25"/>
    <s v="OM CONSTRUCTION"/>
  </r>
  <r>
    <n v="27"/>
    <s v="24/7"/>
    <s v="DA+0"/>
    <m/>
    <m/>
    <m/>
    <x v="0"/>
    <x v="0"/>
    <s v="07.10.2025"/>
    <s v="11.10.2025"/>
    <s v="Oct'25"/>
    <s v="Oct'25"/>
    <s v="DEVI CONST."/>
  </r>
  <r>
    <n v="28"/>
    <s v="8/10"/>
    <s v="DA+0"/>
    <m/>
    <m/>
    <m/>
    <x v="0"/>
    <x v="0"/>
    <s v="12.10.2025"/>
    <s v="16.10.2025"/>
    <s v="Oct'25"/>
    <s v="Oct'25"/>
    <s v="DEVI CONST."/>
  </r>
  <r>
    <n v="29"/>
    <s v="8/9"/>
    <s v="DA(-)3"/>
    <m/>
    <m/>
    <m/>
    <x v="0"/>
    <x v="0"/>
    <s v="17.10.2025"/>
    <s v="22.10.2025"/>
    <s v="Oct'25"/>
    <s v="Oct'25"/>
    <s v="DEVI CONST."/>
  </r>
  <r>
    <n v="30"/>
    <s v="8/8"/>
    <s v="DA+3"/>
    <m/>
    <m/>
    <m/>
    <x v="0"/>
    <x v="0"/>
    <s v="24.10.2025"/>
    <d v="2025-10-25T00:00:00"/>
    <s v="Oct'25"/>
    <s v="Oct'25"/>
    <s v="DEVI CONST."/>
  </r>
  <r>
    <n v="31"/>
    <s v="9/2"/>
    <s v="DA+0"/>
    <m/>
    <m/>
    <m/>
    <x v="0"/>
    <x v="0"/>
    <s v="26.10.2025"/>
    <s v="02.11.2025"/>
    <s v="Oct'25"/>
    <s v="Nov'25"/>
    <s v="DEVI CONST."/>
  </r>
  <r>
    <n v="32"/>
    <s v="8/4"/>
    <s v="DA+3"/>
    <m/>
    <m/>
    <m/>
    <x v="0"/>
    <x v="0"/>
    <s v="03.11.2025"/>
    <s v="07.11.2025"/>
    <s v="Nov'25"/>
    <s v="Nov'25"/>
    <s v="DEVI CONST."/>
  </r>
  <r>
    <n v="33"/>
    <s v="10/2"/>
    <s v="DA(-)3"/>
    <m/>
    <m/>
    <m/>
    <x v="0"/>
    <x v="0"/>
    <s v="08.11.2025"/>
    <s v="11.11.2025"/>
    <s v="Nov'25"/>
    <s v="Nov'25"/>
    <s v="DEVI CONST."/>
  </r>
  <r>
    <n v="34"/>
    <s v="15/4"/>
    <s v="DA+6"/>
    <m/>
    <m/>
    <m/>
    <x v="0"/>
    <x v="0"/>
    <s v="13.11.2025"/>
    <s v="25.11.2025"/>
    <s v="Nov'25"/>
    <s v="Nov'25"/>
    <s v="Arawali infra-1"/>
  </r>
  <r>
    <n v="35"/>
    <s v="16/2"/>
    <s v="DA+0"/>
    <m/>
    <m/>
    <m/>
    <x v="0"/>
    <x v="0"/>
    <s v="13.11.2025"/>
    <s v="24.11.2025"/>
    <s v="Nov'25"/>
    <s v="Nov'25"/>
    <s v="Arawali infra-2"/>
  </r>
  <r>
    <n v="36"/>
    <s v="21/4"/>
    <s v="DA+3"/>
    <m/>
    <m/>
    <m/>
    <x v="0"/>
    <x v="0"/>
    <s v="27.11.2025"/>
    <s v="09.12.2025"/>
    <s v="Nov'25"/>
    <s v="Dec'25"/>
    <s v="Kaushlya Devi"/>
  </r>
  <r>
    <n v="37"/>
    <s v="12/3"/>
    <s v="DA(-)3"/>
    <m/>
    <m/>
    <m/>
    <x v="0"/>
    <x v="0"/>
    <s v="11.11.2025"/>
    <s v="16.11.2025"/>
    <s v="Nov'25"/>
    <s v="Nov'25"/>
    <s v="DEVI CONST."/>
  </r>
  <r>
    <n v="38"/>
    <s v="13/0"/>
    <s v="DB2+0"/>
    <m/>
    <m/>
    <m/>
    <x v="0"/>
    <x v="0"/>
    <s v="16.11.2025"/>
    <s v="27.11.2025"/>
    <s v="Nov'25"/>
    <s v="Nov'25"/>
    <s v="DEVI CONST."/>
  </r>
  <r>
    <n v="39"/>
    <s v="5/1"/>
    <s v="DA(-)3"/>
    <m/>
    <m/>
    <m/>
    <x v="0"/>
    <x v="0"/>
    <s v="20.11.2025"/>
    <s v="25.11.2025"/>
    <s v="Nov'25"/>
    <s v="Nov'25"/>
    <s v="JAWALA SINGH "/>
  </r>
  <r>
    <n v="40"/>
    <s v="5/3"/>
    <s v="DA+3"/>
    <m/>
    <m/>
    <m/>
    <x v="0"/>
    <x v="0"/>
    <s v="26.11.2025"/>
    <s v="30.11.2025"/>
    <s v="Nov'25"/>
    <s v="Nov'25"/>
    <s v="JAWALA SINGH "/>
  </r>
  <r>
    <n v="41"/>
    <s v="15/9"/>
    <s v="DA+3"/>
    <m/>
    <m/>
    <m/>
    <x v="0"/>
    <x v="0"/>
    <s v="26.11.2025"/>
    <s v="04.12.2025"/>
    <s v="Nov'25"/>
    <s v="Dec'25"/>
    <s v="Arawali infra-2"/>
  </r>
  <r>
    <n v="42"/>
    <s v="15/3"/>
    <s v="DA+0"/>
    <m/>
    <m/>
    <m/>
    <x v="0"/>
    <x v="0"/>
    <s v="27.11.2025"/>
    <s v="05.12.2025"/>
    <s v="Nov'25"/>
    <s v="Dec'25"/>
    <s v="Arawali infra-1"/>
  </r>
  <r>
    <n v="43"/>
    <s v="8/1"/>
    <s v="DA+0"/>
    <m/>
    <m/>
    <m/>
    <x v="0"/>
    <x v="0"/>
    <s v="28.11.2025"/>
    <s v="03.12.2025"/>
    <s v="Nov'25"/>
    <s v="Dec'25"/>
    <s v="DEVI CONST."/>
  </r>
  <r>
    <n v="44"/>
    <s v="5/5"/>
    <s v="DA+0"/>
    <m/>
    <m/>
    <m/>
    <x v="0"/>
    <x v="0"/>
    <s v="01.12.2025"/>
    <s v="05.12.2025"/>
    <s v="Dec'25"/>
    <s v="Dec'25"/>
    <s v="JAWALA SINGH "/>
  </r>
  <r>
    <n v="45"/>
    <s v="15/1"/>
    <s v="DA+0"/>
    <m/>
    <m/>
    <m/>
    <x v="0"/>
    <x v="0"/>
    <s v="07.12.2025"/>
    <s v="15.12.2025"/>
    <s v="Dec'25"/>
    <s v="Dec'25"/>
    <s v="Arawali infra-1"/>
  </r>
  <r>
    <n v="46"/>
    <s v="15/8"/>
    <s v="DA+0"/>
    <m/>
    <m/>
    <m/>
    <x v="0"/>
    <x v="0"/>
    <s v="04.12.2025"/>
    <s v="12.12.2025"/>
    <s v="Dec'25"/>
    <s v="Dec'25"/>
    <s v="Arawali infra-2"/>
  </r>
  <r>
    <n v="47"/>
    <s v="5/7"/>
    <s v="DA(-)3"/>
    <m/>
    <m/>
    <m/>
    <x v="0"/>
    <x v="0"/>
    <s v="06.12.2025"/>
    <s v="11.12.2025"/>
    <s v="Dec'25"/>
    <s v="Dec'25"/>
    <s v="JAWALA SINGH "/>
  </r>
  <r>
    <n v="48"/>
    <s v="8/0"/>
    <s v="DB1+0"/>
    <m/>
    <m/>
    <m/>
    <x v="0"/>
    <x v="0"/>
    <s v="05.12.2025"/>
    <s v="16.12.2025"/>
    <s v="Dec'25"/>
    <s v="Dec'25"/>
    <s v="DEVI CONST."/>
  </r>
  <r>
    <n v="49"/>
    <s v="15/7"/>
    <s v="DA+0"/>
    <m/>
    <m/>
    <m/>
    <x v="0"/>
    <x v="0"/>
    <s v="11.12.2025"/>
    <s v="19.12.2025"/>
    <s v="Dec'25"/>
    <s v="Dec'25"/>
    <s v="Arawali infra-2"/>
  </r>
  <r>
    <n v="50"/>
    <s v="65/7"/>
    <s v="DA(-)3"/>
    <m/>
    <m/>
    <m/>
    <x v="1"/>
    <x v="0"/>
    <s v="11.12.2025"/>
    <s v="17.12.2025"/>
    <s v="Dec'25"/>
    <s v="Dec'25"/>
    <s v="Anita Devi"/>
  </r>
  <r>
    <n v="51"/>
    <s v="7/3"/>
    <s v="DA+0"/>
    <m/>
    <m/>
    <m/>
    <x v="0"/>
    <x v="0"/>
    <s v="12.12.2025"/>
    <s v="16.12.2025"/>
    <s v="Dec'25"/>
    <s v="Dec'25"/>
    <s v="JAWALA SINGH "/>
  </r>
  <r>
    <n v="52"/>
    <s v="18/1"/>
    <s v="DA+6"/>
    <m/>
    <m/>
    <m/>
    <x v="0"/>
    <x v="0"/>
    <s v="14.12.2025"/>
    <s v="06.01.2026"/>
    <s v="Dec'25"/>
    <s v="Jan'26"/>
    <s v="Kaushlya Devi"/>
  </r>
  <r>
    <n v="53"/>
    <s v="32/3"/>
    <s v="DA+1.5"/>
    <m/>
    <m/>
    <m/>
    <x v="0"/>
    <x v="0"/>
    <s v="16.12.2025"/>
    <s v="23.12.2025"/>
    <s v="Dec'25"/>
    <s v="Dec'25"/>
    <s v="Arawali infra-1"/>
  </r>
  <r>
    <n v="54"/>
    <s v="7/2"/>
    <s v="DA+0"/>
    <m/>
    <m/>
    <m/>
    <x v="0"/>
    <x v="0"/>
    <s v="17.12.2025"/>
    <s v="21.12.2025"/>
    <s v="Dec'25"/>
    <s v="Dec'25"/>
    <s v="JAWALA SINGH "/>
  </r>
  <r>
    <n v="55"/>
    <s v="8/2"/>
    <s v="DA+3"/>
    <m/>
    <m/>
    <m/>
    <x v="0"/>
    <x v="0"/>
    <s v="18.12.2025"/>
    <s v="22.12.2025"/>
    <s v="Dec'25"/>
    <s v="Dec'25"/>
    <s v="DEVI CONST."/>
  </r>
  <r>
    <n v="56"/>
    <s v="66/0"/>
    <s v="DB1+0"/>
    <m/>
    <m/>
    <m/>
    <x v="1"/>
    <x v="0"/>
    <s v="19.12.2025"/>
    <s v="28.12.2025"/>
    <s v="Dec'25"/>
    <s v="Dec'25"/>
    <s v="Anita Devi"/>
  </r>
  <r>
    <n v="57"/>
    <s v="16/0"/>
    <s v="DB1+0"/>
    <m/>
    <m/>
    <m/>
    <x v="0"/>
    <x v="0"/>
    <s v="21.12.2025"/>
    <s v="31.12.2025"/>
    <s v="Dec'25"/>
    <s v="Dec'25"/>
    <s v="Arawali infra-2"/>
  </r>
  <r>
    <n v="58"/>
    <s v="9/0"/>
    <s v="DB2+0"/>
    <m/>
    <m/>
    <m/>
    <x v="0"/>
    <x v="0"/>
    <s v="22.12.2025"/>
    <s v="29.12.2025"/>
    <s v="Dec'25"/>
    <s v="Dec'25"/>
    <s v="JAWALA SINGH "/>
  </r>
  <r>
    <n v="59"/>
    <s v="8/3"/>
    <s v="DA+3"/>
    <m/>
    <m/>
    <m/>
    <x v="0"/>
    <x v="0"/>
    <s v="23.12.2025"/>
    <s v="28.12.2025"/>
    <s v="Dec'25"/>
    <s v="Dec'25"/>
    <s v="DEVI CONST."/>
  </r>
  <r>
    <n v="60"/>
    <s v="32/4"/>
    <s v="DA+0"/>
    <m/>
    <m/>
    <m/>
    <x v="0"/>
    <x v="0"/>
    <s v="24.12.2025"/>
    <s v="30.12.2025"/>
    <s v="Dec'25"/>
    <s v="Dec'25"/>
    <s v="Arawali infra-1"/>
  </r>
  <r>
    <n v="61"/>
    <s v="9/3"/>
    <s v="DA+6"/>
    <m/>
    <m/>
    <m/>
    <x v="0"/>
    <x v="0"/>
    <s v="30.12.2025"/>
    <s v="04.01.2026"/>
    <s v="Dec'25"/>
    <s v="Jan'26"/>
    <s v="JAWALA SINGH "/>
  </r>
  <r>
    <n v="62"/>
    <s v="6/3"/>
    <s v="DA+1.5"/>
    <m/>
    <m/>
    <m/>
    <x v="0"/>
    <x v="0"/>
    <s v="30.12.2025"/>
    <s v="03.01.2026"/>
    <s v="Dec'25"/>
    <s v="Jan'26"/>
    <s v="DEVI CONST."/>
  </r>
  <r>
    <n v="63"/>
    <s v="16/10"/>
    <s v="DA+6"/>
    <m/>
    <m/>
    <m/>
    <x v="0"/>
    <x v="0"/>
    <s v="02.01.2026"/>
    <s v="12.01.2026"/>
    <s v="Jan'26"/>
    <s v="Jan'26"/>
    <s v="Arawali infra-2"/>
  </r>
  <r>
    <n v="64"/>
    <s v="65/2"/>
    <s v="DA+0"/>
    <m/>
    <m/>
    <m/>
    <x v="1"/>
    <x v="0"/>
    <s v="31.12.2025"/>
    <s v="09.01.2026"/>
    <s v="Dec'25"/>
    <s v="Jan'26"/>
    <s v="Anita Devi"/>
  </r>
  <r>
    <n v="65"/>
    <s v="32/6"/>
    <s v="DA+0"/>
    <m/>
    <m/>
    <m/>
    <x v="0"/>
    <x v="0"/>
    <s v="31.12.2025"/>
    <s v="06.01.2026"/>
    <s v="Dec'25"/>
    <s v="Jan'26"/>
    <s v="Arawali infra-1"/>
  </r>
  <r>
    <n v="66"/>
    <s v="7/4"/>
    <s v="DA+0"/>
    <m/>
    <m/>
    <m/>
    <x v="0"/>
    <x v="0"/>
    <s v="04.01.2026"/>
    <s v="09.01.2026"/>
    <s v="Jan'26"/>
    <s v="Jan'26"/>
    <s v="DEVI CONST."/>
  </r>
  <r>
    <n v="67"/>
    <s v="10/3"/>
    <s v="DA+3"/>
    <m/>
    <m/>
    <m/>
    <x v="0"/>
    <x v="0"/>
    <s v="05.01.2026"/>
    <s v="10.01.2026"/>
    <s v="Jan'26"/>
    <s v="Jan'26"/>
    <s v="JAWALA SINGH "/>
  </r>
  <r>
    <n v="68"/>
    <s v="32/5"/>
    <s v="DA+1.5"/>
    <m/>
    <m/>
    <m/>
    <x v="0"/>
    <x v="0"/>
    <s v="08.01.2026"/>
    <s v="14.01.2026"/>
    <s v="Jan'26"/>
    <s v="Jan'26"/>
    <s v="Arawali infra-2"/>
  </r>
  <r>
    <n v="69"/>
    <s v="14/0"/>
    <s v="DC1+0"/>
    <m/>
    <m/>
    <m/>
    <x v="0"/>
    <x v="0"/>
    <s v="11.01.2026"/>
    <s v="19.01.2026"/>
    <s v="Jan'26"/>
    <s v="Jan'26"/>
    <s v="DEVI CONST."/>
  </r>
  <r>
    <n v="70"/>
    <s v="68/0"/>
    <s v="DB2+6"/>
    <m/>
    <m/>
    <m/>
    <x v="1"/>
    <x v="0"/>
    <s v="12.01.2026"/>
    <s v="25.01.2026"/>
    <s v="Jan'26"/>
    <s v="Jan'26"/>
    <s v="Anita Devi"/>
  </r>
  <r>
    <n v="71"/>
    <s v="12/4"/>
    <s v="DA+0"/>
    <m/>
    <m/>
    <m/>
    <x v="0"/>
    <x v="0"/>
    <s v="11.01.2026"/>
    <s v="15.01.2026"/>
    <s v="Jan'26"/>
    <s v="Jan'26"/>
    <s v="JAWALA SINGH "/>
  </r>
  <r>
    <n v="72"/>
    <s v="16/6"/>
    <s v="DA(-)3"/>
    <m/>
    <m/>
    <m/>
    <x v="0"/>
    <x v="0"/>
    <s v="15.01.2026"/>
    <s v="20.01.2026"/>
    <s v="Jan'26"/>
    <s v="Jan'26"/>
    <s v="Arawali infra-2"/>
  </r>
  <r>
    <n v="73"/>
    <s v="12/5"/>
    <s v="DA+1.5"/>
    <m/>
    <m/>
    <m/>
    <x v="0"/>
    <x v="0"/>
    <s v="16.01.2026"/>
    <s v="19.01.2026"/>
    <s v="Jan'26"/>
    <s v="Jan'26"/>
    <s v="JAWALA SINGH "/>
  </r>
  <r>
    <n v="74"/>
    <s v="48/4"/>
    <s v="DA(-)1.5"/>
    <m/>
    <m/>
    <m/>
    <x v="1"/>
    <x v="0"/>
    <s v="19.01.2026"/>
    <s v="24.01.2026"/>
    <s v="Jan'26"/>
    <s v="Jan'26"/>
    <s v="DEVI CONST."/>
  </r>
  <r>
    <n v="75"/>
    <s v="18/0"/>
    <s v="DD45+0"/>
    <m/>
    <m/>
    <m/>
    <x v="0"/>
    <x v="0"/>
    <s v="25.01.2026"/>
    <s v="06.02.2026"/>
    <s v="Jan'26"/>
    <s v="Feb'26"/>
    <s v="Senaul Haque"/>
  </r>
  <r>
    <n v="76"/>
    <s v="38/1"/>
    <s v="DA(-)3"/>
    <m/>
    <m/>
    <m/>
    <x v="0"/>
    <x v="0"/>
    <s v="20.01.2026"/>
    <s v="25.01.2026"/>
    <s v="Jan'26"/>
    <s v="Jan'26"/>
    <s v="JAWALA SINGH "/>
  </r>
  <r>
    <n v="77"/>
    <s v="24/8"/>
    <s v="DA+6"/>
    <m/>
    <m/>
    <m/>
    <x v="0"/>
    <x v="0"/>
    <s v="21.01.2026"/>
    <s v="27.01.2026"/>
    <s v="Jan'26"/>
    <s v="Jan'26"/>
    <s v="DEVI CONST."/>
  </r>
  <r>
    <n v="78"/>
    <s v="10/0"/>
    <s v="DB1+0"/>
    <m/>
    <m/>
    <m/>
    <x v="0"/>
    <x v="0"/>
    <s v="21.01.2026"/>
    <s v="28.01.2026"/>
    <s v="Jan'26"/>
    <s v="Jan'26"/>
    <s v="JAWALA SINGH "/>
  </r>
  <r>
    <n v="79"/>
    <s v="16/5"/>
    <s v="DA+6"/>
    <m/>
    <m/>
    <m/>
    <x v="0"/>
    <x v="0"/>
    <s v="21.01.2026"/>
    <s v="27.01.2026"/>
    <s v="Jan'26"/>
    <s v="Jan'26"/>
    <s v="Arawali infra-1"/>
  </r>
  <r>
    <n v="80"/>
    <s v="32/1"/>
    <s v="DB1+9"/>
    <m/>
    <m/>
    <m/>
    <x v="0"/>
    <x v="0"/>
    <s v="25.01.2026"/>
    <s v="06.02.2026"/>
    <s v="Jan'26"/>
    <s v="Feb'26"/>
    <s v="Arawali infra-1"/>
  </r>
  <r>
    <n v="81"/>
    <s v="46/0"/>
    <s v="DD45+0"/>
    <m/>
    <m/>
    <m/>
    <x v="2"/>
    <x v="0"/>
    <s v="27.01.2026"/>
    <s v="06.02.2026"/>
    <s v="Jan'26"/>
    <s v="Feb'26"/>
    <s v="Amit construction"/>
  </r>
  <r>
    <n v="82"/>
    <s v="64/0"/>
    <s v="DD45+0"/>
    <m/>
    <m/>
    <m/>
    <x v="1"/>
    <x v="0"/>
    <s v="27.01.2026"/>
    <s v="09.02.2026"/>
    <s v="Jan'26"/>
    <s v="Feb'26"/>
    <s v="Anita Devi"/>
  </r>
  <r>
    <n v="83"/>
    <s v="47/11"/>
    <s v="DA+6"/>
    <m/>
    <m/>
    <m/>
    <x v="1"/>
    <x v="0"/>
    <s v="25.01.2026"/>
    <s v="30.01.2026"/>
    <s v="Jan'26"/>
    <s v="Jan'26"/>
    <s v="DEVI CONST.-2"/>
  </r>
  <r>
    <n v="84"/>
    <s v="16/3"/>
    <s v="DA+9"/>
    <m/>
    <m/>
    <m/>
    <x v="0"/>
    <x v="0"/>
    <s v="28.01.2026"/>
    <s v="03.02.2026"/>
    <s v="Jan'26"/>
    <s v="Feb'26"/>
    <s v="Arawali infra-2"/>
  </r>
  <r>
    <n v="85"/>
    <s v="38/2"/>
    <s v="DA+0"/>
    <m/>
    <m/>
    <m/>
    <x v="0"/>
    <x v="0"/>
    <s v="27.01.2026"/>
    <s v="30.01.2026"/>
    <s v="Jan'26"/>
    <s v="Jan'26"/>
    <s v="JAWALA SINGH "/>
  </r>
  <r>
    <n v="86"/>
    <s v="24/9"/>
    <s v="DA(-)1.5"/>
    <m/>
    <m/>
    <m/>
    <x v="0"/>
    <x v="0"/>
    <s v="28.01.2026"/>
    <s v="01.02.2026"/>
    <s v="Jan'26"/>
    <s v="Feb'26"/>
    <s v="DEVI CONST."/>
  </r>
  <r>
    <n v="87"/>
    <s v="7/0"/>
    <s v="DC2+0"/>
    <m/>
    <m/>
    <m/>
    <x v="0"/>
    <x v="0"/>
    <s v="31.01.2026"/>
    <s v="06.02.2026"/>
    <s v="Jan'26"/>
    <s v="Feb'26"/>
    <s v="JAWALA SINGH "/>
  </r>
  <r>
    <n v="88"/>
    <s v="48/2"/>
    <s v="DA(-)1.5"/>
    <m/>
    <m/>
    <m/>
    <x v="1"/>
    <x v="0"/>
    <s v="31.01.2026"/>
    <s v="06.02.2026"/>
    <s v="Jan'26"/>
    <s v="Feb'26"/>
    <s v="DEVI CONST.-2"/>
  </r>
  <r>
    <n v="89"/>
    <s v="36/3"/>
    <s v="DA+0"/>
    <m/>
    <m/>
    <m/>
    <x v="0"/>
    <x v="0"/>
    <s v="01.02.2026"/>
    <s v="05.02.2026"/>
    <s v="Feb'26"/>
    <s v="Feb'26"/>
    <s v="JAWALA SINGH "/>
  </r>
  <r>
    <n v="90"/>
    <s v="24/10"/>
    <s v="DA+1.5"/>
    <m/>
    <m/>
    <m/>
    <x v="0"/>
    <x v="0"/>
    <s v="02.02.2026"/>
    <s v="08.02.2026"/>
    <s v="Feb'26"/>
    <s v="Feb'26"/>
    <s v="DEVI CONST."/>
  </r>
  <r>
    <n v="91"/>
    <s v="26/2"/>
    <s v="DA+6"/>
    <m/>
    <m/>
    <m/>
    <x v="0"/>
    <x v="0"/>
    <s v="03.02.2026"/>
    <s v="13.02.2026"/>
    <s v="Feb'26"/>
    <s v="Feb'26"/>
    <s v="SONI KUMARI"/>
  </r>
  <r>
    <n v="92"/>
    <s v="15/0"/>
    <s v="DB2+0"/>
    <m/>
    <m/>
    <m/>
    <x v="0"/>
    <x v="0"/>
    <s v="07.02.2026"/>
    <s v="14.02.2026"/>
    <s v="Feb'26"/>
    <s v="Feb'26"/>
    <s v="ARAVALI INFRA-2"/>
  </r>
  <r>
    <n v="93"/>
    <s v="38/0"/>
    <s v="DD45+9"/>
    <m/>
    <m/>
    <m/>
    <x v="0"/>
    <x v="0"/>
    <s v="07.02.2026"/>
    <s v="16.02.2026"/>
    <s v="Feb'26"/>
    <s v="Feb'26"/>
    <s v="JAWALA SINGH "/>
  </r>
  <r>
    <n v="94"/>
    <s v="11/0"/>
    <s v="DD60+25"/>
    <m/>
    <m/>
    <m/>
    <x v="0"/>
    <x v="0"/>
    <s v="21.02.2026"/>
    <s v="16.03.2026"/>
    <s v="Feb'26"/>
    <s v="Mar'26"/>
    <s v="JAWALA SINGH "/>
  </r>
  <r>
    <n v="95"/>
    <s v="32/7"/>
    <s v="DA(-)1.5"/>
    <m/>
    <m/>
    <m/>
    <x v="0"/>
    <x v="0"/>
    <s v="08.02.2026"/>
    <s v="14.02.2026"/>
    <s v="Feb'26"/>
    <s v="Feb'26"/>
    <s v="JAWALA SINGH"/>
  </r>
  <r>
    <n v="96"/>
    <s v="45/0"/>
    <s v="DC1+0"/>
    <m/>
    <m/>
    <m/>
    <x v="2"/>
    <x v="0"/>
    <s v="08.02.2026"/>
    <s v="17.02.2026"/>
    <s v="Feb'26"/>
    <s v="Feb'26"/>
    <s v="Amit construction"/>
  </r>
  <r>
    <n v="97"/>
    <s v="7/1"/>
    <s v="DA+0"/>
    <m/>
    <m/>
    <m/>
    <x v="0"/>
    <x v="0"/>
    <s v="08.02.2026"/>
    <s v="12.02.2026"/>
    <s v="Feb'26"/>
    <s v="Feb'26"/>
    <s v="JAWALA SINGH "/>
  </r>
  <r>
    <n v="98"/>
    <s v="47/8"/>
    <s v="DA+0"/>
    <m/>
    <m/>
    <m/>
    <x v="2"/>
    <x v="0"/>
    <s v="07.02.2026"/>
    <s v="12.02.2026"/>
    <s v="Feb'26"/>
    <s v="Feb'26"/>
    <s v="DEVI CONST.-2"/>
  </r>
  <r>
    <n v="99"/>
    <s v="24/11"/>
    <s v="DA+0"/>
    <m/>
    <m/>
    <m/>
    <x v="0"/>
    <x v="0"/>
    <s v="10.02.2026"/>
    <s v="13.02.2026"/>
    <s v="Feb'26"/>
    <s v="Feb'26"/>
    <s v="DEVI CONST."/>
  </r>
  <r>
    <n v="100"/>
    <s v="65/9"/>
    <s v="DA(-)3"/>
    <m/>
    <m/>
    <m/>
    <x v="1"/>
    <x v="0"/>
    <s v="10.02.2026"/>
    <s v="16.02.2026"/>
    <s v="Feb'26"/>
    <s v="Feb'26"/>
    <s v="Anita Devi"/>
  </r>
  <r>
    <n v="101"/>
    <s v="5/6"/>
    <s v="DA+0"/>
    <m/>
    <m/>
    <m/>
    <x v="0"/>
    <x v="0"/>
    <s v="13.02.2026"/>
    <s v="17.02.2026"/>
    <s v="Feb'26"/>
    <s v="Feb'26"/>
    <s v="JAWALA SINGH "/>
  </r>
  <r>
    <n v="102"/>
    <s v="49/0"/>
    <s v="DB1+0"/>
    <m/>
    <m/>
    <m/>
    <x v="1"/>
    <x v="0"/>
    <s v="14.02.2026"/>
    <s v="22.02.2026"/>
    <s v="Feb'26"/>
    <s v="Feb'26"/>
    <s v="DEVI CONST.-2"/>
  </r>
  <r>
    <n v="103"/>
    <s v="26/1"/>
    <s v="DA+1.5"/>
    <m/>
    <m/>
    <m/>
    <x v="0"/>
    <x v="0"/>
    <s v="15.02.2026"/>
    <s v="25.02.2026"/>
    <s v="Feb'26"/>
    <s v="Feb'26"/>
    <s v="SONI KUMARI"/>
  </r>
  <r>
    <n v="104"/>
    <s v="27/0"/>
    <s v="DB2+9"/>
    <m/>
    <m/>
    <m/>
    <x v="0"/>
    <x v="0"/>
    <s v="15.02.2026"/>
    <s v="27.02.2026"/>
    <s v="Feb'26"/>
    <s v="Feb'26"/>
    <s v="DEVI CONST."/>
  </r>
  <r>
    <n v="105"/>
    <s v="55/1"/>
    <s v="DA+6"/>
    <m/>
    <m/>
    <m/>
    <x v="1"/>
    <x v="0"/>
    <s v="15.02.2026"/>
    <s v="25.02.2026"/>
    <s v="Feb'26"/>
    <s v="Feb'26"/>
    <s v="ARAVALI INFRA-2"/>
  </r>
  <r>
    <n v="106"/>
    <s v="33/0"/>
    <s v="DD45+9"/>
    <m/>
    <m/>
    <m/>
    <x v="0"/>
    <x v="0"/>
    <s v="15.02.2026"/>
    <s v="28.02.2026"/>
    <s v="Feb'26"/>
    <s v="Feb'26"/>
    <s v="ARAVALI INFRA-1"/>
  </r>
  <r>
    <n v="107"/>
    <s v="36/0"/>
    <s v="DC2+0"/>
    <m/>
    <m/>
    <m/>
    <x v="0"/>
    <x v="0"/>
    <s v="17.02.2026"/>
    <s v="26.02.2026"/>
    <s v="Feb'26"/>
    <s v="Feb'26"/>
    <s v="JAWALA SINGH-2"/>
  </r>
  <r>
    <n v="108"/>
    <s v="65/11"/>
    <s v="DA+6"/>
    <m/>
    <m/>
    <m/>
    <x v="1"/>
    <x v="0"/>
    <s v="17.02.2026"/>
    <s v="25.02.2026"/>
    <s v="Feb'26"/>
    <s v="Feb'26"/>
    <s v="Anita Devi"/>
  </r>
  <r>
    <n v="109"/>
    <s v="40/0"/>
    <s v="DC1+0"/>
    <m/>
    <m/>
    <m/>
    <x v="2"/>
    <x v="0"/>
    <s v="19.02.2026"/>
    <s v="27.02.2026"/>
    <s v="Feb'26"/>
    <s v="Feb'26"/>
    <s v="Amit construction"/>
  </r>
  <r>
    <n v="110"/>
    <s v="5/4"/>
    <s v="DA+1.5"/>
    <m/>
    <m/>
    <m/>
    <x v="0"/>
    <x v="0"/>
    <s v="18.02.2026"/>
    <s v="22.02.2026"/>
    <s v="Feb'26"/>
    <s v="Feb'26"/>
    <s v="JAWALA SINGH "/>
  </r>
  <r>
    <n v="111"/>
    <s v="49/1"/>
    <s v="DA+6"/>
    <m/>
    <m/>
    <m/>
    <x v="1"/>
    <x v="0"/>
    <s v="23.02.2026"/>
    <s v="28.02.2026"/>
    <s v="Feb'26"/>
    <s v="Feb'26"/>
    <s v="DEVI CONST.-2"/>
  </r>
  <r>
    <n v="112"/>
    <s v="6/1"/>
    <s v="DA(-)1.5"/>
    <m/>
    <m/>
    <m/>
    <x v="0"/>
    <x v="0"/>
    <s v="23.02.2026"/>
    <s v="27.02.2026"/>
    <s v="Feb'26"/>
    <s v="Feb'26"/>
    <s v="JAWALA SINGH"/>
  </r>
  <r>
    <n v="113"/>
    <s v="65/8"/>
    <s v="DA+1.5"/>
    <m/>
    <m/>
    <m/>
    <x v="1"/>
    <x v="0"/>
    <s v="28.02.2026"/>
    <s v="09.03.2026"/>
    <s v="Feb'26"/>
    <s v="Mar'26"/>
    <s v="Anita Devi"/>
  </r>
  <r>
    <n v="114"/>
    <s v="52/0"/>
    <s v="DC2+0"/>
    <m/>
    <m/>
    <m/>
    <x v="1"/>
    <x v="0"/>
    <s v="27.02.2026"/>
    <s v="12.03.2026"/>
    <s v="Feb'26"/>
    <s v="Mar'26"/>
    <s v="ARAVALI INFRA-2"/>
  </r>
  <r>
    <n v="115"/>
    <s v="39/0"/>
    <s v="DC1+0"/>
    <m/>
    <m/>
    <m/>
    <x v="0"/>
    <x v="0"/>
    <s v="28.02.2026"/>
    <s v="09.03.2026"/>
    <s v="Feb'26"/>
    <s v="Mar'26"/>
    <s v="JAWALA SINGH-2"/>
  </r>
  <r>
    <n v="116"/>
    <s v="39/4"/>
    <s v="DA+0"/>
    <m/>
    <m/>
    <m/>
    <x v="2"/>
    <x v="0"/>
    <s v="01.03.2026"/>
    <s v="09.03.2026"/>
    <s v="Mar'26"/>
    <s v="Mar'26"/>
    <s v="Amit construction"/>
  </r>
  <r>
    <n v="117"/>
    <s v="27/1"/>
    <s v="DB1+9"/>
    <m/>
    <m/>
    <m/>
    <x v="0"/>
    <x v="0"/>
    <s v="01.03.2026"/>
    <s v="15.03.2026"/>
    <s v="Mar'26"/>
    <s v="Mar'26"/>
    <s v="DEVI CONST."/>
  </r>
  <r>
    <n v="118"/>
    <s v="49/6"/>
    <s v="DA+6"/>
    <m/>
    <m/>
    <m/>
    <x v="1"/>
    <x v="0"/>
    <s v="03.03.2026"/>
    <s v="10.03.2026"/>
    <s v="Mar'26"/>
    <s v="Mar'26"/>
    <s v="DEVI CONST.-2"/>
  </r>
  <r>
    <n v="119"/>
    <s v="34/0"/>
    <s v="DC1+3"/>
    <m/>
    <m/>
    <m/>
    <x v="0"/>
    <x v="0"/>
    <s v="19.03.2026"/>
    <s v="02.04.2026"/>
    <s v="Mar'26"/>
    <s v="Apr'26"/>
    <s v="ARAVALI INFRA-1"/>
  </r>
  <r>
    <n v="120"/>
    <s v="63/1"/>
    <s v="DA(-)3"/>
    <m/>
    <m/>
    <m/>
    <x v="1"/>
    <x v="0"/>
    <s v="12.03.2026"/>
    <s v="17.03.2026"/>
    <s v="Mar'26"/>
    <s v="Mar'26"/>
    <s v="Anita Devi"/>
  </r>
  <r>
    <n v="121"/>
    <s v="39/3"/>
    <s v="DA+0"/>
    <m/>
    <m/>
    <m/>
    <x v="2"/>
    <x v="0"/>
    <s v="10.03.2026"/>
    <s v="15.03.2026"/>
    <s v="Mar'26"/>
    <s v="Mar'26"/>
    <s v="Amit construction"/>
  </r>
  <r>
    <n v="122"/>
    <s v="39/1"/>
    <s v="DA+3"/>
    <m/>
    <m/>
    <m/>
    <x v="2"/>
    <x v="0"/>
    <s v="11.03.2026"/>
    <s v="16.03.2026"/>
    <s v="Mar'26"/>
    <s v="Mar'26"/>
    <s v="JAWALA SINGH-2"/>
  </r>
  <r>
    <n v="123"/>
    <s v="51/2"/>
    <s v="DA(-)3"/>
    <m/>
    <m/>
    <m/>
    <x v="1"/>
    <x v="0"/>
    <s v="12.03.2026"/>
    <s v="16.03.2026"/>
    <s v="Mar'26"/>
    <s v="Mar'26"/>
    <s v="DEVI CONST.-2"/>
  </r>
  <r>
    <n v="124"/>
    <s v="53/0"/>
    <s v="DB2+3"/>
    <m/>
    <m/>
    <m/>
    <x v="1"/>
    <x v="0"/>
    <s v="15.03.2026"/>
    <s v="30.03.2026"/>
    <s v="Mar'26"/>
    <s v="Mar'26"/>
    <s v="ARAVALI INFRA-2"/>
  </r>
  <r>
    <n v="125"/>
    <s v="27/3"/>
    <s v="DA+1.5"/>
    <m/>
    <m/>
    <m/>
    <x v="0"/>
    <x v="0"/>
    <s v="17.03.2026"/>
    <s v="23.03.2026"/>
    <s v="Mar'26"/>
    <s v="Mar'26"/>
    <s v="DEVI CONST."/>
  </r>
  <r>
    <n v="126"/>
    <s v="40/3"/>
    <s v="DA+0"/>
    <m/>
    <m/>
    <m/>
    <x v="2"/>
    <x v="0"/>
    <s v="17.03.2026"/>
    <s v="21.03.2026"/>
    <s v="Mar'26"/>
    <s v="Mar'26"/>
    <s v="Amit construction"/>
  </r>
  <r>
    <n v="127"/>
    <s v="51/1"/>
    <s v="DA+0"/>
    <m/>
    <m/>
    <m/>
    <x v="1"/>
    <x v="0"/>
    <s v="18.03.2026"/>
    <s v="23.03.2026"/>
    <s v="Mar'26"/>
    <s v="Mar'26"/>
    <s v="DEVI CONST.-2"/>
  </r>
  <r>
    <n v="128"/>
    <s v="39/2"/>
    <s v="DA+0"/>
    <m/>
    <m/>
    <m/>
    <x v="2"/>
    <x v="0"/>
    <s v="17.03.2026"/>
    <s v="20.03.2026"/>
    <s v="Mar'26"/>
    <s v="Mar'26"/>
    <s v="JAWALA SINGH-2"/>
  </r>
  <r>
    <n v="129"/>
    <s v="12/7"/>
    <s v="DA+0"/>
    <m/>
    <m/>
    <m/>
    <x v="0"/>
    <x v="0"/>
    <s v="17.03.2026"/>
    <s v="21.03.2026"/>
    <s v="Mar'26"/>
    <s v="Mar'26"/>
    <s v="JAWALA SINGH "/>
  </r>
  <r>
    <n v="130"/>
    <s v="66/5"/>
    <s v="DA+3"/>
    <m/>
    <m/>
    <m/>
    <x v="1"/>
    <x v="0"/>
    <s v="20.03.2026"/>
    <s v="23.03.2026"/>
    <s v="Mar'26"/>
    <s v="Mar'26"/>
    <s v="Anita Devi"/>
  </r>
  <r>
    <n v="131"/>
    <s v="37/0"/>
    <s v="DD45+12"/>
    <m/>
    <m/>
    <m/>
    <x v="0"/>
    <x v="0"/>
    <s v="22.03.2026"/>
    <s v="31.03.2026"/>
    <s v="Mar'26"/>
    <s v="Mar'26"/>
    <s v="JAWALA SINGH-2"/>
  </r>
  <r>
    <n v="132"/>
    <s v="45A/0"/>
    <s v="DC2+0"/>
    <m/>
    <m/>
    <m/>
    <x v="2"/>
    <x v="0"/>
    <s v="23.03.2026"/>
    <s v="29.03.2026"/>
    <s v="Mar'26"/>
    <s v="Mar'26"/>
    <s v="Amit construction"/>
  </r>
  <r>
    <n v="133"/>
    <s v="17/0"/>
    <s v="DB2+3"/>
    <m/>
    <m/>
    <m/>
    <x v="0"/>
    <x v="0"/>
    <s v="23.03.2026"/>
    <s v="29.03.2026"/>
    <s v="Mar'26"/>
    <s v="Mar'26"/>
    <s v="JAWALA SINGH "/>
  </r>
  <r>
    <n v="134"/>
    <s v="30/2"/>
    <s v="DA+0"/>
    <m/>
    <m/>
    <m/>
    <x v="0"/>
    <x v="0"/>
    <s v="23.03.2026"/>
    <s v="28.03.2026"/>
    <s v="Mar'26"/>
    <s v="Mar'26"/>
    <s v="Splicenet construction"/>
  </r>
  <r>
    <n v="135"/>
    <s v="40/1"/>
    <s v="DA+3"/>
    <m/>
    <m/>
    <m/>
    <x v="2"/>
    <x v="0"/>
    <s v="24.03.2026"/>
    <d v="2026-04-09T00:00:00"/>
    <s v="Mar'26"/>
    <s v="Apr'26"/>
    <s v="ARAVALI INFRA-3"/>
  </r>
  <r>
    <n v="136"/>
    <s v="27/4"/>
    <s v="DA(-)3"/>
    <m/>
    <m/>
    <m/>
    <x v="0"/>
    <x v="0"/>
    <s v="25.03.2026"/>
    <s v="01.04.2026"/>
    <s v="Mar'26"/>
    <s v="Apr'26"/>
    <s v="DEVI CONST."/>
  </r>
  <r>
    <n v="137"/>
    <s v="66/6"/>
    <s v="DA(-)1.5"/>
    <m/>
    <m/>
    <m/>
    <x v="1"/>
    <x v="0"/>
    <s v="26.03.2026"/>
    <s v="29.03.2026"/>
    <s v="Mar'26"/>
    <s v="Mar'26"/>
    <s v="Anita Devi"/>
  </r>
  <r>
    <n v="138"/>
    <s v="48/8"/>
    <s v="DA+0"/>
    <m/>
    <m/>
    <m/>
    <x v="1"/>
    <x v="0"/>
    <s v="25.03.2026"/>
    <s v="31.03.2026"/>
    <s v="Mar'26"/>
    <s v="Mar'26"/>
    <s v="DEVI CONST.-2"/>
  </r>
  <r>
    <n v="139"/>
    <s v="29/2"/>
    <s v="DA+1.5"/>
    <m/>
    <m/>
    <m/>
    <x v="0"/>
    <x v="0"/>
    <s v="25.03.2026"/>
    <s v="04.04.2026"/>
    <s v="Mar'26"/>
    <s v="Apr'26"/>
    <s v="Splicenet construction-II"/>
  </r>
  <r>
    <n v="140"/>
    <s v="30/1"/>
    <s v="DA+1.5"/>
    <m/>
    <m/>
    <m/>
    <x v="0"/>
    <x v="0"/>
    <s v="30.03.2026"/>
    <s v="05.04.2026"/>
    <s v="Mar'26"/>
    <s v="Apr'26"/>
    <s v="Splicenet construction"/>
  </r>
  <r>
    <n v="141"/>
    <s v="13/3"/>
    <s v="DA+0"/>
    <m/>
    <m/>
    <m/>
    <x v="0"/>
    <x v="0"/>
    <s v="30.03.2026"/>
    <s v="02.04.2026"/>
    <s v="Mar'26"/>
    <s v="Apr'26"/>
    <s v="JAWALA SINGH "/>
  </r>
  <r>
    <n v="142"/>
    <s v="45/3"/>
    <s v="DA+0"/>
    <m/>
    <m/>
    <m/>
    <x v="2"/>
    <x v="0"/>
    <s v="31.03.2026"/>
    <s v="04.04.2026"/>
    <s v="Mar'26"/>
    <s v="Apr'26"/>
    <s v="Amit construction"/>
  </r>
  <r>
    <n v="143"/>
    <s v="66/4"/>
    <s v="DA(-)3"/>
    <m/>
    <m/>
    <m/>
    <x v="1"/>
    <x v="0"/>
    <s v="31.03.2026"/>
    <s v="04.04.2026"/>
    <s v="Mar'26"/>
    <s v="Apr'26"/>
    <s v="Anita Devi"/>
  </r>
  <r>
    <n v="144"/>
    <s v="53B/1"/>
    <s v="DA+3"/>
    <m/>
    <m/>
    <m/>
    <x v="1"/>
    <x v="0"/>
    <s v="01.04.2026"/>
    <d v="2026-04-07T00:00:00"/>
    <s v="Apr'26"/>
    <s v="Apr'26"/>
    <s v="ARAVALI INFRA-2"/>
  </r>
  <r>
    <n v="145"/>
    <s v="38/3"/>
    <s v="DA(-)3"/>
    <m/>
    <m/>
    <m/>
    <x v="0"/>
    <x v="0"/>
    <s v="02.04.2026"/>
    <s v="05.04.2026"/>
    <s v="Apr'26"/>
    <s v="Apr'26"/>
    <s v="JAWALA SINGH-2"/>
  </r>
  <r>
    <n v="146"/>
    <s v="48/5"/>
    <s v="DA+0"/>
    <m/>
    <m/>
    <m/>
    <x v="1"/>
    <x v="0"/>
    <s v="02.04.2026"/>
    <d v="2026-04-07T00:00:00"/>
    <s v="Apr'26"/>
    <s v="Apr'26"/>
    <s v="DEVI CONST.-2"/>
  </r>
  <r>
    <n v="147"/>
    <s v="27/5"/>
    <s v="DA(-)1.5"/>
    <m/>
    <m/>
    <m/>
    <x v="0"/>
    <x v="0"/>
    <s v="03.04.2026"/>
    <d v="2026-04-09T00:00:00"/>
    <s v="Apr'26"/>
    <s v="Apr'26"/>
    <s v="DEVI CONST."/>
  </r>
  <r>
    <n v="148"/>
    <s v="14/5"/>
    <s v="DA+0"/>
    <m/>
    <m/>
    <m/>
    <x v="0"/>
    <x v="0"/>
    <s v="03.04.2026"/>
    <s v="06.04.2026"/>
    <s v="Apr'26"/>
    <s v="Apr'26"/>
    <s v="JAWALA SINGH "/>
  </r>
  <r>
    <n v="149"/>
    <s v="32/2"/>
    <s v="DA+1.5"/>
    <m/>
    <m/>
    <m/>
    <x v="0"/>
    <x v="0"/>
    <s v="03.04.2026"/>
    <d v="2026-04-10T00:00:00"/>
    <s v="Apr'26"/>
    <s v="Apr'26"/>
    <s v="ARAVALI INFRA-1"/>
  </r>
  <r>
    <n v="150"/>
    <s v="29/1"/>
    <s v="DA+1.5"/>
    <m/>
    <m/>
    <m/>
    <x v="0"/>
    <x v="0"/>
    <s v="06.04.2026"/>
    <d v="2026-04-13T00:00:00"/>
    <s v="Apr'26"/>
    <s v="Apr'26"/>
    <s v="Splicenet construction-II"/>
  </r>
  <r>
    <n v="151"/>
    <s v="45/1"/>
    <s v="DA(-)3"/>
    <m/>
    <m/>
    <m/>
    <x v="2"/>
    <x v="0"/>
    <s v="06.04.2026"/>
    <d v="2026-04-09T00:00:00"/>
    <s v="Apr'26"/>
    <s v="Apr'26"/>
    <s v="Amit construction"/>
  </r>
  <r>
    <n v="152"/>
    <s v="67/0"/>
    <s v="DB2+6"/>
    <m/>
    <m/>
    <m/>
    <x v="1"/>
    <x v="0"/>
    <s v="06.04.2026"/>
    <d v="2026-04-15T00:00:00"/>
    <s v="Apr'26"/>
    <s v="Apr'26"/>
    <s v="Anita Devi"/>
  </r>
  <r>
    <n v="153"/>
    <s v="30/0"/>
    <s v="DC1+0"/>
    <m/>
    <m/>
    <m/>
    <x v="0"/>
    <x v="1"/>
    <s v="06.04.2026"/>
    <d v="2026-04-16T00:00:00"/>
    <s v="Apr'26"/>
    <s v="Apr'26"/>
    <s v="Splicenet construction"/>
  </r>
  <r>
    <n v="154"/>
    <s v="36/4"/>
    <s v="DA+3"/>
    <m/>
    <m/>
    <m/>
    <x v="0"/>
    <x v="0"/>
    <s v="06.04.2026"/>
    <d v="2026-04-09T00:00:00"/>
    <s v="Apr'26"/>
    <s v="Apr'26"/>
    <s v="JAWALA SINGH-2"/>
  </r>
  <r>
    <n v="155"/>
    <s v="14/4"/>
    <s v="DA+3"/>
    <m/>
    <m/>
    <m/>
    <x v="0"/>
    <x v="0"/>
    <d v="2026-04-08T00:00:00"/>
    <d v="2026-04-11T00:00:00"/>
    <s v="Apr'26"/>
    <s v="Apr'26"/>
    <s v="JAWALA SINGH "/>
  </r>
  <r>
    <n v="156"/>
    <s v="52/1"/>
    <s v="DA+1.5"/>
    <m/>
    <m/>
    <m/>
    <x v="1"/>
    <x v="0"/>
    <d v="2026-04-09T00:00:00"/>
    <d v="2026-04-14T00:00:00"/>
    <s v="Apr'26"/>
    <s v="Apr'26"/>
    <s v="ARAVALI INFRA-2"/>
  </r>
  <r>
    <n v="157"/>
    <s v="38/8"/>
    <s v="DA+6"/>
    <m/>
    <m/>
    <m/>
    <x v="0"/>
    <x v="0"/>
    <d v="2026-04-08T00:00:00"/>
    <d v="2026-04-29T00:00:00"/>
    <s v="Apr'26"/>
    <s v="Apr'26"/>
    <s v="Splicenet construction-III"/>
  </r>
  <r>
    <n v="158"/>
    <s v="27/2"/>
    <s v="DA+0"/>
    <m/>
    <m/>
    <m/>
    <x v="0"/>
    <x v="0"/>
    <d v="2026-04-11T00:00:00"/>
    <d v="2026-04-14T00:00:00"/>
    <s v="Apr'26"/>
    <s v="Apr'26"/>
    <s v="DEVI CONST."/>
  </r>
  <r>
    <n v="159"/>
    <s v="40/2"/>
    <s v="DA+0"/>
    <m/>
    <m/>
    <m/>
    <x v="2"/>
    <x v="0"/>
    <d v="2026-04-12T00:00:00"/>
    <d v="2026-04-21T00:00:00"/>
    <s v="Apr'26"/>
    <s v="Apr'26"/>
    <s v="ARAVALI INFRA-3"/>
  </r>
  <r>
    <n v="160"/>
    <s v="36/6"/>
    <s v="DA(-)1.5"/>
    <m/>
    <m/>
    <m/>
    <x v="0"/>
    <x v="0"/>
    <d v="2026-04-10T00:00:00"/>
    <d v="2026-04-13T00:00:00"/>
    <s v="Apr'26"/>
    <s v="Apr'26"/>
    <s v="JAWALA SINGH-2"/>
  </r>
  <r>
    <n v="161"/>
    <s v="45/4"/>
    <s v="DA+1.5"/>
    <m/>
    <m/>
    <m/>
    <x v="2"/>
    <x v="0"/>
    <d v="2026-04-10T00:00:00"/>
    <d v="2026-04-15T00:00:00"/>
    <s v="Apr'26"/>
    <s v="Apr'26"/>
    <s v="Amit construction"/>
  </r>
  <r>
    <n v="162"/>
    <s v="34/3"/>
    <s v="DA+6"/>
    <m/>
    <m/>
    <m/>
    <x v="0"/>
    <x v="0"/>
    <d v="2026-04-12T00:00:00"/>
    <d v="2026-04-18T00:00:00"/>
    <s v="Apr'26"/>
    <s v="Apr'26"/>
    <s v="ARAVALI INFRA-1"/>
  </r>
  <r>
    <n v="163"/>
    <s v="26/4"/>
    <s v="DA(-)3"/>
    <m/>
    <m/>
    <m/>
    <x v="0"/>
    <x v="0"/>
    <d v="2026-04-13T00:00:00"/>
    <d v="2026-04-21T00:00:00"/>
    <s v="Apr'26"/>
    <s v="Apr'26"/>
    <s v="Splicenet construction-II"/>
  </r>
  <r>
    <n v="164"/>
    <s v="36/5"/>
    <s v="DA+6"/>
    <m/>
    <m/>
    <m/>
    <x v="0"/>
    <x v="0"/>
    <d v="2026-04-13T00:00:00"/>
    <d v="2026-04-16T00:00:00"/>
    <s v="Apr'26"/>
    <s v="Apr'26"/>
    <s v="JAWALA SINGH-2"/>
  </r>
  <r>
    <n v="165"/>
    <s v="25/0"/>
    <s v="DC2+18"/>
    <m/>
    <m/>
    <m/>
    <x v="0"/>
    <x v="0"/>
    <d v="2026-04-16T00:00:00"/>
    <d v="2026-04-29T00:00:00"/>
    <s v="Apr'26"/>
    <s v="Apr'26"/>
    <s v="Devi construction"/>
  </r>
  <r>
    <n v="166"/>
    <s v="55/2"/>
    <s v="DA+3"/>
    <m/>
    <m/>
    <m/>
    <x v="1"/>
    <x v="0"/>
    <d v="2026-04-14T00:00:00"/>
    <d v="2026-04-23T00:00:00"/>
    <s v="Apr'26"/>
    <s v="Apr'26"/>
    <s v="ARAVALI INFRA-2"/>
  </r>
  <r>
    <n v="167"/>
    <s v="6/0"/>
    <s v="DC2+0"/>
    <m/>
    <m/>
    <m/>
    <x v="0"/>
    <x v="0"/>
    <d v="2026-04-12T00:00:00"/>
    <d v="2026-04-18T00:00:00"/>
    <s v="Apr'26"/>
    <s v="Apr'26"/>
    <s v="Jwala Singh"/>
  </r>
  <r>
    <n v="168"/>
    <s v="46/2"/>
    <s v="DA+3"/>
    <m/>
    <m/>
    <m/>
    <x v="2"/>
    <x v="0"/>
    <d v="2026-04-16T00:00:00"/>
    <d v="2026-04-22T00:00:00"/>
    <s v="Apr'26"/>
    <s v="Apr'26"/>
    <s v="Amit construction"/>
  </r>
  <r>
    <n v="169"/>
    <s v="66/8"/>
    <s v="DA(-)3"/>
    <m/>
    <m/>
    <m/>
    <x v="1"/>
    <x v="0"/>
    <d v="2026-04-17T00:00:00"/>
    <d v="2026-04-22T00:00:00"/>
    <s v="Apr'26"/>
    <s v="Apr'26"/>
    <s v="Anita Devi"/>
  </r>
  <r>
    <n v="170"/>
    <s v="36/7"/>
    <s v="DA+3"/>
    <m/>
    <m/>
    <m/>
    <x v="0"/>
    <x v="0"/>
    <d v="2026-04-18T00:00:00"/>
    <d v="2026-04-21T00:00:00"/>
    <s v="Apr'26"/>
    <s v="Apr'26"/>
    <s v="JAWALA SINGH-2"/>
  </r>
  <r>
    <n v="171"/>
    <s v="6/2"/>
    <s v="DA+1.5"/>
    <m/>
    <m/>
    <m/>
    <x v="0"/>
    <x v="0"/>
    <d v="2026-04-19T00:00:00"/>
    <d v="2026-04-22T00:00:00"/>
    <s v="Apr'26"/>
    <s v="Apr'26"/>
    <s v="Jwala Singh"/>
  </r>
  <r>
    <n v="172"/>
    <s v="34/1"/>
    <s v="DA+3"/>
    <m/>
    <m/>
    <m/>
    <x v="0"/>
    <x v="0"/>
    <d v="2026-04-19T00:00:00"/>
    <d v="2026-04-28T00:00:00"/>
    <s v="Apr'26"/>
    <s v="Apr'26"/>
    <s v="ARAVALI INFRA-1"/>
  </r>
  <r>
    <n v="173"/>
    <s v="47/1"/>
    <s v="DA+0"/>
    <m/>
    <m/>
    <m/>
    <x v="2"/>
    <x v="0"/>
    <d v="2026-04-21T00:00:00"/>
    <d v="2026-04-26T00:00:00"/>
    <s v="Apr'26"/>
    <s v="Apr'26"/>
    <s v="Splicenet  Cons 1"/>
  </r>
  <r>
    <n v="174"/>
    <s v="26/3"/>
    <s v="DA+6"/>
    <m/>
    <m/>
    <m/>
    <x v="0"/>
    <x v="0"/>
    <d v="2026-04-22T00:00:00"/>
    <d v="2026-04-30T00:00:00"/>
    <s v="Apr'26"/>
    <s v="Apr'26"/>
    <s v="Splicenet construction-II"/>
  </r>
  <r>
    <n v="175"/>
    <s v="36/2"/>
    <s v="DA+0"/>
    <m/>
    <m/>
    <m/>
    <x v="0"/>
    <x v="0"/>
    <d v="2026-04-22T00:00:00"/>
    <d v="2026-04-25T00:00:00"/>
    <s v="Apr'26"/>
    <s v="Apr'26"/>
    <s v="JAWALA SINGH-2"/>
  </r>
  <r>
    <n v="176"/>
    <s v="41/0"/>
    <s v="DD45+0"/>
    <s v="W3"/>
    <n v="7.3684469999999997"/>
    <n v="73.244547999999995"/>
    <x v="2"/>
    <x v="0"/>
    <d v="2026-04-22T00:00:00"/>
    <d v="2026-05-21T00:00:00"/>
    <s v="Apr'26"/>
    <s v="May'26"/>
    <s v="ARAVALI INFRA-3"/>
  </r>
  <r>
    <n v="177"/>
    <s v="5/2"/>
    <s v="DA+0"/>
    <m/>
    <m/>
    <m/>
    <x v="0"/>
    <x v="0"/>
    <d v="2026-04-23T00:00:00"/>
    <d v="2026-04-26T00:00:00"/>
    <s v="Apr'26"/>
    <s v="Apr'26"/>
    <s v="Jwala Singh"/>
  </r>
  <r>
    <n v="178"/>
    <s v="46A/1"/>
    <s v="DA+3"/>
    <m/>
    <m/>
    <m/>
    <x v="2"/>
    <x v="0"/>
    <d v="2026-04-23T00:00:00"/>
    <d v="2026-04-28T00:00:00"/>
    <s v="Apr'26"/>
    <s v="Apr'26"/>
    <s v="Amit construction"/>
  </r>
  <r>
    <n v="179"/>
    <s v="65/5"/>
    <s v="DA(-)3"/>
    <m/>
    <m/>
    <m/>
    <x v="1"/>
    <x v="0"/>
    <d v="2026-04-23T00:00:00"/>
    <d v="2026-04-28T00:00:00"/>
    <s v="Apr'26"/>
    <s v="Apr'26"/>
    <s v="Anita Devi"/>
  </r>
  <r>
    <n v="180"/>
    <s v="36/1"/>
    <s v="DA+0"/>
    <m/>
    <m/>
    <m/>
    <x v="0"/>
    <x v="0"/>
    <d v="2026-04-26T00:00:00"/>
    <d v="2026-04-28T00:00:00"/>
    <s v="Apr'26"/>
    <s v="Apr'26"/>
    <s v="JAWALA SINGH-2"/>
  </r>
  <r>
    <n v="181"/>
    <s v="63/3"/>
    <s v="DA(-)3"/>
    <m/>
    <m/>
    <m/>
    <x v="1"/>
    <x v="0"/>
    <d v="2026-04-26T00:00:00"/>
    <d v="2026-04-30T00:00:00"/>
    <s v="Apr'26"/>
    <s v="Apr'26"/>
    <s v="ARAVALI INFRA-2"/>
  </r>
  <r>
    <n v="182"/>
    <s v="5/0"/>
    <s v="DB1+0"/>
    <s v="W1"/>
    <n v="5.5783706000000004"/>
    <n v="55.4"/>
    <x v="0"/>
    <x v="0"/>
    <d v="2026-04-26T00:00:00"/>
    <d v="2026-05-02T00:00:00"/>
    <s v="Apr'26"/>
    <s v="May'26"/>
    <s v="Jwala Singh"/>
  </r>
  <r>
    <n v="184"/>
    <s v="29/0"/>
    <s v="DD45+18"/>
    <s v="W2"/>
    <n v="11.128875000000001"/>
    <n v="110.62602199999999"/>
    <x v="0"/>
    <x v="0"/>
    <d v="2026-04-30T00:00:00"/>
    <d v="2026-05-14T00:00:00"/>
    <s v="Apr'26"/>
    <s v="May'26"/>
    <s v="Devi construction"/>
  </r>
  <r>
    <n v="185"/>
    <s v="32/0"/>
    <s v="DD60+9"/>
    <s v="W2"/>
    <n v="10.2564718"/>
    <n v="101.95259200000001"/>
    <x v="0"/>
    <x v="0"/>
    <d v="2026-04-30T00:00:00"/>
    <d v="2026-05-12T00:00:00"/>
    <s v="Apr'26"/>
    <s v="May'26"/>
    <s v="ARAVALI INFRA-1"/>
  </r>
  <r>
    <n v="186"/>
    <s v="36/8"/>
    <s v="DA+0"/>
    <s v="W1"/>
    <n v="3.6376959999999996"/>
    <n v="36.159756000000002"/>
    <x v="0"/>
    <x v="0"/>
    <d v="2026-04-29T00:00:00"/>
    <d v="2026-05-02T00:00:00"/>
    <s v="Apr'26"/>
    <s v="May'26"/>
    <s v="JAWALA SINGH-2"/>
  </r>
  <r>
    <n v="187"/>
    <s v="38/4"/>
    <s v="DA+3"/>
    <s v="W2"/>
    <n v="3.8158585999999999"/>
    <n v="37.931088000000003"/>
    <x v="0"/>
    <x v="0"/>
    <d v="2026-04-30T00:00:00"/>
    <d v="2026-05-11T00:00:00"/>
    <s v="Apr'26"/>
    <s v="May'26"/>
    <s v="Splicenet construction-III"/>
  </r>
  <r>
    <n v="188"/>
    <s v="46A/0"/>
    <s v="DC1+0"/>
    <s v="W2"/>
    <n v="6.2818664000000002"/>
    <n v="62.44"/>
    <x v="2"/>
    <x v="0"/>
    <d v="2026-04-29T00:00:00"/>
    <d v="2026-05-08T00:00:00"/>
    <s v="Apr'26"/>
    <s v="May'26"/>
    <s v="Amit construction"/>
  </r>
  <r>
    <n v="189"/>
    <s v="66/2"/>
    <s v="DA(-)1.5"/>
    <s v="W1"/>
    <n v="3.5815611999999999"/>
    <n v="35.6"/>
    <x v="1"/>
    <x v="0"/>
    <d v="2026-04-30T00:00:00"/>
    <d v="2026-05-06T00:00:00"/>
    <s v="Apr'26"/>
    <s v="May'26"/>
    <s v="Anita Devi"/>
  </r>
  <r>
    <n v="190"/>
    <s v="31/0"/>
    <s v="DD60+0"/>
    <s v="W2"/>
    <n v="8.3632804000000007"/>
    <n v="83.13"/>
    <x v="0"/>
    <x v="0"/>
    <d v="2026-04-30T00:00:00"/>
    <d v="2026-05-12T00:00:00"/>
    <s v="Apr'26"/>
    <s v="May'26"/>
    <s v="Splicenet construction-II"/>
  </r>
  <r>
    <n v="191"/>
    <s v="38/6"/>
    <s v="DA(-)3"/>
    <s v="W1"/>
    <n v="3.4998739999999997"/>
    <n v="34.79"/>
    <x v="0"/>
    <x v="0"/>
    <d v="2026-05-03T00:00:00"/>
    <d v="2026-05-06T00:00:00"/>
    <s v="May'26"/>
    <s v="May'26"/>
    <s v="JAWALA SINGH-2"/>
  </r>
  <r>
    <n v="192"/>
    <s v="49/4"/>
    <s v="DA+0"/>
    <s v="W3"/>
    <n v="3.6376959999999996"/>
    <n v="36.159756000000002"/>
    <x v="1"/>
    <x v="0"/>
    <d v="2026-05-03T00:00:00"/>
    <d v="2026-05-17T00:00:00"/>
    <s v="May'26"/>
    <s v="May'26"/>
    <s v="ARAVALI INFRA-2"/>
  </r>
  <r>
    <n v="193"/>
    <s v="21/1"/>
    <s v="DA(-)3"/>
    <s v="W1"/>
    <n v="3.4998739999999997"/>
    <n v="34.79"/>
    <x v="0"/>
    <x v="0"/>
    <d v="2026-05-04T00:00:00"/>
    <d v="2026-05-07T00:00:00"/>
    <s v="May'26"/>
    <s v="May'26"/>
    <s v="Jwala Singh"/>
  </r>
  <r>
    <n v="194"/>
    <s v="38/7"/>
    <s v="DA+0"/>
    <s v="W2"/>
    <n v="3.6376959999999996"/>
    <n v="36.159756000000002"/>
    <x v="0"/>
    <x v="0"/>
    <d v="2026-05-07T00:00:00"/>
    <d v="2026-05-11T00:00:00"/>
    <s v="May'26"/>
    <s v="May'26"/>
    <s v="Jwala singh -2"/>
  </r>
  <r>
    <n v="195"/>
    <s v="67/2"/>
    <s v="DA(-)3"/>
    <s v="W2"/>
    <n v="3.4998739999999997"/>
    <n v="34.79"/>
    <x v="1"/>
    <x v="0"/>
    <d v="2026-05-07T00:00:00"/>
    <d v="2026-05-14T00:00:00"/>
    <s v="May'26"/>
    <s v="May'26"/>
    <s v="Anita Devi"/>
  </r>
  <r>
    <n v="196"/>
    <s v="21/2"/>
    <s v="DA+0"/>
    <s v="W2"/>
    <n v="3.6376959999999996"/>
    <n v="36.159756000000002"/>
    <x v="0"/>
    <x v="0"/>
    <d v="2026-05-08T00:00:00"/>
    <d v="2026-05-11T00:00:00"/>
    <s v="May'26"/>
    <s v="May'26"/>
    <s v="Jwala Singh"/>
  </r>
  <r>
    <n v="197"/>
    <s v="46A/3"/>
    <s v="DA(-)3"/>
    <s v="W3"/>
    <n v="3.4998739999999997"/>
    <n v="34.79"/>
    <x v="2"/>
    <x v="0"/>
    <d v="2026-05-09T00:00:00"/>
    <d v="2026-05-16T00:00:00"/>
    <s v="May'26"/>
    <s v="May'26"/>
    <s v="Amit construction"/>
  </r>
  <r>
    <n v="198"/>
    <s v="24/3"/>
    <s v="DA+6"/>
    <s v="W3"/>
    <n v="4.4066824000000002"/>
    <n v="43.8"/>
    <x v="0"/>
    <x v="0"/>
    <d v="2026-05-12T00:00:00"/>
    <d v="2026-05-16T00:00:00"/>
    <s v="May'26"/>
    <s v="May'26"/>
    <s v="Jwala Singh"/>
  </r>
  <r>
    <n v="199"/>
    <s v="39/5"/>
    <s v="DA+0"/>
    <s v="W3"/>
    <n v="3.6376959999999996"/>
    <n v="36.159756000000002"/>
    <x v="2"/>
    <x v="0"/>
    <d v="2026-05-12T00:00:00"/>
    <d v="2026-05-16T00:00:00"/>
    <s v="May'26"/>
    <s v="May'26"/>
    <s v="Jwala singh -2"/>
  </r>
  <r>
    <n v="200"/>
    <s v="34/2"/>
    <s v="DA(-)3"/>
    <s v="W3"/>
    <n v="3.4998739999999997"/>
    <n v="34.79"/>
    <x v="0"/>
    <x v="0"/>
    <d v="2026-05-15T00:00:00"/>
    <d v="2026-05-18T00:00:00"/>
    <s v="May'26"/>
    <s v="May'26"/>
    <s v="ARAVALI INFRA-1"/>
  </r>
  <r>
    <n v="201"/>
    <s v="28/0"/>
    <s v="DD45+6"/>
    <s v="W4"/>
    <n v="8.8998808"/>
    <n v="85.506823999999995"/>
    <x v="0"/>
    <x v="0"/>
    <d v="2026-05-16T00:00:00"/>
    <d v="2026-05-24T00:00:00"/>
    <s v="May'26"/>
    <s v="May'26"/>
    <s v="Devi construction"/>
  </r>
  <r>
    <n v="202"/>
    <s v="67/1"/>
    <s v="DA(-)3"/>
    <s v="W3"/>
    <n v="3.4998739999999997"/>
    <n v="34.79"/>
    <x v="1"/>
    <x v="0"/>
    <d v="2026-05-15T00:00:00"/>
    <d v="2026-05-20T00:00:00"/>
    <s v="May'26"/>
    <s v="May'26"/>
    <s v="Anita Devi"/>
  </r>
  <r>
    <n v="203"/>
    <s v="23/1"/>
    <s v="DA+3"/>
    <s v="W4"/>
    <n v="3.8158585999999999"/>
    <n v="37.931088000000003"/>
    <x v="0"/>
    <x v="0"/>
    <d v="2026-05-18T00:00:00"/>
    <d v="2026-05-22T00:00:00"/>
    <s v="May'26"/>
    <s v="May'26"/>
    <s v="Jwala Singh"/>
  </r>
  <r>
    <n v="204"/>
    <s v="48/1"/>
    <s v="DA+0"/>
    <s v="W3"/>
    <n v="3.6376959999999996"/>
    <n v="36.159756000000002"/>
    <x v="1"/>
    <x v="0"/>
    <d v="2026-05-18T00:00:00"/>
    <d v="2026-05-21T00:00:00"/>
    <s v="May'26"/>
    <s v="May'26"/>
    <s v="Jwala singh -2"/>
  </r>
  <r>
    <n v="205"/>
    <s v="46A/2"/>
    <s v="DA(-)3"/>
    <s v="W4"/>
    <n v="3.4998739999999997"/>
    <n v="34.79"/>
    <x v="2"/>
    <x v="0"/>
    <d v="2026-05-18T00:00:00"/>
    <d v="2026-05-25T00:00:00"/>
    <s v="May'26"/>
    <s v="May'26"/>
    <s v="Amit construction"/>
  </r>
  <r>
    <n v="206"/>
    <s v="49/2"/>
    <s v="DA+0"/>
    <s v="W4"/>
    <n v="3.6376959999999996"/>
    <n v="36.159756000000002"/>
    <x v="1"/>
    <x v="0"/>
    <d v="2026-05-19T00:00:00"/>
    <d v="2026-05-27T00:00:00"/>
    <s v="May'26"/>
    <s v="May'26"/>
    <s v="ARAVALI INFRA-2"/>
  </r>
  <r>
    <n v="207"/>
    <s v="48/9"/>
    <s v="DA+3"/>
    <s v="W4"/>
    <n v="3.8158585999999999"/>
    <n v="37.931088000000003"/>
    <x v="1"/>
    <x v="0"/>
    <d v="2026-05-23T00:00:00"/>
    <d v="2026-05-26T00:00:00"/>
    <s v="May'26"/>
    <s v="May'26"/>
    <s v="Jwala singh -2"/>
  </r>
  <r>
    <n v="208"/>
    <s v="24/2"/>
    <s v="DA+0"/>
    <s v="W4"/>
    <n v="3.6376959999999996"/>
    <n v="36.159756000000002"/>
    <x v="0"/>
    <x v="0"/>
    <d v="2026-05-22T00:00:00"/>
    <d v="2026-05-26T00:00:00"/>
    <s v="May'26"/>
    <s v="May'26"/>
    <s v="Jwala Singh"/>
  </r>
  <r>
    <n v="209"/>
    <s v="21/0"/>
    <s v="DC2+0"/>
    <s v="W4"/>
    <n v="6.7665571999999994"/>
    <n v="67.261728000000005"/>
    <x v="0"/>
    <x v="2"/>
    <d v="2026-05-26T00:00:00"/>
    <m/>
    <s v="May'26"/>
    <s v="May'26"/>
    <s v="Jwala Singh "/>
  </r>
  <r>
    <n v="210"/>
    <s v="48/6"/>
    <s v="DA+3"/>
    <s v="W4"/>
    <n v="3.8158585999999999"/>
    <n v="37.931088000000003"/>
    <x v="1"/>
    <x v="3"/>
    <d v="2026-05-27T00:00:00"/>
    <m/>
    <s v="May'26"/>
    <s v="May'26"/>
    <s v="Jwala Singh 2"/>
  </r>
  <r>
    <n v="211"/>
    <s v="41/1"/>
    <s v="DC2+0"/>
    <m/>
    <m/>
    <m/>
    <x v="2"/>
    <x v="2"/>
    <d v="2025-05-27T00:00:00"/>
    <m/>
    <s v="May'26"/>
    <m/>
    <s v="Amit construction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n v="1"/>
    <s v="8/1"/>
    <x v="0"/>
    <s v="DA+0"/>
    <s v="DFR"/>
    <m/>
    <m/>
    <m/>
    <x v="0"/>
    <m/>
    <d v="2025-01-01T00:00:00"/>
    <m/>
    <s v="Jan'25"/>
    <s v="JSC Enterprises"/>
  </r>
  <r>
    <n v="2"/>
    <s v="8/3"/>
    <x v="0"/>
    <s v="DA+3"/>
    <s v="DFR"/>
    <m/>
    <m/>
    <m/>
    <x v="0"/>
    <m/>
    <d v="2025-01-01T00:00:00"/>
    <m/>
    <s v="Jan'25"/>
    <s v="JSC Enterprises"/>
  </r>
  <r>
    <n v="3"/>
    <s v="8/4"/>
    <x v="0"/>
    <s v="DA+3"/>
    <s v="DFR"/>
    <m/>
    <m/>
    <m/>
    <x v="0"/>
    <m/>
    <d v="2025-01-01T00:00:00"/>
    <m/>
    <s v="Jan'25"/>
    <s v="JSC Enterprises"/>
  </r>
  <r>
    <n v="4"/>
    <s v="8/6"/>
    <x v="0"/>
    <s v="DA+0"/>
    <s v="DFR"/>
    <m/>
    <m/>
    <m/>
    <x v="0"/>
    <m/>
    <d v="2025-01-01T00:00:00"/>
    <m/>
    <s v="Jan'25"/>
    <s v="Afflux Construction"/>
  </r>
  <r>
    <n v="5"/>
    <s v="16/4"/>
    <x v="0"/>
    <s v="DA+0"/>
    <s v="DFR"/>
    <m/>
    <m/>
    <m/>
    <x v="0"/>
    <m/>
    <d v="2025-01-01T00:00:00"/>
    <m/>
    <s v="Jan'25"/>
    <s v="JSC Enterprises"/>
  </r>
  <r>
    <n v="6"/>
    <s v="8/5"/>
    <x v="0"/>
    <s v="DA+0"/>
    <s v="DFR"/>
    <m/>
    <m/>
    <m/>
    <x v="0"/>
    <m/>
    <d v="2025-02-01T00:00:00"/>
    <m/>
    <s v="Feb'25"/>
    <s v="JSC Enterprises"/>
  </r>
  <r>
    <n v="7"/>
    <s v="8/7"/>
    <x v="0"/>
    <s v="DA+0"/>
    <s v="WC"/>
    <m/>
    <m/>
    <m/>
    <x v="0"/>
    <m/>
    <d v="2025-02-01T00:00:00"/>
    <m/>
    <s v="Feb'25"/>
    <s v="Afflux Construction"/>
  </r>
  <r>
    <n v="8"/>
    <s v="8/8"/>
    <x v="0"/>
    <s v="DA+3"/>
    <s v="WC"/>
    <m/>
    <m/>
    <m/>
    <x v="0"/>
    <m/>
    <d v="2025-02-01T00:00:00"/>
    <m/>
    <s v="Feb'25"/>
    <s v="Afflux Construction"/>
  </r>
  <r>
    <n v="9"/>
    <s v="8/2"/>
    <x v="0"/>
    <s v="DA+3"/>
    <s v="DFR"/>
    <m/>
    <m/>
    <m/>
    <x v="0"/>
    <m/>
    <d v="2025-02-01T00:00:00"/>
    <m/>
    <s v="Feb'25"/>
    <s v="JSC Enterprises"/>
  </r>
  <r>
    <n v="10"/>
    <s v="16/1"/>
    <x v="0"/>
    <s v="DA+0"/>
    <s v="DFR"/>
    <m/>
    <m/>
    <m/>
    <x v="0"/>
    <m/>
    <d v="2025-02-01T00:00:00"/>
    <m/>
    <s v="Feb'25"/>
    <s v="Surya Group"/>
  </r>
  <r>
    <n v="11"/>
    <s v="15/7"/>
    <x v="0"/>
    <s v="DA+0"/>
    <s v="DFR"/>
    <m/>
    <m/>
    <m/>
    <x v="0"/>
    <m/>
    <d v="2025-02-01T00:00:00"/>
    <m/>
    <s v="Feb'25"/>
    <s v="Surya Group"/>
  </r>
  <r>
    <n v="12"/>
    <s v="7/3"/>
    <x v="0"/>
    <s v="DA+0"/>
    <s v="DFR"/>
    <m/>
    <m/>
    <m/>
    <x v="0"/>
    <m/>
    <d v="2025-02-01T00:00:00"/>
    <m/>
    <s v="Feb'25"/>
    <s v="Afflux Construction"/>
  </r>
  <r>
    <n v="13"/>
    <s v="9/3"/>
    <x v="0"/>
    <s v="DA+6"/>
    <s v="DFR"/>
    <m/>
    <m/>
    <m/>
    <x v="0"/>
    <m/>
    <d v="2025-02-01T00:00:00"/>
    <m/>
    <s v="Feb'25"/>
    <s v="JSC Enterprises"/>
  </r>
  <r>
    <n v="14"/>
    <s v="15/8"/>
    <x v="0"/>
    <s v="DA+0"/>
    <s v="DFR"/>
    <m/>
    <m/>
    <m/>
    <x v="0"/>
    <m/>
    <d v="2025-02-01T00:00:00"/>
    <m/>
    <s v="Feb'25"/>
    <s v="Surya Group"/>
  </r>
  <r>
    <n v="15"/>
    <s v="13/1"/>
    <x v="0"/>
    <s v="DA-1.5"/>
    <s v="DFR"/>
    <m/>
    <m/>
    <m/>
    <x v="0"/>
    <m/>
    <d v="2025-02-01T00:00:00"/>
    <m/>
    <s v="Feb'25"/>
    <s v="Urmila Bibi"/>
  </r>
  <r>
    <n v="16"/>
    <s v="15/2"/>
    <x v="0"/>
    <s v="DA+3"/>
    <s v="DFR"/>
    <m/>
    <m/>
    <m/>
    <x v="0"/>
    <m/>
    <d v="2025-02-01T00:00:00"/>
    <m/>
    <s v="Feb'25"/>
    <s v="Shree Shyam Granite"/>
  </r>
  <r>
    <n v="17"/>
    <s v="15/9"/>
    <x v="0"/>
    <s v="DA+3"/>
    <s v="DFR"/>
    <m/>
    <m/>
    <m/>
    <x v="0"/>
    <m/>
    <d v="2025-02-01T00:00:00"/>
    <m/>
    <s v="Feb'25"/>
    <s v="Surya Group"/>
  </r>
  <r>
    <n v="18"/>
    <s v="9/2"/>
    <x v="0"/>
    <s v="DA+0"/>
    <s v="DFR"/>
    <m/>
    <m/>
    <m/>
    <x v="0"/>
    <m/>
    <d v="2025-02-01T00:00:00"/>
    <m/>
    <s v="Feb'25"/>
    <s v="JSC Enterprises"/>
  </r>
  <r>
    <n v="19"/>
    <s v="13/2"/>
    <x v="0"/>
    <s v="DA+0"/>
    <s v="DFR"/>
    <m/>
    <m/>
    <m/>
    <x v="0"/>
    <m/>
    <d v="2025-02-01T00:00:00"/>
    <m/>
    <s v="Feb'25"/>
    <s v="Urmila Bibi"/>
  </r>
  <r>
    <n v="20"/>
    <s v="7/4"/>
    <x v="0"/>
    <s v="DA+0"/>
    <s v="DFR"/>
    <m/>
    <m/>
    <m/>
    <x v="0"/>
    <m/>
    <d v="2025-03-01T00:00:00"/>
    <m/>
    <s v="Mar'25"/>
    <s v="Afflux Construction"/>
  </r>
  <r>
    <n v="21"/>
    <s v="15/4"/>
    <x v="0"/>
    <s v="DA+6"/>
    <s v="DFR"/>
    <m/>
    <m/>
    <m/>
    <x v="0"/>
    <m/>
    <d v="2025-03-01T00:00:00"/>
    <m/>
    <s v="Mar'25"/>
    <s v="Shree Shyam Granite"/>
  </r>
  <r>
    <n v="22"/>
    <s v="16/2"/>
    <x v="0"/>
    <s v="DA-3"/>
    <s v="WFR"/>
    <m/>
    <m/>
    <m/>
    <x v="0"/>
    <m/>
    <d v="2025-03-01T00:00:00"/>
    <m/>
    <s v="Mar'25"/>
    <s v="Surya Group"/>
  </r>
  <r>
    <n v="23"/>
    <s v="13/4"/>
    <x v="0"/>
    <s v="DA-3"/>
    <s v="DFR"/>
    <m/>
    <m/>
    <m/>
    <x v="0"/>
    <m/>
    <d v="2025-03-01T00:00:00"/>
    <m/>
    <s v="Mar'25"/>
    <s v="Urmila Bibi"/>
  </r>
  <r>
    <n v="24"/>
    <s v="16/8"/>
    <x v="0"/>
    <s v="DA-3"/>
    <s v="DFR"/>
    <m/>
    <m/>
    <m/>
    <x v="0"/>
    <m/>
    <d v="2025-03-01T00:00:00"/>
    <m/>
    <s v="Mar'25"/>
    <s v="Surya Group"/>
  </r>
  <r>
    <n v="25"/>
    <s v="7/2"/>
    <x v="0"/>
    <s v="DA+0"/>
    <s v="DFR"/>
    <m/>
    <m/>
    <m/>
    <x v="0"/>
    <m/>
    <d v="2025-03-01T00:00:00"/>
    <m/>
    <s v="Mar'25"/>
    <s v="Afflux Construction"/>
  </r>
  <r>
    <n v="26"/>
    <s v="13/3"/>
    <x v="0"/>
    <s v="DA+0"/>
    <s v="DFR"/>
    <m/>
    <m/>
    <m/>
    <x v="0"/>
    <m/>
    <d v="2025-03-01T00:00:00"/>
    <m/>
    <s v="Mar'25"/>
    <s v="Urmila Bibi"/>
  </r>
  <r>
    <n v="27"/>
    <s v="10/2"/>
    <x v="0"/>
    <s v="DA(-)3"/>
    <s v="DFR"/>
    <m/>
    <m/>
    <m/>
    <x v="0"/>
    <m/>
    <d v="2025-03-01T00:00:00"/>
    <m/>
    <s v="Mar'25"/>
    <s v="JSC Enterprises"/>
  </r>
  <r>
    <n v="28"/>
    <s v="15/1"/>
    <x v="0"/>
    <s v="DA+0"/>
    <s v="WFR"/>
    <m/>
    <m/>
    <m/>
    <x v="0"/>
    <m/>
    <d v="2025-03-01T00:00:00"/>
    <m/>
    <s v="Mar'25"/>
    <s v="Shree Shyam Granite"/>
  </r>
  <r>
    <n v="29"/>
    <s v="15/5"/>
    <x v="0"/>
    <s v="DA(-)3"/>
    <s v="WFR"/>
    <m/>
    <m/>
    <m/>
    <x v="0"/>
    <m/>
    <d v="2025-03-01T00:00:00"/>
    <m/>
    <s v="Mar'25"/>
    <s v="Surya Group"/>
  </r>
  <r>
    <n v="30"/>
    <s v="13/5"/>
    <x v="0"/>
    <s v="DA+0"/>
    <s v="DFR"/>
    <m/>
    <m/>
    <m/>
    <x v="0"/>
    <m/>
    <d v="2025-03-01T00:00:00"/>
    <m/>
    <s v="Mar'25"/>
    <s v="Urmila Bibi"/>
  </r>
  <r>
    <n v="31"/>
    <s v="10/1"/>
    <x v="0"/>
    <s v="DA+0"/>
    <s v="DFR"/>
    <m/>
    <m/>
    <m/>
    <x v="0"/>
    <m/>
    <d v="2025-03-01T00:00:00"/>
    <m/>
    <s v="Mar'25"/>
    <s v="JSC Enterprises"/>
  </r>
  <r>
    <n v="32"/>
    <s v="16/3"/>
    <x v="0"/>
    <s v="DA+9"/>
    <s v="WFR"/>
    <m/>
    <m/>
    <m/>
    <x v="0"/>
    <m/>
    <d v="2025-03-01T00:00:00"/>
    <m/>
    <s v="Mar'25"/>
    <s v="Surya Group"/>
  </r>
  <r>
    <n v="33"/>
    <s v="15/3"/>
    <x v="0"/>
    <s v="DA+0"/>
    <s v="DFR"/>
    <m/>
    <m/>
    <m/>
    <x v="0"/>
    <m/>
    <d v="2025-03-01T00:00:00"/>
    <m/>
    <s v="Mar'25"/>
    <s v="Shree Shyam Granite"/>
  </r>
  <r>
    <n v="34"/>
    <s v="14/1"/>
    <x v="0"/>
    <s v="DA+0"/>
    <s v="DFR"/>
    <m/>
    <m/>
    <m/>
    <x v="0"/>
    <m/>
    <d v="2025-03-01T00:00:00"/>
    <m/>
    <s v="Mar'25"/>
    <s v="Urmila Bibi"/>
  </r>
  <r>
    <n v="35"/>
    <s v="16/7"/>
    <x v="0"/>
    <s v="DA+0"/>
    <s v="DFR"/>
    <m/>
    <m/>
    <m/>
    <x v="0"/>
    <m/>
    <d v="2025-03-01T00:00:00"/>
    <m/>
    <s v="Mar'25"/>
    <s v="Surya Group"/>
  </r>
  <r>
    <n v="36"/>
    <s v="12/2"/>
    <x v="0"/>
    <s v="DA-3"/>
    <s v="DFR"/>
    <m/>
    <m/>
    <m/>
    <x v="0"/>
    <m/>
    <d v="2025-03-01T00:00:00"/>
    <m/>
    <s v="Mar'25"/>
    <s v="Afflux Construction"/>
  </r>
  <r>
    <n v="37"/>
    <s v="14/3"/>
    <x v="0"/>
    <s v="DA(-)3"/>
    <s v="DFR"/>
    <m/>
    <m/>
    <m/>
    <x v="0"/>
    <m/>
    <d v="2025-03-01T00:00:00"/>
    <m/>
    <s v="Mar'25"/>
    <s v="Urmila Bibi"/>
  </r>
  <r>
    <n v="38"/>
    <s v="12/5"/>
    <x v="0"/>
    <s v="DA+1.5"/>
    <s v="DFR"/>
    <m/>
    <m/>
    <m/>
    <x v="0"/>
    <m/>
    <d v="2025-03-01T00:00:00"/>
    <m/>
    <s v="Mar'25"/>
    <s v="Shree Shyam Granite"/>
  </r>
  <r>
    <n v="39"/>
    <s v="14/4"/>
    <x v="0"/>
    <s v="DA+3"/>
    <s v="DFR"/>
    <m/>
    <m/>
    <m/>
    <x v="0"/>
    <m/>
    <d v="2025-03-01T00:00:00"/>
    <m/>
    <s v="Mar'25"/>
    <s v="Urmila Bibi"/>
  </r>
  <r>
    <n v="40"/>
    <s v="16/6"/>
    <x v="0"/>
    <s v="DA-3"/>
    <s v="DFR"/>
    <m/>
    <m/>
    <m/>
    <x v="0"/>
    <m/>
    <d v="2025-03-01T00:00:00"/>
    <m/>
    <s v="Mar'25"/>
    <s v="Surya Group"/>
  </r>
  <r>
    <n v="41"/>
    <s v="12/1"/>
    <x v="0"/>
    <s v="DA+3"/>
    <s v="DFR"/>
    <m/>
    <m/>
    <m/>
    <x v="0"/>
    <m/>
    <d v="2025-03-01T00:00:00"/>
    <m/>
    <s v="Mar'25"/>
    <s v="Afflux Construction"/>
  </r>
  <r>
    <n v="42"/>
    <s v="12/6"/>
    <x v="0"/>
    <s v="DA+0"/>
    <s v="DFR"/>
    <m/>
    <m/>
    <m/>
    <x v="0"/>
    <m/>
    <d v="2025-03-01T00:00:00"/>
    <m/>
    <s v="Mar'25"/>
    <s v="Shree Shyam Granite"/>
  </r>
  <r>
    <n v="43"/>
    <s v="14/2"/>
    <x v="0"/>
    <s v="DA+0"/>
    <s v="DFR"/>
    <m/>
    <m/>
    <m/>
    <x v="0"/>
    <m/>
    <d v="2025-03-01T00:00:00"/>
    <m/>
    <s v="Mar'25"/>
    <s v="Urmila Bibi"/>
  </r>
  <r>
    <n v="44"/>
    <s v="16/9"/>
    <x v="0"/>
    <s v="DA+0"/>
    <s v="DFR"/>
    <m/>
    <m/>
    <m/>
    <x v="0"/>
    <m/>
    <d v="2025-03-01T00:00:00"/>
    <m/>
    <s v="Mar'25"/>
    <s v="Surya Group"/>
  </r>
  <r>
    <n v="45"/>
    <s v="16/5"/>
    <x v="0"/>
    <s v="DA+6"/>
    <s v="DFR"/>
    <m/>
    <m/>
    <m/>
    <x v="0"/>
    <m/>
    <d v="2025-03-01T00:00:00"/>
    <m/>
    <s v="Mar'25"/>
    <s v="Surya Group"/>
  </r>
  <r>
    <n v="46"/>
    <s v="12/3"/>
    <x v="0"/>
    <s v="DA(-)3"/>
    <s v="DFR"/>
    <m/>
    <m/>
    <m/>
    <x v="0"/>
    <m/>
    <d v="2025-03-01T00:00:00"/>
    <m/>
    <s v="Mar'25"/>
    <s v="Afflux Construction"/>
  </r>
  <r>
    <n v="47"/>
    <s v="12/4"/>
    <x v="0"/>
    <s v="DA+0"/>
    <s v="DFR"/>
    <m/>
    <m/>
    <m/>
    <x v="0"/>
    <m/>
    <d v="2025-03-01T00:00:00"/>
    <m/>
    <s v="Mar'25"/>
    <s v="Shree Shyam Granite"/>
  </r>
  <r>
    <n v="48"/>
    <s v="16/11"/>
    <x v="0"/>
    <s v="DA+0"/>
    <s v="DFR"/>
    <m/>
    <m/>
    <m/>
    <x v="0"/>
    <m/>
    <d v="2025-03-01T00:00:00"/>
    <m/>
    <s v="Mar'25"/>
    <s v="Surya Group"/>
  </r>
  <r>
    <n v="49"/>
    <s v="16/10"/>
    <x v="0"/>
    <s v="DA+6"/>
    <s v="WFR"/>
    <m/>
    <m/>
    <m/>
    <x v="0"/>
    <m/>
    <d v="2025-03-01T00:00:00"/>
    <m/>
    <s v="Mar'25"/>
    <s v="Surya Group"/>
  </r>
  <r>
    <n v="50"/>
    <s v="24/3"/>
    <x v="0"/>
    <s v="DA+6"/>
    <s v="DFR"/>
    <m/>
    <m/>
    <m/>
    <x v="0"/>
    <m/>
    <d v="2025-03-01T00:00:00"/>
    <m/>
    <s v="Mar'25"/>
    <s v="Surya Group"/>
  </r>
  <r>
    <n v="51"/>
    <s v="24/1"/>
    <x v="0"/>
    <s v="DA+0"/>
    <s v="DFR"/>
    <m/>
    <m/>
    <m/>
    <x v="0"/>
    <m/>
    <d v="2025-03-01T00:00:00"/>
    <m/>
    <s v="Mar'25"/>
    <s v="Surya Group"/>
  </r>
  <r>
    <n v="52"/>
    <s v="39/4"/>
    <x v="1"/>
    <s v="DA+0"/>
    <s v="DFR"/>
    <m/>
    <m/>
    <m/>
    <x v="0"/>
    <m/>
    <d v="2025-03-01T00:00:00"/>
    <m/>
    <s v="Mar'25"/>
    <s v="Shree Shyam Granite"/>
  </r>
  <r>
    <n v="53"/>
    <s v="39/7"/>
    <x v="1"/>
    <s v="DA+0"/>
    <s v="DFR"/>
    <m/>
    <m/>
    <m/>
    <x v="0"/>
    <m/>
    <d v="2025-04-01T00:00:00"/>
    <m/>
    <s v="Apr'25"/>
    <s v="Afflux Construction"/>
  </r>
  <r>
    <n v="54"/>
    <s v="24/6"/>
    <x v="0"/>
    <s v="DA+3"/>
    <s v="DFR"/>
    <m/>
    <m/>
    <m/>
    <x v="0"/>
    <m/>
    <d v="2025-04-01T00:00:00"/>
    <m/>
    <s v="Apr'25"/>
    <s v="Surya Group"/>
  </r>
  <r>
    <n v="55"/>
    <s v="24/2"/>
    <x v="0"/>
    <s v="DA+0"/>
    <s v="DFR"/>
    <m/>
    <m/>
    <m/>
    <x v="0"/>
    <m/>
    <d v="2025-04-01T00:00:00"/>
    <m/>
    <s v="Apr'25"/>
    <s v="Surya Group"/>
  </r>
  <r>
    <n v="56"/>
    <s v="39/2"/>
    <x v="1"/>
    <s v="DA+0"/>
    <s v="DFR"/>
    <m/>
    <m/>
    <m/>
    <x v="0"/>
    <m/>
    <d v="2025-04-01T00:00:00"/>
    <m/>
    <s v="Apr'25"/>
    <s v="Shree Shyam Granite"/>
  </r>
  <r>
    <n v="57"/>
    <s v="39/3"/>
    <x v="1"/>
    <s v="DA+0"/>
    <s v="DFR"/>
    <m/>
    <m/>
    <m/>
    <x v="0"/>
    <m/>
    <d v="2025-04-01T00:00:00"/>
    <m/>
    <s v="Apr'25"/>
    <s v="Shree Shyam Granite"/>
  </r>
  <r>
    <n v="58"/>
    <s v="39/5"/>
    <x v="1"/>
    <s v="DA+0"/>
    <s v="DFR"/>
    <m/>
    <m/>
    <m/>
    <x v="0"/>
    <m/>
    <d v="2025-04-01T00:00:00"/>
    <m/>
    <s v="Apr'25"/>
    <s v="Afflux Construction"/>
  </r>
  <r>
    <n v="59"/>
    <s v="24/9"/>
    <x v="0"/>
    <s v="DA(-)1.5"/>
    <s v="DFR"/>
    <m/>
    <m/>
    <m/>
    <x v="0"/>
    <m/>
    <d v="2025-04-01T00:00:00"/>
    <m/>
    <s v="Apr'25"/>
    <s v="Surya Group"/>
  </r>
  <r>
    <n v="60"/>
    <s v="24/7"/>
    <x v="0"/>
    <s v="DA+0"/>
    <s v="DFR"/>
    <m/>
    <m/>
    <m/>
    <x v="0"/>
    <m/>
    <d v="2025-04-01T00:00:00"/>
    <m/>
    <s v="Apr'25"/>
    <s v="Surya Group"/>
  </r>
  <r>
    <n v="61"/>
    <s v="21/1"/>
    <x v="0"/>
    <s v="DA(-)3"/>
    <s v="WC"/>
    <m/>
    <m/>
    <m/>
    <x v="0"/>
    <m/>
    <d v="2025-04-01T00:00:00"/>
    <m/>
    <s v="Apr'25"/>
    <s v="Yatharth Construction"/>
  </r>
  <r>
    <n v="62"/>
    <s v="24/8"/>
    <x v="0"/>
    <s v="DA+6"/>
    <s v="DFR"/>
    <m/>
    <m/>
    <m/>
    <x v="0"/>
    <m/>
    <d v="2025-04-01T00:00:00"/>
    <m/>
    <s v="Apr'25"/>
    <s v="Surya Group"/>
  </r>
  <r>
    <n v="63"/>
    <s v="39/1"/>
    <x v="1"/>
    <s v="DA+3"/>
    <s v="WC"/>
    <m/>
    <m/>
    <m/>
    <x v="0"/>
    <m/>
    <d v="2025-04-01T00:00:00"/>
    <m/>
    <s v="Apr'25"/>
    <s v="Shree Shyam Granite"/>
  </r>
  <r>
    <n v="64"/>
    <s v="24/10"/>
    <x v="0"/>
    <s v="DA+1.5"/>
    <s v="DFR"/>
    <m/>
    <m/>
    <m/>
    <x v="0"/>
    <m/>
    <d v="2025-04-01T00:00:00"/>
    <m/>
    <s v="Apr'25"/>
    <s v="Surya Group"/>
  </r>
  <r>
    <n v="65"/>
    <s v="40/1"/>
    <x v="1"/>
    <s v="DA+3"/>
    <s v="DFR"/>
    <m/>
    <m/>
    <m/>
    <x v="0"/>
    <m/>
    <d v="2025-04-01T00:00:00"/>
    <m/>
    <s v="Apr'25"/>
    <s v="Afflux Construction"/>
  </r>
  <r>
    <n v="66"/>
    <s v="24/11"/>
    <x v="0"/>
    <s v="DA+0"/>
    <s v="DFR"/>
    <m/>
    <m/>
    <m/>
    <x v="0"/>
    <m/>
    <d v="2025-04-01T00:00:00"/>
    <m/>
    <s v="Apr'25"/>
    <s v="Surya Group"/>
  </r>
  <r>
    <n v="67"/>
    <s v="24/5"/>
    <x v="0"/>
    <s v="DA(-)3"/>
    <s v="DFR"/>
    <m/>
    <m/>
    <m/>
    <x v="0"/>
    <m/>
    <d v="2025-04-01T00:00:00"/>
    <m/>
    <s v="Apr'25"/>
    <s v="Surya Group"/>
  </r>
  <r>
    <n v="68"/>
    <s v="21/2"/>
    <x v="0"/>
    <s v="DA+0"/>
    <s v="WC"/>
    <m/>
    <m/>
    <m/>
    <x v="0"/>
    <m/>
    <d v="2025-04-01T00:00:00"/>
    <m/>
    <s v="Apr'25"/>
    <s v="Yatharth Construction"/>
  </r>
  <r>
    <n v="69"/>
    <s v="41/1"/>
    <x v="1"/>
    <s v="DA+6"/>
    <s v="DFR"/>
    <m/>
    <m/>
    <m/>
    <x v="0"/>
    <m/>
    <d v="2025-04-01T00:00:00"/>
    <m/>
    <s v="Apr'25"/>
    <s v="Shree Shyam Granite"/>
  </r>
  <r>
    <n v="70"/>
    <s v="24/4"/>
    <x v="0"/>
    <s v="DA(-)3"/>
    <s v="DFR"/>
    <m/>
    <m/>
    <m/>
    <x v="0"/>
    <m/>
    <d v="2025-04-01T00:00:00"/>
    <m/>
    <s v="Apr'25"/>
    <s v="Surya Group"/>
  </r>
  <r>
    <n v="71"/>
    <s v="44/2"/>
    <x v="1"/>
    <s v="DA+3"/>
    <s v="DFR"/>
    <m/>
    <m/>
    <m/>
    <x v="0"/>
    <m/>
    <d v="2025-04-01T00:00:00"/>
    <m/>
    <s v="Apr'25"/>
    <s v="Urmila Bibi"/>
  </r>
  <r>
    <n v="72"/>
    <s v="40/2"/>
    <x v="1"/>
    <s v="DA+0"/>
    <s v="DFR"/>
    <m/>
    <m/>
    <m/>
    <x v="0"/>
    <m/>
    <d v="2025-04-01T00:00:00"/>
    <m/>
    <s v="Apr'25"/>
    <s v="Afflux Construction"/>
  </r>
  <r>
    <n v="73"/>
    <s v="26/1"/>
    <x v="0"/>
    <s v="DA+1.5"/>
    <s v="DFR"/>
    <m/>
    <m/>
    <m/>
    <x v="0"/>
    <m/>
    <d v="2025-04-01T00:00:00"/>
    <m/>
    <s v="Apr'25"/>
    <s v="Surya Group"/>
  </r>
  <r>
    <n v="74"/>
    <s v="8/9"/>
    <x v="0"/>
    <s v="DA-3"/>
    <s v="WC"/>
    <m/>
    <m/>
    <m/>
    <x v="0"/>
    <m/>
    <d v="2025-04-01T00:00:00"/>
    <m/>
    <s v="Apr'25"/>
    <s v="JSC Enterprises"/>
  </r>
  <r>
    <n v="75"/>
    <s v="26/2"/>
    <x v="0"/>
    <s v="DA+6"/>
    <s v="DFR"/>
    <m/>
    <m/>
    <m/>
    <x v="0"/>
    <m/>
    <d v="2025-04-01T00:00:00"/>
    <m/>
    <s v="Apr'25"/>
    <s v="Surya Group"/>
  </r>
  <r>
    <n v="76"/>
    <s v="44/3"/>
    <x v="1"/>
    <s v="DA+0"/>
    <s v="DFR"/>
    <m/>
    <m/>
    <m/>
    <x v="0"/>
    <m/>
    <d v="2025-04-01T00:00:00"/>
    <m/>
    <s v="Apr'25"/>
    <s v="Urmila Bibi"/>
  </r>
  <r>
    <n v="77"/>
    <s v="41/2"/>
    <x v="1"/>
    <s v="DA(-)1.5"/>
    <s v="DFR"/>
    <m/>
    <m/>
    <m/>
    <x v="0"/>
    <m/>
    <d v="2025-04-01T00:00:00"/>
    <m/>
    <s v="Apr'25"/>
    <s v="Shree Shyam Granite"/>
  </r>
  <r>
    <n v="78"/>
    <s v="40/3"/>
    <x v="1"/>
    <s v="DA+0"/>
    <s v="DFR"/>
    <m/>
    <m/>
    <m/>
    <x v="0"/>
    <m/>
    <d v="2025-04-01T00:00:00"/>
    <m/>
    <s v="Apr'25"/>
    <s v="Afflux Construction"/>
  </r>
  <r>
    <n v="79"/>
    <s v="21/3"/>
    <x v="0"/>
    <s v="DA+0"/>
    <s v="DFR"/>
    <m/>
    <m/>
    <m/>
    <x v="0"/>
    <m/>
    <d v="2025-04-01T00:00:00"/>
    <m/>
    <s v="Apr'25"/>
    <s v="Yatharth Construction"/>
  </r>
  <r>
    <n v="80"/>
    <s v="9/1"/>
    <x v="0"/>
    <s v="DA+3"/>
    <s v="DFR"/>
    <m/>
    <m/>
    <m/>
    <x v="0"/>
    <m/>
    <d v="2025-04-01T00:00:00"/>
    <m/>
    <s v="Apr'25"/>
    <s v="GM Construction"/>
  </r>
  <r>
    <n v="81"/>
    <s v="26/3"/>
    <x v="0"/>
    <s v="DA+6"/>
    <s v="WFR"/>
    <m/>
    <m/>
    <m/>
    <x v="0"/>
    <m/>
    <d v="2025-04-01T00:00:00"/>
    <m/>
    <s v="Apr'25"/>
    <s v="Surya Group"/>
  </r>
  <r>
    <n v="82"/>
    <s v="26/4"/>
    <x v="0"/>
    <s v="DA(-)3"/>
    <s v="DFR"/>
    <m/>
    <m/>
    <m/>
    <x v="0"/>
    <m/>
    <d v="2025-04-01T00:00:00"/>
    <m/>
    <s v="Apr'25"/>
    <s v="Surya Group"/>
  </r>
  <r>
    <n v="83"/>
    <s v="27/2"/>
    <x v="0"/>
    <s v="DA+0"/>
    <s v="WFR"/>
    <m/>
    <m/>
    <m/>
    <x v="0"/>
    <m/>
    <d v="2025-04-01T00:00:00"/>
    <m/>
    <s v="Apr'25"/>
    <s v="Surya Group"/>
  </r>
  <r>
    <n v="84"/>
    <s v="27/5"/>
    <x v="0"/>
    <s v="DA(-)1.5"/>
    <s v="DFR"/>
    <m/>
    <m/>
    <m/>
    <x v="0"/>
    <m/>
    <d v="2025-04-01T00:00:00"/>
    <m/>
    <s v="Apr'25"/>
    <s v="Surya Group"/>
  </r>
  <r>
    <n v="85"/>
    <s v="8/10"/>
    <x v="0"/>
    <s v="DA+0"/>
    <s v="WC"/>
    <m/>
    <m/>
    <m/>
    <x v="0"/>
    <m/>
    <d v="2025-04-01T00:00:00"/>
    <m/>
    <s v="Apr'25"/>
    <s v="JSC Enterprises"/>
  </r>
  <r>
    <n v="86"/>
    <s v="41/5"/>
    <x v="1"/>
    <s v="DA+0"/>
    <s v="DFR"/>
    <m/>
    <m/>
    <m/>
    <x v="0"/>
    <m/>
    <d v="2025-04-01T00:00:00"/>
    <m/>
    <s v="Apr'25"/>
    <s v="Shree Shyam Granite"/>
  </r>
  <r>
    <n v="87"/>
    <s v="39/8"/>
    <x v="1"/>
    <s v="DA+3"/>
    <s v="DFR"/>
    <m/>
    <m/>
    <m/>
    <x v="0"/>
    <m/>
    <d v="2025-04-01T00:00:00"/>
    <m/>
    <s v="Apr'25"/>
    <s v="Afflux Construction"/>
  </r>
  <r>
    <n v="88"/>
    <s v="36/8"/>
    <x v="0"/>
    <s v="DA+0"/>
    <s v="WFR"/>
    <m/>
    <m/>
    <m/>
    <x v="0"/>
    <m/>
    <d v="2025-04-01T00:00:00"/>
    <m/>
    <s v="Apr'25"/>
    <s v="Urmila Bibi"/>
  </r>
  <r>
    <n v="89"/>
    <s v="27/4"/>
    <x v="0"/>
    <s v="DA(-)3"/>
    <s v="DFR"/>
    <m/>
    <m/>
    <m/>
    <x v="0"/>
    <m/>
    <d v="2025-04-01T00:00:00"/>
    <m/>
    <s v="Apr'25"/>
    <s v="Surya Group"/>
  </r>
  <r>
    <n v="90"/>
    <s v="21/4"/>
    <x v="0"/>
    <s v="DA+3"/>
    <s v="DFR"/>
    <m/>
    <m/>
    <m/>
    <x v="0"/>
    <m/>
    <d v="2025-04-01T00:00:00"/>
    <m/>
    <s v="Apr'25"/>
    <s v="Yatharth Construction"/>
  </r>
  <r>
    <n v="91"/>
    <s v="36/7"/>
    <x v="0"/>
    <s v="DA+3"/>
    <s v="DFR"/>
    <m/>
    <m/>
    <m/>
    <x v="0"/>
    <m/>
    <d v="2025-04-01T00:00:00"/>
    <m/>
    <s v="Apr'25"/>
    <s v="Urmila Bibi"/>
  </r>
  <r>
    <n v="92"/>
    <s v="41/8"/>
    <x v="1"/>
    <s v="DA+3"/>
    <s v="DFR"/>
    <m/>
    <m/>
    <m/>
    <x v="0"/>
    <m/>
    <d v="2025-04-01T00:00:00"/>
    <m/>
    <s v="Apr'25"/>
    <s v="Jeenmata Infratech"/>
  </r>
  <r>
    <n v="93"/>
    <s v="5/2"/>
    <x v="0"/>
    <s v="DA+0"/>
    <s v="WC"/>
    <m/>
    <m/>
    <m/>
    <x v="0"/>
    <m/>
    <d v="2025-04-01T00:00:00"/>
    <m/>
    <s v="Apr'25"/>
    <s v="GM Construction"/>
  </r>
  <r>
    <n v="94"/>
    <s v="29/1"/>
    <x v="0"/>
    <s v="DA+1.5"/>
    <s v="DFR"/>
    <m/>
    <m/>
    <m/>
    <x v="0"/>
    <m/>
    <d v="2025-04-01T00:00:00"/>
    <m/>
    <s v="Apr'25"/>
    <s v="Surya Group"/>
  </r>
  <r>
    <n v="95"/>
    <s v="22/1"/>
    <x v="0"/>
    <s v="DA+6"/>
    <s v="DFR"/>
    <m/>
    <m/>
    <m/>
    <x v="0"/>
    <m/>
    <d v="2025-04-01T00:00:00"/>
    <m/>
    <s v="Apr'25"/>
    <s v="Yatharth Construction"/>
  </r>
  <r>
    <n v="96"/>
    <s v="7/1"/>
    <x v="0"/>
    <s v="DA+0"/>
    <s v="DFR"/>
    <m/>
    <m/>
    <m/>
    <x v="0"/>
    <m/>
    <d v="2025-04-01T00:00:00"/>
    <m/>
    <s v="Apr'25"/>
    <s v="JSC Enterprises"/>
  </r>
  <r>
    <n v="97"/>
    <s v="36/2"/>
    <x v="0"/>
    <s v="DA+0"/>
    <s v="DFR"/>
    <m/>
    <m/>
    <m/>
    <x v="0"/>
    <m/>
    <d v="2025-04-01T00:00:00"/>
    <m/>
    <s v="Apr'25"/>
    <s v="Afflux Construction"/>
  </r>
  <r>
    <n v="98"/>
    <s v="36/6"/>
    <x v="0"/>
    <s v="DA(-)1.5"/>
    <s v="DFR"/>
    <m/>
    <m/>
    <m/>
    <x v="0"/>
    <m/>
    <d v="2025-04-01T00:00:00"/>
    <m/>
    <s v="Apr'25"/>
    <s v="Urmila Bibi"/>
  </r>
  <r>
    <n v="99"/>
    <s v="34/2"/>
    <x v="0"/>
    <s v="DA(-)3"/>
    <s v="WC"/>
    <m/>
    <m/>
    <m/>
    <x v="0"/>
    <m/>
    <d v="2025-04-01T00:00:00"/>
    <m/>
    <s v="Apr'25"/>
    <s v="Jeenmata Infratech"/>
  </r>
  <r>
    <n v="100"/>
    <s v="29/2"/>
    <x v="0"/>
    <s v="DA+1.5"/>
    <s v="DFR"/>
    <m/>
    <m/>
    <m/>
    <x v="0"/>
    <m/>
    <d v="2025-04-01T00:00:00"/>
    <m/>
    <s v="Apr'25"/>
    <s v="Surya Group"/>
  </r>
  <r>
    <n v="101"/>
    <s v="36/3"/>
    <x v="0"/>
    <s v="DA+0"/>
    <s v="DFR"/>
    <m/>
    <m/>
    <m/>
    <x v="0"/>
    <s v="23/04/2025"/>
    <s v="02/05/2025"/>
    <s v="Apr'25"/>
    <s v="May'25"/>
    <s v="URMILA-BIBI"/>
  </r>
  <r>
    <n v="102"/>
    <s v="5/1"/>
    <x v="0"/>
    <s v="DA(-)3"/>
    <s v="DFR"/>
    <m/>
    <m/>
    <m/>
    <x v="0"/>
    <s v="28/04/2025"/>
    <d v="2025-03-05T00:00:00"/>
    <s v="Apr'25"/>
    <s v="May'25"/>
    <s v="GM Construction  "/>
  </r>
  <r>
    <n v="103"/>
    <s v="27/3"/>
    <x v="0"/>
    <s v="DA+1.5"/>
    <s v="DFR"/>
    <m/>
    <m/>
    <m/>
    <x v="0"/>
    <s v="28/04/2025"/>
    <d v="2025-03-05T00:00:00"/>
    <s v="Apr'25"/>
    <s v="May'25"/>
    <s v="SURYA-GROUP "/>
  </r>
  <r>
    <n v="104"/>
    <s v="23/1"/>
    <x v="0"/>
    <s v="DA+3"/>
    <s v="DFR"/>
    <m/>
    <m/>
    <m/>
    <x v="0"/>
    <s v="1/5/2025"/>
    <d v="2025-04-05T00:00:00"/>
    <s v="May'25"/>
    <s v="May'25"/>
    <s v="Yatharth Construction"/>
  </r>
  <r>
    <n v="105"/>
    <s v="30/1"/>
    <x v="0"/>
    <s v="DA+1.5"/>
    <s v="DFR"/>
    <m/>
    <m/>
    <m/>
    <x v="0"/>
    <s v="2/5/2025"/>
    <d v="2025-05-05T00:00:00"/>
    <s v="May'25"/>
    <s v="May'25"/>
    <s v="SURYA-GROUP "/>
  </r>
  <r>
    <n v="106"/>
    <s v="34/1"/>
    <x v="0"/>
    <s v="DA+3"/>
    <s v="WFR"/>
    <m/>
    <m/>
    <m/>
    <x v="0"/>
    <s v="27/4/2025"/>
    <d v="2025-05-05T00:00:00"/>
    <s v="Apr'25"/>
    <s v="May'25"/>
    <s v="SREE SHAYAM GRANTE "/>
  </r>
  <r>
    <n v="107"/>
    <s v="36/4"/>
    <x v="0"/>
    <s v="DA+3"/>
    <s v="DFR"/>
    <m/>
    <m/>
    <m/>
    <x v="0"/>
    <s v="23/04/2025"/>
    <d v="2025-05-05T00:00:00"/>
    <s v="Apr'25"/>
    <s v="May'25"/>
    <s v="URMILA-BIBI"/>
  </r>
  <r>
    <n v="108"/>
    <s v="36/5"/>
    <x v="0"/>
    <s v="DA+6"/>
    <s v="WC"/>
    <m/>
    <m/>
    <m/>
    <x v="0"/>
    <s v="30/04/2025"/>
    <d v="2025-05-05T00:00:00"/>
    <s v="Apr'25"/>
    <s v="May'25"/>
    <s v="AFFLUX CONSTRUCTION "/>
  </r>
  <r>
    <n v="109"/>
    <s v="5/5"/>
    <x v="0"/>
    <s v="DA+0"/>
    <s v="WC"/>
    <m/>
    <m/>
    <m/>
    <x v="0"/>
    <m/>
    <d v="2025-05-06T00:00:00"/>
    <m/>
    <s v="May'25"/>
    <s v="GM Construction  "/>
  </r>
  <r>
    <n v="110"/>
    <s v="6/3"/>
    <x v="0"/>
    <s v="DA+1.5"/>
    <s v="DFR"/>
    <m/>
    <m/>
    <m/>
    <x v="0"/>
    <m/>
    <d v="2025-05-07T00:00:00"/>
    <m/>
    <s v="May'25"/>
    <s v="JSC Enterprises"/>
  </r>
  <r>
    <n v="111"/>
    <s v="20/1"/>
    <x v="0"/>
    <s v="DA(-)3"/>
    <s v="DFR"/>
    <m/>
    <m/>
    <m/>
    <x v="0"/>
    <m/>
    <d v="2025-05-08T00:00:00"/>
    <m/>
    <s v="May'25"/>
    <s v="Yatharth Construction"/>
  </r>
  <r>
    <n v="112"/>
    <s v="34/3"/>
    <x v="0"/>
    <s v="DA+6"/>
    <s v="WFR"/>
    <m/>
    <m/>
    <m/>
    <x v="0"/>
    <m/>
    <d v="2025-05-08T00:00:00"/>
    <m/>
    <s v="May'25"/>
    <s v="Jeenmata Infratech"/>
  </r>
  <r>
    <n v="113"/>
    <s v="32/3"/>
    <x v="0"/>
    <s v="DA+1.5"/>
    <s v="DFR"/>
    <m/>
    <m/>
    <m/>
    <x v="0"/>
    <m/>
    <d v="2025-05-08T00:00:00"/>
    <m/>
    <s v="May'25"/>
    <s v="SURYA-GROUP "/>
  </r>
  <r>
    <n v="114"/>
    <s v="36/1"/>
    <x v="0"/>
    <s v="DA+0"/>
    <s v="DFR"/>
    <m/>
    <m/>
    <m/>
    <x v="0"/>
    <m/>
    <d v="2025-05-09T00:00:00"/>
    <m/>
    <s v="May'25"/>
    <s v="AFFLUX CONSTRUCTION "/>
  </r>
  <r>
    <n v="115"/>
    <s v="5/3"/>
    <x v="0"/>
    <s v="DA+3"/>
    <s v="WC"/>
    <m/>
    <m/>
    <m/>
    <x v="0"/>
    <m/>
    <d v="2025-05-09T00:00:00"/>
    <m/>
    <s v="May'25"/>
    <s v="GM Construction  "/>
  </r>
  <r>
    <n v="116"/>
    <s v="32/4"/>
    <x v="0"/>
    <s v="DA+0"/>
    <s v="DFR"/>
    <m/>
    <m/>
    <m/>
    <x v="0"/>
    <m/>
    <d v="2025-05-10T00:00:00"/>
    <m/>
    <s v="May'25"/>
    <s v="SURYA-GROUP "/>
  </r>
  <r>
    <n v="117"/>
    <s v="38/4"/>
    <x v="0"/>
    <s v="DA+3"/>
    <s v="DFR"/>
    <m/>
    <m/>
    <m/>
    <x v="0"/>
    <m/>
    <d v="2025-05-11T00:00:00"/>
    <m/>
    <s v="May'25"/>
    <s v="URMILA-BIBI"/>
  </r>
  <r>
    <n v="118"/>
    <s v="20/2"/>
    <x v="0"/>
    <s v="DA(-)3"/>
    <s v="DFR"/>
    <m/>
    <m/>
    <m/>
    <x v="0"/>
    <m/>
    <d v="2025-05-12T00:00:00"/>
    <m/>
    <s v="May'25"/>
    <s v="YATHARTH-CONSTRUCTION"/>
  </r>
  <r>
    <n v="119"/>
    <s v="5/4"/>
    <x v="0"/>
    <s v="DA+1.5"/>
    <s v="WC"/>
    <m/>
    <m/>
    <m/>
    <x v="0"/>
    <m/>
    <d v="2025-05-13T00:00:00"/>
    <m/>
    <s v="May'25"/>
    <s v="GM Construction  "/>
  </r>
  <r>
    <n v="120"/>
    <s v="38/3"/>
    <x v="0"/>
    <s v="DA(-)3"/>
    <s v="DFR"/>
    <m/>
    <m/>
    <m/>
    <x v="0"/>
    <m/>
    <d v="2025-05-13T00:00:00"/>
    <m/>
    <s v="May'25"/>
    <s v="URMILA-BIBI"/>
  </r>
  <r>
    <n v="121"/>
    <s v="32/5"/>
    <x v="0"/>
    <s v="DA+1.5"/>
    <s v="DFR"/>
    <m/>
    <m/>
    <m/>
    <x v="0"/>
    <m/>
    <d v="2025-05-15T00:00:00"/>
    <m/>
    <s v="May'25"/>
    <s v="SURYA-GROUP "/>
  </r>
  <r>
    <n v="122"/>
    <s v="6/1"/>
    <x v="0"/>
    <s v="DA(-)1.5"/>
    <s v="DFR"/>
    <m/>
    <m/>
    <m/>
    <x v="0"/>
    <d v="2025-05-15T00:00:00"/>
    <d v="2025-05-16T00:00:00"/>
    <s v="May'25"/>
    <s v="May'25"/>
    <s v="JSC Enterprises"/>
  </r>
  <r>
    <n v="123"/>
    <s v="38/1"/>
    <x v="0"/>
    <s v="DA(-)3"/>
    <s v="DFR"/>
    <m/>
    <m/>
    <m/>
    <x v="0"/>
    <m/>
    <d v="2025-05-17T00:00:00"/>
    <m/>
    <s v="May'25"/>
    <s v="URMILA-BIBI"/>
  </r>
  <r>
    <n v="124"/>
    <s v="38/7"/>
    <x v="0"/>
    <s v="DA+0"/>
    <s v="WC"/>
    <m/>
    <m/>
    <m/>
    <x v="0"/>
    <d v="2025-05-14T00:00:00"/>
    <d v="2025-05-19T00:00:00"/>
    <s v="May'25"/>
    <s v="May'25"/>
    <s v="AFFLUX CONSTRUCTION "/>
  </r>
  <r>
    <n v="125"/>
    <s v="47/8"/>
    <x v="1"/>
    <s v="DA+0"/>
    <s v="DFR"/>
    <m/>
    <m/>
    <m/>
    <x v="0"/>
    <s v="14.05.2025"/>
    <s v="19.05.2025"/>
    <s v="May'25"/>
    <s v="May'25"/>
    <s v="Jeenmata Infratech"/>
  </r>
  <r>
    <n v="126"/>
    <s v="49/1"/>
    <x v="2"/>
    <s v="DA+6"/>
    <s v="DFR"/>
    <m/>
    <m/>
    <m/>
    <x v="0"/>
    <s v="15/05/2025"/>
    <s v="19.05.2025"/>
    <s v="May'25"/>
    <s v="May'25"/>
    <s v="GM Construction  "/>
  </r>
  <r>
    <n v="127"/>
    <s v="32/7"/>
    <x v="0"/>
    <s v="DA(-)1.5 "/>
    <s v="DFR"/>
    <m/>
    <m/>
    <m/>
    <x v="0"/>
    <s v="16/05/2025"/>
    <s v="21/5/2025"/>
    <s v="May'25"/>
    <s v="May'25"/>
    <s v="SURYA-GROUP "/>
  </r>
  <r>
    <n v="128"/>
    <s v="32/6"/>
    <x v="0"/>
    <s v="DA+0"/>
    <s v="DFR"/>
    <m/>
    <m/>
    <m/>
    <x v="0"/>
    <s v="14/05/2025"/>
    <s v="21/05/2025"/>
    <s v="May'25"/>
    <s v="May'25"/>
    <s v="SURYA-GROUP "/>
  </r>
  <r>
    <n v="129"/>
    <s v="51/2"/>
    <x v="2"/>
    <s v="DA(-)3"/>
    <s v="DFR"/>
    <m/>
    <m/>
    <m/>
    <x v="0"/>
    <s v="14.05.2025"/>
    <s v="22.05.2025"/>
    <s v="May'25"/>
    <s v="May'25"/>
    <s v="YATHARTH-CONSTRUCTION"/>
  </r>
  <r>
    <n v="130"/>
    <s v="47/11"/>
    <x v="2"/>
    <s v="DA+6"/>
    <s v="DFR"/>
    <m/>
    <m/>
    <m/>
    <x v="0"/>
    <s v="19.05.2025"/>
    <s v="23/5/2025"/>
    <s v="May'25"/>
    <s v="May'25"/>
    <s v="Jeenmata Infratech"/>
  </r>
  <r>
    <n v="131"/>
    <s v="5/7"/>
    <x v="0"/>
    <s v="DA(-)3"/>
    <s v="WC"/>
    <m/>
    <m/>
    <m/>
    <x v="0"/>
    <s v="19.05.2025"/>
    <s v="23/5/2025"/>
    <s v="May'25"/>
    <s v="May'25"/>
    <s v="URMILA-BIBI"/>
  </r>
  <r>
    <n v="132"/>
    <s v="38/6"/>
    <x v="0"/>
    <s v="DA(-)3"/>
    <s v="DFR"/>
    <m/>
    <m/>
    <m/>
    <x v="0"/>
    <s v="15.05.2025"/>
    <s v="23.05.2025"/>
    <s v="May'25"/>
    <s v="May'25"/>
    <s v="AFFLUX CONSTRUCTION "/>
  </r>
  <r>
    <n v="133"/>
    <s v="49/3"/>
    <x v="2"/>
    <s v="DA+3"/>
    <s v="WC"/>
    <m/>
    <m/>
    <m/>
    <x v="0"/>
    <s v="15.05.2025"/>
    <s v="23.05.2025"/>
    <s v="May'25"/>
    <s v="May'25"/>
    <s v="GM Construction  "/>
  </r>
  <r>
    <n v="134"/>
    <s v="51/1"/>
    <x v="2"/>
    <s v="DA+0"/>
    <s v="DFR"/>
    <m/>
    <m/>
    <m/>
    <x v="0"/>
    <s v="17.05.2025"/>
    <s v="24.05.2025"/>
    <s v="May'25"/>
    <s v="May'25"/>
    <s v="YATHARTH-CONSTRUCTION"/>
  </r>
  <r>
    <n v="135"/>
    <s v="32/2"/>
    <x v="0"/>
    <s v="DA+1.5 "/>
    <s v="DFR"/>
    <m/>
    <m/>
    <m/>
    <x v="0"/>
    <s v="20.05.2025"/>
    <s v="25.05.2025"/>
    <s v="May'25"/>
    <s v="May'25"/>
    <s v="SURYA-GROUP "/>
  </r>
  <r>
    <n v="136"/>
    <s v="5/6"/>
    <x v="0"/>
    <s v="DA+0 "/>
    <s v="WC"/>
    <m/>
    <m/>
    <m/>
    <x v="0"/>
    <s v="20.05.2025"/>
    <s v="25.05.2025"/>
    <s v="May'25"/>
    <s v="May'25"/>
    <s v="URMILA-BIBI"/>
  </r>
  <r>
    <n v="137"/>
    <s v="49/2"/>
    <x v="2"/>
    <s v="DA+0"/>
    <s v="DFR"/>
    <m/>
    <m/>
    <m/>
    <x v="0"/>
    <m/>
    <d v="2025-05-26T00:00:00"/>
    <m/>
    <s v="May'25"/>
    <s v="GM Construction  "/>
  </r>
  <r>
    <n v="138"/>
    <s v="47/4"/>
    <x v="1"/>
    <s v="DA+3 "/>
    <s v="DFR"/>
    <m/>
    <m/>
    <m/>
    <x v="0"/>
    <s v="20.05.2025"/>
    <s v="27.05.2025"/>
    <s v="May'25"/>
    <s v="May'25"/>
    <s v="Jeenmata Infratech"/>
  </r>
  <r>
    <n v="139"/>
    <s v="51/3"/>
    <x v="2"/>
    <s v="DA(-)3"/>
    <s v="DFR"/>
    <m/>
    <m/>
    <m/>
    <x v="0"/>
    <m/>
    <s v="26.05.2025"/>
    <m/>
    <s v="May'25"/>
    <s v="YATHARTH-CONSTRUCTION"/>
  </r>
  <r>
    <n v="140"/>
    <s v="13/0"/>
    <x v="0"/>
    <s v="DB2+0"/>
    <s v="DFR"/>
    <m/>
    <m/>
    <m/>
    <x v="0"/>
    <m/>
    <s v="30.05.2025"/>
    <m/>
    <s v="May'25"/>
    <s v="URMILA-BIBI"/>
  </r>
  <r>
    <n v="141"/>
    <s v="38/8"/>
    <x v="0"/>
    <s v="DA+6"/>
    <s v="WC"/>
    <m/>
    <m/>
    <m/>
    <x v="0"/>
    <m/>
    <d v="2025-05-29T00:00:00"/>
    <m/>
    <s v="May'25"/>
    <s v="AFFLUX CONSTRUCTION "/>
  </r>
  <r>
    <n v="142"/>
    <s v="48/2"/>
    <x v="2"/>
    <s v="DA(-)1.5"/>
    <s v="DFR "/>
    <m/>
    <m/>
    <m/>
    <x v="0"/>
    <m/>
    <d v="2025-05-29T00:00:00"/>
    <m/>
    <s v="May'25"/>
    <s v="Jeenmata Infratech"/>
  </r>
  <r>
    <n v="143"/>
    <s v="67/2"/>
    <x v="2"/>
    <s v="DA(-)3"/>
    <s v="WC"/>
    <m/>
    <m/>
    <m/>
    <x v="0"/>
    <s v="28.05.2024"/>
    <s v="31.05.2025"/>
    <s v="May'25"/>
    <s v="May'25"/>
    <s v="Shri Sai Brick Udyog"/>
  </r>
  <r>
    <n v="144"/>
    <s v="48/6"/>
    <x v="2"/>
    <s v="DA+3"/>
    <s v="DFR"/>
    <m/>
    <m/>
    <m/>
    <x v="0"/>
    <s v="26.05.2025"/>
    <s v="01.06.2025"/>
    <s v="May'25"/>
    <s v="Jun'25"/>
    <s v="GM Infratech "/>
  </r>
  <r>
    <n v="145"/>
    <s v="49/4"/>
    <x v="2"/>
    <s v="DA+0"/>
    <s v="WC"/>
    <m/>
    <m/>
    <m/>
    <x v="0"/>
    <s v="19/05/2025"/>
    <s v="01.06.2025"/>
    <s v="May'25"/>
    <s v="Jun'25"/>
    <s v="YATHARTH-CONSTRUCTION"/>
  </r>
  <r>
    <n v="146"/>
    <s v="38/2"/>
    <x v="0"/>
    <s v="DA+0"/>
    <s v="DFR"/>
    <m/>
    <m/>
    <m/>
    <x v="0"/>
    <s v="19/05/2025"/>
    <s v="02.06.2025"/>
    <s v="May'25"/>
    <s v="Jun'25"/>
    <s v="AFFLUX CONSTRUCTION "/>
  </r>
  <r>
    <n v="147"/>
    <s v="47/6"/>
    <x v="1"/>
    <s v="DA+3"/>
    <s v="DFR"/>
    <m/>
    <m/>
    <m/>
    <x v="0"/>
    <s v="01.06.2025"/>
    <s v="04.06.2025"/>
    <s v="Jun'25"/>
    <s v="Jun'25"/>
    <s v="Jeenmata Infratech"/>
  </r>
  <r>
    <n v="148"/>
    <s v="48/8"/>
    <x v="2"/>
    <s v="DA+0"/>
    <s v="DFR"/>
    <m/>
    <m/>
    <m/>
    <x v="0"/>
    <s v="01.06.2025"/>
    <s v="05.06.2025"/>
    <s v="Jun'25"/>
    <s v="Jun'25"/>
    <s v="GM CONSTRUCTION "/>
  </r>
  <r>
    <n v="149"/>
    <s v="49/5"/>
    <x v="2"/>
    <s v="DA+0"/>
    <s v="WC"/>
    <m/>
    <m/>
    <m/>
    <x v="0"/>
    <s v="02.06.2025"/>
    <d v="2025-06-06T00:00:00"/>
    <s v="Jun'25"/>
    <s v="Jun'25"/>
    <s v="YATHARTH-CONSTRUCTION"/>
  </r>
  <r>
    <n v="150"/>
    <s v="67/1"/>
    <x v="2"/>
    <s v="DA(-)3"/>
    <s v="DFR"/>
    <m/>
    <m/>
    <m/>
    <x v="0"/>
    <s v="02.06.2025"/>
    <d v="2025-07-06T00:00:00"/>
    <s v="Jun'25"/>
    <s v="Jul'25"/>
    <s v="Shri Sai Brick Udyog"/>
  </r>
  <r>
    <n v="151"/>
    <s v="41/4"/>
    <x v="1"/>
    <s v="DA+3"/>
    <s v="DFR"/>
    <m/>
    <m/>
    <m/>
    <x v="0"/>
    <s v="02.06.2025"/>
    <d v="2025-08-06T00:00:00"/>
    <s v="Jun'25"/>
    <s v="Aug'25"/>
    <s v="Jeenmata Infratech"/>
  </r>
  <r>
    <n v="152"/>
    <s v="48/9"/>
    <x v="2"/>
    <s v="DA+3"/>
    <s v="WC"/>
    <m/>
    <m/>
    <m/>
    <x v="0"/>
    <s v="04.06.2025"/>
    <d v="2025-06-10T00:00:00"/>
    <s v="Jun'25"/>
    <s v="Jun'25"/>
    <s v="GM Construction  "/>
  </r>
  <r>
    <n v="153"/>
    <s v="47/7"/>
    <x v="1"/>
    <s v="DA+0"/>
    <s v="DFR "/>
    <m/>
    <m/>
    <m/>
    <x v="0"/>
    <s v="07.06.2025"/>
    <d v="2025-11-06T00:00:00"/>
    <s v="Jun'25"/>
    <s v="Jun'25"/>
    <s v="Jeenmata Infratech"/>
  </r>
  <r>
    <n v="154"/>
    <s v="66/8"/>
    <x v="2"/>
    <s v="DA(-)3"/>
    <s v="DFR"/>
    <m/>
    <m/>
    <m/>
    <x v="0"/>
    <s v="01.06.2025"/>
    <d v="2025-11-06T00:00:00"/>
    <s v="Jun'25"/>
    <s v="Jun'25"/>
    <s v="Shri Sai Brick Udyog"/>
  </r>
  <r>
    <n v="155"/>
    <s v="49/6"/>
    <x v="2"/>
    <s v="DA+6 "/>
    <s v="DFR"/>
    <m/>
    <m/>
    <m/>
    <x v="0"/>
    <s v="03.06.2025"/>
    <s v="14/06/2025"/>
    <s v="Jun'25"/>
    <s v="Jun'25"/>
    <s v="YATHARTH-CONSTRUCTION"/>
  </r>
  <r>
    <n v="156"/>
    <s v="49/0"/>
    <x v="2"/>
    <s v="DB1+0"/>
    <s v="DFR"/>
    <m/>
    <m/>
    <m/>
    <x v="0"/>
    <d v="2025-10-06T00:00:00"/>
    <s v="16/06/2025"/>
    <s v="Jun'25"/>
    <s v="Jun'25"/>
    <s v="GM CONSTRUCTION "/>
  </r>
  <r>
    <n v="157"/>
    <s v="66/5"/>
    <x v="2"/>
    <s v="DA+3"/>
    <s v="DFR"/>
    <m/>
    <m/>
    <m/>
    <x v="0"/>
    <m/>
    <s v="17.06.2025"/>
    <s v="Jun'25"/>
    <s v="Jun'25"/>
    <s v="Shri Sai Brick Udyog"/>
  </r>
  <r>
    <n v="158"/>
    <s v="65/1"/>
    <x v="2"/>
    <s v="DA(-)1.5"/>
    <s v="DFR"/>
    <m/>
    <m/>
    <m/>
    <x v="0"/>
    <s v="08.06.2025"/>
    <s v="18/6/2025"/>
    <s v="Jun'25"/>
    <s v="Jun'25"/>
    <s v="AFFLUX CONSTRUCTION "/>
  </r>
  <r>
    <n v="159"/>
    <s v="41/0"/>
    <x v="1"/>
    <s v="DD45+0"/>
    <s v="DFR"/>
    <m/>
    <m/>
    <m/>
    <x v="0"/>
    <s v="09.06.2025"/>
    <s v="21/06/2025"/>
    <s v="Jun'25"/>
    <s v="Jun'25"/>
    <s v="Jeenmata Infratech"/>
  </r>
  <r>
    <n v="160"/>
    <s v="65/2"/>
    <x v="2"/>
    <s v="DA+0"/>
    <s v="DFR"/>
    <m/>
    <m/>
    <m/>
    <x v="0"/>
    <s v="19.06.2025"/>
    <d v="2025-06-23T00:00:00"/>
    <s v="Jun'25"/>
    <s v="Jun'25"/>
    <s v="AFFLUX CONSTRUCTION "/>
  </r>
  <r>
    <n v="161"/>
    <s v="66/7"/>
    <x v="2"/>
    <s v="DA+6"/>
    <s v="DFR"/>
    <m/>
    <m/>
    <m/>
    <x v="0"/>
    <s v="08.06.2025"/>
    <s v="27/06/2025"/>
    <s v="Jun'25"/>
    <s v="Jun'25"/>
    <s v="Shri Sai Brick Udyog"/>
  </r>
  <r>
    <n v="162"/>
    <s v="65/3"/>
    <x v="2"/>
    <s v="DA+0"/>
    <s v="DFR"/>
    <m/>
    <m/>
    <m/>
    <x v="0"/>
    <s v="16/06/2025"/>
    <s v="30/06/2025"/>
    <s v="Jun'25"/>
    <s v="Jun'25"/>
    <s v="AFFLUX CONSTRUCTION "/>
  </r>
  <r>
    <n v="163"/>
    <s v="65/9"/>
    <x v="2"/>
    <s v="DA(-)3"/>
    <s v="DFR"/>
    <m/>
    <m/>
    <m/>
    <x v="0"/>
    <m/>
    <d v="2025-07-07T00:00:00"/>
    <m/>
    <s v="Jul'25"/>
    <s v="Shri Sai Brick Udyog"/>
  </r>
  <r>
    <n v="164"/>
    <s v="65/7"/>
    <x v="2"/>
    <s v="DA(-)3"/>
    <s v="DFR"/>
    <m/>
    <m/>
    <m/>
    <x v="0"/>
    <m/>
    <s v="14/07/2025"/>
    <m/>
    <m/>
    <s v="Shri Sai Brick Udyog"/>
  </r>
  <r>
    <n v="165"/>
    <s v="63/1"/>
    <x v="2"/>
    <s v="DA(-)3"/>
    <s v="DFR "/>
    <m/>
    <m/>
    <m/>
    <x v="1"/>
    <s v="30.06.2025"/>
    <s v="11.07.2025"/>
    <s v="Jun'25"/>
    <s v="Jul'25"/>
    <s v="AFFLUX CONSTRUCTION "/>
  </r>
  <r>
    <n v="166"/>
    <s v="63/2"/>
    <x v="2"/>
    <s v="DA(-)3"/>
    <s v="DFR "/>
    <m/>
    <m/>
    <m/>
    <x v="1"/>
    <s v="01.07.2025"/>
    <s v="16.07.2025"/>
    <s v="Jul'25"/>
    <s v="Jul'25"/>
    <s v="AFFLUX CONSTRUCTION "/>
  </r>
  <r>
    <n v="167"/>
    <s v="65/11"/>
    <x v="2"/>
    <s v="DA+6"/>
    <s v="DFR "/>
    <m/>
    <m/>
    <m/>
    <x v="1"/>
    <m/>
    <s v="22.07.2025"/>
    <m/>
    <s v="Jul'25"/>
    <s v="Shri Sai Brick Udyog"/>
  </r>
  <r>
    <n v="168"/>
    <s v="7/0"/>
    <x v="0"/>
    <s v="DC2+0 "/>
    <s v="WC"/>
    <m/>
    <m/>
    <m/>
    <x v="1"/>
    <s v="16.07.2025"/>
    <s v="19.08.2025"/>
    <s v="Jul'25"/>
    <s v="Aug'25"/>
    <s v="AFFLUX CONSTRUCTION "/>
  </r>
  <r>
    <n v="169"/>
    <s v="21/0"/>
    <x v="0"/>
    <s v="DC2+0 "/>
    <s v="WFR"/>
    <m/>
    <m/>
    <m/>
    <x v="1"/>
    <s v="02.08.2025"/>
    <s v="12.08.2025"/>
    <s v="Aug'25"/>
    <s v="Aug'25"/>
    <s v="SHAKHINA BIBI"/>
  </r>
  <r>
    <n v="170"/>
    <s v="46/0"/>
    <x v="1"/>
    <s v="DD45+0"/>
    <s v="DFR"/>
    <m/>
    <m/>
    <m/>
    <x v="1"/>
    <s v="26.07.2025"/>
    <s v="12.08.2025"/>
    <s v="Jul'25"/>
    <s v="Aug'25"/>
    <s v="Shri Sai Brick Udyog"/>
  </r>
  <r>
    <n v="171"/>
    <s v="45/1"/>
    <x v="1"/>
    <s v="DA+0"/>
    <s v="DFR "/>
    <m/>
    <m/>
    <m/>
    <x v="1"/>
    <s v="06.08.2025"/>
    <s v="19.08.2025  "/>
    <s v="Aug'25"/>
    <s v="Aug'25"/>
    <s v="SHREE KHATUSHAYAM CONST. "/>
  </r>
  <r>
    <n v="172"/>
    <s v="15/0"/>
    <x v="0"/>
    <s v="DB2+0"/>
    <s v="WFR"/>
    <m/>
    <m/>
    <m/>
    <x v="1"/>
    <s v="11.08.2025"/>
    <s v="18.08.2025 "/>
    <s v="Aug'25"/>
    <s v="Aug'25"/>
    <s v="SHAKHINA BIBI"/>
  </r>
  <r>
    <n v="173"/>
    <s v="46A/0"/>
    <x v="1"/>
    <s v="DC1+0 "/>
    <s v="WFR "/>
    <m/>
    <m/>
    <m/>
    <x v="1"/>
    <s v="12.08.2025"/>
    <s v="14.09.2025"/>
    <s v="Aug'25"/>
    <s v="Sep'25"/>
    <s v="Shri Sai Brick Udyog"/>
  </r>
  <r>
    <n v="174"/>
    <s v="45/3"/>
    <x v="1"/>
    <s v="DA+0"/>
    <s v="DFR"/>
    <m/>
    <m/>
    <m/>
    <x v="1"/>
    <s v="20.08.2025"/>
    <s v="16.09.2025"/>
    <s v="Aug'25"/>
    <s v="Sep'25"/>
    <s v="SHREE KHATUSHAYAM CONST. "/>
  </r>
  <r>
    <n v="175"/>
    <s v="33/0"/>
    <x v="0"/>
    <s v="DD45+0"/>
    <s v="WFR"/>
    <m/>
    <m/>
    <m/>
    <x v="1"/>
    <s v="20.08.2025 "/>
    <s v="22.09.2025"/>
    <s v="Aug'25"/>
    <s v="Sep'25"/>
    <s v="SHAKHINA BIBI"/>
  </r>
  <r>
    <n v="176"/>
    <s v="10/0"/>
    <x v="0"/>
    <s v="DB1+0"/>
    <s v="WFR"/>
    <m/>
    <m/>
    <m/>
    <x v="1"/>
    <s v="20.08.2025 "/>
    <s v="13.10.2025"/>
    <s v="Aug'25"/>
    <s v="Oct'25"/>
    <s v="AFFLUX CONSTRUCTION "/>
  </r>
  <r>
    <n v="177"/>
    <s v="34/0"/>
    <x v="0"/>
    <s v="DC1+3"/>
    <s v="WFR"/>
    <m/>
    <m/>
    <m/>
    <x v="1"/>
    <s v="25.08.2025"/>
    <s v="14.09.2025"/>
    <s v="Aug'25"/>
    <s v="Sep'25"/>
    <s v="SHAKHINA BIBI"/>
  </r>
  <r>
    <n v="178"/>
    <s v="45/4"/>
    <x v="1"/>
    <s v="DA+1.5"/>
    <s v="WFR"/>
    <m/>
    <m/>
    <m/>
    <x v="1"/>
    <s v="22.09.2025"/>
    <s v="30.09.2025"/>
    <s v="Sep'25"/>
    <s v="Sep'25"/>
    <s v="SHREE KHATUSHAYAM CONST. "/>
  </r>
  <r>
    <n v="179"/>
    <s v="46/2"/>
    <x v="1"/>
    <s v="DA+3"/>
    <s v="WFR"/>
    <m/>
    <m/>
    <m/>
    <x v="1"/>
    <s v="19.09.2025"/>
    <s v="13.10.2025"/>
    <s v="Sep'25"/>
    <s v="Oct'25"/>
    <s v="Shri Balaji Contractor"/>
  </r>
  <r>
    <n v="180"/>
    <s v="46A/1"/>
    <x v="1"/>
    <s v="DA+3"/>
    <s v="DFR"/>
    <m/>
    <m/>
    <m/>
    <x v="1"/>
    <s v="22.09.2025"/>
    <s v="11.10.2025"/>
    <s v="Sep'25"/>
    <s v="Oct'25"/>
    <s v="Durga construction"/>
  </r>
  <r>
    <n v="181"/>
    <s v="12/7"/>
    <x v="0"/>
    <s v="DA+0"/>
    <s v="WFR"/>
    <m/>
    <m/>
    <m/>
    <x v="1"/>
    <s v="22.09.2025"/>
    <s v="29.09.2025"/>
    <s v="Sep'25"/>
    <s v="Sep'25"/>
    <s v="SHAKHINA BIBI"/>
  </r>
  <r>
    <n v="182"/>
    <s v="10/3"/>
    <x v="0"/>
    <s v="DA+3"/>
    <s v="WFR"/>
    <m/>
    <m/>
    <m/>
    <x v="1"/>
    <s v="27.09.2025"/>
    <s v="01.10.2025"/>
    <s v="Sep'25"/>
    <s v="Oct'25"/>
    <s v="SHAKHINA BIBI"/>
  </r>
  <r>
    <n v="183"/>
    <s v="14/5"/>
    <x v="0"/>
    <s v="DA+0"/>
    <s v="WFR"/>
    <m/>
    <m/>
    <m/>
    <x v="1"/>
    <s v="01.10.2025"/>
    <s v="06.10.2025"/>
    <s v="Oct'25"/>
    <s v="Oct'25"/>
    <s v="MAUSAUDDIN SK "/>
  </r>
  <r>
    <n v="184"/>
    <s v="8/0"/>
    <x v="0"/>
    <s v="DB1+0"/>
    <s v="WFR"/>
    <m/>
    <m/>
    <m/>
    <x v="1"/>
    <s v="09.10.2025"/>
    <s v="15.10.2025"/>
    <s v="Oct'25"/>
    <s v="Oct'25"/>
    <s v="MAUSAUDDIN SK "/>
  </r>
  <r>
    <n v="185"/>
    <s v="9/0"/>
    <x v="0"/>
    <s v="DB2+0"/>
    <s v="DFR"/>
    <m/>
    <m/>
    <m/>
    <x v="1"/>
    <s v="15.10.2025"/>
    <s v="23/10/2025 "/>
    <s v="Oct'25"/>
    <s v="Oct'25"/>
    <s v="MAUSAUDDIN SK "/>
  </r>
  <r>
    <n v="186"/>
    <s v="45A/0"/>
    <x v="1"/>
    <s v="DC2+0 "/>
    <s v="DFR"/>
    <m/>
    <m/>
    <m/>
    <x v="1"/>
    <s v="29.09.2205"/>
    <s v="07.11.2025"/>
    <s v="Sep'25"/>
    <s v="Nov'25"/>
    <s v="SHREE KHATUSHAYAM CONST. "/>
  </r>
  <r>
    <n v="187"/>
    <s v="46A/2"/>
    <x v="1"/>
    <s v="DA(-)3"/>
    <s v="WFR"/>
    <m/>
    <m/>
    <m/>
    <x v="1"/>
    <s v="07.10.2025"/>
    <s v="06.11.2025"/>
    <s v="Oct'25"/>
    <s v="Nov'25"/>
    <s v="Durga construction"/>
  </r>
  <r>
    <n v="188"/>
    <s v="66/0"/>
    <x v="2"/>
    <s v="DB1+0"/>
    <s v="WC"/>
    <m/>
    <m/>
    <m/>
    <x v="1"/>
    <s v="07.10.2025"/>
    <s v="03.11.2025"/>
    <s v="Oct'25"/>
    <s v="Nov'25"/>
    <s v="DS Construction"/>
  </r>
  <r>
    <n v="189"/>
    <s v="46A/3"/>
    <x v="1"/>
    <s v="DA(-)3"/>
    <s v="WFR"/>
    <m/>
    <m/>
    <m/>
    <x v="1"/>
    <s v="11.10.2025"/>
    <s v="26.10.2025"/>
    <s v="Oct'25"/>
    <s v="Oct'25"/>
    <s v="Shri Balaji Contractor"/>
  </r>
  <r>
    <n v="190"/>
    <s v="47/1"/>
    <x v="1"/>
    <s v="DA+0"/>
    <s v="WFR"/>
    <m/>
    <m/>
    <m/>
    <x v="1"/>
    <s v="15.10.2025"/>
    <s v="08.11.2025"/>
    <s v="Oct'25"/>
    <s v="Nov'25"/>
    <s v="Shri Balaji Contractor"/>
  </r>
  <r>
    <n v="191"/>
    <s v="47/2"/>
    <x v="1"/>
    <s v="DA+6"/>
    <s v="WFR"/>
    <m/>
    <m/>
    <m/>
    <x v="1"/>
    <s v="15.10.2025"/>
    <s v="05.11.2025"/>
    <s v="Oct'25"/>
    <s v="Nov'25"/>
    <s v="Durga construction"/>
  </r>
  <r>
    <n v="192"/>
    <s v="66/2"/>
    <x v="2"/>
    <s v="DA+0"/>
    <s v="WFR"/>
    <m/>
    <m/>
    <m/>
    <x v="1"/>
    <s v="15.10.2025"/>
    <s v="05.11.2025"/>
    <s v="Oct'25"/>
    <s v="Nov'25"/>
    <s v="Jay bhawani construction"/>
  </r>
  <r>
    <n v="193"/>
    <s v="47/3"/>
    <x v="1"/>
    <s v="DA+0"/>
    <s v="WFR"/>
    <m/>
    <m/>
    <m/>
    <x v="1"/>
    <s v="17.10.2025"/>
    <s v="13.11.2025"/>
    <s v="Oct'25"/>
    <s v="Nov'25"/>
    <s v="SHREE KHATUSHAYAM CONST. "/>
  </r>
  <r>
    <n v="194"/>
    <s v="16/0"/>
    <x v="0"/>
    <s v="DB1+0"/>
    <s v="DFR"/>
    <m/>
    <m/>
    <m/>
    <x v="1"/>
    <s v="19.10.2025"/>
    <s v="25.10.2025"/>
    <s v="Oct'25"/>
    <s v="Oct'25"/>
    <s v="MAUSAUDDIN SK "/>
  </r>
  <r>
    <n v="195"/>
    <s v="18/1"/>
    <x v="0"/>
    <s v="DA+6"/>
    <s v="WET"/>
    <m/>
    <m/>
    <m/>
    <x v="1"/>
    <s v="28.10.2025"/>
    <s v="05.11.2025"/>
    <s v="Oct'25"/>
    <s v="Nov'25"/>
    <s v="MAUSAUDDIN SK "/>
  </r>
  <r>
    <n v="196"/>
    <s v="65/8"/>
    <x v="2"/>
    <s v="DA+1.5"/>
    <s v="DFR"/>
    <m/>
    <m/>
    <m/>
    <x v="1"/>
    <s v="31.10.2025"/>
    <s v="13.11.2025"/>
    <s v="Oct'25"/>
    <s v="Nov'25"/>
    <s v="AFFLUX CONSTRUCTION "/>
  </r>
  <r>
    <n v="197"/>
    <s v="66/6"/>
    <x v="2"/>
    <s v="DA(-)1.5"/>
    <s v="WFR"/>
    <m/>
    <m/>
    <m/>
    <x v="1"/>
    <s v="03.11.2025"/>
    <s v="20.11.2025"/>
    <s v="Nov'25"/>
    <s v="Nov'25"/>
    <s v="Hemraj yadav cont."/>
  </r>
  <r>
    <n v="198"/>
    <s v="61/1"/>
    <x v="2"/>
    <s v="DA+6"/>
    <m/>
    <m/>
    <m/>
    <m/>
    <x v="2"/>
    <s v="24.11.2025"/>
    <m/>
    <m/>
    <m/>
    <s v="Shri Balaji Contractor"/>
  </r>
  <r>
    <n v="199"/>
    <s v="64/0"/>
    <x v="2"/>
    <s v="DD45+0"/>
    <s v="DFR"/>
    <m/>
    <m/>
    <m/>
    <x v="1"/>
    <s v="24.07.2025"/>
    <s v="29.10.2025"/>
    <s v="Jul'25"/>
    <s v="Oct'25"/>
    <s v="AFFLUX CONSTRUCTION "/>
  </r>
  <r>
    <n v="200"/>
    <s v="64/1"/>
    <x v="2"/>
    <s v="DA+6"/>
    <s v="WFR"/>
    <m/>
    <m/>
    <m/>
    <x v="1"/>
    <s v="06.09.2025"/>
    <s v="30.10.2025"/>
    <s v="Jul'25"/>
    <s v="Oct'25"/>
    <s v="AFFLUX CONSTRUCTION "/>
  </r>
  <r>
    <n v="201"/>
    <s v="17/0"/>
    <x v="0"/>
    <s v="DB2+3"/>
    <s v="DFR"/>
    <m/>
    <m/>
    <m/>
    <x v="1"/>
    <s v="30.10.2025"/>
    <s v="03.11.2025"/>
    <s v="Oct'25"/>
    <s v="Nov'25"/>
    <s v="MAUSAUDDIN SK "/>
  </r>
  <r>
    <n v="202"/>
    <s v="63/3"/>
    <x v="2"/>
    <s v="DA(-)3"/>
    <s v="DFR"/>
    <m/>
    <m/>
    <m/>
    <x v="1"/>
    <s v="30.10.2025"/>
    <s v="08.11.2025"/>
    <s v="Oct'25"/>
    <s v="Nov'25"/>
    <s v="AFFLUX CONSTRUCTION "/>
  </r>
  <r>
    <n v="203"/>
    <s v="18/0"/>
    <x v="0"/>
    <s v="DA+6"/>
    <s v="WFR"/>
    <m/>
    <m/>
    <m/>
    <x v="1"/>
    <s v="03.11.2025"/>
    <s v="15.11.2025"/>
    <s v="Nov'25"/>
    <s v="Nov'25"/>
    <s v="MAUSAUDDIN SK "/>
  </r>
  <r>
    <n v="204"/>
    <s v="65/5"/>
    <x v="2"/>
    <s v="DA(-)3"/>
    <s v="DFR"/>
    <m/>
    <m/>
    <m/>
    <x v="1"/>
    <s v="28.10.2025"/>
    <s v="19.11.2025"/>
    <s v="Oct'25"/>
    <s v="Nov'25"/>
    <s v="Shree Mahakal const."/>
  </r>
  <r>
    <n v="205"/>
    <s v="66/3"/>
    <x v="2"/>
    <s v="DA+6"/>
    <s v="WFR"/>
    <m/>
    <m/>
    <m/>
    <x v="1"/>
    <s v="07.11.2025"/>
    <s v="18.11.2025"/>
    <s v="Nov'25"/>
    <s v="Nov'25"/>
    <s v="Jai bhawani construction"/>
  </r>
  <r>
    <n v="206"/>
    <s v="66/4"/>
    <x v="2"/>
    <s v="DA(-)3"/>
    <s v="WFR"/>
    <m/>
    <m/>
    <m/>
    <x v="1"/>
    <s v="08.11.2025"/>
    <s v="23.11.2025"/>
    <s v="Nov'25"/>
    <s v="Nov'25"/>
    <s v="DS Construction"/>
  </r>
  <r>
    <n v="207"/>
    <s v="65/0"/>
    <x v="2"/>
    <s v="DC2+0 "/>
    <s v="DFR"/>
    <m/>
    <m/>
    <m/>
    <x v="1"/>
    <s v="13.11.2025"/>
    <s v="02.12.2025"/>
    <s v="Nov'25"/>
    <s v="Dec'25"/>
    <s v="AFFLUX CONSTRUCTION "/>
  </r>
  <r>
    <n v="208"/>
    <s v="45/0"/>
    <x v="1"/>
    <s v="DC1+0 "/>
    <s v="DFR"/>
    <m/>
    <m/>
    <m/>
    <x v="1"/>
    <s v="12.11.2025"/>
    <s v="21.11.2025"/>
    <s v="Nov'25"/>
    <s v="Nov'25"/>
    <s v="Durga construction"/>
  </r>
  <r>
    <n v="209"/>
    <s v="67/0"/>
    <x v="2"/>
    <s v="DB2+6"/>
    <s v="DFR"/>
    <m/>
    <m/>
    <m/>
    <x v="1"/>
    <s v="13.11.2025"/>
    <s v="04.12.2025"/>
    <s v="Nov'25"/>
    <s v="Dec'25"/>
    <s v="Shri Balaji Contractor"/>
  </r>
  <r>
    <n v="210"/>
    <s v="40/0"/>
    <x v="1"/>
    <s v="DC1+0 "/>
    <s v="WET"/>
    <m/>
    <m/>
    <m/>
    <x v="1"/>
    <s v="14.11.2025"/>
    <s v="07.12.2025"/>
    <s v="Nov'25"/>
    <s v="Dec'25"/>
    <s v="SHREE KHATUSHAYAM CONST. "/>
  </r>
  <r>
    <n v="211"/>
    <s v="6/0"/>
    <x v="0"/>
    <s v="DC2+0 "/>
    <s v="WET"/>
    <m/>
    <m/>
    <m/>
    <x v="1"/>
    <s v="13.11.2025"/>
    <s v="21.11.2025"/>
    <s v="Nov'25"/>
    <s v="Nov'25"/>
    <s v="MAUSAUDDIN SK "/>
  </r>
  <r>
    <n v="212"/>
    <s v="23/0"/>
    <x v="0"/>
    <s v="DD45+3"/>
    <s v="DFR"/>
    <m/>
    <m/>
    <m/>
    <x v="1"/>
    <s v="15.11.2025"/>
    <s v="29.11.2025"/>
    <s v="Nov'25"/>
    <s v="Nov'25"/>
    <s v="MAUSAUDDIN SK "/>
  </r>
  <r>
    <n v="213"/>
    <s v="55/2"/>
    <x v="2"/>
    <s v="DA+3"/>
    <s v="DFR"/>
    <m/>
    <m/>
    <m/>
    <x v="1"/>
    <s v="10.11.2025"/>
    <s v="23.11.2025"/>
    <s v="Nov'25"/>
    <s v="Nov'25"/>
    <s v="Shree ram construction"/>
  </r>
  <r>
    <n v="214"/>
    <s v="6/2"/>
    <x v="0"/>
    <s v="DA+1.5"/>
    <s v="WFR"/>
    <m/>
    <m/>
    <m/>
    <x v="1"/>
    <s v="17.11.2025"/>
    <s v="24.11.2025"/>
    <s v="Nov'25"/>
    <s v="Nov'25"/>
    <s v="MAUSAUDDIN SK "/>
  </r>
  <r>
    <n v="215"/>
    <s v="55/1"/>
    <x v="2"/>
    <s v="DA+6"/>
    <s v="WFR"/>
    <m/>
    <m/>
    <m/>
    <x v="1"/>
    <s v="04.12.2025"/>
    <s v="16.12.2025"/>
    <s v="Dec'25"/>
    <s v="Dec'25"/>
    <s v="Shree ram construction"/>
  </r>
  <r>
    <n v="216"/>
    <s v="14/0"/>
    <x v="0"/>
    <s v="DC1+0"/>
    <s v="DFR"/>
    <m/>
    <m/>
    <m/>
    <x v="1"/>
    <s v="25.11.2025"/>
    <s v="01.12.2025"/>
    <s v="Nov'25"/>
    <s v="Dec'25"/>
    <s v="MAUSAUDDIN SK "/>
  </r>
  <r>
    <n v="217"/>
    <s v="52/1"/>
    <x v="2"/>
    <s v="DA+1.5"/>
    <s v="DFR"/>
    <m/>
    <m/>
    <m/>
    <x v="1"/>
    <s v="19.11.2025"/>
    <s v="03.12.2025"/>
    <s v="Nov'25"/>
    <s v="Dec'25"/>
    <s v="Shree ram construction"/>
  </r>
  <r>
    <n v="218"/>
    <s v="53/0"/>
    <x v="2"/>
    <s v="DB2+3"/>
    <s v="DFR"/>
    <m/>
    <m/>
    <m/>
    <x v="1"/>
    <s v="27.11.2025"/>
    <s v="13.12.2025"/>
    <s v="Nov'25"/>
    <s v="Dec'25"/>
    <s v="AFFLUX CONSTRUCTION "/>
  </r>
  <r>
    <n v="219"/>
    <s v="68/0"/>
    <x v="2"/>
    <s v="DB2+6"/>
    <s v="WC"/>
    <m/>
    <m/>
    <m/>
    <x v="1"/>
    <s v="27.11.2025"/>
    <s v="27.12.2025"/>
    <s v="Nov'25"/>
    <s v="Dec'25"/>
    <s v="Durga construction"/>
  </r>
  <r>
    <n v="220"/>
    <s v="32/1"/>
    <x v="0"/>
    <s v="DB1+9"/>
    <s v="WFR"/>
    <m/>
    <m/>
    <m/>
    <x v="1"/>
    <s v="29.11.2025"/>
    <s v="07.12.2025"/>
    <s v="Nov'25"/>
    <s v="Dec'25"/>
    <s v="MAUSAUDDIN SK "/>
  </r>
  <r>
    <n v="221"/>
    <s v="48/4"/>
    <x v="2"/>
    <s v="DA(-)1.5"/>
    <s v="DFR"/>
    <m/>
    <m/>
    <m/>
    <x v="1"/>
    <s v="29.11.2025"/>
    <s v="09.12.2025"/>
    <s v="Nov'25"/>
    <s v="Dec'25"/>
    <s v="Durga construction"/>
  </r>
  <r>
    <n v="222"/>
    <s v="11/0"/>
    <x v="0"/>
    <s v="DD60+25"/>
    <s v="WFR"/>
    <m/>
    <m/>
    <m/>
    <x v="1"/>
    <s v="01.12.2025"/>
    <s v="09.12.2025"/>
    <s v="Dec'25"/>
    <s v="Dec'25"/>
    <s v="MAUSAUDDIN SK -II"/>
  </r>
  <r>
    <n v="223"/>
    <s v="56/2"/>
    <x v="2"/>
    <s v="DB1+6"/>
    <s v="WFR"/>
    <m/>
    <m/>
    <m/>
    <x v="1"/>
    <s v="05.12.2025"/>
    <s v="19.12.2025"/>
    <s v="Dec'25"/>
    <s v="Dec'25"/>
    <s v="Shri Balaji Contractor"/>
  </r>
  <r>
    <n v="224"/>
    <s v="39/0"/>
    <x v="0"/>
    <s v="DC1+0"/>
    <s v="WC"/>
    <m/>
    <m/>
    <m/>
    <x v="1"/>
    <s v="06.12.2025"/>
    <s v="20.12.2025"/>
    <s v="Dec'25"/>
    <s v="Dec'25"/>
    <s v="Jai bhawani construction"/>
  </r>
  <r>
    <n v="225"/>
    <s v="53B/1"/>
    <x v="2"/>
    <s v="DA+3"/>
    <s v="DFR"/>
    <m/>
    <m/>
    <m/>
    <x v="1"/>
    <s v="10.12.2025"/>
    <s v="21.12.2025"/>
    <s v="Dec'25"/>
    <s v="Dec'25"/>
    <s v="Jai shree ram construction"/>
  </r>
  <r>
    <n v="226"/>
    <s v="52/0"/>
    <x v="2"/>
    <s v="DC2+0"/>
    <s v="DFR"/>
    <m/>
    <m/>
    <m/>
    <x v="1"/>
    <s v="15.12.2025"/>
    <s v="09.01.2026"/>
    <s v="Dec'25"/>
    <s v="Jan'26"/>
    <s v="AFFLUX CONSTRUCTION "/>
  </r>
  <r>
    <n v="227"/>
    <s v="29/0"/>
    <x v="0"/>
    <s v="DD45+18"/>
    <s v="DFR"/>
    <m/>
    <m/>
    <m/>
    <x v="1"/>
    <s v="10.12.2025"/>
    <s v="16.12.2025"/>
    <s v="Dec'25"/>
    <s v="Dec'25"/>
    <s v="MAUSAUDDIN SK-I"/>
  </r>
  <r>
    <n v="228"/>
    <s v="25/0"/>
    <x v="0"/>
    <s v="DC2+18"/>
    <s v="WFR"/>
    <m/>
    <m/>
    <m/>
    <x v="1"/>
    <s v="10.12.2025"/>
    <s v="22.12.2025"/>
    <s v="Dec'25"/>
    <s v="Dec'25"/>
    <s v="MAUSAUDDIN SK -II"/>
  </r>
  <r>
    <n v="229"/>
    <s v="38/0"/>
    <x v="0"/>
    <s v="DD45+9"/>
    <s v="DFR"/>
    <m/>
    <m/>
    <m/>
    <x v="1"/>
    <s v="16.12.2025"/>
    <s v="07.01.2025"/>
    <s v="Dec'25"/>
    <s v="Dec'25"/>
    <s v="Shri Balaji Contractor"/>
  </r>
  <r>
    <n v="230"/>
    <s v="27/0"/>
    <x v="0"/>
    <s v="DB2+9"/>
    <s v="WFR"/>
    <m/>
    <m/>
    <m/>
    <x v="1"/>
    <s v="17.12.2025"/>
    <s v="26.12.2025"/>
    <s v="Dec'25"/>
    <s v="Dec'25"/>
    <s v="MAUSAUDDIN SK-I"/>
  </r>
  <r>
    <n v="231"/>
    <s v="30/2"/>
    <x v="0"/>
    <s v="DA+0"/>
    <s v="WFR"/>
    <m/>
    <m/>
    <m/>
    <x v="1"/>
    <s v="23.12.2025"/>
    <s v="30.12.2025"/>
    <s v="Dec'25"/>
    <s v="Dec'25"/>
    <s v="MAUSAUDDIN SK-I"/>
  </r>
  <r>
    <n v="232"/>
    <s v="36/0"/>
    <x v="0"/>
    <s v="DC2+0"/>
    <s v="WC"/>
    <m/>
    <m/>
    <m/>
    <x v="1"/>
    <s v="09.01.2026"/>
    <s v="21.01.2026"/>
    <s v="Jan'26"/>
    <s v="Jan'26"/>
    <s v="MAUSAUDDIN SK-I"/>
  </r>
  <r>
    <n v="233"/>
    <s v="48/3"/>
    <x v="2"/>
    <s v="DA+3"/>
    <s v="WC"/>
    <m/>
    <m/>
    <m/>
    <x v="1"/>
    <s v="27.12.2025"/>
    <s v="4.01.2026"/>
    <s v="Dec'25"/>
    <s v="Jan'26"/>
    <s v="Jai bhawani construction"/>
  </r>
  <r>
    <n v="234"/>
    <s v="30/0"/>
    <x v="0"/>
    <s v="DC1+0"/>
    <s v="DFR"/>
    <m/>
    <m/>
    <m/>
    <x v="1"/>
    <s v="13.01.2026"/>
    <s v="29.01.2026"/>
    <s v="Jan'26"/>
    <s v="Jan'26"/>
    <s v="MAUSAUDDIN SK-I"/>
  </r>
  <r>
    <n v="235"/>
    <s v="48/1"/>
    <x v="2"/>
    <s v="DA+0"/>
    <s v="DFR"/>
    <m/>
    <m/>
    <m/>
    <x v="1"/>
    <s v="14.01.2026"/>
    <s v="24.01.2026"/>
    <s v="Jan'26"/>
    <s v="Jan'26"/>
    <s v="Jai bhawani construction"/>
  </r>
  <r>
    <n v="236"/>
    <s v="48/5"/>
    <x v="2"/>
    <s v="DA+0"/>
    <s v="DFR"/>
    <m/>
    <m/>
    <m/>
    <x v="1"/>
    <s v="24.01.2026"/>
    <s v="01.02.2026"/>
    <s v="Jan'26"/>
    <s v="Feb'26"/>
    <s v="Jai bhawani construction"/>
  </r>
  <r>
    <n v="237"/>
    <s v="26/0"/>
    <x v="0"/>
    <s v="DC2+12"/>
    <s v="DFR"/>
    <m/>
    <m/>
    <m/>
    <x v="1"/>
    <s v="28.01.2026"/>
    <s v="06.02.2026"/>
    <s v="Jan'26"/>
    <s v="Feb'26"/>
    <s v="MAUSAUDDIN SK-I"/>
  </r>
  <r>
    <n v="238"/>
    <s v="27/1"/>
    <x v="0"/>
    <s v="DB1+9"/>
    <s v="WFR"/>
    <m/>
    <m/>
    <m/>
    <x v="1"/>
    <s v="06.02.2026"/>
    <s v="12.02.2026"/>
    <s v="Feb'26"/>
    <s v="Feb'26"/>
    <s v="MAUSAUDDIN SK-I"/>
  </r>
  <r>
    <n v="239"/>
    <s v="37/0"/>
    <x v="0"/>
    <s v="DD45+12"/>
    <s v="DFR"/>
    <m/>
    <m/>
    <m/>
    <x v="1"/>
    <s v="11.02.2026"/>
    <s v="25.02.2026"/>
    <s v="Feb'26"/>
    <s v="Feb'26"/>
    <s v="Hemraj yadav"/>
  </r>
  <r>
    <n v="240"/>
    <s v="31/0"/>
    <x v="0"/>
    <s v="DD60+0"/>
    <s v="WFR"/>
    <m/>
    <m/>
    <m/>
    <x v="1"/>
    <s v="12.02.2026"/>
    <s v="23.02.2026"/>
    <s v="Feb'26"/>
    <s v="Feb'26"/>
    <s v="MAUSAUDDIN SK-I"/>
  </r>
  <r>
    <n v="241"/>
    <s v="32/0"/>
    <x v="0"/>
    <s v="DC2+0"/>
    <s v="DFR"/>
    <m/>
    <m/>
    <m/>
    <x v="1"/>
    <s v="22.02.2026"/>
    <s v="28.02.2026"/>
    <s v="Feb'26"/>
    <s v="Feb'26"/>
    <s v="MAUSAUDDIN SK-I"/>
  </r>
  <r>
    <n v="242"/>
    <s v="53A/0"/>
    <x v="2"/>
    <s v="DB1(-)1.5"/>
    <s v="DFR"/>
    <m/>
    <m/>
    <m/>
    <x v="1"/>
    <s v="28.02.2026"/>
    <s v="14.03.2026"/>
    <s v="Feb'26"/>
    <s v="Mar'26"/>
    <s v="Hemraj yadav"/>
  </r>
  <r>
    <n v="243"/>
    <s v="39/6"/>
    <x v="1"/>
    <s v="DC2+0"/>
    <s v="DFR"/>
    <m/>
    <m/>
    <m/>
    <x v="1"/>
    <s v="26.02.2026"/>
    <s v="21.03.2026"/>
    <s v="Feb'26"/>
    <s v="Mar'26"/>
    <s v="AFFLUX CONSTRUCTION "/>
  </r>
  <r>
    <n v="244"/>
    <s v="41/7"/>
    <x v="1"/>
    <s v="DA+6"/>
    <s v="DFR"/>
    <m/>
    <m/>
    <m/>
    <x v="1"/>
    <s v="11.03.2026"/>
    <s v="26.03.2026"/>
    <s v="Mar'26"/>
    <s v="Mar'26"/>
    <s v="Khatu Shyam construction"/>
  </r>
  <r>
    <n v="245"/>
    <s v="53B/0"/>
    <x v="2"/>
    <s v="DB2(-)1.5"/>
    <s v="DFR"/>
    <m/>
    <m/>
    <m/>
    <x v="1"/>
    <s v="17.03.2026"/>
    <s v="30.03.2026"/>
    <s v="Mar'26"/>
    <s v="Mar'26"/>
    <s v="Hemraj yadav"/>
  </r>
  <r>
    <n v="246"/>
    <s v="48/0"/>
    <x v="2"/>
    <s v="DB1+0"/>
    <s v="WET"/>
    <m/>
    <m/>
    <m/>
    <x v="1"/>
    <s v="15.03.2026"/>
    <s v="05.04.2026"/>
    <s v="Mar'26"/>
    <s v="Apr'26"/>
    <s v="Jai bhawani construction"/>
  </r>
  <r>
    <n v="247"/>
    <s v="41/3"/>
    <x v="1"/>
    <s v="DA+1.5"/>
    <s v="WC"/>
    <m/>
    <m/>
    <m/>
    <x v="1"/>
    <s v="19.03.2026"/>
    <d v="2026-04-10T00:00:00"/>
    <s v="Mar'26"/>
    <s v="Apr'26"/>
    <s v="Khatu Shyam construction"/>
  </r>
  <r>
    <n v="248"/>
    <s v="65/4"/>
    <x v="2"/>
    <s v="DA(-)1.5"/>
    <s v="DFR"/>
    <m/>
    <m/>
    <m/>
    <x v="1"/>
    <s v="19.03.2026"/>
    <s v="05.04.2026"/>
    <s v="Mar'26"/>
    <s v="Apr'26"/>
    <s v="Shri Balaji Contractor"/>
  </r>
  <r>
    <n v="249"/>
    <s v="39/10"/>
    <x v="1"/>
    <s v="DA+0"/>
    <s v="DFR"/>
    <m/>
    <m/>
    <m/>
    <x v="1"/>
    <s v="22.03.2026"/>
    <s v="31.03.2026"/>
    <s v="Mar'26"/>
    <s v="Mar'26"/>
    <s v="AFFLUX CONSTRUCTION "/>
  </r>
  <r>
    <n v="250"/>
    <s v="39/11"/>
    <x v="1"/>
    <s v="DA+3"/>
    <s v="WC"/>
    <m/>
    <m/>
    <m/>
    <x v="1"/>
    <s v="26.03.2026"/>
    <d v="2026-04-08T00:00:00"/>
    <s v="Mar'26"/>
    <s v="Apr'26"/>
    <s v="AFFLUX CONSTRUCTION "/>
  </r>
  <r>
    <n v="251"/>
    <s v="28/0"/>
    <x v="0"/>
    <s v="DD45+6"/>
    <s v="DFR"/>
    <m/>
    <m/>
    <m/>
    <x v="1"/>
    <s v="27.03.2026"/>
    <s v="04.04.2026"/>
    <s v="Mar'26"/>
    <s v="Apr'26"/>
    <s v="MAUSAUDDIN SK-I"/>
  </r>
  <r>
    <n v="252"/>
    <s v="54/0"/>
    <x v="2"/>
    <s v="DC2+18"/>
    <s v="DFR"/>
    <m/>
    <m/>
    <m/>
    <x v="1"/>
    <s v="31.03.2026"/>
    <d v="2026-04-18T00:00:00"/>
    <s v="Apr'26"/>
    <s v="Apr'26"/>
    <s v="Hemraj yadav"/>
  </r>
  <r>
    <n v="253"/>
    <s v="35/0"/>
    <x v="0"/>
    <s v="DB2+3"/>
    <s v="WET"/>
    <m/>
    <m/>
    <m/>
    <x v="1"/>
    <s v="01.04.2026"/>
    <d v="2026-04-09T00:00:00"/>
    <s v="Apr'26"/>
    <s v="Apr'26"/>
    <s v="MAUSAUDDIN SK-I"/>
  </r>
  <r>
    <n v="254"/>
    <s v="47/10"/>
    <x v="1"/>
    <s v="DA+3"/>
    <s v="WC"/>
    <s v="W3"/>
    <n v="6.5744400000000001"/>
    <m/>
    <x v="1"/>
    <d v="2026-04-14T00:00:00"/>
    <d v="2026-05-22T00:00:00"/>
    <s v="Apr'26"/>
    <s v="May'26"/>
    <s v="AFFLUX CONSTRUCTION "/>
  </r>
  <r>
    <n v="255"/>
    <s v="5/0"/>
    <x v="0"/>
    <s v="DB1+0"/>
    <s v="WC"/>
    <m/>
    <m/>
    <m/>
    <x v="1"/>
    <d v="2026-04-10T00:00:00"/>
    <d v="2026-04-14T00:00:00"/>
    <s v="Apr'26"/>
    <s v="Apr'26"/>
    <s v="MAUSAUDDIN SK-I"/>
  </r>
  <r>
    <n v="256"/>
    <s v="50/0"/>
    <x v="2"/>
    <s v="DC2+18"/>
    <s v="DFR"/>
    <s v="W1"/>
    <n v="22.435251039999997"/>
    <m/>
    <x v="1"/>
    <d v="2026-04-10T00:00:00"/>
    <d v="2026-05-05T00:00:00"/>
    <s v="Apr'26"/>
    <s v="May'26"/>
    <s v="Jai bhawani construction"/>
  </r>
  <r>
    <n v="257"/>
    <s v="39/9"/>
    <x v="1"/>
    <s v="DA+3"/>
    <s v="DFR"/>
    <m/>
    <m/>
    <m/>
    <x v="1"/>
    <d v="2026-04-10T00:00:00"/>
    <d v="2026-04-25T00:00:00"/>
    <s v="Apr'26"/>
    <s v="Apr'26"/>
    <s v="AFFLUX CONSTRUCTION "/>
  </r>
  <r>
    <n v="258"/>
    <s v="45/2"/>
    <x v="1"/>
    <s v="DA+0"/>
    <s v="DFR"/>
    <s v="W1"/>
    <n v="6.3707200000000004"/>
    <m/>
    <x v="1"/>
    <d v="2026-04-14T00:00:00"/>
    <d v="2026-05-04T00:00:00"/>
    <s v="Apr'26"/>
    <s v="May'26"/>
    <s v="AFFLUX CONSTRUCTION "/>
  </r>
  <r>
    <n v="259"/>
    <s v="4/6"/>
    <x v="0"/>
    <s v="DA+6"/>
    <s v="DFR"/>
    <m/>
    <m/>
    <m/>
    <x v="1"/>
    <d v="2026-04-10T00:00:00"/>
    <d v="2026-04-16T00:00:00"/>
    <s v="Apr'26"/>
    <s v="Apr'26"/>
    <s v="MAUSAUDDIN SK-I"/>
  </r>
  <r>
    <n v="260"/>
    <s v="47/9"/>
    <x v="1"/>
    <s v="DA+0"/>
    <s v="WC"/>
    <s v="W2"/>
    <n v="5.4959937183199994"/>
    <m/>
    <x v="1"/>
    <d v="2026-05-05T00:00:00"/>
    <d v="2026-05-14T00:00:00"/>
    <s v="May'26"/>
    <s v="May'26"/>
    <s v="AFFLUX CONSTRUCTION "/>
  </r>
  <r>
    <n v="261"/>
    <s v="4/3"/>
    <x v="0"/>
    <s v="DA(-)3"/>
    <s v="DFR"/>
    <m/>
    <m/>
    <m/>
    <x v="1"/>
    <d v="2026-04-16T00:00:00"/>
    <d v="2026-04-20T00:00:00"/>
    <s v="Apr'26"/>
    <s v="Apr'26"/>
    <s v="MAUSAUDDIN SK-I"/>
  </r>
  <r>
    <n v="262"/>
    <s v="4/4"/>
    <x v="0"/>
    <s v="DA+6"/>
    <s v="DFR"/>
    <m/>
    <m/>
    <m/>
    <x v="1"/>
    <d v="2026-04-16T00:00:00"/>
    <d v="2026-04-18T00:00:00"/>
    <s v="Apr'26"/>
    <s v="Apr'26"/>
    <s v="MAUSAUDDIN SK-I"/>
  </r>
  <r>
    <n v="263"/>
    <s v="3/1"/>
    <x v="0"/>
    <s v="DA(-)1.5"/>
    <s v="DFR "/>
    <m/>
    <m/>
    <m/>
    <x v="1"/>
    <d v="2026-04-27T00:00:00"/>
    <d v="2026-04-29T00:00:00"/>
    <s v="Apr'26"/>
    <s v="Apr'26"/>
    <s v="MAUSAUDDIN SK-I"/>
  </r>
  <r>
    <n v="264"/>
    <s v="4/0"/>
    <x v="0"/>
    <s v="DC1+0"/>
    <s v="DFR "/>
    <s v="W1"/>
    <n v="16.938269999999999"/>
    <m/>
    <x v="1"/>
    <d v="2026-05-01T00:00:00"/>
    <d v="2026-05-06T00:00:00"/>
    <s v="May'26"/>
    <s v="May'26"/>
    <s v="MAUSAUDDIN SK-I"/>
  </r>
  <r>
    <n v="265"/>
    <s v="4/5"/>
    <x v="0"/>
    <s v="DA(-)3"/>
    <s v="DFR "/>
    <s v="W1"/>
    <n v="6.2319500000000003"/>
    <m/>
    <x v="1"/>
    <d v="2026-04-28T00:00:00"/>
    <d v="2026-05-02T00:00:00"/>
    <s v="Apr'26"/>
    <s v="May'26"/>
    <s v="MAUSAUDDIN SK-I"/>
  </r>
  <r>
    <n v="266"/>
    <s v="51/0"/>
    <x v="2"/>
    <s v="DD45+9"/>
    <s v="DFR"/>
    <s v="W4"/>
    <n v="26.745646600000001"/>
    <m/>
    <x v="0"/>
    <d v="2026-05-08T00:00:00"/>
    <d v="2026-05-31T00:00:00"/>
    <s v="May'26"/>
    <s v="May'26"/>
    <s v="Balaji Construction"/>
  </r>
  <r>
    <n v="267"/>
    <s v="3/0"/>
    <x v="0"/>
    <s v="DD45+3"/>
    <s v="DFR"/>
    <s v="W2"/>
    <n v="26.7446269"/>
    <m/>
    <x v="1"/>
    <d v="2026-05-07T00:00:00"/>
    <d v="2026-05-12T00:00:00"/>
    <s v="May'26"/>
    <s v="May'26"/>
    <s v="Musauddin Sk"/>
  </r>
  <r>
    <n v="268"/>
    <s v="2/0"/>
    <x v="0"/>
    <s v="DD60+0"/>
    <s v="DFR"/>
    <s v="W3"/>
    <n v="31.681715710000002"/>
    <m/>
    <x v="1"/>
    <d v="2026-05-13T00:00:00"/>
    <d v="2026-05-19T00:00:00"/>
    <s v="May'26"/>
    <s v="May'26"/>
    <s v="Musauddin Sk"/>
  </r>
  <r>
    <n v="269"/>
    <s v="63/0"/>
    <x v="2"/>
    <s v="DC2+12"/>
    <s v="DFR"/>
    <s v="W4"/>
    <n v="19.31312149"/>
    <m/>
    <x v="1"/>
    <d v="2026-05-12T00:00:00"/>
    <d v="2026-06-07T00:00:00"/>
    <s v="May'26"/>
    <s v="June'26"/>
    <s v="Hemraj yadav"/>
  </r>
  <r>
    <n v="270"/>
    <s v="47/0"/>
    <x v="1"/>
    <s v="DC1+3"/>
    <s v="DFR"/>
    <s v="W4"/>
    <n v="17.270996950000001"/>
    <m/>
    <x v="1"/>
    <d v="2026-05-16T00:00:00"/>
    <d v="2026-06-06T00:00:00"/>
    <s v="May'26"/>
    <s v="June'26"/>
    <s v="Khatu Shyam construction"/>
  </r>
  <r>
    <n v="271"/>
    <s v="3/2"/>
    <x v="0"/>
    <s v="DA+6"/>
    <s v="DFR"/>
    <s v="W3"/>
    <n v="7.2371699999999999"/>
    <m/>
    <x v="1"/>
    <d v="2026-05-16T00:00:00"/>
    <d v="2026-05-20T00:00:00"/>
    <s v="May'26"/>
    <s v="May'26"/>
    <s v="Musauddin Sk"/>
  </r>
  <r>
    <n v="272"/>
    <s v="47/5"/>
    <x v="1"/>
    <s v="DA+3"/>
    <m/>
    <m/>
    <m/>
    <m/>
    <x v="3"/>
    <m/>
    <m/>
    <m/>
    <m/>
    <m/>
  </r>
  <r>
    <n v="273"/>
    <s v="1/0"/>
    <x v="0"/>
    <s v="DD60+0"/>
    <m/>
    <m/>
    <m/>
    <m/>
    <x v="4"/>
    <d v="2026-06-06T00:00:00"/>
    <m/>
    <s v="Jun'26"/>
    <m/>
    <s v="Musauddin Sk"/>
  </r>
  <r>
    <n v="274"/>
    <s v="62/0"/>
    <x v="2"/>
    <s v="DB1+12"/>
    <m/>
    <m/>
    <m/>
    <m/>
    <x v="4"/>
    <s v="6/7/267"/>
    <m/>
    <s v="Jun'26"/>
    <m/>
    <s v="Hemraj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CB720-7BB7-4343-924A-224BBE644AE3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G9" firstHeaderRow="1" firstDataRow="2" firstDataCol="1"/>
  <pivotFields count="14"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LOC No.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D24EB-2EBA-4CEF-8A50-0448E5690062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8" firstHeaderRow="1" firstDataRow="2" firstDataCol="1"/>
  <pivotFields count="13"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Col" showAll="0">
      <items count="6">
        <item x="0"/>
        <item x="1"/>
        <item m="1" x="4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7"/>
  </colFields>
  <colItems count="5">
    <i>
      <x/>
    </i>
    <i>
      <x v="1"/>
    </i>
    <i>
      <x v="3"/>
    </i>
    <i>
      <x v="4"/>
    </i>
    <i t="grand">
      <x/>
    </i>
  </colItems>
  <dataFields count="1">
    <dataField name="Count of LOC No.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0DBC0-D99C-473D-98B7-4FCB132228E1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(May) Week wise">
  <location ref="I14:J19" firstHeaderRow="1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" fld="1" baseField="0" baseItem="0" numFmtId="166"/>
  </dataFields>
  <formats count="7">
    <format dxfId="4682">
      <pivotArea type="all" dataOnly="0" outline="0" fieldPosition="0"/>
    </format>
    <format dxfId="4681">
      <pivotArea outline="0" collapsedLevelsAreSubtotals="1" fieldPosition="0"/>
    </format>
    <format dxfId="4680">
      <pivotArea field="0" type="button" dataOnly="0" labelOnly="1" outline="0" axis="axisRow" fieldPosition="0"/>
    </format>
    <format dxfId="4679">
      <pivotArea dataOnly="0" labelOnly="1" fieldPosition="0">
        <references count="1">
          <reference field="0" count="0"/>
        </references>
      </pivotArea>
    </format>
    <format dxfId="4678">
      <pivotArea dataOnly="0" labelOnly="1" grandRow="1" outline="0" fieldPosition="0"/>
    </format>
    <format dxfId="4677">
      <pivotArea dataOnly="0" labelOnly="1" outline="0" axis="axisValues" fieldPosition="0"/>
    </format>
    <format dxfId="467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180CA-BC42-46D3-AEA5-AA6EE96256B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(May) Week wise">
  <location ref="I3:J8" firstHeaderRow="1" firstDataRow="1" firstDataCol="1"/>
  <pivotFields count="2">
    <pivotField axis="axisRow" showAll="0">
      <items count="5">
        <item x="1"/>
        <item x="0"/>
        <item x="3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" fld="1" baseField="0" baseItem="0" numFmtId="166"/>
  </dataFields>
  <formats count="7">
    <format dxfId="4689">
      <pivotArea outline="0" collapsedLevelsAreSubtotals="1" fieldPosition="0"/>
    </format>
    <format dxfId="4688">
      <pivotArea type="all" dataOnly="0" outline="0" fieldPosition="0"/>
    </format>
    <format dxfId="4687">
      <pivotArea outline="0" collapsedLevelsAreSubtotals="1" fieldPosition="0"/>
    </format>
    <format dxfId="4686">
      <pivotArea field="0" type="button" dataOnly="0" labelOnly="1" outline="0" axis="axisRow" fieldPosition="0"/>
    </format>
    <format dxfId="4685">
      <pivotArea dataOnly="0" labelOnly="1" fieldPosition="0">
        <references count="1">
          <reference field="0" count="0"/>
        </references>
      </pivotArea>
    </format>
    <format dxfId="4684">
      <pivotArea dataOnly="0" labelOnly="1" grandRow="1" outline="0" fieldPosition="0"/>
    </format>
    <format dxfId="468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F27F-8FD2-4DEE-9553-DE91EAD5D833}">
  <sheetPr>
    <pageSetUpPr fitToPage="1"/>
  </sheetPr>
  <dimension ref="A1:BB222"/>
  <sheetViews>
    <sheetView zoomScale="55" zoomScaleNormal="55" workbookViewId="0">
      <selection activeCell="AS21" sqref="AS21"/>
    </sheetView>
  </sheetViews>
  <sheetFormatPr defaultRowHeight="14.5" x14ac:dyDescent="0.35"/>
  <cols>
    <col min="1" max="1" width="9.1796875" bestFit="1" customWidth="1"/>
    <col min="2" max="3" width="4" customWidth="1"/>
    <col min="4" max="4" width="6.1796875" style="6" customWidth="1"/>
    <col min="5" max="5" width="4.1796875" customWidth="1"/>
    <col min="6" max="6" width="3.81640625" customWidth="1"/>
    <col min="7" max="7" width="7" style="6" customWidth="1"/>
    <col min="8" max="9" width="4" customWidth="1"/>
    <col min="10" max="10" width="6.81640625" style="6" customWidth="1"/>
    <col min="11" max="12" width="4" customWidth="1"/>
    <col min="13" max="13" width="6.36328125" style="6" customWidth="1"/>
    <col min="14" max="14" width="5.1796875" customWidth="1"/>
    <col min="15" max="15" width="4" customWidth="1"/>
    <col min="16" max="16" width="5" style="6" customWidth="1"/>
    <col min="17" max="18" width="4" customWidth="1"/>
    <col min="19" max="19" width="5.81640625" style="6" customWidth="1"/>
    <col min="20" max="21" width="4" customWidth="1"/>
    <col min="22" max="22" width="5.1796875" style="6" customWidth="1"/>
    <col min="23" max="24" width="4" customWidth="1"/>
    <col min="25" max="25" width="7.81640625" style="6" customWidth="1"/>
    <col min="26" max="27" width="4" customWidth="1"/>
    <col min="28" max="28" width="6.81640625" style="6" customWidth="1"/>
    <col min="29" max="30" width="3.81640625" customWidth="1"/>
    <col min="31" max="31" width="6.1796875" style="6" customWidth="1"/>
    <col min="32" max="32" width="4" customWidth="1"/>
    <col min="33" max="33" width="3.81640625" customWidth="1"/>
    <col min="34" max="34" width="8.54296875" style="6" customWidth="1"/>
    <col min="35" max="35" width="4" customWidth="1"/>
    <col min="36" max="36" width="3.81640625" customWidth="1"/>
    <col min="37" max="37" width="5.81640625" style="6" customWidth="1"/>
    <col min="38" max="38" width="4" customWidth="1"/>
    <col min="39" max="39" width="3.54296875" customWidth="1"/>
    <col min="40" max="40" width="7.453125" style="6" customWidth="1"/>
    <col min="41" max="41" width="4" customWidth="1"/>
    <col min="42" max="42" width="3.453125" customWidth="1"/>
    <col min="43" max="43" width="7.81640625" customWidth="1"/>
    <col min="44" max="44" width="3.453125" customWidth="1"/>
    <col min="45" max="45" width="3.81640625" style="6" customWidth="1"/>
    <col min="46" max="46" width="4.1796875" style="6" bestFit="1" customWidth="1"/>
    <col min="47" max="47" width="2.54296875" customWidth="1"/>
    <col min="48" max="48" width="6.1796875" customWidth="1"/>
    <col min="49" max="49" width="6" customWidth="1"/>
    <col min="50" max="51" width="5.81640625" customWidth="1"/>
    <col min="52" max="52" width="8.1796875" customWidth="1"/>
    <col min="53" max="53" width="7.1796875" customWidth="1"/>
  </cols>
  <sheetData>
    <row r="1" spans="1:54" ht="21.75" customHeight="1" thickBot="1" x14ac:dyDescent="0.4">
      <c r="A1" s="689" t="str">
        <f>[2]TS!A1</f>
        <v>Name of Line:- 765 KV D/C Mandsaur - Kurawar (Part-1)Transmission Line(WZ-4)</v>
      </c>
      <c r="B1" s="690"/>
      <c r="C1" s="690"/>
      <c r="D1" s="690"/>
      <c r="E1" s="690"/>
      <c r="F1" s="690"/>
      <c r="G1" s="691"/>
      <c r="H1" s="691"/>
      <c r="I1" s="691"/>
      <c r="J1" s="691"/>
      <c r="K1" s="690"/>
      <c r="L1" s="690"/>
      <c r="M1" s="690"/>
      <c r="N1" s="690"/>
      <c r="O1" s="690"/>
      <c r="P1" s="690"/>
      <c r="Q1" s="690"/>
      <c r="R1" s="690"/>
      <c r="S1" s="690"/>
      <c r="T1" s="690"/>
      <c r="U1" s="690"/>
      <c r="V1" s="690"/>
      <c r="W1" s="690"/>
      <c r="X1" s="690"/>
      <c r="Y1" s="690"/>
      <c r="Z1" s="690"/>
      <c r="AA1" s="690"/>
      <c r="AB1" s="690"/>
      <c r="AC1" s="690"/>
      <c r="AD1" s="690"/>
      <c r="AE1" s="690"/>
      <c r="AF1" s="690"/>
      <c r="AG1" s="690"/>
      <c r="AH1" s="690"/>
      <c r="AI1" s="690"/>
      <c r="AJ1" s="690"/>
      <c r="AK1" s="690"/>
      <c r="AL1" s="690"/>
      <c r="AM1" s="690"/>
      <c r="AN1" s="690"/>
      <c r="AO1" s="690"/>
      <c r="AP1" s="690"/>
      <c r="AQ1" s="690"/>
      <c r="AR1" s="690"/>
      <c r="AS1" s="690"/>
      <c r="AT1" s="219"/>
      <c r="AV1" s="692"/>
      <c r="AW1" s="693"/>
      <c r="AX1" s="693"/>
      <c r="AY1" s="693"/>
      <c r="AZ1" s="693"/>
      <c r="BA1" s="693"/>
      <c r="BB1" s="693"/>
    </row>
    <row r="2" spans="1:54" ht="30" x14ac:dyDescent="0.45">
      <c r="A2" s="505"/>
      <c r="B2" s="506"/>
      <c r="C2" s="506"/>
      <c r="D2" s="19"/>
      <c r="E2" s="506"/>
      <c r="F2" s="506"/>
      <c r="G2" s="223"/>
      <c r="H2" s="223"/>
      <c r="I2" s="223"/>
      <c r="J2" s="223"/>
      <c r="K2" s="506"/>
      <c r="L2" s="506"/>
      <c r="M2" s="19"/>
      <c r="N2" s="506"/>
      <c r="O2" s="506"/>
      <c r="P2" s="19"/>
      <c r="Q2" s="506"/>
      <c r="R2" s="506"/>
      <c r="S2" s="19"/>
      <c r="T2" s="694" t="s">
        <v>387</v>
      </c>
      <c r="U2" s="694"/>
      <c r="V2" s="694"/>
      <c r="W2" s="694"/>
      <c r="X2" s="694"/>
      <c r="Y2" s="694"/>
      <c r="Z2" s="694"/>
      <c r="AA2" s="694"/>
      <c r="AB2" s="694"/>
      <c r="AC2" s="694"/>
      <c r="AD2" s="694"/>
      <c r="AE2" s="19"/>
      <c r="AF2" s="506"/>
      <c r="AG2" s="506"/>
      <c r="AH2" s="19"/>
      <c r="AI2" s="506"/>
      <c r="AJ2" s="506"/>
      <c r="AK2" s="695" t="s">
        <v>351</v>
      </c>
      <c r="AL2" s="695"/>
      <c r="AM2" s="695"/>
      <c r="AN2" s="696">
        <v>46195</v>
      </c>
      <c r="AO2" s="696"/>
      <c r="AP2" s="696"/>
      <c r="AQ2" s="507"/>
      <c r="AR2" s="507"/>
      <c r="AS2" s="19"/>
      <c r="AT2" s="220"/>
      <c r="AV2" s="496" t="s">
        <v>2139</v>
      </c>
      <c r="AW2" s="497" t="s">
        <v>2140</v>
      </c>
      <c r="AX2" s="498" t="s">
        <v>2141</v>
      </c>
      <c r="AY2" s="499" t="s">
        <v>352</v>
      </c>
      <c r="AZ2" s="970" t="s">
        <v>552</v>
      </c>
      <c r="BA2" s="971" t="s">
        <v>553</v>
      </c>
      <c r="BB2" s="501" t="s">
        <v>2123</v>
      </c>
    </row>
    <row r="3" spans="1:54" x14ac:dyDescent="0.35">
      <c r="A3" s="5"/>
      <c r="C3" s="6"/>
      <c r="F3" s="6"/>
      <c r="G3"/>
      <c r="AT3" s="7"/>
      <c r="AV3" s="8">
        <f>SUM(AV6:AV182)</f>
        <v>273</v>
      </c>
      <c r="AW3" s="8">
        <f>SUM(AW6:AW182)</f>
        <v>249</v>
      </c>
      <c r="AX3" s="8">
        <f>SUM(AX6:AX182)</f>
        <v>218</v>
      </c>
      <c r="AY3" s="8">
        <f t="shared" ref="AY3:BB3" si="0">SUM(AY6:AY182)</f>
        <v>20</v>
      </c>
      <c r="AZ3" s="8">
        <f t="shared" si="0"/>
        <v>1.5549999999999999</v>
      </c>
      <c r="BA3" s="8">
        <f t="shared" si="0"/>
        <v>0</v>
      </c>
      <c r="BB3" s="8">
        <f t="shared" si="0"/>
        <v>118387.00699999998</v>
      </c>
    </row>
    <row r="4" spans="1:54" x14ac:dyDescent="0.35">
      <c r="A4" s="5"/>
      <c r="B4" s="697"/>
      <c r="C4" s="697"/>
      <c r="E4" s="697"/>
      <c r="F4" s="697"/>
      <c r="H4" s="698"/>
      <c r="I4" s="698"/>
      <c r="K4" s="697"/>
      <c r="L4" s="697"/>
      <c r="N4" s="697"/>
      <c r="O4" s="697"/>
      <c r="Q4" s="698"/>
      <c r="R4" s="698"/>
      <c r="T4" s="698"/>
      <c r="U4" s="698"/>
      <c r="W4" s="711"/>
      <c r="X4" s="711"/>
      <c r="Z4" s="711"/>
      <c r="AA4" s="711"/>
      <c r="AC4" s="698"/>
      <c r="AD4" s="697"/>
      <c r="AF4" s="698"/>
      <c r="AG4" s="697"/>
      <c r="AI4" s="698"/>
      <c r="AJ4" s="697"/>
      <c r="AL4" s="698"/>
      <c r="AM4" s="697"/>
      <c r="AO4" s="698"/>
      <c r="AP4" s="697"/>
      <c r="AQ4" s="10"/>
      <c r="AR4" s="10"/>
      <c r="AT4" s="7"/>
      <c r="AV4" s="10"/>
    </row>
    <row r="5" spans="1:54" x14ac:dyDescent="0.35">
      <c r="A5" s="5"/>
      <c r="B5" s="11"/>
      <c r="C5" s="12"/>
      <c r="D5" s="508"/>
      <c r="E5" s="11"/>
      <c r="F5" s="12"/>
      <c r="G5" s="508"/>
      <c r="H5" s="11"/>
      <c r="I5" s="12"/>
      <c r="J5" s="509"/>
      <c r="K5" s="11"/>
      <c r="L5" s="12"/>
      <c r="M5" s="508"/>
      <c r="N5" s="11"/>
      <c r="O5" s="12"/>
      <c r="P5" s="510"/>
      <c r="Q5" s="11"/>
      <c r="R5" s="12"/>
      <c r="S5" s="510"/>
      <c r="T5" s="705" t="s">
        <v>397</v>
      </c>
      <c r="U5" s="706"/>
      <c r="V5" s="510"/>
      <c r="W5" s="705" t="s">
        <v>397</v>
      </c>
      <c r="X5" s="706"/>
      <c r="Y5" s="510"/>
      <c r="Z5" s="207"/>
      <c r="AA5" s="207"/>
      <c r="AB5" s="510"/>
      <c r="AC5" s="11"/>
      <c r="AD5" s="14"/>
      <c r="AE5" s="510"/>
      <c r="AF5" s="11"/>
      <c r="AG5" s="12"/>
      <c r="AH5" s="510"/>
      <c r="AI5" s="11"/>
      <c r="AJ5" s="12"/>
      <c r="AK5" s="510"/>
      <c r="AL5" s="11"/>
      <c r="AM5" s="12"/>
      <c r="AN5" s="510"/>
      <c r="AO5" s="11"/>
      <c r="AP5" s="12"/>
      <c r="AQ5" s="511"/>
      <c r="AR5" s="512"/>
      <c r="AS5" s="511"/>
      <c r="AT5" s="209"/>
    </row>
    <row r="6" spans="1:54" x14ac:dyDescent="0.35">
      <c r="A6" s="5"/>
      <c r="B6" s="678"/>
      <c r="C6" s="678"/>
      <c r="D6" s="513"/>
      <c r="E6" s="11"/>
      <c r="F6" s="11"/>
      <c r="G6" s="513"/>
      <c r="H6" s="11"/>
      <c r="I6" s="11"/>
      <c r="J6" s="514"/>
      <c r="K6" s="11"/>
      <c r="L6" s="11"/>
      <c r="M6" s="513"/>
      <c r="N6" s="11"/>
      <c r="O6" s="11"/>
      <c r="P6" s="513"/>
      <c r="Q6" s="11"/>
      <c r="R6" s="11"/>
      <c r="S6" s="513"/>
      <c r="T6" s="707"/>
      <c r="U6" s="708"/>
      <c r="V6" s="513"/>
      <c r="W6" s="707"/>
      <c r="X6" s="708"/>
      <c r="Y6" s="513"/>
      <c r="Z6" s="11"/>
      <c r="AA6" s="11"/>
      <c r="AB6" s="513"/>
      <c r="AC6" s="11"/>
      <c r="AD6" s="11"/>
      <c r="AF6" s="11"/>
      <c r="AG6" s="11"/>
      <c r="AH6" s="513"/>
      <c r="AI6" s="11"/>
      <c r="AJ6" s="11"/>
      <c r="AK6" s="513"/>
      <c r="AL6" s="11"/>
      <c r="AM6" s="11"/>
      <c r="AN6" s="513"/>
      <c r="AO6" s="11"/>
      <c r="AP6" s="12"/>
      <c r="AQ6" s="512"/>
      <c r="AR6" s="512"/>
      <c r="AS6" s="512"/>
      <c r="AT6" s="210"/>
      <c r="AV6" s="2">
        <v>12</v>
      </c>
      <c r="AW6" s="2">
        <v>12</v>
      </c>
      <c r="AX6" s="2">
        <v>3</v>
      </c>
      <c r="AY6" s="2">
        <v>0</v>
      </c>
      <c r="AZ6" s="2"/>
      <c r="BA6" s="2">
        <v>0</v>
      </c>
      <c r="BB6" s="405">
        <f>+A7+D7+G7+J7+M7+P7+S7+V7+Y7+AB7+AE7+AH7+AK7+AN7+AQ7</f>
        <v>5498.4219999999996</v>
      </c>
    </row>
    <row r="7" spans="1:54" x14ac:dyDescent="0.35">
      <c r="A7" s="515">
        <v>107.961</v>
      </c>
      <c r="B7" s="700" t="s">
        <v>9</v>
      </c>
      <c r="C7" s="700"/>
      <c r="D7" s="517">
        <v>148.47800000000001</v>
      </c>
      <c r="E7" s="700" t="s">
        <v>9</v>
      </c>
      <c r="F7" s="700"/>
      <c r="G7" s="517">
        <v>408.83199999999999</v>
      </c>
      <c r="H7" s="702" t="s">
        <v>12</v>
      </c>
      <c r="I7" s="700"/>
      <c r="J7" s="513">
        <v>380</v>
      </c>
      <c r="K7" s="702" t="s">
        <v>14</v>
      </c>
      <c r="L7" s="700"/>
      <c r="M7" s="513">
        <v>422</v>
      </c>
      <c r="N7" s="709" t="s">
        <v>16</v>
      </c>
      <c r="O7" s="710"/>
      <c r="P7" s="517">
        <v>408.35199999999998</v>
      </c>
      <c r="Q7" s="703" t="s">
        <v>18</v>
      </c>
      <c r="R7" s="700"/>
      <c r="S7" s="517">
        <v>419.45299999999997</v>
      </c>
      <c r="T7" s="703" t="s">
        <v>20</v>
      </c>
      <c r="U7" s="700"/>
      <c r="V7" s="513">
        <v>381</v>
      </c>
      <c r="W7" s="703" t="s">
        <v>20</v>
      </c>
      <c r="X7" s="700"/>
      <c r="Y7" s="513">
        <v>417</v>
      </c>
      <c r="Z7" s="699" t="s">
        <v>23</v>
      </c>
      <c r="AA7" s="700"/>
      <c r="AB7" s="6">
        <v>417</v>
      </c>
      <c r="AC7" s="699" t="s">
        <v>16</v>
      </c>
      <c r="AD7" s="700"/>
      <c r="AE7" s="513">
        <v>417</v>
      </c>
      <c r="AF7" s="700" t="s">
        <v>23</v>
      </c>
      <c r="AG7" s="700"/>
      <c r="AH7" s="517">
        <v>388.00299999999999</v>
      </c>
      <c r="AI7" s="699" t="s">
        <v>16</v>
      </c>
      <c r="AJ7" s="700"/>
      <c r="AK7" s="517">
        <v>452.34300000000002</v>
      </c>
      <c r="AL7" s="699" t="s">
        <v>28</v>
      </c>
      <c r="AM7" s="700"/>
      <c r="AN7" s="337">
        <v>401</v>
      </c>
      <c r="AO7" s="701" t="s">
        <v>23</v>
      </c>
      <c r="AP7" s="701"/>
      <c r="AQ7" s="513">
        <v>330</v>
      </c>
      <c r="AT7" s="7"/>
      <c r="AX7" s="10"/>
    </row>
    <row r="8" spans="1:54" x14ac:dyDescent="0.35">
      <c r="A8" s="5"/>
      <c r="B8" s="700" t="s">
        <v>8</v>
      </c>
      <c r="C8" s="700"/>
      <c r="D8" s="519"/>
      <c r="E8" s="700" t="s">
        <v>10</v>
      </c>
      <c r="F8" s="700"/>
      <c r="G8" s="519"/>
      <c r="H8" s="702" t="s">
        <v>11</v>
      </c>
      <c r="I8" s="700"/>
      <c r="J8" s="519"/>
      <c r="K8" s="702" t="s">
        <v>13</v>
      </c>
      <c r="L8" s="700"/>
      <c r="M8" s="519"/>
      <c r="N8" s="703" t="s">
        <v>15</v>
      </c>
      <c r="O8" s="704"/>
      <c r="P8" s="519"/>
      <c r="Q8" s="703" t="s">
        <v>17</v>
      </c>
      <c r="R8" s="704"/>
      <c r="S8" s="519"/>
      <c r="T8" s="703" t="s">
        <v>19</v>
      </c>
      <c r="U8" s="704"/>
      <c r="V8" s="519"/>
      <c r="W8" s="703" t="s">
        <v>21</v>
      </c>
      <c r="X8" s="704"/>
      <c r="Y8" s="519"/>
      <c r="Z8" s="703" t="s">
        <v>22</v>
      </c>
      <c r="AA8" s="704"/>
      <c r="AB8" s="513"/>
      <c r="AC8" s="703" t="s">
        <v>24</v>
      </c>
      <c r="AD8" s="704"/>
      <c r="AE8" s="519"/>
      <c r="AF8" s="703" t="s">
        <v>25</v>
      </c>
      <c r="AG8" s="704"/>
      <c r="AH8" s="519"/>
      <c r="AI8" s="703" t="s">
        <v>26</v>
      </c>
      <c r="AJ8" s="704"/>
      <c r="AK8" s="519"/>
      <c r="AL8" s="699" t="s">
        <v>27</v>
      </c>
      <c r="AM8" s="700"/>
      <c r="AN8" s="516"/>
      <c r="AO8" s="699" t="s">
        <v>29</v>
      </c>
      <c r="AP8" s="700"/>
      <c r="AQ8" s="6"/>
      <c r="AT8" s="7"/>
    </row>
    <row r="9" spans="1:54" x14ac:dyDescent="0.35">
      <c r="A9" s="5"/>
      <c r="B9" s="521" t="s">
        <v>359</v>
      </c>
      <c r="C9" s="521"/>
      <c r="D9" s="521"/>
      <c r="E9" s="521" t="s">
        <v>359</v>
      </c>
      <c r="F9" s="521"/>
      <c r="G9" s="522"/>
      <c r="H9" s="521" t="s">
        <v>359</v>
      </c>
      <c r="I9" s="521"/>
      <c r="J9" s="522"/>
      <c r="K9" s="521" t="s">
        <v>359</v>
      </c>
      <c r="L9" s="521"/>
      <c r="M9" s="522"/>
      <c r="N9" s="521" t="s">
        <v>359</v>
      </c>
      <c r="O9" s="521"/>
      <c r="P9" s="522"/>
      <c r="Q9" s="521" t="s">
        <v>359</v>
      </c>
      <c r="R9" s="523"/>
      <c r="S9" s="522"/>
      <c r="T9" s="521" t="s">
        <v>359</v>
      </c>
      <c r="U9" s="523"/>
      <c r="V9" s="522"/>
      <c r="W9" s="521" t="s">
        <v>359</v>
      </c>
      <c r="X9" s="521"/>
      <c r="Y9" s="522"/>
      <c r="Z9" s="521" t="s">
        <v>359</v>
      </c>
      <c r="AA9" s="521"/>
      <c r="AB9" s="522"/>
      <c r="AC9" s="521" t="s">
        <v>359</v>
      </c>
      <c r="AD9" s="521"/>
      <c r="AE9" s="524"/>
      <c r="AF9" s="521" t="s">
        <v>359</v>
      </c>
      <c r="AG9" s="521"/>
      <c r="AH9" s="522"/>
      <c r="AI9" s="521" t="s">
        <v>359</v>
      </c>
      <c r="AJ9" s="521"/>
      <c r="AK9" s="522"/>
      <c r="AL9" s="522" t="s">
        <v>359</v>
      </c>
      <c r="AM9" s="521"/>
      <c r="AN9" s="522"/>
      <c r="AO9" s="522" t="s">
        <v>359</v>
      </c>
      <c r="AP9" s="521"/>
      <c r="AQ9" s="521"/>
      <c r="AR9" s="521"/>
      <c r="AS9" s="525"/>
      <c r="AT9" s="7"/>
    </row>
    <row r="10" spans="1:54" x14ac:dyDescent="0.35">
      <c r="A10" s="5"/>
      <c r="K10" s="6"/>
      <c r="L10" s="6"/>
      <c r="S10" s="718"/>
      <c r="T10" s="718"/>
      <c r="U10" s="718"/>
      <c r="V10" s="718"/>
      <c r="Y10" s="719"/>
      <c r="Z10" s="719"/>
      <c r="AA10" s="719"/>
      <c r="AB10" s="719"/>
      <c r="AT10" s="7"/>
      <c r="AX10" t="s">
        <v>358</v>
      </c>
    </row>
    <row r="11" spans="1:54" x14ac:dyDescent="0.35">
      <c r="A11" s="5"/>
      <c r="Q11" s="6"/>
      <c r="AT11" s="7"/>
    </row>
    <row r="12" spans="1:54" x14ac:dyDescent="0.35">
      <c r="A12" s="5"/>
      <c r="B12" s="711"/>
      <c r="C12" s="711"/>
      <c r="E12" s="698"/>
      <c r="F12" s="697"/>
      <c r="H12" s="698"/>
      <c r="I12" s="697"/>
      <c r="K12" s="697"/>
      <c r="L12" s="697"/>
      <c r="N12" s="698"/>
      <c r="O12" s="697"/>
      <c r="Q12" s="698"/>
      <c r="R12" s="697"/>
      <c r="T12" s="698"/>
      <c r="U12" s="697"/>
      <c r="W12" s="698"/>
      <c r="X12" s="697"/>
      <c r="Z12" s="698"/>
      <c r="AA12" s="697"/>
      <c r="AC12" s="697"/>
      <c r="AD12" s="697"/>
      <c r="AF12" s="698"/>
      <c r="AG12" s="697"/>
      <c r="AI12" s="697"/>
      <c r="AJ12" s="697"/>
      <c r="AL12" s="697"/>
      <c r="AM12" s="697"/>
      <c r="AO12" s="698"/>
      <c r="AP12" s="697"/>
      <c r="AQ12" s="10"/>
      <c r="AR12" s="10"/>
      <c r="AT12" s="7"/>
    </row>
    <row r="13" spans="1:54" x14ac:dyDescent="0.35">
      <c r="A13" s="5"/>
      <c r="B13" s="11"/>
      <c r="C13" s="12"/>
      <c r="D13" s="510"/>
      <c r="E13" s="11"/>
      <c r="F13" s="12"/>
      <c r="G13" s="510"/>
      <c r="H13" s="11"/>
      <c r="I13" s="12"/>
      <c r="J13" s="510"/>
      <c r="K13" s="11"/>
      <c r="L13" s="12"/>
      <c r="M13" s="510"/>
      <c r="N13" s="11"/>
      <c r="O13" s="12"/>
      <c r="P13" s="510"/>
      <c r="Q13" s="11"/>
      <c r="R13" s="12"/>
      <c r="S13" s="510"/>
      <c r="T13" s="11"/>
      <c r="U13" s="12"/>
      <c r="V13" s="510"/>
      <c r="W13" s="11"/>
      <c r="X13" s="12"/>
      <c r="Y13" s="510"/>
      <c r="Z13" s="11"/>
      <c r="AA13" s="12"/>
      <c r="AB13" s="510"/>
      <c r="AC13" s="11"/>
      <c r="AD13" s="12"/>
      <c r="AE13" s="510"/>
      <c r="AF13" s="11"/>
      <c r="AG13" s="12"/>
      <c r="AH13" s="510"/>
      <c r="AI13" s="11"/>
      <c r="AJ13" s="12"/>
      <c r="AK13" s="526"/>
      <c r="AL13" s="11"/>
      <c r="AM13" s="12"/>
      <c r="AN13" s="510"/>
      <c r="AO13" s="11"/>
      <c r="AP13" s="12"/>
      <c r="AQ13" s="511"/>
      <c r="AR13" s="511"/>
      <c r="AS13" s="510"/>
      <c r="AT13" s="212"/>
    </row>
    <row r="14" spans="1:54" x14ac:dyDescent="0.35">
      <c r="A14" s="5"/>
      <c r="B14" s="11"/>
      <c r="C14" s="11"/>
      <c r="D14" s="513"/>
      <c r="E14" s="11"/>
      <c r="F14" s="11"/>
      <c r="G14" s="513"/>
      <c r="H14" s="11"/>
      <c r="I14" s="11"/>
      <c r="J14" s="519"/>
      <c r="K14" s="11"/>
      <c r="L14" s="11"/>
      <c r="M14" s="513"/>
      <c r="N14" s="11"/>
      <c r="O14" s="11"/>
      <c r="P14" s="513"/>
      <c r="Q14" s="11"/>
      <c r="R14" s="11"/>
      <c r="S14" s="513"/>
      <c r="T14" s="11"/>
      <c r="U14" s="11"/>
      <c r="V14" s="513"/>
      <c r="W14" s="11"/>
      <c r="X14" s="11"/>
      <c r="Y14" s="513"/>
      <c r="Z14" s="11"/>
      <c r="AA14" s="11"/>
      <c r="AB14" s="28"/>
      <c r="AC14" s="11"/>
      <c r="AD14" s="11"/>
      <c r="AE14" s="29"/>
      <c r="AF14" s="11"/>
      <c r="AG14" s="11"/>
      <c r="AH14" s="513"/>
      <c r="AI14" s="11"/>
      <c r="AJ14" s="11"/>
      <c r="AK14" s="513"/>
      <c r="AL14" s="11"/>
      <c r="AM14" s="11"/>
      <c r="AN14" s="513"/>
      <c r="AO14" s="11"/>
      <c r="AP14" s="11"/>
      <c r="AQ14" s="512"/>
      <c r="AR14" s="512"/>
      <c r="AS14" s="519"/>
      <c r="AT14" s="213"/>
      <c r="AV14" s="2">
        <v>14</v>
      </c>
      <c r="AW14" s="2">
        <v>14</v>
      </c>
      <c r="AX14" s="2">
        <v>14</v>
      </c>
      <c r="AY14" s="2">
        <v>8</v>
      </c>
      <c r="AZ14" s="2">
        <v>1.5549999999999999</v>
      </c>
      <c r="BA14" s="2">
        <v>0</v>
      </c>
      <c r="BB14" s="405">
        <f>+A15+D15+G15+J15+M15+P15+S15+V15+Y15+AB15+AE15+AH15+AK15+AN15+AQ15</f>
        <v>5348</v>
      </c>
    </row>
    <row r="15" spans="1:54" x14ac:dyDescent="0.35">
      <c r="A15" s="5"/>
      <c r="B15" s="700" t="s">
        <v>31</v>
      </c>
      <c r="C15" s="700"/>
      <c r="D15" s="513">
        <v>413</v>
      </c>
      <c r="E15" s="712" t="s">
        <v>33</v>
      </c>
      <c r="F15" s="712"/>
      <c r="G15" s="527">
        <v>422</v>
      </c>
      <c r="H15" s="713" t="s">
        <v>35</v>
      </c>
      <c r="I15" s="712"/>
      <c r="J15" s="519">
        <v>396</v>
      </c>
      <c r="K15" s="714" t="s">
        <v>31</v>
      </c>
      <c r="L15" s="712"/>
      <c r="M15" s="513">
        <v>385</v>
      </c>
      <c r="N15" s="714" t="s">
        <v>31</v>
      </c>
      <c r="O15" s="712"/>
      <c r="P15" s="513">
        <v>338</v>
      </c>
      <c r="Q15" s="715" t="s">
        <v>23</v>
      </c>
      <c r="R15" s="716"/>
      <c r="S15" s="513">
        <v>324</v>
      </c>
      <c r="T15" s="717" t="s">
        <v>40</v>
      </c>
      <c r="U15" s="712"/>
      <c r="V15" s="513">
        <v>380</v>
      </c>
      <c r="W15" s="699" t="s">
        <v>14</v>
      </c>
      <c r="X15" s="700"/>
      <c r="Y15" s="513">
        <v>374</v>
      </c>
      <c r="Z15" s="717" t="s">
        <v>35</v>
      </c>
      <c r="AA15" s="712"/>
      <c r="AB15" s="528">
        <v>415</v>
      </c>
      <c r="AC15" s="712" t="s">
        <v>35</v>
      </c>
      <c r="AD15" s="712"/>
      <c r="AE15" s="529">
        <v>386</v>
      </c>
      <c r="AF15" s="714" t="s">
        <v>40</v>
      </c>
      <c r="AG15" s="712"/>
      <c r="AH15" s="513">
        <v>352</v>
      </c>
      <c r="AI15" s="714" t="s">
        <v>31</v>
      </c>
      <c r="AJ15" s="712"/>
      <c r="AK15" s="513">
        <v>392</v>
      </c>
      <c r="AL15" s="714" t="s">
        <v>31</v>
      </c>
      <c r="AM15" s="712"/>
      <c r="AN15" s="513">
        <v>381</v>
      </c>
      <c r="AO15" s="714" t="s">
        <v>31</v>
      </c>
      <c r="AP15" s="712"/>
      <c r="AQ15" s="516">
        <v>390</v>
      </c>
      <c r="AR15" s="516"/>
      <c r="AS15" s="519"/>
      <c r="AT15" s="213"/>
    </row>
    <row r="16" spans="1:54" x14ac:dyDescent="0.35">
      <c r="A16" s="5"/>
      <c r="B16" s="699" t="s">
        <v>30</v>
      </c>
      <c r="C16" s="700"/>
      <c r="D16" s="519"/>
      <c r="E16" s="699" t="s">
        <v>32</v>
      </c>
      <c r="F16" s="700"/>
      <c r="G16" s="519"/>
      <c r="H16" s="699" t="s">
        <v>34</v>
      </c>
      <c r="I16" s="700"/>
      <c r="J16" s="519"/>
      <c r="K16" s="699" t="s">
        <v>36</v>
      </c>
      <c r="L16" s="700"/>
      <c r="M16" s="519"/>
      <c r="N16" s="699" t="s">
        <v>37</v>
      </c>
      <c r="O16" s="700"/>
      <c r="P16" s="519"/>
      <c r="Q16" s="699" t="s">
        <v>38</v>
      </c>
      <c r="R16" s="700"/>
      <c r="S16" s="519"/>
      <c r="T16" s="703" t="s">
        <v>39</v>
      </c>
      <c r="U16" s="704"/>
      <c r="V16" s="519"/>
      <c r="W16" s="703" t="s">
        <v>41</v>
      </c>
      <c r="X16" s="704"/>
      <c r="Y16" s="519"/>
      <c r="Z16" s="703" t="s">
        <v>42</v>
      </c>
      <c r="AA16" s="704"/>
      <c r="AB16" s="528"/>
      <c r="AC16" s="703" t="s">
        <v>43</v>
      </c>
      <c r="AD16" s="704"/>
      <c r="AE16" s="529"/>
      <c r="AF16" s="703" t="s">
        <v>44</v>
      </c>
      <c r="AG16" s="704"/>
      <c r="AH16" s="519"/>
      <c r="AI16" s="703" t="s">
        <v>45</v>
      </c>
      <c r="AJ16" s="704"/>
      <c r="AK16" s="519"/>
      <c r="AL16" s="703" t="s">
        <v>46</v>
      </c>
      <c r="AM16" s="704"/>
      <c r="AN16" s="519"/>
      <c r="AO16" s="703" t="s">
        <v>47</v>
      </c>
      <c r="AP16" s="704"/>
      <c r="AQ16" s="520"/>
      <c r="AR16" s="520"/>
      <c r="AT16" s="7"/>
    </row>
    <row r="17" spans="1:54" x14ac:dyDescent="0.35">
      <c r="A17" s="5"/>
      <c r="B17" s="522" t="s">
        <v>359</v>
      </c>
      <c r="C17" s="521"/>
      <c r="D17" s="522"/>
      <c r="E17" s="522" t="s">
        <v>359</v>
      </c>
      <c r="F17" s="523"/>
      <c r="G17" s="522"/>
      <c r="H17" s="521"/>
      <c r="I17" s="522" t="s">
        <v>359</v>
      </c>
      <c r="J17" s="522"/>
      <c r="K17" s="521"/>
      <c r="L17" s="522" t="s">
        <v>359</v>
      </c>
      <c r="M17" s="522"/>
      <c r="N17" s="521"/>
      <c r="O17" s="522" t="s">
        <v>359</v>
      </c>
      <c r="P17" s="522"/>
      <c r="Q17" s="521"/>
      <c r="R17" s="522" t="s">
        <v>359</v>
      </c>
      <c r="S17" s="522"/>
      <c r="T17" s="521"/>
      <c r="U17" s="522" t="s">
        <v>359</v>
      </c>
      <c r="V17" s="522"/>
      <c r="W17" s="521"/>
      <c r="X17" s="522" t="s">
        <v>359</v>
      </c>
      <c r="Y17" s="522"/>
      <c r="Z17" s="522" t="s">
        <v>359</v>
      </c>
      <c r="AA17" s="521"/>
      <c r="AB17" s="522"/>
      <c r="AC17" s="522" t="s">
        <v>359</v>
      </c>
      <c r="AD17" s="521"/>
      <c r="AE17" s="522"/>
      <c r="AF17" s="521"/>
      <c r="AG17" s="522" t="s">
        <v>359</v>
      </c>
      <c r="AH17" s="522"/>
      <c r="AI17" s="522" t="s">
        <v>359</v>
      </c>
      <c r="AJ17" s="521"/>
      <c r="AK17" s="522"/>
      <c r="AL17" s="521"/>
      <c r="AM17" s="522" t="s">
        <v>359</v>
      </c>
      <c r="AN17" s="522"/>
      <c r="AO17" s="522" t="s">
        <v>359</v>
      </c>
      <c r="AP17" s="522"/>
      <c r="AQ17" s="521"/>
      <c r="AR17" s="521"/>
      <c r="AT17" s="7"/>
      <c r="AV17" s="156"/>
      <c r="AW17" s="157"/>
    </row>
    <row r="18" spans="1:54" x14ac:dyDescent="0.35">
      <c r="A18" s="5"/>
      <c r="D18" s="719"/>
      <c r="E18" s="719"/>
      <c r="F18" s="719"/>
      <c r="G18" s="719"/>
      <c r="AT18" s="7"/>
    </row>
    <row r="19" spans="1:54" x14ac:dyDescent="0.35">
      <c r="A19" s="5"/>
      <c r="AT19" s="7"/>
    </row>
    <row r="20" spans="1:54" x14ac:dyDescent="0.35">
      <c r="A20" s="5"/>
      <c r="B20" s="720"/>
      <c r="C20" s="711"/>
      <c r="E20" s="697"/>
      <c r="F20" s="697"/>
      <c r="H20" s="698"/>
      <c r="I20" s="697"/>
      <c r="K20" s="697"/>
      <c r="L20" s="697"/>
      <c r="N20" s="697"/>
      <c r="O20" s="697"/>
      <c r="Q20" s="698"/>
      <c r="R20" s="697"/>
      <c r="T20" s="698"/>
      <c r="U20" s="697"/>
      <c r="W20" s="698"/>
      <c r="X20" s="697"/>
      <c r="Z20" s="698"/>
      <c r="AA20" s="697"/>
      <c r="AC20" s="698"/>
      <c r="AD20" s="697"/>
      <c r="AF20" s="698"/>
      <c r="AG20" s="697"/>
      <c r="AI20" s="698"/>
      <c r="AJ20" s="697"/>
      <c r="AL20" s="698"/>
      <c r="AM20" s="697"/>
      <c r="AO20" s="698"/>
      <c r="AP20" s="697"/>
      <c r="AQ20" s="10"/>
      <c r="AR20" s="10"/>
      <c r="AT20" s="7"/>
    </row>
    <row r="21" spans="1:54" x14ac:dyDescent="0.35">
      <c r="A21" s="5"/>
      <c r="B21" s="11"/>
      <c r="C21" s="12"/>
      <c r="D21" s="510"/>
      <c r="E21" s="11"/>
      <c r="F21" s="12"/>
      <c r="G21" s="510"/>
      <c r="H21" s="11"/>
      <c r="I21" s="12"/>
      <c r="J21" s="510"/>
      <c r="K21" s="11"/>
      <c r="L21" s="12"/>
      <c r="M21" s="510"/>
      <c r="N21" s="11"/>
      <c r="O21" s="12"/>
      <c r="P21" s="510"/>
      <c r="Q21" s="11"/>
      <c r="R21" s="12"/>
      <c r="S21" s="510"/>
      <c r="T21" s="11"/>
      <c r="U21" s="12"/>
      <c r="V21" s="510"/>
      <c r="W21" s="11"/>
      <c r="X21" s="12"/>
      <c r="Y21" s="510"/>
      <c r="Z21" s="11"/>
      <c r="AA21" s="12"/>
      <c r="AB21" s="510"/>
      <c r="AC21" s="11"/>
      <c r="AD21" s="12"/>
      <c r="AE21" s="510"/>
      <c r="AF21" s="11"/>
      <c r="AG21" s="12"/>
      <c r="AH21" s="510"/>
      <c r="AI21" s="11"/>
      <c r="AJ21" s="12"/>
      <c r="AK21" s="510"/>
      <c r="AL21" s="207"/>
      <c r="AM21" s="207"/>
      <c r="AN21" s="510"/>
      <c r="AO21" s="11"/>
      <c r="AP21" s="12"/>
      <c r="AQ21" s="511"/>
      <c r="AR21" s="511"/>
      <c r="AS21" s="510"/>
      <c r="AT21" s="212"/>
    </row>
    <row r="22" spans="1:54" x14ac:dyDescent="0.35">
      <c r="A22" s="5"/>
      <c r="B22" s="11"/>
      <c r="C22" s="11"/>
      <c r="D22" s="519"/>
      <c r="E22" s="11"/>
      <c r="F22" s="11"/>
      <c r="G22" s="519"/>
      <c r="H22" s="11"/>
      <c r="I22" s="11"/>
      <c r="J22" s="513"/>
      <c r="K22" s="11"/>
      <c r="L22" s="11"/>
      <c r="M22" s="513"/>
      <c r="N22" s="11"/>
      <c r="O22" s="11"/>
      <c r="P22" s="513"/>
      <c r="Q22" s="11"/>
      <c r="R22" s="11"/>
      <c r="S22" s="513"/>
      <c r="T22" s="11"/>
      <c r="U22" s="11"/>
      <c r="V22" s="513"/>
      <c r="W22" s="11"/>
      <c r="X22" s="11"/>
      <c r="Y22" s="519"/>
      <c r="Z22" s="11"/>
      <c r="AA22" s="11"/>
      <c r="AB22" s="513"/>
      <c r="AC22" s="11"/>
      <c r="AD22" s="11"/>
      <c r="AE22" s="513"/>
      <c r="AF22" s="11"/>
      <c r="AG22" s="11"/>
      <c r="AH22" s="513"/>
      <c r="AI22" s="11"/>
      <c r="AJ22" s="11"/>
      <c r="AK22" s="513"/>
      <c r="AL22" s="207"/>
      <c r="AM22" s="207"/>
      <c r="AN22" s="513"/>
      <c r="AO22" s="11"/>
      <c r="AP22" s="11"/>
      <c r="AQ22" s="512"/>
      <c r="AR22" s="512"/>
      <c r="AS22" s="513"/>
      <c r="AT22" s="211"/>
      <c r="AV22" s="2">
        <v>14</v>
      </c>
      <c r="AW22" s="2">
        <v>14</v>
      </c>
      <c r="AX22" s="2">
        <v>14</v>
      </c>
      <c r="AY22" s="2">
        <v>12</v>
      </c>
      <c r="AZ22" s="2"/>
      <c r="BA22" s="2">
        <v>0</v>
      </c>
      <c r="BB22" s="405">
        <f>+A23+D23+G23+J23+M23+P23+S23+V23+Y23+AB23+AE23+AH23+AK23+AN23+AQ23</f>
        <v>5480</v>
      </c>
    </row>
    <row r="23" spans="1:54" x14ac:dyDescent="0.35">
      <c r="A23" s="5"/>
      <c r="B23" s="703" t="s">
        <v>31</v>
      </c>
      <c r="C23" s="704"/>
      <c r="D23" s="519">
        <v>391</v>
      </c>
      <c r="E23" s="714" t="s">
        <v>28</v>
      </c>
      <c r="F23" s="712"/>
      <c r="G23" s="519">
        <v>331</v>
      </c>
      <c r="H23" s="713" t="s">
        <v>31</v>
      </c>
      <c r="I23" s="712"/>
      <c r="J23" s="513">
        <v>404</v>
      </c>
      <c r="K23" s="714" t="s">
        <v>33</v>
      </c>
      <c r="L23" s="712"/>
      <c r="M23" s="513">
        <v>410</v>
      </c>
      <c r="N23" s="714" t="s">
        <v>33</v>
      </c>
      <c r="O23" s="712"/>
      <c r="P23" s="513">
        <v>398</v>
      </c>
      <c r="Q23" s="715" t="s">
        <v>33</v>
      </c>
      <c r="R23" s="716"/>
      <c r="S23" s="513">
        <v>432</v>
      </c>
      <c r="T23" s="713" t="s">
        <v>31</v>
      </c>
      <c r="U23" s="712"/>
      <c r="V23" s="513">
        <v>356</v>
      </c>
      <c r="W23" s="713" t="s">
        <v>31</v>
      </c>
      <c r="X23" s="712"/>
      <c r="Y23" s="513">
        <v>408</v>
      </c>
      <c r="Z23" s="713" t="s">
        <v>31</v>
      </c>
      <c r="AA23" s="712"/>
      <c r="AB23" s="513">
        <v>415</v>
      </c>
      <c r="AC23" s="715" t="s">
        <v>33</v>
      </c>
      <c r="AD23" s="716"/>
      <c r="AE23" s="513">
        <v>371</v>
      </c>
      <c r="AF23" s="721" t="s">
        <v>23</v>
      </c>
      <c r="AG23" s="721"/>
      <c r="AH23" s="519">
        <v>364</v>
      </c>
      <c r="AI23" s="713" t="s">
        <v>31</v>
      </c>
      <c r="AJ23" s="712"/>
      <c r="AK23" s="530">
        <v>415</v>
      </c>
      <c r="AL23" s="721" t="s">
        <v>61</v>
      </c>
      <c r="AM23" s="721"/>
      <c r="AN23" s="519">
        <v>389</v>
      </c>
      <c r="AO23" s="715" t="s">
        <v>33</v>
      </c>
      <c r="AP23" s="716"/>
      <c r="AQ23" s="518">
        <v>396</v>
      </c>
      <c r="AR23" s="518"/>
      <c r="AT23" s="7"/>
      <c r="AW23" s="10"/>
      <c r="AX23" s="10"/>
      <c r="AY23" s="10"/>
      <c r="AZ23" s="10"/>
      <c r="BA23" s="10"/>
    </row>
    <row r="24" spans="1:54" x14ac:dyDescent="0.35">
      <c r="A24" s="5"/>
      <c r="B24" s="703" t="s">
        <v>48</v>
      </c>
      <c r="C24" s="704"/>
      <c r="D24" s="519"/>
      <c r="E24" s="699" t="s">
        <v>49</v>
      </c>
      <c r="F24" s="700"/>
      <c r="G24" s="519"/>
      <c r="H24" s="699" t="s">
        <v>50</v>
      </c>
      <c r="I24" s="700"/>
      <c r="J24" s="519"/>
      <c r="K24" s="699" t="s">
        <v>51</v>
      </c>
      <c r="L24" s="700"/>
      <c r="M24" s="519"/>
      <c r="N24" s="699" t="s">
        <v>52</v>
      </c>
      <c r="O24" s="700"/>
      <c r="P24" s="519"/>
      <c r="Q24" s="699" t="s">
        <v>53</v>
      </c>
      <c r="R24" s="700"/>
      <c r="S24" s="519"/>
      <c r="T24" s="699" t="s">
        <v>54</v>
      </c>
      <c r="U24" s="700"/>
      <c r="V24" s="519"/>
      <c r="W24" s="699" t="s">
        <v>55</v>
      </c>
      <c r="X24" s="700"/>
      <c r="Y24" s="519"/>
      <c r="Z24" s="699" t="s">
        <v>56</v>
      </c>
      <c r="AA24" s="700"/>
      <c r="AB24" s="519"/>
      <c r="AC24" s="699" t="s">
        <v>57</v>
      </c>
      <c r="AD24" s="700"/>
      <c r="AE24" s="531"/>
      <c r="AF24" s="699" t="s">
        <v>58</v>
      </c>
      <c r="AG24" s="700"/>
      <c r="AH24" s="531"/>
      <c r="AI24" s="699" t="s">
        <v>59</v>
      </c>
      <c r="AJ24" s="700"/>
      <c r="AK24" s="531"/>
      <c r="AL24" s="722" t="s">
        <v>60</v>
      </c>
      <c r="AM24" s="722"/>
      <c r="AN24" s="531"/>
      <c r="AO24" s="722" t="s">
        <v>62</v>
      </c>
      <c r="AP24" s="722"/>
      <c r="AQ24" s="530"/>
      <c r="AR24" s="530"/>
      <c r="AT24" s="7"/>
      <c r="AW24" s="10"/>
      <c r="AX24" s="10"/>
      <c r="AY24" s="10"/>
      <c r="AZ24" s="10"/>
      <c r="BA24" s="10"/>
    </row>
    <row r="25" spans="1:54" x14ac:dyDescent="0.35">
      <c r="A25" s="5"/>
      <c r="B25" s="522" t="s">
        <v>359</v>
      </c>
      <c r="C25" s="521"/>
      <c r="D25" s="522"/>
      <c r="E25" s="521"/>
      <c r="F25" s="522" t="s">
        <v>359</v>
      </c>
      <c r="G25" s="522"/>
      <c r="H25" s="522" t="s">
        <v>359</v>
      </c>
      <c r="I25" s="523"/>
      <c r="J25" s="522"/>
      <c r="K25" s="522" t="s">
        <v>359</v>
      </c>
      <c r="L25" s="523"/>
      <c r="M25" s="522"/>
      <c r="N25" s="522" t="s">
        <v>359</v>
      </c>
      <c r="O25" s="521"/>
      <c r="P25" s="522"/>
      <c r="Q25" s="521"/>
      <c r="R25" s="522" t="s">
        <v>359</v>
      </c>
      <c r="S25" s="522"/>
      <c r="T25" s="522" t="s">
        <v>359</v>
      </c>
      <c r="U25" s="521"/>
      <c r="V25" s="522"/>
      <c r="W25" s="522" t="s">
        <v>359</v>
      </c>
      <c r="X25" s="521"/>
      <c r="Y25" s="522"/>
      <c r="Z25" s="522" t="s">
        <v>359</v>
      </c>
      <c r="AA25" s="521"/>
      <c r="AB25" s="522"/>
      <c r="AC25" s="521"/>
      <c r="AD25" s="522" t="s">
        <v>359</v>
      </c>
      <c r="AE25" s="522"/>
      <c r="AF25" s="521"/>
      <c r="AG25" s="522" t="s">
        <v>359</v>
      </c>
      <c r="AH25" s="522"/>
      <c r="AI25" s="521"/>
      <c r="AJ25" s="522" t="s">
        <v>359</v>
      </c>
      <c r="AK25" s="522"/>
      <c r="AL25" s="521"/>
      <c r="AM25" s="522" t="s">
        <v>359</v>
      </c>
      <c r="AN25" s="522"/>
      <c r="AO25" s="522" t="s">
        <v>359</v>
      </c>
      <c r="AP25" s="522"/>
      <c r="AQ25" s="522"/>
      <c r="AR25" s="522"/>
      <c r="AT25" s="7"/>
      <c r="AW25" s="10"/>
      <c r="AX25" s="10"/>
      <c r="AY25" s="10"/>
      <c r="AZ25" s="10"/>
      <c r="BA25" s="10"/>
    </row>
    <row r="26" spans="1:54" x14ac:dyDescent="0.35">
      <c r="A26" s="5"/>
      <c r="G26" s="723"/>
      <c r="H26" s="723"/>
      <c r="I26" s="723"/>
      <c r="J26" s="723"/>
      <c r="T26" s="724" t="s">
        <v>404</v>
      </c>
      <c r="U26" s="724"/>
      <c r="V26" s="724"/>
      <c r="W26" s="724"/>
      <c r="X26" s="724"/>
      <c r="AT26" s="7"/>
      <c r="AW26" s="10"/>
      <c r="AX26" s="10"/>
      <c r="AY26" s="10"/>
      <c r="AZ26" s="10"/>
      <c r="BA26" s="10"/>
    </row>
    <row r="27" spans="1:54" x14ac:dyDescent="0.35">
      <c r="A27" s="5"/>
      <c r="V27" s="6" t="s">
        <v>399</v>
      </c>
      <c r="AT27" s="7"/>
      <c r="AW27" s="10"/>
      <c r="AX27" s="10"/>
      <c r="AY27" s="10"/>
      <c r="AZ27" s="10"/>
      <c r="BA27" s="10"/>
    </row>
    <row r="28" spans="1:54" x14ac:dyDescent="0.35">
      <c r="A28" s="5"/>
      <c r="B28" s="720"/>
      <c r="C28" s="711"/>
      <c r="E28" s="697"/>
      <c r="F28" s="697"/>
      <c r="H28" s="697"/>
      <c r="I28" s="697"/>
      <c r="K28" s="697"/>
      <c r="L28" s="697"/>
      <c r="N28" s="697"/>
      <c r="O28" s="697"/>
      <c r="Q28" s="697"/>
      <c r="R28" s="697"/>
      <c r="T28" s="697"/>
      <c r="U28" s="697"/>
      <c r="W28" s="697"/>
      <c r="X28" s="697"/>
      <c r="Z28" s="697"/>
      <c r="AA28" s="697"/>
      <c r="AC28" s="697"/>
      <c r="AD28" s="697"/>
      <c r="AF28" s="697"/>
      <c r="AG28" s="697"/>
      <c r="AI28" s="697"/>
      <c r="AJ28" s="697"/>
      <c r="AL28" s="697"/>
      <c r="AM28" s="697"/>
      <c r="AO28" s="697"/>
      <c r="AP28" s="697"/>
      <c r="AQ28" s="10"/>
      <c r="AR28" s="10"/>
      <c r="AT28" s="7"/>
    </row>
    <row r="29" spans="1:54" ht="15" customHeight="1" x14ac:dyDescent="0.35">
      <c r="A29" s="5"/>
      <c r="B29" s="11"/>
      <c r="C29" s="12"/>
      <c r="D29" s="510"/>
      <c r="E29" s="11"/>
      <c r="F29" s="12"/>
      <c r="G29" s="510"/>
      <c r="H29" s="11"/>
      <c r="I29" s="12"/>
      <c r="J29" s="510"/>
      <c r="K29" s="11"/>
      <c r="L29" s="12"/>
      <c r="M29" s="510"/>
      <c r="N29" s="11"/>
      <c r="O29" s="12"/>
      <c r="P29" s="510"/>
      <c r="Q29" s="11"/>
      <c r="R29" s="12"/>
      <c r="S29" s="510"/>
      <c r="T29" s="11"/>
      <c r="U29" s="12"/>
      <c r="V29" s="510"/>
      <c r="W29" s="705" t="s">
        <v>897</v>
      </c>
      <c r="X29" s="706"/>
      <c r="Y29" s="510"/>
      <c r="Z29" s="11"/>
      <c r="AA29" s="12"/>
      <c r="AB29" s="510"/>
      <c r="AC29" s="11"/>
      <c r="AD29" s="12"/>
      <c r="AE29" s="510"/>
      <c r="AF29" s="11"/>
      <c r="AG29" s="12"/>
      <c r="AH29" s="510"/>
      <c r="AI29" s="11"/>
      <c r="AJ29" s="12"/>
      <c r="AK29" s="510"/>
      <c r="AL29" s="11"/>
      <c r="AM29" s="12"/>
      <c r="AN29" s="510"/>
      <c r="AO29" s="11"/>
      <c r="AP29" s="12"/>
      <c r="AQ29" s="511"/>
      <c r="AR29" s="511"/>
      <c r="AS29" s="510"/>
      <c r="AT29" s="212"/>
    </row>
    <row r="30" spans="1:54" x14ac:dyDescent="0.35">
      <c r="A30" s="5"/>
      <c r="B30" s="11"/>
      <c r="C30" s="11"/>
      <c r="D30" s="513"/>
      <c r="E30" s="11"/>
      <c r="F30" s="11"/>
      <c r="G30" s="513"/>
      <c r="H30" s="11"/>
      <c r="I30" s="11"/>
      <c r="J30" s="513"/>
      <c r="K30" s="11"/>
      <c r="L30" s="11"/>
      <c r="M30" s="513"/>
      <c r="N30" s="11"/>
      <c r="O30" s="11"/>
      <c r="P30" s="513"/>
      <c r="Q30" s="11"/>
      <c r="R30" s="11"/>
      <c r="S30" s="513"/>
      <c r="T30" s="11"/>
      <c r="U30" s="11"/>
      <c r="V30" s="513"/>
      <c r="W30" s="707"/>
      <c r="X30" s="708"/>
      <c r="Y30" s="519"/>
      <c r="Z30" s="11"/>
      <c r="AA30" s="11"/>
      <c r="AB30" s="513"/>
      <c r="AC30" s="11"/>
      <c r="AD30" s="11"/>
      <c r="AE30" s="513"/>
      <c r="AF30" s="11"/>
      <c r="AG30" s="11"/>
      <c r="AH30" s="519"/>
      <c r="AI30" s="11"/>
      <c r="AJ30" s="11"/>
      <c r="AK30" s="513"/>
      <c r="AL30" s="11"/>
      <c r="AM30" s="11"/>
      <c r="AN30" s="519"/>
      <c r="AO30" s="11"/>
      <c r="AP30" s="11"/>
      <c r="AQ30" s="512"/>
      <c r="AR30" s="512"/>
      <c r="AS30" s="513"/>
      <c r="AT30" s="211"/>
      <c r="AV30" s="2">
        <v>13</v>
      </c>
      <c r="AW30" s="2">
        <v>13</v>
      </c>
      <c r="AX30" s="2">
        <v>13</v>
      </c>
      <c r="AY30" s="2">
        <v>0</v>
      </c>
      <c r="AZ30" s="2"/>
      <c r="BA30" s="2">
        <v>0</v>
      </c>
      <c r="BB30" s="405">
        <f>+A31+D31+G31+J31+M31+P31+S31+V31+Y31+AB31+AE31+AH31+AK31+AN31+AQ31</f>
        <v>5326</v>
      </c>
    </row>
    <row r="31" spans="1:54" x14ac:dyDescent="0.35">
      <c r="A31" s="5"/>
      <c r="B31" s="713" t="s">
        <v>31</v>
      </c>
      <c r="C31" s="712"/>
      <c r="D31" s="513">
        <v>439</v>
      </c>
      <c r="E31" s="713" t="s">
        <v>16</v>
      </c>
      <c r="F31" s="712"/>
      <c r="G31" s="513">
        <v>381</v>
      </c>
      <c r="H31" s="714" t="s">
        <v>28</v>
      </c>
      <c r="I31" s="712"/>
      <c r="J31" s="513">
        <v>386</v>
      </c>
      <c r="K31" s="714" t="s">
        <v>31</v>
      </c>
      <c r="L31" s="712"/>
      <c r="M31" s="513">
        <v>356</v>
      </c>
      <c r="N31" s="714" t="s">
        <v>23</v>
      </c>
      <c r="O31" s="712"/>
      <c r="P31" s="513">
        <v>365</v>
      </c>
      <c r="Q31" s="714" t="s">
        <v>33</v>
      </c>
      <c r="R31" s="712"/>
      <c r="S31" s="513">
        <v>475</v>
      </c>
      <c r="T31" s="714" t="s">
        <v>70</v>
      </c>
      <c r="U31" s="712"/>
      <c r="V31" s="513">
        <v>196</v>
      </c>
      <c r="W31" s="714" t="s">
        <v>70</v>
      </c>
      <c r="X31" s="712"/>
      <c r="Y31" s="519">
        <v>477</v>
      </c>
      <c r="Z31" s="714" t="s">
        <v>33</v>
      </c>
      <c r="AA31" s="712"/>
      <c r="AB31" s="513">
        <v>363</v>
      </c>
      <c r="AC31" s="714" t="s">
        <v>23</v>
      </c>
      <c r="AD31" s="712"/>
      <c r="AE31" s="513">
        <v>328</v>
      </c>
      <c r="AF31" s="714" t="s">
        <v>23</v>
      </c>
      <c r="AG31" s="712"/>
      <c r="AH31" s="519">
        <v>376</v>
      </c>
      <c r="AI31" s="714" t="s">
        <v>31</v>
      </c>
      <c r="AJ31" s="712"/>
      <c r="AK31" s="513">
        <v>393</v>
      </c>
      <c r="AL31" s="714" t="s">
        <v>35</v>
      </c>
      <c r="AM31" s="712"/>
      <c r="AN31" s="519">
        <v>397</v>
      </c>
      <c r="AO31" s="714" t="s">
        <v>31</v>
      </c>
      <c r="AP31" s="712"/>
      <c r="AQ31" s="516">
        <v>394</v>
      </c>
      <c r="AR31" s="516"/>
      <c r="AS31" s="513"/>
      <c r="AT31" s="211"/>
    </row>
    <row r="32" spans="1:54" x14ac:dyDescent="0.35">
      <c r="A32" s="5"/>
      <c r="B32" s="722" t="s">
        <v>63</v>
      </c>
      <c r="C32" s="722"/>
      <c r="D32" s="519"/>
      <c r="E32" s="722" t="s">
        <v>64</v>
      </c>
      <c r="F32" s="722"/>
      <c r="G32" s="519"/>
      <c r="H32" s="722" t="s">
        <v>65</v>
      </c>
      <c r="I32" s="722"/>
      <c r="J32" s="519"/>
      <c r="K32" s="722" t="s">
        <v>66</v>
      </c>
      <c r="L32" s="722"/>
      <c r="M32" s="519"/>
      <c r="N32" s="722" t="s">
        <v>67</v>
      </c>
      <c r="O32" s="722"/>
      <c r="P32" s="519"/>
      <c r="Q32" s="722" t="s">
        <v>68</v>
      </c>
      <c r="R32" s="722"/>
      <c r="S32" s="519"/>
      <c r="T32" s="699" t="s">
        <v>69</v>
      </c>
      <c r="U32" s="700"/>
      <c r="V32" s="519"/>
      <c r="W32" s="699" t="s">
        <v>388</v>
      </c>
      <c r="X32" s="700"/>
      <c r="Y32" s="519"/>
      <c r="Z32" s="699" t="s">
        <v>71</v>
      </c>
      <c r="AA32" s="700"/>
      <c r="AB32" s="519"/>
      <c r="AC32" s="699" t="s">
        <v>72</v>
      </c>
      <c r="AD32" s="700"/>
      <c r="AE32" s="519"/>
      <c r="AF32" s="699" t="s">
        <v>73</v>
      </c>
      <c r="AG32" s="700"/>
      <c r="AH32" s="519"/>
      <c r="AI32" s="699" t="s">
        <v>74</v>
      </c>
      <c r="AJ32" s="700"/>
      <c r="AK32" s="519"/>
      <c r="AL32" s="699" t="s">
        <v>75</v>
      </c>
      <c r="AM32" s="700"/>
      <c r="AN32" s="519"/>
      <c r="AO32" s="699" t="s">
        <v>76</v>
      </c>
      <c r="AP32" s="700"/>
      <c r="AQ32" s="516"/>
      <c r="AR32" s="516"/>
      <c r="AT32" s="7"/>
    </row>
    <row r="33" spans="1:54" x14ac:dyDescent="0.35">
      <c r="A33" s="5"/>
      <c r="B33" s="522" t="s">
        <v>359</v>
      </c>
      <c r="C33" s="521"/>
      <c r="D33" s="522"/>
      <c r="E33" s="521"/>
      <c r="F33" s="522" t="s">
        <v>359</v>
      </c>
      <c r="G33" s="522"/>
      <c r="H33" s="521"/>
      <c r="I33" s="522" t="s">
        <v>359</v>
      </c>
      <c r="J33" s="522"/>
      <c r="K33" s="521"/>
      <c r="L33" s="522" t="s">
        <v>359</v>
      </c>
      <c r="M33" s="522"/>
      <c r="N33" s="521"/>
      <c r="O33" s="522" t="s">
        <v>359</v>
      </c>
      <c r="P33" s="522"/>
      <c r="Q33" s="521"/>
      <c r="R33" s="522" t="s">
        <v>359</v>
      </c>
      <c r="S33" s="522"/>
      <c r="T33" s="521"/>
      <c r="U33" s="522" t="s">
        <v>359</v>
      </c>
      <c r="V33" s="522"/>
      <c r="W33" s="521"/>
      <c r="X33" s="522" t="s">
        <v>359</v>
      </c>
      <c r="Y33" s="522"/>
      <c r="Z33" s="521"/>
      <c r="AA33" s="522" t="s">
        <v>359</v>
      </c>
      <c r="AB33" s="522"/>
      <c r="AC33" s="521"/>
      <c r="AD33" s="522" t="s">
        <v>359</v>
      </c>
      <c r="AE33" s="522"/>
      <c r="AF33" s="521"/>
      <c r="AG33" s="522" t="s">
        <v>359</v>
      </c>
      <c r="AH33" s="522"/>
      <c r="AI33" s="521"/>
      <c r="AJ33" s="522" t="s">
        <v>359</v>
      </c>
      <c r="AK33" s="522"/>
      <c r="AL33" s="521"/>
      <c r="AM33" s="522" t="s">
        <v>359</v>
      </c>
      <c r="AN33" s="522"/>
      <c r="AO33" s="522" t="s">
        <v>359</v>
      </c>
      <c r="AP33" s="522"/>
      <c r="AQ33" s="522"/>
      <c r="AR33" s="522"/>
      <c r="AT33" s="7"/>
    </row>
    <row r="34" spans="1:54" x14ac:dyDescent="0.35">
      <c r="A34" s="5"/>
      <c r="B34" s="711"/>
      <c r="C34" s="711"/>
      <c r="D34" s="711"/>
      <c r="K34" s="516"/>
      <c r="AE34"/>
      <c r="AF34" s="6"/>
      <c r="AI34" s="6"/>
      <c r="AT34" s="7"/>
    </row>
    <row r="35" spans="1:54" x14ac:dyDescent="0.35">
      <c r="A35" s="5"/>
      <c r="AT35" s="7"/>
    </row>
    <row r="36" spans="1:54" x14ac:dyDescent="0.35">
      <c r="A36" s="5"/>
      <c r="B36" s="711"/>
      <c r="C36" s="711"/>
      <c r="E36" s="697"/>
      <c r="F36" s="697"/>
      <c r="H36" s="697"/>
      <c r="I36" s="697"/>
      <c r="K36" s="697"/>
      <c r="L36" s="697"/>
      <c r="N36" s="697"/>
      <c r="O36" s="697"/>
      <c r="Q36" s="697"/>
      <c r="R36" s="697"/>
      <c r="T36" s="697"/>
      <c r="U36" s="697"/>
      <c r="W36" s="697"/>
      <c r="X36" s="697"/>
      <c r="Z36" s="697"/>
      <c r="AA36" s="697"/>
      <c r="AC36" s="697"/>
      <c r="AD36" s="697"/>
      <c r="AF36" s="697"/>
      <c r="AG36" s="697"/>
      <c r="AI36" s="697"/>
      <c r="AJ36" s="697"/>
      <c r="AL36" s="697"/>
      <c r="AM36" s="697"/>
      <c r="AO36" s="697"/>
      <c r="AP36" s="697"/>
      <c r="AQ36" s="10"/>
      <c r="AR36" s="10"/>
      <c r="AT36" s="7"/>
    </row>
    <row r="37" spans="1:54" x14ac:dyDescent="0.35">
      <c r="A37" s="5"/>
      <c r="B37" s="11"/>
      <c r="C37" s="14"/>
      <c r="D37" s="510"/>
      <c r="E37" s="11"/>
      <c r="F37" s="14"/>
      <c r="G37" s="510"/>
      <c r="H37" s="11"/>
      <c r="I37" s="14"/>
      <c r="J37" s="526"/>
      <c r="K37" s="11"/>
      <c r="L37" s="14"/>
      <c r="M37" s="510"/>
      <c r="N37" s="11"/>
      <c r="O37" s="14"/>
      <c r="P37" s="510"/>
      <c r="Q37" s="11"/>
      <c r="R37" s="14"/>
      <c r="S37" s="510"/>
      <c r="T37" s="11"/>
      <c r="U37" s="12"/>
      <c r="V37" s="510"/>
      <c r="W37" s="11"/>
      <c r="X37" s="12"/>
      <c r="Y37" s="510"/>
      <c r="Z37" s="11"/>
      <c r="AA37" s="12"/>
      <c r="AB37" s="510"/>
      <c r="AC37" s="11"/>
      <c r="AD37" s="12"/>
      <c r="AE37" s="510"/>
      <c r="AF37" s="11"/>
      <c r="AG37" s="12"/>
      <c r="AH37" s="510"/>
      <c r="AI37" s="11"/>
      <c r="AJ37" s="12"/>
      <c r="AK37" s="510"/>
      <c r="AL37" s="11"/>
      <c r="AM37" s="12"/>
      <c r="AN37" s="510"/>
      <c r="AO37" s="11"/>
      <c r="AP37" s="12"/>
      <c r="AQ37" s="511"/>
      <c r="AR37" s="511"/>
      <c r="AS37" s="510"/>
      <c r="AT37" s="212"/>
    </row>
    <row r="38" spans="1:54" x14ac:dyDescent="0.35">
      <c r="A38" s="5"/>
      <c r="B38" s="11"/>
      <c r="C38" s="11"/>
      <c r="D38" s="519"/>
      <c r="E38" s="11"/>
      <c r="F38" s="11"/>
      <c r="G38" s="513"/>
      <c r="H38" s="11"/>
      <c r="I38" s="11"/>
      <c r="J38" s="519"/>
      <c r="K38" s="11"/>
      <c r="L38" s="11"/>
      <c r="M38" s="513"/>
      <c r="N38" s="11"/>
      <c r="O38" s="11"/>
      <c r="P38" s="519"/>
      <c r="Q38" s="11"/>
      <c r="R38" s="11"/>
      <c r="S38" s="513"/>
      <c r="T38" s="11"/>
      <c r="U38" s="11"/>
      <c r="V38" s="519"/>
      <c r="W38" s="11"/>
      <c r="X38" s="11"/>
      <c r="Y38" s="519"/>
      <c r="Z38" s="11"/>
      <c r="AA38" s="11"/>
      <c r="AB38" s="519"/>
      <c r="AC38" s="11"/>
      <c r="AD38" s="11"/>
      <c r="AE38" s="519"/>
      <c r="AF38" s="11"/>
      <c r="AG38" s="11"/>
      <c r="AH38" s="519"/>
      <c r="AI38" s="11"/>
      <c r="AJ38" s="11"/>
      <c r="AK38" s="519"/>
      <c r="AL38" s="11"/>
      <c r="AM38" s="11"/>
      <c r="AO38" s="11"/>
      <c r="AP38" s="11"/>
      <c r="AQ38" s="512"/>
      <c r="AR38" s="512"/>
      <c r="AS38" s="519"/>
      <c r="AT38" s="213"/>
      <c r="AV38" s="2">
        <v>14</v>
      </c>
      <c r="AW38" s="2">
        <v>14</v>
      </c>
      <c r="AX38" s="2">
        <v>13</v>
      </c>
      <c r="AY38" s="2">
        <v>0</v>
      </c>
      <c r="AZ38" s="2"/>
      <c r="BA38" s="2">
        <v>0</v>
      </c>
      <c r="BB38" s="405">
        <f>+A39+D39+G39+J39+M39+P39+S39+V39+Y39+AB39+AE39+AH39+AK39+AN39+AQ39</f>
        <v>5154</v>
      </c>
    </row>
    <row r="39" spans="1:54" x14ac:dyDescent="0.35">
      <c r="A39" s="5"/>
      <c r="B39" s="699" t="s">
        <v>31</v>
      </c>
      <c r="C39" s="700"/>
      <c r="D39" s="519">
        <v>373</v>
      </c>
      <c r="E39" s="714" t="s">
        <v>61</v>
      </c>
      <c r="F39" s="712"/>
      <c r="G39" s="519">
        <v>357</v>
      </c>
      <c r="H39" s="714" t="s">
        <v>14</v>
      </c>
      <c r="I39" s="712"/>
      <c r="J39" s="519">
        <v>374</v>
      </c>
      <c r="K39" s="714" t="s">
        <v>31</v>
      </c>
      <c r="L39" s="712"/>
      <c r="M39" s="519">
        <v>380</v>
      </c>
      <c r="N39" s="714" t="s">
        <v>31</v>
      </c>
      <c r="O39" s="712"/>
      <c r="P39" s="519">
        <v>344</v>
      </c>
      <c r="Q39" s="714" t="s">
        <v>23</v>
      </c>
      <c r="R39" s="712"/>
      <c r="S39" s="519">
        <v>330</v>
      </c>
      <c r="T39" s="714" t="s">
        <v>31</v>
      </c>
      <c r="U39" s="712"/>
      <c r="V39" s="519">
        <v>367</v>
      </c>
      <c r="W39" s="714" t="s">
        <v>18</v>
      </c>
      <c r="X39" s="712"/>
      <c r="Y39" s="519">
        <v>385</v>
      </c>
      <c r="Z39" s="714" t="s">
        <v>31</v>
      </c>
      <c r="AA39" s="712"/>
      <c r="AB39" s="519">
        <v>355</v>
      </c>
      <c r="AC39" s="714" t="s">
        <v>31</v>
      </c>
      <c r="AD39" s="712"/>
      <c r="AE39" s="519">
        <v>357</v>
      </c>
      <c r="AF39" s="714" t="s">
        <v>23</v>
      </c>
      <c r="AG39" s="712"/>
      <c r="AH39" s="519">
        <v>393</v>
      </c>
      <c r="AI39" s="714" t="s">
        <v>33</v>
      </c>
      <c r="AJ39" s="712"/>
      <c r="AK39" s="530">
        <v>383</v>
      </c>
      <c r="AL39" s="714" t="s">
        <v>31</v>
      </c>
      <c r="AM39" s="712"/>
      <c r="AN39" s="519">
        <v>388</v>
      </c>
      <c r="AO39" s="714" t="s">
        <v>61</v>
      </c>
      <c r="AP39" s="712"/>
      <c r="AQ39" s="516">
        <v>368</v>
      </c>
      <c r="AR39" s="516"/>
      <c r="AT39" s="7"/>
    </row>
    <row r="40" spans="1:54" x14ac:dyDescent="0.35">
      <c r="A40" s="5"/>
      <c r="B40" s="699" t="s">
        <v>77</v>
      </c>
      <c r="C40" s="700"/>
      <c r="D40" s="519"/>
      <c r="E40" s="699" t="s">
        <v>78</v>
      </c>
      <c r="F40" s="700"/>
      <c r="G40" s="519"/>
      <c r="H40" s="699" t="s">
        <v>79</v>
      </c>
      <c r="I40" s="700"/>
      <c r="J40" s="519"/>
      <c r="K40" s="699" t="s">
        <v>80</v>
      </c>
      <c r="L40" s="700"/>
      <c r="M40" s="519"/>
      <c r="N40" s="699" t="s">
        <v>81</v>
      </c>
      <c r="O40" s="700"/>
      <c r="P40" s="519"/>
      <c r="Q40" s="699" t="s">
        <v>82</v>
      </c>
      <c r="R40" s="700"/>
      <c r="S40" s="519"/>
      <c r="T40" s="699" t="s">
        <v>83</v>
      </c>
      <c r="U40" s="700"/>
      <c r="V40" s="519"/>
      <c r="W40" s="699" t="s">
        <v>84</v>
      </c>
      <c r="X40" s="700"/>
      <c r="Y40" s="519"/>
      <c r="Z40" s="699" t="s">
        <v>85</v>
      </c>
      <c r="AA40" s="700"/>
      <c r="AB40" s="519"/>
      <c r="AC40" s="699" t="s">
        <v>86</v>
      </c>
      <c r="AD40" s="700"/>
      <c r="AE40" s="519"/>
      <c r="AF40" s="699" t="s">
        <v>87</v>
      </c>
      <c r="AG40" s="700"/>
      <c r="AH40" s="519"/>
      <c r="AI40" s="699" t="s">
        <v>88</v>
      </c>
      <c r="AJ40" s="700"/>
      <c r="AK40" s="519"/>
      <c r="AL40" s="699" t="s">
        <v>89</v>
      </c>
      <c r="AM40" s="700"/>
      <c r="AN40" s="519"/>
      <c r="AO40" s="699" t="s">
        <v>90</v>
      </c>
      <c r="AP40" s="700"/>
      <c r="AQ40" s="516"/>
      <c r="AR40" s="516"/>
      <c r="AT40" s="7"/>
    </row>
    <row r="41" spans="1:54" x14ac:dyDescent="0.35">
      <c r="A41" s="5"/>
      <c r="B41" s="521"/>
      <c r="C41" s="522" t="s">
        <v>359</v>
      </c>
      <c r="D41" s="522"/>
      <c r="E41" s="521"/>
      <c r="F41" s="522" t="s">
        <v>359</v>
      </c>
      <c r="G41" s="522"/>
      <c r="H41" s="521"/>
      <c r="I41" s="522" t="s">
        <v>359</v>
      </c>
      <c r="J41" s="522"/>
      <c r="K41" s="521"/>
      <c r="L41" s="522" t="s">
        <v>359</v>
      </c>
      <c r="M41" s="522"/>
      <c r="N41" s="522" t="s">
        <v>359</v>
      </c>
      <c r="O41" s="521"/>
      <c r="P41" s="522"/>
      <c r="Q41" s="532"/>
      <c r="R41" s="522" t="s">
        <v>359</v>
      </c>
      <c r="S41" s="533"/>
      <c r="T41" s="532"/>
      <c r="U41" s="522" t="s">
        <v>359</v>
      </c>
      <c r="V41" s="533"/>
      <c r="W41" s="532"/>
      <c r="X41" s="522" t="s">
        <v>359</v>
      </c>
      <c r="Y41" s="533"/>
      <c r="Z41" s="532"/>
      <c r="AA41" s="522" t="s">
        <v>359</v>
      </c>
      <c r="AB41" s="533"/>
      <c r="AC41" s="532"/>
      <c r="AD41" s="522" t="s">
        <v>359</v>
      </c>
      <c r="AE41" s="533"/>
      <c r="AF41" s="532"/>
      <c r="AG41" s="522" t="s">
        <v>359</v>
      </c>
      <c r="AH41" s="533"/>
      <c r="AI41" s="532"/>
      <c r="AJ41" s="522" t="s">
        <v>359</v>
      </c>
      <c r="AK41" s="533"/>
      <c r="AL41" s="522" t="s">
        <v>359</v>
      </c>
      <c r="AM41" s="532"/>
      <c r="AN41" s="533"/>
      <c r="AO41" s="522" t="s">
        <v>359</v>
      </c>
      <c r="AP41" s="532"/>
      <c r="AQ41" s="532"/>
      <c r="AR41" s="532"/>
      <c r="AT41" s="7"/>
    </row>
    <row r="42" spans="1:54" x14ac:dyDescent="0.35">
      <c r="A42" s="5"/>
      <c r="W42" s="529"/>
      <c r="Z42" s="529"/>
      <c r="AC42" s="529"/>
      <c r="AL42" s="529"/>
      <c r="AT42" s="7"/>
    </row>
    <row r="43" spans="1:54" x14ac:dyDescent="0.35">
      <c r="A43" s="5"/>
      <c r="AK43"/>
      <c r="AT43" s="7"/>
    </row>
    <row r="44" spans="1:54" x14ac:dyDescent="0.35">
      <c r="A44" s="5"/>
      <c r="B44" s="711"/>
      <c r="C44" s="711"/>
      <c r="E44" s="697"/>
      <c r="F44" s="697"/>
      <c r="H44" s="697"/>
      <c r="I44" s="697"/>
      <c r="K44" s="697"/>
      <c r="L44" s="697"/>
      <c r="N44" s="697"/>
      <c r="O44" s="697"/>
      <c r="Q44" s="697"/>
      <c r="R44" s="697"/>
      <c r="T44" s="697"/>
      <c r="U44" s="697"/>
      <c r="W44" s="697"/>
      <c r="X44" s="697"/>
      <c r="Z44" s="697"/>
      <c r="AA44" s="697"/>
      <c r="AC44" s="697"/>
      <c r="AD44" s="697"/>
      <c r="AF44" s="697"/>
      <c r="AG44" s="697"/>
      <c r="AI44" s="697"/>
      <c r="AJ44" s="697"/>
      <c r="AL44" s="697"/>
      <c r="AM44" s="697"/>
      <c r="AO44" s="697"/>
      <c r="AP44" s="697"/>
      <c r="AQ44" s="10"/>
      <c r="AR44" s="10"/>
      <c r="AT44" s="7"/>
    </row>
    <row r="45" spans="1:54" x14ac:dyDescent="0.35">
      <c r="A45" s="5"/>
      <c r="B45" s="11"/>
      <c r="C45" s="14"/>
      <c r="D45" s="510"/>
      <c r="E45" s="11"/>
      <c r="F45" s="14"/>
      <c r="G45" s="510"/>
      <c r="H45" s="11"/>
      <c r="I45" s="14"/>
      <c r="J45" s="510"/>
      <c r="K45" s="11"/>
      <c r="L45" s="14"/>
      <c r="M45" s="510"/>
      <c r="N45" s="11"/>
      <c r="O45" s="14"/>
      <c r="P45" s="510"/>
      <c r="Q45" s="705" t="s">
        <v>397</v>
      </c>
      <c r="R45" s="706"/>
      <c r="S45" s="510"/>
      <c r="T45" s="11"/>
      <c r="U45" s="14"/>
      <c r="V45" s="510"/>
      <c r="W45" s="11"/>
      <c r="X45" s="14"/>
      <c r="Y45" s="510"/>
      <c r="Z45" s="11"/>
      <c r="AA45" s="12"/>
      <c r="AB45" s="510"/>
      <c r="AC45" s="207"/>
      <c r="AD45" s="207"/>
      <c r="AE45" s="510"/>
      <c r="AF45" s="11"/>
      <c r="AG45" s="11"/>
      <c r="AH45" s="510"/>
      <c r="AI45" s="12"/>
      <c r="AJ45" s="12"/>
      <c r="AK45" s="510"/>
      <c r="AL45" s="12"/>
      <c r="AM45" s="12"/>
      <c r="AN45" s="510"/>
      <c r="AO45" s="12"/>
      <c r="AP45" s="12"/>
      <c r="AQ45" s="511"/>
      <c r="AR45" s="511"/>
      <c r="AS45" s="510"/>
      <c r="AT45" s="212"/>
    </row>
    <row r="46" spans="1:54" x14ac:dyDescent="0.35">
      <c r="A46" s="5"/>
      <c r="B46" s="11"/>
      <c r="C46" s="11"/>
      <c r="D46" s="513"/>
      <c r="E46" s="11"/>
      <c r="F46" s="11"/>
      <c r="G46" s="513"/>
      <c r="H46" s="11"/>
      <c r="I46" s="11"/>
      <c r="J46" s="510"/>
      <c r="K46" s="11"/>
      <c r="L46" s="14"/>
      <c r="M46" s="513"/>
      <c r="N46" s="11"/>
      <c r="O46" s="11"/>
      <c r="P46" s="513"/>
      <c r="Q46" s="707"/>
      <c r="R46" s="708"/>
      <c r="S46" s="513"/>
      <c r="T46" s="11"/>
      <c r="U46" s="11"/>
      <c r="V46" s="513"/>
      <c r="W46" s="11"/>
      <c r="X46" s="11"/>
      <c r="Y46" s="513"/>
      <c r="Z46" s="11"/>
      <c r="AA46" s="11"/>
      <c r="AB46" s="513"/>
      <c r="AC46" s="207"/>
      <c r="AD46" s="207"/>
      <c r="AE46" s="513"/>
      <c r="AF46" s="11"/>
      <c r="AG46" s="11"/>
      <c r="AH46" s="513"/>
      <c r="AI46" s="11"/>
      <c r="AJ46" s="11"/>
      <c r="AK46" s="513"/>
      <c r="AL46" s="12"/>
      <c r="AM46" s="12"/>
      <c r="AN46" s="513"/>
      <c r="AO46" s="12"/>
      <c r="AP46" s="12"/>
      <c r="AQ46" s="511"/>
      <c r="AR46" s="511"/>
      <c r="AS46" s="513"/>
      <c r="AT46" s="211"/>
      <c r="AV46" s="2">
        <v>13</v>
      </c>
      <c r="AW46" s="2">
        <v>13</v>
      </c>
      <c r="AX46" s="2">
        <v>13</v>
      </c>
      <c r="AY46" s="2"/>
      <c r="AZ46" s="2"/>
      <c r="BA46" s="2"/>
      <c r="BB46" s="405">
        <f>+A47+D47+G47+J47+M47+P47+S47+V47+Y47+AB47+AE47+AH47+AK47+AN47+AQ47</f>
        <v>5549</v>
      </c>
    </row>
    <row r="47" spans="1:54" x14ac:dyDescent="0.35">
      <c r="A47" s="5"/>
      <c r="B47" s="714" t="s">
        <v>31</v>
      </c>
      <c r="C47" s="712"/>
      <c r="D47" s="519">
        <v>412</v>
      </c>
      <c r="E47" s="714" t="s">
        <v>33</v>
      </c>
      <c r="F47" s="712"/>
      <c r="G47" s="519">
        <v>416</v>
      </c>
      <c r="H47" s="714" t="s">
        <v>31</v>
      </c>
      <c r="I47" s="712"/>
      <c r="J47" s="513">
        <v>407</v>
      </c>
      <c r="K47" s="714" t="s">
        <v>16</v>
      </c>
      <c r="L47" s="712"/>
      <c r="M47" s="534">
        <v>425</v>
      </c>
      <c r="N47" s="714" t="s">
        <v>23</v>
      </c>
      <c r="O47" s="712"/>
      <c r="P47" s="519">
        <v>386</v>
      </c>
      <c r="Q47" s="714" t="s">
        <v>31</v>
      </c>
      <c r="R47" s="712"/>
      <c r="S47" s="519">
        <v>359</v>
      </c>
      <c r="T47" s="714" t="s">
        <v>31</v>
      </c>
      <c r="U47" s="712"/>
      <c r="V47" s="519">
        <v>368</v>
      </c>
      <c r="W47" s="714" t="s">
        <v>31</v>
      </c>
      <c r="X47" s="712"/>
      <c r="Y47" s="519">
        <v>390</v>
      </c>
      <c r="Z47" s="714" t="s">
        <v>33</v>
      </c>
      <c r="AA47" s="712"/>
      <c r="AB47" s="519">
        <v>410</v>
      </c>
      <c r="AC47" s="714" t="s">
        <v>28</v>
      </c>
      <c r="AD47" s="712"/>
      <c r="AE47" s="519">
        <v>380</v>
      </c>
      <c r="AF47" s="714" t="s">
        <v>31</v>
      </c>
      <c r="AG47" s="712"/>
      <c r="AH47" s="530">
        <v>367</v>
      </c>
      <c r="AI47" s="714" t="s">
        <v>31</v>
      </c>
      <c r="AJ47" s="712"/>
      <c r="AK47" s="530">
        <v>433</v>
      </c>
      <c r="AL47" s="714" t="s">
        <v>20</v>
      </c>
      <c r="AM47" s="712"/>
      <c r="AN47" s="519">
        <v>400</v>
      </c>
      <c r="AO47" s="714" t="s">
        <v>31</v>
      </c>
      <c r="AP47" s="712"/>
      <c r="AQ47" s="516">
        <v>396</v>
      </c>
      <c r="AR47" s="516"/>
      <c r="AT47" s="7"/>
    </row>
    <row r="48" spans="1:54" x14ac:dyDescent="0.35">
      <c r="A48" s="5"/>
      <c r="B48" s="699" t="s">
        <v>91</v>
      </c>
      <c r="C48" s="700"/>
      <c r="D48" s="519"/>
      <c r="E48" s="699" t="s">
        <v>92</v>
      </c>
      <c r="F48" s="700"/>
      <c r="G48" s="519"/>
      <c r="H48" s="699" t="s">
        <v>93</v>
      </c>
      <c r="I48" s="699"/>
      <c r="J48" s="519"/>
      <c r="K48" s="699" t="s">
        <v>94</v>
      </c>
      <c r="L48" s="699"/>
      <c r="M48" s="519"/>
      <c r="N48" s="699" t="s">
        <v>95</v>
      </c>
      <c r="O48" s="699"/>
      <c r="P48" s="519"/>
      <c r="Q48" s="699" t="s">
        <v>96</v>
      </c>
      <c r="R48" s="699"/>
      <c r="S48" s="519"/>
      <c r="T48" s="699" t="s">
        <v>97</v>
      </c>
      <c r="U48" s="699"/>
      <c r="V48" s="519"/>
      <c r="W48" s="699" t="s">
        <v>98</v>
      </c>
      <c r="X48" s="700"/>
      <c r="Y48" s="519"/>
      <c r="Z48" s="699" t="s">
        <v>99</v>
      </c>
      <c r="AA48" s="700"/>
      <c r="AB48" s="519"/>
      <c r="AC48" s="699" t="s">
        <v>100</v>
      </c>
      <c r="AD48" s="700"/>
      <c r="AE48" s="519"/>
      <c r="AF48" s="699" t="s">
        <v>101</v>
      </c>
      <c r="AG48" s="700"/>
      <c r="AH48" s="519"/>
      <c r="AI48" s="699" t="s">
        <v>102</v>
      </c>
      <c r="AJ48" s="700"/>
      <c r="AK48" s="519"/>
      <c r="AL48" s="699" t="s">
        <v>103</v>
      </c>
      <c r="AM48" s="700"/>
      <c r="AN48" s="519"/>
      <c r="AO48" s="699" t="s">
        <v>104</v>
      </c>
      <c r="AP48" s="700"/>
      <c r="AQ48" s="516"/>
      <c r="AR48" s="516"/>
      <c r="AT48" s="7"/>
    </row>
    <row r="49" spans="1:54" x14ac:dyDescent="0.35">
      <c r="A49" s="5"/>
      <c r="B49" s="522" t="s">
        <v>359</v>
      </c>
      <c r="C49" s="532"/>
      <c r="D49" s="533"/>
      <c r="E49" s="532"/>
      <c r="F49" s="522" t="s">
        <v>359</v>
      </c>
      <c r="G49" s="533"/>
      <c r="H49" s="532"/>
      <c r="I49" s="522" t="s">
        <v>359</v>
      </c>
      <c r="J49" s="533"/>
      <c r="K49" s="532"/>
      <c r="L49" s="522" t="s">
        <v>359</v>
      </c>
      <c r="M49" s="533"/>
      <c r="N49" s="532"/>
      <c r="O49" s="522" t="s">
        <v>359</v>
      </c>
      <c r="P49" s="533"/>
      <c r="Q49" s="532"/>
      <c r="R49" s="522" t="s">
        <v>359</v>
      </c>
      <c r="S49" s="533"/>
      <c r="T49" s="532"/>
      <c r="U49" s="522" t="s">
        <v>359</v>
      </c>
      <c r="V49" s="533"/>
      <c r="W49" s="532"/>
      <c r="X49" s="522" t="s">
        <v>359</v>
      </c>
      <c r="Y49" s="533"/>
      <c r="Z49" s="532"/>
      <c r="AA49" s="522" t="s">
        <v>359</v>
      </c>
      <c r="AB49" s="533"/>
      <c r="AC49" s="522" t="s">
        <v>359</v>
      </c>
      <c r="AD49" s="532"/>
      <c r="AE49" s="533"/>
      <c r="AF49" s="522" t="s">
        <v>359</v>
      </c>
      <c r="AG49" s="532"/>
      <c r="AH49" s="533"/>
      <c r="AI49" s="522" t="s">
        <v>359</v>
      </c>
      <c r="AJ49" s="532"/>
      <c r="AK49" s="533"/>
      <c r="AL49" s="522" t="s">
        <v>359</v>
      </c>
      <c r="AM49" s="532"/>
      <c r="AN49" s="533"/>
      <c r="AO49" s="532"/>
      <c r="AP49" s="522" t="s">
        <v>359</v>
      </c>
      <c r="AQ49" s="522"/>
      <c r="AR49" s="522"/>
      <c r="AT49" s="7"/>
    </row>
    <row r="50" spans="1:54" x14ac:dyDescent="0.35">
      <c r="A50" s="5"/>
      <c r="V50"/>
      <c r="W50" s="724" t="s">
        <v>406</v>
      </c>
      <c r="X50" s="724"/>
      <c r="Y50" s="724"/>
      <c r="Z50" s="724"/>
      <c r="AA50" s="724"/>
      <c r="AB50" s="724"/>
      <c r="AC50" s="724"/>
      <c r="AD50" s="724"/>
      <c r="AT50" s="7"/>
    </row>
    <row r="51" spans="1:54" x14ac:dyDescent="0.35">
      <c r="A51" s="5"/>
      <c r="AT51" s="7"/>
    </row>
    <row r="52" spans="1:54" x14ac:dyDescent="0.35">
      <c r="A52" s="5"/>
      <c r="B52" s="711"/>
      <c r="C52" s="711"/>
      <c r="E52" s="697"/>
      <c r="F52" s="697"/>
      <c r="H52" s="697"/>
      <c r="I52" s="697"/>
      <c r="K52" s="697"/>
      <c r="L52" s="697"/>
      <c r="N52" s="697"/>
      <c r="O52" s="697"/>
      <c r="Q52" s="697"/>
      <c r="R52" s="697"/>
      <c r="T52" s="697"/>
      <c r="U52" s="697"/>
      <c r="W52" s="697"/>
      <c r="X52" s="697"/>
      <c r="Z52" s="697"/>
      <c r="AA52" s="697"/>
      <c r="AC52" s="697"/>
      <c r="AD52" s="697"/>
      <c r="AF52" s="697"/>
      <c r="AG52" s="697"/>
      <c r="AI52" s="697"/>
      <c r="AJ52" s="697"/>
      <c r="AL52" s="697"/>
      <c r="AM52" s="697"/>
      <c r="AO52" s="697"/>
      <c r="AP52" s="697"/>
      <c r="AQ52" s="10"/>
      <c r="AR52" s="10"/>
      <c r="AT52" s="7"/>
    </row>
    <row r="53" spans="1:54" ht="15" customHeight="1" x14ac:dyDescent="0.35">
      <c r="A53" s="5"/>
      <c r="B53" s="12"/>
      <c r="C53" s="12"/>
      <c r="D53" s="510"/>
      <c r="E53" s="11"/>
      <c r="F53" s="12"/>
      <c r="G53" s="510"/>
      <c r="H53" s="11"/>
      <c r="I53" s="12"/>
      <c r="J53" s="510"/>
      <c r="K53" s="11"/>
      <c r="L53" s="12"/>
      <c r="M53" s="510"/>
      <c r="N53" s="11"/>
      <c r="O53" s="12"/>
      <c r="P53" s="510"/>
      <c r="Q53" s="11"/>
      <c r="R53" s="12"/>
      <c r="S53" s="510"/>
      <c r="T53" s="11"/>
      <c r="U53" s="12"/>
      <c r="V53" s="510"/>
      <c r="W53" s="11"/>
      <c r="X53" s="12"/>
      <c r="Y53" s="510"/>
      <c r="Z53" s="11"/>
      <c r="AA53" s="12"/>
      <c r="AB53" s="510"/>
      <c r="AC53" s="11"/>
      <c r="AD53" s="14"/>
      <c r="AE53" s="510"/>
      <c r="AF53" s="705" t="s">
        <v>397</v>
      </c>
      <c r="AG53" s="706"/>
      <c r="AH53" s="510"/>
      <c r="AI53" s="725" t="s">
        <v>397</v>
      </c>
      <c r="AJ53" s="726"/>
      <c r="AK53" s="510"/>
      <c r="AL53" s="11"/>
      <c r="AM53" s="11"/>
      <c r="AN53" s="510"/>
      <c r="AO53" s="11"/>
      <c r="AP53" s="11"/>
      <c r="AQ53" s="512"/>
      <c r="AR53" s="512"/>
      <c r="AS53" s="510"/>
      <c r="AT53" s="212"/>
    </row>
    <row r="54" spans="1:54" x14ac:dyDescent="0.35">
      <c r="A54" s="5"/>
      <c r="B54" s="11"/>
      <c r="C54" s="11"/>
      <c r="D54" s="513"/>
      <c r="E54" s="11"/>
      <c r="F54" s="11"/>
      <c r="G54" s="513"/>
      <c r="H54" s="11"/>
      <c r="I54" s="11"/>
      <c r="J54" s="513"/>
      <c r="K54" s="11"/>
      <c r="L54" s="11"/>
      <c r="M54" s="513"/>
      <c r="N54" s="11"/>
      <c r="O54" s="11"/>
      <c r="P54" s="513"/>
      <c r="Q54" s="11"/>
      <c r="R54" s="11"/>
      <c r="S54" s="513"/>
      <c r="T54" s="11"/>
      <c r="U54" s="11"/>
      <c r="V54" s="513"/>
      <c r="W54" s="11"/>
      <c r="X54" s="11"/>
      <c r="Y54" s="513"/>
      <c r="Z54" s="11"/>
      <c r="AA54" s="11"/>
      <c r="AB54" s="513"/>
      <c r="AC54" s="11"/>
      <c r="AD54" s="11"/>
      <c r="AE54" s="513"/>
      <c r="AF54" s="707"/>
      <c r="AG54" s="708"/>
      <c r="AH54" s="513"/>
      <c r="AI54" s="727"/>
      <c r="AJ54" s="728"/>
      <c r="AK54" s="519"/>
      <c r="AL54" s="11"/>
      <c r="AM54" s="11"/>
      <c r="AN54" s="513"/>
      <c r="AO54" s="11"/>
      <c r="AP54" s="11"/>
      <c r="AQ54" s="512"/>
      <c r="AR54" s="512"/>
      <c r="AS54" s="513"/>
      <c r="AT54" s="211"/>
      <c r="AV54" s="2">
        <v>12</v>
      </c>
      <c r="AW54" s="2">
        <v>12</v>
      </c>
      <c r="AX54" s="2">
        <v>12</v>
      </c>
      <c r="AY54" s="2"/>
      <c r="AZ54" s="2"/>
      <c r="BA54" s="2"/>
      <c r="BB54" s="405">
        <f>+A55+D55+G55+J55+M55+P55+S55+V55+Y55+AB55+AE55+AH55+AK55+AN55+AQ55</f>
        <v>5373</v>
      </c>
    </row>
    <row r="55" spans="1:54" x14ac:dyDescent="0.35">
      <c r="A55" s="5"/>
      <c r="B55" s="714" t="s">
        <v>16</v>
      </c>
      <c r="C55" s="712"/>
      <c r="D55" s="513">
        <v>420</v>
      </c>
      <c r="E55" s="714" t="s">
        <v>23</v>
      </c>
      <c r="F55" s="712"/>
      <c r="G55" s="513">
        <v>354</v>
      </c>
      <c r="H55" s="714" t="s">
        <v>31</v>
      </c>
      <c r="I55" s="712"/>
      <c r="J55" s="513">
        <v>348</v>
      </c>
      <c r="K55" s="714" t="s">
        <v>23</v>
      </c>
      <c r="L55" s="712"/>
      <c r="M55" s="513">
        <v>319</v>
      </c>
      <c r="N55" s="714" t="s">
        <v>31</v>
      </c>
      <c r="O55" s="712"/>
      <c r="P55" s="513">
        <v>379</v>
      </c>
      <c r="Q55" s="714" t="s">
        <v>16</v>
      </c>
      <c r="R55" s="712"/>
      <c r="S55" s="513">
        <v>428</v>
      </c>
      <c r="T55" s="714" t="s">
        <v>31</v>
      </c>
      <c r="U55" s="712"/>
      <c r="V55" s="513">
        <v>397</v>
      </c>
      <c r="W55" s="712" t="s">
        <v>113</v>
      </c>
      <c r="X55" s="712"/>
      <c r="Y55" s="513">
        <v>247</v>
      </c>
      <c r="Z55" s="714" t="s">
        <v>115</v>
      </c>
      <c r="AA55" s="712"/>
      <c r="AB55" s="513">
        <v>423</v>
      </c>
      <c r="AC55" s="712" t="s">
        <v>16</v>
      </c>
      <c r="AD55" s="712"/>
      <c r="AE55" s="513">
        <v>395</v>
      </c>
      <c r="AF55" s="714" t="s">
        <v>118</v>
      </c>
      <c r="AG55" s="712"/>
      <c r="AH55" s="513">
        <v>499</v>
      </c>
      <c r="AI55" s="717" t="s">
        <v>120</v>
      </c>
      <c r="AJ55" s="712"/>
      <c r="AK55" s="519">
        <v>377</v>
      </c>
      <c r="AL55" s="717" t="s">
        <v>23</v>
      </c>
      <c r="AM55" s="712"/>
      <c r="AN55" s="513">
        <v>443</v>
      </c>
      <c r="AO55" s="717" t="s">
        <v>23</v>
      </c>
      <c r="AP55" s="712"/>
      <c r="AQ55" s="516">
        <v>344</v>
      </c>
      <c r="AR55" s="516"/>
      <c r="AS55" s="513"/>
      <c r="AT55" s="211"/>
    </row>
    <row r="56" spans="1:54" x14ac:dyDescent="0.35">
      <c r="A56" s="5"/>
      <c r="B56" s="699" t="s">
        <v>105</v>
      </c>
      <c r="C56" s="700"/>
      <c r="D56" s="519"/>
      <c r="E56" s="699" t="s">
        <v>106</v>
      </c>
      <c r="F56" s="700"/>
      <c r="G56" s="519"/>
      <c r="H56" s="699" t="s">
        <v>107</v>
      </c>
      <c r="I56" s="700"/>
      <c r="J56" s="519"/>
      <c r="K56" s="699" t="s">
        <v>108</v>
      </c>
      <c r="L56" s="700"/>
      <c r="M56" s="519"/>
      <c r="N56" s="699" t="s">
        <v>109</v>
      </c>
      <c r="O56" s="700"/>
      <c r="P56" s="519"/>
      <c r="Q56" s="699" t="s">
        <v>110</v>
      </c>
      <c r="R56" s="700"/>
      <c r="S56" s="519"/>
      <c r="T56" s="699" t="s">
        <v>111</v>
      </c>
      <c r="U56" s="700"/>
      <c r="V56" s="519"/>
      <c r="W56" s="699" t="s">
        <v>112</v>
      </c>
      <c r="X56" s="700"/>
      <c r="Y56" s="519"/>
      <c r="Z56" s="699" t="s">
        <v>114</v>
      </c>
      <c r="AA56" s="700"/>
      <c r="AB56" s="519"/>
      <c r="AC56" s="699" t="s">
        <v>116</v>
      </c>
      <c r="AD56" s="700"/>
      <c r="AE56" s="519"/>
      <c r="AF56" s="699" t="s">
        <v>117</v>
      </c>
      <c r="AG56" s="700"/>
      <c r="AH56" s="519"/>
      <c r="AI56" s="703" t="s">
        <v>119</v>
      </c>
      <c r="AJ56" s="700"/>
      <c r="AK56" s="519"/>
      <c r="AL56" s="703" t="s">
        <v>121</v>
      </c>
      <c r="AM56" s="700"/>
      <c r="AN56" s="519"/>
      <c r="AO56" s="703" t="s">
        <v>122</v>
      </c>
      <c r="AP56" s="700"/>
      <c r="AQ56" s="516"/>
      <c r="AR56" s="516"/>
      <c r="AT56" s="7"/>
    </row>
    <row r="57" spans="1:54" x14ac:dyDescent="0.35">
      <c r="A57" s="5"/>
      <c r="B57" s="532"/>
      <c r="C57" s="522" t="s">
        <v>359</v>
      </c>
      <c r="D57" s="533"/>
      <c r="E57" s="532"/>
      <c r="F57" s="522" t="s">
        <v>359</v>
      </c>
      <c r="G57" s="533"/>
      <c r="H57" s="532"/>
      <c r="I57" s="522" t="s">
        <v>359</v>
      </c>
      <c r="J57" s="533"/>
      <c r="K57" s="532"/>
      <c r="L57" s="522" t="s">
        <v>359</v>
      </c>
      <c r="M57" s="533"/>
      <c r="N57" s="522" t="s">
        <v>359</v>
      </c>
      <c r="O57" s="532"/>
      <c r="P57" s="533"/>
      <c r="Q57" s="521"/>
      <c r="R57" s="522" t="s">
        <v>359</v>
      </c>
      <c r="S57" s="522"/>
      <c r="T57" s="521"/>
      <c r="U57" s="522" t="s">
        <v>359</v>
      </c>
      <c r="V57" s="522"/>
      <c r="W57" s="521"/>
      <c r="X57" s="522" t="s">
        <v>359</v>
      </c>
      <c r="Y57" s="522"/>
      <c r="Z57" s="521"/>
      <c r="AA57" s="522" t="s">
        <v>359</v>
      </c>
      <c r="AB57" s="522"/>
      <c r="AC57" s="522" t="s">
        <v>359</v>
      </c>
      <c r="AD57" s="521"/>
      <c r="AE57" s="522"/>
      <c r="AF57" s="521"/>
      <c r="AG57" s="522" t="s">
        <v>359</v>
      </c>
      <c r="AH57" s="522"/>
      <c r="AI57" s="521"/>
      <c r="AJ57" s="522" t="s">
        <v>359</v>
      </c>
      <c r="AK57" s="522"/>
      <c r="AL57" s="522" t="s">
        <v>359</v>
      </c>
      <c r="AM57" s="521"/>
      <c r="AN57" s="522"/>
      <c r="AO57" s="522" t="s">
        <v>359</v>
      </c>
      <c r="AP57" s="521"/>
      <c r="AQ57" s="521"/>
      <c r="AR57" s="521"/>
      <c r="AT57" s="7"/>
    </row>
    <row r="58" spans="1:54" x14ac:dyDescent="0.35">
      <c r="A58" s="5"/>
      <c r="AT58" s="7"/>
    </row>
    <row r="59" spans="1:54" x14ac:dyDescent="0.35">
      <c r="A59" s="5"/>
      <c r="AT59" s="7"/>
    </row>
    <row r="60" spans="1:54" x14ac:dyDescent="0.35">
      <c r="A60" s="5"/>
      <c r="B60" s="711"/>
      <c r="C60" s="711"/>
      <c r="E60" s="697"/>
      <c r="F60" s="697"/>
      <c r="H60" s="697"/>
      <c r="I60" s="697"/>
      <c r="K60" s="697"/>
      <c r="L60" s="697"/>
      <c r="N60" s="697"/>
      <c r="O60" s="697"/>
      <c r="Q60" s="697"/>
      <c r="R60" s="697"/>
      <c r="T60" s="697"/>
      <c r="U60" s="697"/>
      <c r="W60" s="697"/>
      <c r="X60" s="697"/>
      <c r="Z60" s="697"/>
      <c r="AA60" s="697"/>
      <c r="AC60" s="697"/>
      <c r="AD60" s="697"/>
      <c r="AF60" s="697"/>
      <c r="AG60" s="697"/>
      <c r="AI60" s="697"/>
      <c r="AJ60" s="697"/>
      <c r="AL60" s="697"/>
      <c r="AM60" s="697"/>
      <c r="AO60" s="697"/>
      <c r="AP60" s="697"/>
      <c r="AQ60" s="10"/>
      <c r="AR60" s="10"/>
      <c r="AT60" s="7"/>
    </row>
    <row r="61" spans="1:54" x14ac:dyDescent="0.35">
      <c r="A61" s="5"/>
      <c r="B61" s="14"/>
      <c r="C61" s="14"/>
      <c r="D61" s="510"/>
      <c r="E61" s="11"/>
      <c r="F61" s="12"/>
      <c r="G61" s="510"/>
      <c r="H61" s="11"/>
      <c r="I61" s="12"/>
      <c r="J61" s="510"/>
      <c r="K61" s="11"/>
      <c r="L61" s="12"/>
      <c r="M61" s="510"/>
      <c r="N61" s="11"/>
      <c r="O61" s="12"/>
      <c r="P61" s="510"/>
      <c r="Q61" s="705" t="s">
        <v>397</v>
      </c>
      <c r="R61" s="706"/>
      <c r="S61" s="510"/>
      <c r="T61" s="11"/>
      <c r="U61" s="14"/>
      <c r="V61" s="510"/>
      <c r="W61" s="207"/>
      <c r="X61" s="207"/>
      <c r="Y61" s="510"/>
      <c r="Z61" s="11"/>
      <c r="AA61" s="12"/>
      <c r="AB61" s="510"/>
      <c r="AC61" s="705" t="s">
        <v>397</v>
      </c>
      <c r="AD61" s="706"/>
      <c r="AE61" s="510"/>
      <c r="AF61" s="11"/>
      <c r="AG61" s="12"/>
      <c r="AH61" s="510"/>
      <c r="AI61" s="11"/>
      <c r="AJ61" s="12"/>
      <c r="AK61" s="510"/>
      <c r="AL61" s="11"/>
      <c r="AM61" s="14"/>
      <c r="AN61" s="510"/>
      <c r="AO61" s="11"/>
      <c r="AP61" s="14"/>
      <c r="AS61" s="510"/>
      <c r="AT61" s="212"/>
    </row>
    <row r="62" spans="1:54" x14ac:dyDescent="0.35">
      <c r="A62" s="5"/>
      <c r="B62" s="11"/>
      <c r="C62" s="11"/>
      <c r="D62" s="513"/>
      <c r="E62" s="11"/>
      <c r="F62" s="11"/>
      <c r="G62" s="513"/>
      <c r="H62" s="11"/>
      <c r="I62" s="11"/>
      <c r="J62" s="513"/>
      <c r="K62" s="11"/>
      <c r="L62" s="11"/>
      <c r="M62" s="513"/>
      <c r="N62" s="11"/>
      <c r="O62" s="11"/>
      <c r="P62" s="513"/>
      <c r="Q62" s="707"/>
      <c r="R62" s="708"/>
      <c r="S62" s="513"/>
      <c r="T62" s="11"/>
      <c r="U62" s="11"/>
      <c r="V62" s="513"/>
      <c r="W62" s="207"/>
      <c r="X62" s="207"/>
      <c r="Y62" s="519"/>
      <c r="Z62" s="11"/>
      <c r="AA62" s="11"/>
      <c r="AB62" s="519"/>
      <c r="AC62" s="707"/>
      <c r="AD62" s="708"/>
      <c r="AE62" s="513"/>
      <c r="AF62" s="11"/>
      <c r="AG62" s="11"/>
      <c r="AH62" s="513"/>
      <c r="AI62" s="11"/>
      <c r="AJ62" s="11"/>
      <c r="AK62" s="513"/>
      <c r="AL62" s="11"/>
      <c r="AM62" s="11"/>
      <c r="AO62" s="11"/>
      <c r="AP62" s="11"/>
      <c r="AQ62" s="512"/>
      <c r="AR62" s="512"/>
      <c r="AT62" s="7"/>
      <c r="AV62" s="2">
        <v>12</v>
      </c>
      <c r="AW62" s="2">
        <v>12</v>
      </c>
      <c r="AX62" s="2">
        <v>9</v>
      </c>
      <c r="AY62" s="2">
        <v>0</v>
      </c>
      <c r="AZ62" s="2"/>
      <c r="BA62" s="2">
        <v>0</v>
      </c>
      <c r="BB62" s="405">
        <f>+A63+D63+G63+J63+M63+P63+S63+V63+Y63+AB63+AE63+AH63+AK63+AN63+AQ63</f>
        <v>5451</v>
      </c>
    </row>
    <row r="63" spans="1:54" x14ac:dyDescent="0.35">
      <c r="A63" s="5"/>
      <c r="B63" s="703" t="s">
        <v>40</v>
      </c>
      <c r="C63" s="700"/>
      <c r="D63" s="513">
        <v>390</v>
      </c>
      <c r="E63" s="703" t="s">
        <v>23</v>
      </c>
      <c r="F63" s="700"/>
      <c r="G63" s="513">
        <v>352</v>
      </c>
      <c r="H63" s="714" t="s">
        <v>31</v>
      </c>
      <c r="I63" s="712"/>
      <c r="J63" s="513">
        <v>426</v>
      </c>
      <c r="K63" s="714" t="s">
        <v>31</v>
      </c>
      <c r="L63" s="712"/>
      <c r="M63" s="513">
        <v>394</v>
      </c>
      <c r="N63" s="714" t="s">
        <v>33</v>
      </c>
      <c r="O63" s="712"/>
      <c r="P63" s="513">
        <v>408</v>
      </c>
      <c r="Q63" s="712" t="s">
        <v>115</v>
      </c>
      <c r="R63" s="712"/>
      <c r="S63" s="513">
        <v>373</v>
      </c>
      <c r="T63" s="714" t="s">
        <v>16</v>
      </c>
      <c r="U63" s="712"/>
      <c r="V63" s="513">
        <v>408</v>
      </c>
      <c r="W63" s="717" t="s">
        <v>12</v>
      </c>
      <c r="X63" s="729"/>
      <c r="Y63" s="519">
        <v>379</v>
      </c>
      <c r="Z63" s="714" t="s">
        <v>33</v>
      </c>
      <c r="AA63" s="712"/>
      <c r="AB63" s="519">
        <v>406</v>
      </c>
      <c r="AC63" s="714" t="s">
        <v>133</v>
      </c>
      <c r="AD63" s="712"/>
      <c r="AE63" s="513">
        <v>385</v>
      </c>
      <c r="AF63" s="714" t="s">
        <v>31</v>
      </c>
      <c r="AG63" s="712"/>
      <c r="AH63" s="513">
        <v>400</v>
      </c>
      <c r="AI63" s="714" t="s">
        <v>31</v>
      </c>
      <c r="AJ63" s="712"/>
      <c r="AK63" s="513">
        <v>439</v>
      </c>
      <c r="AL63" s="714" t="s">
        <v>16</v>
      </c>
      <c r="AM63" s="712"/>
      <c r="AN63" s="6">
        <v>400</v>
      </c>
      <c r="AO63" s="717" t="s">
        <v>23</v>
      </c>
      <c r="AP63" s="712"/>
      <c r="AQ63" s="516">
        <v>291</v>
      </c>
      <c r="AR63" s="516"/>
      <c r="AT63" s="7"/>
    </row>
    <row r="64" spans="1:54" x14ac:dyDescent="0.35">
      <c r="A64" s="5"/>
      <c r="B64" s="703" t="s">
        <v>123</v>
      </c>
      <c r="C64" s="700"/>
      <c r="D64" s="519"/>
      <c r="E64" s="703" t="s">
        <v>124</v>
      </c>
      <c r="F64" s="700"/>
      <c r="G64" s="519"/>
      <c r="H64" s="703" t="s">
        <v>125</v>
      </c>
      <c r="I64" s="700"/>
      <c r="J64" s="519"/>
      <c r="K64" s="703" t="s">
        <v>126</v>
      </c>
      <c r="L64" s="700"/>
      <c r="M64" s="519"/>
      <c r="N64" s="703" t="s">
        <v>127</v>
      </c>
      <c r="O64" s="700"/>
      <c r="P64" s="519"/>
      <c r="Q64" s="699" t="s">
        <v>128</v>
      </c>
      <c r="R64" s="700"/>
      <c r="S64" s="519"/>
      <c r="T64" s="699" t="s">
        <v>129</v>
      </c>
      <c r="U64" s="700"/>
      <c r="V64" s="519"/>
      <c r="W64" s="703" t="s">
        <v>130</v>
      </c>
      <c r="X64" s="704"/>
      <c r="Y64" s="519"/>
      <c r="Z64" s="703" t="s">
        <v>131</v>
      </c>
      <c r="AA64" s="704"/>
      <c r="AB64" s="519"/>
      <c r="AC64" s="699" t="s">
        <v>132</v>
      </c>
      <c r="AD64" s="700"/>
      <c r="AE64" s="513"/>
      <c r="AF64" s="699" t="s">
        <v>134</v>
      </c>
      <c r="AG64" s="700"/>
      <c r="AH64" s="513"/>
      <c r="AI64" s="699" t="s">
        <v>135</v>
      </c>
      <c r="AJ64" s="700"/>
      <c r="AL64" s="699" t="s">
        <v>136</v>
      </c>
      <c r="AM64" s="700"/>
      <c r="AN64" s="519"/>
      <c r="AO64" s="699" t="s">
        <v>137</v>
      </c>
      <c r="AP64" s="700"/>
      <c r="AQ64" s="516"/>
      <c r="AR64" s="516"/>
      <c r="AS64" s="529"/>
      <c r="AT64" s="214"/>
    </row>
    <row r="65" spans="1:54" x14ac:dyDescent="0.35">
      <c r="A65" s="5"/>
      <c r="B65" s="522" t="s">
        <v>359</v>
      </c>
      <c r="C65" s="521"/>
      <c r="D65" s="522"/>
      <c r="E65" s="522" t="s">
        <v>359</v>
      </c>
      <c r="F65" s="523"/>
      <c r="G65" s="522"/>
      <c r="H65" s="522" t="s">
        <v>359</v>
      </c>
      <c r="I65" s="523"/>
      <c r="J65" s="522"/>
      <c r="K65" s="521"/>
      <c r="L65" s="522" t="s">
        <v>359</v>
      </c>
      <c r="M65" s="522"/>
      <c r="N65" s="521"/>
      <c r="O65" s="522" t="s">
        <v>359</v>
      </c>
      <c r="P65" s="522"/>
      <c r="Q65" s="521"/>
      <c r="R65" s="522" t="s">
        <v>359</v>
      </c>
      <c r="S65" s="522"/>
      <c r="T65" s="521"/>
      <c r="U65" s="522" t="s">
        <v>359</v>
      </c>
      <c r="V65" s="522"/>
      <c r="W65" s="522" t="s">
        <v>359</v>
      </c>
      <c r="X65" s="521"/>
      <c r="Y65" s="522"/>
      <c r="Z65" s="522" t="s">
        <v>359</v>
      </c>
      <c r="AA65" s="521"/>
      <c r="AB65" s="522"/>
      <c r="AC65" s="522" t="s">
        <v>359</v>
      </c>
      <c r="AD65" s="521"/>
      <c r="AE65" s="522"/>
      <c r="AF65" s="521"/>
      <c r="AG65" s="522" t="s">
        <v>359</v>
      </c>
      <c r="AH65" s="522"/>
      <c r="AI65" s="522" t="s">
        <v>359</v>
      </c>
      <c r="AJ65" s="521"/>
      <c r="AK65" s="522"/>
      <c r="AL65" s="522" t="s">
        <v>359</v>
      </c>
      <c r="AM65" s="521"/>
      <c r="AN65" s="522"/>
      <c r="AO65" s="521"/>
      <c r="AP65" s="522" t="s">
        <v>359</v>
      </c>
      <c r="AQ65" s="522"/>
      <c r="AR65" s="522"/>
      <c r="AS65" s="529"/>
      <c r="AT65" s="214"/>
    </row>
    <row r="66" spans="1:54" x14ac:dyDescent="0.35">
      <c r="A66" s="5"/>
      <c r="W66" s="724" t="s">
        <v>404</v>
      </c>
      <c r="X66" s="724"/>
      <c r="Y66" s="724"/>
      <c r="Z66" s="724"/>
      <c r="AA66" s="724"/>
      <c r="AO66" s="711"/>
      <c r="AP66" s="711"/>
      <c r="AQ66" s="711"/>
      <c r="AR66" s="711"/>
      <c r="AS66" s="711"/>
      <c r="AT66" s="215"/>
    </row>
    <row r="67" spans="1:54" x14ac:dyDescent="0.35">
      <c r="A67" s="5"/>
      <c r="Y67" s="6" t="s">
        <v>398</v>
      </c>
      <c r="AT67" s="7"/>
    </row>
    <row r="68" spans="1:54" x14ac:dyDescent="0.35">
      <c r="A68" s="5"/>
      <c r="B68" s="711"/>
      <c r="C68" s="711"/>
      <c r="E68" s="697"/>
      <c r="F68" s="697"/>
      <c r="H68" s="697"/>
      <c r="I68" s="697"/>
      <c r="K68" s="697"/>
      <c r="L68" s="697"/>
      <c r="N68" s="697"/>
      <c r="O68" s="697"/>
      <c r="Q68" s="697"/>
      <c r="R68" s="697"/>
      <c r="T68" s="697"/>
      <c r="U68" s="697"/>
      <c r="W68" s="697"/>
      <c r="X68" s="697"/>
      <c r="Z68" s="697"/>
      <c r="AA68" s="697"/>
      <c r="AC68" s="697"/>
      <c r="AD68" s="697"/>
      <c r="AF68" s="697"/>
      <c r="AG68" s="697"/>
      <c r="AI68" s="697"/>
      <c r="AJ68" s="697"/>
      <c r="AL68" s="697"/>
      <c r="AM68" s="697"/>
      <c r="AO68" s="697"/>
      <c r="AP68" s="697"/>
      <c r="AQ68" s="10"/>
      <c r="AR68" s="10"/>
      <c r="AT68" s="7"/>
    </row>
    <row r="69" spans="1:54" x14ac:dyDescent="0.35">
      <c r="A69" s="5"/>
      <c r="B69" s="11"/>
      <c r="C69" s="14"/>
      <c r="D69" s="510"/>
      <c r="E69" s="11"/>
      <c r="F69" s="14"/>
      <c r="G69" s="510"/>
      <c r="H69" s="11"/>
      <c r="I69" s="14"/>
      <c r="J69" s="526"/>
      <c r="K69" s="14"/>
      <c r="L69" s="14"/>
      <c r="M69" s="510"/>
      <c r="N69" s="14"/>
      <c r="O69" s="14"/>
      <c r="P69" s="526"/>
      <c r="Q69" s="14"/>
      <c r="R69" s="14"/>
      <c r="S69" s="510"/>
      <c r="T69" s="14"/>
      <c r="U69" s="14"/>
      <c r="V69" s="510"/>
      <c r="W69" s="14"/>
      <c r="X69" s="14"/>
      <c r="Y69" s="510"/>
      <c r="Z69" s="207"/>
      <c r="AA69" s="207"/>
      <c r="AB69" s="510"/>
      <c r="AC69" s="14"/>
      <c r="AD69" s="14"/>
      <c r="AE69" s="510"/>
      <c r="AF69" s="11"/>
      <c r="AG69" s="14"/>
      <c r="AH69" s="510"/>
      <c r="AI69" s="11"/>
      <c r="AJ69" s="14"/>
      <c r="AK69" s="510"/>
      <c r="AL69" s="11"/>
      <c r="AM69" s="14"/>
      <c r="AN69" s="510"/>
      <c r="AO69" s="11"/>
      <c r="AP69" s="12"/>
      <c r="AQ69" s="511"/>
      <c r="AR69" s="511"/>
      <c r="AS69" s="510"/>
      <c r="AT69" s="212"/>
    </row>
    <row r="70" spans="1:54" x14ac:dyDescent="0.35">
      <c r="A70" s="5"/>
      <c r="B70" s="14"/>
      <c r="C70" s="14"/>
      <c r="D70" s="513"/>
      <c r="E70" s="14"/>
      <c r="F70" s="14"/>
      <c r="G70" s="513"/>
      <c r="H70" s="14"/>
      <c r="I70" s="14"/>
      <c r="J70" s="519"/>
      <c r="K70" s="14"/>
      <c r="L70" s="14"/>
      <c r="M70" s="519"/>
      <c r="N70" s="14"/>
      <c r="O70" s="14"/>
      <c r="P70" s="513"/>
      <c r="Q70" s="14"/>
      <c r="R70" s="14"/>
      <c r="S70" s="513"/>
      <c r="T70" s="11"/>
      <c r="U70" s="11"/>
      <c r="V70" s="513"/>
      <c r="W70" s="11"/>
      <c r="X70" s="11"/>
      <c r="Y70" s="519"/>
      <c r="Z70" s="207"/>
      <c r="AA70" s="207"/>
      <c r="AB70" s="519"/>
      <c r="AC70" s="11"/>
      <c r="AD70" s="14"/>
      <c r="AE70" s="513"/>
      <c r="AF70" s="11"/>
      <c r="AG70" s="11"/>
      <c r="AH70" s="519"/>
      <c r="AI70" s="11"/>
      <c r="AJ70" s="11"/>
      <c r="AK70" s="513"/>
      <c r="AL70" s="11"/>
      <c r="AM70" s="11"/>
      <c r="AN70" s="513"/>
      <c r="AO70" s="11"/>
      <c r="AP70" s="11"/>
      <c r="AQ70" s="512"/>
      <c r="AR70" s="512"/>
      <c r="AS70" s="513"/>
      <c r="AT70" s="211"/>
      <c r="AV70" s="2">
        <v>14</v>
      </c>
      <c r="AW70" s="2">
        <v>14</v>
      </c>
      <c r="AX70" s="2">
        <v>13</v>
      </c>
      <c r="AY70" s="2">
        <v>0</v>
      </c>
      <c r="AZ70" s="2"/>
      <c r="BA70" s="2">
        <v>0</v>
      </c>
      <c r="BB70" s="405">
        <f>+A71+D71+G71+J71+M71+P71+S71+V71+Y71+AB71+AE71+AH71+AK71+AN71+AQ71</f>
        <v>5597</v>
      </c>
    </row>
    <row r="71" spans="1:54" x14ac:dyDescent="0.35">
      <c r="A71" s="5"/>
      <c r="B71" s="717" t="s">
        <v>23</v>
      </c>
      <c r="C71" s="712"/>
      <c r="D71" s="513">
        <v>390</v>
      </c>
      <c r="E71" s="714" t="s">
        <v>33</v>
      </c>
      <c r="F71" s="712"/>
      <c r="G71" s="513">
        <v>403</v>
      </c>
      <c r="H71" s="714" t="s">
        <v>31</v>
      </c>
      <c r="I71" s="712"/>
      <c r="J71" s="519">
        <v>422</v>
      </c>
      <c r="K71" s="714" t="s">
        <v>16</v>
      </c>
      <c r="L71" s="712"/>
      <c r="M71" s="519">
        <v>389</v>
      </c>
      <c r="N71" s="714" t="s">
        <v>14</v>
      </c>
      <c r="O71" s="712"/>
      <c r="P71" s="513">
        <v>436</v>
      </c>
      <c r="Q71" s="712" t="s">
        <v>35</v>
      </c>
      <c r="R71" s="712"/>
      <c r="S71" s="513">
        <v>380</v>
      </c>
      <c r="T71" s="714" t="s">
        <v>31</v>
      </c>
      <c r="U71" s="712"/>
      <c r="V71" s="513">
        <v>445</v>
      </c>
      <c r="W71" s="714" t="s">
        <v>146</v>
      </c>
      <c r="X71" s="712"/>
      <c r="Y71" s="519">
        <v>220</v>
      </c>
      <c r="Z71" s="714" t="s">
        <v>148</v>
      </c>
      <c r="AA71" s="712"/>
      <c r="AB71" s="519">
        <v>435</v>
      </c>
      <c r="AC71" s="712" t="s">
        <v>35</v>
      </c>
      <c r="AD71" s="712"/>
      <c r="AE71" s="513">
        <v>405</v>
      </c>
      <c r="AF71" s="714" t="s">
        <v>16</v>
      </c>
      <c r="AG71" s="712"/>
      <c r="AH71" s="519">
        <v>434</v>
      </c>
      <c r="AI71" s="714" t="s">
        <v>16</v>
      </c>
      <c r="AJ71" s="712"/>
      <c r="AK71" s="513">
        <v>380</v>
      </c>
      <c r="AL71" s="714" t="s">
        <v>23</v>
      </c>
      <c r="AM71" s="712"/>
      <c r="AN71" s="513">
        <v>379</v>
      </c>
      <c r="AO71" s="714" t="s">
        <v>154</v>
      </c>
      <c r="AP71" s="712"/>
      <c r="AQ71" s="516">
        <v>479</v>
      </c>
      <c r="AR71" s="516"/>
      <c r="AS71" s="513"/>
      <c r="AT71" s="211"/>
    </row>
    <row r="72" spans="1:54" x14ac:dyDescent="0.35">
      <c r="A72" s="5"/>
      <c r="B72" s="699" t="s">
        <v>138</v>
      </c>
      <c r="C72" s="700"/>
      <c r="E72" s="699" t="s">
        <v>139</v>
      </c>
      <c r="F72" s="700"/>
      <c r="G72" s="519"/>
      <c r="H72" s="699" t="s">
        <v>140</v>
      </c>
      <c r="I72" s="700"/>
      <c r="J72" s="519"/>
      <c r="K72" s="699" t="s">
        <v>141</v>
      </c>
      <c r="L72" s="700"/>
      <c r="M72" s="519"/>
      <c r="N72" s="699" t="s">
        <v>142</v>
      </c>
      <c r="O72" s="700"/>
      <c r="P72" s="519"/>
      <c r="Q72" s="699" t="s">
        <v>143</v>
      </c>
      <c r="R72" s="700"/>
      <c r="S72" s="519"/>
      <c r="T72" s="699" t="s">
        <v>144</v>
      </c>
      <c r="U72" s="700"/>
      <c r="V72" s="519"/>
      <c r="W72" s="699" t="s">
        <v>145</v>
      </c>
      <c r="X72" s="700"/>
      <c r="Y72" s="519"/>
      <c r="Z72" s="699" t="s">
        <v>147</v>
      </c>
      <c r="AA72" s="700"/>
      <c r="AB72" s="519"/>
      <c r="AC72" s="699" t="s">
        <v>149</v>
      </c>
      <c r="AD72" s="700"/>
      <c r="AE72" s="519"/>
      <c r="AF72" s="699" t="s">
        <v>150</v>
      </c>
      <c r="AG72" s="700"/>
      <c r="AH72" s="519"/>
      <c r="AI72" s="699" t="s">
        <v>151</v>
      </c>
      <c r="AJ72" s="700"/>
      <c r="AK72" s="519"/>
      <c r="AL72" s="699" t="s">
        <v>152</v>
      </c>
      <c r="AM72" s="700"/>
      <c r="AN72" s="519"/>
      <c r="AO72" s="699" t="s">
        <v>153</v>
      </c>
      <c r="AP72" s="700"/>
      <c r="AQ72" s="516"/>
      <c r="AR72" s="516"/>
      <c r="AT72" s="7"/>
    </row>
    <row r="73" spans="1:54" x14ac:dyDescent="0.35">
      <c r="A73" s="5"/>
      <c r="B73" s="522" t="s">
        <v>359</v>
      </c>
      <c r="C73" s="521"/>
      <c r="D73" s="522"/>
      <c r="E73" s="521"/>
      <c r="F73" s="522" t="s">
        <v>359</v>
      </c>
      <c r="G73" s="522"/>
      <c r="H73" s="521"/>
      <c r="I73" s="522" t="s">
        <v>359</v>
      </c>
      <c r="J73" s="522"/>
      <c r="K73" s="521"/>
      <c r="L73" s="522" t="s">
        <v>359</v>
      </c>
      <c r="M73" s="522"/>
      <c r="N73" s="521"/>
      <c r="O73" s="522" t="s">
        <v>359</v>
      </c>
      <c r="P73" s="522"/>
      <c r="Q73" s="521"/>
      <c r="R73" s="522" t="s">
        <v>359</v>
      </c>
      <c r="S73" s="522"/>
      <c r="T73" s="521"/>
      <c r="U73" s="522" t="s">
        <v>359</v>
      </c>
      <c r="V73" s="522"/>
      <c r="W73" s="521"/>
      <c r="X73" s="522" t="s">
        <v>359</v>
      </c>
      <c r="Y73" s="522"/>
      <c r="Z73" s="521"/>
      <c r="AA73" s="522" t="s">
        <v>359</v>
      </c>
      <c r="AB73" s="522"/>
      <c r="AC73" s="521"/>
      <c r="AD73" s="522" t="s">
        <v>359</v>
      </c>
      <c r="AE73" s="522"/>
      <c r="AF73" s="521"/>
      <c r="AG73" s="522" t="s">
        <v>359</v>
      </c>
      <c r="AH73" s="522"/>
      <c r="AI73" s="521"/>
      <c r="AJ73" s="522" t="s">
        <v>359</v>
      </c>
      <c r="AK73" s="522"/>
      <c r="AL73" s="521"/>
      <c r="AM73" s="522" t="s">
        <v>359</v>
      </c>
      <c r="AN73" s="522"/>
      <c r="AO73" s="522" t="s">
        <v>359</v>
      </c>
      <c r="AP73" s="521"/>
      <c r="AQ73" s="521"/>
      <c r="AR73" s="521"/>
      <c r="AT73" s="7"/>
    </row>
    <row r="74" spans="1:54" x14ac:dyDescent="0.35">
      <c r="A74" s="730" t="s">
        <v>403</v>
      </c>
      <c r="B74" s="731"/>
      <c r="C74" s="731"/>
      <c r="Q74" s="724"/>
      <c r="R74" s="724"/>
      <c r="S74" s="724"/>
      <c r="AI74" s="724" t="s">
        <v>405</v>
      </c>
      <c r="AJ74" s="724"/>
      <c r="AK74" s="724"/>
      <c r="AL74" s="724"/>
      <c r="AM74" s="724"/>
      <c r="AN74" s="724"/>
      <c r="AO74" s="724"/>
      <c r="AP74" s="724"/>
      <c r="AQ74" s="10"/>
      <c r="AR74" s="10"/>
      <c r="AT74" s="7"/>
    </row>
    <row r="75" spans="1:54" x14ac:dyDescent="0.35">
      <c r="A75" s="5"/>
      <c r="H75" s="6"/>
      <c r="S75" s="6" t="s">
        <v>400</v>
      </c>
      <c r="AT75" s="7"/>
    </row>
    <row r="76" spans="1:54" x14ac:dyDescent="0.35">
      <c r="A76" s="5"/>
      <c r="B76" s="711"/>
      <c r="C76" s="711"/>
      <c r="E76" s="697"/>
      <c r="F76" s="697"/>
      <c r="H76" s="697"/>
      <c r="I76" s="697"/>
      <c r="K76" s="732"/>
      <c r="L76" s="697"/>
      <c r="N76" s="732"/>
      <c r="O76" s="697"/>
      <c r="Q76" s="732"/>
      <c r="R76" s="697"/>
      <c r="T76" s="732"/>
      <c r="U76" s="697"/>
      <c r="W76" s="697"/>
      <c r="X76" s="697"/>
      <c r="Z76" s="697"/>
      <c r="AA76" s="697"/>
      <c r="AC76" s="697"/>
      <c r="AD76" s="697"/>
      <c r="AF76" s="697"/>
      <c r="AG76" s="697"/>
      <c r="AI76" s="697"/>
      <c r="AJ76" s="697"/>
      <c r="AL76" s="697"/>
      <c r="AM76" s="697"/>
      <c r="AO76" s="697"/>
      <c r="AP76" s="697"/>
      <c r="AQ76" s="10"/>
      <c r="AR76" s="10"/>
      <c r="AT76" s="7"/>
    </row>
    <row r="77" spans="1:54" ht="15" customHeight="1" x14ac:dyDescent="0.35">
      <c r="A77" s="5"/>
      <c r="B77" s="11"/>
      <c r="C77" s="12"/>
      <c r="D77" s="510"/>
      <c r="E77" s="14"/>
      <c r="F77" s="14"/>
      <c r="G77" s="510"/>
      <c r="H77" s="14"/>
      <c r="I77" s="14"/>
      <c r="J77" s="510"/>
      <c r="K77" s="11"/>
      <c r="L77" s="12"/>
      <c r="M77" s="510"/>
      <c r="N77" s="14"/>
      <c r="O77" s="14"/>
      <c r="P77" s="510"/>
      <c r="Q77" s="11"/>
      <c r="R77" s="12"/>
      <c r="S77" s="510"/>
      <c r="T77" s="14"/>
      <c r="U77" s="14"/>
      <c r="V77" s="510"/>
      <c r="W77" s="11"/>
      <c r="X77" s="11"/>
      <c r="Y77" s="510"/>
      <c r="Z77" s="11"/>
      <c r="AA77" s="11"/>
      <c r="AB77" s="510"/>
      <c r="AC77" s="267"/>
      <c r="AD77" s="267"/>
      <c r="AE77" s="510"/>
      <c r="AF77" s="11"/>
      <c r="AG77" s="12"/>
      <c r="AH77" s="510"/>
      <c r="AI77" s="11"/>
      <c r="AJ77" s="12"/>
      <c r="AK77" s="510"/>
      <c r="AL77" s="11"/>
      <c r="AM77" s="12"/>
      <c r="AN77" s="510"/>
      <c r="AO77" s="207"/>
      <c r="AP77" s="207"/>
      <c r="AQ77" s="208"/>
      <c r="AR77" s="208"/>
      <c r="AS77" s="510"/>
      <c r="AT77" s="212"/>
    </row>
    <row r="78" spans="1:54" x14ac:dyDescent="0.35">
      <c r="A78" s="5"/>
      <c r="B78" s="11"/>
      <c r="C78" s="11"/>
      <c r="D78" s="513"/>
      <c r="E78" s="14"/>
      <c r="F78" s="11"/>
      <c r="G78" s="513"/>
      <c r="H78" s="14"/>
      <c r="I78" s="11"/>
      <c r="J78" s="519"/>
      <c r="K78" s="11"/>
      <c r="L78" s="11"/>
      <c r="M78" s="519"/>
      <c r="N78" s="14"/>
      <c r="O78" s="11"/>
      <c r="P78" s="513"/>
      <c r="Q78" s="11"/>
      <c r="R78" s="11"/>
      <c r="S78" s="519"/>
      <c r="T78" s="14"/>
      <c r="U78" s="11"/>
      <c r="V78" s="513"/>
      <c r="W78" s="11"/>
      <c r="X78" s="11"/>
      <c r="Y78" s="513"/>
      <c r="Z78" s="11"/>
      <c r="AA78" s="11"/>
      <c r="AB78" s="513"/>
      <c r="AC78" s="267"/>
      <c r="AD78" s="267"/>
      <c r="AE78" s="513"/>
      <c r="AF78" s="11"/>
      <c r="AG78" s="11"/>
      <c r="AH78" s="513"/>
      <c r="AI78" s="11"/>
      <c r="AJ78" s="11"/>
      <c r="AK78" s="513"/>
      <c r="AL78" s="11"/>
      <c r="AM78" s="11"/>
      <c r="AN78" s="519"/>
      <c r="AO78" s="207"/>
      <c r="AP78" s="207"/>
      <c r="AQ78" s="208"/>
      <c r="AR78" s="208"/>
      <c r="AS78" s="513"/>
      <c r="AT78" s="211"/>
      <c r="AV78" s="2">
        <v>14</v>
      </c>
      <c r="AW78" s="2">
        <v>14</v>
      </c>
      <c r="AX78" s="2">
        <v>14</v>
      </c>
      <c r="AY78" s="2">
        <v>0</v>
      </c>
      <c r="AZ78" s="2"/>
      <c r="BA78" s="2">
        <v>0</v>
      </c>
      <c r="BB78" s="405">
        <f>+A79+D79+G79+J79+M79+P79+S79+V79+Y79+AB79+AE79+AH79+AK79+AN79+AQ79</f>
        <v>5226</v>
      </c>
    </row>
    <row r="79" spans="1:54" x14ac:dyDescent="0.35">
      <c r="A79" s="5"/>
      <c r="B79" s="699" t="s">
        <v>156</v>
      </c>
      <c r="C79" s="700"/>
      <c r="D79" s="513">
        <v>464</v>
      </c>
      <c r="E79" s="714" t="s">
        <v>31</v>
      </c>
      <c r="F79" s="712"/>
      <c r="G79" s="513">
        <v>376</v>
      </c>
      <c r="H79" s="712" t="s">
        <v>35</v>
      </c>
      <c r="I79" s="712"/>
      <c r="J79" s="519">
        <v>380</v>
      </c>
      <c r="K79" s="714" t="s">
        <v>23</v>
      </c>
      <c r="L79" s="712"/>
      <c r="M79" s="519">
        <v>352</v>
      </c>
      <c r="N79" s="714" t="s">
        <v>14</v>
      </c>
      <c r="O79" s="712"/>
      <c r="P79" s="513">
        <v>361</v>
      </c>
      <c r="Q79" s="714" t="s">
        <v>162</v>
      </c>
      <c r="R79" s="712"/>
      <c r="S79" s="519">
        <v>252</v>
      </c>
      <c r="T79" s="714" t="s">
        <v>164</v>
      </c>
      <c r="U79" s="712"/>
      <c r="V79" s="513">
        <v>394</v>
      </c>
      <c r="W79" s="712" t="s">
        <v>35</v>
      </c>
      <c r="X79" s="712"/>
      <c r="Y79" s="513">
        <v>389</v>
      </c>
      <c r="Z79" s="714" t="s">
        <v>35</v>
      </c>
      <c r="AA79" s="712"/>
      <c r="AB79" s="513">
        <v>399</v>
      </c>
      <c r="AC79" s="714" t="s">
        <v>18</v>
      </c>
      <c r="AD79" s="712"/>
      <c r="AE79" s="513">
        <v>392</v>
      </c>
      <c r="AF79" s="714" t="s">
        <v>35</v>
      </c>
      <c r="AG79" s="712"/>
      <c r="AH79" s="513">
        <v>363</v>
      </c>
      <c r="AI79" s="714" t="s">
        <v>31</v>
      </c>
      <c r="AJ79" s="712"/>
      <c r="AK79" s="513">
        <v>379</v>
      </c>
      <c r="AL79" s="714" t="s">
        <v>9</v>
      </c>
      <c r="AM79" s="712"/>
      <c r="AN79" s="519">
        <v>226</v>
      </c>
      <c r="AO79" s="712" t="s">
        <v>172</v>
      </c>
      <c r="AP79" s="712"/>
      <c r="AQ79" s="516">
        <v>499</v>
      </c>
      <c r="AR79" s="516"/>
      <c r="AS79" s="513"/>
      <c r="AT79" s="211"/>
    </row>
    <row r="80" spans="1:54" x14ac:dyDescent="0.35">
      <c r="A80" s="5"/>
      <c r="B80" s="699" t="s">
        <v>155</v>
      </c>
      <c r="C80" s="700"/>
      <c r="D80" s="519"/>
      <c r="E80" s="699" t="s">
        <v>157</v>
      </c>
      <c r="F80" s="700"/>
      <c r="G80" s="513"/>
      <c r="H80" s="699" t="s">
        <v>158</v>
      </c>
      <c r="I80" s="700"/>
      <c r="J80" s="519"/>
      <c r="K80" s="699" t="s">
        <v>159</v>
      </c>
      <c r="L80" s="700"/>
      <c r="M80" s="519"/>
      <c r="N80" s="699" t="s">
        <v>160</v>
      </c>
      <c r="O80" s="700"/>
      <c r="P80" s="535"/>
      <c r="Q80" s="699" t="s">
        <v>161</v>
      </c>
      <c r="R80" s="700"/>
      <c r="S80" s="519"/>
      <c r="T80" s="699" t="s">
        <v>163</v>
      </c>
      <c r="U80" s="700"/>
      <c r="V80" s="519"/>
      <c r="W80" s="699" t="s">
        <v>165</v>
      </c>
      <c r="X80" s="700"/>
      <c r="Y80" s="519"/>
      <c r="Z80" s="699" t="s">
        <v>166</v>
      </c>
      <c r="AA80" s="700"/>
      <c r="AB80" s="519"/>
      <c r="AC80" s="699" t="s">
        <v>167</v>
      </c>
      <c r="AD80" s="700"/>
      <c r="AE80" s="513"/>
      <c r="AF80" s="699" t="s">
        <v>168</v>
      </c>
      <c r="AG80" s="700"/>
      <c r="AH80" s="519"/>
      <c r="AI80" s="699" t="s">
        <v>169</v>
      </c>
      <c r="AJ80" s="700"/>
      <c r="AK80" s="519"/>
      <c r="AL80" s="699" t="s">
        <v>170</v>
      </c>
      <c r="AM80" s="700"/>
      <c r="AN80" s="519"/>
      <c r="AO80" s="699" t="s">
        <v>171</v>
      </c>
      <c r="AP80" s="700"/>
      <c r="AQ80" s="516"/>
      <c r="AR80" s="516"/>
      <c r="AT80" s="7"/>
    </row>
    <row r="81" spans="1:54" x14ac:dyDescent="0.35">
      <c r="A81" s="5"/>
      <c r="B81" s="522" t="s">
        <v>359</v>
      </c>
      <c r="C81" s="521"/>
      <c r="D81" s="522"/>
      <c r="E81" s="521"/>
      <c r="F81" s="523" t="s">
        <v>359</v>
      </c>
      <c r="G81" s="522"/>
      <c r="H81" s="521"/>
      <c r="I81" s="522" t="s">
        <v>359</v>
      </c>
      <c r="J81" s="522"/>
      <c r="K81" s="521"/>
      <c r="L81" s="522" t="s">
        <v>359</v>
      </c>
      <c r="M81" s="522"/>
      <c r="N81" s="521"/>
      <c r="O81" s="522" t="s">
        <v>359</v>
      </c>
      <c r="P81" s="522"/>
      <c r="Q81" s="521"/>
      <c r="R81" s="522" t="s">
        <v>359</v>
      </c>
      <c r="S81" s="522"/>
      <c r="T81" s="521"/>
      <c r="U81" s="522" t="s">
        <v>359</v>
      </c>
      <c r="V81" s="522"/>
      <c r="W81" s="521"/>
      <c r="X81" s="522" t="s">
        <v>359</v>
      </c>
      <c r="Y81" s="522"/>
      <c r="Z81" s="522" t="s">
        <v>359</v>
      </c>
      <c r="AA81" s="521"/>
      <c r="AB81" s="522"/>
      <c r="AC81" s="521"/>
      <c r="AD81" s="522" t="s">
        <v>359</v>
      </c>
      <c r="AE81" s="522"/>
      <c r="AF81" s="521"/>
      <c r="AG81" s="522" t="s">
        <v>359</v>
      </c>
      <c r="AH81" s="522"/>
      <c r="AI81" s="521"/>
      <c r="AJ81" s="522" t="s">
        <v>359</v>
      </c>
      <c r="AK81" s="522"/>
      <c r="AL81" s="521"/>
      <c r="AM81" s="522" t="s">
        <v>359</v>
      </c>
      <c r="AN81" s="522"/>
      <c r="AO81" s="521"/>
      <c r="AP81" s="522" t="s">
        <v>359</v>
      </c>
      <c r="AQ81" s="522"/>
      <c r="AR81" s="522"/>
      <c r="AT81" s="7"/>
    </row>
    <row r="82" spans="1:54" x14ac:dyDescent="0.35">
      <c r="A82" s="733" t="s">
        <v>405</v>
      </c>
      <c r="B82" s="724"/>
      <c r="C82" s="724"/>
      <c r="D82" s="724"/>
      <c r="W82" s="711"/>
      <c r="X82" s="711"/>
      <c r="Y82" s="711"/>
      <c r="Z82" s="711"/>
      <c r="AA82" s="711"/>
      <c r="AL82" s="724" t="s">
        <v>406</v>
      </c>
      <c r="AM82" s="724"/>
      <c r="AN82" s="724"/>
      <c r="AO82" s="724"/>
      <c r="AP82" s="724"/>
      <c r="AQ82" s="10"/>
      <c r="AR82" s="10"/>
      <c r="AT82" s="7"/>
    </row>
    <row r="83" spans="1:54" x14ac:dyDescent="0.35">
      <c r="A83" s="5"/>
      <c r="M83"/>
      <c r="Y83" t="s">
        <v>401</v>
      </c>
      <c r="AT83" s="7"/>
    </row>
    <row r="84" spans="1:54" x14ac:dyDescent="0.35">
      <c r="A84" s="5"/>
      <c r="B84" s="711"/>
      <c r="C84" s="711"/>
      <c r="E84" s="697"/>
      <c r="F84" s="697"/>
      <c r="H84" s="697"/>
      <c r="I84" s="697"/>
      <c r="K84" s="697"/>
      <c r="L84" s="697"/>
      <c r="N84" s="697"/>
      <c r="O84" s="697"/>
      <c r="Q84" s="734"/>
      <c r="R84" s="697"/>
      <c r="T84" s="697"/>
      <c r="U84" s="697"/>
      <c r="W84" s="697"/>
      <c r="X84" s="697"/>
      <c r="Z84" s="697"/>
      <c r="AA84" s="697"/>
      <c r="AC84" s="697"/>
      <c r="AD84" s="697"/>
      <c r="AF84" s="697"/>
      <c r="AG84" s="697"/>
      <c r="AI84" s="697"/>
      <c r="AJ84" s="697"/>
      <c r="AL84" s="697"/>
      <c r="AM84" s="697"/>
      <c r="AO84" s="697"/>
      <c r="AP84" s="697"/>
      <c r="AQ84" s="10"/>
      <c r="AR84" s="10"/>
      <c r="AT84" s="7"/>
    </row>
    <row r="85" spans="1:54" x14ac:dyDescent="0.35">
      <c r="A85" s="5"/>
      <c r="B85" s="14"/>
      <c r="C85" s="14"/>
      <c r="D85" s="510"/>
      <c r="E85" s="14"/>
      <c r="F85" s="14"/>
      <c r="G85" s="510"/>
      <c r="H85" s="14"/>
      <c r="I85" s="14"/>
      <c r="J85" s="510"/>
      <c r="K85" s="11"/>
      <c r="L85" s="14"/>
      <c r="M85" s="510"/>
      <c r="N85" s="11"/>
      <c r="O85" s="14"/>
      <c r="P85" s="510"/>
      <c r="Q85" s="11"/>
      <c r="R85" s="14"/>
      <c r="S85" s="510"/>
      <c r="T85" s="11"/>
      <c r="U85" s="14"/>
      <c r="V85" s="526"/>
      <c r="W85" s="11"/>
      <c r="X85" s="14"/>
      <c r="Y85" s="510"/>
      <c r="Z85" s="11"/>
      <c r="AA85" s="14"/>
      <c r="AB85" s="510"/>
      <c r="AC85" s="11"/>
      <c r="AD85" s="12"/>
      <c r="AE85" s="510"/>
      <c r="AF85" s="11"/>
      <c r="AG85" s="12"/>
      <c r="AH85" s="510"/>
      <c r="AI85" s="11"/>
      <c r="AJ85" s="12"/>
      <c r="AK85" s="510"/>
      <c r="AL85" s="207"/>
      <c r="AM85" s="207"/>
      <c r="AN85" s="510"/>
      <c r="AO85" s="11"/>
      <c r="AP85" s="12"/>
      <c r="AQ85" s="511"/>
      <c r="AR85" s="511"/>
      <c r="AS85" s="510"/>
      <c r="AT85" s="212"/>
    </row>
    <row r="86" spans="1:54" x14ac:dyDescent="0.35">
      <c r="A86" s="5"/>
      <c r="B86" s="11"/>
      <c r="C86" s="14"/>
      <c r="D86" s="513"/>
      <c r="E86" s="11"/>
      <c r="F86" s="14"/>
      <c r="G86" s="513"/>
      <c r="H86" s="11"/>
      <c r="I86" s="14"/>
      <c r="J86" s="513"/>
      <c r="K86" s="11"/>
      <c r="L86" s="11"/>
      <c r="M86" s="513"/>
      <c r="N86" s="11"/>
      <c r="O86" s="11"/>
      <c r="P86" s="513"/>
      <c r="Q86" s="11"/>
      <c r="R86" s="11"/>
      <c r="S86" s="513"/>
      <c r="T86" s="11"/>
      <c r="U86" s="11"/>
      <c r="V86" s="513"/>
      <c r="W86" s="11"/>
      <c r="X86" s="11"/>
      <c r="Y86" s="513"/>
      <c r="Z86" s="11"/>
      <c r="AA86" s="11"/>
      <c r="AB86" s="513"/>
      <c r="AC86" s="11"/>
      <c r="AD86" s="12"/>
      <c r="AE86" s="513"/>
      <c r="AF86" s="11"/>
      <c r="AG86" s="11"/>
      <c r="AH86" s="513"/>
      <c r="AI86" s="11"/>
      <c r="AJ86" s="11"/>
      <c r="AK86" s="513"/>
      <c r="AL86" s="207"/>
      <c r="AM86" s="207"/>
      <c r="AN86" s="513"/>
      <c r="AO86" s="11"/>
      <c r="AP86" s="11"/>
      <c r="AQ86" s="512"/>
      <c r="AR86" s="512"/>
      <c r="AS86" s="513"/>
      <c r="AT86" s="211"/>
      <c r="AV86" s="2">
        <v>14</v>
      </c>
      <c r="AW86" s="2">
        <v>13</v>
      </c>
      <c r="AX86" s="2">
        <v>13</v>
      </c>
      <c r="AY86" s="2">
        <v>0</v>
      </c>
      <c r="AZ86" s="2"/>
      <c r="BA86" s="2"/>
      <c r="BB86" s="405">
        <f>+A87+D87+G87+J87+M87+P87+S87+V87+Y87+AB87+AE87+AH87+AK87+AN87+AQ87</f>
        <v>5119</v>
      </c>
    </row>
    <row r="87" spans="1:54" x14ac:dyDescent="0.35">
      <c r="A87" s="5"/>
      <c r="B87" s="699" t="s">
        <v>156</v>
      </c>
      <c r="C87" s="700"/>
      <c r="D87" s="513">
        <v>446</v>
      </c>
      <c r="E87" s="714" t="s">
        <v>35</v>
      </c>
      <c r="F87" s="712"/>
      <c r="G87" s="513">
        <v>394</v>
      </c>
      <c r="H87" s="714" t="s">
        <v>35</v>
      </c>
      <c r="I87" s="712"/>
      <c r="J87" s="513">
        <v>391</v>
      </c>
      <c r="K87" s="714" t="s">
        <v>31</v>
      </c>
      <c r="L87" s="712"/>
      <c r="M87" s="513">
        <v>409</v>
      </c>
      <c r="N87" s="714" t="s">
        <v>35</v>
      </c>
      <c r="O87" s="712"/>
      <c r="P87" s="513">
        <v>379</v>
      </c>
      <c r="Q87" s="714" t="s">
        <v>31</v>
      </c>
      <c r="R87" s="712"/>
      <c r="S87" s="513">
        <v>364</v>
      </c>
      <c r="T87" s="714" t="s">
        <v>14</v>
      </c>
      <c r="U87" s="712"/>
      <c r="V87" s="513">
        <v>447</v>
      </c>
      <c r="W87" s="714" t="s">
        <v>118</v>
      </c>
      <c r="X87" s="712"/>
      <c r="Y87" s="513">
        <v>257</v>
      </c>
      <c r="Z87" s="712" t="s">
        <v>182</v>
      </c>
      <c r="AA87" s="712"/>
      <c r="AB87" s="513">
        <v>232</v>
      </c>
      <c r="AC87" s="714" t="s">
        <v>33</v>
      </c>
      <c r="AD87" s="712"/>
      <c r="AE87" s="513">
        <v>365</v>
      </c>
      <c r="AF87" s="714" t="s">
        <v>23</v>
      </c>
      <c r="AG87" s="712"/>
      <c r="AH87" s="513">
        <v>379</v>
      </c>
      <c r="AI87" s="714" t="s">
        <v>16</v>
      </c>
      <c r="AJ87" s="712"/>
      <c r="AK87" s="513">
        <v>440</v>
      </c>
      <c r="AL87" s="714" t="s">
        <v>113</v>
      </c>
      <c r="AM87" s="712"/>
      <c r="AN87" s="513">
        <v>221</v>
      </c>
      <c r="AO87" s="714" t="s">
        <v>40</v>
      </c>
      <c r="AP87" s="712"/>
      <c r="AQ87" s="516">
        <v>395</v>
      </c>
      <c r="AR87" s="516"/>
      <c r="AS87" s="513"/>
      <c r="AT87" s="211"/>
    </row>
    <row r="88" spans="1:54" x14ac:dyDescent="0.35">
      <c r="A88" s="5"/>
      <c r="B88" s="699" t="s">
        <v>173</v>
      </c>
      <c r="C88" s="700"/>
      <c r="D88" s="519"/>
      <c r="E88" s="699" t="s">
        <v>174</v>
      </c>
      <c r="F88" s="700"/>
      <c r="G88" s="519"/>
      <c r="H88" s="699" t="s">
        <v>175</v>
      </c>
      <c r="I88" s="700"/>
      <c r="J88" s="519"/>
      <c r="K88" s="699" t="s">
        <v>176</v>
      </c>
      <c r="L88" s="700"/>
      <c r="M88" s="513"/>
      <c r="N88" s="699" t="s">
        <v>177</v>
      </c>
      <c r="O88" s="700"/>
      <c r="P88" s="519"/>
      <c r="Q88" s="699" t="s">
        <v>178</v>
      </c>
      <c r="R88" s="700"/>
      <c r="S88" s="519"/>
      <c r="T88" s="699" t="s">
        <v>179</v>
      </c>
      <c r="U88" s="700"/>
      <c r="V88" s="519"/>
      <c r="W88" s="699" t="s">
        <v>180</v>
      </c>
      <c r="X88" s="700"/>
      <c r="Y88" s="519"/>
      <c r="Z88" s="699" t="s">
        <v>181</v>
      </c>
      <c r="AA88" s="700"/>
      <c r="AB88" s="519"/>
      <c r="AC88" s="699" t="s">
        <v>183</v>
      </c>
      <c r="AD88" s="700"/>
      <c r="AE88" s="519"/>
      <c r="AF88" s="699" t="s">
        <v>184</v>
      </c>
      <c r="AG88" s="700"/>
      <c r="AH88" s="519"/>
      <c r="AI88" s="699" t="s">
        <v>185</v>
      </c>
      <c r="AJ88" s="700"/>
      <c r="AK88" s="519"/>
      <c r="AL88" s="699" t="s">
        <v>186</v>
      </c>
      <c r="AM88" s="700"/>
      <c r="AN88" s="519"/>
      <c r="AO88" s="699" t="s">
        <v>187</v>
      </c>
      <c r="AP88" s="700"/>
      <c r="AQ88" s="516"/>
      <c r="AR88" s="516"/>
      <c r="AT88" s="7"/>
    </row>
    <row r="89" spans="1:54" x14ac:dyDescent="0.35">
      <c r="A89" s="5"/>
      <c r="B89" s="522" t="s">
        <v>359</v>
      </c>
      <c r="C89" s="521"/>
      <c r="D89" s="522"/>
      <c r="E89" s="522" t="s">
        <v>359</v>
      </c>
      <c r="F89" s="523"/>
      <c r="G89" s="522"/>
      <c r="H89" s="521"/>
      <c r="I89" s="522" t="s">
        <v>359</v>
      </c>
      <c r="J89" s="522"/>
      <c r="K89" s="521"/>
      <c r="L89" s="522" t="s">
        <v>359</v>
      </c>
      <c r="M89" s="522"/>
      <c r="N89" s="521"/>
      <c r="O89" s="522" t="s">
        <v>359</v>
      </c>
      <c r="P89" s="522"/>
      <c r="Q89" s="521"/>
      <c r="R89" s="522" t="s">
        <v>359</v>
      </c>
      <c r="S89" s="522"/>
      <c r="T89" s="521"/>
      <c r="U89" s="522" t="s">
        <v>359</v>
      </c>
      <c r="V89" s="522"/>
      <c r="W89" s="521"/>
      <c r="X89" s="522" t="s">
        <v>359</v>
      </c>
      <c r="Y89" s="522"/>
      <c r="Z89" s="521"/>
      <c r="AA89" s="522" t="s">
        <v>359</v>
      </c>
      <c r="AB89" s="522"/>
      <c r="AC89" s="521"/>
      <c r="AD89" s="522" t="s">
        <v>359</v>
      </c>
      <c r="AE89" s="522"/>
      <c r="AF89" s="521"/>
      <c r="AG89" s="522" t="s">
        <v>359</v>
      </c>
      <c r="AH89" s="522"/>
      <c r="AI89" s="521"/>
      <c r="AJ89" s="522" t="s">
        <v>359</v>
      </c>
      <c r="AK89" s="522"/>
      <c r="AL89" s="521"/>
      <c r="AM89" s="522" t="s">
        <v>359</v>
      </c>
      <c r="AN89" s="522"/>
      <c r="AO89" s="521"/>
      <c r="AP89" s="522" t="s">
        <v>359</v>
      </c>
      <c r="AQ89" s="522"/>
      <c r="AR89" s="522"/>
      <c r="AT89" s="7"/>
    </row>
    <row r="90" spans="1:54" x14ac:dyDescent="0.35">
      <c r="A90" s="5"/>
      <c r="Z90" s="724"/>
      <c r="AA90" s="724"/>
      <c r="AB90" s="724"/>
      <c r="AC90" s="724"/>
      <c r="AD90" s="724"/>
      <c r="AT90" s="7"/>
    </row>
    <row r="91" spans="1:54" x14ac:dyDescent="0.35">
      <c r="A91" s="5"/>
      <c r="AB91" s="6" t="s">
        <v>402</v>
      </c>
      <c r="AT91" s="7"/>
    </row>
    <row r="92" spans="1:54" x14ac:dyDescent="0.35">
      <c r="A92" s="5"/>
      <c r="B92" s="697"/>
      <c r="C92" s="697"/>
      <c r="E92" s="697"/>
      <c r="F92" s="697"/>
      <c r="H92" s="697"/>
      <c r="I92" s="697"/>
      <c r="K92" s="697"/>
      <c r="L92" s="697"/>
      <c r="N92" s="697"/>
      <c r="O92" s="697"/>
      <c r="Q92" s="697"/>
      <c r="R92" s="697"/>
      <c r="T92" s="697"/>
      <c r="U92" s="697"/>
      <c r="W92" s="697"/>
      <c r="X92" s="697"/>
      <c r="Z92" s="697"/>
      <c r="AA92" s="697"/>
      <c r="AC92" s="697"/>
      <c r="AD92" s="697"/>
      <c r="AF92" s="697"/>
      <c r="AG92" s="697"/>
      <c r="AI92" s="697"/>
      <c r="AJ92" s="697"/>
      <c r="AL92" s="697"/>
      <c r="AM92" s="697"/>
      <c r="AN92" s="510"/>
      <c r="AO92" s="697"/>
      <c r="AP92" s="697"/>
      <c r="AQ92" s="10"/>
      <c r="AR92" s="10"/>
      <c r="AT92" s="7"/>
    </row>
    <row r="93" spans="1:54" x14ac:dyDescent="0.35">
      <c r="A93" s="5"/>
      <c r="B93" s="12"/>
      <c r="C93" s="12"/>
      <c r="D93" s="510"/>
      <c r="E93" s="11"/>
      <c r="F93" s="12"/>
      <c r="G93" s="510"/>
      <c r="H93" s="11"/>
      <c r="I93" s="12"/>
      <c r="J93" s="510"/>
      <c r="K93" s="11"/>
      <c r="L93" s="12"/>
      <c r="M93" s="510"/>
      <c r="N93" s="11"/>
      <c r="O93" s="12"/>
      <c r="P93" s="510"/>
      <c r="Q93" s="11"/>
      <c r="R93" s="12"/>
      <c r="S93" s="510"/>
      <c r="T93" s="11"/>
      <c r="U93" s="12"/>
      <c r="V93" s="510"/>
      <c r="W93" s="11"/>
      <c r="X93" s="12"/>
      <c r="Y93" s="510"/>
      <c r="Z93" s="11"/>
      <c r="AA93" s="12"/>
      <c r="AB93" s="510"/>
      <c r="AC93" s="11"/>
      <c r="AD93" s="12"/>
      <c r="AE93" s="510"/>
      <c r="AF93" s="11"/>
      <c r="AG93" s="12"/>
      <c r="AH93" s="510"/>
      <c r="AI93" s="11"/>
      <c r="AJ93" s="12"/>
      <c r="AK93" s="510"/>
      <c r="AL93" s="11"/>
      <c r="AM93" s="12"/>
      <c r="AO93" s="11"/>
      <c r="AP93" s="12"/>
      <c r="AQ93" s="511"/>
      <c r="AR93" s="511"/>
      <c r="AS93" s="510"/>
      <c r="AT93" s="212"/>
    </row>
    <row r="94" spans="1:54" x14ac:dyDescent="0.35">
      <c r="A94" s="5"/>
      <c r="B94" s="15"/>
      <c r="C94" s="15"/>
      <c r="D94" s="513"/>
      <c r="E94" s="15"/>
      <c r="F94" s="15"/>
      <c r="G94" s="519"/>
      <c r="H94" s="15"/>
      <c r="I94" s="15"/>
      <c r="J94" s="513"/>
      <c r="K94" s="15"/>
      <c r="L94" s="15"/>
      <c r="M94" s="513"/>
      <c r="N94" s="15"/>
      <c r="O94" s="15"/>
      <c r="P94" s="513"/>
      <c r="Q94" s="15"/>
      <c r="R94" s="15"/>
      <c r="S94" s="519"/>
      <c r="T94" s="15"/>
      <c r="U94" s="15"/>
      <c r="V94" s="513"/>
      <c r="W94" s="15"/>
      <c r="X94" s="15"/>
      <c r="Y94" s="513"/>
      <c r="Z94" s="15"/>
      <c r="AA94" s="15"/>
      <c r="AB94" s="513"/>
      <c r="AC94" s="15"/>
      <c r="AD94" s="15"/>
      <c r="AE94" s="513"/>
      <c r="AF94" s="15"/>
      <c r="AG94" s="12"/>
      <c r="AH94" s="513"/>
      <c r="AI94" s="15"/>
      <c r="AJ94" s="12"/>
      <c r="AK94" s="513"/>
      <c r="AL94" s="15"/>
      <c r="AM94" s="12"/>
      <c r="AN94" s="513"/>
      <c r="AO94" s="15"/>
      <c r="AP94" s="12"/>
      <c r="AQ94" s="511"/>
      <c r="AR94" s="511"/>
      <c r="AS94" s="513"/>
      <c r="AT94" s="211"/>
      <c r="AV94" s="2">
        <v>14</v>
      </c>
      <c r="AW94" s="2">
        <v>12</v>
      </c>
      <c r="AX94" s="2">
        <v>14</v>
      </c>
      <c r="AY94" s="2">
        <v>0</v>
      </c>
      <c r="AZ94" s="2"/>
      <c r="BA94" s="2"/>
      <c r="BB94" s="405">
        <f>+A95+D95+G95+J95+M95+P95+S95+V95+Y95+AB95+AE95+AH95+AK95+AN95+AQ95</f>
        <v>5433</v>
      </c>
    </row>
    <row r="95" spans="1:54" x14ac:dyDescent="0.35">
      <c r="A95" s="5"/>
      <c r="B95" s="714" t="s">
        <v>31</v>
      </c>
      <c r="C95" s="712"/>
      <c r="D95" s="513">
        <v>356</v>
      </c>
      <c r="E95" s="714" t="s">
        <v>31</v>
      </c>
      <c r="F95" s="712"/>
      <c r="G95" s="519">
        <v>404</v>
      </c>
      <c r="H95" s="714" t="s">
        <v>31</v>
      </c>
      <c r="I95" s="712"/>
      <c r="J95" s="513">
        <v>380</v>
      </c>
      <c r="K95" s="714" t="s">
        <v>33</v>
      </c>
      <c r="L95" s="712"/>
      <c r="M95" s="513">
        <v>460</v>
      </c>
      <c r="N95" s="714" t="s">
        <v>16</v>
      </c>
      <c r="O95" s="712"/>
      <c r="P95" s="513">
        <v>380</v>
      </c>
      <c r="Q95" s="714" t="s">
        <v>14</v>
      </c>
      <c r="R95" s="712"/>
      <c r="S95" s="519">
        <v>413</v>
      </c>
      <c r="T95" s="714" t="s">
        <v>33</v>
      </c>
      <c r="U95" s="712"/>
      <c r="V95" s="513">
        <v>413</v>
      </c>
      <c r="W95" s="714" t="s">
        <v>31</v>
      </c>
      <c r="X95" s="712"/>
      <c r="Y95" s="513">
        <v>427</v>
      </c>
      <c r="Z95" s="712" t="s">
        <v>197</v>
      </c>
      <c r="AA95" s="712"/>
      <c r="AB95" s="513">
        <v>220</v>
      </c>
      <c r="AC95" s="714" t="s">
        <v>118</v>
      </c>
      <c r="AD95" s="712"/>
      <c r="AE95" s="513">
        <v>430</v>
      </c>
      <c r="AF95" s="714" t="s">
        <v>23</v>
      </c>
      <c r="AG95" s="712"/>
      <c r="AH95" s="513">
        <v>344</v>
      </c>
      <c r="AI95" s="714" t="s">
        <v>31</v>
      </c>
      <c r="AJ95" s="712"/>
      <c r="AK95" s="513">
        <v>373</v>
      </c>
      <c r="AL95" s="714" t="s">
        <v>23</v>
      </c>
      <c r="AM95" s="712"/>
      <c r="AN95" s="513">
        <v>389</v>
      </c>
      <c r="AO95" s="714" t="s">
        <v>33</v>
      </c>
      <c r="AP95" s="712"/>
      <c r="AQ95" s="516">
        <v>444</v>
      </c>
      <c r="AR95" s="516"/>
      <c r="AS95" s="513"/>
      <c r="AT95" s="211"/>
    </row>
    <row r="96" spans="1:54" x14ac:dyDescent="0.35">
      <c r="A96" s="5"/>
      <c r="B96" s="699" t="s">
        <v>188</v>
      </c>
      <c r="C96" s="700"/>
      <c r="D96" s="519"/>
      <c r="E96" s="699" t="s">
        <v>189</v>
      </c>
      <c r="F96" s="700"/>
      <c r="G96" s="519"/>
      <c r="H96" s="699" t="s">
        <v>190</v>
      </c>
      <c r="I96" s="700"/>
      <c r="J96" s="519"/>
      <c r="K96" s="699" t="s">
        <v>191</v>
      </c>
      <c r="L96" s="700"/>
      <c r="M96" s="519"/>
      <c r="N96" s="699" t="s">
        <v>192</v>
      </c>
      <c r="O96" s="700"/>
      <c r="P96" s="519"/>
      <c r="Q96" s="699" t="s">
        <v>193</v>
      </c>
      <c r="R96" s="700"/>
      <c r="S96" s="519"/>
      <c r="T96" s="699" t="s">
        <v>194</v>
      </c>
      <c r="U96" s="700"/>
      <c r="V96" s="519"/>
      <c r="W96" s="699" t="s">
        <v>195</v>
      </c>
      <c r="X96" s="700"/>
      <c r="Y96" s="519"/>
      <c r="Z96" s="699" t="s">
        <v>196</v>
      </c>
      <c r="AA96" s="700"/>
      <c r="AB96" s="519"/>
      <c r="AC96" s="699" t="s">
        <v>198</v>
      </c>
      <c r="AD96" s="700"/>
      <c r="AE96" s="519"/>
      <c r="AF96" s="699" t="s">
        <v>199</v>
      </c>
      <c r="AG96" s="700"/>
      <c r="AH96" s="519"/>
      <c r="AI96" s="699" t="s">
        <v>200</v>
      </c>
      <c r="AJ96" s="700"/>
      <c r="AK96" s="519"/>
      <c r="AL96" s="699" t="s">
        <v>201</v>
      </c>
      <c r="AM96" s="700"/>
      <c r="AN96" s="519"/>
      <c r="AO96" s="699" t="s">
        <v>202</v>
      </c>
      <c r="AP96" s="700"/>
      <c r="AQ96" s="516"/>
      <c r="AR96" s="516"/>
      <c r="AS96" s="519"/>
      <c r="AT96" s="213"/>
    </row>
    <row r="97" spans="1:54" x14ac:dyDescent="0.35">
      <c r="A97" s="5"/>
      <c r="B97" s="522" t="s">
        <v>359</v>
      </c>
      <c r="C97" s="521"/>
      <c r="D97" s="522"/>
      <c r="E97" s="521"/>
      <c r="F97" s="522" t="s">
        <v>359</v>
      </c>
      <c r="G97" s="522"/>
      <c r="H97" s="521"/>
      <c r="I97" s="522" t="s">
        <v>359</v>
      </c>
      <c r="J97" s="522"/>
      <c r="K97" s="521"/>
      <c r="L97" s="522" t="s">
        <v>359</v>
      </c>
      <c r="M97" s="522"/>
      <c r="N97" s="521"/>
      <c r="O97" s="522" t="s">
        <v>359</v>
      </c>
      <c r="P97" s="522"/>
      <c r="Q97" s="521"/>
      <c r="R97" s="522" t="s">
        <v>359</v>
      </c>
      <c r="S97" s="522"/>
      <c r="T97" s="521"/>
      <c r="U97" s="522" t="s">
        <v>359</v>
      </c>
      <c r="V97" s="522"/>
      <c r="W97" s="521"/>
      <c r="X97" s="522" t="s">
        <v>359</v>
      </c>
      <c r="Y97" s="522"/>
      <c r="Z97" s="521"/>
      <c r="AA97" s="522" t="s">
        <v>359</v>
      </c>
      <c r="AB97" s="522"/>
      <c r="AC97" s="521"/>
      <c r="AD97" s="522" t="s">
        <v>359</v>
      </c>
      <c r="AE97" s="522"/>
      <c r="AF97" s="521"/>
      <c r="AG97" s="522" t="s">
        <v>359</v>
      </c>
      <c r="AH97" s="522"/>
      <c r="AI97" s="521"/>
      <c r="AJ97" s="522" t="s">
        <v>359</v>
      </c>
      <c r="AK97" s="522"/>
      <c r="AL97" s="521"/>
      <c r="AM97" s="522" t="s">
        <v>359</v>
      </c>
      <c r="AN97" s="522"/>
      <c r="AO97" s="521"/>
      <c r="AP97" s="522" t="s">
        <v>359</v>
      </c>
      <c r="AQ97" s="522"/>
      <c r="AR97" s="522"/>
      <c r="AS97" s="519"/>
      <c r="AT97" s="213"/>
    </row>
    <row r="98" spans="1:54" x14ac:dyDescent="0.35">
      <c r="A98" s="5"/>
      <c r="B98" s="529"/>
      <c r="C98" s="529"/>
      <c r="D98" s="519"/>
      <c r="E98" s="529"/>
      <c r="F98" s="529"/>
      <c r="G98" s="519"/>
      <c r="H98" s="529"/>
      <c r="I98" s="529"/>
      <c r="J98" s="519"/>
      <c r="K98" s="529"/>
      <c r="L98" s="529"/>
      <c r="M98" s="519"/>
      <c r="N98" s="529"/>
      <c r="O98" s="529"/>
      <c r="P98" s="519"/>
      <c r="Q98" s="529"/>
      <c r="R98" s="529"/>
      <c r="S98" s="519"/>
      <c r="T98" s="529"/>
      <c r="U98" s="529"/>
      <c r="V98" s="519"/>
      <c r="W98" s="529"/>
      <c r="X98" s="529"/>
      <c r="Y98" s="519"/>
      <c r="Z98" s="529"/>
      <c r="AA98" s="529"/>
      <c r="AB98" s="519"/>
      <c r="AC98" s="529"/>
      <c r="AD98" s="529"/>
      <c r="AE98" s="519"/>
      <c r="AF98" s="700"/>
      <c r="AG98" s="700"/>
      <c r="AH98" s="700"/>
      <c r="AI98" s="529"/>
      <c r="AJ98" s="529"/>
      <c r="AK98" s="519"/>
      <c r="AL98" s="529"/>
      <c r="AM98" s="529"/>
      <c r="AN98" s="519"/>
      <c r="AO98" s="529"/>
      <c r="AP98" s="529"/>
      <c r="AQ98" s="529"/>
      <c r="AR98" s="529"/>
      <c r="AS98" s="519"/>
      <c r="AT98" s="213"/>
    </row>
    <row r="99" spans="1:54" x14ac:dyDescent="0.35">
      <c r="A99" s="5"/>
      <c r="B99" s="529"/>
      <c r="C99" s="529"/>
      <c r="D99" s="519"/>
      <c r="E99" s="529"/>
      <c r="F99" s="529"/>
      <c r="G99" s="519"/>
      <c r="H99" s="529"/>
      <c r="I99" s="529"/>
      <c r="J99" s="519"/>
      <c r="K99" s="529"/>
      <c r="L99" s="529"/>
      <c r="M99" s="519"/>
      <c r="N99" s="529"/>
      <c r="O99" s="529"/>
      <c r="P99" s="519"/>
      <c r="Q99" s="529"/>
      <c r="R99" s="529"/>
      <c r="S99" s="519"/>
      <c r="T99" s="529"/>
      <c r="U99" s="529"/>
      <c r="V99" s="519"/>
      <c r="W99" s="529"/>
      <c r="X99" s="529"/>
      <c r="Y99" s="519"/>
      <c r="Z99" s="529"/>
      <c r="AA99" s="529"/>
      <c r="AB99" s="519"/>
      <c r="AC99" s="529"/>
      <c r="AD99" s="529"/>
      <c r="AE99" s="519"/>
      <c r="AF99" s="529"/>
      <c r="AG99" s="529"/>
      <c r="AH99" s="519"/>
      <c r="AI99" s="529"/>
      <c r="AJ99" s="529"/>
      <c r="AK99" s="519"/>
      <c r="AL99" s="529"/>
      <c r="AM99" s="529"/>
      <c r="AN99" s="519"/>
      <c r="AO99" s="529"/>
      <c r="AP99" s="529"/>
      <c r="AQ99" s="529"/>
      <c r="AR99" s="529"/>
      <c r="AS99" s="519"/>
      <c r="AT99" s="213"/>
    </row>
    <row r="100" spans="1:54" x14ac:dyDescent="0.35">
      <c r="A100" s="5"/>
      <c r="B100" s="735"/>
      <c r="C100" s="735"/>
      <c r="D100" s="519"/>
      <c r="E100" s="735"/>
      <c r="F100" s="735"/>
      <c r="G100" s="519"/>
      <c r="H100" s="735"/>
      <c r="I100" s="735"/>
      <c r="J100" s="519"/>
      <c r="K100" s="735"/>
      <c r="L100" s="735"/>
      <c r="M100" s="519"/>
      <c r="N100" s="735"/>
      <c r="O100" s="735"/>
      <c r="P100" s="519"/>
      <c r="Q100" s="735"/>
      <c r="R100" s="735"/>
      <c r="S100" s="519"/>
      <c r="T100" s="735"/>
      <c r="U100" s="735"/>
      <c r="V100" s="519"/>
      <c r="W100" s="735"/>
      <c r="X100" s="735"/>
      <c r="Y100" s="519"/>
      <c r="Z100" s="735"/>
      <c r="AA100" s="735"/>
      <c r="AB100" s="519"/>
      <c r="AC100" s="735"/>
      <c r="AD100" s="735"/>
      <c r="AE100" s="519"/>
      <c r="AF100" s="735"/>
      <c r="AG100" s="735"/>
      <c r="AH100" s="519"/>
      <c r="AI100" s="735"/>
      <c r="AJ100" s="735"/>
      <c r="AK100" s="519"/>
      <c r="AL100" s="735"/>
      <c r="AM100" s="735"/>
      <c r="AN100" s="519"/>
      <c r="AO100" s="735"/>
      <c r="AP100" s="735"/>
      <c r="AQ100" s="516"/>
      <c r="AR100" s="516"/>
      <c r="AS100" s="519"/>
      <c r="AT100" s="213"/>
    </row>
    <row r="101" spans="1:54" x14ac:dyDescent="0.35">
      <c r="A101" s="5"/>
      <c r="B101" s="736" t="s">
        <v>397</v>
      </c>
      <c r="C101" s="737"/>
      <c r="D101" s="513"/>
      <c r="E101" s="11"/>
      <c r="F101" s="12"/>
      <c r="G101" s="513"/>
      <c r="H101" s="11"/>
      <c r="I101" s="12"/>
      <c r="J101" s="513"/>
      <c r="K101" s="11"/>
      <c r="L101" s="12"/>
      <c r="M101" s="513"/>
      <c r="N101" s="11"/>
      <c r="O101" s="12"/>
      <c r="P101" s="513"/>
      <c r="Q101" s="11"/>
      <c r="R101" s="12"/>
      <c r="S101" s="513"/>
      <c r="T101" s="15"/>
      <c r="U101" s="17"/>
      <c r="V101" s="513"/>
      <c r="W101" s="15"/>
      <c r="X101" s="17"/>
      <c r="Y101" s="513"/>
      <c r="Z101" s="15"/>
      <c r="AA101" s="17"/>
      <c r="AB101" s="513"/>
      <c r="AC101" s="15"/>
      <c r="AD101" s="17"/>
      <c r="AE101" s="513"/>
      <c r="AF101" s="740" t="s">
        <v>2274</v>
      </c>
      <c r="AG101" s="741"/>
      <c r="AH101" s="513"/>
      <c r="AI101" s="15"/>
      <c r="AJ101" s="16"/>
      <c r="AK101" s="513"/>
      <c r="AL101" s="11"/>
      <c r="AM101" s="12"/>
      <c r="AN101" s="513"/>
      <c r="AO101" s="207"/>
      <c r="AP101" s="207"/>
      <c r="AQ101" s="208"/>
      <c r="AR101" s="208"/>
      <c r="AS101" s="513"/>
      <c r="AT101" s="211"/>
    </row>
    <row r="102" spans="1:54" x14ac:dyDescent="0.35">
      <c r="A102" s="5"/>
      <c r="B102" s="738"/>
      <c r="C102" s="739"/>
      <c r="D102" s="513"/>
      <c r="E102" s="15"/>
      <c r="F102" s="15"/>
      <c r="G102" s="513"/>
      <c r="H102" s="15"/>
      <c r="I102" s="15"/>
      <c r="J102" s="513"/>
      <c r="K102" s="15"/>
      <c r="L102" s="15"/>
      <c r="M102" s="519"/>
      <c r="N102" s="15"/>
      <c r="O102" s="15"/>
      <c r="P102" s="519"/>
      <c r="Q102" s="15"/>
      <c r="R102" s="15"/>
      <c r="S102" s="519"/>
      <c r="T102" s="15"/>
      <c r="U102" s="15"/>
      <c r="V102" s="519"/>
      <c r="W102" s="15"/>
      <c r="X102" s="15"/>
      <c r="Y102" s="519"/>
      <c r="Z102" s="15"/>
      <c r="AA102" s="15"/>
      <c r="AB102" s="513"/>
      <c r="AC102" s="15"/>
      <c r="AD102" s="15"/>
      <c r="AE102" s="519"/>
      <c r="AF102" s="742"/>
      <c r="AG102" s="743"/>
      <c r="AH102" s="513"/>
      <c r="AI102" s="15"/>
      <c r="AJ102" s="15"/>
      <c r="AK102" s="513"/>
      <c r="AL102" s="15"/>
      <c r="AM102" s="15"/>
      <c r="AN102" s="513"/>
      <c r="AO102" s="11"/>
      <c r="AP102" s="11"/>
      <c r="AQ102" s="208"/>
      <c r="AR102" s="208"/>
      <c r="AS102" s="513"/>
      <c r="AT102" s="211"/>
      <c r="AV102" s="2">
        <v>13</v>
      </c>
      <c r="AW102" s="2">
        <v>13</v>
      </c>
      <c r="AX102" s="2">
        <v>10</v>
      </c>
      <c r="AY102" s="2">
        <v>0</v>
      </c>
      <c r="AZ102" s="2"/>
      <c r="BA102" s="2"/>
      <c r="BB102" s="405">
        <f>+A103+D103+G103+J103+M103+P103+S103+V103+Y103+AB103+AE103+AH103+AK103+AN103+AQ103</f>
        <v>5408</v>
      </c>
    </row>
    <row r="103" spans="1:54" x14ac:dyDescent="0.35">
      <c r="A103" s="5"/>
      <c r="B103" s="714" t="s">
        <v>16</v>
      </c>
      <c r="C103" s="712"/>
      <c r="D103" s="513">
        <v>308</v>
      </c>
      <c r="E103" s="714" t="s">
        <v>23</v>
      </c>
      <c r="F103" s="712"/>
      <c r="G103" s="513">
        <v>345</v>
      </c>
      <c r="H103" s="714" t="s">
        <v>31</v>
      </c>
      <c r="I103" s="712"/>
      <c r="J103" s="513">
        <v>425</v>
      </c>
      <c r="K103" s="714" t="s">
        <v>16</v>
      </c>
      <c r="L103" s="712"/>
      <c r="M103" s="513">
        <v>412</v>
      </c>
      <c r="N103" s="729" t="s">
        <v>18</v>
      </c>
      <c r="O103" s="729"/>
      <c r="P103" s="513">
        <v>399</v>
      </c>
      <c r="Q103" s="714" t="s">
        <v>33</v>
      </c>
      <c r="R103" s="712"/>
      <c r="S103" s="513">
        <v>420</v>
      </c>
      <c r="T103" s="714" t="s">
        <v>31</v>
      </c>
      <c r="U103" s="712"/>
      <c r="V103" s="513">
        <v>367</v>
      </c>
      <c r="W103" s="714" t="s">
        <v>31</v>
      </c>
      <c r="X103" s="712"/>
      <c r="Y103" s="519">
        <v>354</v>
      </c>
      <c r="Z103" s="714" t="s">
        <v>31</v>
      </c>
      <c r="AA103" s="712"/>
      <c r="AB103" s="519">
        <v>399</v>
      </c>
      <c r="AC103" s="714" t="s">
        <v>31</v>
      </c>
      <c r="AD103" s="712"/>
      <c r="AE103" s="513">
        <v>375</v>
      </c>
      <c r="AF103" s="714" t="s">
        <v>40</v>
      </c>
      <c r="AG103" s="712"/>
      <c r="AH103" s="519">
        <v>380</v>
      </c>
      <c r="AI103" s="714" t="s">
        <v>31</v>
      </c>
      <c r="AJ103" s="712"/>
      <c r="AK103" s="519">
        <v>405</v>
      </c>
      <c r="AL103" s="714" t="s">
        <v>33</v>
      </c>
      <c r="AM103" s="712"/>
      <c r="AN103" s="519">
        <v>420</v>
      </c>
      <c r="AO103" s="714" t="s">
        <v>33</v>
      </c>
      <c r="AP103" s="712"/>
      <c r="AQ103" s="516">
        <v>399</v>
      </c>
      <c r="AR103" s="516"/>
      <c r="AS103" s="519"/>
      <c r="AT103" s="213"/>
    </row>
    <row r="104" spans="1:54" x14ac:dyDescent="0.35">
      <c r="A104" s="5"/>
      <c r="B104" s="699" t="s">
        <v>203</v>
      </c>
      <c r="C104" s="700"/>
      <c r="D104" s="519"/>
      <c r="E104" s="699" t="s">
        <v>204</v>
      </c>
      <c r="F104" s="700"/>
      <c r="G104" s="519"/>
      <c r="H104" s="699" t="s">
        <v>205</v>
      </c>
      <c r="I104" s="700"/>
      <c r="J104" s="519"/>
      <c r="K104" s="699" t="s">
        <v>206</v>
      </c>
      <c r="L104" s="700"/>
      <c r="M104" s="519"/>
      <c r="N104" s="703" t="s">
        <v>207</v>
      </c>
      <c r="O104" s="704"/>
      <c r="P104" s="519"/>
      <c r="Q104" s="703" t="s">
        <v>208</v>
      </c>
      <c r="R104" s="704"/>
      <c r="S104" s="519"/>
      <c r="T104" s="703" t="s">
        <v>209</v>
      </c>
      <c r="U104" s="704"/>
      <c r="V104" s="519"/>
      <c r="W104" s="703" t="s">
        <v>210</v>
      </c>
      <c r="X104" s="704"/>
      <c r="Y104" s="519"/>
      <c r="Z104" s="703" t="s">
        <v>211</v>
      </c>
      <c r="AA104" s="704"/>
      <c r="AB104" s="519"/>
      <c r="AC104" s="703" t="s">
        <v>212</v>
      </c>
      <c r="AD104" s="704"/>
      <c r="AE104" s="519"/>
      <c r="AF104" s="703" t="s">
        <v>213</v>
      </c>
      <c r="AG104" s="704"/>
      <c r="AH104" s="519"/>
      <c r="AI104" s="703" t="s">
        <v>214</v>
      </c>
      <c r="AJ104" s="704"/>
      <c r="AK104" s="519"/>
      <c r="AL104" s="703" t="s">
        <v>215</v>
      </c>
      <c r="AM104" s="704"/>
      <c r="AN104" s="519"/>
      <c r="AO104" s="703" t="s">
        <v>216</v>
      </c>
      <c r="AP104" s="704"/>
      <c r="AQ104" s="520"/>
      <c r="AR104" s="520"/>
      <c r="AS104" s="519"/>
      <c r="AT104" s="213"/>
    </row>
    <row r="105" spans="1:54" x14ac:dyDescent="0.35">
      <c r="A105" s="5"/>
      <c r="B105" s="522" t="s">
        <v>359</v>
      </c>
      <c r="C105" s="521"/>
      <c r="D105" s="522"/>
      <c r="E105" s="522" t="s">
        <v>359</v>
      </c>
      <c r="F105" s="532"/>
      <c r="G105" s="533"/>
      <c r="H105" s="522" t="s">
        <v>359</v>
      </c>
      <c r="I105" s="532"/>
      <c r="J105" s="533"/>
      <c r="K105" s="522" t="s">
        <v>359</v>
      </c>
      <c r="L105" s="536"/>
      <c r="M105" s="533"/>
      <c r="N105" s="522" t="s">
        <v>359</v>
      </c>
      <c r="O105" s="536"/>
      <c r="P105" s="537"/>
      <c r="Q105" s="538"/>
      <c r="R105" s="538" t="s">
        <v>395</v>
      </c>
      <c r="S105" s="537"/>
      <c r="T105" s="538"/>
      <c r="U105" s="538" t="s">
        <v>395</v>
      </c>
      <c r="V105" s="537"/>
      <c r="W105" s="538"/>
      <c r="X105" s="538" t="s">
        <v>395</v>
      </c>
      <c r="Y105" s="537"/>
      <c r="Z105" s="538"/>
      <c r="AA105" s="538" t="s">
        <v>395</v>
      </c>
      <c r="AB105" s="537"/>
      <c r="AC105" s="538"/>
      <c r="AD105" s="538" t="s">
        <v>395</v>
      </c>
      <c r="AE105" s="537"/>
      <c r="AF105" s="538"/>
      <c r="AG105" s="538" t="s">
        <v>395</v>
      </c>
      <c r="AH105" s="537"/>
      <c r="AI105" s="538"/>
      <c r="AJ105" s="538" t="s">
        <v>395</v>
      </c>
      <c r="AK105" s="537"/>
      <c r="AL105" s="538"/>
      <c r="AM105" s="538" t="s">
        <v>395</v>
      </c>
      <c r="AN105" s="537"/>
      <c r="AO105" s="538"/>
      <c r="AP105" s="538" t="s">
        <v>395</v>
      </c>
      <c r="AQ105" s="538"/>
      <c r="AR105" s="538"/>
      <c r="AS105" s="519"/>
      <c r="AT105" s="213"/>
    </row>
    <row r="106" spans="1:54" x14ac:dyDescent="0.35">
      <c r="A106" s="5"/>
      <c r="B106" s="529"/>
      <c r="C106" s="529"/>
      <c r="D106" s="519"/>
      <c r="E106" s="529"/>
      <c r="F106" s="529"/>
      <c r="G106" s="519"/>
      <c r="H106" s="529"/>
      <c r="I106" s="529"/>
      <c r="J106" s="519"/>
      <c r="K106" s="529"/>
      <c r="L106" s="529"/>
      <c r="M106" s="519"/>
      <c r="N106" s="529"/>
      <c r="O106" s="529"/>
      <c r="P106" s="519"/>
      <c r="Q106" s="529"/>
      <c r="R106" s="529"/>
      <c r="S106" s="519"/>
      <c r="T106" s="529"/>
      <c r="U106" s="529"/>
      <c r="V106" s="519"/>
      <c r="W106" s="529"/>
      <c r="X106" s="529"/>
      <c r="Y106" s="519"/>
      <c r="Z106" s="529"/>
      <c r="AA106" s="529"/>
      <c r="AB106" s="519"/>
      <c r="AC106" s="529"/>
      <c r="AD106" s="529"/>
      <c r="AE106" s="519"/>
      <c r="AF106" s="529"/>
      <c r="AG106" s="529"/>
      <c r="AI106" s="529"/>
      <c r="AT106" s="7"/>
    </row>
    <row r="107" spans="1:54" x14ac:dyDescent="0.35">
      <c r="A107" s="5"/>
      <c r="B107" s="529"/>
      <c r="C107" s="529"/>
      <c r="D107" s="519"/>
      <c r="E107" s="529"/>
      <c r="F107" s="529"/>
      <c r="G107" s="519"/>
      <c r="H107" s="529"/>
      <c r="I107" s="529"/>
      <c r="J107" s="519"/>
      <c r="K107" s="529"/>
      <c r="L107" s="529"/>
      <c r="M107" s="519"/>
      <c r="N107" s="529"/>
      <c r="O107" s="529"/>
      <c r="P107" s="519"/>
      <c r="Q107" s="529"/>
      <c r="R107" s="529"/>
      <c r="S107" s="519"/>
      <c r="T107" s="529"/>
      <c r="U107" s="529"/>
      <c r="V107" s="519"/>
      <c r="W107" s="529"/>
      <c r="X107" s="529"/>
      <c r="Y107" s="519"/>
      <c r="Z107" s="529"/>
      <c r="AA107" s="529"/>
      <c r="AC107" s="529"/>
      <c r="AD107" s="529"/>
      <c r="AE107" s="519"/>
      <c r="AF107" s="529"/>
      <c r="AG107" s="529"/>
      <c r="AT107" s="7"/>
    </row>
    <row r="108" spans="1:54" x14ac:dyDescent="0.35">
      <c r="A108" s="5"/>
      <c r="B108" s="700"/>
      <c r="C108" s="700"/>
      <c r="D108" s="519"/>
      <c r="E108" s="735"/>
      <c r="F108" s="735"/>
      <c r="G108" s="519"/>
      <c r="H108" s="735"/>
      <c r="I108" s="735"/>
      <c r="J108" s="519"/>
      <c r="K108" s="735"/>
      <c r="L108" s="735"/>
      <c r="M108" s="519"/>
      <c r="N108" s="735"/>
      <c r="O108" s="735"/>
      <c r="P108" s="519"/>
      <c r="Q108" s="735"/>
      <c r="R108" s="735"/>
      <c r="S108" s="519"/>
      <c r="T108" s="735"/>
      <c r="U108" s="735"/>
      <c r="V108" s="519"/>
      <c r="W108" s="735"/>
      <c r="X108" s="735"/>
      <c r="Y108" s="519"/>
      <c r="Z108" s="700"/>
      <c r="AA108" s="700"/>
      <c r="AB108" s="519"/>
      <c r="AC108" s="700"/>
      <c r="AD108" s="700"/>
      <c r="AE108" s="701"/>
      <c r="AF108" s="701"/>
      <c r="AG108" s="701"/>
      <c r="AH108" s="701"/>
      <c r="AI108" s="711"/>
      <c r="AJ108" s="711"/>
      <c r="AL108" s="711"/>
      <c r="AM108" s="711"/>
      <c r="AO108" s="711"/>
      <c r="AP108" s="711"/>
      <c r="AQ108" s="10"/>
      <c r="AR108" s="10"/>
      <c r="AT108" s="7"/>
    </row>
    <row r="109" spans="1:54" x14ac:dyDescent="0.35">
      <c r="A109" s="5"/>
      <c r="B109" s="207"/>
      <c r="C109" s="207"/>
      <c r="D109" s="513"/>
      <c r="E109" s="207"/>
      <c r="F109" s="207"/>
      <c r="G109" s="513"/>
      <c r="H109" s="11"/>
      <c r="I109" s="12"/>
      <c r="J109" s="513"/>
      <c r="K109" s="11"/>
      <c r="L109" s="12"/>
      <c r="M109" s="513"/>
      <c r="N109" s="11"/>
      <c r="O109" s="12"/>
      <c r="P109" s="513"/>
      <c r="Q109" s="11"/>
      <c r="R109" s="12"/>
      <c r="S109" s="513"/>
      <c r="T109" s="11"/>
      <c r="U109" s="12"/>
      <c r="V109" s="513"/>
      <c r="W109" s="11"/>
      <c r="X109" s="12"/>
      <c r="Y109" s="513"/>
      <c r="Z109" s="11"/>
      <c r="AA109" s="12"/>
      <c r="AB109" s="529"/>
      <c r="AC109" s="207"/>
      <c r="AD109" s="207"/>
      <c r="AE109" s="513"/>
      <c r="AF109" s="11"/>
      <c r="AG109" s="12"/>
      <c r="AH109" s="510"/>
      <c r="AI109" s="11"/>
      <c r="AJ109" s="12"/>
      <c r="AK109" s="510"/>
      <c r="AL109" s="744" t="s">
        <v>396</v>
      </c>
      <c r="AM109" s="745"/>
      <c r="AN109" s="510"/>
      <c r="AO109" s="207"/>
      <c r="AP109" s="207"/>
      <c r="AQ109" s="208"/>
      <c r="AR109" s="208"/>
      <c r="AS109" s="510"/>
      <c r="AT109" s="212"/>
    </row>
    <row r="110" spans="1:54" x14ac:dyDescent="0.35">
      <c r="A110" s="5"/>
      <c r="B110" s="207"/>
      <c r="C110" s="207"/>
      <c r="D110" s="513"/>
      <c r="E110" s="207"/>
      <c r="F110" s="207"/>
      <c r="G110" s="513"/>
      <c r="H110" s="15"/>
      <c r="I110" s="15"/>
      <c r="J110" s="513"/>
      <c r="K110" s="15"/>
      <c r="L110" s="15"/>
      <c r="M110" s="513"/>
      <c r="N110" s="15"/>
      <c r="O110" s="15"/>
      <c r="P110" s="513"/>
      <c r="Q110" s="15"/>
      <c r="R110" s="15"/>
      <c r="S110" s="513"/>
      <c r="T110" s="15"/>
      <c r="U110" s="15"/>
      <c r="V110" s="513"/>
      <c r="W110" s="15"/>
      <c r="X110" s="15"/>
      <c r="Y110" s="519"/>
      <c r="Z110" s="15"/>
      <c r="AA110" s="15"/>
      <c r="AB110" s="534"/>
      <c r="AC110" s="207"/>
      <c r="AD110" s="207"/>
      <c r="AE110" s="519"/>
      <c r="AF110" s="15"/>
      <c r="AG110" s="15"/>
      <c r="AH110" s="510"/>
      <c r="AI110" s="15"/>
      <c r="AJ110" s="15"/>
      <c r="AL110" s="746"/>
      <c r="AM110" s="747"/>
      <c r="AO110" s="207"/>
      <c r="AP110" s="207"/>
      <c r="AQ110" s="208"/>
      <c r="AR110" s="208"/>
      <c r="AS110" s="510"/>
      <c r="AT110" s="212"/>
      <c r="AV110" s="2">
        <v>13</v>
      </c>
      <c r="AW110" s="2">
        <v>10</v>
      </c>
      <c r="AX110" s="2">
        <v>10</v>
      </c>
      <c r="AY110" s="2">
        <v>0</v>
      </c>
      <c r="AZ110" s="2"/>
      <c r="BA110" s="2"/>
      <c r="BB110" s="405">
        <f>+A111+D111+G111+J111+M111+P111+S111+V111+Y111+AB111+AE111+AH111+AK111+AN111+AQ111</f>
        <v>5539</v>
      </c>
    </row>
    <row r="111" spans="1:54" x14ac:dyDescent="0.35">
      <c r="A111" s="5"/>
      <c r="B111" s="714" t="s">
        <v>31</v>
      </c>
      <c r="C111" s="712"/>
      <c r="D111" s="513">
        <v>380</v>
      </c>
      <c r="E111" s="714" t="s">
        <v>33</v>
      </c>
      <c r="F111" s="712"/>
      <c r="G111" s="513">
        <v>415</v>
      </c>
      <c r="H111" s="714" t="s">
        <v>18</v>
      </c>
      <c r="I111" s="712"/>
      <c r="J111" s="513">
        <v>400</v>
      </c>
      <c r="K111" s="714" t="s">
        <v>33</v>
      </c>
      <c r="L111" s="712"/>
      <c r="M111" s="513">
        <v>392</v>
      </c>
      <c r="N111" s="714" t="s">
        <v>31</v>
      </c>
      <c r="O111" s="712"/>
      <c r="P111" s="513">
        <v>387</v>
      </c>
      <c r="Q111" s="714" t="s">
        <v>31</v>
      </c>
      <c r="R111" s="712"/>
      <c r="S111" s="513">
        <v>346</v>
      </c>
      <c r="T111" s="717" t="s">
        <v>115</v>
      </c>
      <c r="U111" s="712"/>
      <c r="V111" s="513">
        <v>400</v>
      </c>
      <c r="W111" s="717" t="s">
        <v>16</v>
      </c>
      <c r="X111" s="712"/>
      <c r="Y111" s="519">
        <v>418</v>
      </c>
      <c r="Z111" s="699" t="s">
        <v>14</v>
      </c>
      <c r="AA111" s="700"/>
      <c r="AB111" s="534">
        <v>351</v>
      </c>
      <c r="AC111" s="699" t="s">
        <v>35</v>
      </c>
      <c r="AD111" s="699"/>
      <c r="AE111" s="519">
        <v>429</v>
      </c>
      <c r="AF111" s="699" t="s">
        <v>33</v>
      </c>
      <c r="AG111" s="700"/>
      <c r="AH111" s="513">
        <v>411</v>
      </c>
      <c r="AI111" s="714" t="s">
        <v>31</v>
      </c>
      <c r="AJ111" s="712"/>
      <c r="AK111" s="519">
        <v>381</v>
      </c>
      <c r="AL111" s="714" t="s">
        <v>16</v>
      </c>
      <c r="AM111" s="712"/>
      <c r="AN111" s="519">
        <v>459</v>
      </c>
      <c r="AO111" s="714" t="s">
        <v>16</v>
      </c>
      <c r="AP111" s="712"/>
      <c r="AQ111" s="516">
        <v>370</v>
      </c>
      <c r="AR111" s="516"/>
      <c r="AS111" s="513"/>
      <c r="AT111" s="211"/>
    </row>
    <row r="112" spans="1:54" x14ac:dyDescent="0.35">
      <c r="A112" s="5"/>
      <c r="B112" s="703" t="s">
        <v>217</v>
      </c>
      <c r="C112" s="704"/>
      <c r="D112" s="519"/>
      <c r="E112" s="703" t="s">
        <v>218</v>
      </c>
      <c r="F112" s="704"/>
      <c r="G112" s="519"/>
      <c r="H112" s="703" t="s">
        <v>219</v>
      </c>
      <c r="I112" s="704"/>
      <c r="J112" s="519"/>
      <c r="K112" s="703" t="s">
        <v>220</v>
      </c>
      <c r="L112" s="704"/>
      <c r="M112" s="519"/>
      <c r="N112" s="703" t="s">
        <v>221</v>
      </c>
      <c r="O112" s="704"/>
      <c r="P112" s="519"/>
      <c r="Q112" s="703" t="s">
        <v>222</v>
      </c>
      <c r="R112" s="704"/>
      <c r="S112" s="519"/>
      <c r="T112" s="703" t="s">
        <v>223</v>
      </c>
      <c r="U112" s="704"/>
      <c r="V112" s="519"/>
      <c r="W112" s="703" t="s">
        <v>224</v>
      </c>
      <c r="X112" s="704"/>
      <c r="Y112" s="519"/>
      <c r="Z112" s="703" t="s">
        <v>225</v>
      </c>
      <c r="AA112" s="704"/>
      <c r="AB112" s="519"/>
      <c r="AC112" s="703" t="s">
        <v>226</v>
      </c>
      <c r="AD112" s="704"/>
      <c r="AE112" s="519"/>
      <c r="AF112" s="703" t="s">
        <v>227</v>
      </c>
      <c r="AG112" s="704"/>
      <c r="AI112" s="703" t="s">
        <v>228</v>
      </c>
      <c r="AJ112" s="704"/>
      <c r="AL112" s="703" t="s">
        <v>229</v>
      </c>
      <c r="AM112" s="704"/>
      <c r="AO112" s="703" t="s">
        <v>230</v>
      </c>
      <c r="AP112" s="704"/>
      <c r="AQ112" s="520"/>
      <c r="AR112" s="520"/>
      <c r="AT112" s="7"/>
    </row>
    <row r="113" spans="1:54" x14ac:dyDescent="0.35">
      <c r="A113" s="5"/>
      <c r="B113" s="538" t="s">
        <v>395</v>
      </c>
      <c r="C113" s="538"/>
      <c r="D113" s="537"/>
      <c r="E113" s="538" t="s">
        <v>395</v>
      </c>
      <c r="F113" s="538"/>
      <c r="G113" s="537"/>
      <c r="H113" s="538" t="s">
        <v>395</v>
      </c>
      <c r="I113" s="538"/>
      <c r="J113" s="537"/>
      <c r="K113" s="538" t="s">
        <v>395</v>
      </c>
      <c r="L113" s="538"/>
      <c r="M113" s="537"/>
      <c r="N113" s="538" t="s">
        <v>395</v>
      </c>
      <c r="O113" s="538"/>
      <c r="P113" s="537"/>
      <c r="Q113" s="538" t="s">
        <v>395</v>
      </c>
      <c r="R113" s="538"/>
      <c r="S113" s="537"/>
      <c r="T113" s="538" t="s">
        <v>395</v>
      </c>
      <c r="U113" s="538"/>
      <c r="V113" s="537"/>
      <c r="W113" s="538" t="s">
        <v>395</v>
      </c>
      <c r="X113" s="538"/>
      <c r="Y113" s="537"/>
      <c r="Z113" s="538" t="s">
        <v>395</v>
      </c>
      <c r="AA113" s="538"/>
      <c r="AB113" s="537"/>
      <c r="AC113" s="538" t="s">
        <v>395</v>
      </c>
      <c r="AD113" s="538"/>
      <c r="AE113" s="537"/>
      <c r="AF113" s="538"/>
      <c r="AG113" s="538" t="s">
        <v>395</v>
      </c>
      <c r="AH113" s="539"/>
      <c r="AI113" s="538"/>
      <c r="AJ113" s="538" t="s">
        <v>395</v>
      </c>
      <c r="AK113" s="539"/>
      <c r="AL113" s="538"/>
      <c r="AM113" s="538" t="s">
        <v>395</v>
      </c>
      <c r="AN113" s="539"/>
      <c r="AO113" s="538"/>
      <c r="AP113" s="538" t="s">
        <v>395</v>
      </c>
      <c r="AQ113" s="538"/>
      <c r="AR113" s="538"/>
      <c r="AT113" s="7"/>
    </row>
    <row r="114" spans="1:54" x14ac:dyDescent="0.35">
      <c r="A114" s="5"/>
      <c r="B114" s="529"/>
      <c r="C114" s="529"/>
      <c r="D114" s="519"/>
      <c r="E114" s="748" t="s">
        <v>407</v>
      </c>
      <c r="F114" s="748"/>
      <c r="G114" s="748"/>
      <c r="H114" s="748"/>
      <c r="I114" s="748"/>
      <c r="J114" s="748"/>
      <c r="K114" s="748"/>
      <c r="L114" s="748"/>
      <c r="M114" s="748"/>
      <c r="N114" s="748"/>
      <c r="O114" s="748"/>
      <c r="P114" s="519"/>
      <c r="Q114" s="529"/>
      <c r="R114" s="529"/>
      <c r="S114" s="519"/>
      <c r="T114" s="529"/>
      <c r="U114" s="529"/>
      <c r="V114" s="519"/>
      <c r="W114" s="529"/>
      <c r="X114" s="529"/>
      <c r="Y114" s="519"/>
      <c r="Z114" s="529"/>
      <c r="AA114" s="529"/>
      <c r="AB114" s="519"/>
      <c r="AC114" s="529"/>
      <c r="AD114" s="529"/>
      <c r="AE114" s="519"/>
      <c r="AF114" s="700"/>
      <c r="AG114" s="700"/>
      <c r="AH114" s="700"/>
      <c r="AI114" s="700"/>
      <c r="AJ114" s="700"/>
      <c r="AK114" s="700"/>
      <c r="AL114" s="700"/>
      <c r="AM114" s="700"/>
      <c r="AT114" s="7"/>
    </row>
    <row r="115" spans="1:54" x14ac:dyDescent="0.35">
      <c r="A115" s="5"/>
      <c r="B115" s="529"/>
      <c r="C115" s="529"/>
      <c r="D115" s="519"/>
      <c r="E115" s="529"/>
      <c r="F115" s="529"/>
      <c r="G115" s="519"/>
      <c r="H115" s="529"/>
      <c r="I115" s="529"/>
      <c r="J115" s="519"/>
      <c r="K115" s="529"/>
      <c r="L115" s="529"/>
      <c r="M115" s="519"/>
      <c r="N115" s="529"/>
      <c r="O115" s="529"/>
      <c r="P115" s="519"/>
      <c r="Q115" s="529"/>
      <c r="R115" s="529"/>
      <c r="S115" s="519"/>
      <c r="T115" s="529"/>
      <c r="U115" s="529"/>
      <c r="V115" s="519"/>
      <c r="W115" s="529"/>
      <c r="X115" s="529"/>
      <c r="Y115" s="519"/>
      <c r="Z115" s="529"/>
      <c r="AA115" s="529"/>
      <c r="AC115" s="529"/>
      <c r="AD115" s="529"/>
      <c r="AE115" s="519"/>
      <c r="AF115" s="529"/>
      <c r="AG115" s="529"/>
      <c r="AT115" s="7"/>
    </row>
    <row r="116" spans="1:54" x14ac:dyDescent="0.35">
      <c r="A116" s="5"/>
      <c r="B116" s="700"/>
      <c r="C116" s="700"/>
      <c r="D116" s="519"/>
      <c r="E116" s="735"/>
      <c r="F116" s="735"/>
      <c r="G116" s="519"/>
      <c r="H116" s="735"/>
      <c r="I116" s="735"/>
      <c r="J116" s="519"/>
      <c r="K116" s="735"/>
      <c r="L116" s="735"/>
      <c r="M116" s="519"/>
      <c r="N116" s="735"/>
      <c r="O116" s="735"/>
      <c r="P116" s="519"/>
      <c r="Q116" s="735"/>
      <c r="R116" s="735"/>
      <c r="S116" s="519"/>
      <c r="T116" s="735"/>
      <c r="U116" s="735"/>
      <c r="V116" s="519"/>
      <c r="W116" s="735"/>
      <c r="X116" s="735"/>
      <c r="Y116" s="519"/>
      <c r="Z116" s="700"/>
      <c r="AA116" s="700"/>
      <c r="AB116" s="519"/>
      <c r="AC116" s="700"/>
      <c r="AD116" s="700"/>
      <c r="AE116" s="701"/>
      <c r="AF116" s="701"/>
      <c r="AG116" s="701"/>
      <c r="AH116" s="701"/>
      <c r="AI116" s="711"/>
      <c r="AJ116" s="711"/>
      <c r="AL116" s="711"/>
      <c r="AM116" s="711"/>
      <c r="AO116" s="711"/>
      <c r="AP116" s="711"/>
      <c r="AQ116" s="10"/>
      <c r="AR116" s="10"/>
      <c r="AT116" s="7"/>
    </row>
    <row r="117" spans="1:54" x14ac:dyDescent="0.35">
      <c r="A117" s="5"/>
      <c r="B117" s="11"/>
      <c r="C117" s="12"/>
      <c r="D117" s="513"/>
      <c r="E117" s="744" t="s">
        <v>396</v>
      </c>
      <c r="F117" s="745"/>
      <c r="G117" s="513"/>
      <c r="H117" s="30"/>
      <c r="I117" s="31"/>
      <c r="J117" s="513"/>
      <c r="K117" s="30"/>
      <c r="L117" s="31"/>
      <c r="M117" s="513"/>
      <c r="N117" s="30"/>
      <c r="O117" s="31"/>
      <c r="P117" s="513"/>
      <c r="Q117" s="11"/>
      <c r="R117" s="12"/>
      <c r="S117" s="513"/>
      <c r="T117" s="11"/>
      <c r="U117" s="12"/>
      <c r="V117" s="513"/>
      <c r="W117" s="11"/>
      <c r="X117" s="12"/>
      <c r="Y117" s="513"/>
      <c r="Z117" s="11"/>
      <c r="AA117" s="12"/>
      <c r="AB117" s="529"/>
      <c r="AC117" s="11"/>
      <c r="AD117" s="12"/>
      <c r="AE117" s="513"/>
      <c r="AF117" s="11"/>
      <c r="AG117" s="12"/>
      <c r="AH117" s="510"/>
      <c r="AI117" s="11"/>
      <c r="AJ117" s="12"/>
      <c r="AK117" s="510"/>
      <c r="AL117" s="11"/>
      <c r="AM117" s="12"/>
      <c r="AN117" s="510"/>
      <c r="AO117" s="736" t="s">
        <v>397</v>
      </c>
      <c r="AP117" s="737"/>
      <c r="AQ117" s="540"/>
      <c r="AR117" s="540"/>
      <c r="AS117" s="510"/>
      <c r="AT117" s="212"/>
    </row>
    <row r="118" spans="1:54" x14ac:dyDescent="0.35">
      <c r="A118" s="5"/>
      <c r="B118" s="15"/>
      <c r="C118" s="15"/>
      <c r="D118" s="513"/>
      <c r="E118" s="746"/>
      <c r="F118" s="747"/>
      <c r="G118" s="513"/>
      <c r="H118" s="32"/>
      <c r="I118" s="32"/>
      <c r="J118" s="513"/>
      <c r="K118" s="32"/>
      <c r="L118" s="32"/>
      <c r="M118" s="513"/>
      <c r="N118" s="32"/>
      <c r="O118" s="32"/>
      <c r="P118" s="513"/>
      <c r="Q118" s="15"/>
      <c r="R118" s="15"/>
      <c r="S118" s="513"/>
      <c r="T118" s="15"/>
      <c r="U118" s="15"/>
      <c r="V118" s="513"/>
      <c r="W118" s="15"/>
      <c r="X118" s="15"/>
      <c r="Y118" s="519"/>
      <c r="Z118" s="15"/>
      <c r="AA118" s="15"/>
      <c r="AB118" s="534"/>
      <c r="AC118" s="15"/>
      <c r="AD118" s="15"/>
      <c r="AE118" s="519"/>
      <c r="AF118" s="15"/>
      <c r="AG118" s="15"/>
      <c r="AH118" s="510"/>
      <c r="AI118" s="15"/>
      <c r="AJ118" s="15"/>
      <c r="AL118" s="15"/>
      <c r="AM118" s="15"/>
      <c r="AO118" s="738"/>
      <c r="AP118" s="739"/>
      <c r="AQ118" s="540"/>
      <c r="AR118" s="540"/>
      <c r="AS118" s="510"/>
      <c r="AT118" s="212"/>
      <c r="AV118" s="2">
        <v>9</v>
      </c>
      <c r="AW118" s="2">
        <v>8</v>
      </c>
      <c r="AX118" s="2">
        <v>5</v>
      </c>
      <c r="AY118" s="2">
        <v>0</v>
      </c>
      <c r="AZ118" s="2"/>
      <c r="BA118" s="2"/>
      <c r="BB118" s="405">
        <f>+A119+D119+G119+J119+M119+P119+S119+V119+Y119+AB119+AE119+AH119+AK119+AN119+AQ119</f>
        <v>5550.31</v>
      </c>
    </row>
    <row r="119" spans="1:54" x14ac:dyDescent="0.35">
      <c r="A119" s="5"/>
      <c r="B119" s="714" t="s">
        <v>33</v>
      </c>
      <c r="C119" s="712"/>
      <c r="D119" s="513">
        <v>425</v>
      </c>
      <c r="E119" s="714" t="s">
        <v>182</v>
      </c>
      <c r="F119" s="712"/>
      <c r="G119" s="513">
        <v>256</v>
      </c>
      <c r="H119" s="714" t="s">
        <v>234</v>
      </c>
      <c r="I119" s="712"/>
      <c r="J119" s="513">
        <v>443</v>
      </c>
      <c r="K119" s="714" t="s">
        <v>236</v>
      </c>
      <c r="L119" s="712"/>
      <c r="M119" s="513">
        <v>451</v>
      </c>
      <c r="N119" s="714" t="s">
        <v>238</v>
      </c>
      <c r="O119" s="712"/>
      <c r="P119" s="513">
        <v>420</v>
      </c>
      <c r="Q119" s="714" t="s">
        <v>33</v>
      </c>
      <c r="R119" s="712"/>
      <c r="S119" s="513">
        <v>418</v>
      </c>
      <c r="T119" s="714" t="s">
        <v>31</v>
      </c>
      <c r="U119" s="712"/>
      <c r="V119" s="513">
        <v>349</v>
      </c>
      <c r="W119" s="717" t="s">
        <v>18</v>
      </c>
      <c r="X119" s="712"/>
      <c r="Y119" s="519">
        <v>407</v>
      </c>
      <c r="Z119" s="699" t="s">
        <v>2124</v>
      </c>
      <c r="AA119" s="700"/>
      <c r="AB119" s="534">
        <v>323</v>
      </c>
      <c r="AC119" s="699" t="s">
        <v>31</v>
      </c>
      <c r="AD119" s="699"/>
      <c r="AE119" s="519">
        <v>419</v>
      </c>
      <c r="AF119" s="699" t="s">
        <v>31</v>
      </c>
      <c r="AG119" s="700"/>
      <c r="AH119" s="510">
        <v>402</v>
      </c>
      <c r="AI119" s="749" t="s">
        <v>35</v>
      </c>
      <c r="AJ119" s="711"/>
      <c r="AK119" s="6">
        <v>402.31</v>
      </c>
      <c r="AL119" s="711" t="s">
        <v>40</v>
      </c>
      <c r="AM119" s="711"/>
      <c r="AN119" s="6">
        <v>416</v>
      </c>
      <c r="AO119" s="711" t="s">
        <v>35</v>
      </c>
      <c r="AP119" s="711"/>
      <c r="AQ119" s="10">
        <v>419</v>
      </c>
      <c r="AR119" s="10"/>
      <c r="AS119" s="510"/>
      <c r="AT119" s="212"/>
    </row>
    <row r="120" spans="1:54" x14ac:dyDescent="0.35">
      <c r="A120" s="5"/>
      <c r="B120" s="703" t="s">
        <v>231</v>
      </c>
      <c r="C120" s="704"/>
      <c r="D120" s="519"/>
      <c r="E120" s="703" t="s">
        <v>232</v>
      </c>
      <c r="F120" s="704"/>
      <c r="G120" s="519"/>
      <c r="H120" s="703" t="s">
        <v>233</v>
      </c>
      <c r="I120" s="704"/>
      <c r="J120" s="519"/>
      <c r="K120" s="703" t="s">
        <v>235</v>
      </c>
      <c r="L120" s="704"/>
      <c r="M120" s="519"/>
      <c r="N120" s="703" t="s">
        <v>237</v>
      </c>
      <c r="O120" s="704"/>
      <c r="P120" s="519"/>
      <c r="Q120" s="703" t="s">
        <v>239</v>
      </c>
      <c r="R120" s="704"/>
      <c r="S120" s="519"/>
      <c r="T120" s="703" t="s">
        <v>240</v>
      </c>
      <c r="U120" s="704"/>
      <c r="V120" s="519"/>
      <c r="W120" s="703" t="s">
        <v>241</v>
      </c>
      <c r="X120" s="704"/>
      <c r="Y120" s="519"/>
      <c r="Z120" s="703" t="s">
        <v>242</v>
      </c>
      <c r="AA120" s="704"/>
      <c r="AB120" s="519"/>
      <c r="AC120" s="703" t="s">
        <v>243</v>
      </c>
      <c r="AD120" s="704"/>
      <c r="AE120" s="519"/>
      <c r="AF120" s="703" t="s">
        <v>244</v>
      </c>
      <c r="AG120" s="704"/>
      <c r="AI120" s="703" t="s">
        <v>245</v>
      </c>
      <c r="AJ120" s="704"/>
      <c r="AL120" s="703" t="s">
        <v>246</v>
      </c>
      <c r="AM120" s="704"/>
      <c r="AO120" s="703" t="s">
        <v>247</v>
      </c>
      <c r="AP120" s="704"/>
      <c r="AQ120" s="520"/>
      <c r="AR120" s="520"/>
      <c r="AT120" s="7"/>
    </row>
    <row r="121" spans="1:54" x14ac:dyDescent="0.35">
      <c r="A121" s="5"/>
      <c r="B121" s="538" t="s">
        <v>395</v>
      </c>
      <c r="C121" s="538"/>
      <c r="D121" s="537"/>
      <c r="E121" s="538" t="s">
        <v>395</v>
      </c>
      <c r="F121" s="538"/>
      <c r="G121" s="537"/>
      <c r="H121" s="538" t="s">
        <v>395</v>
      </c>
      <c r="I121" s="538"/>
      <c r="J121" s="537"/>
      <c r="K121" s="538" t="s">
        <v>395</v>
      </c>
      <c r="L121" s="538"/>
      <c r="M121" s="537"/>
      <c r="N121" s="538" t="s">
        <v>395</v>
      </c>
      <c r="O121" s="538"/>
      <c r="P121" s="537"/>
      <c r="Q121" s="538" t="s">
        <v>395</v>
      </c>
      <c r="R121" s="538"/>
      <c r="S121" s="537"/>
      <c r="T121" s="538" t="s">
        <v>395</v>
      </c>
      <c r="U121" s="538"/>
      <c r="V121" s="537"/>
      <c r="W121" s="538" t="s">
        <v>395</v>
      </c>
      <c r="X121" s="538"/>
      <c r="Y121" s="537"/>
      <c r="Z121" s="538" t="s">
        <v>395</v>
      </c>
      <c r="AA121" s="538"/>
      <c r="AB121" s="537"/>
      <c r="AC121" s="538" t="s">
        <v>395</v>
      </c>
      <c r="AD121" s="538"/>
      <c r="AE121" s="537"/>
      <c r="AF121" s="538" t="s">
        <v>395</v>
      </c>
      <c r="AG121" s="538"/>
      <c r="AH121" s="539"/>
      <c r="AI121" s="538"/>
      <c r="AJ121" s="538" t="s">
        <v>395</v>
      </c>
      <c r="AK121" s="539"/>
      <c r="AL121" s="538"/>
      <c r="AM121" s="538" t="s">
        <v>395</v>
      </c>
      <c r="AN121" s="539"/>
      <c r="AO121" s="538"/>
      <c r="AP121" s="538" t="s">
        <v>395</v>
      </c>
      <c r="AQ121" s="538"/>
      <c r="AR121" s="538"/>
      <c r="AT121" s="7"/>
    </row>
    <row r="122" spans="1:54" x14ac:dyDescent="0.35">
      <c r="A122" s="5"/>
      <c r="B122" s="516"/>
      <c r="C122" s="516"/>
      <c r="D122" s="513"/>
      <c r="E122" s="542"/>
      <c r="F122" s="516"/>
      <c r="G122" s="750"/>
      <c r="H122" s="750"/>
      <c r="I122" s="750"/>
      <c r="J122" s="750"/>
      <c r="K122" s="543"/>
      <c r="L122" s="544"/>
      <c r="M122" s="513"/>
      <c r="N122" s="751"/>
      <c r="O122" s="751"/>
      <c r="P122" s="751"/>
      <c r="Q122" s="751"/>
      <c r="R122" s="751"/>
      <c r="S122" s="751"/>
      <c r="T122" s="751"/>
      <c r="U122" s="751"/>
      <c r="V122" s="751"/>
      <c r="W122" s="542"/>
      <c r="X122" s="529"/>
      <c r="Y122" s="519"/>
      <c r="Z122" s="542"/>
      <c r="AA122" s="529"/>
      <c r="AB122" s="529"/>
      <c r="AC122" s="542"/>
      <c r="AD122" s="529"/>
      <c r="AE122" s="519"/>
      <c r="AF122" s="542"/>
      <c r="AG122" s="529"/>
      <c r="AI122" s="542"/>
      <c r="AJ122" s="529"/>
      <c r="AL122" s="542"/>
      <c r="AM122" s="529"/>
      <c r="AO122" s="542"/>
      <c r="AP122" s="529"/>
      <c r="AQ122" s="529"/>
      <c r="AR122" s="529"/>
      <c r="AT122" s="7"/>
      <c r="AV122" s="6"/>
      <c r="AW122" s="6"/>
      <c r="AX122" s="6"/>
      <c r="AY122" s="6"/>
      <c r="AZ122" s="6"/>
      <c r="BA122" s="6"/>
    </row>
    <row r="123" spans="1:54" x14ac:dyDescent="0.35">
      <c r="A123" s="5"/>
      <c r="B123" s="529"/>
      <c r="C123" s="529"/>
      <c r="D123" s="519"/>
      <c r="E123" s="529"/>
      <c r="F123" s="529"/>
      <c r="G123" s="519"/>
      <c r="H123" s="529"/>
      <c r="I123" s="529"/>
      <c r="J123" s="519"/>
      <c r="K123" s="529"/>
      <c r="L123" s="529"/>
      <c r="M123" s="519"/>
      <c r="N123" s="529"/>
      <c r="O123" s="529"/>
      <c r="P123" s="519"/>
      <c r="Q123" s="529"/>
      <c r="R123" s="529"/>
      <c r="S123" s="519"/>
      <c r="T123" s="529"/>
      <c r="U123" s="529"/>
      <c r="V123" s="519"/>
      <c r="W123" s="529"/>
      <c r="X123" s="529"/>
      <c r="Y123" s="519"/>
      <c r="Z123" s="529"/>
      <c r="AA123" s="529"/>
      <c r="AC123" s="529"/>
      <c r="AD123" s="529"/>
      <c r="AE123" s="519"/>
      <c r="AF123" s="529"/>
      <c r="AG123" s="529"/>
      <c r="AT123" s="7"/>
    </row>
    <row r="124" spans="1:54" x14ac:dyDescent="0.35">
      <c r="A124" s="5"/>
      <c r="B124" s="700"/>
      <c r="C124" s="700"/>
      <c r="D124" s="519"/>
      <c r="E124" s="735"/>
      <c r="F124" s="735"/>
      <c r="G124" s="519"/>
      <c r="H124" s="735"/>
      <c r="I124" s="735"/>
      <c r="J124" s="519"/>
      <c r="K124" s="735"/>
      <c r="L124" s="735"/>
      <c r="M124" s="519"/>
      <c r="N124" s="735"/>
      <c r="O124" s="735"/>
      <c r="P124" s="519"/>
      <c r="Q124" s="735"/>
      <c r="R124" s="735"/>
      <c r="S124" s="519"/>
      <c r="T124" s="735"/>
      <c r="U124" s="735"/>
      <c r="V124" s="519"/>
      <c r="W124" s="735"/>
      <c r="X124" s="735"/>
      <c r="Y124" s="519"/>
      <c r="Z124" s="700"/>
      <c r="AA124" s="700"/>
      <c r="AB124" s="519"/>
      <c r="AC124" s="700"/>
      <c r="AD124" s="700"/>
      <c r="AE124" s="701"/>
      <c r="AF124" s="701"/>
      <c r="AG124" s="701"/>
      <c r="AH124" s="701"/>
      <c r="AI124" s="711"/>
      <c r="AJ124" s="711"/>
      <c r="AL124" s="711"/>
      <c r="AM124" s="711"/>
      <c r="AO124" s="711"/>
      <c r="AP124" s="711"/>
      <c r="AQ124" s="10"/>
      <c r="AR124" s="10"/>
      <c r="AT124" s="7"/>
    </row>
    <row r="125" spans="1:54" x14ac:dyDescent="0.35">
      <c r="A125" s="5"/>
      <c r="B125" s="11"/>
      <c r="C125" s="12"/>
      <c r="D125" s="513"/>
      <c r="E125" s="736" t="s">
        <v>397</v>
      </c>
      <c r="F125" s="737"/>
      <c r="G125" s="513"/>
      <c r="H125" s="11"/>
      <c r="I125" s="12"/>
      <c r="J125" s="513"/>
      <c r="K125" s="11"/>
      <c r="L125" s="12"/>
      <c r="M125" s="513"/>
      <c r="N125" s="11"/>
      <c r="O125" s="12"/>
      <c r="P125" s="513"/>
      <c r="Q125" s="11"/>
      <c r="R125" s="12"/>
      <c r="S125" s="513"/>
      <c r="T125" s="11"/>
      <c r="U125" s="12"/>
      <c r="V125" s="513"/>
      <c r="W125" s="11"/>
      <c r="X125" s="12"/>
      <c r="Y125" s="513"/>
      <c r="Z125" s="11"/>
      <c r="AA125" s="12"/>
      <c r="AB125" s="529"/>
      <c r="AC125" s="11"/>
      <c r="AD125" s="12"/>
      <c r="AE125" s="513"/>
      <c r="AF125" s="11"/>
      <c r="AG125" s="12"/>
      <c r="AH125" s="510"/>
      <c r="AI125" s="11"/>
      <c r="AJ125" s="12"/>
      <c r="AK125" s="510"/>
      <c r="AL125" s="11"/>
      <c r="AM125" s="12"/>
      <c r="AN125" s="510"/>
      <c r="AO125" s="11"/>
      <c r="AP125" s="12"/>
      <c r="AQ125" s="511"/>
      <c r="AR125" s="511"/>
      <c r="AS125" s="510"/>
      <c r="AT125" s="212"/>
    </row>
    <row r="126" spans="1:54" x14ac:dyDescent="0.35">
      <c r="A126" s="5"/>
      <c r="B126" s="15"/>
      <c r="C126" s="15"/>
      <c r="D126" s="513"/>
      <c r="E126" s="738"/>
      <c r="F126" s="739"/>
      <c r="G126" s="513"/>
      <c r="H126" s="15"/>
      <c r="I126" s="15"/>
      <c r="J126" s="513"/>
      <c r="K126" s="15"/>
      <c r="L126" s="15"/>
      <c r="M126" s="513"/>
      <c r="N126" s="15"/>
      <c r="O126" s="15"/>
      <c r="P126" s="513"/>
      <c r="Q126" s="15"/>
      <c r="R126" s="15"/>
      <c r="S126" s="513"/>
      <c r="T126" s="15"/>
      <c r="U126" s="15"/>
      <c r="V126" s="513"/>
      <c r="W126" s="15"/>
      <c r="X126" s="15"/>
      <c r="Y126" s="519"/>
      <c r="Z126" s="15"/>
      <c r="AA126" s="15"/>
      <c r="AB126" s="534"/>
      <c r="AC126" s="15"/>
      <c r="AD126" s="15"/>
      <c r="AE126" s="519"/>
      <c r="AF126" s="15"/>
      <c r="AG126" s="15"/>
      <c r="AH126" s="510"/>
      <c r="AI126" s="15"/>
      <c r="AJ126" s="15"/>
      <c r="AL126" s="15"/>
      <c r="AM126" s="15"/>
      <c r="AO126" s="15"/>
      <c r="AP126" s="15"/>
      <c r="AQ126" s="542"/>
      <c r="AR126" s="542"/>
      <c r="AS126" s="510"/>
      <c r="AT126" s="212"/>
      <c r="AV126" s="2">
        <v>13</v>
      </c>
      <c r="AW126" s="2">
        <v>10</v>
      </c>
      <c r="AX126" s="2">
        <v>7</v>
      </c>
      <c r="AY126" s="2">
        <v>0</v>
      </c>
      <c r="AZ126" s="2"/>
      <c r="BA126" s="2"/>
      <c r="BB126" s="405">
        <f>+A127+D127+G127+J127+M127+P127+S127+V127+Y127+AB127+AE127+AH127+AK127+AN127+AQ127</f>
        <v>5528.79</v>
      </c>
    </row>
    <row r="127" spans="1:54" x14ac:dyDescent="0.35">
      <c r="A127" s="5"/>
      <c r="B127" s="699" t="s">
        <v>115</v>
      </c>
      <c r="C127" s="700"/>
      <c r="D127" s="513">
        <v>377</v>
      </c>
      <c r="E127" s="714" t="s">
        <v>35</v>
      </c>
      <c r="F127" s="712"/>
      <c r="G127" s="513">
        <v>440</v>
      </c>
      <c r="H127" s="712" t="s">
        <v>33</v>
      </c>
      <c r="I127" s="712"/>
      <c r="J127" s="513">
        <v>400.28</v>
      </c>
      <c r="K127" s="714" t="s">
        <v>18</v>
      </c>
      <c r="L127" s="712"/>
      <c r="M127" s="513">
        <v>386</v>
      </c>
      <c r="N127" s="714" t="s">
        <v>33</v>
      </c>
      <c r="O127" s="712"/>
      <c r="P127" s="513">
        <v>420</v>
      </c>
      <c r="Q127" s="714" t="s">
        <v>23</v>
      </c>
      <c r="R127" s="712"/>
      <c r="S127" s="513">
        <v>337</v>
      </c>
      <c r="T127" s="714" t="s">
        <v>23</v>
      </c>
      <c r="U127" s="712"/>
      <c r="V127" s="513">
        <v>336.51</v>
      </c>
      <c r="W127" s="714" t="s">
        <v>182</v>
      </c>
      <c r="X127" s="712"/>
      <c r="Y127" s="519">
        <v>412</v>
      </c>
      <c r="Z127" s="699" t="s">
        <v>31</v>
      </c>
      <c r="AA127" s="700"/>
      <c r="AB127" s="534">
        <v>408</v>
      </c>
      <c r="AC127" s="699" t="s">
        <v>16</v>
      </c>
      <c r="AD127" s="699"/>
      <c r="AE127" s="519">
        <v>413</v>
      </c>
      <c r="AF127" s="699" t="s">
        <v>31</v>
      </c>
      <c r="AG127" s="700"/>
      <c r="AH127" s="510">
        <v>410</v>
      </c>
      <c r="AI127" s="749" t="s">
        <v>33</v>
      </c>
      <c r="AJ127" s="711"/>
      <c r="AK127" s="6">
        <v>406</v>
      </c>
      <c r="AL127" s="749" t="s">
        <v>33</v>
      </c>
      <c r="AM127" s="711"/>
      <c r="AN127" s="6">
        <v>411</v>
      </c>
      <c r="AO127" s="749" t="s">
        <v>33</v>
      </c>
      <c r="AP127" s="711"/>
      <c r="AQ127" s="10">
        <v>372</v>
      </c>
      <c r="AR127" s="10"/>
      <c r="AS127" s="510"/>
      <c r="AT127" s="212"/>
    </row>
    <row r="128" spans="1:54" x14ac:dyDescent="0.35">
      <c r="A128" s="5"/>
      <c r="B128" s="699" t="s">
        <v>248</v>
      </c>
      <c r="C128" s="700"/>
      <c r="D128" s="519"/>
      <c r="E128" s="699" t="s">
        <v>249</v>
      </c>
      <c r="F128" s="700"/>
      <c r="G128" s="519"/>
      <c r="H128" s="699" t="s">
        <v>250</v>
      </c>
      <c r="I128" s="700"/>
      <c r="J128" s="519"/>
      <c r="K128" s="699" t="s">
        <v>251</v>
      </c>
      <c r="L128" s="700"/>
      <c r="M128" s="519"/>
      <c r="N128" s="699" t="s">
        <v>252</v>
      </c>
      <c r="O128" s="700"/>
      <c r="P128" s="519"/>
      <c r="Q128" s="699" t="s">
        <v>253</v>
      </c>
      <c r="R128" s="700"/>
      <c r="S128" s="519"/>
      <c r="T128" s="699" t="s">
        <v>254</v>
      </c>
      <c r="U128" s="700"/>
      <c r="V128" s="519"/>
      <c r="W128" s="704" t="s">
        <v>255</v>
      </c>
      <c r="X128" s="700"/>
      <c r="Y128" s="519"/>
      <c r="Z128" s="703" t="s">
        <v>256</v>
      </c>
      <c r="AA128" s="700"/>
      <c r="AB128" s="519"/>
      <c r="AC128" s="703" t="s">
        <v>257</v>
      </c>
      <c r="AD128" s="700"/>
      <c r="AE128" s="519"/>
      <c r="AF128" s="703" t="s">
        <v>258</v>
      </c>
      <c r="AG128" s="700"/>
      <c r="AI128" s="703" t="s">
        <v>259</v>
      </c>
      <c r="AJ128" s="700"/>
      <c r="AL128" s="703" t="s">
        <v>260</v>
      </c>
      <c r="AM128" s="703"/>
      <c r="AO128" s="703" t="s">
        <v>261</v>
      </c>
      <c r="AP128" s="700"/>
      <c r="AQ128" s="516"/>
      <c r="AR128" s="516"/>
      <c r="AT128" s="7"/>
    </row>
    <row r="129" spans="1:54" x14ac:dyDescent="0.35">
      <c r="A129" s="5"/>
      <c r="B129" s="538" t="s">
        <v>395</v>
      </c>
      <c r="C129" s="538"/>
      <c r="D129" s="537"/>
      <c r="E129" s="538"/>
      <c r="F129" s="538" t="s">
        <v>395</v>
      </c>
      <c r="G129" s="537"/>
      <c r="H129" s="538"/>
      <c r="I129" s="538" t="s">
        <v>395</v>
      </c>
      <c r="J129" s="537"/>
      <c r="K129" s="538"/>
      <c r="L129" s="538" t="s">
        <v>395</v>
      </c>
      <c r="M129" s="537"/>
      <c r="N129" s="538"/>
      <c r="O129" s="538" t="s">
        <v>395</v>
      </c>
      <c r="P129" s="537"/>
      <c r="Q129" s="538"/>
      <c r="R129" s="538" t="s">
        <v>395</v>
      </c>
      <c r="S129" s="537"/>
      <c r="T129" s="538"/>
      <c r="U129" s="538" t="s">
        <v>395</v>
      </c>
      <c r="V129" s="537"/>
      <c r="W129" s="538"/>
      <c r="X129" s="538" t="s">
        <v>395</v>
      </c>
      <c r="Y129" s="537"/>
      <c r="Z129" s="538"/>
      <c r="AA129" s="538" t="s">
        <v>395</v>
      </c>
      <c r="AB129" s="537"/>
      <c r="AC129" s="538"/>
      <c r="AD129" s="538" t="s">
        <v>395</v>
      </c>
      <c r="AE129" s="537"/>
      <c r="AF129" s="538"/>
      <c r="AG129" s="538" t="s">
        <v>395</v>
      </c>
      <c r="AH129" s="539"/>
      <c r="AI129" s="538"/>
      <c r="AJ129" s="538" t="s">
        <v>395</v>
      </c>
      <c r="AK129" s="539"/>
      <c r="AL129" s="538" t="s">
        <v>395</v>
      </c>
      <c r="AM129" s="545"/>
      <c r="AN129" s="539"/>
      <c r="AO129" s="538" t="s">
        <v>395</v>
      </c>
      <c r="AP129" s="545"/>
      <c r="AQ129" s="545"/>
      <c r="AR129" s="545"/>
      <c r="AT129" s="7"/>
    </row>
    <row r="130" spans="1:54" x14ac:dyDescent="0.35">
      <c r="A130" s="5"/>
      <c r="B130" s="516"/>
      <c r="C130" s="516"/>
      <c r="D130" s="513"/>
      <c r="E130" s="542"/>
      <c r="F130" s="516"/>
      <c r="G130" s="516"/>
      <c r="H130" s="542"/>
      <c r="I130" s="529"/>
      <c r="J130" s="513"/>
      <c r="K130" s="543"/>
      <c r="L130" s="544"/>
      <c r="M130" s="513"/>
      <c r="N130" s="543"/>
      <c r="O130" s="544"/>
      <c r="P130" s="513"/>
      <c r="Q130" s="543"/>
      <c r="R130" s="544"/>
      <c r="S130" s="513"/>
      <c r="T130" s="543"/>
      <c r="U130" s="544"/>
      <c r="V130" s="513"/>
      <c r="W130" s="542"/>
      <c r="X130" s="529"/>
      <c r="Y130" s="519"/>
      <c r="Z130" s="542"/>
      <c r="AA130" s="529"/>
      <c r="AB130" s="529"/>
      <c r="AC130" s="542"/>
      <c r="AD130" s="529"/>
      <c r="AE130" s="519"/>
      <c r="AF130" s="542"/>
      <c r="AG130" s="529"/>
      <c r="AI130" s="542"/>
      <c r="AJ130" s="529"/>
      <c r="AL130" s="542"/>
      <c r="AM130" s="529"/>
      <c r="AO130" s="542"/>
      <c r="AP130" s="529"/>
      <c r="AQ130" s="529"/>
      <c r="AR130" s="529"/>
      <c r="AT130" s="7"/>
      <c r="AV130" s="6"/>
      <c r="AW130" s="6"/>
      <c r="AX130" s="6"/>
      <c r="AY130" s="6"/>
      <c r="AZ130" s="6"/>
      <c r="BA130" s="6"/>
    </row>
    <row r="131" spans="1:54" x14ac:dyDescent="0.35">
      <c r="A131" s="5"/>
      <c r="B131" s="529"/>
      <c r="C131" s="529"/>
      <c r="D131" s="519"/>
      <c r="E131" s="529"/>
      <c r="F131" s="529"/>
      <c r="G131" s="519"/>
      <c r="H131" s="529"/>
      <c r="I131" s="529"/>
      <c r="J131" s="519"/>
      <c r="K131" s="529"/>
      <c r="L131" s="529"/>
      <c r="M131" s="519"/>
      <c r="N131" s="529"/>
      <c r="O131" s="529"/>
      <c r="P131" s="519"/>
      <c r="Q131" s="529"/>
      <c r="R131" s="529"/>
      <c r="S131" s="519"/>
      <c r="T131" s="529"/>
      <c r="U131" s="529"/>
      <c r="V131" s="519"/>
      <c r="W131" s="529"/>
      <c r="X131" s="529"/>
      <c r="Y131" s="519"/>
      <c r="Z131" s="529"/>
      <c r="AA131" s="529"/>
      <c r="AC131" s="529"/>
      <c r="AD131" s="529"/>
      <c r="AE131" s="519"/>
      <c r="AF131" s="529"/>
      <c r="AG131" s="529"/>
      <c r="AT131" s="7"/>
    </row>
    <row r="132" spans="1:54" x14ac:dyDescent="0.35">
      <c r="A132" s="5"/>
      <c r="B132" s="700"/>
      <c r="C132" s="700"/>
      <c r="D132" s="519"/>
      <c r="E132" s="735"/>
      <c r="F132" s="735"/>
      <c r="G132" s="519"/>
      <c r="H132" s="735"/>
      <c r="I132" s="735"/>
      <c r="J132" s="519"/>
      <c r="K132" s="735"/>
      <c r="L132" s="735"/>
      <c r="M132" s="519"/>
      <c r="N132" s="735"/>
      <c r="O132" s="735"/>
      <c r="P132" s="519"/>
      <c r="Q132" s="735"/>
      <c r="R132" s="735"/>
      <c r="S132" s="519"/>
      <c r="T132" s="735"/>
      <c r="U132" s="735"/>
      <c r="V132" s="519"/>
      <c r="W132" s="735"/>
      <c r="X132" s="735"/>
      <c r="Y132" s="519"/>
      <c r="Z132" s="700"/>
      <c r="AA132" s="700"/>
      <c r="AB132" s="519"/>
      <c r="AC132" s="700"/>
      <c r="AD132" s="700"/>
      <c r="AE132" s="701"/>
      <c r="AF132" s="701"/>
      <c r="AG132" s="701"/>
      <c r="AH132" s="701"/>
      <c r="AI132" s="711"/>
      <c r="AJ132" s="711"/>
      <c r="AL132" s="711"/>
      <c r="AM132" s="711"/>
      <c r="AO132" s="711"/>
      <c r="AP132" s="711"/>
      <c r="AQ132" s="10"/>
      <c r="AR132" s="10"/>
      <c r="AT132" s="7"/>
    </row>
    <row r="133" spans="1:54" x14ac:dyDescent="0.35">
      <c r="A133" s="5"/>
      <c r="B133" s="11"/>
      <c r="C133" s="12"/>
      <c r="D133" s="513"/>
      <c r="E133" s="11"/>
      <c r="F133" s="12"/>
      <c r="G133" s="513"/>
      <c r="H133" s="11"/>
      <c r="I133" s="12"/>
      <c r="J133" s="513"/>
      <c r="K133" s="11"/>
      <c r="L133" s="12"/>
      <c r="M133" s="513"/>
      <c r="N133" s="11"/>
      <c r="O133" s="12"/>
      <c r="P133" s="513"/>
      <c r="Q133" s="11"/>
      <c r="R133" s="12"/>
      <c r="S133" s="513"/>
      <c r="T133" s="207"/>
      <c r="U133" s="207"/>
      <c r="V133" s="513"/>
      <c r="W133" s="11"/>
      <c r="X133" s="12"/>
      <c r="Y133" s="513"/>
      <c r="Z133" s="11"/>
      <c r="AA133" s="12"/>
      <c r="AB133" s="529"/>
      <c r="AC133" s="11"/>
      <c r="AD133" s="12"/>
      <c r="AE133" s="513"/>
      <c r="AF133" s="11"/>
      <c r="AG133" s="12"/>
      <c r="AH133" s="510"/>
      <c r="AI133" s="11"/>
      <c r="AJ133" s="12"/>
      <c r="AK133" s="510"/>
      <c r="AL133" s="736" t="s">
        <v>397</v>
      </c>
      <c r="AM133" s="737"/>
      <c r="AN133" s="510"/>
      <c r="AO133" s="11"/>
      <c r="AP133" s="12"/>
      <c r="AQ133" s="511"/>
      <c r="AR133" s="511"/>
      <c r="AS133" s="510"/>
      <c r="AT133" s="212"/>
    </row>
    <row r="134" spans="1:54" x14ac:dyDescent="0.35">
      <c r="A134" s="5"/>
      <c r="B134" s="15"/>
      <c r="C134" s="15"/>
      <c r="D134" s="513"/>
      <c r="E134" s="15"/>
      <c r="F134" s="15"/>
      <c r="G134" s="513"/>
      <c r="H134" s="15"/>
      <c r="I134" s="15"/>
      <c r="J134" s="513"/>
      <c r="K134" s="15"/>
      <c r="L134" s="15"/>
      <c r="M134" s="513"/>
      <c r="N134" s="15"/>
      <c r="O134" s="15"/>
      <c r="P134" s="513"/>
      <c r="Q134" s="15"/>
      <c r="R134" s="15"/>
      <c r="S134" s="513"/>
      <c r="T134" s="207"/>
      <c r="U134" s="207"/>
      <c r="V134" s="513"/>
      <c r="W134" s="15"/>
      <c r="X134" s="15"/>
      <c r="Y134" s="519"/>
      <c r="Z134" s="15"/>
      <c r="AA134" s="15"/>
      <c r="AB134" s="534"/>
      <c r="AC134" s="15"/>
      <c r="AD134" s="15"/>
      <c r="AE134" s="519"/>
      <c r="AF134" s="15"/>
      <c r="AG134" s="15"/>
      <c r="AH134" s="510"/>
      <c r="AI134" s="15"/>
      <c r="AJ134" s="15"/>
      <c r="AL134" s="738"/>
      <c r="AM134" s="739"/>
      <c r="AO134" s="15"/>
      <c r="AP134" s="15"/>
      <c r="AQ134" s="542"/>
      <c r="AR134" s="542"/>
      <c r="AS134" s="510"/>
      <c r="AT134" s="212"/>
      <c r="AV134" s="2">
        <v>13</v>
      </c>
      <c r="AW134" s="2">
        <v>12</v>
      </c>
      <c r="AX134" s="2">
        <v>8</v>
      </c>
      <c r="AY134" s="2">
        <v>0</v>
      </c>
      <c r="AZ134" s="2"/>
      <c r="BA134" s="2"/>
      <c r="BB134" s="405">
        <f>+A135+D135+G135+J135+M135+P135+S135+V135+Y135+AB135+AE135+AH135+AK135+AN135+AQ135</f>
        <v>5453</v>
      </c>
    </row>
    <row r="135" spans="1:54" x14ac:dyDescent="0.35">
      <c r="A135" s="5"/>
      <c r="B135" s="699" t="s">
        <v>31</v>
      </c>
      <c r="C135" s="700"/>
      <c r="D135" s="513">
        <v>386</v>
      </c>
      <c r="E135" s="699" t="s">
        <v>31</v>
      </c>
      <c r="F135" s="700"/>
      <c r="G135" s="513">
        <v>370</v>
      </c>
      <c r="H135" s="699" t="s">
        <v>31</v>
      </c>
      <c r="I135" s="700"/>
      <c r="J135" s="513">
        <v>382</v>
      </c>
      <c r="K135" s="749" t="s">
        <v>33</v>
      </c>
      <c r="L135" s="711"/>
      <c r="M135" s="513">
        <v>384</v>
      </c>
      <c r="N135" s="714" t="s">
        <v>16</v>
      </c>
      <c r="O135" s="712"/>
      <c r="P135" s="513">
        <v>382</v>
      </c>
      <c r="Q135" s="714" t="s">
        <v>28</v>
      </c>
      <c r="R135" s="712"/>
      <c r="S135" s="513">
        <v>357</v>
      </c>
      <c r="T135" s="699" t="s">
        <v>31</v>
      </c>
      <c r="U135" s="700"/>
      <c r="V135" s="513">
        <v>351</v>
      </c>
      <c r="W135" s="717" t="s">
        <v>14</v>
      </c>
      <c r="X135" s="712"/>
      <c r="Y135" s="519">
        <v>413</v>
      </c>
      <c r="Z135" s="699" t="s">
        <v>33</v>
      </c>
      <c r="AA135" s="700"/>
      <c r="AB135" s="534">
        <v>423</v>
      </c>
      <c r="AC135" s="699" t="s">
        <v>14</v>
      </c>
      <c r="AD135" s="699"/>
      <c r="AE135" s="519">
        <v>390</v>
      </c>
      <c r="AF135" s="699" t="s">
        <v>31</v>
      </c>
      <c r="AG135" s="700"/>
      <c r="AH135" s="513">
        <v>406</v>
      </c>
      <c r="AI135" s="699" t="s">
        <v>33</v>
      </c>
      <c r="AJ135" s="700"/>
      <c r="AK135" s="519">
        <v>390</v>
      </c>
      <c r="AL135" s="700" t="s">
        <v>14</v>
      </c>
      <c r="AM135" s="700"/>
      <c r="AN135" s="519">
        <v>393</v>
      </c>
      <c r="AO135" s="700" t="s">
        <v>31</v>
      </c>
      <c r="AP135" s="700"/>
      <c r="AQ135" s="516">
        <v>426</v>
      </c>
      <c r="AR135" s="516"/>
      <c r="AS135" s="510"/>
      <c r="AT135" s="212"/>
    </row>
    <row r="136" spans="1:54" x14ac:dyDescent="0.35">
      <c r="A136" s="5"/>
      <c r="B136" s="703" t="s">
        <v>262</v>
      </c>
      <c r="C136" s="700"/>
      <c r="D136" s="519"/>
      <c r="E136" s="703" t="s">
        <v>263</v>
      </c>
      <c r="F136" s="700"/>
      <c r="G136" s="519"/>
      <c r="H136" s="703" t="s">
        <v>264</v>
      </c>
      <c r="I136" s="700"/>
      <c r="J136" s="519"/>
      <c r="K136" s="703" t="s">
        <v>265</v>
      </c>
      <c r="L136" s="700"/>
      <c r="M136" s="519"/>
      <c r="N136" s="703" t="s">
        <v>266</v>
      </c>
      <c r="O136" s="700"/>
      <c r="P136" s="519"/>
      <c r="Q136" s="703" t="s">
        <v>267</v>
      </c>
      <c r="R136" s="700"/>
      <c r="S136" s="519"/>
      <c r="T136" s="703" t="s">
        <v>268</v>
      </c>
      <c r="U136" s="700"/>
      <c r="V136" s="519"/>
      <c r="W136" s="703" t="s">
        <v>269</v>
      </c>
      <c r="X136" s="700"/>
      <c r="Y136" s="519"/>
      <c r="Z136" s="703" t="s">
        <v>270</v>
      </c>
      <c r="AA136" s="700"/>
      <c r="AB136" s="519"/>
      <c r="AC136" s="703" t="s">
        <v>271</v>
      </c>
      <c r="AD136" s="700"/>
      <c r="AE136" s="519"/>
      <c r="AF136" s="703" t="s">
        <v>272</v>
      </c>
      <c r="AG136" s="700"/>
      <c r="AI136" s="703" t="s">
        <v>273</v>
      </c>
      <c r="AJ136" s="700"/>
      <c r="AL136" s="703" t="s">
        <v>274</v>
      </c>
      <c r="AM136" s="700"/>
      <c r="AO136" s="703" t="s">
        <v>275</v>
      </c>
      <c r="AP136" s="700"/>
      <c r="AQ136" s="516"/>
      <c r="AR136" s="516"/>
      <c r="AT136" s="7"/>
    </row>
    <row r="137" spans="1:54" x14ac:dyDescent="0.35">
      <c r="A137" s="5"/>
      <c r="B137" s="538" t="s">
        <v>395</v>
      </c>
      <c r="C137" s="538"/>
      <c r="D137" s="537"/>
      <c r="E137" s="538" t="s">
        <v>395</v>
      </c>
      <c r="F137" s="538"/>
      <c r="G137" s="537"/>
      <c r="H137" s="538" t="s">
        <v>395</v>
      </c>
      <c r="I137" s="538"/>
      <c r="J137" s="537"/>
      <c r="K137" s="538" t="s">
        <v>395</v>
      </c>
      <c r="L137" s="538"/>
      <c r="M137" s="537"/>
      <c r="N137" s="532"/>
      <c r="O137" s="522" t="s">
        <v>359</v>
      </c>
      <c r="P137" s="533"/>
      <c r="Q137" s="532"/>
      <c r="R137" s="522" t="s">
        <v>359</v>
      </c>
      <c r="S137" s="533"/>
      <c r="T137" s="532"/>
      <c r="U137" s="522" t="s">
        <v>359</v>
      </c>
      <c r="V137" s="533"/>
      <c r="W137" s="532"/>
      <c r="X137" s="522" t="s">
        <v>359</v>
      </c>
      <c r="Y137" s="533"/>
      <c r="Z137" s="532"/>
      <c r="AA137" s="522" t="s">
        <v>359</v>
      </c>
      <c r="AB137" s="533"/>
      <c r="AC137" s="532"/>
      <c r="AD137" s="522" t="s">
        <v>359</v>
      </c>
      <c r="AE137" s="533"/>
      <c r="AF137" s="532"/>
      <c r="AG137" s="522" t="s">
        <v>359</v>
      </c>
      <c r="AH137" s="546"/>
      <c r="AI137" s="532"/>
      <c r="AJ137" s="522" t="s">
        <v>359</v>
      </c>
      <c r="AK137" s="546"/>
      <c r="AL137" s="532"/>
      <c r="AM137" s="522" t="s">
        <v>359</v>
      </c>
      <c r="AN137" s="546"/>
      <c r="AO137" s="532"/>
      <c r="AP137" s="522" t="s">
        <v>359</v>
      </c>
      <c r="AQ137" s="522"/>
      <c r="AR137" s="522"/>
      <c r="AT137" s="7"/>
    </row>
    <row r="138" spans="1:54" x14ac:dyDescent="0.35">
      <c r="A138" s="5"/>
      <c r="B138" s="516"/>
      <c r="C138" s="516"/>
      <c r="D138" s="513"/>
      <c r="E138" s="542"/>
      <c r="F138" s="516"/>
      <c r="G138" s="516"/>
      <c r="H138" s="542"/>
      <c r="I138" s="529"/>
      <c r="J138" s="513"/>
      <c r="K138" s="543"/>
      <c r="L138" s="544"/>
      <c r="M138" s="513"/>
      <c r="N138" s="543"/>
      <c r="O138" s="544"/>
      <c r="P138" s="513"/>
      <c r="Q138" s="543"/>
      <c r="R138" s="544"/>
      <c r="S138" s="513"/>
      <c r="T138" s="543"/>
      <c r="U138" s="544"/>
      <c r="V138" s="513"/>
      <c r="W138" s="542"/>
      <c r="X138" s="529"/>
      <c r="Y138" s="519"/>
      <c r="Z138" s="748" t="s">
        <v>408</v>
      </c>
      <c r="AA138" s="748"/>
      <c r="AB138" s="748"/>
      <c r="AC138" s="748"/>
      <c r="AD138" s="748"/>
      <c r="AE138" s="519"/>
      <c r="AF138" s="542"/>
      <c r="AG138" s="529"/>
      <c r="AI138" s="542"/>
      <c r="AJ138" s="529"/>
      <c r="AL138" s="542"/>
      <c r="AM138" s="529"/>
      <c r="AO138" s="542"/>
      <c r="AP138" s="529"/>
      <c r="AQ138" s="529"/>
      <c r="AR138" s="529"/>
      <c r="AT138" s="7"/>
      <c r="AV138" s="6"/>
      <c r="AW138" s="6"/>
      <c r="AX138" s="6"/>
      <c r="AY138" s="6"/>
      <c r="AZ138" s="6"/>
      <c r="BA138" s="6"/>
    </row>
    <row r="139" spans="1:54" x14ac:dyDescent="0.35">
      <c r="A139" s="5"/>
      <c r="B139" s="529"/>
      <c r="C139" s="529"/>
      <c r="D139" s="519"/>
      <c r="E139" s="529"/>
      <c r="F139" s="529"/>
      <c r="G139" s="519"/>
      <c r="H139" s="529"/>
      <c r="I139" s="529"/>
      <c r="J139" s="519"/>
      <c r="K139" s="529"/>
      <c r="L139" s="529"/>
      <c r="M139" s="519"/>
      <c r="N139" s="529"/>
      <c r="O139" s="529"/>
      <c r="P139" s="519"/>
      <c r="Q139" s="529"/>
      <c r="R139" s="529"/>
      <c r="S139" s="519"/>
      <c r="T139" s="529"/>
      <c r="U139" s="529"/>
      <c r="V139" s="519"/>
      <c r="W139" s="529"/>
      <c r="X139" s="529"/>
      <c r="Y139" s="519"/>
      <c r="Z139" s="529"/>
      <c r="AA139" s="529"/>
      <c r="AC139" s="529"/>
      <c r="AD139" s="529"/>
      <c r="AE139" s="519"/>
      <c r="AF139" s="529"/>
      <c r="AG139" s="529"/>
      <c r="AT139" s="7"/>
    </row>
    <row r="140" spans="1:54" x14ac:dyDescent="0.35">
      <c r="A140" s="5"/>
      <c r="B140" s="700"/>
      <c r="C140" s="700"/>
      <c r="D140" s="519"/>
      <c r="E140" s="735"/>
      <c r="F140" s="735"/>
      <c r="G140" s="519"/>
      <c r="H140" s="735"/>
      <c r="I140" s="735"/>
      <c r="J140" s="519"/>
      <c r="K140" s="735"/>
      <c r="L140" s="735"/>
      <c r="M140" s="519"/>
      <c r="N140" s="735"/>
      <c r="O140" s="735"/>
      <c r="P140" s="519"/>
      <c r="Q140" s="735"/>
      <c r="R140" s="735"/>
      <c r="S140" s="519"/>
      <c r="T140" s="735"/>
      <c r="U140" s="735"/>
      <c r="V140" s="519"/>
      <c r="W140" s="735"/>
      <c r="X140" s="735"/>
      <c r="Y140" s="519"/>
      <c r="Z140" s="700"/>
      <c r="AA140" s="700"/>
      <c r="AB140" s="519"/>
      <c r="AC140" s="700"/>
      <c r="AD140" s="700"/>
      <c r="AE140" s="701"/>
      <c r="AF140" s="701"/>
      <c r="AG140" s="701"/>
      <c r="AH140" s="701"/>
      <c r="AI140" s="711"/>
      <c r="AJ140" s="711"/>
      <c r="AL140" s="711"/>
      <c r="AM140" s="711"/>
      <c r="AO140" s="711"/>
      <c r="AP140" s="711"/>
      <c r="AQ140" s="10"/>
      <c r="AR140" s="10"/>
      <c r="AT140" s="7"/>
    </row>
    <row r="141" spans="1:54" x14ac:dyDescent="0.35">
      <c r="A141" s="5"/>
      <c r="B141" s="11"/>
      <c r="C141" s="12"/>
      <c r="D141" s="513"/>
      <c r="E141" s="11"/>
      <c r="F141" s="12"/>
      <c r="G141" s="513"/>
      <c r="H141" s="11"/>
      <c r="I141" s="12"/>
      <c r="J141" s="513"/>
      <c r="K141" s="11"/>
      <c r="L141" s="12"/>
      <c r="M141" s="513"/>
      <c r="N141" s="11"/>
      <c r="O141" s="12"/>
      <c r="P141" s="513"/>
      <c r="Q141" s="11"/>
      <c r="R141" s="12"/>
      <c r="S141" s="513"/>
      <c r="T141" s="11"/>
      <c r="U141" s="12"/>
      <c r="V141" s="513"/>
      <c r="W141" s="11"/>
      <c r="X141" s="12"/>
      <c r="Y141" s="513"/>
      <c r="Z141" s="207"/>
      <c r="AA141" s="207"/>
      <c r="AB141" s="529"/>
      <c r="AC141" s="11"/>
      <c r="AD141" s="12"/>
      <c r="AE141" s="513"/>
      <c r="AF141" s="11"/>
      <c r="AG141" s="12"/>
      <c r="AH141" s="510"/>
      <c r="AI141" s="11"/>
      <c r="AJ141" s="12"/>
      <c r="AK141" s="510"/>
      <c r="AL141" s="11"/>
      <c r="AM141" s="12"/>
      <c r="AN141" s="510"/>
      <c r="AO141" s="11"/>
      <c r="AP141" s="12"/>
      <c r="AQ141" s="547"/>
      <c r="AR141" s="547"/>
      <c r="AS141" s="510"/>
      <c r="AT141" s="212"/>
    </row>
    <row r="142" spans="1:54" x14ac:dyDescent="0.35">
      <c r="A142" s="5"/>
      <c r="B142" s="15"/>
      <c r="C142" s="15"/>
      <c r="D142" s="513"/>
      <c r="E142" s="15"/>
      <c r="F142" s="15"/>
      <c r="G142" s="513"/>
      <c r="H142" s="15"/>
      <c r="I142" s="15"/>
      <c r="J142" s="513"/>
      <c r="K142" s="15"/>
      <c r="L142" s="15"/>
      <c r="M142" s="513"/>
      <c r="N142" s="15"/>
      <c r="O142" s="15"/>
      <c r="P142" s="513"/>
      <c r="Q142" s="15"/>
      <c r="R142" s="15"/>
      <c r="S142" s="513"/>
      <c r="T142" s="15"/>
      <c r="U142" s="15"/>
      <c r="V142" s="513"/>
      <c r="W142" s="15"/>
      <c r="X142" s="15"/>
      <c r="Y142" s="519"/>
      <c r="Z142" s="207"/>
      <c r="AA142" s="207"/>
      <c r="AB142" s="534"/>
      <c r="AC142" s="15"/>
      <c r="AD142" s="15"/>
      <c r="AE142" s="519"/>
      <c r="AF142" s="15"/>
      <c r="AG142" s="15"/>
      <c r="AH142" s="510"/>
      <c r="AI142" s="15"/>
      <c r="AJ142" s="15"/>
      <c r="AL142" s="15"/>
      <c r="AM142" s="15"/>
      <c r="AO142" s="15"/>
      <c r="AP142" s="15"/>
      <c r="AQ142" s="548"/>
      <c r="AR142" s="548"/>
      <c r="AS142" s="510"/>
      <c r="AT142" s="212"/>
      <c r="AV142" s="2">
        <v>14</v>
      </c>
      <c r="AW142" s="2">
        <v>11</v>
      </c>
      <c r="AX142" s="2">
        <v>9</v>
      </c>
      <c r="AY142" s="2">
        <v>0</v>
      </c>
      <c r="AZ142" s="2"/>
      <c r="BA142" s="2"/>
      <c r="BB142" s="405">
        <f>+A143+D143+G143+J143+M143+P143+S143+V143+Y143+AB143+AE143+AH143+AK143+AN143+AQ143</f>
        <v>5377</v>
      </c>
    </row>
    <row r="143" spans="1:54" x14ac:dyDescent="0.35">
      <c r="A143" s="5"/>
      <c r="B143" s="699" t="s">
        <v>33</v>
      </c>
      <c r="C143" s="700"/>
      <c r="D143" s="513">
        <v>407</v>
      </c>
      <c r="E143" s="714" t="s">
        <v>28</v>
      </c>
      <c r="F143" s="712"/>
      <c r="G143" s="513">
        <v>404</v>
      </c>
      <c r="H143" s="712" t="s">
        <v>16</v>
      </c>
      <c r="I143" s="712"/>
      <c r="J143" s="513">
        <v>418</v>
      </c>
      <c r="K143" s="714" t="s">
        <v>31</v>
      </c>
      <c r="L143" s="712"/>
      <c r="M143" s="513">
        <v>413</v>
      </c>
      <c r="N143" s="714" t="s">
        <v>33</v>
      </c>
      <c r="O143" s="712"/>
      <c r="P143" s="513">
        <v>410</v>
      </c>
      <c r="Q143" s="714" t="s">
        <v>31</v>
      </c>
      <c r="R143" s="712"/>
      <c r="S143" s="513">
        <v>426</v>
      </c>
      <c r="T143" s="717" t="s">
        <v>31</v>
      </c>
      <c r="U143" s="712"/>
      <c r="V143" s="513">
        <v>397</v>
      </c>
      <c r="W143" s="717" t="s">
        <v>16</v>
      </c>
      <c r="X143" s="712"/>
      <c r="Y143" s="519">
        <v>404</v>
      </c>
      <c r="Z143" s="699" t="s">
        <v>146</v>
      </c>
      <c r="AA143" s="700"/>
      <c r="AB143" s="534">
        <v>224</v>
      </c>
      <c r="AC143" s="699" t="s">
        <v>118</v>
      </c>
      <c r="AD143" s="699"/>
      <c r="AE143" s="519">
        <v>422</v>
      </c>
      <c r="AF143" s="699" t="s">
        <v>31</v>
      </c>
      <c r="AG143" s="700"/>
      <c r="AH143" s="513">
        <v>343</v>
      </c>
      <c r="AI143" s="704" t="s">
        <v>23</v>
      </c>
      <c r="AJ143" s="700"/>
      <c r="AK143" s="519">
        <v>360</v>
      </c>
      <c r="AL143" s="704" t="s">
        <v>23</v>
      </c>
      <c r="AM143" s="700"/>
      <c r="AN143" s="6">
        <v>340</v>
      </c>
      <c r="AO143" s="711" t="s">
        <v>40</v>
      </c>
      <c r="AP143" s="711"/>
      <c r="AQ143" s="10">
        <v>409</v>
      </c>
      <c r="AR143" s="10"/>
      <c r="AS143" s="510"/>
      <c r="AT143" s="212"/>
    </row>
    <row r="144" spans="1:54" x14ac:dyDescent="0.35">
      <c r="A144" s="5"/>
      <c r="B144" s="703" t="s">
        <v>276</v>
      </c>
      <c r="C144" s="700"/>
      <c r="D144" s="519"/>
      <c r="E144" s="700" t="s">
        <v>277</v>
      </c>
      <c r="F144" s="700"/>
      <c r="G144" s="519"/>
      <c r="H144" s="700" t="s">
        <v>278</v>
      </c>
      <c r="I144" s="700"/>
      <c r="J144" s="519"/>
      <c r="K144" s="700" t="s">
        <v>279</v>
      </c>
      <c r="L144" s="700"/>
      <c r="M144" s="519"/>
      <c r="N144" s="700" t="s">
        <v>280</v>
      </c>
      <c r="O144" s="700"/>
      <c r="P144" s="519"/>
      <c r="Q144" s="700" t="s">
        <v>281</v>
      </c>
      <c r="R144" s="700"/>
      <c r="S144" s="519"/>
      <c r="T144" s="700" t="s">
        <v>282</v>
      </c>
      <c r="U144" s="700"/>
      <c r="V144" s="519"/>
      <c r="W144" s="700" t="s">
        <v>283</v>
      </c>
      <c r="X144" s="700"/>
      <c r="Y144" s="519"/>
      <c r="Z144" s="700" t="s">
        <v>284</v>
      </c>
      <c r="AA144" s="700"/>
      <c r="AB144" s="519"/>
      <c r="AC144" s="700" t="s">
        <v>285</v>
      </c>
      <c r="AD144" s="700"/>
      <c r="AE144" s="519"/>
      <c r="AF144" s="700" t="s">
        <v>286</v>
      </c>
      <c r="AG144" s="700"/>
      <c r="AI144" s="700" t="s">
        <v>287</v>
      </c>
      <c r="AJ144" s="700"/>
      <c r="AK144" s="519"/>
      <c r="AL144" s="700" t="s">
        <v>288</v>
      </c>
      <c r="AM144" s="700"/>
      <c r="AO144" s="700" t="s">
        <v>289</v>
      </c>
      <c r="AP144" s="700"/>
      <c r="AQ144" s="516"/>
      <c r="AR144" s="516"/>
      <c r="AT144" s="7"/>
    </row>
    <row r="145" spans="1:54" x14ac:dyDescent="0.35">
      <c r="A145" s="5"/>
      <c r="B145" s="522" t="s">
        <v>359</v>
      </c>
      <c r="C145" s="532"/>
      <c r="D145" s="533"/>
      <c r="E145" s="532"/>
      <c r="F145" s="522" t="s">
        <v>359</v>
      </c>
      <c r="G145" s="533"/>
      <c r="H145" s="532"/>
      <c r="I145" s="522" t="s">
        <v>359</v>
      </c>
      <c r="J145" s="533"/>
      <c r="K145" s="532"/>
      <c r="L145" s="522" t="s">
        <v>359</v>
      </c>
      <c r="M145" s="533"/>
      <c r="N145" s="532"/>
      <c r="O145" s="522" t="s">
        <v>359</v>
      </c>
      <c r="P145" s="533"/>
      <c r="Q145" s="532"/>
      <c r="R145" s="522" t="s">
        <v>359</v>
      </c>
      <c r="S145" s="533"/>
      <c r="T145" s="532"/>
      <c r="U145" s="522" t="s">
        <v>359</v>
      </c>
      <c r="V145" s="533"/>
      <c r="W145" s="532"/>
      <c r="X145" s="522" t="s">
        <v>359</v>
      </c>
      <c r="Y145" s="533"/>
      <c r="Z145" s="532"/>
      <c r="AA145" s="522" t="s">
        <v>359</v>
      </c>
      <c r="AB145" s="533"/>
      <c r="AC145" s="532"/>
      <c r="AD145" s="522" t="s">
        <v>359</v>
      </c>
      <c r="AE145" s="533"/>
      <c r="AF145" s="532"/>
      <c r="AG145" s="522" t="s">
        <v>359</v>
      </c>
      <c r="AH145" s="546"/>
      <c r="AI145" s="532"/>
      <c r="AJ145" s="522" t="s">
        <v>359</v>
      </c>
      <c r="AK145" s="546"/>
      <c r="AL145" s="522"/>
      <c r="AM145" s="522" t="s">
        <v>359</v>
      </c>
      <c r="AN145" s="546"/>
      <c r="AO145" s="532"/>
      <c r="AP145" s="522" t="s">
        <v>359</v>
      </c>
      <c r="AQ145" s="522"/>
      <c r="AR145" s="522"/>
      <c r="AT145" s="7"/>
    </row>
    <row r="146" spans="1:54" x14ac:dyDescent="0.35">
      <c r="A146" s="5"/>
      <c r="C146" s="529"/>
      <c r="D146" s="529"/>
      <c r="E146" s="529"/>
      <c r="F146" s="529"/>
      <c r="G146" s="529"/>
      <c r="H146" s="748" t="s">
        <v>829</v>
      </c>
      <c r="I146" s="748"/>
      <c r="J146" s="748"/>
      <c r="K146" s="748"/>
      <c r="L146" s="748"/>
      <c r="M146" s="529"/>
      <c r="N146" s="529"/>
      <c r="O146" s="529"/>
      <c r="P146" s="529"/>
      <c r="Q146" s="748" t="s">
        <v>408</v>
      </c>
      <c r="R146" s="748"/>
      <c r="S146" s="748"/>
      <c r="T146" s="748"/>
      <c r="U146" s="748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  <c r="AI146" s="529"/>
      <c r="AJ146" s="529"/>
      <c r="AK146" s="529"/>
      <c r="AL146" s="529"/>
      <c r="AM146" s="529"/>
      <c r="AN146" s="529"/>
      <c r="AO146" s="700" t="s">
        <v>805</v>
      </c>
      <c r="AP146" s="700"/>
      <c r="AQ146" s="700"/>
      <c r="AR146" s="700"/>
      <c r="AS146" s="700"/>
      <c r="AT146" s="752"/>
      <c r="AV146" s="6"/>
      <c r="AW146" s="6"/>
      <c r="AX146" s="6"/>
      <c r="AY146" s="6"/>
      <c r="AZ146" s="6"/>
      <c r="BA146" s="6"/>
    </row>
    <row r="147" spans="1:54" x14ac:dyDescent="0.35">
      <c r="A147" s="5"/>
      <c r="B147" s="529"/>
      <c r="C147" s="529"/>
      <c r="D147" s="519"/>
      <c r="E147" s="529"/>
      <c r="F147" s="529"/>
      <c r="G147" s="519"/>
      <c r="H147" s="529"/>
      <c r="I147" s="529"/>
      <c r="J147" s="519"/>
      <c r="K147" s="529"/>
      <c r="L147" s="529"/>
      <c r="M147" s="519"/>
      <c r="N147" s="529"/>
      <c r="O147" s="529"/>
      <c r="P147" s="519"/>
      <c r="Q147" s="529"/>
      <c r="R147" s="529"/>
      <c r="S147" s="519"/>
      <c r="T147" s="529"/>
      <c r="U147" s="529"/>
      <c r="V147" s="519"/>
      <c r="W147" s="529"/>
      <c r="X147" s="529"/>
      <c r="Y147" s="519"/>
      <c r="Z147" s="529"/>
      <c r="AA147" s="529"/>
      <c r="AC147" s="529"/>
      <c r="AD147" s="529"/>
      <c r="AE147" s="519"/>
      <c r="AF147" s="529"/>
      <c r="AG147" s="529"/>
      <c r="AT147" s="7"/>
    </row>
    <row r="148" spans="1:54" x14ac:dyDescent="0.35">
      <c r="A148" s="5"/>
      <c r="B148" s="700"/>
      <c r="C148" s="700"/>
      <c r="D148" s="519"/>
      <c r="E148" s="735"/>
      <c r="F148" s="735"/>
      <c r="G148" s="519"/>
      <c r="H148" s="735"/>
      <c r="I148" s="735"/>
      <c r="J148" s="519"/>
      <c r="K148" s="735"/>
      <c r="L148" s="735"/>
      <c r="M148" s="519"/>
      <c r="N148" s="735"/>
      <c r="O148" s="735"/>
      <c r="P148" s="519"/>
      <c r="Q148" s="735"/>
      <c r="R148" s="735"/>
      <c r="S148" s="519"/>
      <c r="T148" s="735"/>
      <c r="U148" s="735"/>
      <c r="V148" s="519"/>
      <c r="W148" s="735"/>
      <c r="X148" s="735"/>
      <c r="Y148" s="519"/>
      <c r="Z148" s="700"/>
      <c r="AA148" s="700"/>
      <c r="AB148" s="519"/>
      <c r="AC148" s="700"/>
      <c r="AD148" s="700"/>
      <c r="AE148" s="701"/>
      <c r="AF148" s="701"/>
      <c r="AG148" s="701"/>
      <c r="AH148" s="701"/>
      <c r="AI148" s="711"/>
      <c r="AJ148" s="711"/>
      <c r="AL148" s="711"/>
      <c r="AM148" s="711"/>
      <c r="AO148" s="711"/>
      <c r="AP148" s="711"/>
      <c r="AQ148" s="10"/>
      <c r="AR148" s="10"/>
      <c r="AT148" s="7"/>
    </row>
    <row r="149" spans="1:54" x14ac:dyDescent="0.35">
      <c r="A149" s="5"/>
      <c r="B149" s="207"/>
      <c r="C149" s="207"/>
      <c r="D149" s="513"/>
      <c r="E149" s="207"/>
      <c r="F149" s="207"/>
      <c r="G149" s="513"/>
      <c r="H149" s="11"/>
      <c r="I149" s="12"/>
      <c r="J149" s="513"/>
      <c r="K149" s="11"/>
      <c r="L149" s="12"/>
      <c r="M149" s="513"/>
      <c r="N149" s="207"/>
      <c r="O149" s="207"/>
      <c r="P149" s="513"/>
      <c r="Q149" s="11"/>
      <c r="R149" s="12"/>
      <c r="S149" s="513"/>
      <c r="T149" s="30"/>
      <c r="U149" s="31"/>
      <c r="V149" s="513"/>
      <c r="W149" s="11"/>
      <c r="X149" s="12"/>
      <c r="Y149" s="513"/>
      <c r="Z149" s="11"/>
      <c r="AA149" s="12"/>
      <c r="AB149" s="529"/>
      <c r="AC149" s="736" t="s">
        <v>397</v>
      </c>
      <c r="AD149" s="737"/>
      <c r="AE149" s="513"/>
      <c r="AF149" s="736" t="s">
        <v>397</v>
      </c>
      <c r="AG149" s="737"/>
      <c r="AH149" s="510"/>
      <c r="AI149" s="11"/>
      <c r="AJ149" s="12"/>
      <c r="AK149" s="510"/>
      <c r="AL149" s="736" t="s">
        <v>397</v>
      </c>
      <c r="AM149" s="737"/>
      <c r="AN149" s="510"/>
      <c r="AO149" s="736" t="s">
        <v>397</v>
      </c>
      <c r="AP149" s="737"/>
      <c r="AQ149" s="540"/>
      <c r="AR149" s="540"/>
      <c r="AS149" s="510"/>
      <c r="AT149" s="212"/>
    </row>
    <row r="150" spans="1:54" x14ac:dyDescent="0.35">
      <c r="A150" s="5"/>
      <c r="B150" s="207"/>
      <c r="C150" s="207"/>
      <c r="D150" s="513"/>
      <c r="E150" s="207"/>
      <c r="F150" s="207"/>
      <c r="G150" s="513"/>
      <c r="H150" s="15"/>
      <c r="I150" s="15"/>
      <c r="J150" s="513"/>
      <c r="K150" s="15"/>
      <c r="L150" s="15"/>
      <c r="M150" s="513"/>
      <c r="N150" s="207"/>
      <c r="O150" s="207"/>
      <c r="P150" s="513"/>
      <c r="Q150" s="15"/>
      <c r="R150" s="15"/>
      <c r="S150" s="513"/>
      <c r="T150" s="32"/>
      <c r="U150" s="32"/>
      <c r="V150" s="513"/>
      <c r="W150" s="15"/>
      <c r="X150" s="15"/>
      <c r="Y150" s="519"/>
      <c r="Z150" s="15"/>
      <c r="AA150" s="15"/>
      <c r="AB150" s="534"/>
      <c r="AC150" s="738"/>
      <c r="AD150" s="739"/>
      <c r="AE150" s="519"/>
      <c r="AF150" s="738"/>
      <c r="AG150" s="739"/>
      <c r="AH150" s="510"/>
      <c r="AI150" s="15"/>
      <c r="AJ150" s="15"/>
      <c r="AL150" s="738"/>
      <c r="AM150" s="739"/>
      <c r="AO150" s="738"/>
      <c r="AP150" s="739"/>
      <c r="AQ150" s="540"/>
      <c r="AR150" s="540"/>
      <c r="AS150" s="510"/>
      <c r="AT150" s="212"/>
      <c r="AV150" s="2">
        <v>9</v>
      </c>
      <c r="AW150" s="2">
        <v>6</v>
      </c>
      <c r="AX150" s="2">
        <v>5</v>
      </c>
      <c r="AY150" s="2">
        <v>0</v>
      </c>
      <c r="AZ150" s="2"/>
      <c r="BA150" s="2"/>
      <c r="BB150" s="405">
        <f>+A151+D151+G151+J151+M151+P151+S151+V151+Y151+AB151+AE151+AH151+AK151+AN151+AQ151</f>
        <v>4749.2690000000002</v>
      </c>
    </row>
    <row r="151" spans="1:54" x14ac:dyDescent="0.35">
      <c r="A151" s="5"/>
      <c r="B151" s="699" t="s">
        <v>35</v>
      </c>
      <c r="C151" s="700"/>
      <c r="D151" s="513">
        <v>391.06</v>
      </c>
      <c r="E151" s="699" t="s">
        <v>113</v>
      </c>
      <c r="F151" s="700"/>
      <c r="G151" s="513">
        <v>386</v>
      </c>
      <c r="H151" s="699" t="s">
        <v>803</v>
      </c>
      <c r="I151" s="700"/>
      <c r="J151" s="363">
        <v>372.887</v>
      </c>
      <c r="K151" s="699" t="s">
        <v>804</v>
      </c>
      <c r="L151" s="700"/>
      <c r="M151" s="363">
        <v>333</v>
      </c>
      <c r="N151" s="714" t="s">
        <v>33</v>
      </c>
      <c r="O151" s="712"/>
      <c r="P151" s="363">
        <v>357.142</v>
      </c>
      <c r="Q151" s="714" t="s">
        <v>146</v>
      </c>
      <c r="R151" s="712"/>
      <c r="S151" s="363">
        <v>234.17099999999999</v>
      </c>
      <c r="T151" s="717" t="s">
        <v>172</v>
      </c>
      <c r="U151" s="712"/>
      <c r="V151" s="315">
        <v>352</v>
      </c>
      <c r="W151" s="717" t="s">
        <v>16</v>
      </c>
      <c r="X151" s="712"/>
      <c r="Y151" s="315">
        <v>353</v>
      </c>
      <c r="Z151" s="699" t="s">
        <v>33</v>
      </c>
      <c r="AA151" s="700"/>
      <c r="AB151" s="315">
        <v>352.60599999999999</v>
      </c>
      <c r="AC151" s="699" t="s">
        <v>154</v>
      </c>
      <c r="AD151" s="699"/>
      <c r="AE151" s="519">
        <v>268</v>
      </c>
      <c r="AF151" s="699" t="s">
        <v>299</v>
      </c>
      <c r="AG151" s="700"/>
      <c r="AH151" s="513">
        <v>306</v>
      </c>
      <c r="AI151" s="699" t="s">
        <v>390</v>
      </c>
      <c r="AJ151" s="700"/>
      <c r="AK151" s="519">
        <v>297</v>
      </c>
      <c r="AL151" s="700" t="s">
        <v>23</v>
      </c>
      <c r="AM151" s="700"/>
      <c r="AN151" s="315">
        <v>414.40300000000002</v>
      </c>
      <c r="AO151" s="700" t="s">
        <v>61</v>
      </c>
      <c r="AP151" s="700"/>
      <c r="AQ151" s="516">
        <v>332</v>
      </c>
      <c r="AR151" s="516"/>
      <c r="AS151" s="510"/>
      <c r="AT151" s="212"/>
    </row>
    <row r="152" spans="1:54" x14ac:dyDescent="0.35">
      <c r="A152" s="5"/>
      <c r="B152" s="700" t="s">
        <v>290</v>
      </c>
      <c r="C152" s="700"/>
      <c r="D152" s="519"/>
      <c r="E152" s="700" t="s">
        <v>291</v>
      </c>
      <c r="F152" s="700"/>
      <c r="G152" s="519"/>
      <c r="H152" s="700" t="s">
        <v>292</v>
      </c>
      <c r="I152" s="700"/>
      <c r="J152" s="519"/>
      <c r="K152" s="700" t="s">
        <v>391</v>
      </c>
      <c r="L152" s="700"/>
      <c r="M152" s="519"/>
      <c r="N152" s="700" t="s">
        <v>392</v>
      </c>
      <c r="O152" s="700"/>
      <c r="P152" s="519"/>
      <c r="Q152" s="699" t="s">
        <v>293</v>
      </c>
      <c r="R152" s="700"/>
      <c r="S152" s="519"/>
      <c r="T152" s="700" t="s">
        <v>294</v>
      </c>
      <c r="U152" s="700"/>
      <c r="V152" s="519"/>
      <c r="W152" s="700" t="s">
        <v>295</v>
      </c>
      <c r="X152" s="700"/>
      <c r="Y152" s="519"/>
      <c r="Z152" s="700" t="s">
        <v>296</v>
      </c>
      <c r="AA152" s="700"/>
      <c r="AB152" s="519"/>
      <c r="AC152" s="700" t="s">
        <v>297</v>
      </c>
      <c r="AD152" s="700"/>
      <c r="AE152" s="519"/>
      <c r="AF152" s="700" t="s">
        <v>298</v>
      </c>
      <c r="AG152" s="700"/>
      <c r="AI152" s="700" t="s">
        <v>300</v>
      </c>
      <c r="AJ152" s="700"/>
      <c r="AL152" s="700" t="s">
        <v>301</v>
      </c>
      <c r="AM152" s="700"/>
      <c r="AO152" s="700" t="s">
        <v>302</v>
      </c>
      <c r="AP152" s="700"/>
      <c r="AQ152" s="516"/>
      <c r="AR152" s="516"/>
      <c r="AT152" s="7"/>
    </row>
    <row r="153" spans="1:54" x14ac:dyDescent="0.35">
      <c r="A153" s="5"/>
      <c r="B153" s="522" t="s">
        <v>359</v>
      </c>
      <c r="C153" s="532"/>
      <c r="D153" s="533"/>
      <c r="E153" s="532"/>
      <c r="F153" s="522" t="s">
        <v>359</v>
      </c>
      <c r="G153" s="533"/>
      <c r="H153" s="532"/>
      <c r="I153" s="522" t="s">
        <v>359</v>
      </c>
      <c r="J153" s="533"/>
      <c r="K153" s="532"/>
      <c r="L153" s="522" t="s">
        <v>359</v>
      </c>
      <c r="M153" s="533"/>
      <c r="N153" s="532"/>
      <c r="O153" s="522" t="s">
        <v>359</v>
      </c>
      <c r="P153" s="533"/>
      <c r="Q153" s="532"/>
      <c r="R153" s="522" t="s">
        <v>359</v>
      </c>
      <c r="S153" s="533"/>
      <c r="T153" s="532"/>
      <c r="U153" s="522" t="s">
        <v>359</v>
      </c>
      <c r="V153" s="533"/>
      <c r="W153" s="532"/>
      <c r="X153" s="522" t="s">
        <v>359</v>
      </c>
      <c r="Y153" s="533"/>
      <c r="Z153" s="532"/>
      <c r="AA153" s="522" t="s">
        <v>359</v>
      </c>
      <c r="AB153" s="533"/>
      <c r="AC153" s="532"/>
      <c r="AD153" s="522" t="s">
        <v>359</v>
      </c>
      <c r="AE153" s="533"/>
      <c r="AF153" s="532"/>
      <c r="AG153" s="522" t="s">
        <v>359</v>
      </c>
      <c r="AH153" s="546"/>
      <c r="AI153" s="532"/>
      <c r="AJ153" s="522" t="s">
        <v>359</v>
      </c>
      <c r="AK153" s="546"/>
      <c r="AL153" s="532"/>
      <c r="AM153" s="522" t="s">
        <v>359</v>
      </c>
      <c r="AN153" s="546"/>
      <c r="AO153" s="532"/>
      <c r="AP153" s="522" t="s">
        <v>359</v>
      </c>
      <c r="AQ153" s="522"/>
      <c r="AR153" s="522"/>
      <c r="AT153" s="7"/>
    </row>
    <row r="154" spans="1:54" x14ac:dyDescent="0.35">
      <c r="A154" s="5"/>
      <c r="B154" s="748" t="s">
        <v>805</v>
      </c>
      <c r="C154" s="748"/>
      <c r="D154" s="748"/>
      <c r="E154" s="748"/>
      <c r="F154" s="748"/>
      <c r="G154" s="748"/>
      <c r="H154" s="748"/>
      <c r="I154" s="748"/>
      <c r="J154" s="748"/>
      <c r="K154" s="748"/>
      <c r="L154" s="748"/>
      <c r="M154" s="748"/>
      <c r="N154" s="748"/>
      <c r="O154" s="748"/>
      <c r="P154" s="529"/>
      <c r="Q154" s="529"/>
      <c r="R154" s="529"/>
      <c r="S154" s="529"/>
      <c r="T154" s="529"/>
      <c r="U154" s="529"/>
      <c r="V154" s="513"/>
      <c r="W154" s="753" t="s">
        <v>409</v>
      </c>
      <c r="X154" s="753"/>
      <c r="Y154" s="753"/>
      <c r="Z154" s="753"/>
      <c r="AA154" s="753"/>
      <c r="AB154" s="529"/>
      <c r="AC154" s="224" t="s">
        <v>830</v>
      </c>
      <c r="AD154" s="224"/>
      <c r="AE154" s="224"/>
      <c r="AF154" s="754" t="s">
        <v>408</v>
      </c>
      <c r="AG154" s="755"/>
      <c r="AH154" s="755"/>
      <c r="AI154" s="755"/>
      <c r="AJ154" s="756"/>
      <c r="AL154" s="542"/>
      <c r="AM154" s="529"/>
      <c r="AO154" s="542"/>
      <c r="AP154" s="529"/>
      <c r="AQ154" s="529"/>
      <c r="AR154" s="529"/>
      <c r="AT154" s="7"/>
      <c r="AV154" s="6"/>
      <c r="AW154" s="6"/>
      <c r="AX154" s="6"/>
      <c r="AY154" s="6"/>
      <c r="AZ154" s="6"/>
      <c r="BA154" s="6"/>
    </row>
    <row r="155" spans="1:54" x14ac:dyDescent="0.35">
      <c r="A155" s="5"/>
      <c r="B155" s="529"/>
      <c r="C155" s="529"/>
      <c r="D155" s="519"/>
      <c r="E155" s="529"/>
      <c r="F155" s="529"/>
      <c r="G155" s="519"/>
      <c r="H155" s="529"/>
      <c r="I155" s="529"/>
      <c r="J155" s="519"/>
      <c r="K155" s="529"/>
      <c r="L155" s="529"/>
      <c r="M155" s="519"/>
      <c r="N155" s="529"/>
      <c r="O155" s="529"/>
      <c r="P155" s="519"/>
      <c r="Q155" s="529"/>
      <c r="R155" s="529"/>
      <c r="S155" s="519"/>
      <c r="T155" s="529"/>
      <c r="U155" s="529"/>
      <c r="V155" s="519"/>
      <c r="W155" s="529"/>
      <c r="X155" s="529"/>
      <c r="Y155" s="519"/>
      <c r="Z155" s="529"/>
      <c r="AA155" s="529"/>
      <c r="AC155" s="529"/>
      <c r="AD155" s="529"/>
      <c r="AE155" s="519"/>
      <c r="AF155" s="529"/>
      <c r="AG155" s="529"/>
      <c r="AT155" s="7"/>
    </row>
    <row r="156" spans="1:54" x14ac:dyDescent="0.35">
      <c r="A156" s="5"/>
      <c r="B156" s="700"/>
      <c r="C156" s="700"/>
      <c r="D156" s="519"/>
      <c r="E156" s="735"/>
      <c r="F156" s="735"/>
      <c r="G156" s="519"/>
      <c r="H156" s="735"/>
      <c r="I156" s="735"/>
      <c r="J156" s="519"/>
      <c r="K156" s="735"/>
      <c r="L156" s="735"/>
      <c r="M156" s="519"/>
      <c r="N156" s="735"/>
      <c r="O156" s="735"/>
      <c r="P156" s="519"/>
      <c r="Q156" s="735"/>
      <c r="R156" s="735"/>
      <c r="S156" s="519"/>
      <c r="T156" s="735"/>
      <c r="U156" s="735"/>
      <c r="V156" s="519"/>
      <c r="W156" s="735"/>
      <c r="X156" s="735"/>
      <c r="Y156" s="519"/>
      <c r="Z156" s="700"/>
      <c r="AA156" s="700"/>
      <c r="AB156" s="519"/>
      <c r="AC156" s="700"/>
      <c r="AD156" s="700"/>
      <c r="AE156" s="701"/>
      <c r="AF156" s="701"/>
      <c r="AG156" s="701"/>
      <c r="AH156" s="701"/>
      <c r="AI156" s="711"/>
      <c r="AJ156" s="711"/>
      <c r="AL156" s="711"/>
      <c r="AM156" s="711"/>
      <c r="AO156" s="711"/>
      <c r="AP156" s="711"/>
      <c r="AQ156" s="10"/>
      <c r="AR156" s="10"/>
      <c r="AT156" s="7"/>
    </row>
    <row r="157" spans="1:54" x14ac:dyDescent="0.35">
      <c r="A157" s="5"/>
      <c r="B157" s="30"/>
      <c r="C157" s="31"/>
      <c r="D157" s="513"/>
      <c r="E157" s="30"/>
      <c r="F157" s="31"/>
      <c r="G157" s="513"/>
      <c r="H157" s="30"/>
      <c r="I157" s="31"/>
      <c r="J157" s="513"/>
      <c r="K157" s="30"/>
      <c r="L157" s="31"/>
      <c r="M157" s="513"/>
      <c r="N157" s="30"/>
      <c r="O157" s="31"/>
      <c r="P157" s="513"/>
      <c r="Q157" s="736" t="s">
        <v>397</v>
      </c>
      <c r="R157" s="737"/>
      <c r="S157" s="513"/>
      <c r="T157" s="30"/>
      <c r="U157" s="31"/>
      <c r="V157" s="513"/>
      <c r="W157" s="221"/>
      <c r="X157" s="221"/>
      <c r="Y157" s="513"/>
      <c r="Z157" s="30"/>
      <c r="AA157" s="31"/>
      <c r="AB157" s="529"/>
      <c r="AC157" s="744" t="s">
        <v>396</v>
      </c>
      <c r="AD157" s="745"/>
      <c r="AE157" s="513"/>
      <c r="AF157" s="11"/>
      <c r="AG157" s="12"/>
      <c r="AH157" s="510"/>
      <c r="AI157" s="11"/>
      <c r="AJ157" s="12"/>
      <c r="AK157" s="510"/>
      <c r="AL157" s="11"/>
      <c r="AM157" s="12"/>
      <c r="AN157" s="510"/>
      <c r="AO157" s="11"/>
      <c r="AP157" s="12"/>
      <c r="AQ157" s="511"/>
      <c r="AR157" s="511"/>
      <c r="AS157" s="510"/>
      <c r="AT157" s="212"/>
    </row>
    <row r="158" spans="1:54" x14ac:dyDescent="0.35">
      <c r="A158" s="5"/>
      <c r="B158" s="32"/>
      <c r="C158" s="32"/>
      <c r="D158" s="513"/>
      <c r="E158" s="32"/>
      <c r="F158" s="32"/>
      <c r="G158" s="513"/>
      <c r="H158" s="32"/>
      <c r="I158" s="32"/>
      <c r="J158" s="513"/>
      <c r="K158" s="32"/>
      <c r="L158" s="32"/>
      <c r="M158" s="513"/>
      <c r="N158" s="32"/>
      <c r="O158" s="32"/>
      <c r="P158" s="513"/>
      <c r="Q158" s="738"/>
      <c r="R158" s="739"/>
      <c r="S158" s="513"/>
      <c r="T158" s="32"/>
      <c r="U158" s="32"/>
      <c r="V158" s="513"/>
      <c r="W158" s="221"/>
      <c r="X158" s="221"/>
      <c r="Y158" s="519"/>
      <c r="Z158" s="32"/>
      <c r="AA158" s="32"/>
      <c r="AB158" s="534"/>
      <c r="AC158" s="746"/>
      <c r="AD158" s="747"/>
      <c r="AE158" s="519"/>
      <c r="AF158" s="15"/>
      <c r="AG158" s="15"/>
      <c r="AH158" s="510"/>
      <c r="AI158" s="15"/>
      <c r="AJ158" s="15"/>
      <c r="AL158" s="15"/>
      <c r="AM158" s="15"/>
      <c r="AO158" s="15"/>
      <c r="AP158" s="15"/>
      <c r="AQ158" s="542"/>
      <c r="AR158" s="542"/>
      <c r="AS158" s="510"/>
      <c r="AT158" s="212"/>
      <c r="AV158" s="2">
        <v>4</v>
      </c>
      <c r="AW158" s="2">
        <v>3</v>
      </c>
      <c r="AX158" s="2">
        <v>1</v>
      </c>
      <c r="AY158" s="2">
        <v>0</v>
      </c>
      <c r="AZ158" s="2"/>
      <c r="BA158" s="2"/>
      <c r="BB158" s="405">
        <f>+A159+D159+G159+J159+M159+P159+S159+V159+Y159+AB159+AE159+AH159+AK159+AN159+AQ159</f>
        <v>5209.9070000000002</v>
      </c>
    </row>
    <row r="159" spans="1:54" x14ac:dyDescent="0.35">
      <c r="A159" s="5"/>
      <c r="B159" s="699" t="s">
        <v>238</v>
      </c>
      <c r="C159" s="700"/>
      <c r="D159" s="513">
        <v>410</v>
      </c>
      <c r="E159" s="714" t="s">
        <v>35</v>
      </c>
      <c r="F159" s="712"/>
      <c r="G159" s="315">
        <v>414</v>
      </c>
      <c r="H159" s="712" t="s">
        <v>33</v>
      </c>
      <c r="I159" s="712"/>
      <c r="J159" s="315">
        <v>407</v>
      </c>
      <c r="K159" s="714" t="s">
        <v>31</v>
      </c>
      <c r="L159" s="712"/>
      <c r="M159" s="315">
        <v>421.88400000000001</v>
      </c>
      <c r="N159" s="714" t="s">
        <v>234</v>
      </c>
      <c r="O159" s="712"/>
      <c r="P159" s="315">
        <v>532.19200000000001</v>
      </c>
      <c r="Q159" s="714" t="s">
        <v>164</v>
      </c>
      <c r="R159" s="712"/>
      <c r="S159" s="513">
        <v>415</v>
      </c>
      <c r="T159" s="717" t="s">
        <v>20</v>
      </c>
      <c r="U159" s="712"/>
      <c r="V159" s="362">
        <v>350</v>
      </c>
      <c r="W159" s="717" t="s">
        <v>2013</v>
      </c>
      <c r="X159" s="712"/>
      <c r="Y159" s="362">
        <v>249.01300000000001</v>
      </c>
      <c r="Z159" s="699" t="s">
        <v>156</v>
      </c>
      <c r="AA159" s="700"/>
      <c r="AB159" s="362">
        <v>351</v>
      </c>
      <c r="AC159" s="699" t="s">
        <v>16</v>
      </c>
      <c r="AD159" s="699"/>
      <c r="AE159" s="362">
        <v>307.26100000000002</v>
      </c>
      <c r="AF159" s="699" t="s">
        <v>314</v>
      </c>
      <c r="AG159" s="700"/>
      <c r="AH159" s="362">
        <v>250.55699999999999</v>
      </c>
      <c r="AI159" s="749" t="s">
        <v>148</v>
      </c>
      <c r="AJ159" s="711"/>
      <c r="AK159" s="362">
        <v>423</v>
      </c>
      <c r="AL159" s="711" t="s">
        <v>23</v>
      </c>
      <c r="AM159" s="711"/>
      <c r="AN159" s="362">
        <v>339</v>
      </c>
      <c r="AO159" s="711" t="s">
        <v>23</v>
      </c>
      <c r="AP159" s="711"/>
      <c r="AQ159" s="10">
        <v>340</v>
      </c>
      <c r="AR159" s="10"/>
      <c r="AS159" s="510"/>
      <c r="AT159" s="212"/>
    </row>
    <row r="160" spans="1:54" x14ac:dyDescent="0.35">
      <c r="A160" s="5"/>
      <c r="B160" s="700" t="s">
        <v>303</v>
      </c>
      <c r="C160" s="700"/>
      <c r="D160" s="519"/>
      <c r="E160" s="700" t="s">
        <v>304</v>
      </c>
      <c r="F160" s="700"/>
      <c r="G160" s="519"/>
      <c r="H160" s="700" t="s">
        <v>305</v>
      </c>
      <c r="I160" s="700"/>
      <c r="J160" s="519"/>
      <c r="K160" s="700" t="s">
        <v>306</v>
      </c>
      <c r="L160" s="700"/>
      <c r="M160" s="519"/>
      <c r="N160" s="700" t="s">
        <v>307</v>
      </c>
      <c r="O160" s="700"/>
      <c r="P160" s="519"/>
      <c r="Q160" s="700" t="s">
        <v>308</v>
      </c>
      <c r="R160" s="700"/>
      <c r="S160" s="519"/>
      <c r="T160" s="700" t="s">
        <v>309</v>
      </c>
      <c r="U160" s="700"/>
      <c r="V160" s="519"/>
      <c r="W160" s="700" t="s">
        <v>310</v>
      </c>
      <c r="X160" s="700"/>
      <c r="Y160" s="519"/>
      <c r="Z160" s="700" t="s">
        <v>311</v>
      </c>
      <c r="AA160" s="700"/>
      <c r="AB160" s="519"/>
      <c r="AC160" s="700" t="s">
        <v>312</v>
      </c>
      <c r="AD160" s="700"/>
      <c r="AE160" s="519"/>
      <c r="AF160" s="700" t="s">
        <v>313</v>
      </c>
      <c r="AG160" s="700"/>
      <c r="AI160" s="700" t="s">
        <v>315</v>
      </c>
      <c r="AJ160" s="700"/>
      <c r="AL160" s="700" t="s">
        <v>316</v>
      </c>
      <c r="AM160" s="700"/>
      <c r="AO160" s="700" t="s">
        <v>317</v>
      </c>
      <c r="AP160" s="700"/>
      <c r="AQ160" s="516">
        <v>340</v>
      </c>
      <c r="AR160" s="516"/>
      <c r="AT160" s="7"/>
    </row>
    <row r="161" spans="1:54" x14ac:dyDescent="0.35">
      <c r="A161" s="5"/>
      <c r="B161" s="522" t="s">
        <v>359</v>
      </c>
      <c r="C161" s="532"/>
      <c r="D161" s="533"/>
      <c r="E161" s="532"/>
      <c r="F161" s="522" t="s">
        <v>359</v>
      </c>
      <c r="G161" s="533"/>
      <c r="H161" s="532"/>
      <c r="I161" s="522" t="s">
        <v>359</v>
      </c>
      <c r="J161" s="533"/>
      <c r="K161" s="532"/>
      <c r="L161" s="522" t="s">
        <v>359</v>
      </c>
      <c r="M161" s="533"/>
      <c r="N161" s="532"/>
      <c r="O161" s="522" t="s">
        <v>359</v>
      </c>
      <c r="P161" s="533"/>
      <c r="Q161" s="532"/>
      <c r="R161" s="522" t="s">
        <v>359</v>
      </c>
      <c r="S161" s="533"/>
      <c r="T161" s="532"/>
      <c r="U161" s="522" t="s">
        <v>359</v>
      </c>
      <c r="V161" s="533"/>
      <c r="W161" s="532"/>
      <c r="X161" s="522" t="s">
        <v>359</v>
      </c>
      <c r="Y161" s="533"/>
      <c r="Z161" s="532"/>
      <c r="AA161" s="522" t="s">
        <v>359</v>
      </c>
      <c r="AB161" s="533"/>
      <c r="AC161" s="532"/>
      <c r="AD161" s="522" t="s">
        <v>359</v>
      </c>
      <c r="AE161" s="533"/>
      <c r="AF161" s="532"/>
      <c r="AG161" s="522" t="s">
        <v>359</v>
      </c>
      <c r="AH161" s="546"/>
      <c r="AI161" s="532"/>
      <c r="AJ161" s="522" t="s">
        <v>359</v>
      </c>
      <c r="AK161" s="546"/>
      <c r="AL161" s="532"/>
      <c r="AM161" s="522" t="s">
        <v>359</v>
      </c>
      <c r="AN161" s="546"/>
      <c r="AO161" s="532"/>
      <c r="AP161" s="522" t="s">
        <v>359</v>
      </c>
      <c r="AQ161" s="522"/>
      <c r="AR161" s="522"/>
      <c r="AT161" s="7"/>
    </row>
    <row r="162" spans="1:54" x14ac:dyDescent="0.35">
      <c r="A162" s="5"/>
      <c r="B162" s="516"/>
      <c r="C162" s="516"/>
      <c r="D162" s="513"/>
      <c r="E162" s="542"/>
      <c r="F162" s="516"/>
      <c r="G162" s="516"/>
      <c r="H162" s="542"/>
      <c r="I162" s="529"/>
      <c r="J162" s="513"/>
      <c r="K162" s="543"/>
      <c r="L162" s="544"/>
      <c r="M162" s="513"/>
      <c r="N162" s="543"/>
      <c r="O162" s="544"/>
      <c r="P162" s="513"/>
      <c r="Q162" s="543"/>
      <c r="R162" s="544"/>
      <c r="S162" s="513"/>
      <c r="T162" s="543"/>
      <c r="U162" s="544"/>
      <c r="V162" s="513"/>
      <c r="W162" s="753" t="s">
        <v>403</v>
      </c>
      <c r="X162" s="753"/>
      <c r="Y162" s="753"/>
      <c r="Z162" s="753"/>
      <c r="AA162" s="753"/>
      <c r="AB162" s="753"/>
      <c r="AC162" s="753"/>
      <c r="AD162" s="753"/>
      <c r="AE162" s="519"/>
      <c r="AF162" s="542"/>
      <c r="AG162" s="529"/>
      <c r="AH162" s="757"/>
      <c r="AI162" s="757"/>
      <c r="AJ162" s="757"/>
      <c r="AK162" s="757"/>
      <c r="AL162" s="542"/>
      <c r="AM162" s="529"/>
      <c r="AO162" s="542"/>
      <c r="AP162" s="529"/>
      <c r="AQ162" s="529"/>
      <c r="AR162" s="529"/>
      <c r="AT162" s="7"/>
      <c r="AV162" s="6"/>
      <c r="AW162" s="6"/>
      <c r="AX162" s="6"/>
      <c r="AY162" s="6"/>
      <c r="AZ162" s="6"/>
      <c r="BA162" s="6"/>
    </row>
    <row r="163" spans="1:54" x14ac:dyDescent="0.35">
      <c r="A163" s="5"/>
      <c r="B163" s="529"/>
      <c r="C163" s="529"/>
      <c r="D163" s="519"/>
      <c r="E163" s="529"/>
      <c r="F163" s="529"/>
      <c r="G163" s="519"/>
      <c r="H163" s="529"/>
      <c r="I163" s="529"/>
      <c r="J163" s="519"/>
      <c r="K163" s="529"/>
      <c r="L163" s="529"/>
      <c r="M163" s="519"/>
      <c r="N163" s="529"/>
      <c r="O163" s="529"/>
      <c r="P163" s="519"/>
      <c r="Q163" s="529"/>
      <c r="R163" s="529"/>
      <c r="S163" s="519"/>
      <c r="T163" s="529"/>
      <c r="U163" s="529"/>
      <c r="V163" s="519"/>
      <c r="W163" s="529"/>
      <c r="X163" s="529"/>
      <c r="Y163" s="519"/>
      <c r="Z163" s="529"/>
      <c r="AA163" s="529"/>
      <c r="AC163" s="529"/>
      <c r="AD163" s="529"/>
      <c r="AE163" s="519"/>
      <c r="AF163" s="529"/>
      <c r="AG163" s="529"/>
      <c r="AT163" s="7"/>
    </row>
    <row r="164" spans="1:54" x14ac:dyDescent="0.35">
      <c r="A164" s="5"/>
      <c r="B164" s="700"/>
      <c r="C164" s="700"/>
      <c r="D164" s="519"/>
      <c r="E164" s="735"/>
      <c r="F164" s="735"/>
      <c r="G164" s="519"/>
      <c r="H164" s="735"/>
      <c r="I164" s="735"/>
      <c r="J164" s="519"/>
      <c r="K164" s="735"/>
      <c r="L164" s="735"/>
      <c r="M164" s="519"/>
      <c r="N164" s="735"/>
      <c r="O164" s="735"/>
      <c r="P164" s="519"/>
      <c r="Q164" s="735"/>
      <c r="R164" s="735"/>
      <c r="S164" s="519"/>
      <c r="T164" s="735"/>
      <c r="U164" s="735"/>
      <c r="V164" s="519"/>
      <c r="W164" s="735"/>
      <c r="X164" s="735"/>
      <c r="Y164" s="519"/>
      <c r="Z164" s="700"/>
      <c r="AA164" s="700"/>
      <c r="AB164" s="519"/>
      <c r="AC164" s="700"/>
      <c r="AD164" s="700"/>
      <c r="AE164" s="701"/>
      <c r="AF164" s="701"/>
      <c r="AG164" s="701"/>
      <c r="AH164" s="701"/>
      <c r="AI164" s="711"/>
      <c r="AJ164" s="711"/>
      <c r="AL164" s="711"/>
      <c r="AM164" s="711"/>
      <c r="AO164" s="711"/>
      <c r="AP164" s="711"/>
      <c r="AQ164" s="10"/>
      <c r="AR164" s="10"/>
      <c r="AT164" s="7"/>
    </row>
    <row r="165" spans="1:54" x14ac:dyDescent="0.35">
      <c r="A165" s="5"/>
      <c r="B165" s="11"/>
      <c r="C165" s="12"/>
      <c r="D165" s="513"/>
      <c r="E165" s="11"/>
      <c r="F165" s="12"/>
      <c r="G165" s="513"/>
      <c r="H165" s="11"/>
      <c r="I165" s="12"/>
      <c r="J165" s="513"/>
      <c r="K165" s="11"/>
      <c r="L165" s="12"/>
      <c r="M165" s="513"/>
      <c r="N165" s="11"/>
      <c r="O165" s="12"/>
      <c r="P165" s="513"/>
      <c r="Q165" s="11"/>
      <c r="R165" s="12"/>
      <c r="S165" s="513"/>
      <c r="T165" s="11"/>
      <c r="U165" s="12"/>
      <c r="V165" s="513"/>
      <c r="W165" s="740" t="s">
        <v>396</v>
      </c>
      <c r="X165" s="741"/>
      <c r="Y165" s="513"/>
      <c r="Z165" s="11"/>
      <c r="AA165" s="12"/>
      <c r="AB165" s="529"/>
      <c r="AC165" s="744" t="s">
        <v>396</v>
      </c>
      <c r="AD165" s="745"/>
      <c r="AE165" s="513"/>
      <c r="AF165" s="11"/>
      <c r="AG165" s="12"/>
      <c r="AH165" s="510"/>
      <c r="AI165" s="11"/>
      <c r="AJ165" s="12"/>
      <c r="AK165" s="510"/>
      <c r="AL165" s="11"/>
      <c r="AM165" s="12"/>
      <c r="AN165" s="510"/>
      <c r="AO165" s="736" t="s">
        <v>397</v>
      </c>
      <c r="AP165" s="737"/>
      <c r="AQ165" s="540"/>
      <c r="AR165" s="540"/>
      <c r="AS165" s="510"/>
      <c r="AT165" s="212"/>
    </row>
    <row r="166" spans="1:54" x14ac:dyDescent="0.35">
      <c r="A166" s="5"/>
      <c r="B166" s="15"/>
      <c r="C166" s="15"/>
      <c r="D166" s="513"/>
      <c r="E166" s="15"/>
      <c r="F166" s="15"/>
      <c r="G166" s="513"/>
      <c r="H166" s="15"/>
      <c r="I166" s="15"/>
      <c r="J166" s="513"/>
      <c r="K166" s="15"/>
      <c r="L166" s="15"/>
      <c r="M166" s="513"/>
      <c r="N166" s="15"/>
      <c r="O166" s="15"/>
      <c r="P166" s="513"/>
      <c r="Q166" s="15"/>
      <c r="R166" s="15"/>
      <c r="S166" s="513"/>
      <c r="T166" s="15"/>
      <c r="U166" s="15"/>
      <c r="V166" s="513"/>
      <c r="W166" s="742"/>
      <c r="X166" s="743"/>
      <c r="Y166" s="519"/>
      <c r="Z166" s="15"/>
      <c r="AA166" s="15"/>
      <c r="AB166" s="534"/>
      <c r="AC166" s="746"/>
      <c r="AD166" s="747"/>
      <c r="AE166" s="519"/>
      <c r="AF166" s="15"/>
      <c r="AG166" s="15"/>
      <c r="AH166" s="510"/>
      <c r="AI166" s="15"/>
      <c r="AJ166" s="15"/>
      <c r="AL166" s="15"/>
      <c r="AM166" s="15"/>
      <c r="AO166" s="738"/>
      <c r="AP166" s="739"/>
      <c r="AQ166" s="540"/>
      <c r="AR166" s="540"/>
      <c r="AS166" s="510"/>
      <c r="AT166" s="212"/>
      <c r="AV166" s="2">
        <v>12</v>
      </c>
      <c r="AW166" s="2">
        <v>11</v>
      </c>
      <c r="AX166" s="2">
        <v>7</v>
      </c>
      <c r="AY166" s="2">
        <v>0</v>
      </c>
      <c r="AZ166" s="2"/>
      <c r="BA166" s="2"/>
      <c r="BB166" s="405">
        <f>+A167+D167+G167+J167+M167+P167+S167+V167+Y167+AB167+AE167+AH167+AK167+AN167+AQ167</f>
        <v>5440.0609999999997</v>
      </c>
    </row>
    <row r="167" spans="1:54" x14ac:dyDescent="0.35">
      <c r="A167" s="5"/>
      <c r="B167" s="711" t="s">
        <v>23</v>
      </c>
      <c r="C167" s="711"/>
      <c r="D167" s="362">
        <v>339.06099999999998</v>
      </c>
      <c r="E167" s="714" t="s">
        <v>115</v>
      </c>
      <c r="F167" s="712"/>
      <c r="G167" s="513">
        <v>383</v>
      </c>
      <c r="H167" s="712" t="s">
        <v>16</v>
      </c>
      <c r="I167" s="712"/>
      <c r="J167" s="513">
        <v>400</v>
      </c>
      <c r="K167" s="714" t="s">
        <v>40</v>
      </c>
      <c r="L167" s="712"/>
      <c r="M167" s="513">
        <v>386</v>
      </c>
      <c r="N167" s="714" t="s">
        <v>14</v>
      </c>
      <c r="O167" s="712"/>
      <c r="P167" s="513">
        <v>393</v>
      </c>
      <c r="Q167" s="714" t="s">
        <v>31</v>
      </c>
      <c r="R167" s="712"/>
      <c r="S167" s="513">
        <v>422</v>
      </c>
      <c r="T167" s="717" t="s">
        <v>16</v>
      </c>
      <c r="U167" s="712"/>
      <c r="V167" s="513">
        <v>408</v>
      </c>
      <c r="W167" s="717" t="s">
        <v>14</v>
      </c>
      <c r="X167" s="712"/>
      <c r="Y167" s="519">
        <v>370</v>
      </c>
      <c r="Z167" s="699" t="s">
        <v>23</v>
      </c>
      <c r="AA167" s="700"/>
      <c r="AB167" s="362">
        <v>345</v>
      </c>
      <c r="AC167" s="714" t="s">
        <v>31</v>
      </c>
      <c r="AD167" s="712"/>
      <c r="AE167" s="362">
        <v>352</v>
      </c>
      <c r="AF167" s="699" t="s">
        <v>23</v>
      </c>
      <c r="AG167" s="700"/>
      <c r="AH167" s="510">
        <v>440</v>
      </c>
      <c r="AI167" s="704" t="s">
        <v>35</v>
      </c>
      <c r="AJ167" s="700"/>
      <c r="AK167" s="6">
        <v>380</v>
      </c>
      <c r="AL167" s="699" t="s">
        <v>23</v>
      </c>
      <c r="AM167" s="700"/>
      <c r="AN167" s="6">
        <v>416</v>
      </c>
      <c r="AO167" s="711" t="s">
        <v>20</v>
      </c>
      <c r="AP167" s="711"/>
      <c r="AQ167" s="516">
        <v>406</v>
      </c>
      <c r="AR167" s="10"/>
      <c r="AS167" s="510"/>
      <c r="AT167" s="212"/>
    </row>
    <row r="168" spans="1:54" x14ac:dyDescent="0.35">
      <c r="A168" s="5"/>
      <c r="B168" s="700" t="s">
        <v>318</v>
      </c>
      <c r="C168" s="700"/>
      <c r="D168" s="519"/>
      <c r="E168" s="700" t="s">
        <v>319</v>
      </c>
      <c r="F168" s="700"/>
      <c r="G168" s="519"/>
      <c r="H168" s="700" t="s">
        <v>320</v>
      </c>
      <c r="I168" s="700"/>
      <c r="J168" s="519"/>
      <c r="K168" s="700" t="s">
        <v>321</v>
      </c>
      <c r="L168" s="700"/>
      <c r="M168" s="519"/>
      <c r="N168" s="700" t="s">
        <v>322</v>
      </c>
      <c r="O168" s="700"/>
      <c r="P168" s="519"/>
      <c r="Q168" s="700" t="s">
        <v>323</v>
      </c>
      <c r="R168" s="700"/>
      <c r="S168" s="519"/>
      <c r="T168" s="700" t="s">
        <v>324</v>
      </c>
      <c r="U168" s="700"/>
      <c r="V168" s="519"/>
      <c r="W168" s="700" t="s">
        <v>325</v>
      </c>
      <c r="X168" s="700"/>
      <c r="Y168" s="519"/>
      <c r="Z168" s="700" t="s">
        <v>326</v>
      </c>
      <c r="AA168" s="700"/>
      <c r="AB168" s="519"/>
      <c r="AC168" s="700" t="s">
        <v>327</v>
      </c>
      <c r="AD168" s="700"/>
      <c r="AE168" s="519"/>
      <c r="AF168" s="700" t="s">
        <v>328</v>
      </c>
      <c r="AG168" s="700"/>
      <c r="AI168" s="700" t="s">
        <v>329</v>
      </c>
      <c r="AJ168" s="700"/>
      <c r="AL168" s="700" t="s">
        <v>330</v>
      </c>
      <c r="AM168" s="700"/>
      <c r="AO168" s="700" t="s">
        <v>331</v>
      </c>
      <c r="AP168" s="700"/>
      <c r="AR168" s="516"/>
      <c r="AT168" s="7"/>
    </row>
    <row r="169" spans="1:54" x14ac:dyDescent="0.35">
      <c r="A169" s="5"/>
      <c r="B169" s="522" t="s">
        <v>359</v>
      </c>
      <c r="C169" s="532"/>
      <c r="D169" s="533"/>
      <c r="E169" s="532"/>
      <c r="F169" s="522" t="s">
        <v>359</v>
      </c>
      <c r="G169" s="533"/>
      <c r="H169" s="532"/>
      <c r="I169" s="522" t="s">
        <v>359</v>
      </c>
      <c r="J169" s="533"/>
      <c r="K169" s="532"/>
      <c r="L169" s="522" t="s">
        <v>359</v>
      </c>
      <c r="M169" s="533"/>
      <c r="N169" s="532"/>
      <c r="O169" s="522" t="s">
        <v>359</v>
      </c>
      <c r="P169" s="533"/>
      <c r="Q169" s="532"/>
      <c r="R169" s="522" t="s">
        <v>359</v>
      </c>
      <c r="S169" s="533"/>
      <c r="T169" s="532"/>
      <c r="U169" s="522" t="s">
        <v>359</v>
      </c>
      <c r="V169" s="533"/>
      <c r="W169" s="532"/>
      <c r="X169" s="522" t="s">
        <v>359</v>
      </c>
      <c r="Y169" s="533"/>
      <c r="Z169" s="532"/>
      <c r="AA169" s="522" t="s">
        <v>359</v>
      </c>
      <c r="AB169" s="533"/>
      <c r="AC169" s="532"/>
      <c r="AD169" s="522" t="s">
        <v>359</v>
      </c>
      <c r="AE169" s="533"/>
      <c r="AF169" s="532"/>
      <c r="AG169" s="522" t="s">
        <v>359</v>
      </c>
      <c r="AH169" s="546"/>
      <c r="AI169" s="532"/>
      <c r="AJ169" s="522" t="s">
        <v>359</v>
      </c>
      <c r="AK169" s="546"/>
      <c r="AL169" s="532"/>
      <c r="AM169" s="522" t="s">
        <v>359</v>
      </c>
      <c r="AN169" s="546"/>
      <c r="AO169" s="532"/>
      <c r="AP169" s="522" t="s">
        <v>359</v>
      </c>
      <c r="AQ169" s="522"/>
      <c r="AR169" s="522"/>
      <c r="AT169" s="7"/>
    </row>
    <row r="170" spans="1:54" x14ac:dyDescent="0.35">
      <c r="A170" s="5"/>
      <c r="B170" s="516"/>
      <c r="C170" s="516"/>
      <c r="D170" s="513"/>
      <c r="E170" s="542"/>
      <c r="F170" s="516"/>
      <c r="G170" s="516"/>
      <c r="H170" s="542"/>
      <c r="I170" s="529"/>
      <c r="J170" s="513"/>
      <c r="K170" s="751"/>
      <c r="L170" s="751"/>
      <c r="M170" s="751"/>
      <c r="N170" s="751"/>
      <c r="O170" s="751"/>
      <c r="P170" s="751"/>
      <c r="Q170" s="751"/>
      <c r="R170" s="751"/>
      <c r="S170" s="513"/>
      <c r="T170" s="543"/>
      <c r="U170" s="544"/>
      <c r="V170" s="758" t="s">
        <v>403</v>
      </c>
      <c r="W170" s="758"/>
      <c r="X170" s="758"/>
      <c r="Y170" s="758"/>
      <c r="Z170" s="542"/>
      <c r="AA170" s="529"/>
      <c r="AB170" s="529"/>
      <c r="AC170" s="542"/>
      <c r="AD170" s="529"/>
      <c r="AE170" s="519"/>
      <c r="AF170" s="542"/>
      <c r="AG170" s="529"/>
      <c r="AI170" s="542"/>
      <c r="AJ170" s="529"/>
      <c r="AL170" s="542"/>
      <c r="AM170" s="529"/>
      <c r="AO170" s="542"/>
      <c r="AP170" s="529"/>
      <c r="AQ170" s="529"/>
      <c r="AR170" s="529"/>
      <c r="AT170" s="7"/>
      <c r="AV170" s="6"/>
      <c r="AW170" s="6"/>
      <c r="AX170" s="6"/>
      <c r="AY170" s="6"/>
      <c r="AZ170" s="6"/>
      <c r="BA170" s="6"/>
    </row>
    <row r="171" spans="1:54" x14ac:dyDescent="0.35">
      <c r="A171" s="5"/>
      <c r="B171" s="529"/>
      <c r="C171" s="529"/>
      <c r="D171" s="519"/>
      <c r="E171" s="529"/>
      <c r="F171" s="529"/>
      <c r="G171" s="519"/>
      <c r="H171" s="529"/>
      <c r="I171" s="529"/>
      <c r="J171" s="519"/>
      <c r="K171" s="529"/>
      <c r="L171" s="529"/>
      <c r="M171" s="519"/>
      <c r="N171" s="529"/>
      <c r="O171" s="529"/>
      <c r="P171" s="519"/>
      <c r="Q171" s="529"/>
      <c r="R171" s="529"/>
      <c r="S171" s="519"/>
      <c r="T171" s="529"/>
      <c r="U171" s="529"/>
      <c r="V171" s="519"/>
      <c r="W171" s="529"/>
      <c r="X171" s="529"/>
      <c r="Y171" s="519"/>
      <c r="Z171" s="529"/>
      <c r="AA171" s="529"/>
      <c r="AC171" s="529"/>
      <c r="AD171" s="529"/>
      <c r="AE171" s="519"/>
      <c r="AF171" s="529"/>
      <c r="AG171" s="529"/>
      <c r="AT171" s="7"/>
    </row>
    <row r="172" spans="1:54" x14ac:dyDescent="0.35">
      <c r="A172" s="5"/>
      <c r="B172" s="700"/>
      <c r="C172" s="700"/>
      <c r="D172" s="519"/>
      <c r="E172" s="735"/>
      <c r="F172" s="735"/>
      <c r="G172" s="519"/>
      <c r="H172" s="735"/>
      <c r="I172" s="735"/>
      <c r="J172" s="519"/>
      <c r="K172" s="735"/>
      <c r="L172" s="735"/>
      <c r="M172" s="519"/>
      <c r="N172" s="735"/>
      <c r="O172" s="735"/>
      <c r="P172" s="519"/>
      <c r="Q172" s="735"/>
      <c r="R172" s="735"/>
      <c r="S172" s="519"/>
      <c r="T172" s="735"/>
      <c r="U172" s="735"/>
      <c r="V172" s="519"/>
      <c r="W172" s="735"/>
      <c r="X172" s="735"/>
      <c r="Y172" s="519"/>
      <c r="Z172" s="700"/>
      <c r="AA172" s="700"/>
      <c r="AB172" s="519"/>
      <c r="AC172" s="700"/>
      <c r="AD172" s="700"/>
      <c r="AE172" s="701"/>
      <c r="AF172" s="701"/>
      <c r="AG172" s="701"/>
      <c r="AH172" s="701"/>
      <c r="AI172" s="711"/>
      <c r="AJ172" s="711"/>
      <c r="AL172" s="711"/>
      <c r="AM172" s="711"/>
      <c r="AO172" s="711"/>
      <c r="AP172" s="711"/>
      <c r="AQ172" s="10"/>
      <c r="AR172" s="10"/>
      <c r="AT172" s="7"/>
    </row>
    <row r="173" spans="1:54" x14ac:dyDescent="0.35">
      <c r="A173" s="5"/>
      <c r="B173" s="11"/>
      <c r="C173" s="12"/>
      <c r="D173" s="513"/>
      <c r="E173" s="11"/>
      <c r="F173" s="12"/>
      <c r="G173" s="513"/>
      <c r="H173" s="736" t="s">
        <v>397</v>
      </c>
      <c r="I173" s="737"/>
      <c r="J173" s="513"/>
      <c r="K173" s="11"/>
      <c r="L173" s="12"/>
      <c r="M173" s="513"/>
      <c r="N173" s="11"/>
      <c r="O173" s="12"/>
      <c r="P173" s="513"/>
      <c r="Q173" s="11"/>
      <c r="R173" s="12"/>
      <c r="S173" s="513"/>
      <c r="T173" s="11"/>
      <c r="U173" s="12"/>
      <c r="V173" s="513"/>
      <c r="W173" s="11"/>
      <c r="X173" s="12"/>
      <c r="Y173" s="513"/>
      <c r="Z173" s="11"/>
      <c r="AA173" s="12"/>
      <c r="AB173" s="529"/>
      <c r="AC173" s="11"/>
      <c r="AD173" s="12"/>
      <c r="AE173" s="513"/>
      <c r="AF173" s="11"/>
      <c r="AG173" s="12"/>
      <c r="AH173" s="510"/>
      <c r="AI173" s="11"/>
      <c r="AJ173" s="12"/>
      <c r="AK173" s="510"/>
      <c r="AL173" s="11"/>
      <c r="AM173" s="12"/>
      <c r="AN173" s="510"/>
      <c r="AO173" s="736" t="s">
        <v>397</v>
      </c>
      <c r="AP173" s="737"/>
      <c r="AQ173" s="540"/>
      <c r="AR173" s="540"/>
      <c r="AS173" s="510"/>
      <c r="AT173" s="212"/>
    </row>
    <row r="174" spans="1:54" x14ac:dyDescent="0.35">
      <c r="A174" s="5"/>
      <c r="B174" s="15"/>
      <c r="C174" s="15"/>
      <c r="D174" s="513"/>
      <c r="E174" s="15"/>
      <c r="F174" s="15"/>
      <c r="G174" s="513"/>
      <c r="H174" s="738"/>
      <c r="I174" s="739"/>
      <c r="J174" s="513"/>
      <c r="K174" s="15"/>
      <c r="L174" s="15"/>
      <c r="M174" s="513"/>
      <c r="N174" s="15"/>
      <c r="O174" s="15"/>
      <c r="P174" s="513"/>
      <c r="Q174" s="15"/>
      <c r="R174" s="15"/>
      <c r="S174" s="513"/>
      <c r="T174" s="15"/>
      <c r="U174" s="15"/>
      <c r="V174" s="513"/>
      <c r="W174" s="15"/>
      <c r="X174" s="15"/>
      <c r="Y174" s="519"/>
      <c r="Z174" s="15"/>
      <c r="AA174" s="15"/>
      <c r="AB174" s="534"/>
      <c r="AC174" s="15"/>
      <c r="AD174" s="15"/>
      <c r="AE174" s="519"/>
      <c r="AF174" s="15"/>
      <c r="AG174" s="15"/>
      <c r="AH174" s="510"/>
      <c r="AI174" s="15"/>
      <c r="AJ174" s="15"/>
      <c r="AL174" s="15"/>
      <c r="AM174" s="15"/>
      <c r="AO174" s="738"/>
      <c r="AP174" s="739"/>
      <c r="AQ174" s="540"/>
      <c r="AR174" s="540"/>
      <c r="AS174" s="510"/>
      <c r="AT174" s="212"/>
      <c r="AV174" s="2">
        <v>12</v>
      </c>
      <c r="AW174" s="2">
        <v>8</v>
      </c>
      <c r="AX174" s="2">
        <v>10</v>
      </c>
      <c r="AY174" s="2">
        <v>0</v>
      </c>
      <c r="AZ174" s="2"/>
      <c r="BA174" s="2"/>
      <c r="BB174" s="405">
        <f>+A175+D175+G175+J175+M175+P175+S175+V175+Y175+AB175+AE175+AH175+AK175+AN175+AQ175</f>
        <v>5577.2479999999996</v>
      </c>
    </row>
    <row r="175" spans="1:54" x14ac:dyDescent="0.35">
      <c r="A175" s="5"/>
      <c r="B175" s="712" t="s">
        <v>16</v>
      </c>
      <c r="C175" s="712"/>
      <c r="D175" s="513">
        <v>433</v>
      </c>
      <c r="E175" s="714" t="s">
        <v>28</v>
      </c>
      <c r="F175" s="712"/>
      <c r="G175" s="362">
        <v>353.24799999999999</v>
      </c>
      <c r="H175" s="712" t="s">
        <v>16</v>
      </c>
      <c r="I175" s="712"/>
      <c r="J175" s="362">
        <v>407</v>
      </c>
      <c r="K175" s="714" t="s">
        <v>14</v>
      </c>
      <c r="L175" s="712"/>
      <c r="M175" s="362">
        <v>416</v>
      </c>
      <c r="N175" s="714" t="s">
        <v>16</v>
      </c>
      <c r="O175" s="712"/>
      <c r="P175" s="513">
        <v>373</v>
      </c>
      <c r="Q175" s="714" t="s">
        <v>23</v>
      </c>
      <c r="R175" s="712"/>
      <c r="S175" s="513">
        <v>389</v>
      </c>
      <c r="T175" s="717" t="s">
        <v>33</v>
      </c>
      <c r="U175" s="712"/>
      <c r="V175" s="513">
        <v>399</v>
      </c>
      <c r="W175" s="717" t="s">
        <v>14</v>
      </c>
      <c r="X175" s="712"/>
      <c r="Y175" s="519">
        <v>412</v>
      </c>
      <c r="Z175" s="699" t="s">
        <v>16</v>
      </c>
      <c r="AA175" s="700"/>
      <c r="AB175" s="534">
        <v>418</v>
      </c>
      <c r="AC175" s="699" t="s">
        <v>23</v>
      </c>
      <c r="AD175" s="699"/>
      <c r="AE175" s="519">
        <v>394</v>
      </c>
      <c r="AF175" s="699" t="s">
        <v>236</v>
      </c>
      <c r="AG175" s="700"/>
      <c r="AH175" s="510">
        <v>399</v>
      </c>
      <c r="AI175" s="749" t="s">
        <v>23</v>
      </c>
      <c r="AJ175" s="711"/>
      <c r="AK175" s="362">
        <v>348</v>
      </c>
      <c r="AL175" s="749" t="s">
        <v>23</v>
      </c>
      <c r="AM175" s="711"/>
      <c r="AN175" s="6">
        <v>358</v>
      </c>
      <c r="AO175" s="711" t="s">
        <v>20</v>
      </c>
      <c r="AP175" s="711"/>
      <c r="AQ175" s="10">
        <v>478</v>
      </c>
      <c r="AR175" s="10"/>
      <c r="AS175" s="510"/>
      <c r="AT175" s="212"/>
    </row>
    <row r="176" spans="1:54" x14ac:dyDescent="0.35">
      <c r="A176" s="5"/>
      <c r="B176" s="700" t="s">
        <v>332</v>
      </c>
      <c r="C176" s="700"/>
      <c r="D176" s="519"/>
      <c r="E176" s="700" t="s">
        <v>333</v>
      </c>
      <c r="F176" s="700"/>
      <c r="G176" s="519"/>
      <c r="H176" s="700" t="s">
        <v>334</v>
      </c>
      <c r="I176" s="700"/>
      <c r="J176" s="519"/>
      <c r="K176" s="700" t="s">
        <v>335</v>
      </c>
      <c r="L176" s="700"/>
      <c r="M176" s="519"/>
      <c r="N176" s="700" t="s">
        <v>336</v>
      </c>
      <c r="O176" s="700"/>
      <c r="P176" s="519"/>
      <c r="Q176" s="700" t="s">
        <v>337</v>
      </c>
      <c r="R176" s="700"/>
      <c r="S176" s="519"/>
      <c r="T176" s="700" t="s">
        <v>338</v>
      </c>
      <c r="U176" s="700"/>
      <c r="V176" s="519"/>
      <c r="W176" s="700" t="s">
        <v>339</v>
      </c>
      <c r="X176" s="700"/>
      <c r="Y176" s="519"/>
      <c r="Z176" s="700" t="s">
        <v>340</v>
      </c>
      <c r="AA176" s="700"/>
      <c r="AB176" s="519"/>
      <c r="AC176" s="700" t="s">
        <v>341</v>
      </c>
      <c r="AD176" s="700"/>
      <c r="AE176" s="519"/>
      <c r="AF176" s="700" t="s">
        <v>342</v>
      </c>
      <c r="AG176" s="700"/>
      <c r="AI176" s="700" t="s">
        <v>343</v>
      </c>
      <c r="AJ176" s="700"/>
      <c r="AL176" s="700" t="s">
        <v>344</v>
      </c>
      <c r="AM176" s="700"/>
      <c r="AO176" s="700" t="s">
        <v>345</v>
      </c>
      <c r="AP176" s="700"/>
      <c r="AQ176" s="516"/>
      <c r="AR176" s="516"/>
      <c r="AT176" s="7"/>
    </row>
    <row r="177" spans="1:54" x14ac:dyDescent="0.35">
      <c r="A177" s="5"/>
      <c r="B177" s="522" t="s">
        <v>359</v>
      </c>
      <c r="C177" s="532"/>
      <c r="D177" s="533"/>
      <c r="E177" s="532"/>
      <c r="F177" s="522" t="s">
        <v>359</v>
      </c>
      <c r="G177" s="533"/>
      <c r="H177" s="532"/>
      <c r="I177" s="522" t="s">
        <v>359</v>
      </c>
      <c r="J177" s="533"/>
      <c r="K177" s="532"/>
      <c r="L177" s="522" t="s">
        <v>359</v>
      </c>
      <c r="M177" s="533"/>
      <c r="N177" s="532"/>
      <c r="O177" s="522" t="s">
        <v>359</v>
      </c>
      <c r="P177" s="533"/>
      <c r="Q177" s="532"/>
      <c r="R177" s="522" t="s">
        <v>359</v>
      </c>
      <c r="S177" s="533"/>
      <c r="T177" s="532"/>
      <c r="U177" s="522" t="s">
        <v>359</v>
      </c>
      <c r="V177" s="533"/>
      <c r="W177" s="532"/>
      <c r="X177" s="522" t="s">
        <v>359</v>
      </c>
      <c r="Y177" s="533"/>
      <c r="Z177" s="532"/>
      <c r="AA177" s="522" t="s">
        <v>359</v>
      </c>
      <c r="AB177" s="533"/>
      <c r="AC177" s="532"/>
      <c r="AD177" s="522" t="s">
        <v>359</v>
      </c>
      <c r="AE177" s="533"/>
      <c r="AF177" s="532"/>
      <c r="AG177" s="522" t="s">
        <v>359</v>
      </c>
      <c r="AH177" s="546"/>
      <c r="AI177" s="532"/>
      <c r="AJ177" s="522" t="s">
        <v>359</v>
      </c>
      <c r="AK177" s="546"/>
      <c r="AL177" s="532"/>
      <c r="AM177" s="522" t="s">
        <v>359</v>
      </c>
      <c r="AN177" s="546"/>
      <c r="AO177" s="532"/>
      <c r="AP177" s="522" t="s">
        <v>359</v>
      </c>
      <c r="AQ177" s="522"/>
      <c r="AR177" s="522"/>
      <c r="AT177" s="7"/>
    </row>
    <row r="178" spans="1:54" x14ac:dyDescent="0.35">
      <c r="A178" s="759" t="s">
        <v>403</v>
      </c>
      <c r="B178" s="748"/>
      <c r="C178" s="748"/>
      <c r="D178" s="748"/>
      <c r="E178" s="542"/>
      <c r="F178" s="516"/>
      <c r="G178" s="516"/>
      <c r="H178" s="542"/>
      <c r="I178" s="529"/>
      <c r="J178" s="513"/>
      <c r="K178" s="543"/>
      <c r="L178" s="544"/>
      <c r="M178" s="513"/>
      <c r="N178" s="543"/>
      <c r="O178" s="544"/>
      <c r="P178" s="513"/>
      <c r="Q178" s="543"/>
      <c r="R178" s="544"/>
      <c r="S178" s="513"/>
      <c r="T178" s="543"/>
      <c r="U178" s="544"/>
      <c r="V178" s="513"/>
      <c r="W178" s="542"/>
      <c r="X178" s="529"/>
      <c r="Y178" s="519"/>
      <c r="Z178" s="542"/>
      <c r="AA178" s="529"/>
      <c r="AB178" s="529"/>
      <c r="AC178" s="542"/>
      <c r="AD178" s="529"/>
      <c r="AE178" s="519"/>
      <c r="AF178" s="542"/>
      <c r="AG178" s="529"/>
      <c r="AI178" s="542"/>
      <c r="AJ178" s="529"/>
      <c r="AL178" s="542"/>
      <c r="AM178" s="529"/>
      <c r="AO178" s="542"/>
      <c r="AP178" s="529"/>
      <c r="AQ178" s="529"/>
      <c r="AR178" s="529"/>
      <c r="AT178" s="7"/>
      <c r="AV178" s="6"/>
      <c r="AW178" s="6"/>
      <c r="AX178" s="6"/>
      <c r="AY178" s="6"/>
      <c r="AZ178" s="6"/>
      <c r="BA178" s="6"/>
    </row>
    <row r="179" spans="1:54" x14ac:dyDescent="0.35">
      <c r="A179" s="5"/>
      <c r="B179" s="529"/>
      <c r="C179" s="529"/>
      <c r="D179" s="519"/>
      <c r="E179" s="529"/>
      <c r="F179" s="529"/>
      <c r="G179" s="519"/>
      <c r="H179" s="529"/>
      <c r="I179" s="529"/>
      <c r="J179" s="519"/>
      <c r="K179" s="529"/>
      <c r="L179" s="529"/>
      <c r="M179" s="519"/>
      <c r="N179" s="529"/>
      <c r="O179" s="529"/>
      <c r="P179" s="519"/>
      <c r="Q179" s="529"/>
      <c r="R179" s="529"/>
      <c r="S179" s="519"/>
      <c r="T179" s="529"/>
      <c r="U179" s="529"/>
      <c r="V179" s="519"/>
      <c r="W179" s="529"/>
      <c r="X179" s="529"/>
      <c r="Y179" s="519"/>
      <c r="Z179" s="529"/>
      <c r="AA179" s="529"/>
      <c r="AC179" s="529"/>
      <c r="AD179" s="529"/>
      <c r="AE179" s="519"/>
      <c r="AF179" s="529"/>
      <c r="AG179" s="529"/>
      <c r="AT179" s="7"/>
    </row>
    <row r="180" spans="1:54" x14ac:dyDescent="0.35">
      <c r="A180" s="5"/>
      <c r="B180" s="700"/>
      <c r="C180" s="700"/>
      <c r="D180" s="519"/>
      <c r="E180" s="735"/>
      <c r="F180" s="735"/>
      <c r="G180" s="519"/>
      <c r="H180" s="735"/>
      <c r="I180" s="735"/>
      <c r="J180" s="519"/>
      <c r="K180" s="735"/>
      <c r="L180" s="735"/>
      <c r="M180" s="519"/>
      <c r="N180" s="735"/>
      <c r="O180" s="735"/>
      <c r="P180" s="519"/>
      <c r="Q180" s="735"/>
      <c r="R180" s="735"/>
      <c r="S180" s="519"/>
      <c r="T180" s="735"/>
      <c r="U180" s="735"/>
      <c r="V180" s="519"/>
      <c r="W180" s="735"/>
      <c r="X180" s="735"/>
      <c r="Y180" s="519"/>
      <c r="Z180" s="700"/>
      <c r="AA180" s="700"/>
      <c r="AB180" s="519"/>
      <c r="AC180" s="700"/>
      <c r="AD180" s="700"/>
      <c r="AE180" s="701"/>
      <c r="AF180" s="701"/>
      <c r="AG180" s="701"/>
      <c r="AH180" s="701"/>
      <c r="AI180" s="697"/>
      <c r="AJ180" s="697"/>
      <c r="AL180" s="697"/>
      <c r="AM180" s="697"/>
      <c r="AO180" s="697"/>
      <c r="AP180" s="697"/>
      <c r="AQ180" s="10"/>
      <c r="AR180" s="10"/>
      <c r="AT180" s="7"/>
    </row>
    <row r="181" spans="1:54" x14ac:dyDescent="0.35">
      <c r="A181" s="5"/>
      <c r="B181" s="11"/>
      <c r="C181" s="12"/>
      <c r="D181" s="513"/>
      <c r="E181" s="8"/>
      <c r="F181" s="13"/>
      <c r="G181" s="513"/>
      <c r="H181" s="8"/>
      <c r="I181" s="13"/>
      <c r="J181" s="513"/>
      <c r="K181" s="8"/>
      <c r="L181" s="13"/>
      <c r="M181" s="513"/>
      <c r="N181" s="8"/>
      <c r="O181" s="13"/>
      <c r="P181" s="513"/>
      <c r="Q181" s="8"/>
      <c r="R181" s="13"/>
      <c r="S181" s="513"/>
      <c r="T181" s="8"/>
      <c r="U181" s="13"/>
      <c r="V181" s="513"/>
      <c r="W181" s="8"/>
      <c r="X181" s="13"/>
      <c r="Y181" s="513"/>
      <c r="Z181" s="8"/>
      <c r="AA181" s="13"/>
      <c r="AB181" s="529"/>
      <c r="AC181" s="8"/>
      <c r="AD181" s="13"/>
      <c r="AE181" s="513"/>
      <c r="AF181" s="8"/>
      <c r="AG181" s="13"/>
      <c r="AH181" s="510"/>
      <c r="AI181" s="8"/>
      <c r="AJ181" s="13"/>
      <c r="AK181" s="510"/>
      <c r="AL181" s="8"/>
      <c r="AM181" s="13"/>
      <c r="AN181" s="510"/>
      <c r="AO181" s="8"/>
      <c r="AP181" s="13"/>
      <c r="AQ181" s="511"/>
      <c r="AR181" s="511"/>
      <c r="AS181" s="510"/>
      <c r="AT181" s="212"/>
    </row>
    <row r="182" spans="1:54" x14ac:dyDescent="0.35">
      <c r="A182" s="5"/>
      <c r="B182" s="15"/>
      <c r="C182" s="15"/>
      <c r="D182" s="513"/>
      <c r="E182" s="406"/>
      <c r="F182" s="406"/>
      <c r="G182" s="513"/>
      <c r="H182" s="406"/>
      <c r="I182" s="406"/>
      <c r="J182" s="513"/>
      <c r="K182" s="406"/>
      <c r="L182" s="406"/>
      <c r="M182" s="513"/>
      <c r="N182" s="406"/>
      <c r="O182" s="406"/>
      <c r="P182" s="513"/>
      <c r="Q182" s="406"/>
      <c r="R182" s="406"/>
      <c r="S182" s="513"/>
      <c r="T182" s="406"/>
      <c r="U182" s="406"/>
      <c r="V182" s="513"/>
      <c r="W182" s="406"/>
      <c r="X182" s="406"/>
      <c r="Y182" s="519"/>
      <c r="Z182" s="406"/>
      <c r="AA182" s="406"/>
      <c r="AB182" s="534"/>
      <c r="AC182" s="406"/>
      <c r="AD182" s="406"/>
      <c r="AE182" s="519"/>
      <c r="AF182" s="406"/>
      <c r="AG182" s="406"/>
      <c r="AH182" s="510"/>
      <c r="AI182" s="406"/>
      <c r="AJ182" s="406"/>
      <c r="AL182" s="406"/>
      <c r="AM182" s="406"/>
      <c r="AO182" s="406"/>
      <c r="AP182" s="406"/>
      <c r="AQ182" s="542"/>
      <c r="AR182" s="542"/>
      <c r="AS182" s="510"/>
      <c r="AT182" s="212"/>
      <c r="AV182" s="2">
        <v>1</v>
      </c>
      <c r="AW182" s="2">
        <v>0</v>
      </c>
      <c r="AX182" s="2">
        <v>1</v>
      </c>
      <c r="AY182" s="2">
        <v>0</v>
      </c>
      <c r="AZ182" s="2"/>
      <c r="BA182" s="2"/>
      <c r="BB182" s="405">
        <f>+A183+D183+G183+J183+M183+P183+S183+V183+Y183+AB183+AE183+AH183+AK183+AN183+AQ183</f>
        <v>0</v>
      </c>
    </row>
    <row r="183" spans="1:54" x14ac:dyDescent="0.35">
      <c r="A183" s="5"/>
      <c r="B183" s="699" t="s">
        <v>236</v>
      </c>
      <c r="C183" s="700"/>
      <c r="D183" s="513"/>
      <c r="E183" s="714"/>
      <c r="F183" s="712"/>
      <c r="G183" s="513"/>
      <c r="H183" s="712"/>
      <c r="I183" s="712"/>
      <c r="J183" s="513"/>
      <c r="K183" s="714"/>
      <c r="L183" s="712"/>
      <c r="M183" s="513"/>
      <c r="N183" s="714"/>
      <c r="O183" s="712"/>
      <c r="P183" s="513"/>
      <c r="Q183" s="714"/>
      <c r="R183" s="712"/>
      <c r="S183" s="513"/>
      <c r="T183" s="717"/>
      <c r="U183" s="712"/>
      <c r="V183" s="513"/>
      <c r="W183" s="717"/>
      <c r="X183" s="712"/>
      <c r="Y183" s="519"/>
      <c r="Z183" s="699"/>
      <c r="AA183" s="700"/>
      <c r="AB183" s="534"/>
      <c r="AC183" s="699"/>
      <c r="AD183" s="699"/>
      <c r="AE183" s="519"/>
      <c r="AF183" s="714"/>
      <c r="AG183" s="714"/>
      <c r="AH183" s="510"/>
      <c r="AI183" s="760"/>
      <c r="AJ183" s="760"/>
      <c r="AL183" s="761"/>
      <c r="AM183" s="761"/>
      <c r="AO183" s="711"/>
      <c r="AP183" s="711"/>
      <c r="AQ183" s="10"/>
      <c r="AR183" s="10"/>
      <c r="AS183" s="510"/>
      <c r="AT183" s="212"/>
    </row>
    <row r="184" spans="1:54" x14ac:dyDescent="0.35">
      <c r="A184" s="5"/>
      <c r="B184" s="700" t="s">
        <v>346</v>
      </c>
      <c r="C184" s="700"/>
      <c r="D184" s="519"/>
      <c r="E184" s="700"/>
      <c r="F184" s="700"/>
      <c r="G184" s="519"/>
      <c r="H184" s="700"/>
      <c r="I184" s="700"/>
      <c r="J184" s="519"/>
      <c r="K184" s="700"/>
      <c r="L184" s="700"/>
      <c r="M184" s="519"/>
      <c r="N184" s="700"/>
      <c r="O184" s="700"/>
      <c r="P184" s="519"/>
      <c r="Q184" s="700"/>
      <c r="R184" s="700"/>
      <c r="S184" s="519"/>
      <c r="T184" s="700"/>
      <c r="U184" s="700"/>
      <c r="V184" s="519"/>
      <c r="W184" s="704"/>
      <c r="X184" s="700"/>
      <c r="Y184" s="519"/>
      <c r="Z184" s="700"/>
      <c r="AA184" s="700"/>
      <c r="AB184" s="519"/>
      <c r="AC184" s="700"/>
      <c r="AD184" s="700"/>
      <c r="AE184" s="519"/>
      <c r="AF184" s="700"/>
      <c r="AG184" s="700"/>
      <c r="AI184" s="749"/>
      <c r="AJ184" s="711"/>
      <c r="AL184" s="711"/>
      <c r="AM184" s="711"/>
      <c r="AO184" s="711"/>
      <c r="AP184" s="711"/>
      <c r="AQ184" s="10"/>
      <c r="AR184" s="10"/>
      <c r="AT184" s="7"/>
    </row>
    <row r="185" spans="1:54" x14ac:dyDescent="0.35">
      <c r="A185" s="5"/>
      <c r="B185" s="522" t="s">
        <v>359</v>
      </c>
      <c r="C185" s="532"/>
      <c r="D185" s="537"/>
      <c r="E185" s="538"/>
      <c r="F185" s="538"/>
      <c r="G185" s="537"/>
      <c r="H185" s="538"/>
      <c r="I185" s="538"/>
      <c r="J185" s="537"/>
      <c r="K185" s="538"/>
      <c r="L185" s="538"/>
      <c r="M185" s="537"/>
      <c r="N185" s="538"/>
      <c r="O185" s="538"/>
      <c r="P185" s="537"/>
      <c r="Q185" s="538"/>
      <c r="R185" s="538"/>
      <c r="S185" s="537"/>
      <c r="T185" s="538"/>
      <c r="U185" s="538"/>
      <c r="V185" s="537"/>
      <c r="W185" s="538"/>
      <c r="X185" s="538"/>
      <c r="Y185" s="537"/>
      <c r="Z185" s="538"/>
      <c r="AA185" s="538"/>
      <c r="AB185" s="537"/>
      <c r="AC185" s="538"/>
      <c r="AD185" s="538"/>
      <c r="AE185" s="537"/>
      <c r="AF185" s="538"/>
      <c r="AG185" s="538"/>
      <c r="AH185" s="539"/>
      <c r="AI185" s="538"/>
      <c r="AJ185" s="538"/>
      <c r="AK185" s="539"/>
      <c r="AL185" s="538"/>
      <c r="AM185" s="538"/>
      <c r="AN185" s="539"/>
      <c r="AO185" s="538"/>
      <c r="AP185" s="538"/>
      <c r="AQ185" s="538"/>
      <c r="AR185" s="538"/>
      <c r="AT185" s="7"/>
    </row>
    <row r="186" spans="1:54" x14ac:dyDescent="0.35">
      <c r="A186" s="5"/>
      <c r="B186" s="516"/>
      <c r="C186" s="516"/>
      <c r="D186" s="513"/>
      <c r="E186" s="542"/>
      <c r="F186" s="516"/>
      <c r="G186" s="516"/>
      <c r="H186" s="542"/>
      <c r="I186" s="529"/>
      <c r="J186" s="513"/>
      <c r="K186" s="543"/>
      <c r="L186" s="544"/>
      <c r="M186" s="513"/>
      <c r="N186" s="543"/>
      <c r="O186" s="544"/>
      <c r="P186" s="513"/>
      <c r="Q186" s="543"/>
      <c r="R186" s="544"/>
      <c r="S186" s="513"/>
      <c r="T186" s="543"/>
      <c r="U186" s="544"/>
      <c r="V186" s="513"/>
      <c r="W186" s="542"/>
      <c r="X186" s="529"/>
      <c r="Y186" s="519"/>
      <c r="Z186" s="542"/>
      <c r="AA186" s="529"/>
      <c r="AB186" s="529"/>
      <c r="AC186" s="542"/>
      <c r="AD186" s="529"/>
      <c r="AE186" s="519"/>
      <c r="AF186" s="542"/>
      <c r="AG186" s="529"/>
      <c r="AI186" s="542"/>
      <c r="AJ186" s="529"/>
      <c r="AL186" s="542"/>
      <c r="AM186" s="529"/>
      <c r="AO186" s="542"/>
      <c r="AP186" s="529"/>
      <c r="AQ186" s="529"/>
      <c r="AR186" s="529"/>
      <c r="AT186" s="7"/>
      <c r="AV186" s="6"/>
      <c r="AW186" s="6"/>
      <c r="AX186" s="6"/>
      <c r="AY186" s="6"/>
      <c r="AZ186" s="6"/>
      <c r="BA186" s="6"/>
    </row>
    <row r="187" spans="1:54" x14ac:dyDescent="0.35">
      <c r="A187" s="5"/>
      <c r="B187" s="516"/>
      <c r="C187" s="516"/>
      <c r="D187" s="513"/>
      <c r="E187" s="542"/>
      <c r="F187" s="516"/>
      <c r="G187" s="516"/>
      <c r="H187" s="542"/>
      <c r="I187" s="529"/>
      <c r="J187" s="513"/>
      <c r="K187" s="543"/>
      <c r="L187" s="544"/>
      <c r="M187" s="513"/>
      <c r="N187" s="543"/>
      <c r="O187" s="544"/>
      <c r="P187" s="513"/>
      <c r="Q187" s="543"/>
      <c r="R187" s="544"/>
      <c r="S187" s="513"/>
      <c r="T187" s="543"/>
      <c r="U187" s="544"/>
      <c r="V187" s="513"/>
      <c r="W187" s="542"/>
      <c r="X187" s="529"/>
      <c r="Y187" s="519"/>
      <c r="Z187" s="542"/>
      <c r="AA187" s="529"/>
      <c r="AB187" s="529"/>
      <c r="AC187" s="542"/>
      <c r="AD187" s="529"/>
      <c r="AE187" s="519"/>
      <c r="AF187" s="542"/>
      <c r="AG187" s="529"/>
      <c r="AI187" s="542"/>
      <c r="AJ187" s="529"/>
      <c r="AL187" s="542"/>
      <c r="AM187" s="529"/>
      <c r="AO187" s="542"/>
      <c r="AP187" s="529"/>
      <c r="AQ187" s="529"/>
      <c r="AR187" s="529"/>
      <c r="AT187" s="7"/>
      <c r="AV187" s="6"/>
      <c r="AW187" s="6"/>
      <c r="AX187" s="6"/>
      <c r="AY187" s="6"/>
      <c r="AZ187" s="6"/>
      <c r="BA187" s="6"/>
    </row>
    <row r="188" spans="1:54" x14ac:dyDescent="0.35">
      <c r="A188" s="5"/>
      <c r="B188" s="516"/>
      <c r="C188" s="516"/>
      <c r="D188" s="513"/>
      <c r="E188" s="542"/>
      <c r="F188" s="516"/>
      <c r="G188" s="516"/>
      <c r="H188" s="542"/>
      <c r="I188" s="529"/>
      <c r="J188" s="513"/>
      <c r="K188" s="543"/>
      <c r="L188" s="544"/>
      <c r="M188" s="513"/>
      <c r="N188" s="543"/>
      <c r="O188" s="544"/>
      <c r="P188" s="513"/>
      <c r="Q188" s="543"/>
      <c r="R188" s="544"/>
      <c r="S188" s="513"/>
      <c r="T188" s="543"/>
      <c r="U188" s="544"/>
      <c r="V188" s="513"/>
      <c r="W188" s="542"/>
      <c r="X188" s="529"/>
      <c r="Y188" s="519"/>
      <c r="Z188" s="542"/>
      <c r="AA188" s="529"/>
      <c r="AB188" s="529"/>
      <c r="AC188" s="542"/>
      <c r="AD188" s="529"/>
      <c r="AE188" s="519"/>
      <c r="AF188" s="542"/>
      <c r="AG188" s="529"/>
      <c r="AI188" s="542"/>
      <c r="AJ188" s="529"/>
      <c r="AL188" s="542"/>
      <c r="AM188" s="529"/>
      <c r="AO188" s="542"/>
      <c r="AP188" s="529"/>
      <c r="AQ188" s="529"/>
      <c r="AR188" s="529"/>
      <c r="AT188" s="7"/>
      <c r="AV188" s="6"/>
      <c r="AW188" s="6"/>
      <c r="AX188" s="6"/>
      <c r="AY188" s="6"/>
      <c r="AZ188" s="6"/>
      <c r="BA188" s="6"/>
    </row>
    <row r="189" spans="1:54" x14ac:dyDescent="0.35">
      <c r="A189" s="5"/>
      <c r="B189" s="516"/>
      <c r="C189" s="516"/>
      <c r="D189" s="513"/>
      <c r="E189" s="542"/>
      <c r="F189" s="516"/>
      <c r="G189" s="516"/>
      <c r="H189" s="542"/>
      <c r="I189" s="529"/>
      <c r="J189" s="513"/>
      <c r="K189" s="543"/>
      <c r="L189" s="544"/>
      <c r="M189" s="513"/>
      <c r="N189" s="543"/>
      <c r="O189" s="544"/>
      <c r="P189" s="513"/>
      <c r="Q189" s="543"/>
      <c r="R189" s="544"/>
      <c r="S189" s="513"/>
      <c r="T189" s="543"/>
      <c r="U189" s="544"/>
      <c r="V189" s="513"/>
      <c r="W189" s="542"/>
      <c r="X189" s="529"/>
      <c r="Y189" s="519"/>
      <c r="Z189" s="542"/>
      <c r="AA189" s="529"/>
      <c r="AB189" s="529"/>
      <c r="AC189" s="542"/>
      <c r="AD189" s="529"/>
      <c r="AE189" s="519"/>
      <c r="AF189" s="542"/>
      <c r="AG189" s="529"/>
      <c r="AI189" s="542"/>
      <c r="AJ189" s="529"/>
      <c r="AL189" s="542"/>
      <c r="AM189" s="529"/>
      <c r="AO189" s="542"/>
      <c r="AP189" s="529"/>
      <c r="AQ189" s="529"/>
      <c r="AR189" s="529"/>
      <c r="AT189" s="7"/>
      <c r="AV189" s="6"/>
      <c r="AW189" s="6"/>
      <c r="AX189" s="6"/>
      <c r="AY189" s="6"/>
      <c r="AZ189" s="6"/>
      <c r="BA189" s="6"/>
    </row>
    <row r="190" spans="1:54" x14ac:dyDescent="0.35">
      <c r="A190" s="5"/>
      <c r="B190" s="516"/>
      <c r="C190" s="516"/>
      <c r="D190" s="513"/>
      <c r="E190" s="542"/>
      <c r="F190" s="516"/>
      <c r="G190" s="516"/>
      <c r="H190" s="542"/>
      <c r="I190" s="529"/>
      <c r="J190" s="513"/>
      <c r="K190" s="543"/>
      <c r="L190" s="544"/>
      <c r="M190" s="513"/>
      <c r="N190" s="543"/>
      <c r="O190" s="544"/>
      <c r="P190" s="513"/>
      <c r="Q190" s="543"/>
      <c r="R190" s="544"/>
      <c r="S190" s="513"/>
      <c r="T190" s="543"/>
      <c r="U190" s="544"/>
      <c r="V190" s="513"/>
      <c r="W190" s="542"/>
      <c r="X190" s="529"/>
      <c r="Y190" s="519"/>
      <c r="Z190" s="542"/>
      <c r="AA190" s="529"/>
      <c r="AB190" s="529"/>
      <c r="AC190" s="542"/>
      <c r="AD190" s="529"/>
      <c r="AE190" s="519"/>
      <c r="AF190" s="542"/>
      <c r="AG190" s="529"/>
      <c r="AI190" s="542"/>
      <c r="AJ190" s="529"/>
      <c r="AL190" s="542"/>
      <c r="AM190" s="529"/>
      <c r="AO190" s="542"/>
      <c r="AP190" s="529"/>
      <c r="AQ190" s="529"/>
      <c r="AR190" s="529"/>
      <c r="AT190" s="7"/>
      <c r="AV190" s="6"/>
      <c r="AW190" s="6"/>
      <c r="AX190" s="6"/>
      <c r="AY190" s="6"/>
      <c r="AZ190" s="6"/>
      <c r="BA190" s="6"/>
    </row>
    <row r="191" spans="1:54" x14ac:dyDescent="0.35">
      <c r="A191" s="5"/>
      <c r="B191" s="516"/>
      <c r="C191" s="516"/>
      <c r="D191" s="513"/>
      <c r="E191" s="542"/>
      <c r="F191" s="516"/>
      <c r="G191" s="516"/>
      <c r="H191" s="542"/>
      <c r="I191" s="529"/>
      <c r="J191" s="513"/>
      <c r="K191" s="543"/>
      <c r="L191" s="544"/>
      <c r="M191" s="513"/>
      <c r="N191" s="543"/>
      <c r="O191" s="544"/>
      <c r="P191" s="513"/>
      <c r="Q191" s="543"/>
      <c r="R191" s="544"/>
      <c r="S191" s="513"/>
      <c r="T191" s="543"/>
      <c r="U191" s="544"/>
      <c r="V191" s="513"/>
      <c r="W191" s="542"/>
      <c r="X191" s="529"/>
      <c r="Y191" s="519"/>
      <c r="Z191" s="542"/>
      <c r="AA191" s="529"/>
      <c r="AB191" s="529"/>
      <c r="AC191" s="542"/>
      <c r="AD191" s="529"/>
      <c r="AE191" s="519"/>
      <c r="AF191" s="542"/>
      <c r="AG191" s="529"/>
      <c r="AI191" s="542"/>
      <c r="AJ191" s="529"/>
      <c r="AL191" s="542"/>
      <c r="AM191" s="529"/>
      <c r="AO191" s="542"/>
      <c r="AP191" s="529"/>
      <c r="AQ191" s="529"/>
      <c r="AR191" s="529"/>
      <c r="AT191" s="7"/>
      <c r="AV191" s="6"/>
      <c r="AW191" s="6"/>
      <c r="AX191" s="6"/>
      <c r="AY191" s="6"/>
      <c r="AZ191" s="6"/>
      <c r="BA191" s="6"/>
    </row>
    <row r="192" spans="1:54" x14ac:dyDescent="0.35">
      <c r="A192" s="5"/>
      <c r="B192" s="516"/>
      <c r="C192" s="516"/>
      <c r="D192" s="513"/>
      <c r="E192" s="542"/>
      <c r="F192" s="516"/>
      <c r="G192" s="516"/>
      <c r="H192" s="542"/>
      <c r="I192" s="529"/>
      <c r="J192" s="513"/>
      <c r="K192" s="543"/>
      <c r="L192" s="544"/>
      <c r="M192" s="513"/>
      <c r="N192" s="543"/>
      <c r="O192" s="544"/>
      <c r="P192" s="513"/>
      <c r="Q192" s="543"/>
      <c r="R192" s="544"/>
      <c r="S192" s="513"/>
      <c r="T192" s="543"/>
      <c r="U192" s="544"/>
      <c r="V192" s="513"/>
      <c r="W192" s="542"/>
      <c r="X192" s="529"/>
      <c r="Y192" s="519"/>
      <c r="Z192" s="542"/>
      <c r="AA192" s="529"/>
      <c r="AB192" s="529"/>
      <c r="AC192" s="542"/>
      <c r="AD192" s="529"/>
      <c r="AE192" s="519"/>
      <c r="AF192" s="542"/>
      <c r="AG192" s="529"/>
      <c r="AI192" s="542"/>
      <c r="AJ192" s="529"/>
      <c r="AL192" s="542"/>
      <c r="AM192" s="529"/>
      <c r="AO192" s="542"/>
      <c r="AP192" s="529"/>
      <c r="AQ192" s="529"/>
      <c r="AR192" s="529"/>
      <c r="AT192" s="7"/>
      <c r="AV192" s="6"/>
      <c r="AW192" s="6"/>
      <c r="AX192" s="6"/>
      <c r="AY192" s="6"/>
      <c r="AZ192" s="6"/>
      <c r="BA192" s="6"/>
    </row>
    <row r="193" spans="1:53" x14ac:dyDescent="0.35">
      <c r="A193" s="5"/>
      <c r="B193" s="516"/>
      <c r="C193" s="516"/>
      <c r="D193" s="513"/>
      <c r="E193" s="542"/>
      <c r="F193" s="516"/>
      <c r="G193" s="516"/>
      <c r="H193" s="542"/>
      <c r="I193" s="529"/>
      <c r="J193" s="513"/>
      <c r="K193" s="543"/>
      <c r="L193" s="544"/>
      <c r="M193" s="513"/>
      <c r="N193" s="543"/>
      <c r="O193" s="544"/>
      <c r="P193" s="513"/>
      <c r="Q193" s="543"/>
      <c r="R193" s="544"/>
      <c r="S193" s="513"/>
      <c r="T193" s="543"/>
      <c r="U193" s="544"/>
      <c r="V193" s="513"/>
      <c r="W193" s="542"/>
      <c r="X193" s="529"/>
      <c r="Y193" s="519"/>
      <c r="Z193" s="542"/>
      <c r="AA193" s="529"/>
      <c r="AB193" s="529"/>
      <c r="AC193" s="542"/>
      <c r="AD193" s="529"/>
      <c r="AE193" s="519"/>
      <c r="AF193" s="542"/>
      <c r="AG193" s="529"/>
      <c r="AI193" s="542"/>
      <c r="AJ193" s="529"/>
      <c r="AL193" s="542"/>
      <c r="AM193" s="529"/>
      <c r="AO193" s="542"/>
      <c r="AP193" s="529"/>
      <c r="AQ193" s="529"/>
      <c r="AR193" s="529"/>
      <c r="AT193" s="7"/>
      <c r="AV193" s="6"/>
      <c r="AW193" s="6"/>
      <c r="AX193" s="6"/>
      <c r="AY193" s="6"/>
      <c r="AZ193" s="6"/>
      <c r="BA193" s="6"/>
    </row>
    <row r="194" spans="1:53" x14ac:dyDescent="0.35">
      <c r="A194" s="5"/>
      <c r="B194" s="516"/>
      <c r="C194" s="516"/>
      <c r="D194" s="513"/>
      <c r="E194" s="542"/>
      <c r="F194" s="516"/>
      <c r="G194" s="516"/>
      <c r="H194" s="542"/>
      <c r="I194" s="529"/>
      <c r="J194" s="513"/>
      <c r="K194" s="543"/>
      <c r="L194" s="544"/>
      <c r="M194" s="513"/>
      <c r="N194" s="543"/>
      <c r="O194" s="544"/>
      <c r="P194" s="513"/>
      <c r="Q194" s="543"/>
      <c r="R194" s="544"/>
      <c r="S194" s="513"/>
      <c r="T194" s="543"/>
      <c r="U194" s="544"/>
      <c r="V194" s="513"/>
      <c r="W194" s="542"/>
      <c r="X194" s="529"/>
      <c r="Y194" s="519"/>
      <c r="Z194" s="542"/>
      <c r="AA194" s="529"/>
      <c r="AB194" s="529"/>
      <c r="AC194" s="542"/>
      <c r="AD194" s="529"/>
      <c r="AE194" s="519"/>
      <c r="AF194" s="542"/>
      <c r="AG194" s="529"/>
      <c r="AI194" s="542"/>
      <c r="AJ194" s="529"/>
      <c r="AL194" s="542"/>
      <c r="AM194" s="529"/>
      <c r="AO194" s="542"/>
      <c r="AP194" s="529"/>
      <c r="AQ194" s="529"/>
      <c r="AR194" s="529"/>
      <c r="AT194" s="7"/>
      <c r="AV194" s="6"/>
      <c r="AW194" s="6"/>
      <c r="AX194" s="6"/>
      <c r="AY194" s="6"/>
      <c r="AZ194" s="6"/>
      <c r="BA194" s="6"/>
    </row>
    <row r="195" spans="1:53" x14ac:dyDescent="0.35">
      <c r="A195" s="5"/>
      <c r="B195" s="516"/>
      <c r="C195" s="516"/>
      <c r="D195" s="513"/>
      <c r="E195" s="542"/>
      <c r="F195" s="516"/>
      <c r="G195" s="516"/>
      <c r="H195" s="542"/>
      <c r="I195" s="529"/>
      <c r="J195" s="513"/>
      <c r="K195" s="543"/>
      <c r="L195" s="544"/>
      <c r="M195" s="513"/>
      <c r="N195" s="543"/>
      <c r="O195" s="544"/>
      <c r="P195" s="513"/>
      <c r="Q195" s="543"/>
      <c r="R195" s="544"/>
      <c r="S195" s="513"/>
      <c r="T195" s="543"/>
      <c r="U195" s="544"/>
      <c r="V195" s="513"/>
      <c r="W195" s="542"/>
      <c r="X195" s="529"/>
      <c r="Y195" s="519"/>
      <c r="Z195" s="542"/>
      <c r="AA195" s="529"/>
      <c r="AB195" s="529"/>
      <c r="AC195" s="542"/>
      <c r="AD195" s="529"/>
      <c r="AE195" s="519"/>
      <c r="AF195" s="542"/>
      <c r="AG195" s="529"/>
      <c r="AI195" s="542"/>
      <c r="AJ195" s="529"/>
      <c r="AL195" s="542"/>
      <c r="AM195" s="529"/>
      <c r="AO195" s="542"/>
      <c r="AP195" s="529"/>
      <c r="AQ195" s="529"/>
      <c r="AR195" s="529"/>
      <c r="AT195" s="7"/>
      <c r="AV195" s="6"/>
      <c r="AW195" s="6"/>
      <c r="AX195" s="6"/>
      <c r="AY195" s="6"/>
      <c r="AZ195" s="6"/>
      <c r="BA195" s="6"/>
    </row>
    <row r="196" spans="1:53" x14ac:dyDescent="0.35">
      <c r="A196" s="5"/>
      <c r="B196" s="516"/>
      <c r="C196" s="516"/>
      <c r="D196" s="513"/>
      <c r="E196" s="542"/>
      <c r="F196" s="516"/>
      <c r="G196" s="516"/>
      <c r="H196" s="542"/>
      <c r="I196" s="529"/>
      <c r="J196" s="513"/>
      <c r="K196" s="543"/>
      <c r="L196" s="544"/>
      <c r="M196" s="513"/>
      <c r="N196" s="543"/>
      <c r="O196" s="544"/>
      <c r="P196" s="513"/>
      <c r="Q196" s="543"/>
      <c r="R196" s="544"/>
      <c r="S196" s="513"/>
      <c r="T196" s="543"/>
      <c r="U196" s="544"/>
      <c r="V196" s="513"/>
      <c r="W196" s="542"/>
      <c r="X196" s="529"/>
      <c r="Y196" s="519"/>
      <c r="Z196" s="542"/>
      <c r="AA196" s="529"/>
      <c r="AB196" s="529"/>
      <c r="AC196" s="542"/>
      <c r="AD196" s="529"/>
      <c r="AE196" s="519"/>
      <c r="AF196" s="542"/>
      <c r="AG196" s="529"/>
      <c r="AI196" s="542"/>
      <c r="AJ196" s="529"/>
      <c r="AL196" s="542"/>
      <c r="AM196" s="529"/>
      <c r="AO196" s="542"/>
      <c r="AP196" s="529"/>
      <c r="AQ196" s="529"/>
      <c r="AR196" s="529"/>
      <c r="AT196" s="7"/>
      <c r="AV196" s="6"/>
      <c r="AW196" s="6"/>
      <c r="AX196" s="6"/>
      <c r="AY196" s="6"/>
      <c r="AZ196" s="6"/>
      <c r="BA196" s="6"/>
    </row>
    <row r="197" spans="1:53" x14ac:dyDescent="0.35">
      <c r="A197" s="5"/>
      <c r="B197" s="516"/>
      <c r="C197" s="516"/>
      <c r="D197" s="513"/>
      <c r="E197" s="542"/>
      <c r="F197" s="516"/>
      <c r="G197" s="516"/>
      <c r="H197" s="542"/>
      <c r="I197" s="529"/>
      <c r="J197" s="513"/>
      <c r="K197" s="543"/>
      <c r="L197" s="544"/>
      <c r="M197" s="513"/>
      <c r="N197" s="543"/>
      <c r="O197" s="544"/>
      <c r="P197" s="513"/>
      <c r="Q197" s="543"/>
      <c r="R197" s="544"/>
      <c r="S197" s="513"/>
      <c r="T197" s="543"/>
      <c r="U197" s="544"/>
      <c r="V197" s="513"/>
      <c r="W197" s="542"/>
      <c r="X197" s="529"/>
      <c r="Y197" s="519"/>
      <c r="Z197" s="542"/>
      <c r="AA197" s="529"/>
      <c r="AB197" s="529"/>
      <c r="AC197" s="542"/>
      <c r="AD197" s="529"/>
      <c r="AE197" s="519"/>
      <c r="AF197" s="542"/>
      <c r="AG197" s="529"/>
      <c r="AI197" s="542"/>
      <c r="AJ197" s="529"/>
      <c r="AL197" s="542"/>
      <c r="AM197" s="529"/>
      <c r="AO197" s="542"/>
      <c r="AP197" s="529"/>
      <c r="AQ197" s="529"/>
      <c r="AR197" s="529"/>
      <c r="AT197" s="7"/>
      <c r="AV197" s="6"/>
      <c r="AW197" s="6"/>
      <c r="AX197" s="6"/>
      <c r="AY197" s="6"/>
      <c r="AZ197" s="6"/>
      <c r="BA197" s="6"/>
    </row>
    <row r="198" spans="1:53" x14ac:dyDescent="0.35">
      <c r="A198" s="5"/>
      <c r="B198" s="516"/>
      <c r="C198" s="516"/>
      <c r="D198" s="513"/>
      <c r="E198" s="542"/>
      <c r="F198" s="516"/>
      <c r="G198" s="516"/>
      <c r="H198" s="542"/>
      <c r="I198" s="529"/>
      <c r="J198" s="513"/>
      <c r="K198" s="543"/>
      <c r="L198" s="544"/>
      <c r="M198" s="513"/>
      <c r="N198" s="543"/>
      <c r="O198" s="544"/>
      <c r="P198" s="513"/>
      <c r="Q198" s="543"/>
      <c r="R198" s="544"/>
      <c r="S198" s="513"/>
      <c r="T198" s="543"/>
      <c r="U198" s="544"/>
      <c r="V198" s="513"/>
      <c r="W198" s="542"/>
      <c r="X198" s="529"/>
      <c r="Y198" s="519"/>
      <c r="Z198" s="542"/>
      <c r="AA198" s="529"/>
      <c r="AB198" s="529"/>
      <c r="AC198" s="542"/>
      <c r="AD198" s="529"/>
      <c r="AE198" s="519"/>
      <c r="AF198" s="542"/>
      <c r="AG198" s="529"/>
      <c r="AI198" s="542"/>
      <c r="AJ198" s="529"/>
      <c r="AL198" s="542"/>
      <c r="AM198" s="529"/>
      <c r="AO198" s="542"/>
      <c r="AP198" s="529"/>
      <c r="AQ198" s="529"/>
      <c r="AR198" s="529"/>
      <c r="AT198" s="7"/>
      <c r="AV198" s="6"/>
      <c r="AW198" s="6"/>
      <c r="AX198" s="6"/>
      <c r="AY198" s="6"/>
      <c r="AZ198" s="6"/>
      <c r="BA198" s="6"/>
    </row>
    <row r="199" spans="1:53" ht="15" thickBot="1" x14ac:dyDescent="0.4">
      <c r="A199" s="5"/>
      <c r="B199" s="549" t="s">
        <v>359</v>
      </c>
      <c r="C199" s="549"/>
      <c r="D199" s="18"/>
      <c r="E199" s="297"/>
      <c r="F199" s="549"/>
      <c r="G199" s="18"/>
      <c r="H199" s="297"/>
      <c r="I199" s="297"/>
      <c r="J199" s="18"/>
      <c r="K199" s="297"/>
      <c r="L199" s="297"/>
      <c r="M199" s="519"/>
      <c r="N199" s="297"/>
      <c r="O199" s="297"/>
      <c r="P199" s="18"/>
      <c r="Q199" s="297"/>
      <c r="R199" s="297"/>
      <c r="S199" s="18"/>
      <c r="T199" s="297"/>
      <c r="U199" s="297"/>
      <c r="V199" s="18"/>
      <c r="W199" s="520"/>
      <c r="X199" s="516"/>
      <c r="Y199" s="519"/>
      <c r="Z199" s="516"/>
      <c r="AA199" s="516"/>
      <c r="AB199" s="519"/>
      <c r="AC199" s="516"/>
      <c r="AD199" s="516"/>
      <c r="AE199" s="519"/>
      <c r="AF199" s="516"/>
      <c r="AG199" s="516"/>
      <c r="AI199" s="541"/>
      <c r="AJ199" s="10"/>
      <c r="AL199" s="10"/>
      <c r="AM199" s="10"/>
      <c r="AO199" s="10"/>
      <c r="AP199" s="10"/>
      <c r="AQ199" s="10"/>
      <c r="AR199" s="10"/>
      <c r="AT199" s="7"/>
    </row>
    <row r="200" spans="1:53" ht="15" customHeight="1" thickBot="1" x14ac:dyDescent="0.4">
      <c r="A200" s="5"/>
      <c r="B200" s="762" t="s">
        <v>360</v>
      </c>
      <c r="C200" s="763"/>
      <c r="D200" s="764"/>
      <c r="E200" s="764"/>
      <c r="F200" s="764"/>
      <c r="G200" s="764"/>
      <c r="H200" s="764"/>
      <c r="I200" s="764"/>
      <c r="J200" s="764"/>
      <c r="K200" s="764"/>
      <c r="L200" s="765"/>
      <c r="M200" s="19"/>
      <c r="N200" s="766" t="s">
        <v>361</v>
      </c>
      <c r="O200" s="764"/>
      <c r="P200" s="764"/>
      <c r="Q200" s="764"/>
      <c r="R200" s="764"/>
      <c r="S200" s="764"/>
      <c r="T200" s="764"/>
      <c r="U200" s="764"/>
      <c r="V200" s="765"/>
      <c r="W200" s="767" t="s">
        <v>393</v>
      </c>
      <c r="X200" s="768"/>
      <c r="Y200" s="768"/>
      <c r="Z200" s="768"/>
      <c r="AA200" s="768"/>
      <c r="AB200" s="768"/>
      <c r="AC200" s="768"/>
      <c r="AD200" s="768"/>
      <c r="AE200" s="768"/>
      <c r="AF200" s="768"/>
      <c r="AG200" s="768"/>
      <c r="AH200" s="768"/>
      <c r="AI200" s="768"/>
      <c r="AJ200" s="768"/>
      <c r="AK200" s="768"/>
      <c r="AL200" s="768"/>
      <c r="AM200" s="769"/>
      <c r="AN200" s="773"/>
      <c r="AO200" s="773"/>
      <c r="AP200" s="773"/>
      <c r="AQ200" s="774"/>
      <c r="AR200" s="774"/>
      <c r="AS200" s="774"/>
      <c r="AT200" s="216"/>
      <c r="AV200" s="6"/>
      <c r="AW200" s="6"/>
      <c r="AX200" s="6"/>
      <c r="AY200" s="6"/>
      <c r="AZ200" s="6"/>
      <c r="BA200" s="6"/>
    </row>
    <row r="201" spans="1:53" ht="15" customHeight="1" x14ac:dyDescent="0.35">
      <c r="A201" s="5"/>
      <c r="B201" s="5"/>
      <c r="O201" s="512"/>
      <c r="P201" s="20"/>
      <c r="V201" s="21"/>
      <c r="W201" s="770"/>
      <c r="X201" s="771"/>
      <c r="Y201" s="771"/>
      <c r="Z201" s="771"/>
      <c r="AA201" s="771"/>
      <c r="AB201" s="771"/>
      <c r="AC201" s="771"/>
      <c r="AD201" s="771"/>
      <c r="AE201" s="771"/>
      <c r="AF201" s="771"/>
      <c r="AG201" s="771"/>
      <c r="AH201" s="771"/>
      <c r="AI201" s="771"/>
      <c r="AJ201" s="771"/>
      <c r="AK201" s="771"/>
      <c r="AL201" s="771"/>
      <c r="AM201" s="772"/>
      <c r="AN201" s="775"/>
      <c r="AO201" s="775"/>
      <c r="AP201" s="775"/>
      <c r="AQ201" s="776"/>
      <c r="AR201" s="776"/>
      <c r="AS201" s="776"/>
      <c r="AT201" s="217"/>
    </row>
    <row r="202" spans="1:53" x14ac:dyDescent="0.35">
      <c r="A202" s="5"/>
      <c r="B202" s="780" t="s">
        <v>3</v>
      </c>
      <c r="C202" s="781"/>
      <c r="D202" s="782"/>
      <c r="F202" s="783" t="s">
        <v>362</v>
      </c>
      <c r="G202" s="783"/>
      <c r="I202" s="784" t="s">
        <v>363</v>
      </c>
      <c r="J202" s="784"/>
      <c r="N202" s="785" t="s">
        <v>364</v>
      </c>
      <c r="O202" s="785"/>
      <c r="P202" s="731"/>
      <c r="R202" s="786" t="s">
        <v>365</v>
      </c>
      <c r="S202" s="787"/>
      <c r="T202" s="798"/>
      <c r="U202" s="799"/>
      <c r="V202" s="21"/>
      <c r="W202" s="804" t="s">
        <v>4</v>
      </c>
      <c r="X202" s="805"/>
      <c r="Y202" s="796" t="s">
        <v>366</v>
      </c>
      <c r="Z202" s="796"/>
      <c r="AA202" s="796"/>
      <c r="AB202" s="796"/>
      <c r="AC202" s="796" t="s">
        <v>367</v>
      </c>
      <c r="AD202" s="796"/>
      <c r="AE202" s="796" t="s">
        <v>368</v>
      </c>
      <c r="AF202" s="796"/>
      <c r="AG202" s="796"/>
      <c r="AH202" s="796" t="s">
        <v>369</v>
      </c>
      <c r="AI202" s="796"/>
      <c r="AJ202" s="796"/>
      <c r="AK202" s="796" t="s">
        <v>370</v>
      </c>
      <c r="AL202" s="796"/>
      <c r="AM202" s="796"/>
      <c r="AN202" s="796" t="s">
        <v>371</v>
      </c>
      <c r="AO202" s="796"/>
      <c r="AP202" s="796"/>
      <c r="AQ202" s="797"/>
      <c r="AR202" s="797"/>
      <c r="AS202" s="797"/>
      <c r="AT202" s="213"/>
    </row>
    <row r="203" spans="1:53" x14ac:dyDescent="0.35">
      <c r="A203" s="5"/>
      <c r="B203" s="5"/>
      <c r="N203" s="785"/>
      <c r="O203" s="785"/>
      <c r="P203" s="731"/>
      <c r="R203" s="788"/>
      <c r="S203" s="789"/>
      <c r="T203" s="800"/>
      <c r="U203" s="801"/>
      <c r="V203" s="21"/>
      <c r="W203" s="759">
        <v>1</v>
      </c>
      <c r="X203" s="748"/>
      <c r="Y203" s="779" t="s">
        <v>372</v>
      </c>
      <c r="Z203" s="779"/>
      <c r="AA203" s="779"/>
      <c r="AB203" s="779"/>
      <c r="AC203" s="777" t="s">
        <v>373</v>
      </c>
      <c r="AD203" s="777"/>
      <c r="AE203" s="795">
        <f>SUMMARY!D14</f>
        <v>119.178</v>
      </c>
      <c r="AF203" s="795"/>
      <c r="AG203" s="795"/>
      <c r="AH203" s="795">
        <f>SUMMARY!F14</f>
        <v>119.178</v>
      </c>
      <c r="AI203" s="795"/>
      <c r="AJ203" s="795"/>
      <c r="AK203" s="758">
        <f t="shared" ref="AK203:AK210" si="1">AE203-AH203</f>
        <v>0</v>
      </c>
      <c r="AL203" s="758"/>
      <c r="AM203" s="758"/>
      <c r="AN203" s="777"/>
      <c r="AO203" s="777"/>
      <c r="AP203" s="777"/>
      <c r="AQ203" s="778"/>
      <c r="AR203" s="778"/>
      <c r="AS203" s="778"/>
      <c r="AT203" s="213"/>
    </row>
    <row r="204" spans="1:53" x14ac:dyDescent="0.35">
      <c r="A204" s="5"/>
      <c r="B204" s="792" t="s">
        <v>2</v>
      </c>
      <c r="C204" s="793"/>
      <c r="D204" s="794"/>
      <c r="N204" s="785" t="s">
        <v>374</v>
      </c>
      <c r="O204" s="785"/>
      <c r="P204" s="731"/>
      <c r="R204" s="788"/>
      <c r="S204" s="789"/>
      <c r="T204" s="800"/>
      <c r="U204" s="801"/>
      <c r="V204" s="21"/>
      <c r="W204" s="759">
        <v>2</v>
      </c>
      <c r="X204" s="748"/>
      <c r="Y204" s="779" t="s">
        <v>375</v>
      </c>
      <c r="Z204" s="779"/>
      <c r="AA204" s="779"/>
      <c r="AB204" s="779"/>
      <c r="AC204" s="777" t="s">
        <v>373</v>
      </c>
      <c r="AD204" s="777"/>
      <c r="AE204" s="795">
        <f>SUMMARY!D15</f>
        <v>119.178</v>
      </c>
      <c r="AF204" s="795"/>
      <c r="AG204" s="795"/>
      <c r="AH204" s="795">
        <v>118.387</v>
      </c>
      <c r="AI204" s="795"/>
      <c r="AJ204" s="795"/>
      <c r="AK204" s="758">
        <f t="shared" si="1"/>
        <v>0.79099999999999682</v>
      </c>
      <c r="AL204" s="758"/>
      <c r="AM204" s="758"/>
      <c r="AN204" s="777"/>
      <c r="AO204" s="777"/>
      <c r="AP204" s="777"/>
      <c r="AQ204" s="778"/>
      <c r="AR204" s="778"/>
      <c r="AS204" s="778"/>
      <c r="AT204" s="213"/>
    </row>
    <row r="205" spans="1:53" x14ac:dyDescent="0.35">
      <c r="A205" s="5"/>
      <c r="B205" s="5"/>
      <c r="F205" s="6"/>
      <c r="G205"/>
      <c r="N205" s="785"/>
      <c r="O205" s="785"/>
      <c r="P205" s="731"/>
      <c r="R205" s="790"/>
      <c r="S205" s="791"/>
      <c r="T205" s="802"/>
      <c r="U205" s="803"/>
      <c r="V205" s="21"/>
      <c r="W205" s="759">
        <v>3</v>
      </c>
      <c r="X205" s="748"/>
      <c r="Y205" s="779" t="s">
        <v>0</v>
      </c>
      <c r="Z205" s="779"/>
      <c r="AA205" s="779"/>
      <c r="AB205" s="779"/>
      <c r="AC205" s="777" t="s">
        <v>376</v>
      </c>
      <c r="AD205" s="777"/>
      <c r="AE205" s="777">
        <v>309</v>
      </c>
      <c r="AF205" s="777"/>
      <c r="AG205" s="777"/>
      <c r="AH205" s="777">
        <f>I217</f>
        <v>273</v>
      </c>
      <c r="AI205" s="777"/>
      <c r="AJ205" s="777"/>
      <c r="AK205" s="777">
        <f>AE205-AH205</f>
        <v>36</v>
      </c>
      <c r="AL205" s="777"/>
      <c r="AM205" s="777"/>
      <c r="AN205" s="777"/>
      <c r="AO205" s="777"/>
      <c r="AP205" s="777"/>
      <c r="AQ205" s="778"/>
      <c r="AR205" s="778"/>
      <c r="AS205" s="778"/>
      <c r="AT205" s="213"/>
    </row>
    <row r="206" spans="1:53" x14ac:dyDescent="0.35">
      <c r="A206" s="5"/>
      <c r="B206" s="5"/>
      <c r="E206" s="697"/>
      <c r="F206" s="697"/>
      <c r="H206" s="698"/>
      <c r="I206" s="698"/>
      <c r="K206" s="697"/>
      <c r="L206" s="697"/>
      <c r="N206" s="785" t="s">
        <v>377</v>
      </c>
      <c r="O206" s="785"/>
      <c r="P206" s="731"/>
      <c r="R206" s="786" t="s">
        <v>378</v>
      </c>
      <c r="S206" s="787"/>
      <c r="T206" s="798"/>
      <c r="U206" s="799"/>
      <c r="V206" s="21"/>
      <c r="W206" s="759">
        <v>4</v>
      </c>
      <c r="X206" s="748"/>
      <c r="Y206" s="779" t="s">
        <v>1</v>
      </c>
      <c r="Z206" s="779"/>
      <c r="AA206" s="779"/>
      <c r="AB206" s="779"/>
      <c r="AC206" s="777" t="s">
        <v>376</v>
      </c>
      <c r="AD206" s="777"/>
      <c r="AE206" s="777">
        <v>309</v>
      </c>
      <c r="AF206" s="777"/>
      <c r="AG206" s="777"/>
      <c r="AH206" s="777">
        <f>J217</f>
        <v>249</v>
      </c>
      <c r="AI206" s="777"/>
      <c r="AJ206" s="777"/>
      <c r="AK206" s="777">
        <f t="shared" si="1"/>
        <v>60</v>
      </c>
      <c r="AL206" s="777"/>
      <c r="AM206" s="777"/>
      <c r="AN206" s="777"/>
      <c r="AO206" s="777"/>
      <c r="AP206" s="777"/>
      <c r="AQ206" s="778"/>
      <c r="AR206" s="778"/>
      <c r="AS206" s="778"/>
      <c r="AT206" s="213"/>
    </row>
    <row r="207" spans="1:53" x14ac:dyDescent="0.35">
      <c r="A207" s="5"/>
      <c r="B207" s="22"/>
      <c r="C207" s="550"/>
      <c r="D207" s="23"/>
      <c r="E207" s="11"/>
      <c r="F207" s="12"/>
      <c r="G207" s="508"/>
      <c r="H207" s="3"/>
      <c r="I207" s="3"/>
      <c r="J207" s="509"/>
      <c r="K207" s="8"/>
      <c r="L207" s="3"/>
      <c r="M207" s="508"/>
      <c r="N207" s="785"/>
      <c r="O207" s="785"/>
      <c r="P207" s="731"/>
      <c r="R207" s="788"/>
      <c r="S207" s="789"/>
      <c r="T207" s="800"/>
      <c r="U207" s="801"/>
      <c r="V207" s="21"/>
      <c r="W207" s="759">
        <v>5</v>
      </c>
      <c r="X207" s="748"/>
      <c r="Y207" s="779" t="s">
        <v>2</v>
      </c>
      <c r="Z207" s="779"/>
      <c r="AA207" s="779"/>
      <c r="AB207" s="779"/>
      <c r="AC207" s="777" t="s">
        <v>376</v>
      </c>
      <c r="AD207" s="777"/>
      <c r="AE207" s="777">
        <v>309</v>
      </c>
      <c r="AF207" s="777"/>
      <c r="AG207" s="777"/>
      <c r="AH207" s="777">
        <f>K217</f>
        <v>218</v>
      </c>
      <c r="AI207" s="777"/>
      <c r="AJ207" s="777"/>
      <c r="AK207" s="777">
        <f t="shared" si="1"/>
        <v>91</v>
      </c>
      <c r="AL207" s="777"/>
      <c r="AM207" s="777"/>
      <c r="AN207" s="777"/>
      <c r="AO207" s="777"/>
      <c r="AP207" s="777"/>
      <c r="AQ207" s="778"/>
      <c r="AR207" s="778"/>
      <c r="AS207" s="778"/>
      <c r="AT207" s="213"/>
    </row>
    <row r="208" spans="1:53" x14ac:dyDescent="0.35">
      <c r="A208" s="5"/>
      <c r="B208" s="810" t="s">
        <v>0</v>
      </c>
      <c r="C208" s="811"/>
      <c r="D208" s="812"/>
      <c r="E208" s="11"/>
      <c r="F208" s="11"/>
      <c r="G208" s="508"/>
      <c r="H208" s="3"/>
      <c r="I208" s="3"/>
      <c r="K208" s="8"/>
      <c r="L208" s="3"/>
      <c r="M208" s="508"/>
      <c r="N208" s="785" t="s">
        <v>379</v>
      </c>
      <c r="O208" s="785"/>
      <c r="P208" s="731"/>
      <c r="R208" s="788"/>
      <c r="S208" s="789"/>
      <c r="T208" s="800"/>
      <c r="U208" s="801"/>
      <c r="V208" s="21"/>
      <c r="W208" s="759">
        <v>6</v>
      </c>
      <c r="X208" s="748"/>
      <c r="Y208" s="779" t="s">
        <v>380</v>
      </c>
      <c r="Z208" s="779"/>
      <c r="AA208" s="779"/>
      <c r="AB208" s="779"/>
      <c r="AC208" s="777" t="s">
        <v>376</v>
      </c>
      <c r="AD208" s="777"/>
      <c r="AE208" s="777">
        <v>309</v>
      </c>
      <c r="AF208" s="777"/>
      <c r="AG208" s="777"/>
      <c r="AH208" s="777">
        <f>AY3</f>
        <v>20</v>
      </c>
      <c r="AI208" s="777"/>
      <c r="AJ208" s="777"/>
      <c r="AK208" s="777">
        <f t="shared" ref="AK208:AK211" si="2">AE208-AH208</f>
        <v>289</v>
      </c>
      <c r="AL208" s="777"/>
      <c r="AM208" s="777"/>
      <c r="AN208" s="777"/>
      <c r="AO208" s="777"/>
      <c r="AP208" s="777"/>
      <c r="AQ208" s="778"/>
      <c r="AR208" s="778"/>
      <c r="AS208" s="778"/>
      <c r="AT208" s="213"/>
    </row>
    <row r="209" spans="1:46" x14ac:dyDescent="0.35">
      <c r="A209" s="5"/>
      <c r="B209" s="22" t="s">
        <v>381</v>
      </c>
      <c r="C209" s="550"/>
      <c r="E209" s="761" t="s">
        <v>8</v>
      </c>
      <c r="F209" s="761"/>
      <c r="G209" s="526">
        <v>293</v>
      </c>
      <c r="H209" s="807" t="s">
        <v>354</v>
      </c>
      <c r="I209" s="761"/>
      <c r="J209" s="551">
        <v>391</v>
      </c>
      <c r="K209" s="808" t="s">
        <v>355</v>
      </c>
      <c r="L209" s="809"/>
      <c r="M209" s="508"/>
      <c r="N209" s="785"/>
      <c r="O209" s="785"/>
      <c r="P209" s="731"/>
      <c r="R209" s="790"/>
      <c r="S209" s="791"/>
      <c r="T209" s="802"/>
      <c r="U209" s="803"/>
      <c r="V209" s="21"/>
      <c r="W209" s="759">
        <v>7</v>
      </c>
      <c r="X209" s="748"/>
      <c r="Y209" s="779" t="s">
        <v>552</v>
      </c>
      <c r="Z209" s="779"/>
      <c r="AA209" s="779"/>
      <c r="AB209" s="779"/>
      <c r="AC209" s="777" t="s">
        <v>373</v>
      </c>
      <c r="AD209" s="777"/>
      <c r="AE209" s="795">
        <v>119.178</v>
      </c>
      <c r="AF209" s="795"/>
      <c r="AG209" s="795"/>
      <c r="AH209" s="795">
        <f>AZ3</f>
        <v>1.5549999999999999</v>
      </c>
      <c r="AI209" s="795"/>
      <c r="AJ209" s="795"/>
      <c r="AK209" s="777">
        <f t="shared" si="2"/>
        <v>117.62299999999999</v>
      </c>
      <c r="AL209" s="777"/>
      <c r="AM209" s="777"/>
      <c r="AN209" s="779"/>
      <c r="AO209" s="779"/>
      <c r="AP209" s="779"/>
      <c r="AQ209" s="813"/>
      <c r="AR209" s="813"/>
      <c r="AS209" s="813"/>
      <c r="AT209" s="218"/>
    </row>
    <row r="210" spans="1:46" x14ac:dyDescent="0.35">
      <c r="A210" s="5"/>
      <c r="B210" s="22" t="s">
        <v>5</v>
      </c>
      <c r="C210" s="550"/>
      <c r="E210" s="711" t="s">
        <v>356</v>
      </c>
      <c r="F210" s="711"/>
      <c r="H210" s="711" t="s">
        <v>33</v>
      </c>
      <c r="I210" s="711"/>
      <c r="J210" s="551"/>
      <c r="K210" s="835" t="s">
        <v>357</v>
      </c>
      <c r="L210" s="836"/>
      <c r="M210" s="508"/>
      <c r="N210" s="785" t="s">
        <v>383</v>
      </c>
      <c r="O210" s="785"/>
      <c r="P210" s="731"/>
      <c r="R210" s="838"/>
      <c r="S210" s="838"/>
      <c r="T210" s="724"/>
      <c r="U210" s="724"/>
      <c r="V210" s="21"/>
      <c r="W210" s="759">
        <v>8</v>
      </c>
      <c r="X210" s="748"/>
      <c r="Y210" s="779" t="s">
        <v>553</v>
      </c>
      <c r="Z210" s="779"/>
      <c r="AA210" s="779"/>
      <c r="AB210" s="779"/>
      <c r="AC210" s="777" t="s">
        <v>373</v>
      </c>
      <c r="AD210" s="777"/>
      <c r="AE210" s="795">
        <v>119.178</v>
      </c>
      <c r="AF210" s="795"/>
      <c r="AG210" s="795"/>
      <c r="AH210" s="795">
        <v>0</v>
      </c>
      <c r="AI210" s="795"/>
      <c r="AJ210" s="795"/>
      <c r="AK210" s="777">
        <f t="shared" si="2"/>
        <v>119.178</v>
      </c>
      <c r="AL210" s="777"/>
      <c r="AM210" s="777"/>
      <c r="AN210" s="777"/>
      <c r="AO210" s="777"/>
      <c r="AP210" s="777"/>
      <c r="AQ210" s="778"/>
      <c r="AR210" s="778"/>
      <c r="AS210" s="778"/>
      <c r="AT210" s="213"/>
    </row>
    <row r="211" spans="1:46" ht="15" thickBot="1" x14ac:dyDescent="0.4">
      <c r="A211" s="24"/>
      <c r="B211" s="24"/>
      <c r="C211" s="25"/>
      <c r="D211" s="26"/>
      <c r="E211" s="25"/>
      <c r="F211" s="830" t="s">
        <v>1</v>
      </c>
      <c r="G211" s="830"/>
      <c r="H211" s="25"/>
      <c r="I211" s="25"/>
      <c r="J211" s="831" t="s">
        <v>385</v>
      </c>
      <c r="K211" s="831"/>
      <c r="L211" s="831"/>
      <c r="M211" s="26"/>
      <c r="N211" s="827"/>
      <c r="O211" s="827"/>
      <c r="P211" s="837"/>
      <c r="Q211" s="26"/>
      <c r="R211" s="839"/>
      <c r="S211" s="839"/>
      <c r="T211" s="806"/>
      <c r="U211" s="806"/>
      <c r="V211" s="27"/>
      <c r="W211" s="832">
        <v>9</v>
      </c>
      <c r="X211" s="833"/>
      <c r="Y211" s="834" t="s">
        <v>386</v>
      </c>
      <c r="Z211" s="834"/>
      <c r="AA211" s="834"/>
      <c r="AB211" s="834"/>
      <c r="AC211" s="824" t="s">
        <v>373</v>
      </c>
      <c r="AD211" s="824"/>
      <c r="AE211" s="795">
        <v>119.178</v>
      </c>
      <c r="AF211" s="795"/>
      <c r="AG211" s="795"/>
      <c r="AH211" s="972">
        <v>0</v>
      </c>
      <c r="AI211" s="972"/>
      <c r="AJ211" s="972"/>
      <c r="AK211" s="777">
        <f t="shared" si="2"/>
        <v>119.178</v>
      </c>
      <c r="AL211" s="777"/>
      <c r="AM211" s="777"/>
      <c r="AN211" s="824"/>
      <c r="AO211" s="824"/>
      <c r="AP211" s="824"/>
      <c r="AQ211" s="825"/>
      <c r="AR211" s="825"/>
      <c r="AS211" s="825"/>
      <c r="AT211" s="552"/>
    </row>
    <row r="212" spans="1:46" x14ac:dyDescent="0.35">
      <c r="N212" s="826" t="s">
        <v>394</v>
      </c>
      <c r="O212" s="826"/>
      <c r="P212" s="828"/>
    </row>
    <row r="213" spans="1:46" ht="15" thickBot="1" x14ac:dyDescent="0.4">
      <c r="N213" s="827"/>
      <c r="O213" s="827"/>
      <c r="P213" s="731"/>
    </row>
    <row r="214" spans="1:46" x14ac:dyDescent="0.35">
      <c r="AH214" s="829"/>
      <c r="AI214" s="829"/>
    </row>
    <row r="215" spans="1:46" ht="15" thickBot="1" x14ac:dyDescent="0.4"/>
    <row r="216" spans="1:46" ht="72.5" x14ac:dyDescent="0.35">
      <c r="I216" s="496" t="s">
        <v>2139</v>
      </c>
      <c r="J216" s="502" t="s">
        <v>2140</v>
      </c>
      <c r="K216" s="503" t="s">
        <v>2142</v>
      </c>
      <c r="L216" s="499" t="s">
        <v>352</v>
      </c>
      <c r="M216" s="973" t="s">
        <v>552</v>
      </c>
      <c r="N216" s="974" t="s">
        <v>553</v>
      </c>
      <c r="O216" s="501" t="s">
        <v>2123</v>
      </c>
      <c r="W216" s="208"/>
      <c r="X216" s="208"/>
      <c r="AB216" s="208"/>
      <c r="AH216" s="814" t="s">
        <v>2125</v>
      </c>
      <c r="AI216" s="815"/>
      <c r="AJ216" s="815"/>
      <c r="AK216" s="815"/>
      <c r="AL216" s="815"/>
      <c r="AM216" s="815"/>
      <c r="AN216" s="815"/>
      <c r="AO216" s="815"/>
      <c r="AP216" s="816"/>
      <c r="AQ216" s="298"/>
      <c r="AR216" s="298"/>
    </row>
    <row r="217" spans="1:46" x14ac:dyDescent="0.35">
      <c r="I217" s="8">
        <f>AV3</f>
        <v>273</v>
      </c>
      <c r="J217" s="8">
        <f>AW3</f>
        <v>249</v>
      </c>
      <c r="K217" s="8">
        <f>AX3</f>
        <v>218</v>
      </c>
      <c r="L217" s="8">
        <f>AY3</f>
        <v>20</v>
      </c>
      <c r="M217" s="975">
        <f>AH209</f>
        <v>1.5549999999999999</v>
      </c>
      <c r="N217" s="976">
        <f>AH210</f>
        <v>0</v>
      </c>
      <c r="O217" s="8">
        <f>SUM(N220:N396)</f>
        <v>0</v>
      </c>
      <c r="AH217" s="817"/>
      <c r="AI217" s="818"/>
      <c r="AJ217" s="818"/>
      <c r="AK217" s="818"/>
      <c r="AL217" s="818"/>
      <c r="AM217" s="818"/>
      <c r="AN217" s="818"/>
      <c r="AO217" s="818"/>
      <c r="AP217" s="819"/>
      <c r="AQ217" s="298"/>
      <c r="AR217" s="298"/>
    </row>
    <row r="218" spans="1:46" x14ac:dyDescent="0.35">
      <c r="AH218" s="817"/>
      <c r="AI218" s="818"/>
      <c r="AJ218" s="818"/>
      <c r="AK218" s="818"/>
      <c r="AL218" s="818"/>
      <c r="AM218" s="818"/>
      <c r="AN218" s="818"/>
      <c r="AO218" s="818"/>
      <c r="AP218" s="819"/>
      <c r="AQ218" s="298"/>
      <c r="AR218" s="298"/>
    </row>
    <row r="219" spans="1:46" x14ac:dyDescent="0.35">
      <c r="AH219" s="817"/>
      <c r="AI219" s="818"/>
      <c r="AJ219" s="818"/>
      <c r="AK219" s="818"/>
      <c r="AL219" s="818"/>
      <c r="AM219" s="818"/>
      <c r="AN219" s="818"/>
      <c r="AO219" s="818"/>
      <c r="AP219" s="819"/>
      <c r="AQ219" s="298"/>
      <c r="AR219" s="298"/>
    </row>
    <row r="220" spans="1:46" x14ac:dyDescent="0.35">
      <c r="D220"/>
      <c r="G220"/>
      <c r="J220"/>
      <c r="M220"/>
      <c r="P220"/>
      <c r="S220"/>
      <c r="V220"/>
      <c r="Y220"/>
      <c r="AB220"/>
      <c r="AE220"/>
      <c r="AH220" s="817"/>
      <c r="AI220" s="818"/>
      <c r="AJ220" s="818"/>
      <c r="AK220" s="818"/>
      <c r="AL220" s="818"/>
      <c r="AM220" s="818"/>
      <c r="AN220" s="818"/>
      <c r="AO220" s="818"/>
      <c r="AP220" s="819"/>
      <c r="AQ220" s="298"/>
      <c r="AR220" s="298"/>
      <c r="AS220"/>
      <c r="AT220"/>
    </row>
    <row r="221" spans="1:46" x14ac:dyDescent="0.35">
      <c r="D221"/>
      <c r="G221"/>
      <c r="J221"/>
      <c r="M221"/>
      <c r="P221"/>
      <c r="S221"/>
      <c r="V221"/>
      <c r="Y221"/>
      <c r="AB221"/>
      <c r="AE221"/>
      <c r="AH221" s="817"/>
      <c r="AI221" s="818"/>
      <c r="AJ221" s="818"/>
      <c r="AK221" s="818"/>
      <c r="AL221" s="818"/>
      <c r="AM221" s="818"/>
      <c r="AN221" s="818"/>
      <c r="AO221" s="818"/>
      <c r="AP221" s="819"/>
      <c r="AQ221" s="298"/>
      <c r="AR221" s="298"/>
      <c r="AS221"/>
      <c r="AT221"/>
    </row>
    <row r="222" spans="1:46" ht="15" thickBot="1" x14ac:dyDescent="0.4">
      <c r="D222"/>
      <c r="G222"/>
      <c r="J222"/>
      <c r="M222"/>
      <c r="P222"/>
      <c r="S222"/>
      <c r="V222"/>
      <c r="Y222"/>
      <c r="AB222"/>
      <c r="AE222"/>
      <c r="AH222" s="820"/>
      <c r="AI222" s="821"/>
      <c r="AJ222" s="821"/>
      <c r="AK222" s="821"/>
      <c r="AL222" s="821"/>
      <c r="AM222" s="821"/>
      <c r="AN222" s="821"/>
      <c r="AO222" s="821"/>
      <c r="AP222" s="822"/>
      <c r="AQ222" s="298"/>
      <c r="AR222" s="298"/>
      <c r="AS222"/>
      <c r="AT222"/>
    </row>
  </sheetData>
  <mergeCells count="1143">
    <mergeCell ref="AH216:AP222"/>
    <mergeCell ref="AH211:AJ211"/>
    <mergeCell ref="AK211:AM211"/>
    <mergeCell ref="AN211:AS211"/>
    <mergeCell ref="N212:O213"/>
    <mergeCell ref="P212:P213"/>
    <mergeCell ref="AH214:AI214"/>
    <mergeCell ref="F211:G211"/>
    <mergeCell ref="J211:L211"/>
    <mergeCell ref="W211:X211"/>
    <mergeCell ref="Y211:AB211"/>
    <mergeCell ref="AC211:AD211"/>
    <mergeCell ref="AE211:AG211"/>
    <mergeCell ref="Y210:AB210"/>
    <mergeCell ref="AC210:AD210"/>
    <mergeCell ref="AE210:AG210"/>
    <mergeCell ref="AH210:AJ210"/>
    <mergeCell ref="AK210:AM210"/>
    <mergeCell ref="AN210:AS210"/>
    <mergeCell ref="E210:F210"/>
    <mergeCell ref="H210:I210"/>
    <mergeCell ref="K210:L210"/>
    <mergeCell ref="N210:O211"/>
    <mergeCell ref="P210:P211"/>
    <mergeCell ref="R210:S211"/>
    <mergeCell ref="B208:D208"/>
    <mergeCell ref="N208:O209"/>
    <mergeCell ref="P208:P209"/>
    <mergeCell ref="W208:X208"/>
    <mergeCell ref="Y208:AB208"/>
    <mergeCell ref="AC208:AD208"/>
    <mergeCell ref="AK206:AM206"/>
    <mergeCell ref="AN206:AS206"/>
    <mergeCell ref="W207:X207"/>
    <mergeCell ref="Y207:AB207"/>
    <mergeCell ref="AC207:AD207"/>
    <mergeCell ref="AE207:AG207"/>
    <mergeCell ref="AH207:AJ207"/>
    <mergeCell ref="AK207:AM207"/>
    <mergeCell ref="AN207:AS207"/>
    <mergeCell ref="T206:U209"/>
    <mergeCell ref="W206:X206"/>
    <mergeCell ref="Y206:AB206"/>
    <mergeCell ref="AC206:AD206"/>
    <mergeCell ref="AE206:AG206"/>
    <mergeCell ref="AH206:AJ206"/>
    <mergeCell ref="AE208:AG208"/>
    <mergeCell ref="E206:F206"/>
    <mergeCell ref="K206:L206"/>
    <mergeCell ref="N206:O207"/>
    <mergeCell ref="P206:P207"/>
    <mergeCell ref="R206:S209"/>
    <mergeCell ref="AK209:AM209"/>
    <mergeCell ref="AN209:AS209"/>
    <mergeCell ref="W202:X202"/>
    <mergeCell ref="Y202:AB202"/>
    <mergeCell ref="AC202:AD202"/>
    <mergeCell ref="AE202:AG202"/>
    <mergeCell ref="AH202:AJ202"/>
    <mergeCell ref="W204:X204"/>
    <mergeCell ref="Y204:AB204"/>
    <mergeCell ref="AC204:AD204"/>
    <mergeCell ref="AE204:AG204"/>
    <mergeCell ref="T210:U211"/>
    <mergeCell ref="E209:F209"/>
    <mergeCell ref="H209:I209"/>
    <mergeCell ref="K209:L209"/>
    <mergeCell ref="W209:X209"/>
    <mergeCell ref="Y209:AB209"/>
    <mergeCell ref="AC209:AD209"/>
    <mergeCell ref="AE209:AG209"/>
    <mergeCell ref="AH209:AJ209"/>
    <mergeCell ref="W210:X210"/>
    <mergeCell ref="AH208:AJ208"/>
    <mergeCell ref="AK204:AM204"/>
    <mergeCell ref="AN204:AS204"/>
    <mergeCell ref="W205:X205"/>
    <mergeCell ref="Y205:AB205"/>
    <mergeCell ref="AC205:AD205"/>
    <mergeCell ref="AE205:AG205"/>
    <mergeCell ref="AH205:AJ205"/>
    <mergeCell ref="AK205:AM205"/>
    <mergeCell ref="AN205:AS205"/>
    <mergeCell ref="AK208:AM208"/>
    <mergeCell ref="AN208:AS208"/>
    <mergeCell ref="B202:D202"/>
    <mergeCell ref="F202:G202"/>
    <mergeCell ref="I202:J202"/>
    <mergeCell ref="N202:O203"/>
    <mergeCell ref="P202:P203"/>
    <mergeCell ref="R202:S205"/>
    <mergeCell ref="B204:D204"/>
    <mergeCell ref="N204:O205"/>
    <mergeCell ref="P204:P205"/>
    <mergeCell ref="AH204:AJ204"/>
    <mergeCell ref="AK202:AM202"/>
    <mergeCell ref="AN202:AS202"/>
    <mergeCell ref="W203:X203"/>
    <mergeCell ref="H206:I206"/>
    <mergeCell ref="Y203:AB203"/>
    <mergeCell ref="AC203:AD203"/>
    <mergeCell ref="AE203:AG203"/>
    <mergeCell ref="AH203:AJ203"/>
    <mergeCell ref="AK203:AM203"/>
    <mergeCell ref="AN203:AS203"/>
    <mergeCell ref="T202:U205"/>
    <mergeCell ref="AL184:AM184"/>
    <mergeCell ref="AO184:AP184"/>
    <mergeCell ref="B200:L200"/>
    <mergeCell ref="N200:V200"/>
    <mergeCell ref="W200:AM201"/>
    <mergeCell ref="AN200:AS200"/>
    <mergeCell ref="AN201:AS201"/>
    <mergeCell ref="T184:U184"/>
    <mergeCell ref="W184:X184"/>
    <mergeCell ref="Z184:AA184"/>
    <mergeCell ref="AC184:AD184"/>
    <mergeCell ref="AF184:AG184"/>
    <mergeCell ref="AI184:AJ184"/>
    <mergeCell ref="B184:C184"/>
    <mergeCell ref="E184:F184"/>
    <mergeCell ref="H184:I184"/>
    <mergeCell ref="K184:L184"/>
    <mergeCell ref="N184:O184"/>
    <mergeCell ref="Q184:R184"/>
    <mergeCell ref="Z183:AA183"/>
    <mergeCell ref="AC183:AD183"/>
    <mergeCell ref="AF183:AG183"/>
    <mergeCell ref="AI183:AJ183"/>
    <mergeCell ref="AL183:AM183"/>
    <mergeCell ref="AO183:AP183"/>
    <mergeCell ref="AL180:AM180"/>
    <mergeCell ref="AO180:AP180"/>
    <mergeCell ref="B183:C183"/>
    <mergeCell ref="E183:F183"/>
    <mergeCell ref="H183:I183"/>
    <mergeCell ref="K183:L183"/>
    <mergeCell ref="N183:O183"/>
    <mergeCell ref="Q183:R183"/>
    <mergeCell ref="T183:U183"/>
    <mergeCell ref="W183:X183"/>
    <mergeCell ref="T180:U180"/>
    <mergeCell ref="W180:X180"/>
    <mergeCell ref="Z180:AA180"/>
    <mergeCell ref="AC180:AD180"/>
    <mergeCell ref="AE180:AH180"/>
    <mergeCell ref="AI180:AJ180"/>
    <mergeCell ref="B180:C180"/>
    <mergeCell ref="E180:F180"/>
    <mergeCell ref="H180:I180"/>
    <mergeCell ref="K180:L180"/>
    <mergeCell ref="N180:O180"/>
    <mergeCell ref="Q180:R180"/>
    <mergeCell ref="AC176:AD176"/>
    <mergeCell ref="AF176:AG176"/>
    <mergeCell ref="AI176:AJ176"/>
    <mergeCell ref="AL176:AM176"/>
    <mergeCell ref="AO176:AP176"/>
    <mergeCell ref="A178:D178"/>
    <mergeCell ref="AO175:AP175"/>
    <mergeCell ref="B176:C176"/>
    <mergeCell ref="E176:F176"/>
    <mergeCell ref="H176:I176"/>
    <mergeCell ref="K176:L176"/>
    <mergeCell ref="N176:O176"/>
    <mergeCell ref="Q176:R176"/>
    <mergeCell ref="T176:U176"/>
    <mergeCell ref="W176:X176"/>
    <mergeCell ref="Z176:AA176"/>
    <mergeCell ref="W175:X175"/>
    <mergeCell ref="Z175:AA175"/>
    <mergeCell ref="AC175:AD175"/>
    <mergeCell ref="AF175:AG175"/>
    <mergeCell ref="AI175:AJ175"/>
    <mergeCell ref="AL175:AM175"/>
    <mergeCell ref="AO172:AP172"/>
    <mergeCell ref="H173:I174"/>
    <mergeCell ref="AO173:AP174"/>
    <mergeCell ref="B175:C175"/>
    <mergeCell ref="E175:F175"/>
    <mergeCell ref="H175:I175"/>
    <mergeCell ref="K175:L175"/>
    <mergeCell ref="N175:O175"/>
    <mergeCell ref="Q175:R175"/>
    <mergeCell ref="T175:U175"/>
    <mergeCell ref="W172:X172"/>
    <mergeCell ref="Z172:AA172"/>
    <mergeCell ref="AC172:AD172"/>
    <mergeCell ref="AE172:AH172"/>
    <mergeCell ref="AI172:AJ172"/>
    <mergeCell ref="AL172:AM172"/>
    <mergeCell ref="AO168:AP168"/>
    <mergeCell ref="K170:R170"/>
    <mergeCell ref="V170:Y170"/>
    <mergeCell ref="B172:C172"/>
    <mergeCell ref="E172:F172"/>
    <mergeCell ref="H172:I172"/>
    <mergeCell ref="K172:L172"/>
    <mergeCell ref="N172:O172"/>
    <mergeCell ref="Q172:R172"/>
    <mergeCell ref="T172:U172"/>
    <mergeCell ref="W168:X168"/>
    <mergeCell ref="Z168:AA168"/>
    <mergeCell ref="AC168:AD168"/>
    <mergeCell ref="AF168:AG168"/>
    <mergeCell ref="AI168:AJ168"/>
    <mergeCell ref="AL168:AM168"/>
    <mergeCell ref="AI167:AJ167"/>
    <mergeCell ref="AL167:AM167"/>
    <mergeCell ref="AO167:AP167"/>
    <mergeCell ref="B168:C168"/>
    <mergeCell ref="E168:F168"/>
    <mergeCell ref="H168:I168"/>
    <mergeCell ref="K168:L168"/>
    <mergeCell ref="N168:O168"/>
    <mergeCell ref="Q168:R168"/>
    <mergeCell ref="T168:U168"/>
    <mergeCell ref="Q167:R167"/>
    <mergeCell ref="T167:U167"/>
    <mergeCell ref="W167:X167"/>
    <mergeCell ref="Z167:AA167"/>
    <mergeCell ref="AC167:AD167"/>
    <mergeCell ref="AF167:AG167"/>
    <mergeCell ref="AL164:AM164"/>
    <mergeCell ref="AO164:AP164"/>
    <mergeCell ref="W165:X166"/>
    <mergeCell ref="AC165:AD166"/>
    <mergeCell ref="AO165:AP166"/>
    <mergeCell ref="B167:C167"/>
    <mergeCell ref="E167:F167"/>
    <mergeCell ref="H167:I167"/>
    <mergeCell ref="K167:L167"/>
    <mergeCell ref="N167:O167"/>
    <mergeCell ref="T164:U164"/>
    <mergeCell ref="W164:X164"/>
    <mergeCell ref="Z164:AA164"/>
    <mergeCell ref="AC164:AD164"/>
    <mergeCell ref="AE164:AH164"/>
    <mergeCell ref="AI164:AJ164"/>
    <mergeCell ref="B164:C164"/>
    <mergeCell ref="E164:F164"/>
    <mergeCell ref="H164:I164"/>
    <mergeCell ref="K164:L164"/>
    <mergeCell ref="N164:O164"/>
    <mergeCell ref="Q164:R164"/>
    <mergeCell ref="AC160:AD160"/>
    <mergeCell ref="AF160:AG160"/>
    <mergeCell ref="AI160:AJ160"/>
    <mergeCell ref="AL160:AM160"/>
    <mergeCell ref="AO160:AP160"/>
    <mergeCell ref="W162:AD162"/>
    <mergeCell ref="AH162:AK162"/>
    <mergeCell ref="AO159:AP159"/>
    <mergeCell ref="B160:C160"/>
    <mergeCell ref="E160:F160"/>
    <mergeCell ref="H160:I160"/>
    <mergeCell ref="K160:L160"/>
    <mergeCell ref="N160:O160"/>
    <mergeCell ref="Q160:R160"/>
    <mergeCell ref="T160:U160"/>
    <mergeCell ref="W160:X160"/>
    <mergeCell ref="Z160:AA160"/>
    <mergeCell ref="W159:X159"/>
    <mergeCell ref="Z159:AA159"/>
    <mergeCell ref="AC159:AD159"/>
    <mergeCell ref="AF159:AG159"/>
    <mergeCell ref="AI159:AJ159"/>
    <mergeCell ref="AL159:AM159"/>
    <mergeCell ref="AO156:AP156"/>
    <mergeCell ref="Q157:R158"/>
    <mergeCell ref="AC157:AD158"/>
    <mergeCell ref="B159:C159"/>
    <mergeCell ref="E159:F159"/>
    <mergeCell ref="H159:I159"/>
    <mergeCell ref="K159:L159"/>
    <mergeCell ref="N159:O159"/>
    <mergeCell ref="Q159:R159"/>
    <mergeCell ref="T159:U159"/>
    <mergeCell ref="W156:X156"/>
    <mergeCell ref="Z156:AA156"/>
    <mergeCell ref="AC156:AD156"/>
    <mergeCell ref="AE156:AH156"/>
    <mergeCell ref="AI156:AJ156"/>
    <mergeCell ref="AL156:AM156"/>
    <mergeCell ref="B154:O154"/>
    <mergeCell ref="W154:AA154"/>
    <mergeCell ref="AF154:AJ154"/>
    <mergeCell ref="B156:C156"/>
    <mergeCell ref="E156:F156"/>
    <mergeCell ref="H156:I156"/>
    <mergeCell ref="K156:L156"/>
    <mergeCell ref="N156:O156"/>
    <mergeCell ref="Q156:R156"/>
    <mergeCell ref="T156:U156"/>
    <mergeCell ref="Z152:AA152"/>
    <mergeCell ref="AC152:AD152"/>
    <mergeCell ref="AF152:AG152"/>
    <mergeCell ref="AI152:AJ152"/>
    <mergeCell ref="AL152:AM152"/>
    <mergeCell ref="AO152:AP152"/>
    <mergeCell ref="AL151:AM151"/>
    <mergeCell ref="AO151:AP151"/>
    <mergeCell ref="B152:C152"/>
    <mergeCell ref="E152:F152"/>
    <mergeCell ref="H152:I152"/>
    <mergeCell ref="K152:L152"/>
    <mergeCell ref="N152:O152"/>
    <mergeCell ref="Q152:R152"/>
    <mergeCell ref="T152:U152"/>
    <mergeCell ref="W152:X152"/>
    <mergeCell ref="T151:U151"/>
    <mergeCell ref="W151:X151"/>
    <mergeCell ref="Z151:AA151"/>
    <mergeCell ref="AC151:AD151"/>
    <mergeCell ref="AF151:AG151"/>
    <mergeCell ref="AI151:AJ151"/>
    <mergeCell ref="B151:C151"/>
    <mergeCell ref="E151:F151"/>
    <mergeCell ref="H151:I151"/>
    <mergeCell ref="K151:L151"/>
    <mergeCell ref="N151:O151"/>
    <mergeCell ref="Q151:R151"/>
    <mergeCell ref="AL148:AM148"/>
    <mergeCell ref="AO148:AP148"/>
    <mergeCell ref="AC149:AD150"/>
    <mergeCell ref="AF149:AG150"/>
    <mergeCell ref="AL149:AM150"/>
    <mergeCell ref="AO149:AP150"/>
    <mergeCell ref="Q148:R148"/>
    <mergeCell ref="T148:U148"/>
    <mergeCell ref="W148:X148"/>
    <mergeCell ref="Z148:AA148"/>
    <mergeCell ref="AC148:AD148"/>
    <mergeCell ref="AE148:AH148"/>
    <mergeCell ref="AL144:AM144"/>
    <mergeCell ref="AO144:AP144"/>
    <mergeCell ref="H146:L146"/>
    <mergeCell ref="Q146:U146"/>
    <mergeCell ref="AO146:AT146"/>
    <mergeCell ref="B148:C148"/>
    <mergeCell ref="E148:F148"/>
    <mergeCell ref="H148:I148"/>
    <mergeCell ref="K148:L148"/>
    <mergeCell ref="N148:O148"/>
    <mergeCell ref="T144:U144"/>
    <mergeCell ref="W144:X144"/>
    <mergeCell ref="Z144:AA144"/>
    <mergeCell ref="AC144:AD144"/>
    <mergeCell ref="AF144:AG144"/>
    <mergeCell ref="AI144:AJ144"/>
    <mergeCell ref="B144:C144"/>
    <mergeCell ref="E144:F144"/>
    <mergeCell ref="H144:I144"/>
    <mergeCell ref="K144:L144"/>
    <mergeCell ref="N144:O144"/>
    <mergeCell ref="Q144:R144"/>
    <mergeCell ref="AI148:AJ148"/>
    <mergeCell ref="Z143:AA143"/>
    <mergeCell ref="AC143:AD143"/>
    <mergeCell ref="AF143:AG143"/>
    <mergeCell ref="AI143:AJ143"/>
    <mergeCell ref="AL143:AM143"/>
    <mergeCell ref="AO143:AP143"/>
    <mergeCell ref="AL140:AM140"/>
    <mergeCell ref="AO140:AP140"/>
    <mergeCell ref="B143:C143"/>
    <mergeCell ref="E143:F143"/>
    <mergeCell ref="H143:I143"/>
    <mergeCell ref="K143:L143"/>
    <mergeCell ref="N143:O143"/>
    <mergeCell ref="Q143:R143"/>
    <mergeCell ref="T143:U143"/>
    <mergeCell ref="W143:X143"/>
    <mergeCell ref="T140:U140"/>
    <mergeCell ref="W140:X140"/>
    <mergeCell ref="Z140:AA140"/>
    <mergeCell ref="AC140:AD140"/>
    <mergeCell ref="AE140:AH140"/>
    <mergeCell ref="AI140:AJ140"/>
    <mergeCell ref="B140:C140"/>
    <mergeCell ref="E140:F140"/>
    <mergeCell ref="H140:I140"/>
    <mergeCell ref="K140:L140"/>
    <mergeCell ref="N140:O140"/>
    <mergeCell ref="Q140:R140"/>
    <mergeCell ref="AC136:AD136"/>
    <mergeCell ref="AF136:AG136"/>
    <mergeCell ref="AI136:AJ136"/>
    <mergeCell ref="AL136:AM136"/>
    <mergeCell ref="AO136:AP136"/>
    <mergeCell ref="Z138:AD138"/>
    <mergeCell ref="AO135:AP135"/>
    <mergeCell ref="B136:C136"/>
    <mergeCell ref="E136:F136"/>
    <mergeCell ref="H136:I136"/>
    <mergeCell ref="K136:L136"/>
    <mergeCell ref="N136:O136"/>
    <mergeCell ref="Q136:R136"/>
    <mergeCell ref="T136:U136"/>
    <mergeCell ref="W136:X136"/>
    <mergeCell ref="Z136:AA136"/>
    <mergeCell ref="W135:X135"/>
    <mergeCell ref="Z135:AA135"/>
    <mergeCell ref="AC135:AD135"/>
    <mergeCell ref="AF135:AG135"/>
    <mergeCell ref="AI135:AJ135"/>
    <mergeCell ref="AL135:AM135"/>
    <mergeCell ref="AL132:AM132"/>
    <mergeCell ref="AO132:AP132"/>
    <mergeCell ref="AL133:AM134"/>
    <mergeCell ref="B135:C135"/>
    <mergeCell ref="E135:F135"/>
    <mergeCell ref="H135:I135"/>
    <mergeCell ref="K135:L135"/>
    <mergeCell ref="N135:O135"/>
    <mergeCell ref="Q135:R135"/>
    <mergeCell ref="T135:U135"/>
    <mergeCell ref="T132:U132"/>
    <mergeCell ref="W132:X132"/>
    <mergeCell ref="Z132:AA132"/>
    <mergeCell ref="AC132:AD132"/>
    <mergeCell ref="AE132:AH132"/>
    <mergeCell ref="AI132:AJ132"/>
    <mergeCell ref="B132:C132"/>
    <mergeCell ref="E132:F132"/>
    <mergeCell ref="H132:I132"/>
    <mergeCell ref="K132:L132"/>
    <mergeCell ref="N132:O132"/>
    <mergeCell ref="Q132:R132"/>
    <mergeCell ref="Z128:AA128"/>
    <mergeCell ref="AC128:AD128"/>
    <mergeCell ref="AF128:AG128"/>
    <mergeCell ref="AI128:AJ128"/>
    <mergeCell ref="AL128:AM128"/>
    <mergeCell ref="AO128:AP128"/>
    <mergeCell ref="AL127:AM127"/>
    <mergeCell ref="AO127:AP127"/>
    <mergeCell ref="B128:C128"/>
    <mergeCell ref="E128:F128"/>
    <mergeCell ref="H128:I128"/>
    <mergeCell ref="K128:L128"/>
    <mergeCell ref="N128:O128"/>
    <mergeCell ref="Q128:R128"/>
    <mergeCell ref="T128:U128"/>
    <mergeCell ref="W128:X128"/>
    <mergeCell ref="T127:U127"/>
    <mergeCell ref="W127:X127"/>
    <mergeCell ref="Z127:AA127"/>
    <mergeCell ref="AC127:AD127"/>
    <mergeCell ref="AF127:AG127"/>
    <mergeCell ref="AI127:AJ127"/>
    <mergeCell ref="AO124:AP124"/>
    <mergeCell ref="E125:F126"/>
    <mergeCell ref="B127:C127"/>
    <mergeCell ref="E127:F127"/>
    <mergeCell ref="H127:I127"/>
    <mergeCell ref="K127:L127"/>
    <mergeCell ref="N127:O127"/>
    <mergeCell ref="Q127:R127"/>
    <mergeCell ref="W124:X124"/>
    <mergeCell ref="Z124:AA124"/>
    <mergeCell ref="AC124:AD124"/>
    <mergeCell ref="AE124:AH124"/>
    <mergeCell ref="AI124:AJ124"/>
    <mergeCell ref="AL124:AM124"/>
    <mergeCell ref="G122:J122"/>
    <mergeCell ref="N122:R122"/>
    <mergeCell ref="S122:V122"/>
    <mergeCell ref="B124:C124"/>
    <mergeCell ref="E124:F124"/>
    <mergeCell ref="H124:I124"/>
    <mergeCell ref="K124:L124"/>
    <mergeCell ref="N124:O124"/>
    <mergeCell ref="Q124:R124"/>
    <mergeCell ref="T124:U124"/>
    <mergeCell ref="Z120:AA120"/>
    <mergeCell ref="AC120:AD120"/>
    <mergeCell ref="AF120:AG120"/>
    <mergeCell ref="AI120:AJ120"/>
    <mergeCell ref="AL120:AM120"/>
    <mergeCell ref="AO120:AP120"/>
    <mergeCell ref="AL119:AM119"/>
    <mergeCell ref="AO119:AP119"/>
    <mergeCell ref="B120:C120"/>
    <mergeCell ref="E120:F120"/>
    <mergeCell ref="H120:I120"/>
    <mergeCell ref="K120:L120"/>
    <mergeCell ref="N120:O120"/>
    <mergeCell ref="Q120:R120"/>
    <mergeCell ref="T120:U120"/>
    <mergeCell ref="W120:X120"/>
    <mergeCell ref="T119:U119"/>
    <mergeCell ref="W119:X119"/>
    <mergeCell ref="Z119:AA119"/>
    <mergeCell ref="AC119:AD119"/>
    <mergeCell ref="AF119:AG119"/>
    <mergeCell ref="AI119:AJ119"/>
    <mergeCell ref="AL116:AM116"/>
    <mergeCell ref="AO116:AP116"/>
    <mergeCell ref="E117:F118"/>
    <mergeCell ref="AO117:AP118"/>
    <mergeCell ref="B119:C119"/>
    <mergeCell ref="E119:F119"/>
    <mergeCell ref="H119:I119"/>
    <mergeCell ref="K119:L119"/>
    <mergeCell ref="N119:O119"/>
    <mergeCell ref="Q119:R119"/>
    <mergeCell ref="T116:U116"/>
    <mergeCell ref="W116:X116"/>
    <mergeCell ref="Z116:AA116"/>
    <mergeCell ref="AC116:AD116"/>
    <mergeCell ref="AE116:AH116"/>
    <mergeCell ref="AI116:AJ116"/>
    <mergeCell ref="B116:C116"/>
    <mergeCell ref="E116:F116"/>
    <mergeCell ref="H116:I116"/>
    <mergeCell ref="K116:L116"/>
    <mergeCell ref="N116:O116"/>
    <mergeCell ref="Q116:R116"/>
    <mergeCell ref="AC112:AD112"/>
    <mergeCell ref="AF112:AG112"/>
    <mergeCell ref="AI112:AJ112"/>
    <mergeCell ref="AL112:AM112"/>
    <mergeCell ref="AO112:AP112"/>
    <mergeCell ref="E114:O114"/>
    <mergeCell ref="AF114:AH114"/>
    <mergeCell ref="AI114:AM114"/>
    <mergeCell ref="AO111:AP111"/>
    <mergeCell ref="B112:C112"/>
    <mergeCell ref="E112:F112"/>
    <mergeCell ref="H112:I112"/>
    <mergeCell ref="K112:L112"/>
    <mergeCell ref="N112:O112"/>
    <mergeCell ref="Q112:R112"/>
    <mergeCell ref="T112:U112"/>
    <mergeCell ref="W112:X112"/>
    <mergeCell ref="Z112:AA112"/>
    <mergeCell ref="W111:X111"/>
    <mergeCell ref="Z111:AA111"/>
    <mergeCell ref="AC111:AD111"/>
    <mergeCell ref="AF111:AG111"/>
    <mergeCell ref="AI111:AJ111"/>
    <mergeCell ref="AL111:AM111"/>
    <mergeCell ref="AL108:AM108"/>
    <mergeCell ref="AO108:AP108"/>
    <mergeCell ref="AL109:AM110"/>
    <mergeCell ref="B111:C111"/>
    <mergeCell ref="E111:F111"/>
    <mergeCell ref="H111:I111"/>
    <mergeCell ref="K111:L111"/>
    <mergeCell ref="N111:O111"/>
    <mergeCell ref="Q111:R111"/>
    <mergeCell ref="T111:U111"/>
    <mergeCell ref="T108:U108"/>
    <mergeCell ref="W108:X108"/>
    <mergeCell ref="Z108:AA108"/>
    <mergeCell ref="AC108:AD108"/>
    <mergeCell ref="AE108:AH108"/>
    <mergeCell ref="AI108:AJ108"/>
    <mergeCell ref="B108:C108"/>
    <mergeCell ref="E108:F108"/>
    <mergeCell ref="H108:I108"/>
    <mergeCell ref="K108:L108"/>
    <mergeCell ref="N108:O108"/>
    <mergeCell ref="Q108:R108"/>
    <mergeCell ref="Z104:AA104"/>
    <mergeCell ref="AC104:AD104"/>
    <mergeCell ref="AF104:AG104"/>
    <mergeCell ref="AI104:AJ104"/>
    <mergeCell ref="AL104:AM104"/>
    <mergeCell ref="AO104:AP104"/>
    <mergeCell ref="AL103:AM103"/>
    <mergeCell ref="AO103:AP103"/>
    <mergeCell ref="B104:C104"/>
    <mergeCell ref="E104:F104"/>
    <mergeCell ref="H104:I104"/>
    <mergeCell ref="K104:L104"/>
    <mergeCell ref="N104:O104"/>
    <mergeCell ref="Q104:R104"/>
    <mergeCell ref="T104:U104"/>
    <mergeCell ref="W104:X104"/>
    <mergeCell ref="T103:U103"/>
    <mergeCell ref="W103:X103"/>
    <mergeCell ref="Z103:AA103"/>
    <mergeCell ref="AC103:AD103"/>
    <mergeCell ref="AF103:AG103"/>
    <mergeCell ref="AI103:AJ103"/>
    <mergeCell ref="AL100:AM100"/>
    <mergeCell ref="AO100:AP100"/>
    <mergeCell ref="B101:C102"/>
    <mergeCell ref="AF101:AG102"/>
    <mergeCell ref="B103:C103"/>
    <mergeCell ref="E103:F103"/>
    <mergeCell ref="H103:I103"/>
    <mergeCell ref="K103:L103"/>
    <mergeCell ref="N103:O103"/>
    <mergeCell ref="Q103:R103"/>
    <mergeCell ref="T100:U100"/>
    <mergeCell ref="W100:X100"/>
    <mergeCell ref="Z100:AA100"/>
    <mergeCell ref="AC100:AD100"/>
    <mergeCell ref="AF100:AG100"/>
    <mergeCell ref="AI100:AJ100"/>
    <mergeCell ref="AI96:AJ96"/>
    <mergeCell ref="AL96:AM96"/>
    <mergeCell ref="AO96:AP96"/>
    <mergeCell ref="AF98:AH98"/>
    <mergeCell ref="B100:C100"/>
    <mergeCell ref="E100:F100"/>
    <mergeCell ref="H100:I100"/>
    <mergeCell ref="K100:L100"/>
    <mergeCell ref="N100:O100"/>
    <mergeCell ref="Q100:R100"/>
    <mergeCell ref="Q96:R96"/>
    <mergeCell ref="T96:U96"/>
    <mergeCell ref="W96:X96"/>
    <mergeCell ref="Z96:AA96"/>
    <mergeCell ref="AC96:AD96"/>
    <mergeCell ref="AF96:AG96"/>
    <mergeCell ref="AC95:AD95"/>
    <mergeCell ref="AF95:AG95"/>
    <mergeCell ref="AI95:AJ95"/>
    <mergeCell ref="AL95:AM95"/>
    <mergeCell ref="AO95:AP95"/>
    <mergeCell ref="B96:C96"/>
    <mergeCell ref="E96:F96"/>
    <mergeCell ref="H96:I96"/>
    <mergeCell ref="K96:L96"/>
    <mergeCell ref="N96:O96"/>
    <mergeCell ref="AO92:AP92"/>
    <mergeCell ref="B95:C95"/>
    <mergeCell ref="E95:F95"/>
    <mergeCell ref="H95:I95"/>
    <mergeCell ref="K95:L95"/>
    <mergeCell ref="N95:O95"/>
    <mergeCell ref="Q95:R95"/>
    <mergeCell ref="T95:U95"/>
    <mergeCell ref="W95:X95"/>
    <mergeCell ref="Z95:AA95"/>
    <mergeCell ref="W92:X92"/>
    <mergeCell ref="Z92:AA92"/>
    <mergeCell ref="AC92:AD92"/>
    <mergeCell ref="AF92:AG92"/>
    <mergeCell ref="AI92:AJ92"/>
    <mergeCell ref="AL92:AM92"/>
    <mergeCell ref="AL88:AM88"/>
    <mergeCell ref="AO88:AP88"/>
    <mergeCell ref="Z90:AD90"/>
    <mergeCell ref="B92:C92"/>
    <mergeCell ref="E92:F92"/>
    <mergeCell ref="H92:I92"/>
    <mergeCell ref="K92:L92"/>
    <mergeCell ref="N92:O92"/>
    <mergeCell ref="Q92:R92"/>
    <mergeCell ref="T92:U92"/>
    <mergeCell ref="T88:U88"/>
    <mergeCell ref="W88:X88"/>
    <mergeCell ref="Z88:AA88"/>
    <mergeCell ref="AC88:AD88"/>
    <mergeCell ref="AF88:AG88"/>
    <mergeCell ref="AI88:AJ88"/>
    <mergeCell ref="B88:C88"/>
    <mergeCell ref="E88:F88"/>
    <mergeCell ref="H88:I88"/>
    <mergeCell ref="K88:L88"/>
    <mergeCell ref="N88:O88"/>
    <mergeCell ref="Q88:R88"/>
    <mergeCell ref="Z87:AA87"/>
    <mergeCell ref="AC87:AD87"/>
    <mergeCell ref="AF87:AG87"/>
    <mergeCell ref="AI87:AJ87"/>
    <mergeCell ref="AL87:AM87"/>
    <mergeCell ref="AO87:AP87"/>
    <mergeCell ref="AL84:AM84"/>
    <mergeCell ref="AO84:AP84"/>
    <mergeCell ref="B87:C87"/>
    <mergeCell ref="E87:F87"/>
    <mergeCell ref="H87:I87"/>
    <mergeCell ref="K87:L87"/>
    <mergeCell ref="N87:O87"/>
    <mergeCell ref="Q87:R87"/>
    <mergeCell ref="T87:U87"/>
    <mergeCell ref="W87:X87"/>
    <mergeCell ref="T84:U84"/>
    <mergeCell ref="W84:X84"/>
    <mergeCell ref="Z84:AA84"/>
    <mergeCell ref="AC84:AD84"/>
    <mergeCell ref="AF84:AG84"/>
    <mergeCell ref="AI84:AJ84"/>
    <mergeCell ref="B84:C84"/>
    <mergeCell ref="E84:F84"/>
    <mergeCell ref="H84:I84"/>
    <mergeCell ref="K84:L84"/>
    <mergeCell ref="N84:O84"/>
    <mergeCell ref="Q84:R84"/>
    <mergeCell ref="AI80:AJ80"/>
    <mergeCell ref="AL80:AM80"/>
    <mergeCell ref="AO80:AP80"/>
    <mergeCell ref="A82:D82"/>
    <mergeCell ref="W82:AA82"/>
    <mergeCell ref="AL82:AP82"/>
    <mergeCell ref="Q80:R80"/>
    <mergeCell ref="T80:U80"/>
    <mergeCell ref="W80:X80"/>
    <mergeCell ref="Z80:AA80"/>
    <mergeCell ref="AC80:AD80"/>
    <mergeCell ref="AF80:AG80"/>
    <mergeCell ref="AC79:AD79"/>
    <mergeCell ref="AF79:AG79"/>
    <mergeCell ref="AI79:AJ79"/>
    <mergeCell ref="AL79:AM79"/>
    <mergeCell ref="AO79:AP79"/>
    <mergeCell ref="B80:C80"/>
    <mergeCell ref="E80:F80"/>
    <mergeCell ref="H80:I80"/>
    <mergeCell ref="K80:L80"/>
    <mergeCell ref="N80:O80"/>
    <mergeCell ref="AO76:AP76"/>
    <mergeCell ref="B79:C79"/>
    <mergeCell ref="E79:F79"/>
    <mergeCell ref="H79:I79"/>
    <mergeCell ref="K79:L79"/>
    <mergeCell ref="N79:O79"/>
    <mergeCell ref="Q79:R79"/>
    <mergeCell ref="T79:U79"/>
    <mergeCell ref="W79:X79"/>
    <mergeCell ref="Z79:AA79"/>
    <mergeCell ref="W76:X76"/>
    <mergeCell ref="Z76:AA76"/>
    <mergeCell ref="AC76:AD76"/>
    <mergeCell ref="AF76:AG76"/>
    <mergeCell ref="AI76:AJ76"/>
    <mergeCell ref="AL76:AM76"/>
    <mergeCell ref="A74:C74"/>
    <mergeCell ref="Q74:S74"/>
    <mergeCell ref="AI74:AP74"/>
    <mergeCell ref="B76:C76"/>
    <mergeCell ref="E76:F76"/>
    <mergeCell ref="H76:I76"/>
    <mergeCell ref="K76:L76"/>
    <mergeCell ref="N76:O76"/>
    <mergeCell ref="Q76:R76"/>
    <mergeCell ref="T76:U76"/>
    <mergeCell ref="Z72:AA72"/>
    <mergeCell ref="AC72:AD72"/>
    <mergeCell ref="AF72:AG72"/>
    <mergeCell ref="AI72:AJ72"/>
    <mergeCell ref="AL72:AM72"/>
    <mergeCell ref="AO72:AP72"/>
    <mergeCell ref="AL71:AM71"/>
    <mergeCell ref="AO71:AP71"/>
    <mergeCell ref="B72:C72"/>
    <mergeCell ref="E72:F72"/>
    <mergeCell ref="H72:I72"/>
    <mergeCell ref="K72:L72"/>
    <mergeCell ref="N72:O72"/>
    <mergeCell ref="Q72:R72"/>
    <mergeCell ref="T72:U72"/>
    <mergeCell ref="W72:X72"/>
    <mergeCell ref="T71:U71"/>
    <mergeCell ref="W71:X71"/>
    <mergeCell ref="Z71:AA71"/>
    <mergeCell ref="AC71:AD71"/>
    <mergeCell ref="AF71:AG71"/>
    <mergeCell ref="AI71:AJ71"/>
    <mergeCell ref="B71:C71"/>
    <mergeCell ref="E71:F71"/>
    <mergeCell ref="H71:I71"/>
    <mergeCell ref="K71:L71"/>
    <mergeCell ref="N71:O71"/>
    <mergeCell ref="Q71:R71"/>
    <mergeCell ref="Z68:AA68"/>
    <mergeCell ref="AC68:AD68"/>
    <mergeCell ref="AF68:AG68"/>
    <mergeCell ref="AI68:AJ68"/>
    <mergeCell ref="AL68:AM68"/>
    <mergeCell ref="AO68:AP68"/>
    <mergeCell ref="W66:AA66"/>
    <mergeCell ref="AO66:AS66"/>
    <mergeCell ref="B68:C68"/>
    <mergeCell ref="E68:F68"/>
    <mergeCell ref="H68:I68"/>
    <mergeCell ref="K68:L68"/>
    <mergeCell ref="N68:O68"/>
    <mergeCell ref="Q68:R68"/>
    <mergeCell ref="T68:U68"/>
    <mergeCell ref="W68:X68"/>
    <mergeCell ref="Z64:AA64"/>
    <mergeCell ref="AC64:AD64"/>
    <mergeCell ref="AF64:AG64"/>
    <mergeCell ref="AI64:AJ64"/>
    <mergeCell ref="AL64:AM64"/>
    <mergeCell ref="AO64:AP64"/>
    <mergeCell ref="AL63:AM63"/>
    <mergeCell ref="AO63:AP63"/>
    <mergeCell ref="B64:C64"/>
    <mergeCell ref="E64:F64"/>
    <mergeCell ref="H64:I64"/>
    <mergeCell ref="K64:L64"/>
    <mergeCell ref="N64:O64"/>
    <mergeCell ref="Q64:R64"/>
    <mergeCell ref="T64:U64"/>
    <mergeCell ref="W64:X64"/>
    <mergeCell ref="T63:U63"/>
    <mergeCell ref="W63:X63"/>
    <mergeCell ref="Z63:AA63"/>
    <mergeCell ref="AC63:AD63"/>
    <mergeCell ref="AF63:AG63"/>
    <mergeCell ref="AI63:AJ63"/>
    <mergeCell ref="AL60:AM60"/>
    <mergeCell ref="AO60:AP60"/>
    <mergeCell ref="Q61:R62"/>
    <mergeCell ref="AC61:AD62"/>
    <mergeCell ref="B63:C63"/>
    <mergeCell ref="E63:F63"/>
    <mergeCell ref="H63:I63"/>
    <mergeCell ref="K63:L63"/>
    <mergeCell ref="N63:O63"/>
    <mergeCell ref="Q63:R63"/>
    <mergeCell ref="T60:U60"/>
    <mergeCell ref="W60:X60"/>
    <mergeCell ref="Z60:AA60"/>
    <mergeCell ref="AC60:AD60"/>
    <mergeCell ref="AF60:AG60"/>
    <mergeCell ref="AI60:AJ60"/>
    <mergeCell ref="B60:C60"/>
    <mergeCell ref="E60:F60"/>
    <mergeCell ref="H60:I60"/>
    <mergeCell ref="K60:L60"/>
    <mergeCell ref="N60:O60"/>
    <mergeCell ref="Q60:R60"/>
    <mergeCell ref="Z56:AA56"/>
    <mergeCell ref="AC56:AD56"/>
    <mergeCell ref="AF56:AG56"/>
    <mergeCell ref="AI56:AJ56"/>
    <mergeCell ref="AL56:AM56"/>
    <mergeCell ref="AO56:AP56"/>
    <mergeCell ref="AL55:AM55"/>
    <mergeCell ref="AO55:AP55"/>
    <mergeCell ref="B56:C56"/>
    <mergeCell ref="E56:F56"/>
    <mergeCell ref="H56:I56"/>
    <mergeCell ref="K56:L56"/>
    <mergeCell ref="N56:O56"/>
    <mergeCell ref="Q56:R56"/>
    <mergeCell ref="T56:U56"/>
    <mergeCell ref="W56:X56"/>
    <mergeCell ref="T55:U55"/>
    <mergeCell ref="W55:X55"/>
    <mergeCell ref="Z55:AA55"/>
    <mergeCell ref="AC55:AD55"/>
    <mergeCell ref="AF55:AG55"/>
    <mergeCell ref="AI55:AJ55"/>
    <mergeCell ref="B55:C55"/>
    <mergeCell ref="E55:F55"/>
    <mergeCell ref="H55:I55"/>
    <mergeCell ref="K55:L55"/>
    <mergeCell ref="N55:O55"/>
    <mergeCell ref="Q55:R55"/>
    <mergeCell ref="AC52:AD52"/>
    <mergeCell ref="AF52:AG52"/>
    <mergeCell ref="AI52:AJ52"/>
    <mergeCell ref="AL52:AM52"/>
    <mergeCell ref="AO52:AP52"/>
    <mergeCell ref="AF53:AG54"/>
    <mergeCell ref="AI53:AJ54"/>
    <mergeCell ref="W50:AD50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Z48:AA48"/>
    <mergeCell ref="AC48:AD48"/>
    <mergeCell ref="AF48:AG48"/>
    <mergeCell ref="AI48:AJ48"/>
    <mergeCell ref="AL48:AM48"/>
    <mergeCell ref="AO48:AP48"/>
    <mergeCell ref="AL47:AM47"/>
    <mergeCell ref="AO47:AP47"/>
    <mergeCell ref="B48:C48"/>
    <mergeCell ref="E48:F48"/>
    <mergeCell ref="H48:I48"/>
    <mergeCell ref="K48:L48"/>
    <mergeCell ref="N48:O48"/>
    <mergeCell ref="Q48:R48"/>
    <mergeCell ref="T48:U48"/>
    <mergeCell ref="W48:X48"/>
    <mergeCell ref="T47:U47"/>
    <mergeCell ref="W47:X47"/>
    <mergeCell ref="Z47:AA47"/>
    <mergeCell ref="AC47:AD47"/>
    <mergeCell ref="AF47:AG47"/>
    <mergeCell ref="AI47:AJ47"/>
    <mergeCell ref="Q45:R46"/>
    <mergeCell ref="B47:C47"/>
    <mergeCell ref="E47:F47"/>
    <mergeCell ref="H47:I47"/>
    <mergeCell ref="K47:L47"/>
    <mergeCell ref="N47:O47"/>
    <mergeCell ref="Q47:R47"/>
    <mergeCell ref="Z44:AA44"/>
    <mergeCell ref="AC44:AD44"/>
    <mergeCell ref="AF44:AG44"/>
    <mergeCell ref="AI44:AJ44"/>
    <mergeCell ref="AL44:AM44"/>
    <mergeCell ref="AO44:AP44"/>
    <mergeCell ref="AL40:AM40"/>
    <mergeCell ref="AO40:AP40"/>
    <mergeCell ref="B44:C44"/>
    <mergeCell ref="E44:F44"/>
    <mergeCell ref="H44:I44"/>
    <mergeCell ref="K44:L44"/>
    <mergeCell ref="N44:O44"/>
    <mergeCell ref="Q44:R44"/>
    <mergeCell ref="T44:U44"/>
    <mergeCell ref="W44:X44"/>
    <mergeCell ref="T40:U40"/>
    <mergeCell ref="W40:X40"/>
    <mergeCell ref="Z40:AA40"/>
    <mergeCell ref="AC40:AD40"/>
    <mergeCell ref="AF40:AG40"/>
    <mergeCell ref="AI40:AJ40"/>
    <mergeCell ref="B40:C40"/>
    <mergeCell ref="E40:F40"/>
    <mergeCell ref="H40:I40"/>
    <mergeCell ref="K40:L40"/>
    <mergeCell ref="N40:O40"/>
    <mergeCell ref="Q40:R40"/>
    <mergeCell ref="Z39:AA39"/>
    <mergeCell ref="AC39:AD39"/>
    <mergeCell ref="AF39:AG39"/>
    <mergeCell ref="AI39:AJ39"/>
    <mergeCell ref="AL39:AM39"/>
    <mergeCell ref="AO39:AP39"/>
    <mergeCell ref="AL36:AM36"/>
    <mergeCell ref="AO36:AP36"/>
    <mergeCell ref="B39:C39"/>
    <mergeCell ref="E39:F39"/>
    <mergeCell ref="H39:I39"/>
    <mergeCell ref="K39:L39"/>
    <mergeCell ref="N39:O39"/>
    <mergeCell ref="Q39:R39"/>
    <mergeCell ref="T39:U39"/>
    <mergeCell ref="W39:X39"/>
    <mergeCell ref="T36:U36"/>
    <mergeCell ref="W36:X36"/>
    <mergeCell ref="Z36:AA36"/>
    <mergeCell ref="AC36:AD36"/>
    <mergeCell ref="AF36:AG36"/>
    <mergeCell ref="AI36:AJ36"/>
    <mergeCell ref="B36:C36"/>
    <mergeCell ref="E36:F36"/>
    <mergeCell ref="H36:I36"/>
    <mergeCell ref="K36:L36"/>
    <mergeCell ref="N36:O36"/>
    <mergeCell ref="Q36:R36"/>
    <mergeCell ref="AC32:AD32"/>
    <mergeCell ref="AF32:AG32"/>
    <mergeCell ref="AI32:AJ32"/>
    <mergeCell ref="AL32:AM32"/>
    <mergeCell ref="AO32:AP32"/>
    <mergeCell ref="B34:D34"/>
    <mergeCell ref="AO31:AP31"/>
    <mergeCell ref="B32:C32"/>
    <mergeCell ref="E32:F32"/>
    <mergeCell ref="H32:I32"/>
    <mergeCell ref="K32:L32"/>
    <mergeCell ref="N32:O32"/>
    <mergeCell ref="Q32:R32"/>
    <mergeCell ref="T32:U32"/>
    <mergeCell ref="W32:X32"/>
    <mergeCell ref="Z32:AA32"/>
    <mergeCell ref="W31:X31"/>
    <mergeCell ref="Z31:AA31"/>
    <mergeCell ref="AC31:AD31"/>
    <mergeCell ref="AF31:AG31"/>
    <mergeCell ref="AI31:AJ31"/>
    <mergeCell ref="AL31:AM31"/>
    <mergeCell ref="AL28:AM28"/>
    <mergeCell ref="AO28:AP28"/>
    <mergeCell ref="W29:X30"/>
    <mergeCell ref="B31:C31"/>
    <mergeCell ref="E31:F31"/>
    <mergeCell ref="H31:I31"/>
    <mergeCell ref="K31:L31"/>
    <mergeCell ref="N31:O31"/>
    <mergeCell ref="Q31:R31"/>
    <mergeCell ref="T31:U31"/>
    <mergeCell ref="T28:U28"/>
    <mergeCell ref="W28:X28"/>
    <mergeCell ref="Z28:AA28"/>
    <mergeCell ref="AC28:AD28"/>
    <mergeCell ref="AF28:AG28"/>
    <mergeCell ref="AI28:AJ28"/>
    <mergeCell ref="AL24:AM24"/>
    <mergeCell ref="AO24:AP24"/>
    <mergeCell ref="G26:J26"/>
    <mergeCell ref="T26:X26"/>
    <mergeCell ref="B28:C28"/>
    <mergeCell ref="E28:F28"/>
    <mergeCell ref="H28:I28"/>
    <mergeCell ref="K28:L28"/>
    <mergeCell ref="N28:O28"/>
    <mergeCell ref="Q28:R28"/>
    <mergeCell ref="T24:U24"/>
    <mergeCell ref="W24:X24"/>
    <mergeCell ref="Z24:AA24"/>
    <mergeCell ref="AC24:AD24"/>
    <mergeCell ref="AF24:AG24"/>
    <mergeCell ref="AI24:AJ24"/>
    <mergeCell ref="E16:F16"/>
    <mergeCell ref="H16:I16"/>
    <mergeCell ref="K16:L16"/>
    <mergeCell ref="N16:O16"/>
    <mergeCell ref="B24:C24"/>
    <mergeCell ref="E24:F24"/>
    <mergeCell ref="H24:I24"/>
    <mergeCell ref="K24:L24"/>
    <mergeCell ref="N24:O24"/>
    <mergeCell ref="Q24:R24"/>
    <mergeCell ref="Z23:AA23"/>
    <mergeCell ref="AC23:AD23"/>
    <mergeCell ref="AF23:AG23"/>
    <mergeCell ref="AI23:AJ23"/>
    <mergeCell ref="AL23:AM23"/>
    <mergeCell ref="AO23:AP23"/>
    <mergeCell ref="AL20:AM20"/>
    <mergeCell ref="AO20:AP20"/>
    <mergeCell ref="B23:C23"/>
    <mergeCell ref="E23:F23"/>
    <mergeCell ref="H23:I23"/>
    <mergeCell ref="K23:L23"/>
    <mergeCell ref="N23:O23"/>
    <mergeCell ref="Q23:R23"/>
    <mergeCell ref="T23:U23"/>
    <mergeCell ref="W23:X23"/>
    <mergeCell ref="T20:U20"/>
    <mergeCell ref="W20:X20"/>
    <mergeCell ref="Z20:AA20"/>
    <mergeCell ref="AC20:AD20"/>
    <mergeCell ref="AF20:AG20"/>
    <mergeCell ref="AI20:AJ20"/>
    <mergeCell ref="K12:L12"/>
    <mergeCell ref="N12:O12"/>
    <mergeCell ref="Q12:R12"/>
    <mergeCell ref="T12:U12"/>
    <mergeCell ref="W8:X8"/>
    <mergeCell ref="Z8:AA8"/>
    <mergeCell ref="AC8:AD8"/>
    <mergeCell ref="AF8:AG8"/>
    <mergeCell ref="AI8:AJ8"/>
    <mergeCell ref="AL8:AM8"/>
    <mergeCell ref="AI16:AJ16"/>
    <mergeCell ref="AL16:AM16"/>
    <mergeCell ref="AO16:AP16"/>
    <mergeCell ref="D18:G18"/>
    <mergeCell ref="B20:C20"/>
    <mergeCell ref="E20:F20"/>
    <mergeCell ref="H20:I20"/>
    <mergeCell ref="K20:L20"/>
    <mergeCell ref="N20:O20"/>
    <mergeCell ref="Q20:R20"/>
    <mergeCell ref="Q16:R16"/>
    <mergeCell ref="T16:U16"/>
    <mergeCell ref="W16:X16"/>
    <mergeCell ref="Z16:AA16"/>
    <mergeCell ref="AC16:AD16"/>
    <mergeCell ref="AF16:AG16"/>
    <mergeCell ref="AC15:AD15"/>
    <mergeCell ref="AF15:AG15"/>
    <mergeCell ref="AI15:AJ15"/>
    <mergeCell ref="AL15:AM15"/>
    <mergeCell ref="AO15:AP15"/>
    <mergeCell ref="B16:C16"/>
    <mergeCell ref="E7:F7"/>
    <mergeCell ref="H7:I7"/>
    <mergeCell ref="K7:L7"/>
    <mergeCell ref="N7:O7"/>
    <mergeCell ref="Q4:R4"/>
    <mergeCell ref="T4:U4"/>
    <mergeCell ref="W4:X4"/>
    <mergeCell ref="Z4:AA4"/>
    <mergeCell ref="AC4:AD4"/>
    <mergeCell ref="AF4:AG4"/>
    <mergeCell ref="AO12:AP12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W12:X12"/>
    <mergeCell ref="Z12:AA12"/>
    <mergeCell ref="AC12:AD12"/>
    <mergeCell ref="AF12:AG12"/>
    <mergeCell ref="AI12:AJ12"/>
    <mergeCell ref="AL12:AM12"/>
    <mergeCell ref="AO8:AP8"/>
    <mergeCell ref="S10:V10"/>
    <mergeCell ref="Y10:AB10"/>
    <mergeCell ref="B12:C12"/>
    <mergeCell ref="E12:F12"/>
    <mergeCell ref="H12:I12"/>
    <mergeCell ref="A1:AS1"/>
    <mergeCell ref="AV1:BB1"/>
    <mergeCell ref="T2:AD2"/>
    <mergeCell ref="AK2:AM2"/>
    <mergeCell ref="AN2:AP2"/>
    <mergeCell ref="B4:C4"/>
    <mergeCell ref="E4:F4"/>
    <mergeCell ref="H4:I4"/>
    <mergeCell ref="K4:L4"/>
    <mergeCell ref="N4:O4"/>
    <mergeCell ref="AI7:AJ7"/>
    <mergeCell ref="AL7:AM7"/>
    <mergeCell ref="AO7:AP7"/>
    <mergeCell ref="B8:C8"/>
    <mergeCell ref="E8:F8"/>
    <mergeCell ref="H8:I8"/>
    <mergeCell ref="K8:L8"/>
    <mergeCell ref="N8:O8"/>
    <mergeCell ref="Q8:R8"/>
    <mergeCell ref="T8:U8"/>
    <mergeCell ref="Q7:R7"/>
    <mergeCell ref="T7:U7"/>
    <mergeCell ref="W7:X7"/>
    <mergeCell ref="Z7:AA7"/>
    <mergeCell ref="AC7:AD7"/>
    <mergeCell ref="AF7:AG7"/>
    <mergeCell ref="AI4:AJ4"/>
    <mergeCell ref="AL4:AM4"/>
    <mergeCell ref="AO4:AP4"/>
    <mergeCell ref="T5:U6"/>
    <mergeCell ref="W5:X6"/>
    <mergeCell ref="B7:C7"/>
  </mergeCells>
  <conditionalFormatting sqref="B5:B6 AQ6 AS6:AT6">
    <cfRule type="containsText" dxfId="4675" priority="1558" operator="containsText" text="fnd">
      <formula>NOT(ISERROR(SEARCH("fnd",B5)))</formula>
    </cfRule>
  </conditionalFormatting>
  <conditionalFormatting sqref="B5:B6 AS6:AT6 AQ6">
    <cfRule type="containsText" dxfId="4674" priority="1557" operator="containsText" text="Ear">
      <formula>NOT(ISERROR(SEARCH("Ear",B5)))</formula>
    </cfRule>
  </conditionalFormatting>
  <conditionalFormatting sqref="B5:B6 AS6:AT6">
    <cfRule type="containsText" dxfId="4673" priority="1555" operator="containsText" text="Str">
      <formula>NOT(ISERROR(SEARCH("Str",B5)))</formula>
    </cfRule>
    <cfRule type="containsText" dxfId="4672" priority="1556" operator="containsText" text="Ere">
      <formula>NOT(ISERROR(SEARCH("Ere",B5)))</formula>
    </cfRule>
  </conditionalFormatting>
  <conditionalFormatting sqref="B13:B14 J217:L217 N217:O217">
    <cfRule type="containsText" dxfId="4671" priority="1635" operator="containsText" text="Str">
      <formula>NOT(ISERROR(SEARCH("Str",B13)))</formula>
    </cfRule>
    <cfRule type="containsText" dxfId="4670" priority="1636" operator="containsText" text="Ere">
      <formula>NOT(ISERROR(SEARCH("Ere",B13)))</formula>
    </cfRule>
    <cfRule type="containsText" dxfId="4669" priority="1637" operator="containsText" text="Ear">
      <formula>NOT(ISERROR(SEARCH("Ear",B13)))</formula>
    </cfRule>
    <cfRule type="containsText" dxfId="4668" priority="1638" operator="containsText" text="fnd">
      <formula>NOT(ISERROR(SEARCH("fnd",B13)))</formula>
    </cfRule>
  </conditionalFormatting>
  <conditionalFormatting sqref="B21:B22 E186:E198 H186:H198 K186:K198 N186:N198 Q186:Q198 T186:T198 W186:W198 Z186:Z198 AC186:AC198 AF186:AF198 AI186:AI198 AL186:AL198 AO186:AO198 O216 W216:X216 AB216">
    <cfRule type="containsText" dxfId="4667" priority="1451" operator="containsText" text="Str">
      <formula>NOT(ISERROR(SEARCH("Str",B21)))</formula>
    </cfRule>
    <cfRule type="containsText" dxfId="4666" priority="1452" operator="containsText" text="Ere">
      <formula>NOT(ISERROR(SEARCH("Ere",B21)))</formula>
    </cfRule>
    <cfRule type="containsText" dxfId="4665" priority="1453" operator="containsText" text="Ear">
      <formula>NOT(ISERROR(SEARCH("Ear",B21)))</formula>
    </cfRule>
    <cfRule type="containsText" dxfId="4664" priority="1454" operator="containsText" text="fnd">
      <formula>NOT(ISERROR(SEARCH("fnd",B21)))</formula>
    </cfRule>
  </conditionalFormatting>
  <conditionalFormatting sqref="B29:B30">
    <cfRule type="containsText" dxfId="4663" priority="907" operator="containsText" text="Str">
      <formula>NOT(ISERROR(SEARCH("Str",B29)))</formula>
    </cfRule>
    <cfRule type="containsText" dxfId="4662" priority="908" operator="containsText" text="Ere">
      <formula>NOT(ISERROR(SEARCH("Ere",B29)))</formula>
    </cfRule>
    <cfRule type="containsText" dxfId="4661" priority="909" operator="containsText" text="Ear">
      <formula>NOT(ISERROR(SEARCH("Ear",B29)))</formula>
    </cfRule>
    <cfRule type="containsText" dxfId="4660" priority="910" operator="containsText" text="fnd">
      <formula>NOT(ISERROR(SEARCH("fnd",B29)))</formula>
    </cfRule>
  </conditionalFormatting>
  <conditionalFormatting sqref="B37:B38">
    <cfRule type="containsText" dxfId="4659" priority="651" operator="containsText" text="Str">
      <formula>NOT(ISERROR(SEARCH("Str",B37)))</formula>
    </cfRule>
    <cfRule type="containsText" dxfId="4658" priority="652" operator="containsText" text="Ere">
      <formula>NOT(ISERROR(SEARCH("Ere",B37)))</formula>
    </cfRule>
    <cfRule type="containsText" dxfId="4657" priority="653" operator="containsText" text="Ear">
      <formula>NOT(ISERROR(SEARCH("Ear",B37)))</formula>
    </cfRule>
    <cfRule type="containsText" dxfId="4656" priority="654" operator="containsText" text="fnd">
      <formula>NOT(ISERROR(SEARCH("fnd",B37)))</formula>
    </cfRule>
  </conditionalFormatting>
  <conditionalFormatting sqref="B45:B46">
    <cfRule type="containsText" dxfId="4655" priority="2067" operator="containsText" text="Str">
      <formula>NOT(ISERROR(SEARCH("Str",B45)))</formula>
    </cfRule>
    <cfRule type="containsText" dxfId="4654" priority="2068" operator="containsText" text="Ere">
      <formula>NOT(ISERROR(SEARCH("Ere",B45)))</formula>
    </cfRule>
    <cfRule type="containsText" dxfId="4653" priority="2069" operator="containsText" text="Ear">
      <formula>NOT(ISERROR(SEARCH("Ear",B45)))</formula>
    </cfRule>
    <cfRule type="containsText" dxfId="4652" priority="2070" operator="containsText" text="fnd">
      <formula>NOT(ISERROR(SEARCH("fnd",B45)))</formula>
    </cfRule>
  </conditionalFormatting>
  <conditionalFormatting sqref="B69">
    <cfRule type="containsText" dxfId="4651" priority="1935" operator="containsText" text="Str">
      <formula>NOT(ISERROR(SEARCH("Str",B69)))</formula>
    </cfRule>
    <cfRule type="containsText" dxfId="4650" priority="1936" operator="containsText" text="Ere">
      <formula>NOT(ISERROR(SEARCH("Ere",B69)))</formula>
    </cfRule>
    <cfRule type="containsText" dxfId="4649" priority="1937" operator="containsText" text="Ear">
      <formula>NOT(ISERROR(SEARCH("Ear",B69)))</formula>
    </cfRule>
    <cfRule type="containsText" dxfId="4648" priority="1938" operator="containsText" text="fnd">
      <formula>NOT(ISERROR(SEARCH("fnd",B69)))</formula>
    </cfRule>
  </conditionalFormatting>
  <conditionalFormatting sqref="B77">
    <cfRule type="containsText" dxfId="4647" priority="799" operator="containsText" text="Str">
      <formula>NOT(ISERROR(SEARCH("Str",B77)))</formula>
    </cfRule>
    <cfRule type="containsText" dxfId="4646" priority="800" operator="containsText" text="Ere">
      <formula>NOT(ISERROR(SEARCH("Ere",B77)))</formula>
    </cfRule>
    <cfRule type="containsText" dxfId="4645" priority="801" operator="containsText" text="Ear">
      <formula>NOT(ISERROR(SEARCH("Ear",B77)))</formula>
    </cfRule>
    <cfRule type="containsText" dxfId="4644" priority="802" operator="containsText" text="fnd">
      <formula>NOT(ISERROR(SEARCH("fnd",B77)))</formula>
    </cfRule>
  </conditionalFormatting>
  <conditionalFormatting sqref="B86">
    <cfRule type="containsText" dxfId="4643" priority="349" operator="containsText" text="Str">
      <formula>NOT(ISERROR(SEARCH("Str",B86)))</formula>
    </cfRule>
    <cfRule type="containsText" dxfId="4642" priority="350" operator="containsText" text="Ere">
      <formula>NOT(ISERROR(SEARCH("Ere",B86)))</formula>
    </cfRule>
    <cfRule type="containsText" dxfId="4641" priority="351" operator="containsText" text="Ear">
      <formula>NOT(ISERROR(SEARCH("Ear",B86)))</formula>
    </cfRule>
    <cfRule type="containsText" dxfId="4640" priority="352" operator="containsText" text="fnd">
      <formula>NOT(ISERROR(SEARCH("fnd",B86)))</formula>
    </cfRule>
  </conditionalFormatting>
  <conditionalFormatting sqref="B101">
    <cfRule type="containsText" dxfId="4639" priority="1543" operator="containsText" text="Str">
      <formula>NOT(ISERROR(SEARCH("Str",B101)))</formula>
    </cfRule>
    <cfRule type="containsText" dxfId="4638" priority="1544" operator="containsText" text="Ere">
      <formula>NOT(ISERROR(SEARCH("Ere",B101)))</formula>
    </cfRule>
    <cfRule type="containsText" dxfId="4637" priority="1545" operator="containsText" text="Ear">
      <formula>NOT(ISERROR(SEARCH("Ear",B101)))</formula>
    </cfRule>
    <cfRule type="containsText" dxfId="4636" priority="1546" operator="containsText" text="fnd">
      <formula>NOT(ISERROR(SEARCH("fnd",B101)))</formula>
    </cfRule>
  </conditionalFormatting>
  <conditionalFormatting sqref="B109">
    <cfRule type="containsText" dxfId="4635" priority="731" operator="containsText" text="Str">
      <formula>NOT(ISERROR(SEARCH("Str",B109)))</formula>
    </cfRule>
    <cfRule type="containsText" dxfId="4634" priority="732" operator="containsText" text="Ere">
      <formula>NOT(ISERROR(SEARCH("Ere",B109)))</formula>
    </cfRule>
    <cfRule type="containsText" dxfId="4633" priority="733" operator="containsText" text="Ear">
      <formula>NOT(ISERROR(SEARCH("Ear",B109)))</formula>
    </cfRule>
    <cfRule type="containsText" dxfId="4632" priority="734" operator="containsText" text="fnd">
      <formula>NOT(ISERROR(SEARCH("fnd",B109)))</formula>
    </cfRule>
  </conditionalFormatting>
  <conditionalFormatting sqref="B117">
    <cfRule type="containsText" dxfId="4631" priority="1423" operator="containsText" text="Str">
      <formula>NOT(ISERROR(SEARCH("Str",B117)))</formula>
    </cfRule>
    <cfRule type="containsText" dxfId="4630" priority="1424" operator="containsText" text="Ere">
      <formula>NOT(ISERROR(SEARCH("Ere",B117)))</formula>
    </cfRule>
    <cfRule type="containsText" dxfId="4629" priority="1425" operator="containsText" text="Ear">
      <formula>NOT(ISERROR(SEARCH("Ear",B117)))</formula>
    </cfRule>
    <cfRule type="containsText" dxfId="4628" priority="1426" operator="containsText" text="fnd">
      <formula>NOT(ISERROR(SEARCH("fnd",B117)))</formula>
    </cfRule>
  </conditionalFormatting>
  <conditionalFormatting sqref="B125">
    <cfRule type="containsText" dxfId="4627" priority="1363" operator="containsText" text="Str">
      <formula>NOT(ISERROR(SEARCH("Str",B125)))</formula>
    </cfRule>
    <cfRule type="containsText" dxfId="4626" priority="1364" operator="containsText" text="Ere">
      <formula>NOT(ISERROR(SEARCH("Ere",B125)))</formula>
    </cfRule>
    <cfRule type="containsText" dxfId="4625" priority="1365" operator="containsText" text="Ear">
      <formula>NOT(ISERROR(SEARCH("Ear",B125)))</formula>
    </cfRule>
    <cfRule type="containsText" dxfId="4624" priority="1366" operator="containsText" text="fnd">
      <formula>NOT(ISERROR(SEARCH("fnd",B125)))</formula>
    </cfRule>
  </conditionalFormatting>
  <conditionalFormatting sqref="B133">
    <cfRule type="containsText" dxfId="4623" priority="1335" operator="containsText" text="Str">
      <formula>NOT(ISERROR(SEARCH("Str",B133)))</formula>
    </cfRule>
    <cfRule type="containsText" dxfId="4622" priority="1336" operator="containsText" text="Ere">
      <formula>NOT(ISERROR(SEARCH("Ere",B133)))</formula>
    </cfRule>
    <cfRule type="containsText" dxfId="4621" priority="1337" operator="containsText" text="Ear">
      <formula>NOT(ISERROR(SEARCH("Ear",B133)))</formula>
    </cfRule>
    <cfRule type="containsText" dxfId="4620" priority="1338" operator="containsText" text="fnd">
      <formula>NOT(ISERROR(SEARCH("fnd",B133)))</formula>
    </cfRule>
  </conditionalFormatting>
  <conditionalFormatting sqref="B141">
    <cfRule type="containsText" dxfId="4619" priority="1283" operator="containsText" text="Str">
      <formula>NOT(ISERROR(SEARCH("Str",B141)))</formula>
    </cfRule>
    <cfRule type="containsText" dxfId="4618" priority="1284" operator="containsText" text="Ere">
      <formula>NOT(ISERROR(SEARCH("Ere",B141)))</formula>
    </cfRule>
    <cfRule type="containsText" dxfId="4617" priority="1285" operator="containsText" text="Ear">
      <formula>NOT(ISERROR(SEARCH("Ear",B141)))</formula>
    </cfRule>
    <cfRule type="containsText" dxfId="4616" priority="1286" operator="containsText" text="fnd">
      <formula>NOT(ISERROR(SEARCH("fnd",B141)))</formula>
    </cfRule>
  </conditionalFormatting>
  <conditionalFormatting sqref="B149">
    <cfRule type="containsText" dxfId="4615" priority="381" operator="containsText" text="Str">
      <formula>NOT(ISERROR(SEARCH("Str",B149)))</formula>
    </cfRule>
    <cfRule type="containsText" dxfId="4614" priority="382" operator="containsText" text="Ere">
      <formula>NOT(ISERROR(SEARCH("Ere",B149)))</formula>
    </cfRule>
    <cfRule type="containsText" dxfId="4613" priority="383" operator="containsText" text="Ear">
      <formula>NOT(ISERROR(SEARCH("Ear",B149)))</formula>
    </cfRule>
    <cfRule type="containsText" dxfId="4612" priority="384" operator="containsText" text="fnd">
      <formula>NOT(ISERROR(SEARCH("fnd",B149)))</formula>
    </cfRule>
  </conditionalFormatting>
  <conditionalFormatting sqref="B157">
    <cfRule type="containsText" dxfId="4611" priority="1139" operator="containsText" text="Str">
      <formula>NOT(ISERROR(SEARCH("Str",B157)))</formula>
    </cfRule>
    <cfRule type="containsText" dxfId="4610" priority="1140" operator="containsText" text="Ere">
      <formula>NOT(ISERROR(SEARCH("Ere",B157)))</formula>
    </cfRule>
    <cfRule type="containsText" dxfId="4609" priority="1141" operator="containsText" text="Ear">
      <formula>NOT(ISERROR(SEARCH("Ear",B157)))</formula>
    </cfRule>
    <cfRule type="containsText" dxfId="4608" priority="1142" operator="containsText" text="fnd">
      <formula>NOT(ISERROR(SEARCH("fnd",B157)))</formula>
    </cfRule>
  </conditionalFormatting>
  <conditionalFormatting sqref="B165">
    <cfRule type="containsText" dxfId="4607" priority="505" operator="containsText" text="Str">
      <formula>NOT(ISERROR(SEARCH("Str",B165)))</formula>
    </cfRule>
    <cfRule type="containsText" dxfId="4606" priority="506" operator="containsText" text="Ere">
      <formula>NOT(ISERROR(SEARCH("Ere",B165)))</formula>
    </cfRule>
    <cfRule type="containsText" dxfId="4605" priority="507" operator="containsText" text="Ear">
      <formula>NOT(ISERROR(SEARCH("Ear",B165)))</formula>
    </cfRule>
    <cfRule type="containsText" dxfId="4604" priority="508" operator="containsText" text="fnd">
      <formula>NOT(ISERROR(SEARCH("fnd",B165)))</formula>
    </cfRule>
  </conditionalFormatting>
  <conditionalFormatting sqref="B173">
    <cfRule type="containsText" dxfId="4603" priority="1003" operator="containsText" text="Str">
      <formula>NOT(ISERROR(SEARCH("Str",B173)))</formula>
    </cfRule>
    <cfRule type="containsText" dxfId="4602" priority="1004" operator="containsText" text="Ere">
      <formula>NOT(ISERROR(SEARCH("Ere",B173)))</formula>
    </cfRule>
    <cfRule type="containsText" dxfId="4601" priority="1005" operator="containsText" text="Ear">
      <formula>NOT(ISERROR(SEARCH("Ear",B173)))</formula>
    </cfRule>
    <cfRule type="containsText" dxfId="4600" priority="1006" operator="containsText" text="fnd">
      <formula>NOT(ISERROR(SEARCH("fnd",B173)))</formula>
    </cfRule>
  </conditionalFormatting>
  <conditionalFormatting sqref="B181">
    <cfRule type="containsText" dxfId="4599" priority="269" operator="containsText" text="Str">
      <formula>NOT(ISERROR(SEARCH("Str",B181)))</formula>
    </cfRule>
    <cfRule type="containsText" dxfId="4598" priority="270" operator="containsText" text="Ere">
      <formula>NOT(ISERROR(SEARCH("Ere",B181)))</formula>
    </cfRule>
    <cfRule type="containsText" dxfId="4597" priority="271" operator="containsText" text="Ear">
      <formula>NOT(ISERROR(SEARCH("Ear",B181)))</formula>
    </cfRule>
    <cfRule type="containsText" dxfId="4596" priority="272" operator="containsText" text="fnd">
      <formula>NOT(ISERROR(SEARCH("fnd",B181)))</formula>
    </cfRule>
  </conditionalFormatting>
  <conditionalFormatting sqref="B54:C54">
    <cfRule type="containsText" dxfId="4595" priority="2063" operator="containsText" text="Str">
      <formula>NOT(ISERROR(SEARCH("Str",B54)))</formula>
    </cfRule>
    <cfRule type="containsText" dxfId="4594" priority="2064" operator="containsText" text="Ere">
      <formula>NOT(ISERROR(SEARCH("Ere",B54)))</formula>
    </cfRule>
    <cfRule type="containsText" dxfId="4593" priority="2065" operator="containsText" text="Ear">
      <formula>NOT(ISERROR(SEARCH("Ear",B54)))</formula>
    </cfRule>
    <cfRule type="containsText" dxfId="4592" priority="2066" operator="containsText" text="fnd">
      <formula>NOT(ISERROR(SEARCH("fnd",B54)))</formula>
    </cfRule>
  </conditionalFormatting>
  <conditionalFormatting sqref="B62:C62">
    <cfRule type="containsText" dxfId="4591" priority="2059" operator="containsText" text="Str">
      <formula>NOT(ISERROR(SEARCH("Str",B62)))</formula>
    </cfRule>
    <cfRule type="containsText" dxfId="4590" priority="2060" operator="containsText" text="Ere">
      <formula>NOT(ISERROR(SEARCH("Ere",B62)))</formula>
    </cfRule>
    <cfRule type="containsText" dxfId="4589" priority="2061" operator="containsText" text="Ear">
      <formula>NOT(ISERROR(SEARCH("Ear",B62)))</formula>
    </cfRule>
    <cfRule type="containsText" dxfId="4588" priority="2062" operator="containsText" text="fnd">
      <formula>NOT(ISERROR(SEARCH("fnd",B62)))</formula>
    </cfRule>
  </conditionalFormatting>
  <conditionalFormatting sqref="B78:C78">
    <cfRule type="containsText" dxfId="4587" priority="803" operator="containsText" text="Str">
      <formula>NOT(ISERROR(SEARCH("Str",B78)))</formula>
    </cfRule>
    <cfRule type="containsText" dxfId="4586" priority="804" operator="containsText" text="Ere">
      <formula>NOT(ISERROR(SEARCH("Ere",B78)))</formula>
    </cfRule>
    <cfRule type="containsText" dxfId="4585" priority="805" operator="containsText" text="Ear">
      <formula>NOT(ISERROR(SEARCH("Ear",B78)))</formula>
    </cfRule>
    <cfRule type="containsText" dxfId="4584" priority="806" operator="containsText" text="fnd">
      <formula>NOT(ISERROR(SEARCH("fnd",B78)))</formula>
    </cfRule>
  </conditionalFormatting>
  <conditionalFormatting sqref="B94:C94">
    <cfRule type="containsText" dxfId="4583" priority="2055" operator="containsText" text="Str">
      <formula>NOT(ISERROR(SEARCH("Str",B94)))</formula>
    </cfRule>
    <cfRule type="containsText" dxfId="4582" priority="2056" operator="containsText" text="Ere">
      <formula>NOT(ISERROR(SEARCH("Ere",B94)))</formula>
    </cfRule>
    <cfRule type="containsText" dxfId="4581" priority="2057" operator="containsText" text="Ear">
      <formula>NOT(ISERROR(SEARCH("Ear",B94)))</formula>
    </cfRule>
    <cfRule type="containsText" dxfId="4580" priority="2058" operator="containsText" text="fnd">
      <formula>NOT(ISERROR(SEARCH("fnd",B94)))</formula>
    </cfRule>
  </conditionalFormatting>
  <conditionalFormatting sqref="B118:C118">
    <cfRule type="containsText" dxfId="4579" priority="1427" operator="containsText" text="Str">
      <formula>NOT(ISERROR(SEARCH("Str",B118)))</formula>
    </cfRule>
    <cfRule type="containsText" dxfId="4578" priority="1428" operator="containsText" text="Ere">
      <formula>NOT(ISERROR(SEARCH("Ere",B118)))</formula>
    </cfRule>
    <cfRule type="containsText" dxfId="4577" priority="1429" operator="containsText" text="Ear">
      <formula>NOT(ISERROR(SEARCH("Ear",B118)))</formula>
    </cfRule>
    <cfRule type="containsText" dxfId="4576" priority="1430" operator="containsText" text="fnd">
      <formula>NOT(ISERROR(SEARCH("fnd",B118)))</formula>
    </cfRule>
  </conditionalFormatting>
  <conditionalFormatting sqref="B126:C126">
    <cfRule type="containsText" dxfId="4575" priority="1367" operator="containsText" text="Str">
      <formula>NOT(ISERROR(SEARCH("Str",B126)))</formula>
    </cfRule>
    <cfRule type="containsText" dxfId="4574" priority="1368" operator="containsText" text="Ere">
      <formula>NOT(ISERROR(SEARCH("Ere",B126)))</formula>
    </cfRule>
    <cfRule type="containsText" dxfId="4573" priority="1369" operator="containsText" text="Ear">
      <formula>NOT(ISERROR(SEARCH("Ear",B126)))</formula>
    </cfRule>
    <cfRule type="containsText" dxfId="4572" priority="1370" operator="containsText" text="fnd">
      <formula>NOT(ISERROR(SEARCH("fnd",B126)))</formula>
    </cfRule>
  </conditionalFormatting>
  <conditionalFormatting sqref="B134:C134">
    <cfRule type="containsText" dxfId="4571" priority="1339" operator="containsText" text="Str">
      <formula>NOT(ISERROR(SEARCH("Str",B134)))</formula>
    </cfRule>
    <cfRule type="containsText" dxfId="4570" priority="1340" operator="containsText" text="Ere">
      <formula>NOT(ISERROR(SEARCH("Ere",B134)))</formula>
    </cfRule>
    <cfRule type="containsText" dxfId="4569" priority="1341" operator="containsText" text="Ear">
      <formula>NOT(ISERROR(SEARCH("Ear",B134)))</formula>
    </cfRule>
    <cfRule type="containsText" dxfId="4568" priority="1342" operator="containsText" text="fnd">
      <formula>NOT(ISERROR(SEARCH("fnd",B134)))</formula>
    </cfRule>
  </conditionalFormatting>
  <conditionalFormatting sqref="B142:C142">
    <cfRule type="containsText" dxfId="4567" priority="1287" operator="containsText" text="Str">
      <formula>NOT(ISERROR(SEARCH("Str",B142)))</formula>
    </cfRule>
    <cfRule type="containsText" dxfId="4566" priority="1288" operator="containsText" text="Ere">
      <formula>NOT(ISERROR(SEARCH("Ere",B142)))</formula>
    </cfRule>
    <cfRule type="containsText" dxfId="4565" priority="1289" operator="containsText" text="Ear">
      <formula>NOT(ISERROR(SEARCH("Ear",B142)))</formula>
    </cfRule>
    <cfRule type="containsText" dxfId="4564" priority="1290" operator="containsText" text="fnd">
      <formula>NOT(ISERROR(SEARCH("fnd",B142)))</formula>
    </cfRule>
  </conditionalFormatting>
  <conditionalFormatting sqref="B158:C158">
    <cfRule type="containsText" dxfId="4563" priority="1143" operator="containsText" text="Str">
      <formula>NOT(ISERROR(SEARCH("Str",B158)))</formula>
    </cfRule>
    <cfRule type="containsText" dxfId="4562" priority="1144" operator="containsText" text="Ere">
      <formula>NOT(ISERROR(SEARCH("Ere",B158)))</formula>
    </cfRule>
    <cfRule type="containsText" dxfId="4561" priority="1145" operator="containsText" text="Ear">
      <formula>NOT(ISERROR(SEARCH("Ear",B158)))</formula>
    </cfRule>
    <cfRule type="containsText" dxfId="4560" priority="1146" operator="containsText" text="fnd">
      <formula>NOT(ISERROR(SEARCH("fnd",B158)))</formula>
    </cfRule>
  </conditionalFormatting>
  <conditionalFormatting sqref="B166:C166">
    <cfRule type="containsText" dxfId="4559" priority="509" operator="containsText" text="Str">
      <formula>NOT(ISERROR(SEARCH("Str",B166)))</formula>
    </cfRule>
    <cfRule type="containsText" dxfId="4558" priority="510" operator="containsText" text="Ere">
      <formula>NOT(ISERROR(SEARCH("Ere",B166)))</formula>
    </cfRule>
    <cfRule type="containsText" dxfId="4557" priority="511" operator="containsText" text="Ear">
      <formula>NOT(ISERROR(SEARCH("Ear",B166)))</formula>
    </cfRule>
    <cfRule type="containsText" dxfId="4556" priority="512" operator="containsText" text="fnd">
      <formula>NOT(ISERROR(SEARCH("fnd",B166)))</formula>
    </cfRule>
  </conditionalFormatting>
  <conditionalFormatting sqref="B174:C174">
    <cfRule type="containsText" dxfId="4555" priority="1007" operator="containsText" text="Str">
      <formula>NOT(ISERROR(SEARCH("Str",B174)))</formula>
    </cfRule>
    <cfRule type="containsText" dxfId="4554" priority="1008" operator="containsText" text="Ere">
      <formula>NOT(ISERROR(SEARCH("Ere",B174)))</formula>
    </cfRule>
    <cfRule type="containsText" dxfId="4553" priority="1009" operator="containsText" text="Ear">
      <formula>NOT(ISERROR(SEARCH("Ear",B174)))</formula>
    </cfRule>
    <cfRule type="containsText" dxfId="4552" priority="1010" operator="containsText" text="fnd">
      <formula>NOT(ISERROR(SEARCH("fnd",B174)))</formula>
    </cfRule>
  </conditionalFormatting>
  <conditionalFormatting sqref="B182:C182">
    <cfRule type="containsText" dxfId="4551" priority="273" operator="containsText" text="Str">
      <formula>NOT(ISERROR(SEARCH("Str",B182)))</formula>
    </cfRule>
    <cfRule type="containsText" dxfId="4550" priority="274" operator="containsText" text="Ere">
      <formula>NOT(ISERROR(SEARCH("Ere",B182)))</formula>
    </cfRule>
    <cfRule type="containsText" dxfId="4549" priority="275" operator="containsText" text="Ear">
      <formula>NOT(ISERROR(SEARCH("Ear",B182)))</formula>
    </cfRule>
    <cfRule type="containsText" dxfId="4548" priority="276" operator="containsText" text="fnd">
      <formula>NOT(ISERROR(SEARCH("fnd",B182)))</formula>
    </cfRule>
  </conditionalFormatting>
  <conditionalFormatting sqref="B199:C199">
    <cfRule type="containsText" dxfId="4547" priority="1695" operator="containsText" text="Str">
      <formula>NOT(ISERROR(SEARCH("Str",B199)))</formula>
    </cfRule>
    <cfRule type="containsText" dxfId="4546" priority="1696" operator="containsText" text="Ere">
      <formula>NOT(ISERROR(SEARCH("Ere",B199)))</formula>
    </cfRule>
    <cfRule type="containsText" dxfId="4545" priority="1697" operator="containsText" text="Ear">
      <formula>NOT(ISERROR(SEARCH("Ear",B199)))</formula>
    </cfRule>
    <cfRule type="containsText" dxfId="4544" priority="1698" operator="containsText" text="fnd">
      <formula>NOT(ISERROR(SEARCH("fnd",B199)))</formula>
    </cfRule>
  </conditionalFormatting>
  <conditionalFormatting sqref="C6">
    <cfRule type="containsText" dxfId="4543" priority="1551" operator="containsText" text="Str">
      <formula>NOT(ISERROR(SEARCH("Str",C6)))</formula>
    </cfRule>
    <cfRule type="containsText" dxfId="4542" priority="1552" operator="containsText" text="Ere">
      <formula>NOT(ISERROR(SEARCH("Ere",C6)))</formula>
    </cfRule>
    <cfRule type="containsText" dxfId="4541" priority="1553" operator="containsText" text="Ear">
      <formula>NOT(ISERROR(SEARCH("Ear",C6)))</formula>
    </cfRule>
    <cfRule type="containsText" dxfId="4540" priority="1554" operator="containsText" text="fnd">
      <formula>NOT(ISERROR(SEARCH("fnd",C6)))</formula>
    </cfRule>
  </conditionalFormatting>
  <conditionalFormatting sqref="C14">
    <cfRule type="containsText" dxfId="4539" priority="1631" operator="containsText" text="Str">
      <formula>NOT(ISERROR(SEARCH("Str",C14)))</formula>
    </cfRule>
    <cfRule type="containsText" dxfId="4538" priority="1632" operator="containsText" text="Ere">
      <formula>NOT(ISERROR(SEARCH("Ere",C14)))</formula>
    </cfRule>
    <cfRule type="containsText" dxfId="4537" priority="1633" operator="containsText" text="Ear">
      <formula>NOT(ISERROR(SEARCH("Ear",C14)))</formula>
    </cfRule>
    <cfRule type="containsText" dxfId="4536" priority="1634" operator="containsText" text="fnd">
      <formula>NOT(ISERROR(SEARCH("fnd",C14)))</formula>
    </cfRule>
  </conditionalFormatting>
  <conditionalFormatting sqref="C22">
    <cfRule type="containsText" dxfId="4535" priority="1447" operator="containsText" text="Str">
      <formula>NOT(ISERROR(SEARCH("Str",C22)))</formula>
    </cfRule>
    <cfRule type="containsText" dxfId="4534" priority="1448" operator="containsText" text="Ere">
      <formula>NOT(ISERROR(SEARCH("Ere",C22)))</formula>
    </cfRule>
    <cfRule type="containsText" dxfId="4533" priority="1449" operator="containsText" text="Ear">
      <formula>NOT(ISERROR(SEARCH("Ear",C22)))</formula>
    </cfRule>
    <cfRule type="containsText" dxfId="4532" priority="1450" operator="containsText" text="fnd">
      <formula>NOT(ISERROR(SEARCH("fnd",C22)))</formula>
    </cfRule>
  </conditionalFormatting>
  <conditionalFormatting sqref="C30">
    <cfRule type="containsText" dxfId="4531" priority="903" operator="containsText" text="Str">
      <formula>NOT(ISERROR(SEARCH("Str",C30)))</formula>
    </cfRule>
    <cfRule type="containsText" dxfId="4530" priority="904" operator="containsText" text="Ere">
      <formula>NOT(ISERROR(SEARCH("Ere",C30)))</formula>
    </cfRule>
    <cfRule type="containsText" dxfId="4529" priority="905" operator="containsText" text="Ear">
      <formula>NOT(ISERROR(SEARCH("Ear",C30)))</formula>
    </cfRule>
    <cfRule type="containsText" dxfId="4528" priority="906" operator="containsText" text="fnd">
      <formula>NOT(ISERROR(SEARCH("fnd",C30)))</formula>
    </cfRule>
  </conditionalFormatting>
  <conditionalFormatting sqref="C38">
    <cfRule type="containsText" dxfId="4527" priority="647" operator="containsText" text="Str">
      <formula>NOT(ISERROR(SEARCH("Str",C38)))</formula>
    </cfRule>
    <cfRule type="containsText" dxfId="4526" priority="648" operator="containsText" text="Ere">
      <formula>NOT(ISERROR(SEARCH("Ere",C38)))</formula>
    </cfRule>
    <cfRule type="containsText" dxfId="4525" priority="649" operator="containsText" text="Ear">
      <formula>NOT(ISERROR(SEARCH("Ear",C38)))</formula>
    </cfRule>
    <cfRule type="containsText" dxfId="4524" priority="650" operator="containsText" text="fnd">
      <formula>NOT(ISERROR(SEARCH("fnd",C38)))</formula>
    </cfRule>
  </conditionalFormatting>
  <conditionalFormatting sqref="C46">
    <cfRule type="containsText" dxfId="4523" priority="2071" operator="containsText" text="Str">
      <formula>NOT(ISERROR(SEARCH("Str",C46)))</formula>
    </cfRule>
    <cfRule type="containsText" dxfId="4522" priority="2072" operator="containsText" text="Ere">
      <formula>NOT(ISERROR(SEARCH("Ere",C46)))</formula>
    </cfRule>
    <cfRule type="containsText" dxfId="4521" priority="2073" operator="containsText" text="Ear">
      <formula>NOT(ISERROR(SEARCH("Ear",C46)))</formula>
    </cfRule>
    <cfRule type="containsText" dxfId="4520" priority="2074" operator="containsText" text="fnd">
      <formula>NOT(ISERROR(SEARCH("fnd",C46)))</formula>
    </cfRule>
  </conditionalFormatting>
  <conditionalFormatting sqref="E5:E6">
    <cfRule type="containsText" dxfId="4519" priority="1607" operator="containsText" text="Str">
      <formula>NOT(ISERROR(SEARCH("Str",E5)))</formula>
    </cfRule>
    <cfRule type="containsText" dxfId="4518" priority="1608" operator="containsText" text="Ere">
      <formula>NOT(ISERROR(SEARCH("Ere",E5)))</formula>
    </cfRule>
    <cfRule type="containsText" dxfId="4517" priority="1609" operator="containsText" text="Ear">
      <formula>NOT(ISERROR(SEARCH("Ear",E5)))</formula>
    </cfRule>
    <cfRule type="containsText" dxfId="4516" priority="1610" operator="containsText" text="fnd">
      <formula>NOT(ISERROR(SEARCH("fnd",E5)))</formula>
    </cfRule>
  </conditionalFormatting>
  <conditionalFormatting sqref="E13:E14">
    <cfRule type="containsText" dxfId="4515" priority="1571" operator="containsText" text="Str">
      <formula>NOT(ISERROR(SEARCH("Str",E13)))</formula>
    </cfRule>
    <cfRule type="containsText" dxfId="4514" priority="1572" operator="containsText" text="Ere">
      <formula>NOT(ISERROR(SEARCH("Ere",E13)))</formula>
    </cfRule>
    <cfRule type="containsText" dxfId="4513" priority="1573" operator="containsText" text="Ear">
      <formula>NOT(ISERROR(SEARCH("Ear",E13)))</formula>
    </cfRule>
    <cfRule type="containsText" dxfId="4512" priority="1574" operator="containsText" text="fnd">
      <formula>NOT(ISERROR(SEARCH("fnd",E13)))</formula>
    </cfRule>
  </conditionalFormatting>
  <conditionalFormatting sqref="E21:E22">
    <cfRule type="containsText" dxfId="4511" priority="611" operator="containsText" text="Str">
      <formula>NOT(ISERROR(SEARCH("Str",E21)))</formula>
    </cfRule>
    <cfRule type="containsText" dxfId="4510" priority="612" operator="containsText" text="Ere">
      <formula>NOT(ISERROR(SEARCH("Ere",E21)))</formula>
    </cfRule>
    <cfRule type="containsText" dxfId="4509" priority="613" operator="containsText" text="Ear">
      <formula>NOT(ISERROR(SEARCH("Ear",E21)))</formula>
    </cfRule>
    <cfRule type="containsText" dxfId="4508" priority="614" operator="containsText" text="fnd">
      <formula>NOT(ISERROR(SEARCH("fnd",E21)))</formula>
    </cfRule>
  </conditionalFormatting>
  <conditionalFormatting sqref="E29">
    <cfRule type="containsText" dxfId="4507" priority="1527" operator="containsText" text="Str">
      <formula>NOT(ISERROR(SEARCH("Str",E29)))</formula>
    </cfRule>
    <cfRule type="containsText" dxfId="4506" priority="1528" operator="containsText" text="Ere">
      <formula>NOT(ISERROR(SEARCH("Ere",E29)))</formula>
    </cfRule>
    <cfRule type="containsText" dxfId="4505" priority="1529" operator="containsText" text="Ear">
      <formula>NOT(ISERROR(SEARCH("Ear",E29)))</formula>
    </cfRule>
    <cfRule type="containsText" dxfId="4504" priority="1530" operator="containsText" text="fnd">
      <formula>NOT(ISERROR(SEARCH("fnd",E29)))</formula>
    </cfRule>
  </conditionalFormatting>
  <conditionalFormatting sqref="E37:E38">
    <cfRule type="containsText" dxfId="4503" priority="859" operator="containsText" text="Str">
      <formula>NOT(ISERROR(SEARCH("Str",E37)))</formula>
    </cfRule>
    <cfRule type="containsText" dxfId="4502" priority="860" operator="containsText" text="Ere">
      <formula>NOT(ISERROR(SEARCH("Ere",E37)))</formula>
    </cfRule>
    <cfRule type="containsText" dxfId="4501" priority="861" operator="containsText" text="Ear">
      <formula>NOT(ISERROR(SEARCH("Ear",E37)))</formula>
    </cfRule>
    <cfRule type="containsText" dxfId="4500" priority="862" operator="containsText" text="fnd">
      <formula>NOT(ISERROR(SEARCH("fnd",E37)))</formula>
    </cfRule>
  </conditionalFormatting>
  <conditionalFormatting sqref="E45">
    <cfRule type="containsText" dxfId="4499" priority="2163" operator="containsText" text="Str">
      <formula>NOT(ISERROR(SEARCH("Str",E45)))</formula>
    </cfRule>
    <cfRule type="containsText" dxfId="4498" priority="2164" operator="containsText" text="Ere">
      <formula>NOT(ISERROR(SEARCH("Ere",E45)))</formula>
    </cfRule>
    <cfRule type="containsText" dxfId="4497" priority="2165" operator="containsText" text="Ear">
      <formula>NOT(ISERROR(SEARCH("Ear",E45)))</formula>
    </cfRule>
    <cfRule type="containsText" dxfId="4496" priority="2166" operator="containsText" text="fnd">
      <formula>NOT(ISERROR(SEARCH("fnd",E45)))</formula>
    </cfRule>
  </conditionalFormatting>
  <conditionalFormatting sqref="E53:E54">
    <cfRule type="containsText" dxfId="4495" priority="1927" operator="containsText" text="Str">
      <formula>NOT(ISERROR(SEARCH("Str",E53)))</formula>
    </cfRule>
    <cfRule type="containsText" dxfId="4494" priority="1928" operator="containsText" text="Ere">
      <formula>NOT(ISERROR(SEARCH("Ere",E53)))</formula>
    </cfRule>
    <cfRule type="containsText" dxfId="4493" priority="1929" operator="containsText" text="Ear">
      <formula>NOT(ISERROR(SEARCH("Ear",E53)))</formula>
    </cfRule>
    <cfRule type="containsText" dxfId="4492" priority="1930" operator="containsText" text="fnd">
      <formula>NOT(ISERROR(SEARCH("fnd",E53)))</formula>
    </cfRule>
  </conditionalFormatting>
  <conditionalFormatting sqref="E61">
    <cfRule type="containsText" dxfId="4491" priority="823" operator="containsText" text="Str">
      <formula>NOT(ISERROR(SEARCH("Str",E61)))</formula>
    </cfRule>
    <cfRule type="containsText" dxfId="4490" priority="824" operator="containsText" text="Ere">
      <formula>NOT(ISERROR(SEARCH("Ere",E61)))</formula>
    </cfRule>
    <cfRule type="containsText" dxfId="4489" priority="825" operator="containsText" text="Ear">
      <formula>NOT(ISERROR(SEARCH("Ear",E61)))</formula>
    </cfRule>
    <cfRule type="containsText" dxfId="4488" priority="826" operator="containsText" text="fnd">
      <formula>NOT(ISERROR(SEARCH("fnd",E61)))</formula>
    </cfRule>
  </conditionalFormatting>
  <conditionalFormatting sqref="E69">
    <cfRule type="containsText" dxfId="4487" priority="2023" operator="containsText" text="Str">
      <formula>NOT(ISERROR(SEARCH("Str",E69)))</formula>
    </cfRule>
    <cfRule type="containsText" dxfId="4486" priority="2024" operator="containsText" text="Ere">
      <formula>NOT(ISERROR(SEARCH("Ere",E69)))</formula>
    </cfRule>
    <cfRule type="containsText" dxfId="4485" priority="2025" operator="containsText" text="Ear">
      <formula>NOT(ISERROR(SEARCH("Ear",E69)))</formula>
    </cfRule>
    <cfRule type="containsText" dxfId="4484" priority="2026" operator="containsText" text="fnd">
      <formula>NOT(ISERROR(SEARCH("fnd",E69)))</formula>
    </cfRule>
  </conditionalFormatting>
  <conditionalFormatting sqref="E86">
    <cfRule type="containsText" dxfId="4483" priority="1955" operator="containsText" text="Str">
      <formula>NOT(ISERROR(SEARCH("Str",E86)))</formula>
    </cfRule>
    <cfRule type="containsText" dxfId="4482" priority="1956" operator="containsText" text="Ere">
      <formula>NOT(ISERROR(SEARCH("Ere",E86)))</formula>
    </cfRule>
    <cfRule type="containsText" dxfId="4481" priority="1957" operator="containsText" text="Ear">
      <formula>NOT(ISERROR(SEARCH("Ear",E86)))</formula>
    </cfRule>
    <cfRule type="containsText" dxfId="4480" priority="1958" operator="containsText" text="fnd">
      <formula>NOT(ISERROR(SEARCH("fnd",E86)))</formula>
    </cfRule>
  </conditionalFormatting>
  <conditionalFormatting sqref="E93">
    <cfRule type="containsText" dxfId="4479" priority="1963" operator="containsText" text="Str">
      <formula>NOT(ISERROR(SEARCH("Str",E93)))</formula>
    </cfRule>
    <cfRule type="containsText" dxfId="4478" priority="1964" operator="containsText" text="Ere">
      <formula>NOT(ISERROR(SEARCH("Ere",E93)))</formula>
    </cfRule>
    <cfRule type="containsText" dxfId="4477" priority="1965" operator="containsText" text="Ear">
      <formula>NOT(ISERROR(SEARCH("Ear",E93)))</formula>
    </cfRule>
    <cfRule type="containsText" dxfId="4476" priority="1966" operator="containsText" text="fnd">
      <formula>NOT(ISERROR(SEARCH("fnd",E93)))</formula>
    </cfRule>
  </conditionalFormatting>
  <conditionalFormatting sqref="E101">
    <cfRule type="containsText" dxfId="4475" priority="1847" operator="containsText" text="Str">
      <formula>NOT(ISERROR(SEARCH("Str",E101)))</formula>
    </cfRule>
    <cfRule type="containsText" dxfId="4474" priority="1848" operator="containsText" text="Ere">
      <formula>NOT(ISERROR(SEARCH("Ere",E101)))</formula>
    </cfRule>
    <cfRule type="containsText" dxfId="4473" priority="1849" operator="containsText" text="Ear">
      <formula>NOT(ISERROR(SEARCH("Ear",E101)))</formula>
    </cfRule>
    <cfRule type="containsText" dxfId="4472" priority="1850" operator="containsText" text="fnd">
      <formula>NOT(ISERROR(SEARCH("fnd",E101)))</formula>
    </cfRule>
  </conditionalFormatting>
  <conditionalFormatting sqref="E109">
    <cfRule type="containsText" dxfId="4471" priority="61" operator="containsText" text="Str">
      <formula>NOT(ISERROR(SEARCH("Str",E109)))</formula>
    </cfRule>
    <cfRule type="containsText" dxfId="4470" priority="62" operator="containsText" text="Ere">
      <formula>NOT(ISERROR(SEARCH("Ere",E109)))</formula>
    </cfRule>
    <cfRule type="containsText" dxfId="4469" priority="63" operator="containsText" text="Ear">
      <formula>NOT(ISERROR(SEARCH("Ear",E109)))</formula>
    </cfRule>
    <cfRule type="containsText" dxfId="4468" priority="64" operator="containsText" text="fnd">
      <formula>NOT(ISERROR(SEARCH("fnd",E109)))</formula>
    </cfRule>
  </conditionalFormatting>
  <conditionalFormatting sqref="E117">
    <cfRule type="containsText" dxfId="4467" priority="465" operator="containsText" text="Str">
      <formula>NOT(ISERROR(SEARCH("Str",E117)))</formula>
    </cfRule>
    <cfRule type="containsText" dxfId="4466" priority="466" operator="containsText" text="Ere">
      <formula>NOT(ISERROR(SEARCH("Ere",E117)))</formula>
    </cfRule>
    <cfRule type="containsText" dxfId="4465" priority="467" operator="containsText" text="Ear">
      <formula>NOT(ISERROR(SEARCH("Ear",E117)))</formula>
    </cfRule>
    <cfRule type="containsText" dxfId="4464" priority="468" operator="containsText" text="fnd">
      <formula>NOT(ISERROR(SEARCH("fnd",E117)))</formula>
    </cfRule>
  </conditionalFormatting>
  <conditionalFormatting sqref="E122 E130 E138 E162 E170 E178">
    <cfRule type="containsText" dxfId="4463" priority="1995" operator="containsText" text="Str">
      <formula>NOT(ISERROR(SEARCH("Str",E122)))</formula>
    </cfRule>
    <cfRule type="containsText" dxfId="4462" priority="1996" operator="containsText" text="Ere">
      <formula>NOT(ISERROR(SEARCH("Ere",E122)))</formula>
    </cfRule>
    <cfRule type="containsText" dxfId="4461" priority="1997" operator="containsText" text="Ear">
      <formula>NOT(ISERROR(SEARCH("Ear",E122)))</formula>
    </cfRule>
    <cfRule type="containsText" dxfId="4460" priority="1998" operator="containsText" text="fnd">
      <formula>NOT(ISERROR(SEARCH("fnd",E122)))</formula>
    </cfRule>
  </conditionalFormatting>
  <conditionalFormatting sqref="E125">
    <cfRule type="containsText" dxfId="4459" priority="1359" operator="containsText" text="Str">
      <formula>NOT(ISERROR(SEARCH("Str",E125)))</formula>
    </cfRule>
    <cfRule type="containsText" dxfId="4458" priority="1360" operator="containsText" text="Ere">
      <formula>NOT(ISERROR(SEARCH("Ere",E125)))</formula>
    </cfRule>
    <cfRule type="containsText" dxfId="4457" priority="1361" operator="containsText" text="Ear">
      <formula>NOT(ISERROR(SEARCH("Ear",E125)))</formula>
    </cfRule>
    <cfRule type="containsText" dxfId="4456" priority="1362" operator="containsText" text="fnd">
      <formula>NOT(ISERROR(SEARCH("fnd",E125)))</formula>
    </cfRule>
  </conditionalFormatting>
  <conditionalFormatting sqref="E133">
    <cfRule type="containsText" dxfId="4455" priority="1311" operator="containsText" text="Str">
      <formula>NOT(ISERROR(SEARCH("Str",E133)))</formula>
    </cfRule>
    <cfRule type="containsText" dxfId="4454" priority="1312" operator="containsText" text="Ere">
      <formula>NOT(ISERROR(SEARCH("Ere",E133)))</formula>
    </cfRule>
    <cfRule type="containsText" dxfId="4453" priority="1313" operator="containsText" text="Ear">
      <formula>NOT(ISERROR(SEARCH("Ear",E133)))</formula>
    </cfRule>
    <cfRule type="containsText" dxfId="4452" priority="1314" operator="containsText" text="fnd">
      <formula>NOT(ISERROR(SEARCH("fnd",E133)))</formula>
    </cfRule>
  </conditionalFormatting>
  <conditionalFormatting sqref="E141">
    <cfRule type="containsText" dxfId="4451" priority="1211" operator="containsText" text="Str">
      <formula>NOT(ISERROR(SEARCH("Str",E141)))</formula>
    </cfRule>
    <cfRule type="containsText" dxfId="4450" priority="1212" operator="containsText" text="Ere">
      <formula>NOT(ISERROR(SEARCH("Ere",E141)))</formula>
    </cfRule>
    <cfRule type="containsText" dxfId="4449" priority="1213" operator="containsText" text="Ear">
      <formula>NOT(ISERROR(SEARCH("Ear",E141)))</formula>
    </cfRule>
    <cfRule type="containsText" dxfId="4448" priority="1214" operator="containsText" text="fnd">
      <formula>NOT(ISERROR(SEARCH("fnd",E141)))</formula>
    </cfRule>
  </conditionalFormatting>
  <conditionalFormatting sqref="E149">
    <cfRule type="containsText" dxfId="4447" priority="321" operator="containsText" text="Str">
      <formula>NOT(ISERROR(SEARCH("Str",E149)))</formula>
    </cfRule>
    <cfRule type="containsText" dxfId="4446" priority="322" operator="containsText" text="Ere">
      <formula>NOT(ISERROR(SEARCH("Ere",E149)))</formula>
    </cfRule>
    <cfRule type="containsText" dxfId="4445" priority="323" operator="containsText" text="Ear">
      <formula>NOT(ISERROR(SEARCH("Ear",E149)))</formula>
    </cfRule>
    <cfRule type="containsText" dxfId="4444" priority="324" operator="containsText" text="fnd">
      <formula>NOT(ISERROR(SEARCH("fnd",E149)))</formula>
    </cfRule>
  </conditionalFormatting>
  <conditionalFormatting sqref="E157">
    <cfRule type="containsText" dxfId="4443" priority="1079" operator="containsText" text="Str">
      <formula>NOT(ISERROR(SEARCH("Str",E157)))</formula>
    </cfRule>
    <cfRule type="containsText" dxfId="4442" priority="1080" operator="containsText" text="Ere">
      <formula>NOT(ISERROR(SEARCH("Ere",E157)))</formula>
    </cfRule>
    <cfRule type="containsText" dxfId="4441" priority="1081" operator="containsText" text="Ear">
      <formula>NOT(ISERROR(SEARCH("Ear",E157)))</formula>
    </cfRule>
    <cfRule type="containsText" dxfId="4440" priority="1082" operator="containsText" text="fnd">
      <formula>NOT(ISERROR(SEARCH("fnd",E157)))</formula>
    </cfRule>
  </conditionalFormatting>
  <conditionalFormatting sqref="E165">
    <cfRule type="containsText" dxfId="4439" priority="595" operator="containsText" text="Str">
      <formula>NOT(ISERROR(SEARCH("Str",E165)))</formula>
    </cfRule>
    <cfRule type="containsText" dxfId="4438" priority="596" operator="containsText" text="Ere">
      <formula>NOT(ISERROR(SEARCH("Ere",E165)))</formula>
    </cfRule>
    <cfRule type="containsText" dxfId="4437" priority="597" operator="containsText" text="Ear">
      <formula>NOT(ISERROR(SEARCH("Ear",E165)))</formula>
    </cfRule>
    <cfRule type="containsText" dxfId="4436" priority="598" operator="containsText" text="fnd">
      <formula>NOT(ISERROR(SEARCH("fnd",E165)))</formula>
    </cfRule>
  </conditionalFormatting>
  <conditionalFormatting sqref="E173">
    <cfRule type="containsText" dxfId="4435" priority="553" operator="containsText" text="Str">
      <formula>NOT(ISERROR(SEARCH("Str",E173)))</formula>
    </cfRule>
    <cfRule type="containsText" dxfId="4434" priority="554" operator="containsText" text="Ere">
      <formula>NOT(ISERROR(SEARCH("Ere",E173)))</formula>
    </cfRule>
    <cfRule type="containsText" dxfId="4433" priority="555" operator="containsText" text="Ear">
      <formula>NOT(ISERROR(SEARCH("Ear",E173)))</formula>
    </cfRule>
    <cfRule type="containsText" dxfId="4432" priority="556" operator="containsText" text="fnd">
      <formula>NOT(ISERROR(SEARCH("fnd",E173)))</formula>
    </cfRule>
  </conditionalFormatting>
  <conditionalFormatting sqref="E181">
    <cfRule type="containsText" dxfId="4431" priority="947" operator="containsText" text="Str">
      <formula>NOT(ISERROR(SEARCH("Str",E181)))</formula>
    </cfRule>
    <cfRule type="containsText" dxfId="4430" priority="948" operator="containsText" text="Ere">
      <formula>NOT(ISERROR(SEARCH("Ere",E181)))</formula>
    </cfRule>
    <cfRule type="containsText" dxfId="4429" priority="949" operator="containsText" text="Ear">
      <formula>NOT(ISERROR(SEARCH("Ear",E181)))</formula>
    </cfRule>
    <cfRule type="containsText" dxfId="4428" priority="950" operator="containsText" text="fnd">
      <formula>NOT(ISERROR(SEARCH("fnd",E181)))</formula>
    </cfRule>
  </conditionalFormatting>
  <conditionalFormatting sqref="E207">
    <cfRule type="containsText" dxfId="4427" priority="2079" operator="containsText" text="Str">
      <formula>NOT(ISERROR(SEARCH("Str",E207)))</formula>
    </cfRule>
    <cfRule type="containsText" dxfId="4426" priority="2080" operator="containsText" text="Ere">
      <formula>NOT(ISERROR(SEARCH("Ere",E207)))</formula>
    </cfRule>
    <cfRule type="containsText" dxfId="4425" priority="2081" operator="containsText" text="Ear">
      <formula>NOT(ISERROR(SEARCH("Ear",E207)))</formula>
    </cfRule>
    <cfRule type="containsText" dxfId="4424" priority="2082" operator="containsText" text="fnd">
      <formula>NOT(ISERROR(SEARCH("fnd",E207)))</formula>
    </cfRule>
  </conditionalFormatting>
  <conditionalFormatting sqref="E30:F30">
    <cfRule type="containsText" dxfId="4423" priority="1531" operator="containsText" text="Str">
      <formula>NOT(ISERROR(SEARCH("Str",E30)))</formula>
    </cfRule>
    <cfRule type="containsText" dxfId="4422" priority="1532" operator="containsText" text="Ere">
      <formula>NOT(ISERROR(SEARCH("Ere",E30)))</formula>
    </cfRule>
    <cfRule type="containsText" dxfId="4421" priority="1533" operator="containsText" text="Ear">
      <formula>NOT(ISERROR(SEARCH("Ear",E30)))</formula>
    </cfRule>
    <cfRule type="containsText" dxfId="4420" priority="1534" operator="containsText" text="fnd">
      <formula>NOT(ISERROR(SEARCH("fnd",E30)))</formula>
    </cfRule>
  </conditionalFormatting>
  <conditionalFormatting sqref="E46:F46">
    <cfRule type="containsText" dxfId="4419" priority="2263" operator="containsText" text="Str">
      <formula>NOT(ISERROR(SEARCH("Str",E46)))</formula>
    </cfRule>
    <cfRule type="containsText" dxfId="4418" priority="2264" operator="containsText" text="Ere">
      <formula>NOT(ISERROR(SEARCH("Ere",E46)))</formula>
    </cfRule>
    <cfRule type="containsText" dxfId="4417" priority="2265" operator="containsText" text="Ear">
      <formula>NOT(ISERROR(SEARCH("Ear",E46)))</formula>
    </cfRule>
    <cfRule type="containsText" dxfId="4416" priority="2266" operator="containsText" text="fnd">
      <formula>NOT(ISERROR(SEARCH("fnd",E46)))</formula>
    </cfRule>
  </conditionalFormatting>
  <conditionalFormatting sqref="E62:F62">
    <cfRule type="containsText" dxfId="4415" priority="827" operator="containsText" text="Str">
      <formula>NOT(ISERROR(SEARCH("Str",E62)))</formula>
    </cfRule>
    <cfRule type="containsText" dxfId="4414" priority="828" operator="containsText" text="Ere">
      <formula>NOT(ISERROR(SEARCH("Ere",E62)))</formula>
    </cfRule>
    <cfRule type="containsText" dxfId="4413" priority="829" operator="containsText" text="Ear">
      <formula>NOT(ISERROR(SEARCH("Ear",E62)))</formula>
    </cfRule>
    <cfRule type="containsText" dxfId="4412" priority="830" operator="containsText" text="fnd">
      <formula>NOT(ISERROR(SEARCH("fnd",E62)))</formula>
    </cfRule>
  </conditionalFormatting>
  <conditionalFormatting sqref="E94:F94">
    <cfRule type="containsText" dxfId="4411" priority="1967" operator="containsText" text="Str">
      <formula>NOT(ISERROR(SEARCH("Str",E94)))</formula>
    </cfRule>
    <cfRule type="containsText" dxfId="4410" priority="1968" operator="containsText" text="Ere">
      <formula>NOT(ISERROR(SEARCH("Ere",E94)))</formula>
    </cfRule>
    <cfRule type="containsText" dxfId="4409" priority="1969" operator="containsText" text="Ear">
      <formula>NOT(ISERROR(SEARCH("Ear",E94)))</formula>
    </cfRule>
    <cfRule type="containsText" dxfId="4408" priority="1970" operator="containsText" text="fnd">
      <formula>NOT(ISERROR(SEARCH("fnd",E94)))</formula>
    </cfRule>
  </conditionalFormatting>
  <conditionalFormatting sqref="E102:F102">
    <cfRule type="containsText" dxfId="4407" priority="1851" operator="containsText" text="Str">
      <formula>NOT(ISERROR(SEARCH("Str",E102)))</formula>
    </cfRule>
    <cfRule type="containsText" dxfId="4406" priority="1852" operator="containsText" text="Ere">
      <formula>NOT(ISERROR(SEARCH("Ere",E102)))</formula>
    </cfRule>
    <cfRule type="containsText" dxfId="4405" priority="1853" operator="containsText" text="Ear">
      <formula>NOT(ISERROR(SEARCH("Ear",E102)))</formula>
    </cfRule>
    <cfRule type="containsText" dxfId="4404" priority="1854" operator="containsText" text="fnd">
      <formula>NOT(ISERROR(SEARCH("fnd",E102)))</formula>
    </cfRule>
  </conditionalFormatting>
  <conditionalFormatting sqref="E134:F134">
    <cfRule type="containsText" dxfId="4403" priority="1315" operator="containsText" text="Str">
      <formula>NOT(ISERROR(SEARCH("Str",E134)))</formula>
    </cfRule>
    <cfRule type="containsText" dxfId="4402" priority="1316" operator="containsText" text="Ere">
      <formula>NOT(ISERROR(SEARCH("Ere",E134)))</formula>
    </cfRule>
    <cfRule type="containsText" dxfId="4401" priority="1317" operator="containsText" text="Ear">
      <formula>NOT(ISERROR(SEARCH("Ear",E134)))</formula>
    </cfRule>
    <cfRule type="containsText" dxfId="4400" priority="1318" operator="containsText" text="fnd">
      <formula>NOT(ISERROR(SEARCH("fnd",E134)))</formula>
    </cfRule>
  </conditionalFormatting>
  <conditionalFormatting sqref="E142:F142">
    <cfRule type="containsText" dxfId="4399" priority="1215" operator="containsText" text="Str">
      <formula>NOT(ISERROR(SEARCH("Str",E142)))</formula>
    </cfRule>
    <cfRule type="containsText" dxfId="4398" priority="1216" operator="containsText" text="Ere">
      <formula>NOT(ISERROR(SEARCH("Ere",E142)))</formula>
    </cfRule>
    <cfRule type="containsText" dxfId="4397" priority="1217" operator="containsText" text="Ear">
      <formula>NOT(ISERROR(SEARCH("Ear",E142)))</formula>
    </cfRule>
    <cfRule type="containsText" dxfId="4396" priority="1218" operator="containsText" text="fnd">
      <formula>NOT(ISERROR(SEARCH("fnd",E142)))</formula>
    </cfRule>
  </conditionalFormatting>
  <conditionalFormatting sqref="E158:F158">
    <cfRule type="containsText" dxfId="4395" priority="1083" operator="containsText" text="Str">
      <formula>NOT(ISERROR(SEARCH("Str",E158)))</formula>
    </cfRule>
    <cfRule type="containsText" dxfId="4394" priority="1084" operator="containsText" text="Ere">
      <formula>NOT(ISERROR(SEARCH("Ere",E158)))</formula>
    </cfRule>
    <cfRule type="containsText" dxfId="4393" priority="1085" operator="containsText" text="Ear">
      <formula>NOT(ISERROR(SEARCH("Ear",E158)))</formula>
    </cfRule>
    <cfRule type="containsText" dxfId="4392" priority="1086" operator="containsText" text="fnd">
      <formula>NOT(ISERROR(SEARCH("fnd",E158)))</formula>
    </cfRule>
  </conditionalFormatting>
  <conditionalFormatting sqref="E166:F166">
    <cfRule type="containsText" dxfId="4391" priority="599" operator="containsText" text="Str">
      <formula>NOT(ISERROR(SEARCH("Str",E166)))</formula>
    </cfRule>
    <cfRule type="containsText" dxfId="4390" priority="600" operator="containsText" text="Ere">
      <formula>NOT(ISERROR(SEARCH("Ere",E166)))</formula>
    </cfRule>
    <cfRule type="containsText" dxfId="4389" priority="601" operator="containsText" text="Ear">
      <formula>NOT(ISERROR(SEARCH("Ear",E166)))</formula>
    </cfRule>
    <cfRule type="containsText" dxfId="4388" priority="602" operator="containsText" text="fnd">
      <formula>NOT(ISERROR(SEARCH("fnd",E166)))</formula>
    </cfRule>
  </conditionalFormatting>
  <conditionalFormatting sqref="E174:F174">
    <cfRule type="containsText" dxfId="4387" priority="557" operator="containsText" text="Str">
      <formula>NOT(ISERROR(SEARCH("Str",E174)))</formula>
    </cfRule>
    <cfRule type="containsText" dxfId="4386" priority="558" operator="containsText" text="Ere">
      <formula>NOT(ISERROR(SEARCH("Ere",E174)))</formula>
    </cfRule>
    <cfRule type="containsText" dxfId="4385" priority="559" operator="containsText" text="Ear">
      <formula>NOT(ISERROR(SEARCH("Ear",E174)))</formula>
    </cfRule>
    <cfRule type="containsText" dxfId="4384" priority="560" operator="containsText" text="fnd">
      <formula>NOT(ISERROR(SEARCH("fnd",E174)))</formula>
    </cfRule>
  </conditionalFormatting>
  <conditionalFormatting sqref="E182:F182">
    <cfRule type="containsText" dxfId="4383" priority="951" operator="containsText" text="Str">
      <formula>NOT(ISERROR(SEARCH("Str",E182)))</formula>
    </cfRule>
    <cfRule type="containsText" dxfId="4382" priority="952" operator="containsText" text="Ere">
      <formula>NOT(ISERROR(SEARCH("Ere",E182)))</formula>
    </cfRule>
    <cfRule type="containsText" dxfId="4381" priority="953" operator="containsText" text="Ear">
      <formula>NOT(ISERROR(SEARCH("Ear",E182)))</formula>
    </cfRule>
    <cfRule type="containsText" dxfId="4380" priority="954" operator="containsText" text="fnd">
      <formula>NOT(ISERROR(SEARCH("fnd",E182)))</formula>
    </cfRule>
  </conditionalFormatting>
  <conditionalFormatting sqref="E208:F208">
    <cfRule type="containsText" dxfId="4379" priority="2083" operator="containsText" text="Str">
      <formula>NOT(ISERROR(SEARCH("Str",E208)))</formula>
    </cfRule>
    <cfRule type="containsText" dxfId="4378" priority="2084" operator="containsText" text="Ere">
      <formula>NOT(ISERROR(SEARCH("Ere",E208)))</formula>
    </cfRule>
    <cfRule type="containsText" dxfId="4377" priority="2085" operator="containsText" text="Ear">
      <formula>NOT(ISERROR(SEARCH("Ear",E208)))</formula>
    </cfRule>
    <cfRule type="containsText" dxfId="4376" priority="2086" operator="containsText" text="fnd">
      <formula>NOT(ISERROR(SEARCH("fnd",E208)))</formula>
    </cfRule>
  </conditionalFormatting>
  <conditionalFormatting sqref="F6">
    <cfRule type="containsText" dxfId="4375" priority="1603" operator="containsText" text="Str">
      <formula>NOT(ISERROR(SEARCH("Str",F6)))</formula>
    </cfRule>
    <cfRule type="containsText" dxfId="4374" priority="1604" operator="containsText" text="Ere">
      <formula>NOT(ISERROR(SEARCH("Ere",F6)))</formula>
    </cfRule>
    <cfRule type="containsText" dxfId="4373" priority="1605" operator="containsText" text="Ear">
      <formula>NOT(ISERROR(SEARCH("Ear",F6)))</formula>
    </cfRule>
    <cfRule type="containsText" dxfId="4372" priority="1606" operator="containsText" text="fnd">
      <formula>NOT(ISERROR(SEARCH("fnd",F6)))</formula>
    </cfRule>
  </conditionalFormatting>
  <conditionalFormatting sqref="F14">
    <cfRule type="containsText" dxfId="4371" priority="1567" operator="containsText" text="Str">
      <formula>NOT(ISERROR(SEARCH("Str",F14)))</formula>
    </cfRule>
    <cfRule type="containsText" dxfId="4370" priority="1568" operator="containsText" text="Ere">
      <formula>NOT(ISERROR(SEARCH("Ere",F14)))</formula>
    </cfRule>
    <cfRule type="containsText" dxfId="4369" priority="1569" operator="containsText" text="Ear">
      <formula>NOT(ISERROR(SEARCH("Ear",F14)))</formula>
    </cfRule>
    <cfRule type="containsText" dxfId="4368" priority="1570" operator="containsText" text="fnd">
      <formula>NOT(ISERROR(SEARCH("fnd",F14)))</formula>
    </cfRule>
  </conditionalFormatting>
  <conditionalFormatting sqref="F22">
    <cfRule type="containsText" dxfId="4367" priority="607" operator="containsText" text="Str">
      <formula>NOT(ISERROR(SEARCH("Str",F22)))</formula>
    </cfRule>
    <cfRule type="containsText" dxfId="4366" priority="608" operator="containsText" text="Ere">
      <formula>NOT(ISERROR(SEARCH("Ere",F22)))</formula>
    </cfRule>
    <cfRule type="containsText" dxfId="4365" priority="609" operator="containsText" text="Ear">
      <formula>NOT(ISERROR(SEARCH("Ear",F22)))</formula>
    </cfRule>
    <cfRule type="containsText" dxfId="4364" priority="610" operator="containsText" text="fnd">
      <formula>NOT(ISERROR(SEARCH("fnd",F22)))</formula>
    </cfRule>
  </conditionalFormatting>
  <conditionalFormatting sqref="F38">
    <cfRule type="containsText" dxfId="4363" priority="855" operator="containsText" text="Str">
      <formula>NOT(ISERROR(SEARCH("Str",F38)))</formula>
    </cfRule>
    <cfRule type="containsText" dxfId="4362" priority="856" operator="containsText" text="Ere">
      <formula>NOT(ISERROR(SEARCH("Ere",F38)))</formula>
    </cfRule>
    <cfRule type="containsText" dxfId="4361" priority="857" operator="containsText" text="Ear">
      <formula>NOT(ISERROR(SEARCH("Ear",F38)))</formula>
    </cfRule>
    <cfRule type="containsText" dxfId="4360" priority="858" operator="containsText" text="fnd">
      <formula>NOT(ISERROR(SEARCH("fnd",F38)))</formula>
    </cfRule>
  </conditionalFormatting>
  <conditionalFormatting sqref="F54">
    <cfRule type="containsText" dxfId="4359" priority="1923" operator="containsText" text="Str">
      <formula>NOT(ISERROR(SEARCH("Str",F54)))</formula>
    </cfRule>
    <cfRule type="containsText" dxfId="4358" priority="1924" operator="containsText" text="Ere">
      <formula>NOT(ISERROR(SEARCH("Ere",F54)))</formula>
    </cfRule>
    <cfRule type="containsText" dxfId="4357" priority="1925" operator="containsText" text="Ear">
      <formula>NOT(ISERROR(SEARCH("Ear",F54)))</formula>
    </cfRule>
    <cfRule type="containsText" dxfId="4356" priority="1926" operator="containsText" text="fnd">
      <formula>NOT(ISERROR(SEARCH("fnd",F54)))</formula>
    </cfRule>
  </conditionalFormatting>
  <conditionalFormatting sqref="F78">
    <cfRule type="containsText" dxfId="4355" priority="1931" operator="containsText" text="Str">
      <formula>NOT(ISERROR(SEARCH("Str",F78)))</formula>
    </cfRule>
    <cfRule type="containsText" dxfId="4354" priority="1932" operator="containsText" text="Ere">
      <formula>NOT(ISERROR(SEARCH("Ere",F78)))</formula>
    </cfRule>
    <cfRule type="containsText" dxfId="4353" priority="1933" operator="containsText" text="Ear">
      <formula>NOT(ISERROR(SEARCH("Ear",F78)))</formula>
    </cfRule>
    <cfRule type="containsText" dxfId="4352" priority="1934" operator="containsText" text="fnd">
      <formula>NOT(ISERROR(SEARCH("fnd",F78)))</formula>
    </cfRule>
  </conditionalFormatting>
  <conditionalFormatting sqref="F199">
    <cfRule type="containsText" dxfId="4351" priority="1547" operator="containsText" text="Str">
      <formula>NOT(ISERROR(SEARCH("Str",F199)))</formula>
    </cfRule>
    <cfRule type="containsText" dxfId="4350" priority="1548" operator="containsText" text="Ere">
      <formula>NOT(ISERROR(SEARCH("Ere",F199)))</formula>
    </cfRule>
    <cfRule type="containsText" dxfId="4349" priority="1549" operator="containsText" text="Ear">
      <formula>NOT(ISERROR(SEARCH("Ear",F199)))</formula>
    </cfRule>
    <cfRule type="containsText" dxfId="4348" priority="1550" operator="containsText" text="fnd">
      <formula>NOT(ISERROR(SEARCH("fnd",F199)))</formula>
    </cfRule>
  </conditionalFormatting>
  <conditionalFormatting sqref="G122 H130 H138 H162 H170 H178">
    <cfRule type="containsText" dxfId="4347" priority="2015" operator="containsText" text="Str">
      <formula>NOT(ISERROR(SEARCH("Str",G122)))</formula>
    </cfRule>
    <cfRule type="containsText" dxfId="4346" priority="2016" operator="containsText" text="Ere">
      <formula>NOT(ISERROR(SEARCH("Ere",G122)))</formula>
    </cfRule>
    <cfRule type="containsText" dxfId="4345" priority="2017" operator="containsText" text="Ear">
      <formula>NOT(ISERROR(SEARCH("Ear",G122)))</formula>
    </cfRule>
    <cfRule type="containsText" dxfId="4344" priority="2018" operator="containsText" text="fnd">
      <formula>NOT(ISERROR(SEARCH("fnd",G122)))</formula>
    </cfRule>
  </conditionalFormatting>
  <conditionalFormatting sqref="H5:H6">
    <cfRule type="containsText" dxfId="4343" priority="233" operator="containsText" text="Str">
      <formula>NOT(ISERROR(SEARCH("Str",H5)))</formula>
    </cfRule>
    <cfRule type="containsText" dxfId="4342" priority="234" operator="containsText" text="Ere">
      <formula>NOT(ISERROR(SEARCH("Ere",H5)))</formula>
    </cfRule>
    <cfRule type="containsText" dxfId="4341" priority="235" operator="containsText" text="Ear">
      <formula>NOT(ISERROR(SEARCH("Ear",H5)))</formula>
    </cfRule>
    <cfRule type="containsText" dxfId="4340" priority="236" operator="containsText" text="fnd">
      <formula>NOT(ISERROR(SEARCH("fnd",H5)))</formula>
    </cfRule>
  </conditionalFormatting>
  <conditionalFormatting sqref="H13:H14">
    <cfRule type="containsText" dxfId="4339" priority="1619" operator="containsText" text="Str">
      <formula>NOT(ISERROR(SEARCH("Str",H13)))</formula>
    </cfRule>
    <cfRule type="containsText" dxfId="4338" priority="1620" operator="containsText" text="Ere">
      <formula>NOT(ISERROR(SEARCH("Ere",H13)))</formula>
    </cfRule>
    <cfRule type="containsText" dxfId="4337" priority="1621" operator="containsText" text="Ear">
      <formula>NOT(ISERROR(SEARCH("Ear",H13)))</formula>
    </cfRule>
    <cfRule type="containsText" dxfId="4336" priority="1622" operator="containsText" text="fnd">
      <formula>NOT(ISERROR(SEARCH("fnd",H13)))</formula>
    </cfRule>
  </conditionalFormatting>
  <conditionalFormatting sqref="H21:H22">
    <cfRule type="containsText" dxfId="4335" priority="1835" operator="containsText" text="Str">
      <formula>NOT(ISERROR(SEARCH("Str",H21)))</formula>
    </cfRule>
    <cfRule type="containsText" dxfId="4334" priority="1836" operator="containsText" text="Ere">
      <formula>NOT(ISERROR(SEARCH("Ere",H21)))</formula>
    </cfRule>
    <cfRule type="containsText" dxfId="4333" priority="1837" operator="containsText" text="Ear">
      <formula>NOT(ISERROR(SEARCH("Ear",H21)))</formula>
    </cfRule>
    <cfRule type="containsText" dxfId="4332" priority="1838" operator="containsText" text="fnd">
      <formula>NOT(ISERROR(SEARCH("fnd",H21)))</formula>
    </cfRule>
  </conditionalFormatting>
  <conditionalFormatting sqref="H29">
    <cfRule type="containsText" dxfId="4331" priority="623" operator="containsText" text="Str">
      <formula>NOT(ISERROR(SEARCH("Str",H29)))</formula>
    </cfRule>
    <cfRule type="containsText" dxfId="4330" priority="624" operator="containsText" text="Ere">
      <formula>NOT(ISERROR(SEARCH("Ere",H29)))</formula>
    </cfRule>
    <cfRule type="containsText" dxfId="4329" priority="625" operator="containsText" text="Ear">
      <formula>NOT(ISERROR(SEARCH("Ear",H29)))</formula>
    </cfRule>
    <cfRule type="containsText" dxfId="4328" priority="626" operator="containsText" text="fnd">
      <formula>NOT(ISERROR(SEARCH("fnd",H29)))</formula>
    </cfRule>
  </conditionalFormatting>
  <conditionalFormatting sqref="H37:H38">
    <cfRule type="containsText" dxfId="4327" priority="883" operator="containsText" text="Str">
      <formula>NOT(ISERROR(SEARCH("Str",H37)))</formula>
    </cfRule>
    <cfRule type="containsText" dxfId="4326" priority="884" operator="containsText" text="Ere">
      <formula>NOT(ISERROR(SEARCH("Ere",H37)))</formula>
    </cfRule>
    <cfRule type="containsText" dxfId="4325" priority="885" operator="containsText" text="Ear">
      <formula>NOT(ISERROR(SEARCH("Ear",H37)))</formula>
    </cfRule>
    <cfRule type="containsText" dxfId="4324" priority="886" operator="containsText" text="fnd">
      <formula>NOT(ISERROR(SEARCH("fnd",H37)))</formula>
    </cfRule>
  </conditionalFormatting>
  <conditionalFormatting sqref="H45">
    <cfRule type="containsText" dxfId="4323" priority="2179" operator="containsText" text="Str">
      <formula>NOT(ISERROR(SEARCH("Str",H45)))</formula>
    </cfRule>
    <cfRule type="containsText" dxfId="4322" priority="2180" operator="containsText" text="Ere">
      <formula>NOT(ISERROR(SEARCH("Ere",H45)))</formula>
    </cfRule>
    <cfRule type="containsText" dxfId="4321" priority="2181" operator="containsText" text="Ear">
      <formula>NOT(ISERROR(SEARCH("Ear",H45)))</formula>
    </cfRule>
    <cfRule type="containsText" dxfId="4320" priority="2182" operator="containsText" text="fnd">
      <formula>NOT(ISERROR(SEARCH("fnd",H45)))</formula>
    </cfRule>
  </conditionalFormatting>
  <conditionalFormatting sqref="H61">
    <cfRule type="containsText" dxfId="4319" priority="1803" operator="containsText" text="Str">
      <formula>NOT(ISERROR(SEARCH("Str",H61)))</formula>
    </cfRule>
    <cfRule type="containsText" dxfId="4318" priority="1804" operator="containsText" text="Ere">
      <formula>NOT(ISERROR(SEARCH("Ere",H61)))</formula>
    </cfRule>
    <cfRule type="containsText" dxfId="4317" priority="1805" operator="containsText" text="Ear">
      <formula>NOT(ISERROR(SEARCH("Ear",H61)))</formula>
    </cfRule>
    <cfRule type="containsText" dxfId="4316" priority="1806" operator="containsText" text="fnd">
      <formula>NOT(ISERROR(SEARCH("fnd",H61)))</formula>
    </cfRule>
  </conditionalFormatting>
  <conditionalFormatting sqref="H69">
    <cfRule type="containsText" dxfId="4315" priority="2151" operator="containsText" text="Str">
      <formula>NOT(ISERROR(SEARCH("Str",H69)))</formula>
    </cfRule>
    <cfRule type="containsText" dxfId="4314" priority="2152" operator="containsText" text="Ere">
      <formula>NOT(ISERROR(SEARCH("Ere",H69)))</formula>
    </cfRule>
    <cfRule type="containsText" dxfId="4313" priority="2153" operator="containsText" text="Ear">
      <formula>NOT(ISERROR(SEARCH("Ear",H69)))</formula>
    </cfRule>
    <cfRule type="containsText" dxfId="4312" priority="2154" operator="containsText" text="fnd">
      <formula>NOT(ISERROR(SEARCH("fnd",H69)))</formula>
    </cfRule>
  </conditionalFormatting>
  <conditionalFormatting sqref="H86 K86:L86 N86:O86">
    <cfRule type="containsText" dxfId="4311" priority="2235" operator="containsText" text="Str">
      <formula>NOT(ISERROR(SEARCH("Str",H86)))</formula>
    </cfRule>
    <cfRule type="containsText" dxfId="4310" priority="2236" operator="containsText" text="Ere">
      <formula>NOT(ISERROR(SEARCH("Ere",H86)))</formula>
    </cfRule>
    <cfRule type="containsText" dxfId="4309" priority="2237" operator="containsText" text="Ear">
      <formula>NOT(ISERROR(SEARCH("Ear",H86)))</formula>
    </cfRule>
    <cfRule type="containsText" dxfId="4308" priority="2238" operator="containsText" text="fnd">
      <formula>NOT(ISERROR(SEARCH("fnd",H86)))</formula>
    </cfRule>
  </conditionalFormatting>
  <conditionalFormatting sqref="H93">
    <cfRule type="containsText" dxfId="4307" priority="1907" operator="containsText" text="Str">
      <formula>NOT(ISERROR(SEARCH("Str",H93)))</formula>
    </cfRule>
    <cfRule type="containsText" dxfId="4306" priority="1908" operator="containsText" text="Ere">
      <formula>NOT(ISERROR(SEARCH("Ere",H93)))</formula>
    </cfRule>
    <cfRule type="containsText" dxfId="4305" priority="1909" operator="containsText" text="Ear">
      <formula>NOT(ISERROR(SEARCH("Ear",H93)))</formula>
    </cfRule>
    <cfRule type="containsText" dxfId="4304" priority="1910" operator="containsText" text="fnd">
      <formula>NOT(ISERROR(SEARCH("fnd",H93)))</formula>
    </cfRule>
  </conditionalFormatting>
  <conditionalFormatting sqref="H101">
    <cfRule type="containsText" dxfId="4303" priority="1471" operator="containsText" text="Str">
      <formula>NOT(ISERROR(SEARCH("Str",H101)))</formula>
    </cfRule>
    <cfRule type="containsText" dxfId="4302" priority="1472" operator="containsText" text="Ere">
      <formula>NOT(ISERROR(SEARCH("Ere",H101)))</formula>
    </cfRule>
    <cfRule type="containsText" dxfId="4301" priority="1473" operator="containsText" text="Ear">
      <formula>NOT(ISERROR(SEARCH("Ear",H101)))</formula>
    </cfRule>
    <cfRule type="containsText" dxfId="4300" priority="1474" operator="containsText" text="fnd">
      <formula>NOT(ISERROR(SEARCH("fnd",H101)))</formula>
    </cfRule>
  </conditionalFormatting>
  <conditionalFormatting sqref="H109">
    <cfRule type="containsText" dxfId="4299" priority="341" operator="containsText" text="Str">
      <formula>NOT(ISERROR(SEARCH("Str",H109)))</formula>
    </cfRule>
    <cfRule type="containsText" dxfId="4298" priority="342" operator="containsText" text="Ere">
      <formula>NOT(ISERROR(SEARCH("Ere",H109)))</formula>
    </cfRule>
    <cfRule type="containsText" dxfId="4297" priority="343" operator="containsText" text="Ear">
      <formula>NOT(ISERROR(SEARCH("Ear",H109)))</formula>
    </cfRule>
    <cfRule type="containsText" dxfId="4296" priority="344" operator="containsText" text="fnd">
      <formula>NOT(ISERROR(SEARCH("fnd",H109)))</formula>
    </cfRule>
  </conditionalFormatting>
  <conditionalFormatting sqref="H117">
    <cfRule type="containsText" dxfId="4295" priority="1415" operator="containsText" text="Str">
      <formula>NOT(ISERROR(SEARCH("Str",H117)))</formula>
    </cfRule>
    <cfRule type="containsText" dxfId="4294" priority="1416" operator="containsText" text="Ere">
      <formula>NOT(ISERROR(SEARCH("Ere",H117)))</formula>
    </cfRule>
    <cfRule type="containsText" dxfId="4293" priority="1417" operator="containsText" text="Ear">
      <formula>NOT(ISERROR(SEARCH("Ear",H117)))</formula>
    </cfRule>
    <cfRule type="containsText" dxfId="4292" priority="1418" operator="containsText" text="fnd">
      <formula>NOT(ISERROR(SEARCH("fnd",H117)))</formula>
    </cfRule>
  </conditionalFormatting>
  <conditionalFormatting sqref="H125">
    <cfRule type="containsText" dxfId="4291" priority="615" operator="containsText" text="Str">
      <formula>NOT(ISERROR(SEARCH("Str",H125)))</formula>
    </cfRule>
    <cfRule type="containsText" dxfId="4290" priority="616" operator="containsText" text="Ere">
      <formula>NOT(ISERROR(SEARCH("Ere",H125)))</formula>
    </cfRule>
    <cfRule type="containsText" dxfId="4289" priority="617" operator="containsText" text="Ear">
      <formula>NOT(ISERROR(SEARCH("Ear",H125)))</formula>
    </cfRule>
    <cfRule type="containsText" dxfId="4288" priority="618" operator="containsText" text="fnd">
      <formula>NOT(ISERROR(SEARCH("fnd",H125)))</formula>
    </cfRule>
  </conditionalFormatting>
  <conditionalFormatting sqref="H133">
    <cfRule type="containsText" dxfId="4287" priority="49" operator="containsText" text="Str">
      <formula>NOT(ISERROR(SEARCH("Str",H133)))</formula>
    </cfRule>
    <cfRule type="containsText" dxfId="4286" priority="50" operator="containsText" text="Ere">
      <formula>NOT(ISERROR(SEARCH("Ere",H133)))</formula>
    </cfRule>
    <cfRule type="containsText" dxfId="4285" priority="51" operator="containsText" text="Ear">
      <formula>NOT(ISERROR(SEARCH("Ear",H133)))</formula>
    </cfRule>
    <cfRule type="containsText" dxfId="4284" priority="52" operator="containsText" text="fnd">
      <formula>NOT(ISERROR(SEARCH("fnd",H133)))</formula>
    </cfRule>
  </conditionalFormatting>
  <conditionalFormatting sqref="H141">
    <cfRule type="containsText" dxfId="4283" priority="1275" operator="containsText" text="Str">
      <formula>NOT(ISERROR(SEARCH("Str",H141)))</formula>
    </cfRule>
    <cfRule type="containsText" dxfId="4282" priority="1276" operator="containsText" text="Ere">
      <formula>NOT(ISERROR(SEARCH("Ere",H141)))</formula>
    </cfRule>
    <cfRule type="containsText" dxfId="4281" priority="1277" operator="containsText" text="Ear">
      <formula>NOT(ISERROR(SEARCH("Ear",H141)))</formula>
    </cfRule>
    <cfRule type="containsText" dxfId="4280" priority="1278" operator="containsText" text="fnd">
      <formula>NOT(ISERROR(SEARCH("fnd",H141)))</formula>
    </cfRule>
  </conditionalFormatting>
  <conditionalFormatting sqref="H149">
    <cfRule type="containsText" dxfId="4279" priority="1187" operator="containsText" text="Str">
      <formula>NOT(ISERROR(SEARCH("Str",H149)))</formula>
    </cfRule>
    <cfRule type="containsText" dxfId="4278" priority="1188" operator="containsText" text="Ere">
      <formula>NOT(ISERROR(SEARCH("Ere",H149)))</formula>
    </cfRule>
    <cfRule type="containsText" dxfId="4277" priority="1189" operator="containsText" text="Ear">
      <formula>NOT(ISERROR(SEARCH("Ear",H149)))</formula>
    </cfRule>
    <cfRule type="containsText" dxfId="4276" priority="1190" operator="containsText" text="fnd">
      <formula>NOT(ISERROR(SEARCH("fnd",H149)))</formula>
    </cfRule>
  </conditionalFormatting>
  <conditionalFormatting sqref="H157">
    <cfRule type="containsText" dxfId="4275" priority="1131" operator="containsText" text="Str">
      <formula>NOT(ISERROR(SEARCH("Str",H157)))</formula>
    </cfRule>
    <cfRule type="containsText" dxfId="4274" priority="1132" operator="containsText" text="Ere">
      <formula>NOT(ISERROR(SEARCH("Ere",H157)))</formula>
    </cfRule>
    <cfRule type="containsText" dxfId="4273" priority="1133" operator="containsText" text="Ear">
      <formula>NOT(ISERROR(SEARCH("Ear",H157)))</formula>
    </cfRule>
    <cfRule type="containsText" dxfId="4272" priority="1134" operator="containsText" text="fnd">
      <formula>NOT(ISERROR(SEARCH("fnd",H157)))</formula>
    </cfRule>
  </conditionalFormatting>
  <conditionalFormatting sqref="H165">
    <cfRule type="containsText" dxfId="4271" priority="587" operator="containsText" text="Str">
      <formula>NOT(ISERROR(SEARCH("Str",H165)))</formula>
    </cfRule>
    <cfRule type="containsText" dxfId="4270" priority="588" operator="containsText" text="Ere">
      <formula>NOT(ISERROR(SEARCH("Ere",H165)))</formula>
    </cfRule>
    <cfRule type="containsText" dxfId="4269" priority="589" operator="containsText" text="Ear">
      <formula>NOT(ISERROR(SEARCH("Ear",H165)))</formula>
    </cfRule>
    <cfRule type="containsText" dxfId="4268" priority="590" operator="containsText" text="fnd">
      <formula>NOT(ISERROR(SEARCH("fnd",H165)))</formula>
    </cfRule>
  </conditionalFormatting>
  <conditionalFormatting sqref="H173">
    <cfRule type="containsText" dxfId="4267" priority="999" operator="containsText" text="Str">
      <formula>NOT(ISERROR(SEARCH("Str",H173)))</formula>
    </cfRule>
    <cfRule type="containsText" dxfId="4266" priority="1000" operator="containsText" text="Ere">
      <formula>NOT(ISERROR(SEARCH("Ere",H173)))</formula>
    </cfRule>
    <cfRule type="containsText" dxfId="4265" priority="1001" operator="containsText" text="Ear">
      <formula>NOT(ISERROR(SEARCH("Ear",H173)))</formula>
    </cfRule>
    <cfRule type="containsText" dxfId="4264" priority="1002" operator="containsText" text="fnd">
      <formula>NOT(ISERROR(SEARCH("fnd",H173)))</formula>
    </cfRule>
  </conditionalFormatting>
  <conditionalFormatting sqref="H181">
    <cfRule type="containsText" dxfId="4263" priority="145" operator="containsText" text="Str">
      <formula>NOT(ISERROR(SEARCH("Str",H181)))</formula>
    </cfRule>
    <cfRule type="containsText" dxfId="4262" priority="146" operator="containsText" text="Ere">
      <formula>NOT(ISERROR(SEARCH("Ere",H181)))</formula>
    </cfRule>
    <cfRule type="containsText" dxfId="4261" priority="147" operator="containsText" text="Ear">
      <formula>NOT(ISERROR(SEARCH("Ear",H181)))</formula>
    </cfRule>
    <cfRule type="containsText" dxfId="4260" priority="148" operator="containsText" text="fnd">
      <formula>NOT(ISERROR(SEARCH("fnd",H181)))</formula>
    </cfRule>
  </conditionalFormatting>
  <conditionalFormatting sqref="H30:I30">
    <cfRule type="containsText" dxfId="4259" priority="627" operator="containsText" text="Str">
      <formula>NOT(ISERROR(SEARCH("Str",H30)))</formula>
    </cfRule>
    <cfRule type="containsText" dxfId="4258" priority="628" operator="containsText" text="Ere">
      <formula>NOT(ISERROR(SEARCH("Ere",H30)))</formula>
    </cfRule>
    <cfRule type="containsText" dxfId="4257" priority="629" operator="containsText" text="Ear">
      <formula>NOT(ISERROR(SEARCH("Ear",H30)))</formula>
    </cfRule>
    <cfRule type="containsText" dxfId="4256" priority="630" operator="containsText" text="fnd">
      <formula>NOT(ISERROR(SEARCH("fnd",H30)))</formula>
    </cfRule>
  </conditionalFormatting>
  <conditionalFormatting sqref="H46:I46">
    <cfRule type="containsText" dxfId="4255" priority="2267" operator="containsText" text="Str">
      <formula>NOT(ISERROR(SEARCH("Str",H46)))</formula>
    </cfRule>
    <cfRule type="containsText" dxfId="4254" priority="2268" operator="containsText" text="Ere">
      <formula>NOT(ISERROR(SEARCH("Ere",H46)))</formula>
    </cfRule>
    <cfRule type="containsText" dxfId="4253" priority="2269" operator="containsText" text="Ear">
      <formula>NOT(ISERROR(SEARCH("Ear",H46)))</formula>
    </cfRule>
    <cfRule type="containsText" dxfId="4252" priority="2270" operator="containsText" text="fnd">
      <formula>NOT(ISERROR(SEARCH("fnd",H46)))</formula>
    </cfRule>
  </conditionalFormatting>
  <conditionalFormatting sqref="H62:I62">
    <cfRule type="containsText" dxfId="4251" priority="1807" operator="containsText" text="Str">
      <formula>NOT(ISERROR(SEARCH("Str",H62)))</formula>
    </cfRule>
    <cfRule type="containsText" dxfId="4250" priority="1808" operator="containsText" text="Ere">
      <formula>NOT(ISERROR(SEARCH("Ere",H62)))</formula>
    </cfRule>
    <cfRule type="containsText" dxfId="4249" priority="1809" operator="containsText" text="Ear">
      <formula>NOT(ISERROR(SEARCH("Ear",H62)))</formula>
    </cfRule>
    <cfRule type="containsText" dxfId="4248" priority="1810" operator="containsText" text="fnd">
      <formula>NOT(ISERROR(SEARCH("fnd",H62)))</formula>
    </cfRule>
  </conditionalFormatting>
  <conditionalFormatting sqref="H94:I94">
    <cfRule type="containsText" dxfId="4247" priority="1911" operator="containsText" text="Str">
      <formula>NOT(ISERROR(SEARCH("Str",H94)))</formula>
    </cfRule>
    <cfRule type="containsText" dxfId="4246" priority="1912" operator="containsText" text="Ere">
      <formula>NOT(ISERROR(SEARCH("Ere",H94)))</formula>
    </cfRule>
    <cfRule type="containsText" dxfId="4245" priority="1913" operator="containsText" text="Ear">
      <formula>NOT(ISERROR(SEARCH("Ear",H94)))</formula>
    </cfRule>
    <cfRule type="containsText" dxfId="4244" priority="1914" operator="containsText" text="fnd">
      <formula>NOT(ISERROR(SEARCH("fnd",H94)))</formula>
    </cfRule>
  </conditionalFormatting>
  <conditionalFormatting sqref="H102:I102">
    <cfRule type="containsText" dxfId="4243" priority="1475" operator="containsText" text="Str">
      <formula>NOT(ISERROR(SEARCH("Str",H102)))</formula>
    </cfRule>
    <cfRule type="containsText" dxfId="4242" priority="1476" operator="containsText" text="Ere">
      <formula>NOT(ISERROR(SEARCH("Ere",H102)))</formula>
    </cfRule>
    <cfRule type="containsText" dxfId="4241" priority="1477" operator="containsText" text="Ear">
      <formula>NOT(ISERROR(SEARCH("Ear",H102)))</formula>
    </cfRule>
    <cfRule type="containsText" dxfId="4240" priority="1478" operator="containsText" text="fnd">
      <formula>NOT(ISERROR(SEARCH("fnd",H102)))</formula>
    </cfRule>
  </conditionalFormatting>
  <conditionalFormatting sqref="H110:I110">
    <cfRule type="containsText" dxfId="4239" priority="345" operator="containsText" text="Str">
      <formula>NOT(ISERROR(SEARCH("Str",H110)))</formula>
    </cfRule>
    <cfRule type="containsText" dxfId="4238" priority="346" operator="containsText" text="Ere">
      <formula>NOT(ISERROR(SEARCH("Ere",H110)))</formula>
    </cfRule>
    <cfRule type="containsText" dxfId="4237" priority="347" operator="containsText" text="Ear">
      <formula>NOT(ISERROR(SEARCH("Ear",H110)))</formula>
    </cfRule>
    <cfRule type="containsText" dxfId="4236" priority="348" operator="containsText" text="fnd">
      <formula>NOT(ISERROR(SEARCH("fnd",H110)))</formula>
    </cfRule>
  </conditionalFormatting>
  <conditionalFormatting sqref="H118:I118">
    <cfRule type="containsText" dxfId="4235" priority="1419" operator="containsText" text="Str">
      <formula>NOT(ISERROR(SEARCH("Str",H118)))</formula>
    </cfRule>
    <cfRule type="containsText" dxfId="4234" priority="1420" operator="containsText" text="Ere">
      <formula>NOT(ISERROR(SEARCH("Ere",H118)))</formula>
    </cfRule>
    <cfRule type="containsText" dxfId="4233" priority="1421" operator="containsText" text="Ear">
      <formula>NOT(ISERROR(SEARCH("Ear",H118)))</formula>
    </cfRule>
    <cfRule type="containsText" dxfId="4232" priority="1422" operator="containsText" text="fnd">
      <formula>NOT(ISERROR(SEARCH("fnd",H118)))</formula>
    </cfRule>
  </conditionalFormatting>
  <conditionalFormatting sqref="H126:I126">
    <cfRule type="containsText" dxfId="4231" priority="619" operator="containsText" text="Str">
      <formula>NOT(ISERROR(SEARCH("Str",H126)))</formula>
    </cfRule>
    <cfRule type="containsText" dxfId="4230" priority="620" operator="containsText" text="Ere">
      <formula>NOT(ISERROR(SEARCH("Ere",H126)))</formula>
    </cfRule>
    <cfRule type="containsText" dxfId="4229" priority="621" operator="containsText" text="Ear">
      <formula>NOT(ISERROR(SEARCH("Ear",H126)))</formula>
    </cfRule>
    <cfRule type="containsText" dxfId="4228" priority="622" operator="containsText" text="fnd">
      <formula>NOT(ISERROR(SEARCH("fnd",H126)))</formula>
    </cfRule>
  </conditionalFormatting>
  <conditionalFormatting sqref="H134:I134">
    <cfRule type="containsText" dxfId="4227" priority="53" operator="containsText" text="Str">
      <formula>NOT(ISERROR(SEARCH("Str",H134)))</formula>
    </cfRule>
    <cfRule type="containsText" dxfId="4226" priority="54" operator="containsText" text="Ere">
      <formula>NOT(ISERROR(SEARCH("Ere",H134)))</formula>
    </cfRule>
    <cfRule type="containsText" dxfId="4225" priority="55" operator="containsText" text="Ear">
      <formula>NOT(ISERROR(SEARCH("Ear",H134)))</formula>
    </cfRule>
    <cfRule type="containsText" dxfId="4224" priority="56" operator="containsText" text="fnd">
      <formula>NOT(ISERROR(SEARCH("fnd",H134)))</formula>
    </cfRule>
  </conditionalFormatting>
  <conditionalFormatting sqref="H142:I142">
    <cfRule type="containsText" dxfId="4223" priority="1279" operator="containsText" text="Str">
      <formula>NOT(ISERROR(SEARCH("Str",H142)))</formula>
    </cfRule>
    <cfRule type="containsText" dxfId="4222" priority="1280" operator="containsText" text="Ere">
      <formula>NOT(ISERROR(SEARCH("Ere",H142)))</formula>
    </cfRule>
    <cfRule type="containsText" dxfId="4221" priority="1281" operator="containsText" text="Ear">
      <formula>NOT(ISERROR(SEARCH("Ear",H142)))</formula>
    </cfRule>
    <cfRule type="containsText" dxfId="4220" priority="1282" operator="containsText" text="fnd">
      <formula>NOT(ISERROR(SEARCH("fnd",H142)))</formula>
    </cfRule>
  </conditionalFormatting>
  <conditionalFormatting sqref="H150:I150">
    <cfRule type="containsText" dxfId="4219" priority="1191" operator="containsText" text="Str">
      <formula>NOT(ISERROR(SEARCH("Str",H150)))</formula>
    </cfRule>
    <cfRule type="containsText" dxfId="4218" priority="1192" operator="containsText" text="Ere">
      <formula>NOT(ISERROR(SEARCH("Ere",H150)))</formula>
    </cfRule>
    <cfRule type="containsText" dxfId="4217" priority="1193" operator="containsText" text="Ear">
      <formula>NOT(ISERROR(SEARCH("Ear",H150)))</formula>
    </cfRule>
    <cfRule type="containsText" dxfId="4216" priority="1194" operator="containsText" text="fnd">
      <formula>NOT(ISERROR(SEARCH("fnd",H150)))</formula>
    </cfRule>
  </conditionalFormatting>
  <conditionalFormatting sqref="H158:I158">
    <cfRule type="containsText" dxfId="4215" priority="1135" operator="containsText" text="Str">
      <formula>NOT(ISERROR(SEARCH("Str",H158)))</formula>
    </cfRule>
    <cfRule type="containsText" dxfId="4214" priority="1136" operator="containsText" text="Ere">
      <formula>NOT(ISERROR(SEARCH("Ere",H158)))</formula>
    </cfRule>
    <cfRule type="containsText" dxfId="4213" priority="1137" operator="containsText" text="Ear">
      <formula>NOT(ISERROR(SEARCH("Ear",H158)))</formula>
    </cfRule>
    <cfRule type="containsText" dxfId="4212" priority="1138" operator="containsText" text="fnd">
      <formula>NOT(ISERROR(SEARCH("fnd",H158)))</formula>
    </cfRule>
  </conditionalFormatting>
  <conditionalFormatting sqref="H166:I166">
    <cfRule type="containsText" dxfId="4211" priority="591" operator="containsText" text="Str">
      <formula>NOT(ISERROR(SEARCH("Str",H166)))</formula>
    </cfRule>
    <cfRule type="containsText" dxfId="4210" priority="592" operator="containsText" text="Ere">
      <formula>NOT(ISERROR(SEARCH("Ere",H166)))</formula>
    </cfRule>
    <cfRule type="containsText" dxfId="4209" priority="593" operator="containsText" text="Ear">
      <formula>NOT(ISERROR(SEARCH("Ear",H166)))</formula>
    </cfRule>
    <cfRule type="containsText" dxfId="4208" priority="594" operator="containsText" text="fnd">
      <formula>NOT(ISERROR(SEARCH("fnd",H166)))</formula>
    </cfRule>
  </conditionalFormatting>
  <conditionalFormatting sqref="H182:I182">
    <cfRule type="containsText" dxfId="4207" priority="149" operator="containsText" text="Str">
      <formula>NOT(ISERROR(SEARCH("Str",H182)))</formula>
    </cfRule>
    <cfRule type="containsText" dxfId="4206" priority="150" operator="containsText" text="Ere">
      <formula>NOT(ISERROR(SEARCH("Ere",H182)))</formula>
    </cfRule>
    <cfRule type="containsText" dxfId="4205" priority="151" operator="containsText" text="Ear">
      <formula>NOT(ISERROR(SEARCH("Ear",H182)))</formula>
    </cfRule>
    <cfRule type="containsText" dxfId="4204" priority="152" operator="containsText" text="fnd">
      <formula>NOT(ISERROR(SEARCH("fnd",H182)))</formula>
    </cfRule>
  </conditionalFormatting>
  <conditionalFormatting sqref="I6">
    <cfRule type="containsText" dxfId="4203" priority="229" operator="containsText" text="Str">
      <formula>NOT(ISERROR(SEARCH("Str",I6)))</formula>
    </cfRule>
    <cfRule type="containsText" dxfId="4202" priority="230" operator="containsText" text="Ere">
      <formula>NOT(ISERROR(SEARCH("Ere",I6)))</formula>
    </cfRule>
    <cfRule type="containsText" dxfId="4201" priority="231" operator="containsText" text="Ear">
      <formula>NOT(ISERROR(SEARCH("Ear",I6)))</formula>
    </cfRule>
    <cfRule type="containsText" dxfId="4200" priority="232" operator="containsText" text="fnd">
      <formula>NOT(ISERROR(SEARCH("fnd",I6)))</formula>
    </cfRule>
  </conditionalFormatting>
  <conditionalFormatting sqref="I14">
    <cfRule type="containsText" dxfId="4199" priority="1615" operator="containsText" text="Str">
      <formula>NOT(ISERROR(SEARCH("Str",I14)))</formula>
    </cfRule>
    <cfRule type="containsText" dxfId="4198" priority="1616" operator="containsText" text="Ere">
      <formula>NOT(ISERROR(SEARCH("Ere",I14)))</formula>
    </cfRule>
    <cfRule type="containsText" dxfId="4197" priority="1617" operator="containsText" text="Ear">
      <formula>NOT(ISERROR(SEARCH("Ear",I14)))</formula>
    </cfRule>
    <cfRule type="containsText" dxfId="4196" priority="1618" operator="containsText" text="fnd">
      <formula>NOT(ISERROR(SEARCH("fnd",I14)))</formula>
    </cfRule>
  </conditionalFormatting>
  <conditionalFormatting sqref="I22">
    <cfRule type="containsText" dxfId="4195" priority="1831" operator="containsText" text="Str">
      <formula>NOT(ISERROR(SEARCH("Str",I22)))</formula>
    </cfRule>
    <cfRule type="containsText" dxfId="4194" priority="1832" operator="containsText" text="Ere">
      <formula>NOT(ISERROR(SEARCH("Ere",I22)))</formula>
    </cfRule>
    <cfRule type="containsText" dxfId="4193" priority="1833" operator="containsText" text="Ear">
      <formula>NOT(ISERROR(SEARCH("Ear",I22)))</formula>
    </cfRule>
    <cfRule type="containsText" dxfId="4192" priority="1834" operator="containsText" text="fnd">
      <formula>NOT(ISERROR(SEARCH("fnd",I22)))</formula>
    </cfRule>
  </conditionalFormatting>
  <conditionalFormatting sqref="I38">
    <cfRule type="containsText" dxfId="4191" priority="879" operator="containsText" text="Str">
      <formula>NOT(ISERROR(SEARCH("Str",I38)))</formula>
    </cfRule>
    <cfRule type="containsText" dxfId="4190" priority="880" operator="containsText" text="Ere">
      <formula>NOT(ISERROR(SEARCH("Ere",I38)))</formula>
    </cfRule>
    <cfRule type="containsText" dxfId="4189" priority="881" operator="containsText" text="Ear">
      <formula>NOT(ISERROR(SEARCH("Ear",I38)))</formula>
    </cfRule>
    <cfRule type="containsText" dxfId="4188" priority="882" operator="containsText" text="fnd">
      <formula>NOT(ISERROR(SEARCH("fnd",I38)))</formula>
    </cfRule>
  </conditionalFormatting>
  <conditionalFormatting sqref="I54">
    <cfRule type="containsText" dxfId="4187" priority="2039" operator="containsText" text="Str">
      <formula>NOT(ISERROR(SEARCH("Str",I54)))</formula>
    </cfRule>
    <cfRule type="containsText" dxfId="4186" priority="2040" operator="containsText" text="Ere">
      <formula>NOT(ISERROR(SEARCH("Ere",I54)))</formula>
    </cfRule>
    <cfRule type="containsText" dxfId="4185" priority="2041" operator="containsText" text="Ear">
      <formula>NOT(ISERROR(SEARCH("Ear",I54)))</formula>
    </cfRule>
    <cfRule type="containsText" dxfId="4184" priority="2042" operator="containsText" text="fnd">
      <formula>NOT(ISERROR(SEARCH("fnd",I54)))</formula>
    </cfRule>
  </conditionalFormatting>
  <conditionalFormatting sqref="I78">
    <cfRule type="containsText" dxfId="4183" priority="1903" operator="containsText" text="Str">
      <formula>NOT(ISERROR(SEARCH("Str",I78)))</formula>
    </cfRule>
    <cfRule type="containsText" dxfId="4182" priority="1904" operator="containsText" text="Ere">
      <formula>NOT(ISERROR(SEARCH("Ere",I78)))</formula>
    </cfRule>
    <cfRule type="containsText" dxfId="4181" priority="1905" operator="containsText" text="Ear">
      <formula>NOT(ISERROR(SEARCH("Ear",I78)))</formula>
    </cfRule>
    <cfRule type="containsText" dxfId="4180" priority="1906" operator="containsText" text="fnd">
      <formula>NOT(ISERROR(SEARCH("fnd",I78)))</formula>
    </cfRule>
  </conditionalFormatting>
  <conditionalFormatting sqref="I216:I217">
    <cfRule type="containsText" dxfId="4179" priority="25" operator="containsText" text="Str">
      <formula>NOT(ISERROR(SEARCH("Str",I216)))</formula>
    </cfRule>
    <cfRule type="containsText" dxfId="4178" priority="26" operator="containsText" text="Ere">
      <formula>NOT(ISERROR(SEARCH("Ere",I216)))</formula>
    </cfRule>
    <cfRule type="containsText" dxfId="4177" priority="27" operator="containsText" text="Ear">
      <formula>NOT(ISERROR(SEARCH("Ear",I216)))</formula>
    </cfRule>
    <cfRule type="containsText" dxfId="4176" priority="28" operator="containsText" text="fnd">
      <formula>NOT(ISERROR(SEARCH("fnd",I216)))</formula>
    </cfRule>
  </conditionalFormatting>
  <conditionalFormatting sqref="K5:K6">
    <cfRule type="containsText" dxfId="4175" priority="225" operator="containsText" text="Str">
      <formula>NOT(ISERROR(SEARCH("Str",K5)))</formula>
    </cfRule>
    <cfRule type="containsText" dxfId="4174" priority="226" operator="containsText" text="Ere">
      <formula>NOT(ISERROR(SEARCH("Ere",K5)))</formula>
    </cfRule>
    <cfRule type="containsText" dxfId="4173" priority="227" operator="containsText" text="Ear">
      <formula>NOT(ISERROR(SEARCH("Ear",K5)))</formula>
    </cfRule>
    <cfRule type="containsText" dxfId="4172" priority="228" operator="containsText" text="fnd">
      <formula>NOT(ISERROR(SEARCH("fnd",K5)))</formula>
    </cfRule>
  </conditionalFormatting>
  <conditionalFormatting sqref="K13:K14">
    <cfRule type="containsText" dxfId="4171" priority="1659" operator="containsText" text="Str">
      <formula>NOT(ISERROR(SEARCH("Str",K13)))</formula>
    </cfRule>
    <cfRule type="containsText" dxfId="4170" priority="1660" operator="containsText" text="Ere">
      <formula>NOT(ISERROR(SEARCH("Ere",K13)))</formula>
    </cfRule>
    <cfRule type="containsText" dxfId="4169" priority="1661" operator="containsText" text="Ear">
      <formula>NOT(ISERROR(SEARCH("Ear",K13)))</formula>
    </cfRule>
    <cfRule type="containsText" dxfId="4168" priority="1662" operator="containsText" text="fnd">
      <formula>NOT(ISERROR(SEARCH("fnd",K13)))</formula>
    </cfRule>
  </conditionalFormatting>
  <conditionalFormatting sqref="K21:K22">
    <cfRule type="containsText" dxfId="4167" priority="1799" operator="containsText" text="Str">
      <formula>NOT(ISERROR(SEARCH("Str",K21)))</formula>
    </cfRule>
    <cfRule type="containsText" dxfId="4166" priority="1800" operator="containsText" text="Ere">
      <formula>NOT(ISERROR(SEARCH("Ere",K21)))</formula>
    </cfRule>
    <cfRule type="containsText" dxfId="4165" priority="1801" operator="containsText" text="Ear">
      <formula>NOT(ISERROR(SEARCH("Ear",K21)))</formula>
    </cfRule>
    <cfRule type="containsText" dxfId="4164" priority="1802" operator="containsText" text="fnd">
      <formula>NOT(ISERROR(SEARCH("fnd",K21)))</formula>
    </cfRule>
  </conditionalFormatting>
  <conditionalFormatting sqref="K29">
    <cfRule type="containsText" dxfId="4163" priority="1519" operator="containsText" text="Str">
      <formula>NOT(ISERROR(SEARCH("Str",K29)))</formula>
    </cfRule>
    <cfRule type="containsText" dxfId="4162" priority="1520" operator="containsText" text="Ere">
      <formula>NOT(ISERROR(SEARCH("Ere",K29)))</formula>
    </cfRule>
    <cfRule type="containsText" dxfId="4161" priority="1521" operator="containsText" text="Ear">
      <formula>NOT(ISERROR(SEARCH("Ear",K29)))</formula>
    </cfRule>
    <cfRule type="containsText" dxfId="4160" priority="1522" operator="containsText" text="fnd">
      <formula>NOT(ISERROR(SEARCH("fnd",K29)))</formula>
    </cfRule>
  </conditionalFormatting>
  <conditionalFormatting sqref="K37:K38">
    <cfRule type="containsText" dxfId="4159" priority="875" operator="containsText" text="Str">
      <formula>NOT(ISERROR(SEARCH("Str",K37)))</formula>
    </cfRule>
    <cfRule type="containsText" dxfId="4158" priority="876" operator="containsText" text="Ere">
      <formula>NOT(ISERROR(SEARCH("Ere",K37)))</formula>
    </cfRule>
    <cfRule type="containsText" dxfId="4157" priority="877" operator="containsText" text="Ear">
      <formula>NOT(ISERROR(SEARCH("Ear",K37)))</formula>
    </cfRule>
    <cfRule type="containsText" dxfId="4156" priority="878" operator="containsText" text="fnd">
      <formula>NOT(ISERROR(SEARCH("fnd",K37)))</formula>
    </cfRule>
  </conditionalFormatting>
  <conditionalFormatting sqref="K45:K46">
    <cfRule type="containsText" dxfId="4155" priority="2043" operator="containsText" text="Str">
      <formula>NOT(ISERROR(SEARCH("Str",K45)))</formula>
    </cfRule>
    <cfRule type="containsText" dxfId="4154" priority="2044" operator="containsText" text="Ere">
      <formula>NOT(ISERROR(SEARCH("Ere",K45)))</formula>
    </cfRule>
    <cfRule type="containsText" dxfId="4153" priority="2045" operator="containsText" text="Ear">
      <formula>NOT(ISERROR(SEARCH("Ear",K45)))</formula>
    </cfRule>
    <cfRule type="containsText" dxfId="4152" priority="2046" operator="containsText" text="fnd">
      <formula>NOT(ISERROR(SEARCH("fnd",K45)))</formula>
    </cfRule>
  </conditionalFormatting>
  <conditionalFormatting sqref="K61">
    <cfRule type="containsText" dxfId="4151" priority="1755" operator="containsText" text="Str">
      <formula>NOT(ISERROR(SEARCH("Str",K61)))</formula>
    </cfRule>
    <cfRule type="containsText" dxfId="4150" priority="1756" operator="containsText" text="Ere">
      <formula>NOT(ISERROR(SEARCH("Ere",K61)))</formula>
    </cfRule>
    <cfRule type="containsText" dxfId="4149" priority="1757" operator="containsText" text="Ear">
      <formula>NOT(ISERROR(SEARCH("Ear",K61)))</formula>
    </cfRule>
    <cfRule type="containsText" dxfId="4148" priority="1758" operator="containsText" text="fnd">
      <formula>NOT(ISERROR(SEARCH("fnd",K61)))</formula>
    </cfRule>
  </conditionalFormatting>
  <conditionalFormatting sqref="K77 AF77:AF78">
    <cfRule type="containsText" dxfId="4147" priority="2239" operator="containsText" text="Str">
      <formula>NOT(ISERROR(SEARCH("Str",K77)))</formula>
    </cfRule>
    <cfRule type="containsText" dxfId="4146" priority="2240" operator="containsText" text="Ere">
      <formula>NOT(ISERROR(SEARCH("Ere",K77)))</formula>
    </cfRule>
    <cfRule type="containsText" dxfId="4145" priority="2241" operator="containsText" text="Ear">
      <formula>NOT(ISERROR(SEARCH("Ear",K77)))</formula>
    </cfRule>
    <cfRule type="containsText" dxfId="4144" priority="2242" operator="containsText" text="fnd">
      <formula>NOT(ISERROR(SEARCH("fnd",K77)))</formula>
    </cfRule>
  </conditionalFormatting>
  <conditionalFormatting sqref="K85 N85">
    <cfRule type="containsText" dxfId="4143" priority="2231" operator="containsText" text="Str">
      <formula>NOT(ISERROR(SEARCH("Str",K85)))</formula>
    </cfRule>
    <cfRule type="containsText" dxfId="4142" priority="2232" operator="containsText" text="Ere">
      <formula>NOT(ISERROR(SEARCH("Ere",K85)))</formula>
    </cfRule>
    <cfRule type="containsText" dxfId="4141" priority="2233" operator="containsText" text="Ear">
      <formula>NOT(ISERROR(SEARCH("Ear",K85)))</formula>
    </cfRule>
    <cfRule type="containsText" dxfId="4140" priority="2234" operator="containsText" text="fnd">
      <formula>NOT(ISERROR(SEARCH("fnd",K85)))</formula>
    </cfRule>
  </conditionalFormatting>
  <conditionalFormatting sqref="K93">
    <cfRule type="containsText" dxfId="4139" priority="2195" operator="containsText" text="Str">
      <formula>NOT(ISERROR(SEARCH("Str",K93)))</formula>
    </cfRule>
    <cfRule type="containsText" dxfId="4138" priority="2196" operator="containsText" text="Ere">
      <formula>NOT(ISERROR(SEARCH("Ere",K93)))</formula>
    </cfRule>
    <cfRule type="containsText" dxfId="4137" priority="2197" operator="containsText" text="Ear">
      <formula>NOT(ISERROR(SEARCH("Ear",K93)))</formula>
    </cfRule>
    <cfRule type="containsText" dxfId="4136" priority="2198" operator="containsText" text="fnd">
      <formula>NOT(ISERROR(SEARCH("fnd",K93)))</formula>
    </cfRule>
  </conditionalFormatting>
  <conditionalFormatting sqref="K101">
    <cfRule type="containsText" dxfId="4135" priority="1463" operator="containsText" text="Str">
      <formula>NOT(ISERROR(SEARCH("Str",K101)))</formula>
    </cfRule>
    <cfRule type="containsText" dxfId="4134" priority="1464" operator="containsText" text="Ere">
      <formula>NOT(ISERROR(SEARCH("Ere",K101)))</formula>
    </cfRule>
    <cfRule type="containsText" dxfId="4133" priority="1465" operator="containsText" text="Ear">
      <formula>NOT(ISERROR(SEARCH("Ear",K101)))</formula>
    </cfRule>
    <cfRule type="containsText" dxfId="4132" priority="1466" operator="containsText" text="fnd">
      <formula>NOT(ISERROR(SEARCH("fnd",K101)))</formula>
    </cfRule>
  </conditionalFormatting>
  <conditionalFormatting sqref="K109">
    <cfRule type="containsText" dxfId="4131" priority="1779" operator="containsText" text="Str">
      <formula>NOT(ISERROR(SEARCH("Str",K109)))</formula>
    </cfRule>
    <cfRule type="containsText" dxfId="4130" priority="1780" operator="containsText" text="Ere">
      <formula>NOT(ISERROR(SEARCH("Ere",K109)))</formula>
    </cfRule>
    <cfRule type="containsText" dxfId="4129" priority="1781" operator="containsText" text="Ear">
      <formula>NOT(ISERROR(SEARCH("Ear",K109)))</formula>
    </cfRule>
    <cfRule type="containsText" dxfId="4128" priority="1782" operator="containsText" text="fnd">
      <formula>NOT(ISERROR(SEARCH("fnd",K109)))</formula>
    </cfRule>
  </conditionalFormatting>
  <conditionalFormatting sqref="K117">
    <cfRule type="containsText" dxfId="4127" priority="1407" operator="containsText" text="Str">
      <formula>NOT(ISERROR(SEARCH("Str",K117)))</formula>
    </cfRule>
    <cfRule type="containsText" dxfId="4126" priority="1408" operator="containsText" text="Ere">
      <formula>NOT(ISERROR(SEARCH("Ere",K117)))</formula>
    </cfRule>
    <cfRule type="containsText" dxfId="4125" priority="1409" operator="containsText" text="Ear">
      <formula>NOT(ISERROR(SEARCH("Ear",K117)))</formula>
    </cfRule>
    <cfRule type="containsText" dxfId="4124" priority="1410" operator="containsText" text="fnd">
      <formula>NOT(ISERROR(SEARCH("fnd",K117)))</formula>
    </cfRule>
  </conditionalFormatting>
  <conditionalFormatting sqref="K122 K130 K138 K162 K170 K178">
    <cfRule type="containsText" dxfId="4123" priority="2007" operator="containsText" text="Str">
      <formula>NOT(ISERROR(SEARCH("Str",K122)))</formula>
    </cfRule>
    <cfRule type="containsText" dxfId="4122" priority="2008" operator="containsText" text="Ere">
      <formula>NOT(ISERROR(SEARCH("Ere",K122)))</formula>
    </cfRule>
    <cfRule type="containsText" dxfId="4121" priority="2009" operator="containsText" text="Ear">
      <formula>NOT(ISERROR(SEARCH("Ear",K122)))</formula>
    </cfRule>
    <cfRule type="containsText" dxfId="4120" priority="2010" operator="containsText" text="fnd">
      <formula>NOT(ISERROR(SEARCH("fnd",K122)))</formula>
    </cfRule>
  </conditionalFormatting>
  <conditionalFormatting sqref="K125">
    <cfRule type="containsText" dxfId="4119" priority="691" operator="containsText" text="Str">
      <formula>NOT(ISERROR(SEARCH("Str",K125)))</formula>
    </cfRule>
    <cfRule type="containsText" dxfId="4118" priority="692" operator="containsText" text="Ere">
      <formula>NOT(ISERROR(SEARCH("Ere",K125)))</formula>
    </cfRule>
    <cfRule type="containsText" dxfId="4117" priority="693" operator="containsText" text="Ear">
      <formula>NOT(ISERROR(SEARCH("Ear",K125)))</formula>
    </cfRule>
    <cfRule type="containsText" dxfId="4116" priority="694" operator="containsText" text="fnd">
      <formula>NOT(ISERROR(SEARCH("fnd",K125)))</formula>
    </cfRule>
  </conditionalFormatting>
  <conditionalFormatting sqref="K133">
    <cfRule type="containsText" dxfId="4115" priority="45" operator="containsText" text="Ere">
      <formula>NOT(ISERROR(SEARCH("Ere",K133)))</formula>
    </cfRule>
  </conditionalFormatting>
  <conditionalFormatting sqref="K141">
    <cfRule type="containsText" dxfId="4114" priority="1267" operator="containsText" text="Str">
      <formula>NOT(ISERROR(SEARCH("Str",K141)))</formula>
    </cfRule>
    <cfRule type="containsText" dxfId="4113" priority="1268" operator="containsText" text="Ere">
      <formula>NOT(ISERROR(SEARCH("Ere",K141)))</formula>
    </cfRule>
    <cfRule type="containsText" dxfId="4112" priority="1269" operator="containsText" text="Ear">
      <formula>NOT(ISERROR(SEARCH("Ear",K141)))</formula>
    </cfRule>
    <cfRule type="containsText" dxfId="4111" priority="1270" operator="containsText" text="fnd">
      <formula>NOT(ISERROR(SEARCH("fnd",K141)))</formula>
    </cfRule>
  </conditionalFormatting>
  <conditionalFormatting sqref="K149">
    <cfRule type="containsText" dxfId="4110" priority="1179" operator="containsText" text="Str">
      <formula>NOT(ISERROR(SEARCH("Str",K149)))</formula>
    </cfRule>
    <cfRule type="containsText" dxfId="4109" priority="1180" operator="containsText" text="Ere">
      <formula>NOT(ISERROR(SEARCH("Ere",K149)))</formula>
    </cfRule>
    <cfRule type="containsText" dxfId="4108" priority="1181" operator="containsText" text="Ear">
      <formula>NOT(ISERROR(SEARCH("Ear",K149)))</formula>
    </cfRule>
    <cfRule type="containsText" dxfId="4107" priority="1182" operator="containsText" text="fnd">
      <formula>NOT(ISERROR(SEARCH("fnd",K149)))</formula>
    </cfRule>
  </conditionalFormatting>
  <conditionalFormatting sqref="K157">
    <cfRule type="containsText" dxfId="4106" priority="1123" operator="containsText" text="Str">
      <formula>NOT(ISERROR(SEARCH("Str",K157)))</formula>
    </cfRule>
    <cfRule type="containsText" dxfId="4105" priority="1124" operator="containsText" text="Ere">
      <formula>NOT(ISERROR(SEARCH("Ere",K157)))</formula>
    </cfRule>
    <cfRule type="containsText" dxfId="4104" priority="1125" operator="containsText" text="Ear">
      <formula>NOT(ISERROR(SEARCH("Ear",K157)))</formula>
    </cfRule>
    <cfRule type="containsText" dxfId="4103" priority="1126" operator="containsText" text="fnd">
      <formula>NOT(ISERROR(SEARCH("fnd",K157)))</formula>
    </cfRule>
  </conditionalFormatting>
  <conditionalFormatting sqref="K165">
    <cfRule type="containsText" dxfId="4102" priority="365" operator="containsText" text="Str">
      <formula>NOT(ISERROR(SEARCH("Str",K165)))</formula>
    </cfRule>
    <cfRule type="containsText" dxfId="4101" priority="366" operator="containsText" text="Ere">
      <formula>NOT(ISERROR(SEARCH("Ere",K165)))</formula>
    </cfRule>
    <cfRule type="containsText" dxfId="4100" priority="367" operator="containsText" text="Ear">
      <formula>NOT(ISERROR(SEARCH("Ear",K165)))</formula>
    </cfRule>
    <cfRule type="containsText" dxfId="4099" priority="368" operator="containsText" text="fnd">
      <formula>NOT(ISERROR(SEARCH("fnd",K165)))</formula>
    </cfRule>
  </conditionalFormatting>
  <conditionalFormatting sqref="K173">
    <cfRule type="containsText" dxfId="4098" priority="529" operator="containsText" text="Str">
      <formula>NOT(ISERROR(SEARCH("Str",K173)))</formula>
    </cfRule>
    <cfRule type="containsText" dxfId="4097" priority="530" operator="containsText" text="Ere">
      <formula>NOT(ISERROR(SEARCH("Ere",K173)))</formula>
    </cfRule>
    <cfRule type="containsText" dxfId="4096" priority="531" operator="containsText" text="Ear">
      <formula>NOT(ISERROR(SEARCH("Ear",K173)))</formula>
    </cfRule>
    <cfRule type="containsText" dxfId="4095" priority="532" operator="containsText" text="fnd">
      <formula>NOT(ISERROR(SEARCH("fnd",K173)))</formula>
    </cfRule>
  </conditionalFormatting>
  <conditionalFormatting sqref="K181">
    <cfRule type="containsText" dxfId="4094" priority="137" operator="containsText" text="Str">
      <formula>NOT(ISERROR(SEARCH("Str",K181)))</formula>
    </cfRule>
    <cfRule type="containsText" dxfId="4093" priority="138" operator="containsText" text="Ere">
      <formula>NOT(ISERROR(SEARCH("Ere",K181)))</formula>
    </cfRule>
    <cfRule type="containsText" dxfId="4092" priority="139" operator="containsText" text="Ear">
      <formula>NOT(ISERROR(SEARCH("Ear",K181)))</formula>
    </cfRule>
    <cfRule type="containsText" dxfId="4091" priority="140" operator="containsText" text="fnd">
      <formula>NOT(ISERROR(SEARCH("fnd",K181)))</formula>
    </cfRule>
  </conditionalFormatting>
  <conditionalFormatting sqref="K207:K208">
    <cfRule type="containsText" dxfId="4090" priority="2087" operator="containsText" text="Str">
      <formula>NOT(ISERROR(SEARCH("Str",K207)))</formula>
    </cfRule>
    <cfRule type="containsText" dxfId="4089" priority="2088" operator="containsText" text="Ere">
      <formula>NOT(ISERROR(SEARCH("Ere",K207)))</formula>
    </cfRule>
    <cfRule type="containsText" dxfId="4088" priority="2089" operator="containsText" text="Ear">
      <formula>NOT(ISERROR(SEARCH("Ear",K207)))</formula>
    </cfRule>
    <cfRule type="containsText" dxfId="4087" priority="2090" operator="containsText" text="fnd">
      <formula>NOT(ISERROR(SEARCH("fnd",K207)))</formula>
    </cfRule>
  </conditionalFormatting>
  <conditionalFormatting sqref="K30:L30">
    <cfRule type="containsText" dxfId="4086" priority="1523" operator="containsText" text="Str">
      <formula>NOT(ISERROR(SEARCH("Str",K30)))</formula>
    </cfRule>
    <cfRule type="containsText" dxfId="4085" priority="1524" operator="containsText" text="Ere">
      <formula>NOT(ISERROR(SEARCH("Ere",K30)))</formula>
    </cfRule>
    <cfRule type="containsText" dxfId="4084" priority="1525" operator="containsText" text="Ear">
      <formula>NOT(ISERROR(SEARCH("Ear",K30)))</formula>
    </cfRule>
    <cfRule type="containsText" dxfId="4083" priority="1526" operator="containsText" text="fnd">
      <formula>NOT(ISERROR(SEARCH("fnd",K30)))</formula>
    </cfRule>
  </conditionalFormatting>
  <conditionalFormatting sqref="K54:L54">
    <cfRule type="containsText" dxfId="4082" priority="2287" operator="containsText" text="Str">
      <formula>NOT(ISERROR(SEARCH("Str",K54)))</formula>
    </cfRule>
    <cfRule type="containsText" dxfId="4081" priority="2288" operator="containsText" text="Ere">
      <formula>NOT(ISERROR(SEARCH("Ere",K54)))</formula>
    </cfRule>
    <cfRule type="containsText" dxfId="4080" priority="2289" operator="containsText" text="Ear">
      <formula>NOT(ISERROR(SEARCH("Ear",K54)))</formula>
    </cfRule>
    <cfRule type="containsText" dxfId="4079" priority="2290" operator="containsText" text="fnd">
      <formula>NOT(ISERROR(SEARCH("fnd",K54)))</formula>
    </cfRule>
  </conditionalFormatting>
  <conditionalFormatting sqref="K62:L62">
    <cfRule type="containsText" dxfId="4078" priority="1759" operator="containsText" text="Str">
      <formula>NOT(ISERROR(SEARCH("Str",K62)))</formula>
    </cfRule>
    <cfRule type="containsText" dxfId="4077" priority="1760" operator="containsText" text="Ere">
      <formula>NOT(ISERROR(SEARCH("Ere",K62)))</formula>
    </cfRule>
    <cfRule type="containsText" dxfId="4076" priority="1761" operator="containsText" text="Ear">
      <formula>NOT(ISERROR(SEARCH("Ear",K62)))</formula>
    </cfRule>
    <cfRule type="containsText" dxfId="4075" priority="1762" operator="containsText" text="fnd">
      <formula>NOT(ISERROR(SEARCH("fnd",K62)))</formula>
    </cfRule>
  </conditionalFormatting>
  <conditionalFormatting sqref="K78:L78">
    <cfRule type="containsText" dxfId="4074" priority="2247" operator="containsText" text="Str">
      <formula>NOT(ISERROR(SEARCH("Str",K78)))</formula>
    </cfRule>
    <cfRule type="containsText" dxfId="4073" priority="2248" operator="containsText" text="Ere">
      <formula>NOT(ISERROR(SEARCH("Ere",K78)))</formula>
    </cfRule>
    <cfRule type="containsText" dxfId="4072" priority="2249" operator="containsText" text="Ear">
      <formula>NOT(ISERROR(SEARCH("Ear",K78)))</formula>
    </cfRule>
    <cfRule type="containsText" dxfId="4071" priority="2250" operator="containsText" text="fnd">
      <formula>NOT(ISERROR(SEARCH("fnd",K78)))</formula>
    </cfRule>
  </conditionalFormatting>
  <conditionalFormatting sqref="K94:L94">
    <cfRule type="containsText" dxfId="4070" priority="2211" operator="containsText" text="Str">
      <formula>NOT(ISERROR(SEARCH("Str",K94)))</formula>
    </cfRule>
    <cfRule type="containsText" dxfId="4069" priority="2212" operator="containsText" text="Ere">
      <formula>NOT(ISERROR(SEARCH("Ere",K94)))</formula>
    </cfRule>
    <cfRule type="containsText" dxfId="4068" priority="2213" operator="containsText" text="Ear">
      <formula>NOT(ISERROR(SEARCH("Ear",K94)))</formula>
    </cfRule>
    <cfRule type="containsText" dxfId="4067" priority="2214" operator="containsText" text="fnd">
      <formula>NOT(ISERROR(SEARCH("fnd",K94)))</formula>
    </cfRule>
  </conditionalFormatting>
  <conditionalFormatting sqref="K102:L102">
    <cfRule type="containsText" dxfId="4066" priority="1467" operator="containsText" text="Str">
      <formula>NOT(ISERROR(SEARCH("Str",K102)))</formula>
    </cfRule>
    <cfRule type="containsText" dxfId="4065" priority="1468" operator="containsText" text="Ere">
      <formula>NOT(ISERROR(SEARCH("Ere",K102)))</formula>
    </cfRule>
    <cfRule type="containsText" dxfId="4064" priority="1469" operator="containsText" text="Ear">
      <formula>NOT(ISERROR(SEARCH("Ear",K102)))</formula>
    </cfRule>
    <cfRule type="containsText" dxfId="4063" priority="1470" operator="containsText" text="fnd">
      <formula>NOT(ISERROR(SEARCH("fnd",K102)))</formula>
    </cfRule>
  </conditionalFormatting>
  <conditionalFormatting sqref="K110:L110">
    <cfRule type="containsText" dxfId="4062" priority="1783" operator="containsText" text="Str">
      <formula>NOT(ISERROR(SEARCH("Str",K110)))</formula>
    </cfRule>
    <cfRule type="containsText" dxfId="4061" priority="1784" operator="containsText" text="Ere">
      <formula>NOT(ISERROR(SEARCH("Ere",K110)))</formula>
    </cfRule>
    <cfRule type="containsText" dxfId="4060" priority="1785" operator="containsText" text="Ear">
      <formula>NOT(ISERROR(SEARCH("Ear",K110)))</formula>
    </cfRule>
    <cfRule type="containsText" dxfId="4059" priority="1786" operator="containsText" text="fnd">
      <formula>NOT(ISERROR(SEARCH("fnd",K110)))</formula>
    </cfRule>
  </conditionalFormatting>
  <conditionalFormatting sqref="K118:L118">
    <cfRule type="containsText" dxfId="4058" priority="1411" operator="containsText" text="Str">
      <formula>NOT(ISERROR(SEARCH("Str",K118)))</formula>
    </cfRule>
    <cfRule type="containsText" dxfId="4057" priority="1412" operator="containsText" text="Ere">
      <formula>NOT(ISERROR(SEARCH("Ere",K118)))</formula>
    </cfRule>
    <cfRule type="containsText" dxfId="4056" priority="1413" operator="containsText" text="Ear">
      <formula>NOT(ISERROR(SEARCH("Ear",K118)))</formula>
    </cfRule>
    <cfRule type="containsText" dxfId="4055" priority="1414" operator="containsText" text="fnd">
      <formula>NOT(ISERROR(SEARCH("fnd",K118)))</formula>
    </cfRule>
  </conditionalFormatting>
  <conditionalFormatting sqref="K126:L126">
    <cfRule type="containsText" dxfId="4054" priority="695" operator="containsText" text="Str">
      <formula>NOT(ISERROR(SEARCH("Str",K126)))</formula>
    </cfRule>
    <cfRule type="containsText" dxfId="4053" priority="696" operator="containsText" text="Ere">
      <formula>NOT(ISERROR(SEARCH("Ere",K126)))</formula>
    </cfRule>
    <cfRule type="containsText" dxfId="4052" priority="697" operator="containsText" text="Ear">
      <formula>NOT(ISERROR(SEARCH("Ear",K126)))</formula>
    </cfRule>
    <cfRule type="containsText" dxfId="4051" priority="698" operator="containsText" text="fnd">
      <formula>NOT(ISERROR(SEARCH("fnd",K126)))</formula>
    </cfRule>
  </conditionalFormatting>
  <conditionalFormatting sqref="K134:L134">
    <cfRule type="containsText" dxfId="4050" priority="46" operator="containsText" text="Ere">
      <formula>NOT(ISERROR(SEARCH("Ere",K134)))</formula>
    </cfRule>
    <cfRule type="containsText" dxfId="4049" priority="47" operator="containsText" text="Ear">
      <formula>NOT(ISERROR(SEARCH("Ear",K134)))</formula>
    </cfRule>
    <cfRule type="containsText" dxfId="4048" priority="48" operator="containsText" text="fnd">
      <formula>NOT(ISERROR(SEARCH("fnd",K134)))</formula>
    </cfRule>
    <cfRule type="containsText" dxfId="4047" priority="2311" operator="containsText" text="Str">
      <formula>NOT(ISERROR(SEARCH("Str",K134)))</formula>
    </cfRule>
  </conditionalFormatting>
  <conditionalFormatting sqref="K142:L142">
    <cfRule type="containsText" dxfId="4046" priority="1271" operator="containsText" text="Str">
      <formula>NOT(ISERROR(SEARCH("Str",K142)))</formula>
    </cfRule>
    <cfRule type="containsText" dxfId="4045" priority="1272" operator="containsText" text="Ere">
      <formula>NOT(ISERROR(SEARCH("Ere",K142)))</formula>
    </cfRule>
    <cfRule type="containsText" dxfId="4044" priority="1273" operator="containsText" text="Ear">
      <formula>NOT(ISERROR(SEARCH("Ear",K142)))</formula>
    </cfRule>
    <cfRule type="containsText" dxfId="4043" priority="1274" operator="containsText" text="fnd">
      <formula>NOT(ISERROR(SEARCH("fnd",K142)))</formula>
    </cfRule>
  </conditionalFormatting>
  <conditionalFormatting sqref="K150:L150">
    <cfRule type="containsText" dxfId="4042" priority="1183" operator="containsText" text="Str">
      <formula>NOT(ISERROR(SEARCH("Str",K150)))</formula>
    </cfRule>
    <cfRule type="containsText" dxfId="4041" priority="1184" operator="containsText" text="Ere">
      <formula>NOT(ISERROR(SEARCH("Ere",K150)))</formula>
    </cfRule>
    <cfRule type="containsText" dxfId="4040" priority="1185" operator="containsText" text="Ear">
      <formula>NOT(ISERROR(SEARCH("Ear",K150)))</formula>
    </cfRule>
    <cfRule type="containsText" dxfId="4039" priority="1186" operator="containsText" text="fnd">
      <formula>NOT(ISERROR(SEARCH("fnd",K150)))</formula>
    </cfRule>
  </conditionalFormatting>
  <conditionalFormatting sqref="K158:L158">
    <cfRule type="containsText" dxfId="4038" priority="1127" operator="containsText" text="Str">
      <formula>NOT(ISERROR(SEARCH("Str",K158)))</formula>
    </cfRule>
    <cfRule type="containsText" dxfId="4037" priority="1128" operator="containsText" text="Ere">
      <formula>NOT(ISERROR(SEARCH("Ere",K158)))</formula>
    </cfRule>
    <cfRule type="containsText" dxfId="4036" priority="1129" operator="containsText" text="Ear">
      <formula>NOT(ISERROR(SEARCH("Ear",K158)))</formula>
    </cfRule>
    <cfRule type="containsText" dxfId="4035" priority="1130" operator="containsText" text="fnd">
      <formula>NOT(ISERROR(SEARCH("fnd",K158)))</formula>
    </cfRule>
  </conditionalFormatting>
  <conditionalFormatting sqref="K166:L166">
    <cfRule type="containsText" dxfId="4034" priority="369" operator="containsText" text="Str">
      <formula>NOT(ISERROR(SEARCH("Str",K166)))</formula>
    </cfRule>
    <cfRule type="containsText" dxfId="4033" priority="370" operator="containsText" text="Ere">
      <formula>NOT(ISERROR(SEARCH("Ere",K166)))</formula>
    </cfRule>
    <cfRule type="containsText" dxfId="4032" priority="371" operator="containsText" text="Ear">
      <formula>NOT(ISERROR(SEARCH("Ear",K166)))</formula>
    </cfRule>
    <cfRule type="containsText" dxfId="4031" priority="372" operator="containsText" text="fnd">
      <formula>NOT(ISERROR(SEARCH("fnd",K166)))</formula>
    </cfRule>
  </conditionalFormatting>
  <conditionalFormatting sqref="K174:L174">
    <cfRule type="containsText" dxfId="4030" priority="533" operator="containsText" text="Str">
      <formula>NOT(ISERROR(SEARCH("Str",K174)))</formula>
    </cfRule>
    <cfRule type="containsText" dxfId="4029" priority="534" operator="containsText" text="Ere">
      <formula>NOT(ISERROR(SEARCH("Ere",K174)))</formula>
    </cfRule>
    <cfRule type="containsText" dxfId="4028" priority="535" operator="containsText" text="Ear">
      <formula>NOT(ISERROR(SEARCH("Ear",K174)))</formula>
    </cfRule>
    <cfRule type="containsText" dxfId="4027" priority="536" operator="containsText" text="fnd">
      <formula>NOT(ISERROR(SEARCH("fnd",K174)))</formula>
    </cfRule>
  </conditionalFormatting>
  <conditionalFormatting sqref="K182:L182">
    <cfRule type="containsText" dxfId="4026" priority="141" operator="containsText" text="Str">
      <formula>NOT(ISERROR(SEARCH("Str",K182)))</formula>
    </cfRule>
    <cfRule type="containsText" dxfId="4025" priority="142" operator="containsText" text="Ere">
      <formula>NOT(ISERROR(SEARCH("Ere",K182)))</formula>
    </cfRule>
    <cfRule type="containsText" dxfId="4024" priority="143" operator="containsText" text="Ear">
      <formula>NOT(ISERROR(SEARCH("Ear",K182)))</formula>
    </cfRule>
    <cfRule type="containsText" dxfId="4023" priority="144" operator="containsText" text="fnd">
      <formula>NOT(ISERROR(SEARCH("fnd",K182)))</formula>
    </cfRule>
  </conditionalFormatting>
  <conditionalFormatting sqref="L6">
    <cfRule type="containsText" dxfId="4022" priority="221" operator="containsText" text="Str">
      <formula>NOT(ISERROR(SEARCH("Str",L6)))</formula>
    </cfRule>
    <cfRule type="containsText" dxfId="4021" priority="222" operator="containsText" text="Ere">
      <formula>NOT(ISERROR(SEARCH("Ere",L6)))</formula>
    </cfRule>
    <cfRule type="containsText" dxfId="4020" priority="223" operator="containsText" text="Ear">
      <formula>NOT(ISERROR(SEARCH("Ear",L6)))</formula>
    </cfRule>
    <cfRule type="containsText" dxfId="4019" priority="224" operator="containsText" text="fnd">
      <formula>NOT(ISERROR(SEARCH("fnd",L6)))</formula>
    </cfRule>
  </conditionalFormatting>
  <conditionalFormatting sqref="L14">
    <cfRule type="containsText" dxfId="4018" priority="1655" operator="containsText" text="Str">
      <formula>NOT(ISERROR(SEARCH("Str",L14)))</formula>
    </cfRule>
    <cfRule type="containsText" dxfId="4017" priority="1656" operator="containsText" text="Ere">
      <formula>NOT(ISERROR(SEARCH("Ere",L14)))</formula>
    </cfRule>
    <cfRule type="containsText" dxfId="4016" priority="1657" operator="containsText" text="Ear">
      <formula>NOT(ISERROR(SEARCH("Ear",L14)))</formula>
    </cfRule>
    <cfRule type="containsText" dxfId="4015" priority="1658" operator="containsText" text="fnd">
      <formula>NOT(ISERROR(SEARCH("fnd",L14)))</formula>
    </cfRule>
  </conditionalFormatting>
  <conditionalFormatting sqref="L22">
    <cfRule type="containsText" dxfId="4014" priority="1795" operator="containsText" text="Str">
      <formula>NOT(ISERROR(SEARCH("Str",L22)))</formula>
    </cfRule>
    <cfRule type="containsText" dxfId="4013" priority="1796" operator="containsText" text="Ere">
      <formula>NOT(ISERROR(SEARCH("Ere",L22)))</formula>
    </cfRule>
    <cfRule type="containsText" dxfId="4012" priority="1797" operator="containsText" text="Ear">
      <formula>NOT(ISERROR(SEARCH("Ear",L22)))</formula>
    </cfRule>
    <cfRule type="containsText" dxfId="4011" priority="1798" operator="containsText" text="fnd">
      <formula>NOT(ISERROR(SEARCH("fnd",L22)))</formula>
    </cfRule>
  </conditionalFormatting>
  <conditionalFormatting sqref="L38">
    <cfRule type="containsText" dxfId="4010" priority="871" operator="containsText" text="Str">
      <formula>NOT(ISERROR(SEARCH("Str",L38)))</formula>
    </cfRule>
    <cfRule type="containsText" dxfId="4009" priority="872" operator="containsText" text="Ere">
      <formula>NOT(ISERROR(SEARCH("Ere",L38)))</formula>
    </cfRule>
    <cfRule type="containsText" dxfId="4008" priority="873" operator="containsText" text="Ear">
      <formula>NOT(ISERROR(SEARCH("Ear",L38)))</formula>
    </cfRule>
    <cfRule type="containsText" dxfId="4007" priority="874" operator="containsText" text="fnd">
      <formula>NOT(ISERROR(SEARCH("fnd",L38)))</formula>
    </cfRule>
  </conditionalFormatting>
  <conditionalFormatting sqref="N5:N6">
    <cfRule type="containsText" dxfId="4006" priority="217" operator="containsText" text="Str">
      <formula>NOT(ISERROR(SEARCH("Str",N5)))</formula>
    </cfRule>
    <cfRule type="containsText" dxfId="4005" priority="218" operator="containsText" text="Ere">
      <formula>NOT(ISERROR(SEARCH("Ere",N5)))</formula>
    </cfRule>
    <cfRule type="containsText" dxfId="4004" priority="219" operator="containsText" text="Ear">
      <formula>NOT(ISERROR(SEARCH("Ear",N5)))</formula>
    </cfRule>
    <cfRule type="containsText" dxfId="4003" priority="220" operator="containsText" text="fnd">
      <formula>NOT(ISERROR(SEARCH("fnd",N5)))</formula>
    </cfRule>
  </conditionalFormatting>
  <conditionalFormatting sqref="N13:N14">
    <cfRule type="containsText" dxfId="4002" priority="1667" operator="containsText" text="Str">
      <formula>NOT(ISERROR(SEARCH("Str",N13)))</formula>
    </cfRule>
    <cfRule type="containsText" dxfId="4001" priority="1668" operator="containsText" text="Ere">
      <formula>NOT(ISERROR(SEARCH("Ere",N13)))</formula>
    </cfRule>
    <cfRule type="containsText" dxfId="4000" priority="1669" operator="containsText" text="Ear">
      <formula>NOT(ISERROR(SEARCH("Ear",N13)))</formula>
    </cfRule>
    <cfRule type="containsText" dxfId="3999" priority="1670" operator="containsText" text="fnd">
      <formula>NOT(ISERROR(SEARCH("fnd",N13)))</formula>
    </cfRule>
  </conditionalFormatting>
  <conditionalFormatting sqref="N21:N22">
    <cfRule type="containsText" dxfId="3998" priority="1587" operator="containsText" text="Str">
      <formula>NOT(ISERROR(SEARCH("Str",N21)))</formula>
    </cfRule>
    <cfRule type="containsText" dxfId="3997" priority="1588" operator="containsText" text="Ere">
      <formula>NOT(ISERROR(SEARCH("Ere",N21)))</formula>
    </cfRule>
    <cfRule type="containsText" dxfId="3996" priority="1589" operator="containsText" text="Ear">
      <formula>NOT(ISERROR(SEARCH("Ear",N21)))</formula>
    </cfRule>
    <cfRule type="containsText" dxfId="3995" priority="1590" operator="containsText" text="fnd">
      <formula>NOT(ISERROR(SEARCH("fnd",N21)))</formula>
    </cfRule>
  </conditionalFormatting>
  <conditionalFormatting sqref="N29">
    <cfRule type="containsText" dxfId="3994" priority="1511" operator="containsText" text="Str">
      <formula>NOT(ISERROR(SEARCH("Str",N29)))</formula>
    </cfRule>
    <cfRule type="containsText" dxfId="3993" priority="1512" operator="containsText" text="Ere">
      <formula>NOT(ISERROR(SEARCH("Ere",N29)))</formula>
    </cfRule>
    <cfRule type="containsText" dxfId="3992" priority="1513" operator="containsText" text="Ear">
      <formula>NOT(ISERROR(SEARCH("Ear",N29)))</formula>
    </cfRule>
    <cfRule type="containsText" dxfId="3991" priority="1514" operator="containsText" text="fnd">
      <formula>NOT(ISERROR(SEARCH("fnd",N29)))</formula>
    </cfRule>
  </conditionalFormatting>
  <conditionalFormatting sqref="N37:N38">
    <cfRule type="containsText" dxfId="3990" priority="867" operator="containsText" text="Str">
      <formula>NOT(ISERROR(SEARCH("Str",N37)))</formula>
    </cfRule>
    <cfRule type="containsText" dxfId="3989" priority="868" operator="containsText" text="Ere">
      <formula>NOT(ISERROR(SEARCH("Ere",N37)))</formula>
    </cfRule>
    <cfRule type="containsText" dxfId="3988" priority="869" operator="containsText" text="Ear">
      <formula>NOT(ISERROR(SEARCH("Ear",N37)))</formula>
    </cfRule>
    <cfRule type="containsText" dxfId="3987" priority="870" operator="containsText" text="fnd">
      <formula>NOT(ISERROR(SEARCH("fnd",N37)))</formula>
    </cfRule>
  </conditionalFormatting>
  <conditionalFormatting sqref="N45 T45 W45">
    <cfRule type="containsText" dxfId="3986" priority="2259" operator="containsText" text="Str">
      <formula>NOT(ISERROR(SEARCH("Str",N45)))</formula>
    </cfRule>
    <cfRule type="containsText" dxfId="3985" priority="2260" operator="containsText" text="Ere">
      <formula>NOT(ISERROR(SEARCH("Ere",N45)))</formula>
    </cfRule>
    <cfRule type="containsText" dxfId="3984" priority="2261" operator="containsText" text="Ear">
      <formula>NOT(ISERROR(SEARCH("Ear",N45)))</formula>
    </cfRule>
    <cfRule type="containsText" dxfId="3983" priority="2262" operator="containsText" text="fnd">
      <formula>NOT(ISERROR(SEARCH("fnd",N45)))</formula>
    </cfRule>
  </conditionalFormatting>
  <conditionalFormatting sqref="N53">
    <cfRule type="containsText" dxfId="3982" priority="2183" operator="containsText" text="Str">
      <formula>NOT(ISERROR(SEARCH("Str",N53)))</formula>
    </cfRule>
    <cfRule type="containsText" dxfId="3981" priority="2184" operator="containsText" text="Ere">
      <formula>NOT(ISERROR(SEARCH("Ere",N53)))</formula>
    </cfRule>
    <cfRule type="containsText" dxfId="3980" priority="2185" operator="containsText" text="Ear">
      <formula>NOT(ISERROR(SEARCH("Ear",N53)))</formula>
    </cfRule>
    <cfRule type="containsText" dxfId="3979" priority="2186" operator="containsText" text="fnd">
      <formula>NOT(ISERROR(SEARCH("fnd",N53)))</formula>
    </cfRule>
  </conditionalFormatting>
  <conditionalFormatting sqref="N61">
    <cfRule type="containsText" dxfId="3978" priority="1823" operator="containsText" text="Str">
      <formula>NOT(ISERROR(SEARCH("Str",N61)))</formula>
    </cfRule>
    <cfRule type="containsText" dxfId="3977" priority="1824" operator="containsText" text="Ere">
      <formula>NOT(ISERROR(SEARCH("Ere",N61)))</formula>
    </cfRule>
    <cfRule type="containsText" dxfId="3976" priority="1825" operator="containsText" text="Ear">
      <formula>NOT(ISERROR(SEARCH("Ear",N61)))</formula>
    </cfRule>
    <cfRule type="containsText" dxfId="3975" priority="1826" operator="containsText" text="fnd">
      <formula>NOT(ISERROR(SEARCH("fnd",N61)))</formula>
    </cfRule>
  </conditionalFormatting>
  <conditionalFormatting sqref="N93">
    <cfRule type="containsText" dxfId="3974" priority="1915" operator="containsText" text="Str">
      <formula>NOT(ISERROR(SEARCH("Str",N93)))</formula>
    </cfRule>
    <cfRule type="containsText" dxfId="3973" priority="1916" operator="containsText" text="Ere">
      <formula>NOT(ISERROR(SEARCH("Ere",N93)))</formula>
    </cfRule>
    <cfRule type="containsText" dxfId="3972" priority="1917" operator="containsText" text="Ear">
      <formula>NOT(ISERROR(SEARCH("Ear",N93)))</formula>
    </cfRule>
    <cfRule type="containsText" dxfId="3971" priority="1918" operator="containsText" text="fnd">
      <formula>NOT(ISERROR(SEARCH("fnd",N93)))</formula>
    </cfRule>
  </conditionalFormatting>
  <conditionalFormatting sqref="N101">
    <cfRule type="containsText" dxfId="3970" priority="293" operator="containsText" text="Str">
      <formula>NOT(ISERROR(SEARCH("Str",N101)))</formula>
    </cfRule>
    <cfRule type="containsText" dxfId="3969" priority="294" operator="containsText" text="Ere">
      <formula>NOT(ISERROR(SEARCH("Ere",N101)))</formula>
    </cfRule>
    <cfRule type="containsText" dxfId="3968" priority="295" operator="containsText" text="Ear">
      <formula>NOT(ISERROR(SEARCH("Ear",N101)))</formula>
    </cfRule>
    <cfRule type="containsText" dxfId="3967" priority="296" operator="containsText" text="fnd">
      <formula>NOT(ISERROR(SEARCH("fnd",N101)))</formula>
    </cfRule>
  </conditionalFormatting>
  <conditionalFormatting sqref="N109">
    <cfRule type="containsText" dxfId="3966" priority="1723" operator="containsText" text="Str">
      <formula>NOT(ISERROR(SEARCH("Str",N109)))</formula>
    </cfRule>
    <cfRule type="containsText" dxfId="3965" priority="1724" operator="containsText" text="Ere">
      <formula>NOT(ISERROR(SEARCH("Ere",N109)))</formula>
    </cfRule>
    <cfRule type="containsText" dxfId="3964" priority="1725" operator="containsText" text="Ear">
      <formula>NOT(ISERROR(SEARCH("Ear",N109)))</formula>
    </cfRule>
    <cfRule type="containsText" dxfId="3963" priority="1726" operator="containsText" text="fnd">
      <formula>NOT(ISERROR(SEARCH("fnd",N109)))</formula>
    </cfRule>
  </conditionalFormatting>
  <conditionalFormatting sqref="N117">
    <cfRule type="containsText" dxfId="3962" priority="1383" operator="containsText" text="Str">
      <formula>NOT(ISERROR(SEARCH("Str",N117)))</formula>
    </cfRule>
    <cfRule type="containsText" dxfId="3961" priority="1384" operator="containsText" text="Ere">
      <formula>NOT(ISERROR(SEARCH("Ere",N117)))</formula>
    </cfRule>
    <cfRule type="containsText" dxfId="3960" priority="1385" operator="containsText" text="Ear">
      <formula>NOT(ISERROR(SEARCH("Ear",N117)))</formula>
    </cfRule>
    <cfRule type="containsText" dxfId="3959" priority="1386" operator="containsText" text="fnd">
      <formula>NOT(ISERROR(SEARCH("fnd",N117)))</formula>
    </cfRule>
  </conditionalFormatting>
  <conditionalFormatting sqref="N122 N130 N138 N162 N178">
    <cfRule type="containsText" dxfId="3958" priority="2011" operator="containsText" text="Str">
      <formula>NOT(ISERROR(SEARCH("Str",N122)))</formula>
    </cfRule>
    <cfRule type="containsText" dxfId="3957" priority="2012" operator="containsText" text="Ere">
      <formula>NOT(ISERROR(SEARCH("Ere",N122)))</formula>
    </cfRule>
    <cfRule type="containsText" dxfId="3956" priority="2013" operator="containsText" text="Ear">
      <formula>NOT(ISERROR(SEARCH("Ear",N122)))</formula>
    </cfRule>
    <cfRule type="containsText" dxfId="3955" priority="2014" operator="containsText" text="fnd">
      <formula>NOT(ISERROR(SEARCH("fnd",N122)))</formula>
    </cfRule>
  </conditionalFormatting>
  <conditionalFormatting sqref="N125">
    <cfRule type="containsText" dxfId="3954" priority="631" operator="containsText" text="Str">
      <formula>NOT(ISERROR(SEARCH("Str",N125)))</formula>
    </cfRule>
    <cfRule type="containsText" dxfId="3953" priority="632" operator="containsText" text="Ere">
      <formula>NOT(ISERROR(SEARCH("Ere",N125)))</formula>
    </cfRule>
    <cfRule type="containsText" dxfId="3952" priority="633" operator="containsText" text="Ear">
      <formula>NOT(ISERROR(SEARCH("Ear",N125)))</formula>
    </cfRule>
    <cfRule type="containsText" dxfId="3951" priority="634" operator="containsText" text="fnd">
      <formula>NOT(ISERROR(SEARCH("fnd",N125)))</formula>
    </cfRule>
  </conditionalFormatting>
  <conditionalFormatting sqref="N133">
    <cfRule type="containsText" dxfId="3950" priority="1327" operator="containsText" text="Str">
      <formula>NOT(ISERROR(SEARCH("Str",N133)))</formula>
    </cfRule>
    <cfRule type="containsText" dxfId="3949" priority="1328" operator="containsText" text="Ere">
      <formula>NOT(ISERROR(SEARCH("Ere",N133)))</formula>
    </cfRule>
    <cfRule type="containsText" dxfId="3948" priority="1329" operator="containsText" text="Ear">
      <formula>NOT(ISERROR(SEARCH("Ear",N133)))</formula>
    </cfRule>
    <cfRule type="containsText" dxfId="3947" priority="1330" operator="containsText" text="fnd">
      <formula>NOT(ISERROR(SEARCH("fnd",N133)))</formula>
    </cfRule>
  </conditionalFormatting>
  <conditionalFormatting sqref="N141">
    <cfRule type="containsText" dxfId="3946" priority="1243" operator="containsText" text="Str">
      <formula>NOT(ISERROR(SEARCH("Str",N141)))</formula>
    </cfRule>
    <cfRule type="containsText" dxfId="3945" priority="1244" operator="containsText" text="Ere">
      <formula>NOT(ISERROR(SEARCH("Ere",N141)))</formula>
    </cfRule>
    <cfRule type="containsText" dxfId="3944" priority="1245" operator="containsText" text="Ear">
      <formula>NOT(ISERROR(SEARCH("Ear",N141)))</formula>
    </cfRule>
    <cfRule type="containsText" dxfId="3943" priority="1246" operator="containsText" text="fnd">
      <formula>NOT(ISERROR(SEARCH("fnd",N141)))</formula>
    </cfRule>
  </conditionalFormatting>
  <conditionalFormatting sqref="N149">
    <cfRule type="containsText" dxfId="3942" priority="289" operator="containsText" text="Str">
      <formula>NOT(ISERROR(SEARCH("Str",N149)))</formula>
    </cfRule>
    <cfRule type="containsText" dxfId="3941" priority="290" operator="containsText" text="Ere">
      <formula>NOT(ISERROR(SEARCH("Ere",N149)))</formula>
    </cfRule>
    <cfRule type="containsText" dxfId="3940" priority="291" operator="containsText" text="Ear">
      <formula>NOT(ISERROR(SEARCH("Ear",N149)))</formula>
    </cfRule>
    <cfRule type="containsText" dxfId="3939" priority="292" operator="containsText" text="fnd">
      <formula>NOT(ISERROR(SEARCH("fnd",N149)))</formula>
    </cfRule>
  </conditionalFormatting>
  <conditionalFormatting sqref="N157">
    <cfRule type="containsText" dxfId="3938" priority="1095" operator="containsText" text="Str">
      <formula>NOT(ISERROR(SEARCH("Str",N157)))</formula>
    </cfRule>
    <cfRule type="containsText" dxfId="3937" priority="1096" operator="containsText" text="Ere">
      <formula>NOT(ISERROR(SEARCH("Ere",N157)))</formula>
    </cfRule>
    <cfRule type="containsText" dxfId="3936" priority="1097" operator="containsText" text="Ear">
      <formula>NOT(ISERROR(SEARCH("Ear",N157)))</formula>
    </cfRule>
    <cfRule type="containsText" dxfId="3935" priority="1098" operator="containsText" text="fnd">
      <formula>NOT(ISERROR(SEARCH("fnd",N157)))</formula>
    </cfRule>
  </conditionalFormatting>
  <conditionalFormatting sqref="N165">
    <cfRule type="containsText" dxfId="3934" priority="1031" operator="containsText" text="Str">
      <formula>NOT(ISERROR(SEARCH("Str",N165)))</formula>
    </cfRule>
    <cfRule type="containsText" dxfId="3933" priority="1032" operator="containsText" text="Ere">
      <formula>NOT(ISERROR(SEARCH("Ere",N165)))</formula>
    </cfRule>
    <cfRule type="containsText" dxfId="3932" priority="1033" operator="containsText" text="Ear">
      <formula>NOT(ISERROR(SEARCH("Ear",N165)))</formula>
    </cfRule>
    <cfRule type="containsText" dxfId="3931" priority="1034" operator="containsText" text="fnd">
      <formula>NOT(ISERROR(SEARCH("fnd",N165)))</formula>
    </cfRule>
  </conditionalFormatting>
  <conditionalFormatting sqref="N173">
    <cfRule type="containsText" dxfId="3930" priority="441" operator="containsText" text="Str">
      <formula>NOT(ISERROR(SEARCH("Str",N173)))</formula>
    </cfRule>
    <cfRule type="containsText" dxfId="3929" priority="442" operator="containsText" text="Ere">
      <formula>NOT(ISERROR(SEARCH("Ere",N173)))</formula>
    </cfRule>
    <cfRule type="containsText" dxfId="3928" priority="443" operator="containsText" text="Ear">
      <formula>NOT(ISERROR(SEARCH("Ear",N173)))</formula>
    </cfRule>
    <cfRule type="containsText" dxfId="3927" priority="444" operator="containsText" text="fnd">
      <formula>NOT(ISERROR(SEARCH("fnd",N173)))</formula>
    </cfRule>
  </conditionalFormatting>
  <conditionalFormatting sqref="N181">
    <cfRule type="containsText" dxfId="3926" priority="129" operator="containsText" text="Str">
      <formula>NOT(ISERROR(SEARCH("Str",N181)))</formula>
    </cfRule>
    <cfRule type="containsText" dxfId="3925" priority="130" operator="containsText" text="Ere">
      <formula>NOT(ISERROR(SEARCH("Ere",N181)))</formula>
    </cfRule>
    <cfRule type="containsText" dxfId="3924" priority="131" operator="containsText" text="Ear">
      <formula>NOT(ISERROR(SEARCH("Ear",N181)))</formula>
    </cfRule>
    <cfRule type="containsText" dxfId="3923" priority="132" operator="containsText" text="fnd">
      <formula>NOT(ISERROR(SEARCH("fnd",N181)))</formula>
    </cfRule>
  </conditionalFormatting>
  <conditionalFormatting sqref="N30:O30">
    <cfRule type="containsText" dxfId="3922" priority="1515" operator="containsText" text="Str">
      <formula>NOT(ISERROR(SEARCH("Str",N30)))</formula>
    </cfRule>
    <cfRule type="containsText" dxfId="3921" priority="1516" operator="containsText" text="Ere">
      <formula>NOT(ISERROR(SEARCH("Ere",N30)))</formula>
    </cfRule>
    <cfRule type="containsText" dxfId="3920" priority="1517" operator="containsText" text="Ear">
      <formula>NOT(ISERROR(SEARCH("Ear",N30)))</formula>
    </cfRule>
    <cfRule type="containsText" dxfId="3919" priority="1518" operator="containsText" text="fnd">
      <formula>NOT(ISERROR(SEARCH("fnd",N30)))</formula>
    </cfRule>
  </conditionalFormatting>
  <conditionalFormatting sqref="N46:O46">
    <cfRule type="containsText" dxfId="3918" priority="2271" operator="containsText" text="Str">
      <formula>NOT(ISERROR(SEARCH("Str",N46)))</formula>
    </cfRule>
    <cfRule type="containsText" dxfId="3917" priority="2272" operator="containsText" text="Ere">
      <formula>NOT(ISERROR(SEARCH("Ere",N46)))</formula>
    </cfRule>
    <cfRule type="containsText" dxfId="3916" priority="2273" operator="containsText" text="Ear">
      <formula>NOT(ISERROR(SEARCH("Ear",N46)))</formula>
    </cfRule>
    <cfRule type="containsText" dxfId="3915" priority="2274" operator="containsText" text="fnd">
      <formula>NOT(ISERROR(SEARCH("fnd",N46)))</formula>
    </cfRule>
  </conditionalFormatting>
  <conditionalFormatting sqref="N54:O54">
    <cfRule type="containsText" dxfId="3914" priority="2283" operator="containsText" text="Str">
      <formula>NOT(ISERROR(SEARCH("Str",N54)))</formula>
    </cfRule>
    <cfRule type="containsText" dxfId="3913" priority="2284" operator="containsText" text="Ere">
      <formula>NOT(ISERROR(SEARCH("Ere",N54)))</formula>
    </cfRule>
    <cfRule type="containsText" dxfId="3912" priority="2285" operator="containsText" text="Ear">
      <formula>NOT(ISERROR(SEARCH("Ear",N54)))</formula>
    </cfRule>
    <cfRule type="containsText" dxfId="3911" priority="2286" operator="containsText" text="fnd">
      <formula>NOT(ISERROR(SEARCH("fnd",N54)))</formula>
    </cfRule>
  </conditionalFormatting>
  <conditionalFormatting sqref="N62:O62">
    <cfRule type="containsText" dxfId="3910" priority="1827" operator="containsText" text="Str">
      <formula>NOT(ISERROR(SEARCH("Str",N62)))</formula>
    </cfRule>
    <cfRule type="containsText" dxfId="3909" priority="1828" operator="containsText" text="Ere">
      <formula>NOT(ISERROR(SEARCH("Ere",N62)))</formula>
    </cfRule>
    <cfRule type="containsText" dxfId="3908" priority="1829" operator="containsText" text="Ear">
      <formula>NOT(ISERROR(SEARCH("Ear",N62)))</formula>
    </cfRule>
    <cfRule type="containsText" dxfId="3907" priority="1830" operator="containsText" text="fnd">
      <formula>NOT(ISERROR(SEARCH("fnd",N62)))</formula>
    </cfRule>
  </conditionalFormatting>
  <conditionalFormatting sqref="N94:O94">
    <cfRule type="containsText" dxfId="3906" priority="1919" operator="containsText" text="Str">
      <formula>NOT(ISERROR(SEARCH("Str",N94)))</formula>
    </cfRule>
    <cfRule type="containsText" dxfId="3905" priority="1920" operator="containsText" text="Ere">
      <formula>NOT(ISERROR(SEARCH("Ere",N94)))</formula>
    </cfRule>
    <cfRule type="containsText" dxfId="3904" priority="1921" operator="containsText" text="Ear">
      <formula>NOT(ISERROR(SEARCH("Ear",N94)))</formula>
    </cfRule>
    <cfRule type="containsText" dxfId="3903" priority="1922" operator="containsText" text="fnd">
      <formula>NOT(ISERROR(SEARCH("fnd",N94)))</formula>
    </cfRule>
  </conditionalFormatting>
  <conditionalFormatting sqref="N102:O102">
    <cfRule type="containsText" dxfId="3902" priority="297" operator="containsText" text="Str">
      <formula>NOT(ISERROR(SEARCH("Str",N102)))</formula>
    </cfRule>
    <cfRule type="containsText" dxfId="3901" priority="298" operator="containsText" text="Ere">
      <formula>NOT(ISERROR(SEARCH("Ere",N102)))</formula>
    </cfRule>
    <cfRule type="containsText" dxfId="3900" priority="299" operator="containsText" text="Ear">
      <formula>NOT(ISERROR(SEARCH("Ear",N102)))</formula>
    </cfRule>
    <cfRule type="containsText" dxfId="3899" priority="300" operator="containsText" text="fnd">
      <formula>NOT(ISERROR(SEARCH("fnd",N102)))</formula>
    </cfRule>
  </conditionalFormatting>
  <conditionalFormatting sqref="N110:O110">
    <cfRule type="containsText" dxfId="3898" priority="1727" operator="containsText" text="Str">
      <formula>NOT(ISERROR(SEARCH("Str",N110)))</formula>
    </cfRule>
    <cfRule type="containsText" dxfId="3897" priority="1728" operator="containsText" text="Ere">
      <formula>NOT(ISERROR(SEARCH("Ere",N110)))</formula>
    </cfRule>
    <cfRule type="containsText" dxfId="3896" priority="1729" operator="containsText" text="Ear">
      <formula>NOT(ISERROR(SEARCH("Ear",N110)))</formula>
    </cfRule>
    <cfRule type="containsText" dxfId="3895" priority="1730" operator="containsText" text="fnd">
      <formula>NOT(ISERROR(SEARCH("fnd",N110)))</formula>
    </cfRule>
  </conditionalFormatting>
  <conditionalFormatting sqref="N118:O118">
    <cfRule type="containsText" dxfId="3894" priority="1387" operator="containsText" text="Str">
      <formula>NOT(ISERROR(SEARCH("Str",N118)))</formula>
    </cfRule>
    <cfRule type="containsText" dxfId="3893" priority="1388" operator="containsText" text="Ere">
      <formula>NOT(ISERROR(SEARCH("Ere",N118)))</formula>
    </cfRule>
    <cfRule type="containsText" dxfId="3892" priority="1389" operator="containsText" text="Ear">
      <formula>NOT(ISERROR(SEARCH("Ear",N118)))</formula>
    </cfRule>
    <cfRule type="containsText" dxfId="3891" priority="1390" operator="containsText" text="fnd">
      <formula>NOT(ISERROR(SEARCH("fnd",N118)))</formula>
    </cfRule>
  </conditionalFormatting>
  <conditionalFormatting sqref="N126:O126">
    <cfRule type="containsText" dxfId="3890" priority="635" operator="containsText" text="Str">
      <formula>NOT(ISERROR(SEARCH("Str",N126)))</formula>
    </cfRule>
    <cfRule type="containsText" dxfId="3889" priority="636" operator="containsText" text="Ere">
      <formula>NOT(ISERROR(SEARCH("Ere",N126)))</formula>
    </cfRule>
    <cfRule type="containsText" dxfId="3888" priority="637" operator="containsText" text="Ear">
      <formula>NOT(ISERROR(SEARCH("Ear",N126)))</formula>
    </cfRule>
    <cfRule type="containsText" dxfId="3887" priority="638" operator="containsText" text="fnd">
      <formula>NOT(ISERROR(SEARCH("fnd",N126)))</formula>
    </cfRule>
  </conditionalFormatting>
  <conditionalFormatting sqref="N134:O134">
    <cfRule type="containsText" dxfId="3886" priority="1331" operator="containsText" text="Str">
      <formula>NOT(ISERROR(SEARCH("Str",N134)))</formula>
    </cfRule>
    <cfRule type="containsText" dxfId="3885" priority="1332" operator="containsText" text="Ere">
      <formula>NOT(ISERROR(SEARCH("Ere",N134)))</formula>
    </cfRule>
    <cfRule type="containsText" dxfId="3884" priority="1333" operator="containsText" text="Ear">
      <formula>NOT(ISERROR(SEARCH("Ear",N134)))</formula>
    </cfRule>
    <cfRule type="containsText" dxfId="3883" priority="1334" operator="containsText" text="fnd">
      <formula>NOT(ISERROR(SEARCH("fnd",N134)))</formula>
    </cfRule>
  </conditionalFormatting>
  <conditionalFormatting sqref="N142:O142">
    <cfRule type="containsText" dxfId="3882" priority="1247" operator="containsText" text="Str">
      <formula>NOT(ISERROR(SEARCH("Str",N142)))</formula>
    </cfRule>
    <cfRule type="containsText" dxfId="3881" priority="1248" operator="containsText" text="Ere">
      <formula>NOT(ISERROR(SEARCH("Ere",N142)))</formula>
    </cfRule>
    <cfRule type="containsText" dxfId="3880" priority="1249" operator="containsText" text="Ear">
      <formula>NOT(ISERROR(SEARCH("Ear",N142)))</formula>
    </cfRule>
    <cfRule type="containsText" dxfId="3879" priority="1250" operator="containsText" text="fnd">
      <formula>NOT(ISERROR(SEARCH("fnd",N142)))</formula>
    </cfRule>
  </conditionalFormatting>
  <conditionalFormatting sqref="N158:O158">
    <cfRule type="containsText" dxfId="3878" priority="1099" operator="containsText" text="Str">
      <formula>NOT(ISERROR(SEARCH("Str",N158)))</formula>
    </cfRule>
    <cfRule type="containsText" dxfId="3877" priority="1100" operator="containsText" text="Ere">
      <formula>NOT(ISERROR(SEARCH("Ere",N158)))</formula>
    </cfRule>
    <cfRule type="containsText" dxfId="3876" priority="1101" operator="containsText" text="Ear">
      <formula>NOT(ISERROR(SEARCH("Ear",N158)))</formula>
    </cfRule>
    <cfRule type="containsText" dxfId="3875" priority="1102" operator="containsText" text="fnd">
      <formula>NOT(ISERROR(SEARCH("fnd",N158)))</formula>
    </cfRule>
  </conditionalFormatting>
  <conditionalFormatting sqref="N166:O166">
    <cfRule type="containsText" dxfId="3874" priority="1035" operator="containsText" text="Str">
      <formula>NOT(ISERROR(SEARCH("Str",N166)))</formula>
    </cfRule>
    <cfRule type="containsText" dxfId="3873" priority="1036" operator="containsText" text="Ere">
      <formula>NOT(ISERROR(SEARCH("Ere",N166)))</formula>
    </cfRule>
    <cfRule type="containsText" dxfId="3872" priority="1037" operator="containsText" text="Ear">
      <formula>NOT(ISERROR(SEARCH("Ear",N166)))</formula>
    </cfRule>
    <cfRule type="containsText" dxfId="3871" priority="1038" operator="containsText" text="fnd">
      <formula>NOT(ISERROR(SEARCH("fnd",N166)))</formula>
    </cfRule>
  </conditionalFormatting>
  <conditionalFormatting sqref="N174:O174">
    <cfRule type="containsText" dxfId="3870" priority="445" operator="containsText" text="Str">
      <formula>NOT(ISERROR(SEARCH("Str",N174)))</formula>
    </cfRule>
    <cfRule type="containsText" dxfId="3869" priority="446" operator="containsText" text="Ere">
      <formula>NOT(ISERROR(SEARCH("Ere",N174)))</formula>
    </cfRule>
    <cfRule type="containsText" dxfId="3868" priority="447" operator="containsText" text="Ear">
      <formula>NOT(ISERROR(SEARCH("Ear",N174)))</formula>
    </cfRule>
    <cfRule type="containsText" dxfId="3867" priority="448" operator="containsText" text="fnd">
      <formula>NOT(ISERROR(SEARCH("fnd",N174)))</formula>
    </cfRule>
  </conditionalFormatting>
  <conditionalFormatting sqref="N182:O182">
    <cfRule type="containsText" dxfId="3866" priority="133" operator="containsText" text="Str">
      <formula>NOT(ISERROR(SEARCH("Str",N182)))</formula>
    </cfRule>
    <cfRule type="containsText" dxfId="3865" priority="134" operator="containsText" text="Ere">
      <formula>NOT(ISERROR(SEARCH("Ere",N182)))</formula>
    </cfRule>
    <cfRule type="containsText" dxfId="3864" priority="135" operator="containsText" text="Ear">
      <formula>NOT(ISERROR(SEARCH("Ear",N182)))</formula>
    </cfRule>
    <cfRule type="containsText" dxfId="3863" priority="136" operator="containsText" text="fnd">
      <formula>NOT(ISERROR(SEARCH("fnd",N182)))</formula>
    </cfRule>
  </conditionalFormatting>
  <conditionalFormatting sqref="O6">
    <cfRule type="containsText" dxfId="3862" priority="213" operator="containsText" text="Str">
      <formula>NOT(ISERROR(SEARCH("Str",O6)))</formula>
    </cfRule>
    <cfRule type="containsText" dxfId="3861" priority="214" operator="containsText" text="Ere">
      <formula>NOT(ISERROR(SEARCH("Ere",O6)))</formula>
    </cfRule>
    <cfRule type="containsText" dxfId="3860" priority="215" operator="containsText" text="Ear">
      <formula>NOT(ISERROR(SEARCH("Ear",O6)))</formula>
    </cfRule>
    <cfRule type="containsText" dxfId="3859" priority="216" operator="containsText" text="fnd">
      <formula>NOT(ISERROR(SEARCH("fnd",O6)))</formula>
    </cfRule>
  </conditionalFormatting>
  <conditionalFormatting sqref="O14">
    <cfRule type="containsText" dxfId="3858" priority="1663" operator="containsText" text="Str">
      <formula>NOT(ISERROR(SEARCH("Str",O14)))</formula>
    </cfRule>
    <cfRule type="containsText" dxfId="3857" priority="1664" operator="containsText" text="Ere">
      <formula>NOT(ISERROR(SEARCH("Ere",O14)))</formula>
    </cfRule>
    <cfRule type="containsText" dxfId="3856" priority="1665" operator="containsText" text="Ear">
      <formula>NOT(ISERROR(SEARCH("Ear",O14)))</formula>
    </cfRule>
    <cfRule type="containsText" dxfId="3855" priority="1666" operator="containsText" text="fnd">
      <formula>NOT(ISERROR(SEARCH("fnd",O14)))</formula>
    </cfRule>
  </conditionalFormatting>
  <conditionalFormatting sqref="O22">
    <cfRule type="containsText" dxfId="3854" priority="1583" operator="containsText" text="Str">
      <formula>NOT(ISERROR(SEARCH("Str",O22)))</formula>
    </cfRule>
    <cfRule type="containsText" dxfId="3853" priority="1584" operator="containsText" text="Ere">
      <formula>NOT(ISERROR(SEARCH("Ere",O22)))</formula>
    </cfRule>
    <cfRule type="containsText" dxfId="3852" priority="1585" operator="containsText" text="Ear">
      <formula>NOT(ISERROR(SEARCH("Ear",O22)))</formula>
    </cfRule>
    <cfRule type="containsText" dxfId="3851" priority="1586" operator="containsText" text="fnd">
      <formula>NOT(ISERROR(SEARCH("fnd",O22)))</formula>
    </cfRule>
  </conditionalFormatting>
  <conditionalFormatting sqref="O38">
    <cfRule type="containsText" dxfId="3850" priority="863" operator="containsText" text="Str">
      <formula>NOT(ISERROR(SEARCH("Str",O38)))</formula>
    </cfRule>
    <cfRule type="containsText" dxfId="3849" priority="864" operator="containsText" text="Ere">
      <formula>NOT(ISERROR(SEARCH("Ere",O38)))</formula>
    </cfRule>
    <cfRule type="containsText" dxfId="3848" priority="865" operator="containsText" text="Ear">
      <formula>NOT(ISERROR(SEARCH("Ear",O38)))</formula>
    </cfRule>
    <cfRule type="containsText" dxfId="3847" priority="866" operator="containsText" text="fnd">
      <formula>NOT(ISERROR(SEARCH("fnd",O38)))</formula>
    </cfRule>
  </conditionalFormatting>
  <conditionalFormatting sqref="O78">
    <cfRule type="containsText" dxfId="3846" priority="1899" operator="containsText" text="Str">
      <formula>NOT(ISERROR(SEARCH("Str",O78)))</formula>
    </cfRule>
    <cfRule type="containsText" dxfId="3845" priority="1900" operator="containsText" text="Ere">
      <formula>NOT(ISERROR(SEARCH("Ere",O78)))</formula>
    </cfRule>
    <cfRule type="containsText" dxfId="3844" priority="1901" operator="containsText" text="Ear">
      <formula>NOT(ISERROR(SEARCH("Ear",O78)))</formula>
    </cfRule>
    <cfRule type="containsText" dxfId="3843" priority="1902" operator="containsText" text="fnd">
      <formula>NOT(ISERROR(SEARCH("fnd",O78)))</formula>
    </cfRule>
  </conditionalFormatting>
  <conditionalFormatting sqref="O201">
    <cfRule type="containsText" dxfId="3842" priority="2075" operator="containsText" text="Str">
      <formula>NOT(ISERROR(SEARCH("Str",O201)))</formula>
    </cfRule>
    <cfRule type="containsText" dxfId="3841" priority="2076" operator="containsText" text="Ere">
      <formula>NOT(ISERROR(SEARCH("Ere",O201)))</formula>
    </cfRule>
    <cfRule type="containsText" dxfId="3840" priority="2077" operator="containsText" text="Ear">
      <formula>NOT(ISERROR(SEARCH("Ear",O201)))</formula>
    </cfRule>
    <cfRule type="containsText" dxfId="3839" priority="2078" operator="containsText" text="fnd">
      <formula>NOT(ISERROR(SEARCH("fnd",O201)))</formula>
    </cfRule>
  </conditionalFormatting>
  <conditionalFormatting sqref="Q5:Q6">
    <cfRule type="containsText" dxfId="3838" priority="209" operator="containsText" text="Str">
      <formula>NOT(ISERROR(SEARCH("Str",Q5)))</formula>
    </cfRule>
    <cfRule type="containsText" dxfId="3837" priority="210" operator="containsText" text="Ere">
      <formula>NOT(ISERROR(SEARCH("Ere",Q5)))</formula>
    </cfRule>
    <cfRule type="containsText" dxfId="3836" priority="211" operator="containsText" text="Ear">
      <formula>NOT(ISERROR(SEARCH("Ear",Q5)))</formula>
    </cfRule>
    <cfRule type="containsText" dxfId="3835" priority="212" operator="containsText" text="fnd">
      <formula>NOT(ISERROR(SEARCH("fnd",Q5)))</formula>
    </cfRule>
  </conditionalFormatting>
  <conditionalFormatting sqref="Q13:Q14">
    <cfRule type="containsText" dxfId="3834" priority="1703" operator="containsText" text="Str">
      <formula>NOT(ISERROR(SEARCH("Str",Q13)))</formula>
    </cfRule>
    <cfRule type="containsText" dxfId="3833" priority="1704" operator="containsText" text="Ere">
      <formula>NOT(ISERROR(SEARCH("Ere",Q13)))</formula>
    </cfRule>
    <cfRule type="containsText" dxfId="3832" priority="1705" operator="containsText" text="Ear">
      <formula>NOT(ISERROR(SEARCH("Ear",Q13)))</formula>
    </cfRule>
    <cfRule type="containsText" dxfId="3831" priority="1706" operator="containsText" text="fnd">
      <formula>NOT(ISERROR(SEARCH("fnd",Q13)))</formula>
    </cfRule>
  </conditionalFormatting>
  <conditionalFormatting sqref="Q21:Q22">
    <cfRule type="containsText" dxfId="3830" priority="1579" operator="containsText" text="Str">
      <formula>NOT(ISERROR(SEARCH("Str",Q21)))</formula>
    </cfRule>
    <cfRule type="containsText" dxfId="3829" priority="1580" operator="containsText" text="Ere">
      <formula>NOT(ISERROR(SEARCH("Ere",Q21)))</formula>
    </cfRule>
    <cfRule type="containsText" dxfId="3828" priority="1581" operator="containsText" text="Ear">
      <formula>NOT(ISERROR(SEARCH("Ear",Q21)))</formula>
    </cfRule>
    <cfRule type="containsText" dxfId="3827" priority="1582" operator="containsText" text="fnd">
      <formula>NOT(ISERROR(SEARCH("fnd",Q21)))</formula>
    </cfRule>
  </conditionalFormatting>
  <conditionalFormatting sqref="Q29">
    <cfRule type="containsText" dxfId="3826" priority="655" operator="containsText" text="Str">
      <formula>NOT(ISERROR(SEARCH("Str",Q29)))</formula>
    </cfRule>
    <cfRule type="containsText" dxfId="3825" priority="656" operator="containsText" text="Ere">
      <formula>NOT(ISERROR(SEARCH("Ere",Q29)))</formula>
    </cfRule>
    <cfRule type="containsText" dxfId="3824" priority="657" operator="containsText" text="Ear">
      <formula>NOT(ISERROR(SEARCH("Ear",Q29)))</formula>
    </cfRule>
    <cfRule type="containsText" dxfId="3823" priority="658" operator="containsText" text="fnd">
      <formula>NOT(ISERROR(SEARCH("fnd",Q29)))</formula>
    </cfRule>
  </conditionalFormatting>
  <conditionalFormatting sqref="Q37:Q38">
    <cfRule type="containsText" dxfId="3822" priority="2091" operator="containsText" text="Str">
      <formula>NOT(ISERROR(SEARCH("Str",Q37)))</formula>
    </cfRule>
    <cfRule type="containsText" dxfId="3821" priority="2092" operator="containsText" text="Ere">
      <formula>NOT(ISERROR(SEARCH("Ere",Q37)))</formula>
    </cfRule>
    <cfRule type="containsText" dxfId="3820" priority="2093" operator="containsText" text="Ear">
      <formula>NOT(ISERROR(SEARCH("Ear",Q37)))</formula>
    </cfRule>
    <cfRule type="containsText" dxfId="3819" priority="2094" operator="containsText" text="fnd">
      <formula>NOT(ISERROR(SEARCH("fnd",Q37)))</formula>
    </cfRule>
  </conditionalFormatting>
  <conditionalFormatting sqref="Q45">
    <cfRule type="containsText" dxfId="3818" priority="839" operator="containsText" text="Str">
      <formula>NOT(ISERROR(SEARCH("Str",Q45)))</formula>
    </cfRule>
    <cfRule type="containsText" dxfId="3817" priority="840" operator="containsText" text="Ere">
      <formula>NOT(ISERROR(SEARCH("Ere",Q45)))</formula>
    </cfRule>
    <cfRule type="containsText" dxfId="3816" priority="841" operator="containsText" text="Ear">
      <formula>NOT(ISERROR(SEARCH("Ear",Q45)))</formula>
    </cfRule>
    <cfRule type="containsText" dxfId="3815" priority="842" operator="containsText" text="fnd">
      <formula>NOT(ISERROR(SEARCH("fnd",Q45)))</formula>
    </cfRule>
  </conditionalFormatting>
  <conditionalFormatting sqref="Q53">
    <cfRule type="containsText" dxfId="3814" priority="2119" operator="containsText" text="Str">
      <formula>NOT(ISERROR(SEARCH("Str",Q53)))</formula>
    </cfRule>
    <cfRule type="containsText" dxfId="3813" priority="2120" operator="containsText" text="Ere">
      <formula>NOT(ISERROR(SEARCH("Ere",Q53)))</formula>
    </cfRule>
    <cfRule type="containsText" dxfId="3812" priority="2121" operator="containsText" text="Ear">
      <formula>NOT(ISERROR(SEARCH("Ear",Q53)))</formula>
    </cfRule>
    <cfRule type="containsText" dxfId="3811" priority="2122" operator="containsText" text="fnd">
      <formula>NOT(ISERROR(SEARCH("fnd",Q53)))</formula>
    </cfRule>
  </conditionalFormatting>
  <conditionalFormatting sqref="Q61">
    <cfRule type="containsText" dxfId="3810" priority="819" operator="containsText" text="Str">
      <formula>NOT(ISERROR(SEARCH("Str",Q61)))</formula>
    </cfRule>
    <cfRule type="containsText" dxfId="3809" priority="820" operator="containsText" text="Ere">
      <formula>NOT(ISERROR(SEARCH("Ere",Q61)))</formula>
    </cfRule>
    <cfRule type="containsText" dxfId="3808" priority="821" operator="containsText" text="Ear">
      <formula>NOT(ISERROR(SEARCH("Ear",Q61)))</formula>
    </cfRule>
    <cfRule type="containsText" dxfId="3807" priority="822" operator="containsText" text="fnd">
      <formula>NOT(ISERROR(SEARCH("fnd",Q61)))</formula>
    </cfRule>
  </conditionalFormatting>
  <conditionalFormatting sqref="Q77">
    <cfRule type="containsText" dxfId="3806" priority="791" operator="containsText" text="Str">
      <formula>NOT(ISERROR(SEARCH("Str",Q77)))</formula>
    </cfRule>
    <cfRule type="containsText" dxfId="3805" priority="792" operator="containsText" text="Ere">
      <formula>NOT(ISERROR(SEARCH("Ere",Q77)))</formula>
    </cfRule>
    <cfRule type="containsText" dxfId="3804" priority="793" operator="containsText" text="Ear">
      <formula>NOT(ISERROR(SEARCH("Ear",Q77)))</formula>
    </cfRule>
    <cfRule type="containsText" dxfId="3803" priority="794" operator="containsText" text="fnd">
      <formula>NOT(ISERROR(SEARCH("fnd",Q77)))</formula>
    </cfRule>
  </conditionalFormatting>
  <conditionalFormatting sqref="Q85">
    <cfRule type="containsText" dxfId="3802" priority="2099" operator="containsText" text="Str">
      <formula>NOT(ISERROR(SEARCH("Str",Q85)))</formula>
    </cfRule>
    <cfRule type="containsText" dxfId="3801" priority="2100" operator="containsText" text="Ere">
      <formula>NOT(ISERROR(SEARCH("Ere",Q85)))</formula>
    </cfRule>
    <cfRule type="containsText" dxfId="3800" priority="2101" operator="containsText" text="Ear">
      <formula>NOT(ISERROR(SEARCH("Ear",Q85)))</formula>
    </cfRule>
    <cfRule type="containsText" dxfId="3799" priority="2102" operator="containsText" text="fnd">
      <formula>NOT(ISERROR(SEARCH("fnd",Q85)))</formula>
    </cfRule>
  </conditionalFormatting>
  <conditionalFormatting sqref="Q93">
    <cfRule type="containsText" dxfId="3798" priority="1559" operator="containsText" text="Str">
      <formula>NOT(ISERROR(SEARCH("Str",Q93)))</formula>
    </cfRule>
    <cfRule type="containsText" dxfId="3797" priority="1560" operator="containsText" text="Ere">
      <formula>NOT(ISERROR(SEARCH("Ere",Q93)))</formula>
    </cfRule>
    <cfRule type="containsText" dxfId="3796" priority="1561" operator="containsText" text="Ear">
      <formula>NOT(ISERROR(SEARCH("Ear",Q93)))</formula>
    </cfRule>
    <cfRule type="containsText" dxfId="3795" priority="1562" operator="containsText" text="fnd">
      <formula>NOT(ISERROR(SEARCH("fnd",Q93)))</formula>
    </cfRule>
  </conditionalFormatting>
  <conditionalFormatting sqref="Q101">
    <cfRule type="containsText" dxfId="3794" priority="1535" operator="containsText" text="Str">
      <formula>NOT(ISERROR(SEARCH("Str",Q101)))</formula>
    </cfRule>
    <cfRule type="containsText" dxfId="3793" priority="1536" operator="containsText" text="Ere">
      <formula>NOT(ISERROR(SEARCH("Ere",Q101)))</formula>
    </cfRule>
    <cfRule type="containsText" dxfId="3792" priority="1537" operator="containsText" text="Ear">
      <formula>NOT(ISERROR(SEARCH("Ear",Q101)))</formula>
    </cfRule>
    <cfRule type="containsText" dxfId="3791" priority="1538" operator="containsText" text="fnd">
      <formula>NOT(ISERROR(SEARCH("fnd",Q101)))</formula>
    </cfRule>
  </conditionalFormatting>
  <conditionalFormatting sqref="Q109">
    <cfRule type="containsText" dxfId="3790" priority="1747" operator="containsText" text="Str">
      <formula>NOT(ISERROR(SEARCH("Str",Q109)))</formula>
    </cfRule>
    <cfRule type="containsText" dxfId="3789" priority="1748" operator="containsText" text="Ere">
      <formula>NOT(ISERROR(SEARCH("Ere",Q109)))</formula>
    </cfRule>
    <cfRule type="containsText" dxfId="3788" priority="1749" operator="containsText" text="Ear">
      <formula>NOT(ISERROR(SEARCH("Ear",Q109)))</formula>
    </cfRule>
    <cfRule type="containsText" dxfId="3787" priority="1750" operator="containsText" text="fnd">
      <formula>NOT(ISERROR(SEARCH("fnd",Q109)))</formula>
    </cfRule>
  </conditionalFormatting>
  <conditionalFormatting sqref="Q117">
    <cfRule type="containsText" dxfId="3786" priority="1399" operator="containsText" text="Str">
      <formula>NOT(ISERROR(SEARCH("Str",Q117)))</formula>
    </cfRule>
    <cfRule type="containsText" dxfId="3785" priority="1400" operator="containsText" text="Ere">
      <formula>NOT(ISERROR(SEARCH("Ere",Q117)))</formula>
    </cfRule>
    <cfRule type="containsText" dxfId="3784" priority="1401" operator="containsText" text="Ear">
      <formula>NOT(ISERROR(SEARCH("Ear",Q117)))</formula>
    </cfRule>
    <cfRule type="containsText" dxfId="3783" priority="1402" operator="containsText" text="fnd">
      <formula>NOT(ISERROR(SEARCH("fnd",Q117)))</formula>
    </cfRule>
  </conditionalFormatting>
  <conditionalFormatting sqref="Q125">
    <cfRule type="containsText" dxfId="3782" priority="521" operator="containsText" text="Str">
      <formula>NOT(ISERROR(SEARCH("Str",Q125)))</formula>
    </cfRule>
    <cfRule type="containsText" dxfId="3781" priority="522" operator="containsText" text="Ere">
      <formula>NOT(ISERROR(SEARCH("Ere",Q125)))</formula>
    </cfRule>
    <cfRule type="containsText" dxfId="3780" priority="523" operator="containsText" text="Ear">
      <formula>NOT(ISERROR(SEARCH("Ear",Q125)))</formula>
    </cfRule>
    <cfRule type="containsText" dxfId="3779" priority="524" operator="containsText" text="fnd">
      <formula>NOT(ISERROR(SEARCH("fnd",Q125)))</formula>
    </cfRule>
  </conditionalFormatting>
  <conditionalFormatting sqref="Q130 Q138 Q162 Q178">
    <cfRule type="containsText" dxfId="3778" priority="2019" operator="containsText" text="Str">
      <formula>NOT(ISERROR(SEARCH("Str",Q130)))</formula>
    </cfRule>
    <cfRule type="containsText" dxfId="3777" priority="2020" operator="containsText" text="Ere">
      <formula>NOT(ISERROR(SEARCH("Ere",Q130)))</formula>
    </cfRule>
    <cfRule type="containsText" dxfId="3776" priority="2021" operator="containsText" text="Ear">
      <formula>NOT(ISERROR(SEARCH("Ear",Q130)))</formula>
    </cfRule>
    <cfRule type="containsText" dxfId="3775" priority="2022" operator="containsText" text="fnd">
      <formula>NOT(ISERROR(SEARCH("fnd",Q130)))</formula>
    </cfRule>
  </conditionalFormatting>
  <conditionalFormatting sqref="Q133">
    <cfRule type="containsText" dxfId="3774" priority="29" operator="containsText" text="Str">
      <formula>NOT(ISERROR(SEARCH("Str",Q133)))</formula>
    </cfRule>
    <cfRule type="containsText" dxfId="3773" priority="30" operator="containsText" text="Ere">
      <formula>NOT(ISERROR(SEARCH("Ere",Q133)))</formula>
    </cfRule>
    <cfRule type="containsText" dxfId="3772" priority="31" operator="containsText" text="Ear">
      <formula>NOT(ISERROR(SEARCH("Ear",Q133)))</formula>
    </cfRule>
    <cfRule type="containsText" dxfId="3771" priority="32" operator="containsText" text="fnd">
      <formula>NOT(ISERROR(SEARCH("fnd",Q133)))</formula>
    </cfRule>
  </conditionalFormatting>
  <conditionalFormatting sqref="Q141">
    <cfRule type="containsText" dxfId="3770" priority="1259" operator="containsText" text="Str">
      <formula>NOT(ISERROR(SEARCH("Str",Q141)))</formula>
    </cfRule>
    <cfRule type="containsText" dxfId="3769" priority="1260" operator="containsText" text="Ere">
      <formula>NOT(ISERROR(SEARCH("Ere",Q141)))</formula>
    </cfRule>
    <cfRule type="containsText" dxfId="3768" priority="1261" operator="containsText" text="Ear">
      <formula>NOT(ISERROR(SEARCH("Ear",Q141)))</formula>
    </cfRule>
    <cfRule type="containsText" dxfId="3767" priority="1262" operator="containsText" text="fnd">
      <formula>NOT(ISERROR(SEARCH("fnd",Q141)))</formula>
    </cfRule>
  </conditionalFormatting>
  <conditionalFormatting sqref="Q149">
    <cfRule type="containsText" dxfId="3766" priority="1171" operator="containsText" text="Str">
      <formula>NOT(ISERROR(SEARCH("Str",Q149)))</formula>
    </cfRule>
    <cfRule type="containsText" dxfId="3765" priority="1172" operator="containsText" text="Ere">
      <formula>NOT(ISERROR(SEARCH("Ere",Q149)))</formula>
    </cfRule>
    <cfRule type="containsText" dxfId="3764" priority="1173" operator="containsText" text="Ear">
      <formula>NOT(ISERROR(SEARCH("Ear",Q149)))</formula>
    </cfRule>
    <cfRule type="containsText" dxfId="3763" priority="1174" operator="containsText" text="fnd">
      <formula>NOT(ISERROR(SEARCH("fnd",Q149)))</formula>
    </cfRule>
  </conditionalFormatting>
  <conditionalFormatting sqref="Q157">
    <cfRule type="containsText" dxfId="3762" priority="1111" operator="containsText" text="Str">
      <formula>NOT(ISERROR(SEARCH("Str",Q157)))</formula>
    </cfRule>
    <cfRule type="containsText" dxfId="3761" priority="1112" operator="containsText" text="Ere">
      <formula>NOT(ISERROR(SEARCH("Ere",Q157)))</formula>
    </cfRule>
    <cfRule type="containsText" dxfId="3760" priority="1113" operator="containsText" text="Ear">
      <formula>NOT(ISERROR(SEARCH("Ear",Q157)))</formula>
    </cfRule>
    <cfRule type="containsText" dxfId="3759" priority="1114" operator="containsText" text="fnd">
      <formula>NOT(ISERROR(SEARCH("fnd",Q157)))</formula>
    </cfRule>
  </conditionalFormatting>
  <conditionalFormatting sqref="Q165">
    <cfRule type="containsText" dxfId="3758" priority="1047" operator="containsText" text="Str">
      <formula>NOT(ISERROR(SEARCH("Str",Q165)))</formula>
    </cfRule>
    <cfRule type="containsText" dxfId="3757" priority="1048" operator="containsText" text="Ere">
      <formula>NOT(ISERROR(SEARCH("Ere",Q165)))</formula>
    </cfRule>
    <cfRule type="containsText" dxfId="3756" priority="1049" operator="containsText" text="Ear">
      <formula>NOT(ISERROR(SEARCH("Ear",Q165)))</formula>
    </cfRule>
    <cfRule type="containsText" dxfId="3755" priority="1050" operator="containsText" text="fnd">
      <formula>NOT(ISERROR(SEARCH("fnd",Q165)))</formula>
    </cfRule>
  </conditionalFormatting>
  <conditionalFormatting sqref="Q173">
    <cfRule type="containsText" dxfId="3754" priority="393" operator="containsText" text="Str">
      <formula>NOT(ISERROR(SEARCH("Str",Q173)))</formula>
    </cfRule>
    <cfRule type="containsText" dxfId="3753" priority="394" operator="containsText" text="Ere">
      <formula>NOT(ISERROR(SEARCH("Ere",Q173)))</formula>
    </cfRule>
    <cfRule type="containsText" dxfId="3752" priority="395" operator="containsText" text="Ear">
      <formula>NOT(ISERROR(SEARCH("Ear",Q173)))</formula>
    </cfRule>
    <cfRule type="containsText" dxfId="3751" priority="396" operator="containsText" text="fnd">
      <formula>NOT(ISERROR(SEARCH("fnd",Q173)))</formula>
    </cfRule>
  </conditionalFormatting>
  <conditionalFormatting sqref="Q181">
    <cfRule type="containsText" dxfId="3750" priority="121" operator="containsText" text="Str">
      <formula>NOT(ISERROR(SEARCH("Str",Q181)))</formula>
    </cfRule>
    <cfRule type="containsText" dxfId="3749" priority="122" operator="containsText" text="Ere">
      <formula>NOT(ISERROR(SEARCH("Ere",Q181)))</formula>
    </cfRule>
    <cfRule type="containsText" dxfId="3748" priority="123" operator="containsText" text="Ear">
      <formula>NOT(ISERROR(SEARCH("Ear",Q181)))</formula>
    </cfRule>
    <cfRule type="containsText" dxfId="3747" priority="124" operator="containsText" text="fnd">
      <formula>NOT(ISERROR(SEARCH("fnd",Q181)))</formula>
    </cfRule>
  </conditionalFormatting>
  <conditionalFormatting sqref="Q30:R30">
    <cfRule type="containsText" dxfId="3746" priority="659" operator="containsText" text="Str">
      <formula>NOT(ISERROR(SEARCH("Str",Q30)))</formula>
    </cfRule>
    <cfRule type="containsText" dxfId="3745" priority="660" operator="containsText" text="Ere">
      <formula>NOT(ISERROR(SEARCH("Ere",Q30)))</formula>
    </cfRule>
    <cfRule type="containsText" dxfId="3744" priority="661" operator="containsText" text="Ear">
      <formula>NOT(ISERROR(SEARCH("Ear",Q30)))</formula>
    </cfRule>
    <cfRule type="containsText" dxfId="3743" priority="662" operator="containsText" text="fnd">
      <formula>NOT(ISERROR(SEARCH("fnd",Q30)))</formula>
    </cfRule>
  </conditionalFormatting>
  <conditionalFormatting sqref="Q54:R54">
    <cfRule type="containsText" dxfId="3742" priority="2279" operator="containsText" text="Str">
      <formula>NOT(ISERROR(SEARCH("Str",Q54)))</formula>
    </cfRule>
    <cfRule type="containsText" dxfId="3741" priority="2280" operator="containsText" text="Ere">
      <formula>NOT(ISERROR(SEARCH("Ere",Q54)))</formula>
    </cfRule>
    <cfRule type="containsText" dxfId="3740" priority="2281" operator="containsText" text="Ear">
      <formula>NOT(ISERROR(SEARCH("Ear",Q54)))</formula>
    </cfRule>
    <cfRule type="containsText" dxfId="3739" priority="2282" operator="containsText" text="fnd">
      <formula>NOT(ISERROR(SEARCH("fnd",Q54)))</formula>
    </cfRule>
  </conditionalFormatting>
  <conditionalFormatting sqref="Q78:R78">
    <cfRule type="containsText" dxfId="3738" priority="795" operator="containsText" text="Str">
      <formula>NOT(ISERROR(SEARCH("Str",Q78)))</formula>
    </cfRule>
    <cfRule type="containsText" dxfId="3737" priority="796" operator="containsText" text="Ere">
      <formula>NOT(ISERROR(SEARCH("Ere",Q78)))</formula>
    </cfRule>
    <cfRule type="containsText" dxfId="3736" priority="797" operator="containsText" text="Ear">
      <formula>NOT(ISERROR(SEARCH("Ear",Q78)))</formula>
    </cfRule>
    <cfRule type="containsText" dxfId="3735" priority="798" operator="containsText" text="fnd">
      <formula>NOT(ISERROR(SEARCH("fnd",Q78)))</formula>
    </cfRule>
  </conditionalFormatting>
  <conditionalFormatting sqref="Q86:R86">
    <cfRule type="containsText" dxfId="3734" priority="2147" operator="containsText" text="Str">
      <formula>NOT(ISERROR(SEARCH("Str",Q86)))</formula>
    </cfRule>
    <cfRule type="containsText" dxfId="3733" priority="2148" operator="containsText" text="Ere">
      <formula>NOT(ISERROR(SEARCH("Ere",Q86)))</formula>
    </cfRule>
    <cfRule type="containsText" dxfId="3732" priority="2149" operator="containsText" text="Ear">
      <formula>NOT(ISERROR(SEARCH("Ear",Q86)))</formula>
    </cfRule>
    <cfRule type="containsText" dxfId="3731" priority="2150" operator="containsText" text="fnd">
      <formula>NOT(ISERROR(SEARCH("fnd",Q86)))</formula>
    </cfRule>
  </conditionalFormatting>
  <conditionalFormatting sqref="Q94:R94">
    <cfRule type="containsText" dxfId="3730" priority="1563" operator="containsText" text="Str">
      <formula>NOT(ISERROR(SEARCH("Str",Q94)))</formula>
    </cfRule>
    <cfRule type="containsText" dxfId="3729" priority="1564" operator="containsText" text="Ere">
      <formula>NOT(ISERROR(SEARCH("Ere",Q94)))</formula>
    </cfRule>
    <cfRule type="containsText" dxfId="3728" priority="1565" operator="containsText" text="Ear">
      <formula>NOT(ISERROR(SEARCH("Ear",Q94)))</formula>
    </cfRule>
    <cfRule type="containsText" dxfId="3727" priority="1566" operator="containsText" text="fnd">
      <formula>NOT(ISERROR(SEARCH("fnd",Q94)))</formula>
    </cfRule>
  </conditionalFormatting>
  <conditionalFormatting sqref="Q102:R102">
    <cfRule type="containsText" dxfId="3726" priority="1539" operator="containsText" text="Str">
      <formula>NOT(ISERROR(SEARCH("Str",Q102)))</formula>
    </cfRule>
    <cfRule type="containsText" dxfId="3725" priority="1540" operator="containsText" text="Ere">
      <formula>NOT(ISERROR(SEARCH("Ere",Q102)))</formula>
    </cfRule>
    <cfRule type="containsText" dxfId="3724" priority="1541" operator="containsText" text="Ear">
      <formula>NOT(ISERROR(SEARCH("Ear",Q102)))</formula>
    </cfRule>
    <cfRule type="containsText" dxfId="3723" priority="1542" operator="containsText" text="fnd">
      <formula>NOT(ISERROR(SEARCH("fnd",Q102)))</formula>
    </cfRule>
  </conditionalFormatting>
  <conditionalFormatting sqref="Q110:R110">
    <cfRule type="containsText" dxfId="3722" priority="1751" operator="containsText" text="Str">
      <formula>NOT(ISERROR(SEARCH("Str",Q110)))</formula>
    </cfRule>
    <cfRule type="containsText" dxfId="3721" priority="1752" operator="containsText" text="Ere">
      <formula>NOT(ISERROR(SEARCH("Ere",Q110)))</formula>
    </cfRule>
    <cfRule type="containsText" dxfId="3720" priority="1753" operator="containsText" text="Ear">
      <formula>NOT(ISERROR(SEARCH("Ear",Q110)))</formula>
    </cfRule>
    <cfRule type="containsText" dxfId="3719" priority="1754" operator="containsText" text="fnd">
      <formula>NOT(ISERROR(SEARCH("fnd",Q110)))</formula>
    </cfRule>
  </conditionalFormatting>
  <conditionalFormatting sqref="Q118:R118">
    <cfRule type="containsText" dxfId="3718" priority="1403" operator="containsText" text="Str">
      <formula>NOT(ISERROR(SEARCH("Str",Q118)))</formula>
    </cfRule>
    <cfRule type="containsText" dxfId="3717" priority="1404" operator="containsText" text="Ere">
      <formula>NOT(ISERROR(SEARCH("Ere",Q118)))</formula>
    </cfRule>
    <cfRule type="containsText" dxfId="3716" priority="1405" operator="containsText" text="Ear">
      <formula>NOT(ISERROR(SEARCH("Ear",Q118)))</formula>
    </cfRule>
    <cfRule type="containsText" dxfId="3715" priority="1406" operator="containsText" text="fnd">
      <formula>NOT(ISERROR(SEARCH("fnd",Q118)))</formula>
    </cfRule>
  </conditionalFormatting>
  <conditionalFormatting sqref="Q126:R126">
    <cfRule type="containsText" dxfId="3714" priority="525" operator="containsText" text="Str">
      <formula>NOT(ISERROR(SEARCH("Str",Q126)))</formula>
    </cfRule>
    <cfRule type="containsText" dxfId="3713" priority="526" operator="containsText" text="Ere">
      <formula>NOT(ISERROR(SEARCH("Ere",Q126)))</formula>
    </cfRule>
    <cfRule type="containsText" dxfId="3712" priority="527" operator="containsText" text="Ear">
      <formula>NOT(ISERROR(SEARCH("Ear",Q126)))</formula>
    </cfRule>
    <cfRule type="containsText" dxfId="3711" priority="528" operator="containsText" text="fnd">
      <formula>NOT(ISERROR(SEARCH("fnd",Q126)))</formula>
    </cfRule>
  </conditionalFormatting>
  <conditionalFormatting sqref="Q134:R134">
    <cfRule type="containsText" dxfId="3710" priority="33" operator="containsText" text="Str">
      <formula>NOT(ISERROR(SEARCH("Str",Q134)))</formula>
    </cfRule>
    <cfRule type="containsText" dxfId="3709" priority="34" operator="containsText" text="Ere">
      <formula>NOT(ISERROR(SEARCH("Ere",Q134)))</formula>
    </cfRule>
    <cfRule type="containsText" dxfId="3708" priority="35" operator="containsText" text="Ear">
      <formula>NOT(ISERROR(SEARCH("Ear",Q134)))</formula>
    </cfRule>
    <cfRule type="containsText" dxfId="3707" priority="36" operator="containsText" text="fnd">
      <formula>NOT(ISERROR(SEARCH("fnd",Q134)))</formula>
    </cfRule>
  </conditionalFormatting>
  <conditionalFormatting sqref="Q142:R142">
    <cfRule type="containsText" dxfId="3706" priority="1263" operator="containsText" text="Str">
      <formula>NOT(ISERROR(SEARCH("Str",Q142)))</formula>
    </cfRule>
    <cfRule type="containsText" dxfId="3705" priority="1264" operator="containsText" text="Ere">
      <formula>NOT(ISERROR(SEARCH("Ere",Q142)))</formula>
    </cfRule>
    <cfRule type="containsText" dxfId="3704" priority="1265" operator="containsText" text="Ear">
      <formula>NOT(ISERROR(SEARCH("Ear",Q142)))</formula>
    </cfRule>
    <cfRule type="containsText" dxfId="3703" priority="1266" operator="containsText" text="fnd">
      <formula>NOT(ISERROR(SEARCH("fnd",Q142)))</formula>
    </cfRule>
  </conditionalFormatting>
  <conditionalFormatting sqref="Q150:R150">
    <cfRule type="containsText" dxfId="3702" priority="1175" operator="containsText" text="Str">
      <formula>NOT(ISERROR(SEARCH("Str",Q150)))</formula>
    </cfRule>
    <cfRule type="containsText" dxfId="3701" priority="1176" operator="containsText" text="Ere">
      <formula>NOT(ISERROR(SEARCH("Ere",Q150)))</formula>
    </cfRule>
    <cfRule type="containsText" dxfId="3700" priority="1177" operator="containsText" text="Ear">
      <formula>NOT(ISERROR(SEARCH("Ear",Q150)))</formula>
    </cfRule>
    <cfRule type="containsText" dxfId="3699" priority="1178" operator="containsText" text="fnd">
      <formula>NOT(ISERROR(SEARCH("fnd",Q150)))</formula>
    </cfRule>
  </conditionalFormatting>
  <conditionalFormatting sqref="Q166:R166">
    <cfRule type="containsText" dxfId="3698" priority="1051" operator="containsText" text="Str">
      <formula>NOT(ISERROR(SEARCH("Str",Q166)))</formula>
    </cfRule>
    <cfRule type="containsText" dxfId="3697" priority="1052" operator="containsText" text="Ere">
      <formula>NOT(ISERROR(SEARCH("Ere",Q166)))</formula>
    </cfRule>
    <cfRule type="containsText" dxfId="3696" priority="1053" operator="containsText" text="Ear">
      <formula>NOT(ISERROR(SEARCH("Ear",Q166)))</formula>
    </cfRule>
    <cfRule type="containsText" dxfId="3695" priority="1054" operator="containsText" text="fnd">
      <formula>NOT(ISERROR(SEARCH("fnd",Q166)))</formula>
    </cfRule>
  </conditionalFormatting>
  <conditionalFormatting sqref="Q174:R174">
    <cfRule type="containsText" dxfId="3694" priority="397" operator="containsText" text="Str">
      <formula>NOT(ISERROR(SEARCH("Str",Q174)))</formula>
    </cfRule>
    <cfRule type="containsText" dxfId="3693" priority="398" operator="containsText" text="Ere">
      <formula>NOT(ISERROR(SEARCH("Ere",Q174)))</formula>
    </cfRule>
    <cfRule type="containsText" dxfId="3692" priority="399" operator="containsText" text="Ear">
      <formula>NOT(ISERROR(SEARCH("Ear",Q174)))</formula>
    </cfRule>
    <cfRule type="containsText" dxfId="3691" priority="400" operator="containsText" text="fnd">
      <formula>NOT(ISERROR(SEARCH("fnd",Q174)))</formula>
    </cfRule>
  </conditionalFormatting>
  <conditionalFormatting sqref="Q182:R182">
    <cfRule type="containsText" dxfId="3690" priority="125" operator="containsText" text="Str">
      <formula>NOT(ISERROR(SEARCH("Str",Q182)))</formula>
    </cfRule>
    <cfRule type="containsText" dxfId="3689" priority="126" operator="containsText" text="Ere">
      <formula>NOT(ISERROR(SEARCH("Ere",Q182)))</formula>
    </cfRule>
    <cfRule type="containsText" dxfId="3688" priority="127" operator="containsText" text="Ear">
      <formula>NOT(ISERROR(SEARCH("Ear",Q182)))</formula>
    </cfRule>
    <cfRule type="containsText" dxfId="3687" priority="128" operator="containsText" text="fnd">
      <formula>NOT(ISERROR(SEARCH("fnd",Q182)))</formula>
    </cfRule>
  </conditionalFormatting>
  <conditionalFormatting sqref="R6">
    <cfRule type="containsText" dxfId="3686" priority="205" operator="containsText" text="Str">
      <formula>NOT(ISERROR(SEARCH("Str",R6)))</formula>
    </cfRule>
    <cfRule type="containsText" dxfId="3685" priority="206" operator="containsText" text="Ere">
      <formula>NOT(ISERROR(SEARCH("Ere",R6)))</formula>
    </cfRule>
    <cfRule type="containsText" dxfId="3684" priority="207" operator="containsText" text="Ear">
      <formula>NOT(ISERROR(SEARCH("Ear",R6)))</formula>
    </cfRule>
    <cfRule type="containsText" dxfId="3683" priority="208" operator="containsText" text="fnd">
      <formula>NOT(ISERROR(SEARCH("fnd",R6)))</formula>
    </cfRule>
  </conditionalFormatting>
  <conditionalFormatting sqref="R14">
    <cfRule type="containsText" dxfId="3682" priority="1699" operator="containsText" text="Str">
      <formula>NOT(ISERROR(SEARCH("Str",R14)))</formula>
    </cfRule>
    <cfRule type="containsText" dxfId="3681" priority="1700" operator="containsText" text="Ere">
      <formula>NOT(ISERROR(SEARCH("Ere",R14)))</formula>
    </cfRule>
    <cfRule type="containsText" dxfId="3680" priority="1701" operator="containsText" text="Ear">
      <formula>NOT(ISERROR(SEARCH("Ear",R14)))</formula>
    </cfRule>
    <cfRule type="containsText" dxfId="3679" priority="1702" operator="containsText" text="fnd">
      <formula>NOT(ISERROR(SEARCH("fnd",R14)))</formula>
    </cfRule>
  </conditionalFormatting>
  <conditionalFormatting sqref="R22">
    <cfRule type="containsText" dxfId="3678" priority="1575" operator="containsText" text="Str">
      <formula>NOT(ISERROR(SEARCH("Str",R22)))</formula>
    </cfRule>
    <cfRule type="containsText" dxfId="3677" priority="1576" operator="containsText" text="Ere">
      <formula>NOT(ISERROR(SEARCH("Ere",R22)))</formula>
    </cfRule>
    <cfRule type="containsText" dxfId="3676" priority="1577" operator="containsText" text="Ear">
      <formula>NOT(ISERROR(SEARCH("Ear",R22)))</formula>
    </cfRule>
    <cfRule type="containsText" dxfId="3675" priority="1578" operator="containsText" text="fnd">
      <formula>NOT(ISERROR(SEARCH("fnd",R22)))</formula>
    </cfRule>
  </conditionalFormatting>
  <conditionalFormatting sqref="R38">
    <cfRule type="containsText" dxfId="3674" priority="2051" operator="containsText" text="Str">
      <formula>NOT(ISERROR(SEARCH("Str",R38)))</formula>
    </cfRule>
    <cfRule type="containsText" dxfId="3673" priority="2052" operator="containsText" text="Ere">
      <formula>NOT(ISERROR(SEARCH("Ere",R38)))</formula>
    </cfRule>
    <cfRule type="containsText" dxfId="3672" priority="2053" operator="containsText" text="Ear">
      <formula>NOT(ISERROR(SEARCH("Ear",R38)))</formula>
    </cfRule>
    <cfRule type="containsText" dxfId="3671" priority="2054" operator="containsText" text="fnd">
      <formula>NOT(ISERROR(SEARCH("fnd",R38)))</formula>
    </cfRule>
  </conditionalFormatting>
  <conditionalFormatting sqref="S122 T130 T138 T162 T170 T178">
    <cfRule type="containsText" dxfId="3670" priority="2003" operator="containsText" text="Str">
      <formula>NOT(ISERROR(SEARCH("Str",S122)))</formula>
    </cfRule>
    <cfRule type="containsText" dxfId="3669" priority="2004" operator="containsText" text="Ere">
      <formula>NOT(ISERROR(SEARCH("Ere",S122)))</formula>
    </cfRule>
    <cfRule type="containsText" dxfId="3668" priority="2005" operator="containsText" text="Ear">
      <formula>NOT(ISERROR(SEARCH("Ear",S122)))</formula>
    </cfRule>
    <cfRule type="containsText" dxfId="3667" priority="2006" operator="containsText" text="fnd">
      <formula>NOT(ISERROR(SEARCH("fnd",S122)))</formula>
    </cfRule>
  </conditionalFormatting>
  <conditionalFormatting sqref="T5">
    <cfRule type="containsText" dxfId="3666" priority="201" operator="containsText" text="Str">
      <formula>NOT(ISERROR(SEARCH("Str",T5)))</formula>
    </cfRule>
    <cfRule type="containsText" dxfId="3665" priority="202" operator="containsText" text="Ere">
      <formula>NOT(ISERROR(SEARCH("Ere",T5)))</formula>
    </cfRule>
    <cfRule type="containsText" dxfId="3664" priority="203" operator="containsText" text="Ear">
      <formula>NOT(ISERROR(SEARCH("Ear",T5)))</formula>
    </cfRule>
    <cfRule type="containsText" dxfId="3663" priority="204" operator="containsText" text="fnd">
      <formula>NOT(ISERROR(SEARCH("fnd",T5)))</formula>
    </cfRule>
  </conditionalFormatting>
  <conditionalFormatting sqref="T13:T14">
    <cfRule type="containsText" dxfId="3662" priority="421" operator="containsText" text="Str">
      <formula>NOT(ISERROR(SEARCH("Str",T13)))</formula>
    </cfRule>
    <cfRule type="containsText" dxfId="3661" priority="422" operator="containsText" text="Ere">
      <formula>NOT(ISERROR(SEARCH("Ere",T13)))</formula>
    </cfRule>
    <cfRule type="containsText" dxfId="3660" priority="423" operator="containsText" text="Ear">
      <formula>NOT(ISERROR(SEARCH("Ear",T13)))</formula>
    </cfRule>
    <cfRule type="containsText" dxfId="3659" priority="424" operator="containsText" text="fnd">
      <formula>NOT(ISERROR(SEARCH("fnd",T13)))</formula>
    </cfRule>
  </conditionalFormatting>
  <conditionalFormatting sqref="T21:T22">
    <cfRule type="containsText" dxfId="3658" priority="1507" operator="containsText" text="Str">
      <formula>NOT(ISERROR(SEARCH("Str",T21)))</formula>
    </cfRule>
    <cfRule type="containsText" dxfId="3657" priority="1508" operator="containsText" text="Ere">
      <formula>NOT(ISERROR(SEARCH("Ere",T21)))</formula>
    </cfRule>
    <cfRule type="containsText" dxfId="3656" priority="1509" operator="containsText" text="Ear">
      <formula>NOT(ISERROR(SEARCH("Ear",T21)))</formula>
    </cfRule>
    <cfRule type="containsText" dxfId="3655" priority="1510" operator="containsText" text="fnd">
      <formula>NOT(ISERROR(SEARCH("fnd",T21)))</formula>
    </cfRule>
  </conditionalFormatting>
  <conditionalFormatting sqref="T29">
    <cfRule type="containsText" dxfId="3654" priority="325" operator="containsText" text="Str">
      <formula>NOT(ISERROR(SEARCH("Str",T29)))</formula>
    </cfRule>
    <cfRule type="containsText" dxfId="3653" priority="326" operator="containsText" text="Ere">
      <formula>NOT(ISERROR(SEARCH("Ere",T29)))</formula>
    </cfRule>
    <cfRule type="containsText" dxfId="3652" priority="327" operator="containsText" text="Ear">
      <formula>NOT(ISERROR(SEARCH("Ear",T29)))</formula>
    </cfRule>
    <cfRule type="containsText" dxfId="3651" priority="328" operator="containsText" text="fnd">
      <formula>NOT(ISERROR(SEARCH("fnd",T29)))</formula>
    </cfRule>
  </conditionalFormatting>
  <conditionalFormatting sqref="T37">
    <cfRule type="containsText" dxfId="3650" priority="1647" operator="containsText" text="Str">
      <formula>NOT(ISERROR(SEARCH("Str",T37)))</formula>
    </cfRule>
    <cfRule type="containsText" dxfId="3649" priority="1648" operator="containsText" text="Ere">
      <formula>NOT(ISERROR(SEARCH("Ere",T37)))</formula>
    </cfRule>
    <cfRule type="containsText" dxfId="3648" priority="1649" operator="containsText" text="Ear">
      <formula>NOT(ISERROR(SEARCH("Ear",T37)))</formula>
    </cfRule>
    <cfRule type="containsText" dxfId="3647" priority="1650" operator="containsText" text="fnd">
      <formula>NOT(ISERROR(SEARCH("fnd",T37)))</formula>
    </cfRule>
  </conditionalFormatting>
  <conditionalFormatting sqref="T53">
    <cfRule type="containsText" dxfId="3646" priority="2103" operator="containsText" text="Str">
      <formula>NOT(ISERROR(SEARCH("Str",T53)))</formula>
    </cfRule>
    <cfRule type="containsText" dxfId="3645" priority="2104" operator="containsText" text="Ere">
      <formula>NOT(ISERROR(SEARCH("Ere",T53)))</formula>
    </cfRule>
    <cfRule type="containsText" dxfId="3644" priority="2105" operator="containsText" text="Ear">
      <formula>NOT(ISERROR(SEARCH("Ear",T53)))</formula>
    </cfRule>
    <cfRule type="containsText" dxfId="3643" priority="2106" operator="containsText" text="fnd">
      <formula>NOT(ISERROR(SEARCH("fnd",T53)))</formula>
    </cfRule>
  </conditionalFormatting>
  <conditionalFormatting sqref="T61">
    <cfRule type="containsText" dxfId="3642" priority="2031" operator="containsText" text="Str">
      <formula>NOT(ISERROR(SEARCH("Str",T61)))</formula>
    </cfRule>
    <cfRule type="containsText" dxfId="3641" priority="2032" operator="containsText" text="Ere">
      <formula>NOT(ISERROR(SEARCH("Ere",T61)))</formula>
    </cfRule>
    <cfRule type="containsText" dxfId="3640" priority="2033" operator="containsText" text="Ear">
      <formula>NOT(ISERROR(SEARCH("Ear",T61)))</formula>
    </cfRule>
    <cfRule type="containsText" dxfId="3639" priority="2034" operator="containsText" text="fnd">
      <formula>NOT(ISERROR(SEARCH("fnd",T61)))</formula>
    </cfRule>
  </conditionalFormatting>
  <conditionalFormatting sqref="T85">
    <cfRule type="containsText" dxfId="3638" priority="2095" operator="containsText" text="Str">
      <formula>NOT(ISERROR(SEARCH("Str",T85)))</formula>
    </cfRule>
    <cfRule type="containsText" dxfId="3637" priority="2096" operator="containsText" text="Ere">
      <formula>NOT(ISERROR(SEARCH("Ere",T85)))</formula>
    </cfRule>
    <cfRule type="containsText" dxfId="3636" priority="2097" operator="containsText" text="Ear">
      <formula>NOT(ISERROR(SEARCH("Ear",T85)))</formula>
    </cfRule>
    <cfRule type="containsText" dxfId="3635" priority="2098" operator="containsText" text="fnd">
      <formula>NOT(ISERROR(SEARCH("fnd",T85)))</formula>
    </cfRule>
  </conditionalFormatting>
  <conditionalFormatting sqref="T93">
    <cfRule type="containsText" dxfId="3634" priority="2191" operator="containsText" text="Str">
      <formula>NOT(ISERROR(SEARCH("Str",T93)))</formula>
    </cfRule>
    <cfRule type="containsText" dxfId="3633" priority="2192" operator="containsText" text="Ere">
      <formula>NOT(ISERROR(SEARCH("Ere",T93)))</formula>
    </cfRule>
    <cfRule type="containsText" dxfId="3632" priority="2193" operator="containsText" text="Ear">
      <formula>NOT(ISERROR(SEARCH("Ear",T93)))</formula>
    </cfRule>
    <cfRule type="containsText" dxfId="3631" priority="2194" operator="containsText" text="fnd">
      <formula>NOT(ISERROR(SEARCH("fnd",T93)))</formula>
    </cfRule>
  </conditionalFormatting>
  <conditionalFormatting sqref="T101">
    <cfRule type="containsText" dxfId="3630" priority="2167" operator="containsText" text="Str">
      <formula>NOT(ISERROR(SEARCH("Str",T101)))</formula>
    </cfRule>
    <cfRule type="containsText" dxfId="3629" priority="2168" operator="containsText" text="Ere">
      <formula>NOT(ISERROR(SEARCH("Ere",T101)))</formula>
    </cfRule>
    <cfRule type="containsText" dxfId="3628" priority="2169" operator="containsText" text="Ear">
      <formula>NOT(ISERROR(SEARCH("Ear",T101)))</formula>
    </cfRule>
    <cfRule type="containsText" dxfId="3627" priority="2170" operator="containsText" text="fnd">
      <formula>NOT(ISERROR(SEARCH("fnd",T101)))</formula>
    </cfRule>
  </conditionalFormatting>
  <conditionalFormatting sqref="T109">
    <cfRule type="containsText" dxfId="3626" priority="1731" operator="containsText" text="Str">
      <formula>NOT(ISERROR(SEARCH("Str",T109)))</formula>
    </cfRule>
    <cfRule type="containsText" dxfId="3625" priority="1732" operator="containsText" text="Ere">
      <formula>NOT(ISERROR(SEARCH("Ere",T109)))</formula>
    </cfRule>
    <cfRule type="containsText" dxfId="3624" priority="1733" operator="containsText" text="Ear">
      <formula>NOT(ISERROR(SEARCH("Ear",T109)))</formula>
    </cfRule>
    <cfRule type="containsText" dxfId="3623" priority="1734" operator="containsText" text="fnd">
      <formula>NOT(ISERROR(SEARCH("fnd",T109)))</formula>
    </cfRule>
  </conditionalFormatting>
  <conditionalFormatting sqref="T117">
    <cfRule type="containsText" dxfId="3622" priority="1391" operator="containsText" text="Str">
      <formula>NOT(ISERROR(SEARCH("Str",T117)))</formula>
    </cfRule>
    <cfRule type="containsText" dxfId="3621" priority="1392" operator="containsText" text="Ere">
      <formula>NOT(ISERROR(SEARCH("Ere",T117)))</formula>
    </cfRule>
    <cfRule type="containsText" dxfId="3620" priority="1393" operator="containsText" text="Ear">
      <formula>NOT(ISERROR(SEARCH("Ear",T117)))</formula>
    </cfRule>
    <cfRule type="containsText" dxfId="3619" priority="1394" operator="containsText" text="fnd">
      <formula>NOT(ISERROR(SEARCH("fnd",T117)))</formula>
    </cfRule>
  </conditionalFormatting>
  <conditionalFormatting sqref="T125">
    <cfRule type="containsText" dxfId="3618" priority="571" operator="containsText" text="Str">
      <formula>NOT(ISERROR(SEARCH("Str",T125)))</formula>
    </cfRule>
    <cfRule type="containsText" dxfId="3617" priority="572" operator="containsText" text="Ere">
      <formula>NOT(ISERROR(SEARCH("Ere",T125)))</formula>
    </cfRule>
    <cfRule type="containsText" dxfId="3616" priority="573" operator="containsText" text="Ear">
      <formula>NOT(ISERROR(SEARCH("Ear",T125)))</formula>
    </cfRule>
    <cfRule type="containsText" dxfId="3615" priority="574" operator="containsText" text="fnd">
      <formula>NOT(ISERROR(SEARCH("fnd",T125)))</formula>
    </cfRule>
  </conditionalFormatting>
  <conditionalFormatting sqref="T133">
    <cfRule type="containsText" dxfId="3614" priority="361" operator="containsText" text="Str">
      <formula>NOT(ISERROR(SEARCH("Str",T133)))</formula>
    </cfRule>
    <cfRule type="containsText" dxfId="3613" priority="362" operator="containsText" text="Ere">
      <formula>NOT(ISERROR(SEARCH("Ere",T133)))</formula>
    </cfRule>
    <cfRule type="containsText" dxfId="3612" priority="363" operator="containsText" text="Ear">
      <formula>NOT(ISERROR(SEARCH("Ear",T133)))</formula>
    </cfRule>
    <cfRule type="containsText" dxfId="3611" priority="364" operator="containsText" text="fnd">
      <formula>NOT(ISERROR(SEARCH("fnd",T133)))</formula>
    </cfRule>
  </conditionalFormatting>
  <conditionalFormatting sqref="T141">
    <cfRule type="containsText" dxfId="3610" priority="1251" operator="containsText" text="Str">
      <formula>NOT(ISERROR(SEARCH("Str",T141)))</formula>
    </cfRule>
    <cfRule type="containsText" dxfId="3609" priority="1252" operator="containsText" text="Ere">
      <formula>NOT(ISERROR(SEARCH("Ere",T141)))</formula>
    </cfRule>
    <cfRule type="containsText" dxfId="3608" priority="1253" operator="containsText" text="Ear">
      <formula>NOT(ISERROR(SEARCH("Ear",T141)))</formula>
    </cfRule>
    <cfRule type="containsText" dxfId="3607" priority="1254" operator="containsText" text="fnd">
      <formula>NOT(ISERROR(SEARCH("fnd",T141)))</formula>
    </cfRule>
  </conditionalFormatting>
  <conditionalFormatting sqref="T149">
    <cfRule type="containsText" dxfId="3606" priority="1163" operator="containsText" text="Str">
      <formula>NOT(ISERROR(SEARCH("Str",T149)))</formula>
    </cfRule>
    <cfRule type="containsText" dxfId="3605" priority="1164" operator="containsText" text="Ere">
      <formula>NOT(ISERROR(SEARCH("Ere",T149)))</formula>
    </cfRule>
    <cfRule type="containsText" dxfId="3604" priority="1165" operator="containsText" text="Ear">
      <formula>NOT(ISERROR(SEARCH("Ear",T149)))</formula>
    </cfRule>
    <cfRule type="containsText" dxfId="3603" priority="1166" operator="containsText" text="fnd">
      <formula>NOT(ISERROR(SEARCH("fnd",T149)))</formula>
    </cfRule>
  </conditionalFormatting>
  <conditionalFormatting sqref="T157">
    <cfRule type="containsText" dxfId="3602" priority="1103" operator="containsText" text="Str">
      <formula>NOT(ISERROR(SEARCH("Str",T157)))</formula>
    </cfRule>
    <cfRule type="containsText" dxfId="3601" priority="1104" operator="containsText" text="Ere">
      <formula>NOT(ISERROR(SEARCH("Ere",T157)))</formula>
    </cfRule>
    <cfRule type="containsText" dxfId="3600" priority="1105" operator="containsText" text="Ear">
      <formula>NOT(ISERROR(SEARCH("Ear",T157)))</formula>
    </cfRule>
    <cfRule type="containsText" dxfId="3599" priority="1106" operator="containsText" text="fnd">
      <formula>NOT(ISERROR(SEARCH("fnd",T157)))</formula>
    </cfRule>
  </conditionalFormatting>
  <conditionalFormatting sqref="T165">
    <cfRule type="containsText" dxfId="3598" priority="1039" operator="containsText" text="Str">
      <formula>NOT(ISERROR(SEARCH("Str",T165)))</formula>
    </cfRule>
    <cfRule type="containsText" dxfId="3597" priority="1040" operator="containsText" text="Ere">
      <formula>NOT(ISERROR(SEARCH("Ere",T165)))</formula>
    </cfRule>
    <cfRule type="containsText" dxfId="3596" priority="1041" operator="containsText" text="Ear">
      <formula>NOT(ISERROR(SEARCH("Ear",T165)))</formula>
    </cfRule>
    <cfRule type="containsText" dxfId="3595" priority="1042" operator="containsText" text="fnd">
      <formula>NOT(ISERROR(SEARCH("fnd",T165)))</formula>
    </cfRule>
  </conditionalFormatting>
  <conditionalFormatting sqref="T173">
    <cfRule type="containsText" dxfId="3594" priority="983" operator="containsText" text="Str">
      <formula>NOT(ISERROR(SEARCH("Str",T173)))</formula>
    </cfRule>
    <cfRule type="containsText" dxfId="3593" priority="984" operator="containsText" text="Ere">
      <formula>NOT(ISERROR(SEARCH("Ere",T173)))</formula>
    </cfRule>
    <cfRule type="containsText" dxfId="3592" priority="985" operator="containsText" text="Ear">
      <formula>NOT(ISERROR(SEARCH("Ear",T173)))</formula>
    </cfRule>
    <cfRule type="containsText" dxfId="3591" priority="986" operator="containsText" text="fnd">
      <formula>NOT(ISERROR(SEARCH("fnd",T173)))</formula>
    </cfRule>
  </conditionalFormatting>
  <conditionalFormatting sqref="T181">
    <cfRule type="containsText" dxfId="3590" priority="113" operator="containsText" text="Str">
      <formula>NOT(ISERROR(SEARCH("Str",T181)))</formula>
    </cfRule>
    <cfRule type="containsText" dxfId="3589" priority="114" operator="containsText" text="Ere">
      <formula>NOT(ISERROR(SEARCH("Ere",T181)))</formula>
    </cfRule>
    <cfRule type="containsText" dxfId="3588" priority="115" operator="containsText" text="Ear">
      <formula>NOT(ISERROR(SEARCH("Ear",T181)))</formula>
    </cfRule>
    <cfRule type="containsText" dxfId="3587" priority="116" operator="containsText" text="fnd">
      <formula>NOT(ISERROR(SEARCH("fnd",T181)))</formula>
    </cfRule>
  </conditionalFormatting>
  <conditionalFormatting sqref="T30:U30">
    <cfRule type="containsText" dxfId="3586" priority="329" operator="containsText" text="Str">
      <formula>NOT(ISERROR(SEARCH("Str",T30)))</formula>
    </cfRule>
    <cfRule type="containsText" dxfId="3585" priority="330" operator="containsText" text="Ere">
      <formula>NOT(ISERROR(SEARCH("Ere",T30)))</formula>
    </cfRule>
    <cfRule type="containsText" dxfId="3584" priority="331" operator="containsText" text="Ear">
      <formula>NOT(ISERROR(SEARCH("Ear",T30)))</formula>
    </cfRule>
    <cfRule type="containsText" dxfId="3583" priority="332" operator="containsText" text="fnd">
      <formula>NOT(ISERROR(SEARCH("fnd",T30)))</formula>
    </cfRule>
  </conditionalFormatting>
  <conditionalFormatting sqref="T38:U38">
    <cfRule type="containsText" dxfId="3582" priority="1651" operator="containsText" text="Str">
      <formula>NOT(ISERROR(SEARCH("Str",T38)))</formula>
    </cfRule>
    <cfRule type="containsText" dxfId="3581" priority="1652" operator="containsText" text="Ere">
      <formula>NOT(ISERROR(SEARCH("Ere",T38)))</formula>
    </cfRule>
    <cfRule type="containsText" dxfId="3580" priority="1653" operator="containsText" text="Ear">
      <formula>NOT(ISERROR(SEARCH("Ear",T38)))</formula>
    </cfRule>
    <cfRule type="containsText" dxfId="3579" priority="1654" operator="containsText" text="fnd">
      <formula>NOT(ISERROR(SEARCH("fnd",T38)))</formula>
    </cfRule>
  </conditionalFormatting>
  <conditionalFormatting sqref="T46:U46">
    <cfRule type="containsText" dxfId="3578" priority="1443" operator="containsText" text="Str">
      <formula>NOT(ISERROR(SEARCH("Str",T46)))</formula>
    </cfRule>
    <cfRule type="containsText" dxfId="3577" priority="1444" operator="containsText" text="Ere">
      <formula>NOT(ISERROR(SEARCH("Ere",T46)))</formula>
    </cfRule>
    <cfRule type="containsText" dxfId="3576" priority="1445" operator="containsText" text="Ear">
      <formula>NOT(ISERROR(SEARCH("Ear",T46)))</formula>
    </cfRule>
    <cfRule type="containsText" dxfId="3575" priority="1446" operator="containsText" text="fnd">
      <formula>NOT(ISERROR(SEARCH("fnd",T46)))</formula>
    </cfRule>
  </conditionalFormatting>
  <conditionalFormatting sqref="T54:U54">
    <cfRule type="containsText" dxfId="3574" priority="2275" operator="containsText" text="Str">
      <formula>NOT(ISERROR(SEARCH("Str",T54)))</formula>
    </cfRule>
    <cfRule type="containsText" dxfId="3573" priority="2276" operator="containsText" text="Ere">
      <formula>NOT(ISERROR(SEARCH("Ere",T54)))</formula>
    </cfRule>
    <cfRule type="containsText" dxfId="3572" priority="2277" operator="containsText" text="Ear">
      <formula>NOT(ISERROR(SEARCH("Ear",T54)))</formula>
    </cfRule>
    <cfRule type="containsText" dxfId="3571" priority="2278" operator="containsText" text="fnd">
      <formula>NOT(ISERROR(SEARCH("fnd",T54)))</formula>
    </cfRule>
  </conditionalFormatting>
  <conditionalFormatting sqref="T62:U62">
    <cfRule type="containsText" dxfId="3570" priority="2035" operator="containsText" text="Str">
      <formula>NOT(ISERROR(SEARCH("Str",T62)))</formula>
    </cfRule>
    <cfRule type="containsText" dxfId="3569" priority="2036" operator="containsText" text="Ere">
      <formula>NOT(ISERROR(SEARCH("Ere",T62)))</formula>
    </cfRule>
    <cfRule type="containsText" dxfId="3568" priority="2037" operator="containsText" text="Ear">
      <formula>NOT(ISERROR(SEARCH("Ear",T62)))</formula>
    </cfRule>
    <cfRule type="containsText" dxfId="3567" priority="2038" operator="containsText" text="fnd">
      <formula>NOT(ISERROR(SEARCH("fnd",T62)))</formula>
    </cfRule>
  </conditionalFormatting>
  <conditionalFormatting sqref="T70:U70">
    <cfRule type="containsText" dxfId="3566" priority="2135" operator="containsText" text="Str">
      <formula>NOT(ISERROR(SEARCH("Str",T70)))</formula>
    </cfRule>
    <cfRule type="containsText" dxfId="3565" priority="2136" operator="containsText" text="Ere">
      <formula>NOT(ISERROR(SEARCH("Ere",T70)))</formula>
    </cfRule>
    <cfRule type="containsText" dxfId="3564" priority="2137" operator="containsText" text="Ear">
      <formula>NOT(ISERROR(SEARCH("Ear",T70)))</formula>
    </cfRule>
    <cfRule type="containsText" dxfId="3563" priority="2138" operator="containsText" text="fnd">
      <formula>NOT(ISERROR(SEARCH("fnd",T70)))</formula>
    </cfRule>
  </conditionalFormatting>
  <conditionalFormatting sqref="T86:U86">
    <cfRule type="containsText" dxfId="3562" priority="2143" operator="containsText" text="Str">
      <formula>NOT(ISERROR(SEARCH("Str",T86)))</formula>
    </cfRule>
    <cfRule type="containsText" dxfId="3561" priority="2144" operator="containsText" text="Ere">
      <formula>NOT(ISERROR(SEARCH("Ere",T86)))</formula>
    </cfRule>
    <cfRule type="containsText" dxfId="3560" priority="2145" operator="containsText" text="Ear">
      <formula>NOT(ISERROR(SEARCH("Ear",T86)))</formula>
    </cfRule>
    <cfRule type="containsText" dxfId="3559" priority="2146" operator="containsText" text="fnd">
      <formula>NOT(ISERROR(SEARCH("fnd",T86)))</formula>
    </cfRule>
  </conditionalFormatting>
  <conditionalFormatting sqref="T94:U94">
    <cfRule type="containsText" dxfId="3558" priority="2207" operator="containsText" text="Str">
      <formula>NOT(ISERROR(SEARCH("Str",T94)))</formula>
    </cfRule>
    <cfRule type="containsText" dxfId="3557" priority="2208" operator="containsText" text="Ere">
      <formula>NOT(ISERROR(SEARCH("Ere",T94)))</formula>
    </cfRule>
    <cfRule type="containsText" dxfId="3556" priority="2209" operator="containsText" text="Ear">
      <formula>NOT(ISERROR(SEARCH("Ear",T94)))</formula>
    </cfRule>
    <cfRule type="containsText" dxfId="3555" priority="2210" operator="containsText" text="fnd">
      <formula>NOT(ISERROR(SEARCH("fnd",T94)))</formula>
    </cfRule>
  </conditionalFormatting>
  <conditionalFormatting sqref="T102:U102 W102:X102">
    <cfRule type="containsText" dxfId="3554" priority="2215" operator="containsText" text="Str">
      <formula>NOT(ISERROR(SEARCH("Str",T102)))</formula>
    </cfRule>
    <cfRule type="containsText" dxfId="3553" priority="2216" operator="containsText" text="Ere">
      <formula>NOT(ISERROR(SEARCH("Ere",T102)))</formula>
    </cfRule>
    <cfRule type="containsText" dxfId="3552" priority="2217" operator="containsText" text="Ear">
      <formula>NOT(ISERROR(SEARCH("Ear",T102)))</formula>
    </cfRule>
    <cfRule type="containsText" dxfId="3551" priority="2218" operator="containsText" text="fnd">
      <formula>NOT(ISERROR(SEARCH("fnd",T102)))</formula>
    </cfRule>
  </conditionalFormatting>
  <conditionalFormatting sqref="T110:U110">
    <cfRule type="containsText" dxfId="3550" priority="1735" operator="containsText" text="Str">
      <formula>NOT(ISERROR(SEARCH("Str",T110)))</formula>
    </cfRule>
    <cfRule type="containsText" dxfId="3549" priority="1736" operator="containsText" text="Ere">
      <formula>NOT(ISERROR(SEARCH("Ere",T110)))</formula>
    </cfRule>
    <cfRule type="containsText" dxfId="3548" priority="1737" operator="containsText" text="Ear">
      <formula>NOT(ISERROR(SEARCH("Ear",T110)))</formula>
    </cfRule>
    <cfRule type="containsText" dxfId="3547" priority="1738" operator="containsText" text="fnd">
      <formula>NOT(ISERROR(SEARCH("fnd",T110)))</formula>
    </cfRule>
  </conditionalFormatting>
  <conditionalFormatting sqref="T118:U118">
    <cfRule type="containsText" dxfId="3546" priority="1395" operator="containsText" text="Str">
      <formula>NOT(ISERROR(SEARCH("Str",T118)))</formula>
    </cfRule>
    <cfRule type="containsText" dxfId="3545" priority="1396" operator="containsText" text="Ere">
      <formula>NOT(ISERROR(SEARCH("Ere",T118)))</formula>
    </cfRule>
    <cfRule type="containsText" dxfId="3544" priority="1397" operator="containsText" text="Ear">
      <formula>NOT(ISERROR(SEARCH("Ear",T118)))</formula>
    </cfRule>
    <cfRule type="containsText" dxfId="3543" priority="1398" operator="containsText" text="fnd">
      <formula>NOT(ISERROR(SEARCH("fnd",T118)))</formula>
    </cfRule>
  </conditionalFormatting>
  <conditionalFormatting sqref="T126:U126">
    <cfRule type="containsText" dxfId="3542" priority="575" operator="containsText" text="Str">
      <formula>NOT(ISERROR(SEARCH("Str",T126)))</formula>
    </cfRule>
    <cfRule type="containsText" dxfId="3541" priority="576" operator="containsText" text="Ere">
      <formula>NOT(ISERROR(SEARCH("Ere",T126)))</formula>
    </cfRule>
    <cfRule type="containsText" dxfId="3540" priority="577" operator="containsText" text="Ear">
      <formula>NOT(ISERROR(SEARCH("Ear",T126)))</formula>
    </cfRule>
    <cfRule type="containsText" dxfId="3539" priority="578" operator="containsText" text="fnd">
      <formula>NOT(ISERROR(SEARCH("fnd",T126)))</formula>
    </cfRule>
  </conditionalFormatting>
  <conditionalFormatting sqref="T142:U142">
    <cfRule type="containsText" dxfId="3538" priority="1255" operator="containsText" text="Str">
      <formula>NOT(ISERROR(SEARCH("Str",T142)))</formula>
    </cfRule>
    <cfRule type="containsText" dxfId="3537" priority="1256" operator="containsText" text="Ere">
      <formula>NOT(ISERROR(SEARCH("Ere",T142)))</formula>
    </cfRule>
    <cfRule type="containsText" dxfId="3536" priority="1257" operator="containsText" text="Ear">
      <formula>NOT(ISERROR(SEARCH("Ear",T142)))</formula>
    </cfRule>
    <cfRule type="containsText" dxfId="3535" priority="1258" operator="containsText" text="fnd">
      <formula>NOT(ISERROR(SEARCH("fnd",T142)))</formula>
    </cfRule>
  </conditionalFormatting>
  <conditionalFormatting sqref="T150:U150">
    <cfRule type="containsText" dxfId="3534" priority="1167" operator="containsText" text="Str">
      <formula>NOT(ISERROR(SEARCH("Str",T150)))</formula>
    </cfRule>
    <cfRule type="containsText" dxfId="3533" priority="1168" operator="containsText" text="Ere">
      <formula>NOT(ISERROR(SEARCH("Ere",T150)))</formula>
    </cfRule>
    <cfRule type="containsText" dxfId="3532" priority="1169" operator="containsText" text="Ear">
      <formula>NOT(ISERROR(SEARCH("Ear",T150)))</formula>
    </cfRule>
    <cfRule type="containsText" dxfId="3531" priority="1170" operator="containsText" text="fnd">
      <formula>NOT(ISERROR(SEARCH("fnd",T150)))</formula>
    </cfRule>
  </conditionalFormatting>
  <conditionalFormatting sqref="T158:U158">
    <cfRule type="containsText" dxfId="3530" priority="1107" operator="containsText" text="Str">
      <formula>NOT(ISERROR(SEARCH("Str",T158)))</formula>
    </cfRule>
    <cfRule type="containsText" dxfId="3529" priority="1108" operator="containsText" text="Ere">
      <formula>NOT(ISERROR(SEARCH("Ere",T158)))</formula>
    </cfRule>
    <cfRule type="containsText" dxfId="3528" priority="1109" operator="containsText" text="Ear">
      <formula>NOT(ISERROR(SEARCH("Ear",T158)))</formula>
    </cfRule>
    <cfRule type="containsText" dxfId="3527" priority="1110" operator="containsText" text="fnd">
      <formula>NOT(ISERROR(SEARCH("fnd",T158)))</formula>
    </cfRule>
  </conditionalFormatting>
  <conditionalFormatting sqref="T166:U166">
    <cfRule type="containsText" dxfId="3526" priority="1043" operator="containsText" text="Str">
      <formula>NOT(ISERROR(SEARCH("Str",T166)))</formula>
    </cfRule>
    <cfRule type="containsText" dxfId="3525" priority="1044" operator="containsText" text="Ere">
      <formula>NOT(ISERROR(SEARCH("Ere",T166)))</formula>
    </cfRule>
    <cfRule type="containsText" dxfId="3524" priority="1045" operator="containsText" text="Ear">
      <formula>NOT(ISERROR(SEARCH("Ear",T166)))</formula>
    </cfRule>
    <cfRule type="containsText" dxfId="3523" priority="1046" operator="containsText" text="fnd">
      <formula>NOT(ISERROR(SEARCH("fnd",T166)))</formula>
    </cfRule>
  </conditionalFormatting>
  <conditionalFormatting sqref="T174:U174">
    <cfRule type="containsText" dxfId="3522" priority="987" operator="containsText" text="Str">
      <formula>NOT(ISERROR(SEARCH("Str",T174)))</formula>
    </cfRule>
    <cfRule type="containsText" dxfId="3521" priority="988" operator="containsText" text="Ere">
      <formula>NOT(ISERROR(SEARCH("Ere",T174)))</formula>
    </cfRule>
    <cfRule type="containsText" dxfId="3520" priority="989" operator="containsText" text="Ear">
      <formula>NOT(ISERROR(SEARCH("Ear",T174)))</formula>
    </cfRule>
    <cfRule type="containsText" dxfId="3519" priority="990" operator="containsText" text="fnd">
      <formula>NOT(ISERROR(SEARCH("fnd",T174)))</formula>
    </cfRule>
  </conditionalFormatting>
  <conditionalFormatting sqref="T182:U182">
    <cfRule type="containsText" dxfId="3518" priority="117" operator="containsText" text="Str">
      <formula>NOT(ISERROR(SEARCH("Str",T182)))</formula>
    </cfRule>
    <cfRule type="containsText" dxfId="3517" priority="118" operator="containsText" text="Ere">
      <formula>NOT(ISERROR(SEARCH("Ere",T182)))</formula>
    </cfRule>
    <cfRule type="containsText" dxfId="3516" priority="119" operator="containsText" text="Ear">
      <formula>NOT(ISERROR(SEARCH("Ear",T182)))</formula>
    </cfRule>
    <cfRule type="containsText" dxfId="3515" priority="120" operator="containsText" text="fnd">
      <formula>NOT(ISERROR(SEARCH("fnd",T182)))</formula>
    </cfRule>
  </conditionalFormatting>
  <conditionalFormatting sqref="U14">
    <cfRule type="containsText" dxfId="3514" priority="417" operator="containsText" text="Str">
      <formula>NOT(ISERROR(SEARCH("Str",U14)))</formula>
    </cfRule>
    <cfRule type="containsText" dxfId="3513" priority="418" operator="containsText" text="Ere">
      <formula>NOT(ISERROR(SEARCH("Ere",U14)))</formula>
    </cfRule>
    <cfRule type="containsText" dxfId="3512" priority="419" operator="containsText" text="Ear">
      <formula>NOT(ISERROR(SEARCH("Ear",U14)))</formula>
    </cfRule>
    <cfRule type="containsText" dxfId="3511" priority="420" operator="containsText" text="fnd">
      <formula>NOT(ISERROR(SEARCH("fnd",U14)))</formula>
    </cfRule>
  </conditionalFormatting>
  <conditionalFormatting sqref="U22">
    <cfRule type="containsText" dxfId="3510" priority="1503" operator="containsText" text="Str">
      <formula>NOT(ISERROR(SEARCH("Str",U22)))</formula>
    </cfRule>
    <cfRule type="containsText" dxfId="3509" priority="1504" operator="containsText" text="Ere">
      <formula>NOT(ISERROR(SEARCH("Ere",U22)))</formula>
    </cfRule>
    <cfRule type="containsText" dxfId="3508" priority="1505" operator="containsText" text="Ear">
      <formula>NOT(ISERROR(SEARCH("Ear",U22)))</formula>
    </cfRule>
    <cfRule type="containsText" dxfId="3507" priority="1506" operator="containsText" text="fnd">
      <formula>NOT(ISERROR(SEARCH("fnd",U22)))</formula>
    </cfRule>
  </conditionalFormatting>
  <conditionalFormatting sqref="U78">
    <cfRule type="containsText" dxfId="3506" priority="317" operator="containsText" text="Str">
      <formula>NOT(ISERROR(SEARCH("Str",U78)))</formula>
    </cfRule>
    <cfRule type="containsText" dxfId="3505" priority="318" operator="containsText" text="Ere">
      <formula>NOT(ISERROR(SEARCH("Ere",U78)))</formula>
    </cfRule>
    <cfRule type="containsText" dxfId="3504" priority="319" operator="containsText" text="Ear">
      <formula>NOT(ISERROR(SEARCH("Ear",U78)))</formula>
    </cfRule>
    <cfRule type="containsText" dxfId="3503" priority="320" operator="containsText" text="fnd">
      <formula>NOT(ISERROR(SEARCH("fnd",U78)))</formula>
    </cfRule>
  </conditionalFormatting>
  <conditionalFormatting sqref="W5">
    <cfRule type="containsText" dxfId="3502" priority="157" operator="containsText" text="Str">
      <formula>NOT(ISERROR(SEARCH("Str",W5)))</formula>
    </cfRule>
    <cfRule type="containsText" dxfId="3501" priority="158" operator="containsText" text="Ere">
      <formula>NOT(ISERROR(SEARCH("Ere",W5)))</formula>
    </cfRule>
    <cfRule type="containsText" dxfId="3500" priority="159" operator="containsText" text="Ear">
      <formula>NOT(ISERROR(SEARCH("Ear",W5)))</formula>
    </cfRule>
    <cfRule type="containsText" dxfId="3499" priority="160" operator="containsText" text="fnd">
      <formula>NOT(ISERROR(SEARCH("fnd",W5)))</formula>
    </cfRule>
  </conditionalFormatting>
  <conditionalFormatting sqref="W13:W14">
    <cfRule type="containsText" dxfId="3498" priority="1675" operator="containsText" text="Str">
      <formula>NOT(ISERROR(SEARCH("Str",W13)))</formula>
    </cfRule>
    <cfRule type="containsText" dxfId="3497" priority="1676" operator="containsText" text="Ere">
      <formula>NOT(ISERROR(SEARCH("Ere",W13)))</formula>
    </cfRule>
    <cfRule type="containsText" dxfId="3496" priority="1677" operator="containsText" text="Ear">
      <formula>NOT(ISERROR(SEARCH("Ear",W13)))</formula>
    </cfRule>
    <cfRule type="containsText" dxfId="3495" priority="1678" operator="containsText" text="fnd">
      <formula>NOT(ISERROR(SEARCH("fnd",W13)))</formula>
    </cfRule>
  </conditionalFormatting>
  <conditionalFormatting sqref="W21:W22">
    <cfRule type="containsText" dxfId="3494" priority="1743" operator="containsText" text="Str">
      <formula>NOT(ISERROR(SEARCH("Str",W21)))</formula>
    </cfRule>
    <cfRule type="containsText" dxfId="3493" priority="1744" operator="containsText" text="Ere">
      <formula>NOT(ISERROR(SEARCH("Ere",W21)))</formula>
    </cfRule>
    <cfRule type="containsText" dxfId="3492" priority="1745" operator="containsText" text="Ear">
      <formula>NOT(ISERROR(SEARCH("Ear",W21)))</formula>
    </cfRule>
    <cfRule type="containsText" dxfId="3491" priority="1746" operator="containsText" text="fnd">
      <formula>NOT(ISERROR(SEARCH("fnd",W21)))</formula>
    </cfRule>
  </conditionalFormatting>
  <conditionalFormatting sqref="W29">
    <cfRule type="containsText" dxfId="3490" priority="851" operator="containsText" text="Str">
      <formula>NOT(ISERROR(SEARCH("Str",W29)))</formula>
    </cfRule>
    <cfRule type="containsText" dxfId="3489" priority="852" operator="containsText" text="Ere">
      <formula>NOT(ISERROR(SEARCH("Ere",W29)))</formula>
    </cfRule>
    <cfRule type="containsText" dxfId="3488" priority="853" operator="containsText" text="Ear">
      <formula>NOT(ISERROR(SEARCH("Ear",W29)))</formula>
    </cfRule>
    <cfRule type="containsText" dxfId="3487" priority="854" operator="containsText" text="fnd">
      <formula>NOT(ISERROR(SEARCH("fnd",W29)))</formula>
    </cfRule>
  </conditionalFormatting>
  <conditionalFormatting sqref="W37">
    <cfRule type="containsText" dxfId="3486" priority="373" operator="containsText" text="Str">
      <formula>NOT(ISERROR(SEARCH("Str",W37)))</formula>
    </cfRule>
    <cfRule type="containsText" dxfId="3485" priority="374" operator="containsText" text="Ere">
      <formula>NOT(ISERROR(SEARCH("Ere",W37)))</formula>
    </cfRule>
    <cfRule type="containsText" dxfId="3484" priority="375" operator="containsText" text="Ear">
      <formula>NOT(ISERROR(SEARCH("Ear",W37)))</formula>
    </cfRule>
    <cfRule type="containsText" dxfId="3483" priority="376" operator="containsText" text="fnd">
      <formula>NOT(ISERROR(SEARCH("fnd",W37)))</formula>
    </cfRule>
  </conditionalFormatting>
  <conditionalFormatting sqref="W53">
    <cfRule type="containsText" dxfId="3482" priority="561" operator="containsText" text="Str">
      <formula>NOT(ISERROR(SEARCH("Str",W53)))</formula>
    </cfRule>
    <cfRule type="containsText" dxfId="3481" priority="562" operator="containsText" text="Ere">
      <formula>NOT(ISERROR(SEARCH("Ere",W53)))</formula>
    </cfRule>
    <cfRule type="containsText" dxfId="3480" priority="563" operator="containsText" text="Ear">
      <formula>NOT(ISERROR(SEARCH("Ear",W53)))</formula>
    </cfRule>
    <cfRule type="containsText" dxfId="3479" priority="564" operator="containsText" text="fnd">
      <formula>NOT(ISERROR(SEARCH("fnd",W53)))</formula>
    </cfRule>
  </conditionalFormatting>
  <conditionalFormatting sqref="W61">
    <cfRule type="containsText" dxfId="3478" priority="771" operator="containsText" text="Str">
      <formula>NOT(ISERROR(SEARCH("Str",W61)))</formula>
    </cfRule>
    <cfRule type="containsText" dxfId="3477" priority="772" operator="containsText" text="Ere">
      <formula>NOT(ISERROR(SEARCH("Ere",W61)))</formula>
    </cfRule>
    <cfRule type="containsText" dxfId="3476" priority="773" operator="containsText" text="Ear">
      <formula>NOT(ISERROR(SEARCH("Ear",W61)))</formula>
    </cfRule>
    <cfRule type="containsText" dxfId="3475" priority="774" operator="containsText" text="fnd">
      <formula>NOT(ISERROR(SEARCH("fnd",W61)))</formula>
    </cfRule>
  </conditionalFormatting>
  <conditionalFormatting sqref="W85">
    <cfRule type="containsText" dxfId="3474" priority="667" operator="containsText" text="Str">
      <formula>NOT(ISERROR(SEARCH("Str",W85)))</formula>
    </cfRule>
    <cfRule type="containsText" dxfId="3473" priority="668" operator="containsText" text="Ere">
      <formula>NOT(ISERROR(SEARCH("Ere",W85)))</formula>
    </cfRule>
    <cfRule type="containsText" dxfId="3472" priority="669" operator="containsText" text="Ear">
      <formula>NOT(ISERROR(SEARCH("Ear",W85)))</formula>
    </cfRule>
    <cfRule type="containsText" dxfId="3471" priority="670" operator="containsText" text="fnd">
      <formula>NOT(ISERROR(SEARCH("fnd",W85)))</formula>
    </cfRule>
  </conditionalFormatting>
  <conditionalFormatting sqref="W93">
    <cfRule type="containsText" dxfId="3470" priority="1495" operator="containsText" text="Str">
      <formula>NOT(ISERROR(SEARCH("Str",W93)))</formula>
    </cfRule>
    <cfRule type="containsText" dxfId="3469" priority="1496" operator="containsText" text="Ere">
      <formula>NOT(ISERROR(SEARCH("Ere",W93)))</formula>
    </cfRule>
    <cfRule type="containsText" dxfId="3468" priority="1497" operator="containsText" text="Ear">
      <formula>NOT(ISERROR(SEARCH("Ear",W93)))</formula>
    </cfRule>
    <cfRule type="containsText" dxfId="3467" priority="1498" operator="containsText" text="fnd">
      <formula>NOT(ISERROR(SEARCH("fnd",W93)))</formula>
    </cfRule>
  </conditionalFormatting>
  <conditionalFormatting sqref="W101">
    <cfRule type="containsText" dxfId="3466" priority="2171" operator="containsText" text="Str">
      <formula>NOT(ISERROR(SEARCH("Str",W101)))</formula>
    </cfRule>
    <cfRule type="containsText" dxfId="3465" priority="2172" operator="containsText" text="Ere">
      <formula>NOT(ISERROR(SEARCH("Ere",W101)))</formula>
    </cfRule>
    <cfRule type="containsText" dxfId="3464" priority="2173" operator="containsText" text="Ear">
      <formula>NOT(ISERROR(SEARCH("Ear",W101)))</formula>
    </cfRule>
    <cfRule type="containsText" dxfId="3463" priority="2174" operator="containsText" text="fnd">
      <formula>NOT(ISERROR(SEARCH("fnd",W101)))</formula>
    </cfRule>
  </conditionalFormatting>
  <conditionalFormatting sqref="W109">
    <cfRule type="containsText" dxfId="3462" priority="1707" operator="containsText" text="Str">
      <formula>NOT(ISERROR(SEARCH("Str",W109)))</formula>
    </cfRule>
    <cfRule type="containsText" dxfId="3461" priority="1708" operator="containsText" text="Ere">
      <formula>NOT(ISERROR(SEARCH("Ere",W109)))</formula>
    </cfRule>
    <cfRule type="containsText" dxfId="3460" priority="1709" operator="containsText" text="Ear">
      <formula>NOT(ISERROR(SEARCH("Ear",W109)))</formula>
    </cfRule>
    <cfRule type="containsText" dxfId="3459" priority="1710" operator="containsText" text="fnd">
      <formula>NOT(ISERROR(SEARCH("fnd",W109)))</formula>
    </cfRule>
  </conditionalFormatting>
  <conditionalFormatting sqref="W117">
    <cfRule type="containsText" dxfId="3458" priority="409" operator="containsText" text="Str">
      <formula>NOT(ISERROR(SEARCH("Str",W117)))</formula>
    </cfRule>
    <cfRule type="containsText" dxfId="3457" priority="410" operator="containsText" text="Ere">
      <formula>NOT(ISERROR(SEARCH("Ere",W117)))</formula>
    </cfRule>
    <cfRule type="containsText" dxfId="3456" priority="411" operator="containsText" text="Ear">
      <formula>NOT(ISERROR(SEARCH("Ear",W117)))</formula>
    </cfRule>
    <cfRule type="containsText" dxfId="3455" priority="412" operator="containsText" text="fnd">
      <formula>NOT(ISERROR(SEARCH("fnd",W117)))</formula>
    </cfRule>
  </conditionalFormatting>
  <conditionalFormatting sqref="W122 W130 W138 W154 W162 W178">
    <cfRule type="containsText" dxfId="3454" priority="1999" operator="containsText" text="Str">
      <formula>NOT(ISERROR(SEARCH("Str",W122)))</formula>
    </cfRule>
    <cfRule type="containsText" dxfId="3453" priority="2000" operator="containsText" text="Ere">
      <formula>NOT(ISERROR(SEARCH("Ere",W122)))</formula>
    </cfRule>
    <cfRule type="containsText" dxfId="3452" priority="2001" operator="containsText" text="Ear">
      <formula>NOT(ISERROR(SEARCH("Ear",W122)))</formula>
    </cfRule>
    <cfRule type="containsText" dxfId="3451" priority="2002" operator="containsText" text="fnd">
      <formula>NOT(ISERROR(SEARCH("fnd",W122)))</formula>
    </cfRule>
  </conditionalFormatting>
  <conditionalFormatting sqref="W133">
    <cfRule type="containsText" dxfId="3450" priority="1319" operator="containsText" text="Str">
      <formula>NOT(ISERROR(SEARCH("Str",W133)))</formula>
    </cfRule>
    <cfRule type="containsText" dxfId="3449" priority="1320" operator="containsText" text="Ere">
      <formula>NOT(ISERROR(SEARCH("Ere",W133)))</formula>
    </cfRule>
    <cfRule type="containsText" dxfId="3448" priority="1321" operator="containsText" text="Ear">
      <formula>NOT(ISERROR(SEARCH("Ear",W133)))</formula>
    </cfRule>
    <cfRule type="containsText" dxfId="3447" priority="1322" operator="containsText" text="fnd">
      <formula>NOT(ISERROR(SEARCH("fnd",W133)))</formula>
    </cfRule>
  </conditionalFormatting>
  <conditionalFormatting sqref="W141">
    <cfRule type="containsText" dxfId="3446" priority="1227" operator="containsText" text="Str">
      <formula>NOT(ISERROR(SEARCH("Str",W141)))</formula>
    </cfRule>
    <cfRule type="containsText" dxfId="3445" priority="1228" operator="containsText" text="Ere">
      <formula>NOT(ISERROR(SEARCH("Ere",W141)))</formula>
    </cfRule>
    <cfRule type="containsText" dxfId="3444" priority="1229" operator="containsText" text="Ear">
      <formula>NOT(ISERROR(SEARCH("Ear",W141)))</formula>
    </cfRule>
    <cfRule type="containsText" dxfId="3443" priority="1230" operator="containsText" text="fnd">
      <formula>NOT(ISERROR(SEARCH("fnd",W141)))</formula>
    </cfRule>
  </conditionalFormatting>
  <conditionalFormatting sqref="W149">
    <cfRule type="containsText" dxfId="3442" priority="309" operator="containsText" text="Str">
      <formula>NOT(ISERROR(SEARCH("Str",W149)))</formula>
    </cfRule>
    <cfRule type="containsText" dxfId="3441" priority="310" operator="containsText" text="Ere">
      <formula>NOT(ISERROR(SEARCH("Ere",W149)))</formula>
    </cfRule>
    <cfRule type="containsText" dxfId="3440" priority="311" operator="containsText" text="Ear">
      <formula>NOT(ISERROR(SEARCH("Ear",W149)))</formula>
    </cfRule>
    <cfRule type="containsText" dxfId="3439" priority="312" operator="containsText" text="fnd">
      <formula>NOT(ISERROR(SEARCH("fnd",W149)))</formula>
    </cfRule>
  </conditionalFormatting>
  <conditionalFormatting sqref="W157">
    <cfRule type="containsText" dxfId="3438" priority="743" operator="containsText" text="Str">
      <formula>NOT(ISERROR(SEARCH("Str",W157)))</formula>
    </cfRule>
    <cfRule type="containsText" dxfId="3437" priority="744" operator="containsText" text="Ere">
      <formula>NOT(ISERROR(SEARCH("Ere",W157)))</formula>
    </cfRule>
    <cfRule type="containsText" dxfId="3436" priority="745" operator="containsText" text="Ear">
      <formula>NOT(ISERROR(SEARCH("Ear",W157)))</formula>
    </cfRule>
    <cfRule type="containsText" dxfId="3435" priority="746" operator="containsText" text="fnd">
      <formula>NOT(ISERROR(SEARCH("fnd",W157)))</formula>
    </cfRule>
  </conditionalFormatting>
  <conditionalFormatting sqref="W165">
    <cfRule type="containsText" dxfId="3434" priority="453" operator="containsText" text="Str">
      <formula>NOT(ISERROR(SEARCH("Str",W165)))</formula>
    </cfRule>
    <cfRule type="containsText" dxfId="3433" priority="454" operator="containsText" text="Ere">
      <formula>NOT(ISERROR(SEARCH("Ere",W165)))</formula>
    </cfRule>
    <cfRule type="containsText" dxfId="3432" priority="455" operator="containsText" text="Ear">
      <formula>NOT(ISERROR(SEARCH("Ear",W165)))</formula>
    </cfRule>
    <cfRule type="containsText" dxfId="3431" priority="456" operator="containsText" text="fnd">
      <formula>NOT(ISERROR(SEARCH("fnd",W165)))</formula>
    </cfRule>
  </conditionalFormatting>
  <conditionalFormatting sqref="W173">
    <cfRule type="containsText" dxfId="3430" priority="425" operator="containsText" text="Str">
      <formula>NOT(ISERROR(SEARCH("Str",W173)))</formula>
    </cfRule>
    <cfRule type="containsText" dxfId="3429" priority="426" operator="containsText" text="Ere">
      <formula>NOT(ISERROR(SEARCH("Ere",W173)))</formula>
    </cfRule>
    <cfRule type="containsText" dxfId="3428" priority="427" operator="containsText" text="Ear">
      <formula>NOT(ISERROR(SEARCH("Ear",W173)))</formula>
    </cfRule>
    <cfRule type="containsText" dxfId="3427" priority="428" operator="containsText" text="fnd">
      <formula>NOT(ISERROR(SEARCH("fnd",W173)))</formula>
    </cfRule>
  </conditionalFormatting>
  <conditionalFormatting sqref="W181">
    <cfRule type="containsText" dxfId="3426" priority="105" operator="containsText" text="Str">
      <formula>NOT(ISERROR(SEARCH("Str",W181)))</formula>
    </cfRule>
    <cfRule type="containsText" dxfId="3425" priority="106" operator="containsText" text="Ere">
      <formula>NOT(ISERROR(SEARCH("Ere",W181)))</formula>
    </cfRule>
    <cfRule type="containsText" dxfId="3424" priority="107" operator="containsText" text="Ear">
      <formula>NOT(ISERROR(SEARCH("Ear",W181)))</formula>
    </cfRule>
    <cfRule type="containsText" dxfId="3423" priority="108" operator="containsText" text="fnd">
      <formula>NOT(ISERROR(SEARCH("fnd",W181)))</formula>
    </cfRule>
  </conditionalFormatting>
  <conditionalFormatting sqref="W38:X38">
    <cfRule type="containsText" dxfId="3422" priority="377" operator="containsText" text="Str">
      <formula>NOT(ISERROR(SEARCH("Str",W38)))</formula>
    </cfRule>
    <cfRule type="containsText" dxfId="3421" priority="378" operator="containsText" text="Ere">
      <formula>NOT(ISERROR(SEARCH("Ere",W38)))</formula>
    </cfRule>
    <cfRule type="containsText" dxfId="3420" priority="379" operator="containsText" text="Ear">
      <formula>NOT(ISERROR(SEARCH("Ear",W38)))</formula>
    </cfRule>
    <cfRule type="containsText" dxfId="3419" priority="380" operator="containsText" text="fnd">
      <formula>NOT(ISERROR(SEARCH("fnd",W38)))</formula>
    </cfRule>
  </conditionalFormatting>
  <conditionalFormatting sqref="W46:X46">
    <cfRule type="containsText" dxfId="3418" priority="1439" operator="containsText" text="Str">
      <formula>NOT(ISERROR(SEARCH("Str",W46)))</formula>
    </cfRule>
    <cfRule type="containsText" dxfId="3417" priority="1440" operator="containsText" text="Ere">
      <formula>NOT(ISERROR(SEARCH("Ere",W46)))</formula>
    </cfRule>
    <cfRule type="containsText" dxfId="3416" priority="1441" operator="containsText" text="Ear">
      <formula>NOT(ISERROR(SEARCH("Ear",W46)))</formula>
    </cfRule>
    <cfRule type="containsText" dxfId="3415" priority="1442" operator="containsText" text="fnd">
      <formula>NOT(ISERROR(SEARCH("fnd",W46)))</formula>
    </cfRule>
  </conditionalFormatting>
  <conditionalFormatting sqref="W54:X54">
    <cfRule type="containsText" dxfId="3414" priority="565" operator="containsText" text="Str">
      <formula>NOT(ISERROR(SEARCH("Str",W54)))</formula>
    </cfRule>
    <cfRule type="containsText" dxfId="3413" priority="566" operator="containsText" text="Ere">
      <formula>NOT(ISERROR(SEARCH("Ere",W54)))</formula>
    </cfRule>
    <cfRule type="containsText" dxfId="3412" priority="567" operator="containsText" text="Ear">
      <formula>NOT(ISERROR(SEARCH("Ear",W54)))</formula>
    </cfRule>
    <cfRule type="containsText" dxfId="3411" priority="568" operator="containsText" text="fnd">
      <formula>NOT(ISERROR(SEARCH("fnd",W54)))</formula>
    </cfRule>
  </conditionalFormatting>
  <conditionalFormatting sqref="W70:X70">
    <cfRule type="containsText" dxfId="3410" priority="285" operator="containsText" text="Str">
      <formula>NOT(ISERROR(SEARCH("Str",W70)))</formula>
    </cfRule>
    <cfRule type="containsText" dxfId="3409" priority="286" operator="containsText" text="Ere">
      <formula>NOT(ISERROR(SEARCH("Ere",W70)))</formula>
    </cfRule>
    <cfRule type="containsText" dxfId="3408" priority="287" operator="containsText" text="Ear">
      <formula>NOT(ISERROR(SEARCH("Ear",W70)))</formula>
    </cfRule>
    <cfRule type="containsText" dxfId="3407" priority="288" operator="containsText" text="fnd">
      <formula>NOT(ISERROR(SEARCH("fnd",W70)))</formula>
    </cfRule>
  </conditionalFormatting>
  <conditionalFormatting sqref="W77:X78">
    <cfRule type="containsText" dxfId="3406" priority="2111" operator="containsText" text="Str">
      <formula>NOT(ISERROR(SEARCH("Str",W77)))</formula>
    </cfRule>
    <cfRule type="containsText" dxfId="3405" priority="2112" operator="containsText" text="Ere">
      <formula>NOT(ISERROR(SEARCH("Ere",W77)))</formula>
    </cfRule>
    <cfRule type="containsText" dxfId="3404" priority="2113" operator="containsText" text="Ear">
      <formula>NOT(ISERROR(SEARCH("Ear",W77)))</formula>
    </cfRule>
    <cfRule type="containsText" dxfId="3403" priority="2114" operator="containsText" text="fnd">
      <formula>NOT(ISERROR(SEARCH("fnd",W77)))</formula>
    </cfRule>
  </conditionalFormatting>
  <conditionalFormatting sqref="W86:X86">
    <cfRule type="containsText" dxfId="3402" priority="671" operator="containsText" text="Str">
      <formula>NOT(ISERROR(SEARCH("Str",W86)))</formula>
    </cfRule>
    <cfRule type="containsText" dxfId="3401" priority="672" operator="containsText" text="Ere">
      <formula>NOT(ISERROR(SEARCH("Ere",W86)))</formula>
    </cfRule>
    <cfRule type="containsText" dxfId="3400" priority="673" operator="containsText" text="Ear">
      <formula>NOT(ISERROR(SEARCH("Ear",W86)))</formula>
    </cfRule>
    <cfRule type="containsText" dxfId="3399" priority="674" operator="containsText" text="fnd">
      <formula>NOT(ISERROR(SEARCH("fnd",W86)))</formula>
    </cfRule>
  </conditionalFormatting>
  <conditionalFormatting sqref="W94:X94">
    <cfRule type="containsText" dxfId="3398" priority="1499" operator="containsText" text="Str">
      <formula>NOT(ISERROR(SEARCH("Str",W94)))</formula>
    </cfRule>
    <cfRule type="containsText" dxfId="3397" priority="1500" operator="containsText" text="Ere">
      <formula>NOT(ISERROR(SEARCH("Ere",W94)))</formula>
    </cfRule>
    <cfRule type="containsText" dxfId="3396" priority="1501" operator="containsText" text="Ear">
      <formula>NOT(ISERROR(SEARCH("Ear",W94)))</formula>
    </cfRule>
    <cfRule type="containsText" dxfId="3395" priority="1502" operator="containsText" text="fnd">
      <formula>NOT(ISERROR(SEARCH("fnd",W94)))</formula>
    </cfRule>
  </conditionalFormatting>
  <conditionalFormatting sqref="W110:X110">
    <cfRule type="containsText" dxfId="3394" priority="1711" operator="containsText" text="Str">
      <formula>NOT(ISERROR(SEARCH("Str",W110)))</formula>
    </cfRule>
    <cfRule type="containsText" dxfId="3393" priority="1712" operator="containsText" text="Ere">
      <formula>NOT(ISERROR(SEARCH("Ere",W110)))</formula>
    </cfRule>
    <cfRule type="containsText" dxfId="3392" priority="1713" operator="containsText" text="Ear">
      <formula>NOT(ISERROR(SEARCH("Ear",W110)))</formula>
    </cfRule>
    <cfRule type="containsText" dxfId="3391" priority="1714" operator="containsText" text="fnd">
      <formula>NOT(ISERROR(SEARCH("fnd",W110)))</formula>
    </cfRule>
  </conditionalFormatting>
  <conditionalFormatting sqref="W118:X118">
    <cfRule type="containsText" dxfId="3390" priority="413" operator="containsText" text="Str">
      <formula>NOT(ISERROR(SEARCH("Str",W118)))</formula>
    </cfRule>
    <cfRule type="containsText" dxfId="3389" priority="414" operator="containsText" text="Ere">
      <formula>NOT(ISERROR(SEARCH("Ere",W118)))</formula>
    </cfRule>
    <cfRule type="containsText" dxfId="3388" priority="415" operator="containsText" text="Ear">
      <formula>NOT(ISERROR(SEARCH("Ear",W118)))</formula>
    </cfRule>
    <cfRule type="containsText" dxfId="3387" priority="416" operator="containsText" text="fnd">
      <formula>NOT(ISERROR(SEARCH("fnd",W118)))</formula>
    </cfRule>
  </conditionalFormatting>
  <conditionalFormatting sqref="W134:X134">
    <cfRule type="containsText" dxfId="3386" priority="1323" operator="containsText" text="Str">
      <formula>NOT(ISERROR(SEARCH("Str",W134)))</formula>
    </cfRule>
    <cfRule type="containsText" dxfId="3385" priority="1324" operator="containsText" text="Ere">
      <formula>NOT(ISERROR(SEARCH("Ere",W134)))</formula>
    </cfRule>
    <cfRule type="containsText" dxfId="3384" priority="1325" operator="containsText" text="Ear">
      <formula>NOT(ISERROR(SEARCH("Ear",W134)))</formula>
    </cfRule>
    <cfRule type="containsText" dxfId="3383" priority="1326" operator="containsText" text="fnd">
      <formula>NOT(ISERROR(SEARCH("fnd",W134)))</formula>
    </cfRule>
  </conditionalFormatting>
  <conditionalFormatting sqref="W142:X142">
    <cfRule type="containsText" dxfId="3382" priority="1231" operator="containsText" text="Str">
      <formula>NOT(ISERROR(SEARCH("Str",W142)))</formula>
    </cfRule>
    <cfRule type="containsText" dxfId="3381" priority="1232" operator="containsText" text="Ere">
      <formula>NOT(ISERROR(SEARCH("Ere",W142)))</formula>
    </cfRule>
    <cfRule type="containsText" dxfId="3380" priority="1233" operator="containsText" text="Ear">
      <formula>NOT(ISERROR(SEARCH("Ear",W142)))</formula>
    </cfRule>
    <cfRule type="containsText" dxfId="3379" priority="1234" operator="containsText" text="fnd">
      <formula>NOT(ISERROR(SEARCH("fnd",W142)))</formula>
    </cfRule>
  </conditionalFormatting>
  <conditionalFormatting sqref="W150:X150">
    <cfRule type="containsText" dxfId="3378" priority="313" operator="containsText" text="Str">
      <formula>NOT(ISERROR(SEARCH("Str",W150)))</formula>
    </cfRule>
    <cfRule type="containsText" dxfId="3377" priority="314" operator="containsText" text="Ere">
      <formula>NOT(ISERROR(SEARCH("Ere",W150)))</formula>
    </cfRule>
    <cfRule type="containsText" dxfId="3376" priority="315" operator="containsText" text="Ear">
      <formula>NOT(ISERROR(SEARCH("Ear",W150)))</formula>
    </cfRule>
    <cfRule type="containsText" dxfId="3375" priority="316" operator="containsText" text="fnd">
      <formula>NOT(ISERROR(SEARCH("fnd",W150)))</formula>
    </cfRule>
  </conditionalFormatting>
  <conditionalFormatting sqref="W174:X174">
    <cfRule type="containsText" dxfId="3374" priority="429" operator="containsText" text="Str">
      <formula>NOT(ISERROR(SEARCH("Str",W174)))</formula>
    </cfRule>
    <cfRule type="containsText" dxfId="3373" priority="430" operator="containsText" text="Ere">
      <formula>NOT(ISERROR(SEARCH("Ere",W174)))</formula>
    </cfRule>
    <cfRule type="containsText" dxfId="3372" priority="431" operator="containsText" text="Ear">
      <formula>NOT(ISERROR(SEARCH("Ear",W174)))</formula>
    </cfRule>
    <cfRule type="containsText" dxfId="3371" priority="432" operator="containsText" text="fnd">
      <formula>NOT(ISERROR(SEARCH("fnd",W174)))</formula>
    </cfRule>
  </conditionalFormatting>
  <conditionalFormatting sqref="W182:X182">
    <cfRule type="containsText" dxfId="3370" priority="109" operator="containsText" text="Str">
      <formula>NOT(ISERROR(SEARCH("Str",W182)))</formula>
    </cfRule>
    <cfRule type="containsText" dxfId="3369" priority="110" operator="containsText" text="Ere">
      <formula>NOT(ISERROR(SEARCH("Ere",W182)))</formula>
    </cfRule>
    <cfRule type="containsText" dxfId="3368" priority="111" operator="containsText" text="Ear">
      <formula>NOT(ISERROR(SEARCH("Ear",W182)))</formula>
    </cfRule>
    <cfRule type="containsText" dxfId="3367" priority="112" operator="containsText" text="fnd">
      <formula>NOT(ISERROR(SEARCH("fnd",W182)))</formula>
    </cfRule>
  </conditionalFormatting>
  <conditionalFormatting sqref="X14">
    <cfRule type="containsText" dxfId="3366" priority="1671" operator="containsText" text="Str">
      <formula>NOT(ISERROR(SEARCH("Str",X14)))</formula>
    </cfRule>
    <cfRule type="containsText" dxfId="3365" priority="1672" operator="containsText" text="Ere">
      <formula>NOT(ISERROR(SEARCH("Ere",X14)))</formula>
    </cfRule>
    <cfRule type="containsText" dxfId="3364" priority="1673" operator="containsText" text="Ear">
      <formula>NOT(ISERROR(SEARCH("Ear",X14)))</formula>
    </cfRule>
    <cfRule type="containsText" dxfId="3363" priority="1674" operator="containsText" text="fnd">
      <formula>NOT(ISERROR(SEARCH("fnd",X14)))</formula>
    </cfRule>
  </conditionalFormatting>
  <conditionalFormatting sqref="X22">
    <cfRule type="containsText" dxfId="3362" priority="1739" operator="containsText" text="Str">
      <formula>NOT(ISERROR(SEARCH("Str",X22)))</formula>
    </cfRule>
    <cfRule type="containsText" dxfId="3361" priority="1740" operator="containsText" text="Ere">
      <formula>NOT(ISERROR(SEARCH("Ere",X22)))</formula>
    </cfRule>
    <cfRule type="containsText" dxfId="3360" priority="1741" operator="containsText" text="Ear">
      <formula>NOT(ISERROR(SEARCH("Ear",X22)))</formula>
    </cfRule>
    <cfRule type="containsText" dxfId="3359" priority="1742" operator="containsText" text="fnd">
      <formula>NOT(ISERROR(SEARCH("fnd",X22)))</formula>
    </cfRule>
  </conditionalFormatting>
  <conditionalFormatting sqref="Z5:Z6">
    <cfRule type="containsText" dxfId="3358" priority="197" operator="containsText" text="Str">
      <formula>NOT(ISERROR(SEARCH("Str",Z5)))</formula>
    </cfRule>
    <cfRule type="containsText" dxfId="3357" priority="198" operator="containsText" text="Ere">
      <formula>NOT(ISERROR(SEARCH("Ere",Z5)))</formula>
    </cfRule>
    <cfRule type="containsText" dxfId="3356" priority="199" operator="containsText" text="Ear">
      <formula>NOT(ISERROR(SEARCH("Ear",Z5)))</formula>
    </cfRule>
    <cfRule type="containsText" dxfId="3355" priority="200" operator="containsText" text="fnd">
      <formula>NOT(ISERROR(SEARCH("fnd",Z5)))</formula>
    </cfRule>
  </conditionalFormatting>
  <conditionalFormatting sqref="Z13:Z14">
    <cfRule type="containsText" dxfId="3354" priority="389" operator="containsText" text="Str">
      <formula>NOT(ISERROR(SEARCH("Str",Z13)))</formula>
    </cfRule>
    <cfRule type="containsText" dxfId="3353" priority="390" operator="containsText" text="Ere">
      <formula>NOT(ISERROR(SEARCH("Ere",Z13)))</formula>
    </cfRule>
    <cfRule type="containsText" dxfId="3352" priority="391" operator="containsText" text="Ear">
      <formula>NOT(ISERROR(SEARCH("Ear",Z13)))</formula>
    </cfRule>
    <cfRule type="containsText" dxfId="3351" priority="392" operator="containsText" text="fnd">
      <formula>NOT(ISERROR(SEARCH("fnd",Z13)))</formula>
    </cfRule>
  </conditionalFormatting>
  <conditionalFormatting sqref="Z21:Z22">
    <cfRule type="containsText" dxfId="3350" priority="1891" operator="containsText" text="Str">
      <formula>NOT(ISERROR(SEARCH("Str",Z21)))</formula>
    </cfRule>
    <cfRule type="containsText" dxfId="3349" priority="1892" operator="containsText" text="Ere">
      <formula>NOT(ISERROR(SEARCH("Ere",Z21)))</formula>
    </cfRule>
    <cfRule type="containsText" dxfId="3348" priority="1893" operator="containsText" text="Ear">
      <formula>NOT(ISERROR(SEARCH("Ear",Z21)))</formula>
    </cfRule>
    <cfRule type="containsText" dxfId="3347" priority="1894" operator="containsText" text="fnd">
      <formula>NOT(ISERROR(SEARCH("fnd",Z21)))</formula>
    </cfRule>
  </conditionalFormatting>
  <conditionalFormatting sqref="Z29">
    <cfRule type="containsText" dxfId="3346" priority="1839" operator="containsText" text="Str">
      <formula>NOT(ISERROR(SEARCH("Str",Z29)))</formula>
    </cfRule>
    <cfRule type="containsText" dxfId="3345" priority="1840" operator="containsText" text="Ere">
      <formula>NOT(ISERROR(SEARCH("Ere",Z29)))</formula>
    </cfRule>
    <cfRule type="containsText" dxfId="3344" priority="1841" operator="containsText" text="Ear">
      <formula>NOT(ISERROR(SEARCH("Ear",Z29)))</formula>
    </cfRule>
    <cfRule type="containsText" dxfId="3343" priority="1842" operator="containsText" text="fnd">
      <formula>NOT(ISERROR(SEARCH("fnd",Z29)))</formula>
    </cfRule>
  </conditionalFormatting>
  <conditionalFormatting sqref="Z37">
    <cfRule type="containsText" dxfId="3342" priority="1487" operator="containsText" text="Str">
      <formula>NOT(ISERROR(SEARCH("Str",Z37)))</formula>
    </cfRule>
    <cfRule type="containsText" dxfId="3341" priority="1488" operator="containsText" text="Ere">
      <formula>NOT(ISERROR(SEARCH("Ere",Z37)))</formula>
    </cfRule>
    <cfRule type="containsText" dxfId="3340" priority="1489" operator="containsText" text="Ear">
      <formula>NOT(ISERROR(SEARCH("Ear",Z37)))</formula>
    </cfRule>
    <cfRule type="containsText" dxfId="3339" priority="1490" operator="containsText" text="fnd">
      <formula>NOT(ISERROR(SEARCH("fnd",Z37)))</formula>
    </cfRule>
  </conditionalFormatting>
  <conditionalFormatting sqref="Z45">
    <cfRule type="containsText" dxfId="3338" priority="2047" operator="containsText" text="Str">
      <formula>NOT(ISERROR(SEARCH("Str",Z45)))</formula>
    </cfRule>
    <cfRule type="containsText" dxfId="3337" priority="2048" operator="containsText" text="Ere">
      <formula>NOT(ISERROR(SEARCH("Ere",Z45)))</formula>
    </cfRule>
    <cfRule type="containsText" dxfId="3336" priority="2049" operator="containsText" text="Ear">
      <formula>NOT(ISERROR(SEARCH("Ear",Z45)))</formula>
    </cfRule>
    <cfRule type="containsText" dxfId="3335" priority="2050" operator="containsText" text="fnd">
      <formula>NOT(ISERROR(SEARCH("fnd",Z45)))</formula>
    </cfRule>
  </conditionalFormatting>
  <conditionalFormatting sqref="Z53">
    <cfRule type="containsText" dxfId="3334" priority="473" operator="containsText" text="Str">
      <formula>NOT(ISERROR(SEARCH("Str",Z53)))</formula>
    </cfRule>
    <cfRule type="containsText" dxfId="3333" priority="474" operator="containsText" text="Ere">
      <formula>NOT(ISERROR(SEARCH("Ere",Z53)))</formula>
    </cfRule>
    <cfRule type="containsText" dxfId="3332" priority="475" operator="containsText" text="Ear">
      <formula>NOT(ISERROR(SEARCH("Ear",Z53)))</formula>
    </cfRule>
    <cfRule type="containsText" dxfId="3331" priority="476" operator="containsText" text="fnd">
      <formula>NOT(ISERROR(SEARCH("fnd",Z53)))</formula>
    </cfRule>
  </conditionalFormatting>
  <conditionalFormatting sqref="Z61">
    <cfRule type="containsText" dxfId="3330" priority="2027" operator="containsText" text="Str">
      <formula>NOT(ISERROR(SEARCH("Str",Z61)))</formula>
    </cfRule>
    <cfRule type="containsText" dxfId="3329" priority="2028" operator="containsText" text="Ere">
      <formula>NOT(ISERROR(SEARCH("Ere",Z61)))</formula>
    </cfRule>
    <cfRule type="containsText" dxfId="3328" priority="2029" operator="containsText" text="Ear">
      <formula>NOT(ISERROR(SEARCH("Ear",Z61)))</formula>
    </cfRule>
    <cfRule type="containsText" dxfId="3327" priority="2030" operator="containsText" text="fnd">
      <formula>NOT(ISERROR(SEARCH("fnd",Z61)))</formula>
    </cfRule>
  </conditionalFormatting>
  <conditionalFormatting sqref="Z69">
    <cfRule type="containsText" dxfId="3326" priority="767" operator="containsText" text="Str">
      <formula>NOT(ISERROR(SEARCH("Str",Z69)))</formula>
    </cfRule>
    <cfRule type="containsText" dxfId="3325" priority="768" operator="containsText" text="Ere">
      <formula>NOT(ISERROR(SEARCH("Ere",Z69)))</formula>
    </cfRule>
    <cfRule type="containsText" dxfId="3324" priority="769" operator="containsText" text="Ear">
      <formula>NOT(ISERROR(SEARCH("Ear",Z69)))</formula>
    </cfRule>
    <cfRule type="containsText" dxfId="3323" priority="770" operator="containsText" text="fnd">
      <formula>NOT(ISERROR(SEARCH("fnd",Z69)))</formula>
    </cfRule>
  </conditionalFormatting>
  <conditionalFormatting sqref="Z85">
    <cfRule type="containsText" dxfId="3322" priority="683" operator="containsText" text="Str">
      <formula>NOT(ISERROR(SEARCH("Str",Z85)))</formula>
    </cfRule>
    <cfRule type="containsText" dxfId="3321" priority="684" operator="containsText" text="Ere">
      <formula>NOT(ISERROR(SEARCH("Ere",Z85)))</formula>
    </cfRule>
    <cfRule type="containsText" dxfId="3320" priority="685" operator="containsText" text="Ear">
      <formula>NOT(ISERROR(SEARCH("Ear",Z85)))</formula>
    </cfRule>
    <cfRule type="containsText" dxfId="3319" priority="686" operator="containsText" text="fnd">
      <formula>NOT(ISERROR(SEARCH("fnd",Z85)))</formula>
    </cfRule>
  </conditionalFormatting>
  <conditionalFormatting sqref="Z93">
    <cfRule type="containsText" dxfId="3318" priority="1855" operator="containsText" text="Str">
      <formula>NOT(ISERROR(SEARCH("Str",Z93)))</formula>
    </cfRule>
    <cfRule type="containsText" dxfId="3317" priority="1856" operator="containsText" text="Ere">
      <formula>NOT(ISERROR(SEARCH("Ere",Z93)))</formula>
    </cfRule>
    <cfRule type="containsText" dxfId="3316" priority="1857" operator="containsText" text="Ear">
      <formula>NOT(ISERROR(SEARCH("Ear",Z93)))</formula>
    </cfRule>
    <cfRule type="containsText" dxfId="3315" priority="1858" operator="containsText" text="fnd">
      <formula>NOT(ISERROR(SEARCH("fnd",Z93)))</formula>
    </cfRule>
  </conditionalFormatting>
  <conditionalFormatting sqref="Z101">
    <cfRule type="containsText" dxfId="3314" priority="2159" operator="containsText" text="Str">
      <formula>NOT(ISERROR(SEARCH("Str",Z101)))</formula>
    </cfRule>
    <cfRule type="containsText" dxfId="3313" priority="2160" operator="containsText" text="Ere">
      <formula>NOT(ISERROR(SEARCH("Ere",Z101)))</formula>
    </cfRule>
    <cfRule type="containsText" dxfId="3312" priority="2161" operator="containsText" text="Ear">
      <formula>NOT(ISERROR(SEARCH("Ear",Z101)))</formula>
    </cfRule>
    <cfRule type="containsText" dxfId="3311" priority="2162" operator="containsText" text="fnd">
      <formula>NOT(ISERROR(SEARCH("fnd",Z101)))</formula>
    </cfRule>
  </conditionalFormatting>
  <conditionalFormatting sqref="Z109">
    <cfRule type="containsText" dxfId="3310" priority="1763" operator="containsText" text="Str">
      <formula>NOT(ISERROR(SEARCH("Str",Z109)))</formula>
    </cfRule>
    <cfRule type="containsText" dxfId="3309" priority="1764" operator="containsText" text="Ere">
      <formula>NOT(ISERROR(SEARCH("Ere",Z109)))</formula>
    </cfRule>
    <cfRule type="containsText" dxfId="3308" priority="1765" operator="containsText" text="Ear">
      <formula>NOT(ISERROR(SEARCH("Ear",Z109)))</formula>
    </cfRule>
    <cfRule type="containsText" dxfId="3307" priority="1766" operator="containsText" text="fnd">
      <formula>NOT(ISERROR(SEARCH("fnd",Z109)))</formula>
    </cfRule>
  </conditionalFormatting>
  <conditionalFormatting sqref="Z117">
    <cfRule type="containsText" dxfId="3306" priority="711" operator="containsText" text="Str">
      <formula>NOT(ISERROR(SEARCH("Str",Z117)))</formula>
    </cfRule>
    <cfRule type="containsText" dxfId="3305" priority="712" operator="containsText" text="Ere">
      <formula>NOT(ISERROR(SEARCH("Ere",Z117)))</formula>
    </cfRule>
    <cfRule type="containsText" dxfId="3304" priority="713" operator="containsText" text="Ear">
      <formula>NOT(ISERROR(SEARCH("Ear",Z117)))</formula>
    </cfRule>
    <cfRule type="containsText" dxfId="3303" priority="714" operator="containsText" text="fnd">
      <formula>NOT(ISERROR(SEARCH("fnd",Z117)))</formula>
    </cfRule>
  </conditionalFormatting>
  <conditionalFormatting sqref="Z122 Z130 Z170 Z178">
    <cfRule type="containsText" dxfId="3302" priority="1991" operator="containsText" text="Str">
      <formula>NOT(ISERROR(SEARCH("Str",Z122)))</formula>
    </cfRule>
    <cfRule type="containsText" dxfId="3301" priority="1992" operator="containsText" text="Ere">
      <formula>NOT(ISERROR(SEARCH("Ere",Z122)))</formula>
    </cfRule>
    <cfRule type="containsText" dxfId="3300" priority="1993" operator="containsText" text="Ear">
      <formula>NOT(ISERROR(SEARCH("Ear",Z122)))</formula>
    </cfRule>
    <cfRule type="containsText" dxfId="3299" priority="1994" operator="containsText" text="fnd">
      <formula>NOT(ISERROR(SEARCH("fnd",Z122)))</formula>
    </cfRule>
  </conditionalFormatting>
  <conditionalFormatting sqref="Z125">
    <cfRule type="containsText" dxfId="3298" priority="497" operator="containsText" text="Str">
      <formula>NOT(ISERROR(SEARCH("Str",Z125)))</formula>
    </cfRule>
    <cfRule type="containsText" dxfId="3297" priority="498" operator="containsText" text="Ere">
      <formula>NOT(ISERROR(SEARCH("Ere",Z125)))</formula>
    </cfRule>
    <cfRule type="containsText" dxfId="3296" priority="499" operator="containsText" text="Ear">
      <formula>NOT(ISERROR(SEARCH("Ear",Z125)))</formula>
    </cfRule>
    <cfRule type="containsText" dxfId="3295" priority="500" operator="containsText" text="fnd">
      <formula>NOT(ISERROR(SEARCH("fnd",Z125)))</formula>
    </cfRule>
  </conditionalFormatting>
  <conditionalFormatting sqref="Z133">
    <cfRule type="containsText" dxfId="3294" priority="277" operator="containsText" text="Str">
      <formula>NOT(ISERROR(SEARCH("Str",Z133)))</formula>
    </cfRule>
    <cfRule type="containsText" dxfId="3293" priority="278" operator="containsText" text="Ere">
      <formula>NOT(ISERROR(SEARCH("Ere",Z133)))</formula>
    </cfRule>
    <cfRule type="containsText" dxfId="3292" priority="279" operator="containsText" text="Ear">
      <formula>NOT(ISERROR(SEARCH("Ear",Z133)))</formula>
    </cfRule>
    <cfRule type="containsText" dxfId="3291" priority="280" operator="containsText" text="fnd">
      <formula>NOT(ISERROR(SEARCH("fnd",Z133)))</formula>
    </cfRule>
  </conditionalFormatting>
  <conditionalFormatting sqref="Z141">
    <cfRule type="containsText" dxfId="3290" priority="747" operator="containsText" text="Str">
      <formula>NOT(ISERROR(SEARCH("Str",Z141)))</formula>
    </cfRule>
    <cfRule type="containsText" dxfId="3289" priority="748" operator="containsText" text="Ere">
      <formula>NOT(ISERROR(SEARCH("Ere",Z141)))</formula>
    </cfRule>
    <cfRule type="containsText" dxfId="3288" priority="749" operator="containsText" text="Ear">
      <formula>NOT(ISERROR(SEARCH("Ear",Z141)))</formula>
    </cfRule>
    <cfRule type="containsText" dxfId="3287" priority="750" operator="containsText" text="fnd">
      <formula>NOT(ISERROR(SEARCH("fnd",Z141)))</formula>
    </cfRule>
  </conditionalFormatting>
  <conditionalFormatting sqref="Z149">
    <cfRule type="containsText" dxfId="3286" priority="401" operator="containsText" text="Str">
      <formula>NOT(ISERROR(SEARCH("Str",Z149)))</formula>
    </cfRule>
    <cfRule type="containsText" dxfId="3285" priority="402" operator="containsText" text="Ere">
      <formula>NOT(ISERROR(SEARCH("Ere",Z149)))</formula>
    </cfRule>
    <cfRule type="containsText" dxfId="3284" priority="403" operator="containsText" text="Ear">
      <formula>NOT(ISERROR(SEARCH("Ear",Z149)))</formula>
    </cfRule>
    <cfRule type="containsText" dxfId="3283" priority="404" operator="containsText" text="fnd">
      <formula>NOT(ISERROR(SEARCH("fnd",Z149)))</formula>
    </cfRule>
  </conditionalFormatting>
  <conditionalFormatting sqref="Z157">
    <cfRule type="containsText" dxfId="3282" priority="1115" operator="containsText" text="Str">
      <formula>NOT(ISERROR(SEARCH("Str",Z157)))</formula>
    </cfRule>
    <cfRule type="containsText" dxfId="3281" priority="1116" operator="containsText" text="Ere">
      <formula>NOT(ISERROR(SEARCH("Ere",Z157)))</formula>
    </cfRule>
    <cfRule type="containsText" dxfId="3280" priority="1117" operator="containsText" text="Ear">
      <formula>NOT(ISERROR(SEARCH("Ear",Z157)))</formula>
    </cfRule>
    <cfRule type="containsText" dxfId="3279" priority="1118" operator="containsText" text="fnd">
      <formula>NOT(ISERROR(SEARCH("fnd",Z157)))</formula>
    </cfRule>
  </conditionalFormatting>
  <conditionalFormatting sqref="Z165">
    <cfRule type="containsText" dxfId="3278" priority="433" operator="containsText" text="Str">
      <formula>NOT(ISERROR(SEARCH("Str",Z165)))</formula>
    </cfRule>
    <cfRule type="containsText" dxfId="3277" priority="434" operator="containsText" text="Ere">
      <formula>NOT(ISERROR(SEARCH("Ere",Z165)))</formula>
    </cfRule>
    <cfRule type="containsText" dxfId="3276" priority="435" operator="containsText" text="Ear">
      <formula>NOT(ISERROR(SEARCH("Ear",Z165)))</formula>
    </cfRule>
    <cfRule type="containsText" dxfId="3275" priority="436" operator="containsText" text="fnd">
      <formula>NOT(ISERROR(SEARCH("fnd",Z165)))</formula>
    </cfRule>
  </conditionalFormatting>
  <conditionalFormatting sqref="Z173">
    <cfRule type="containsText" dxfId="3274" priority="991" operator="containsText" text="Str">
      <formula>NOT(ISERROR(SEARCH("Str",Z173)))</formula>
    </cfRule>
    <cfRule type="containsText" dxfId="3273" priority="992" operator="containsText" text="Ere">
      <formula>NOT(ISERROR(SEARCH("Ere",Z173)))</formula>
    </cfRule>
    <cfRule type="containsText" dxfId="3272" priority="993" operator="containsText" text="Ear">
      <formula>NOT(ISERROR(SEARCH("Ear",Z173)))</formula>
    </cfRule>
    <cfRule type="containsText" dxfId="3271" priority="994" operator="containsText" text="fnd">
      <formula>NOT(ISERROR(SEARCH("fnd",Z173)))</formula>
    </cfRule>
  </conditionalFormatting>
  <conditionalFormatting sqref="Z181">
    <cfRule type="containsText" dxfId="3270" priority="97" operator="containsText" text="Str">
      <formula>NOT(ISERROR(SEARCH("Str",Z181)))</formula>
    </cfRule>
    <cfRule type="containsText" dxfId="3269" priority="98" operator="containsText" text="Ere">
      <formula>NOT(ISERROR(SEARCH("Ere",Z181)))</formula>
    </cfRule>
    <cfRule type="containsText" dxfId="3268" priority="99" operator="containsText" text="Ear">
      <formula>NOT(ISERROR(SEARCH("Ear",Z181)))</formula>
    </cfRule>
    <cfRule type="containsText" dxfId="3267" priority="100" operator="containsText" text="fnd">
      <formula>NOT(ISERROR(SEARCH("fnd",Z181)))</formula>
    </cfRule>
  </conditionalFormatting>
  <conditionalFormatting sqref="Z30:AA30">
    <cfRule type="containsText" dxfId="3266" priority="1843" operator="containsText" text="Str">
      <formula>NOT(ISERROR(SEARCH("Str",Z30)))</formula>
    </cfRule>
    <cfRule type="containsText" dxfId="3265" priority="1844" operator="containsText" text="Ere">
      <formula>NOT(ISERROR(SEARCH("Ere",Z30)))</formula>
    </cfRule>
    <cfRule type="containsText" dxfId="3264" priority="1845" operator="containsText" text="Ear">
      <formula>NOT(ISERROR(SEARCH("Ear",Z30)))</formula>
    </cfRule>
    <cfRule type="containsText" dxfId="3263" priority="1846" operator="containsText" text="fnd">
      <formula>NOT(ISERROR(SEARCH("fnd",Z30)))</formula>
    </cfRule>
  </conditionalFormatting>
  <conditionalFormatting sqref="Z38:AA38">
    <cfRule type="containsText" dxfId="3262" priority="1491" operator="containsText" text="Str">
      <formula>NOT(ISERROR(SEARCH("Str",Z38)))</formula>
    </cfRule>
    <cfRule type="containsText" dxfId="3261" priority="1492" operator="containsText" text="Ere">
      <formula>NOT(ISERROR(SEARCH("Ere",Z38)))</formula>
    </cfRule>
    <cfRule type="containsText" dxfId="3260" priority="1493" operator="containsText" text="Ear">
      <formula>NOT(ISERROR(SEARCH("Ear",Z38)))</formula>
    </cfRule>
    <cfRule type="containsText" dxfId="3259" priority="1494" operator="containsText" text="fnd">
      <formula>NOT(ISERROR(SEARCH("fnd",Z38)))</formula>
    </cfRule>
  </conditionalFormatting>
  <conditionalFormatting sqref="Z46:AA46">
    <cfRule type="containsText" dxfId="3258" priority="2295" operator="containsText" text="Str">
      <formula>NOT(ISERROR(SEARCH("Str",Z46)))</formula>
    </cfRule>
    <cfRule type="containsText" dxfId="3257" priority="2296" operator="containsText" text="Ere">
      <formula>NOT(ISERROR(SEARCH("Ere",Z46)))</formula>
    </cfRule>
    <cfRule type="containsText" dxfId="3256" priority="2297" operator="containsText" text="Ear">
      <formula>NOT(ISERROR(SEARCH("Ear",Z46)))</formula>
    </cfRule>
    <cfRule type="containsText" dxfId="3255" priority="2298" operator="containsText" text="fnd">
      <formula>NOT(ISERROR(SEARCH("fnd",Z46)))</formula>
    </cfRule>
  </conditionalFormatting>
  <conditionalFormatting sqref="Z54:AA54">
    <cfRule type="containsText" dxfId="3254" priority="477" operator="containsText" text="Str">
      <formula>NOT(ISERROR(SEARCH("Str",Z54)))</formula>
    </cfRule>
    <cfRule type="containsText" dxfId="3253" priority="478" operator="containsText" text="Ere">
      <formula>NOT(ISERROR(SEARCH("Ere",Z54)))</formula>
    </cfRule>
    <cfRule type="containsText" dxfId="3252" priority="479" operator="containsText" text="Ear">
      <formula>NOT(ISERROR(SEARCH("Ear",Z54)))</formula>
    </cfRule>
    <cfRule type="containsText" dxfId="3251" priority="480" operator="containsText" text="fnd">
      <formula>NOT(ISERROR(SEARCH("fnd",Z54)))</formula>
    </cfRule>
  </conditionalFormatting>
  <conditionalFormatting sqref="Z62:AA62 AM62">
    <cfRule type="containsText" dxfId="3250" priority="2251" operator="containsText" text="Str">
      <formula>NOT(ISERROR(SEARCH("Str",Z62)))</formula>
    </cfRule>
    <cfRule type="containsText" dxfId="3249" priority="2252" operator="containsText" text="Ere">
      <formula>NOT(ISERROR(SEARCH("Ere",Z62)))</formula>
    </cfRule>
    <cfRule type="containsText" dxfId="3248" priority="2253" operator="containsText" text="Ear">
      <formula>NOT(ISERROR(SEARCH("Ear",Z62)))</formula>
    </cfRule>
    <cfRule type="containsText" dxfId="3247" priority="2254" operator="containsText" text="fnd">
      <formula>NOT(ISERROR(SEARCH("fnd",Z62)))</formula>
    </cfRule>
  </conditionalFormatting>
  <conditionalFormatting sqref="Z77:AA78">
    <cfRule type="containsText" dxfId="3246" priority="1895" operator="containsText" text="Str">
      <formula>NOT(ISERROR(SEARCH("Str",Z77)))</formula>
    </cfRule>
    <cfRule type="containsText" dxfId="3245" priority="1896" operator="containsText" text="Ere">
      <formula>NOT(ISERROR(SEARCH("Ere",Z77)))</formula>
    </cfRule>
    <cfRule type="containsText" dxfId="3244" priority="1897" operator="containsText" text="Ear">
      <formula>NOT(ISERROR(SEARCH("Ear",Z77)))</formula>
    </cfRule>
    <cfRule type="containsText" dxfId="3243" priority="1898" operator="containsText" text="fnd">
      <formula>NOT(ISERROR(SEARCH("fnd",Z77)))</formula>
    </cfRule>
  </conditionalFormatting>
  <conditionalFormatting sqref="Z86:AA86">
    <cfRule type="containsText" dxfId="3242" priority="687" operator="containsText" text="Str">
      <formula>NOT(ISERROR(SEARCH("Str",Z86)))</formula>
    </cfRule>
    <cfRule type="containsText" dxfId="3241" priority="688" operator="containsText" text="Ere">
      <formula>NOT(ISERROR(SEARCH("Ere",Z86)))</formula>
    </cfRule>
    <cfRule type="containsText" dxfId="3240" priority="689" operator="containsText" text="Ear">
      <formula>NOT(ISERROR(SEARCH("Ear",Z86)))</formula>
    </cfRule>
    <cfRule type="containsText" dxfId="3239" priority="690" operator="containsText" text="fnd">
      <formula>NOT(ISERROR(SEARCH("fnd",Z86)))</formula>
    </cfRule>
  </conditionalFormatting>
  <conditionalFormatting sqref="Z94:AA94">
    <cfRule type="containsText" dxfId="3238" priority="1859" operator="containsText" text="Str">
      <formula>NOT(ISERROR(SEARCH("Str",Z94)))</formula>
    </cfRule>
    <cfRule type="containsText" dxfId="3237" priority="1860" operator="containsText" text="Ere">
      <formula>NOT(ISERROR(SEARCH("Ere",Z94)))</formula>
    </cfRule>
    <cfRule type="containsText" dxfId="3236" priority="1861" operator="containsText" text="Ear">
      <formula>NOT(ISERROR(SEARCH("Ear",Z94)))</formula>
    </cfRule>
    <cfRule type="containsText" dxfId="3235" priority="1862" operator="containsText" text="fnd">
      <formula>NOT(ISERROR(SEARCH("fnd",Z94)))</formula>
    </cfRule>
  </conditionalFormatting>
  <conditionalFormatting sqref="Z102:AA102">
    <cfRule type="containsText" dxfId="3234" priority="2203" operator="containsText" text="Str">
      <formula>NOT(ISERROR(SEARCH("Str",Z102)))</formula>
    </cfRule>
    <cfRule type="containsText" dxfId="3233" priority="2204" operator="containsText" text="Ere">
      <formula>NOT(ISERROR(SEARCH("Ere",Z102)))</formula>
    </cfRule>
    <cfRule type="containsText" dxfId="3232" priority="2205" operator="containsText" text="Ear">
      <formula>NOT(ISERROR(SEARCH("Ear",Z102)))</formula>
    </cfRule>
    <cfRule type="containsText" dxfId="3231" priority="2206" operator="containsText" text="fnd">
      <formula>NOT(ISERROR(SEARCH("fnd",Z102)))</formula>
    </cfRule>
  </conditionalFormatting>
  <conditionalFormatting sqref="Z110:AA110">
    <cfRule type="containsText" dxfId="3230" priority="1767" operator="containsText" text="Str">
      <formula>NOT(ISERROR(SEARCH("Str",Z110)))</formula>
    </cfRule>
    <cfRule type="containsText" dxfId="3229" priority="1768" operator="containsText" text="Ere">
      <formula>NOT(ISERROR(SEARCH("Ere",Z110)))</formula>
    </cfRule>
    <cfRule type="containsText" dxfId="3228" priority="1769" operator="containsText" text="Ear">
      <formula>NOT(ISERROR(SEARCH("Ear",Z110)))</formula>
    </cfRule>
    <cfRule type="containsText" dxfId="3227" priority="1770" operator="containsText" text="fnd">
      <formula>NOT(ISERROR(SEARCH("fnd",Z110)))</formula>
    </cfRule>
  </conditionalFormatting>
  <conditionalFormatting sqref="Z118:AA118">
    <cfRule type="containsText" dxfId="3226" priority="715" operator="containsText" text="Str">
      <formula>NOT(ISERROR(SEARCH("Str",Z118)))</formula>
    </cfRule>
    <cfRule type="containsText" dxfId="3225" priority="716" operator="containsText" text="Ere">
      <formula>NOT(ISERROR(SEARCH("Ere",Z118)))</formula>
    </cfRule>
    <cfRule type="containsText" dxfId="3224" priority="717" operator="containsText" text="Ear">
      <formula>NOT(ISERROR(SEARCH("Ear",Z118)))</formula>
    </cfRule>
    <cfRule type="containsText" dxfId="3223" priority="718" operator="containsText" text="fnd">
      <formula>NOT(ISERROR(SEARCH("fnd",Z118)))</formula>
    </cfRule>
  </conditionalFormatting>
  <conditionalFormatting sqref="Z126:AA126">
    <cfRule type="containsText" dxfId="3222" priority="501" operator="containsText" text="Str">
      <formula>NOT(ISERROR(SEARCH("Str",Z126)))</formula>
    </cfRule>
    <cfRule type="containsText" dxfId="3221" priority="502" operator="containsText" text="Ere">
      <formula>NOT(ISERROR(SEARCH("Ere",Z126)))</formula>
    </cfRule>
    <cfRule type="containsText" dxfId="3220" priority="503" operator="containsText" text="Ear">
      <formula>NOT(ISERROR(SEARCH("Ear",Z126)))</formula>
    </cfRule>
    <cfRule type="containsText" dxfId="3219" priority="504" operator="containsText" text="fnd">
      <formula>NOT(ISERROR(SEARCH("fnd",Z126)))</formula>
    </cfRule>
  </conditionalFormatting>
  <conditionalFormatting sqref="Z134:AA134">
    <cfRule type="containsText" dxfId="3218" priority="281" operator="containsText" text="Str">
      <formula>NOT(ISERROR(SEARCH("Str",Z134)))</formula>
    </cfRule>
    <cfRule type="containsText" dxfId="3217" priority="282" operator="containsText" text="Ere">
      <formula>NOT(ISERROR(SEARCH("Ere",Z134)))</formula>
    </cfRule>
    <cfRule type="containsText" dxfId="3216" priority="283" operator="containsText" text="Ear">
      <formula>NOT(ISERROR(SEARCH("Ear",Z134)))</formula>
    </cfRule>
    <cfRule type="containsText" dxfId="3215" priority="284" operator="containsText" text="fnd">
      <formula>NOT(ISERROR(SEARCH("fnd",Z134)))</formula>
    </cfRule>
  </conditionalFormatting>
  <conditionalFormatting sqref="Z150:AA150">
    <cfRule type="containsText" dxfId="3214" priority="405" operator="containsText" text="Str">
      <formula>NOT(ISERROR(SEARCH("Str",Z150)))</formula>
    </cfRule>
    <cfRule type="containsText" dxfId="3213" priority="406" operator="containsText" text="Ere">
      <formula>NOT(ISERROR(SEARCH("Ere",Z150)))</formula>
    </cfRule>
    <cfRule type="containsText" dxfId="3212" priority="407" operator="containsText" text="Ear">
      <formula>NOT(ISERROR(SEARCH("Ear",Z150)))</formula>
    </cfRule>
    <cfRule type="containsText" dxfId="3211" priority="408" operator="containsText" text="fnd">
      <formula>NOT(ISERROR(SEARCH("fnd",Z150)))</formula>
    </cfRule>
  </conditionalFormatting>
  <conditionalFormatting sqref="Z158:AA158">
    <cfRule type="containsText" dxfId="3210" priority="1119" operator="containsText" text="Str">
      <formula>NOT(ISERROR(SEARCH("Str",Z158)))</formula>
    </cfRule>
    <cfRule type="containsText" dxfId="3209" priority="1120" operator="containsText" text="Ere">
      <formula>NOT(ISERROR(SEARCH("Ere",Z158)))</formula>
    </cfRule>
    <cfRule type="containsText" dxfId="3208" priority="1121" operator="containsText" text="Ear">
      <formula>NOT(ISERROR(SEARCH("Ear",Z158)))</formula>
    </cfRule>
    <cfRule type="containsText" dxfId="3207" priority="1122" operator="containsText" text="fnd">
      <formula>NOT(ISERROR(SEARCH("fnd",Z158)))</formula>
    </cfRule>
  </conditionalFormatting>
  <conditionalFormatting sqref="Z166:AA166">
    <cfRule type="containsText" dxfId="3206" priority="437" operator="containsText" text="Str">
      <formula>NOT(ISERROR(SEARCH("Str",Z166)))</formula>
    </cfRule>
    <cfRule type="containsText" dxfId="3205" priority="438" operator="containsText" text="Ere">
      <formula>NOT(ISERROR(SEARCH("Ere",Z166)))</formula>
    </cfRule>
    <cfRule type="containsText" dxfId="3204" priority="439" operator="containsText" text="Ear">
      <formula>NOT(ISERROR(SEARCH("Ear",Z166)))</formula>
    </cfRule>
    <cfRule type="containsText" dxfId="3203" priority="440" operator="containsText" text="fnd">
      <formula>NOT(ISERROR(SEARCH("fnd",Z166)))</formula>
    </cfRule>
  </conditionalFormatting>
  <conditionalFormatting sqref="Z174:AA174">
    <cfRule type="containsText" dxfId="3202" priority="995" operator="containsText" text="Str">
      <formula>NOT(ISERROR(SEARCH("Str",Z174)))</formula>
    </cfRule>
    <cfRule type="containsText" dxfId="3201" priority="996" operator="containsText" text="Ere">
      <formula>NOT(ISERROR(SEARCH("Ere",Z174)))</formula>
    </cfRule>
    <cfRule type="containsText" dxfId="3200" priority="997" operator="containsText" text="Ear">
      <formula>NOT(ISERROR(SEARCH("Ear",Z174)))</formula>
    </cfRule>
    <cfRule type="containsText" dxfId="3199" priority="998" operator="containsText" text="fnd">
      <formula>NOT(ISERROR(SEARCH("fnd",Z174)))</formula>
    </cfRule>
  </conditionalFormatting>
  <conditionalFormatting sqref="Z182:AA182">
    <cfRule type="containsText" dxfId="3198" priority="101" operator="containsText" text="Str">
      <formula>NOT(ISERROR(SEARCH("Str",Z182)))</formula>
    </cfRule>
    <cfRule type="containsText" dxfId="3197" priority="102" operator="containsText" text="Ere">
      <formula>NOT(ISERROR(SEARCH("Ere",Z182)))</formula>
    </cfRule>
    <cfRule type="containsText" dxfId="3196" priority="103" operator="containsText" text="Ear">
      <formula>NOT(ISERROR(SEARCH("Ear",Z182)))</formula>
    </cfRule>
    <cfRule type="containsText" dxfId="3195" priority="104" operator="containsText" text="fnd">
      <formula>NOT(ISERROR(SEARCH("fnd",Z182)))</formula>
    </cfRule>
  </conditionalFormatting>
  <conditionalFormatting sqref="AA6">
    <cfRule type="containsText" dxfId="3194" priority="193" operator="containsText" text="Str">
      <formula>NOT(ISERROR(SEARCH("Str",AA6)))</formula>
    </cfRule>
    <cfRule type="containsText" dxfId="3193" priority="194" operator="containsText" text="Ere">
      <formula>NOT(ISERROR(SEARCH("Ere",AA6)))</formula>
    </cfRule>
    <cfRule type="containsText" dxfId="3192" priority="195" operator="containsText" text="Ear">
      <formula>NOT(ISERROR(SEARCH("Ear",AA6)))</formula>
    </cfRule>
    <cfRule type="containsText" dxfId="3191" priority="196" operator="containsText" text="fnd">
      <formula>NOT(ISERROR(SEARCH("fnd",AA6)))</formula>
    </cfRule>
  </conditionalFormatting>
  <conditionalFormatting sqref="AA14">
    <cfRule type="containsText" dxfId="3190" priority="385" operator="containsText" text="Str">
      <formula>NOT(ISERROR(SEARCH("Str",AA14)))</formula>
    </cfRule>
    <cfRule type="containsText" dxfId="3189" priority="386" operator="containsText" text="Ere">
      <formula>NOT(ISERROR(SEARCH("Ere",AA14)))</formula>
    </cfRule>
    <cfRule type="containsText" dxfId="3188" priority="387" operator="containsText" text="Ear">
      <formula>NOT(ISERROR(SEARCH("Ear",AA14)))</formula>
    </cfRule>
    <cfRule type="containsText" dxfId="3187" priority="388" operator="containsText" text="fnd">
      <formula>NOT(ISERROR(SEARCH("fnd",AA14)))</formula>
    </cfRule>
  </conditionalFormatting>
  <conditionalFormatting sqref="AA22">
    <cfRule type="containsText" dxfId="3186" priority="1883" operator="containsText" text="Str">
      <formula>NOT(ISERROR(SEARCH("Str",AA22)))</formula>
    </cfRule>
    <cfRule type="containsText" dxfId="3185" priority="1884" operator="containsText" text="Ere">
      <formula>NOT(ISERROR(SEARCH("Ere",AA22)))</formula>
    </cfRule>
    <cfRule type="containsText" dxfId="3184" priority="1885" operator="containsText" text="Ear">
      <formula>NOT(ISERROR(SEARCH("Ear",AA22)))</formula>
    </cfRule>
    <cfRule type="containsText" dxfId="3183" priority="1886" operator="containsText" text="fnd">
      <formula>NOT(ISERROR(SEARCH("fnd",AA22)))</formula>
    </cfRule>
  </conditionalFormatting>
  <conditionalFormatting sqref="AC5:AC6">
    <cfRule type="containsText" dxfId="3182" priority="189" operator="containsText" text="Str">
      <formula>NOT(ISERROR(SEARCH("Str",AC5)))</formula>
    </cfRule>
    <cfRule type="containsText" dxfId="3181" priority="190" operator="containsText" text="Ere">
      <formula>NOT(ISERROR(SEARCH("Ere",AC5)))</formula>
    </cfRule>
    <cfRule type="containsText" dxfId="3180" priority="191" operator="containsText" text="Ear">
      <formula>NOT(ISERROR(SEARCH("Ear",AC5)))</formula>
    </cfRule>
    <cfRule type="containsText" dxfId="3179" priority="192" operator="containsText" text="fnd">
      <formula>NOT(ISERROR(SEARCH("fnd",AC5)))</formula>
    </cfRule>
  </conditionalFormatting>
  <conditionalFormatting sqref="AC13:AC14">
    <cfRule type="containsText" dxfId="3178" priority="931" operator="containsText" text="Str">
      <formula>NOT(ISERROR(SEARCH("Str",AC13)))</formula>
    </cfRule>
    <cfRule type="containsText" dxfId="3177" priority="932" operator="containsText" text="Ere">
      <formula>NOT(ISERROR(SEARCH("Ere",AC13)))</formula>
    </cfRule>
    <cfRule type="containsText" dxfId="3176" priority="933" operator="containsText" text="Ear">
      <formula>NOT(ISERROR(SEARCH("Ear",AC13)))</formula>
    </cfRule>
    <cfRule type="containsText" dxfId="3175" priority="934" operator="containsText" text="fnd">
      <formula>NOT(ISERROR(SEARCH("fnd",AC13)))</formula>
    </cfRule>
  </conditionalFormatting>
  <conditionalFormatting sqref="AC21:AC22">
    <cfRule type="containsText" dxfId="3174" priority="1887" operator="containsText" text="Str">
      <formula>NOT(ISERROR(SEARCH("Str",AC21)))</formula>
    </cfRule>
    <cfRule type="containsText" dxfId="3173" priority="1888" operator="containsText" text="Ere">
      <formula>NOT(ISERROR(SEARCH("Ere",AC21)))</formula>
    </cfRule>
    <cfRule type="containsText" dxfId="3172" priority="1889" operator="containsText" text="Ear">
      <formula>NOT(ISERROR(SEARCH("Ear",AC21)))</formula>
    </cfRule>
    <cfRule type="containsText" dxfId="3171" priority="1890" operator="containsText" text="fnd">
      <formula>NOT(ISERROR(SEARCH("fnd",AC21)))</formula>
    </cfRule>
  </conditionalFormatting>
  <conditionalFormatting sqref="AC29">
    <cfRule type="containsText" dxfId="3170" priority="1787" operator="containsText" text="Str">
      <formula>NOT(ISERROR(SEARCH("Str",AC29)))</formula>
    </cfRule>
    <cfRule type="containsText" dxfId="3169" priority="1788" operator="containsText" text="Ere">
      <formula>NOT(ISERROR(SEARCH("Ere",AC29)))</formula>
    </cfRule>
    <cfRule type="containsText" dxfId="3168" priority="1789" operator="containsText" text="Ear">
      <formula>NOT(ISERROR(SEARCH("Ear",AC29)))</formula>
    </cfRule>
    <cfRule type="containsText" dxfId="3167" priority="1790" operator="containsText" text="fnd">
      <formula>NOT(ISERROR(SEARCH("fnd",AC29)))</formula>
    </cfRule>
  </conditionalFormatting>
  <conditionalFormatting sqref="AC37">
    <cfRule type="containsText" dxfId="3166" priority="1479" operator="containsText" text="Str">
      <formula>NOT(ISERROR(SEARCH("Str",AC37)))</formula>
    </cfRule>
    <cfRule type="containsText" dxfId="3165" priority="1480" operator="containsText" text="Ere">
      <formula>NOT(ISERROR(SEARCH("Ere",AC37)))</formula>
    </cfRule>
    <cfRule type="containsText" dxfId="3164" priority="1481" operator="containsText" text="Ear">
      <formula>NOT(ISERROR(SEARCH("Ear",AC37)))</formula>
    </cfRule>
    <cfRule type="containsText" dxfId="3163" priority="1482" operator="containsText" text="fnd">
      <formula>NOT(ISERROR(SEARCH("fnd",AC37)))</formula>
    </cfRule>
  </conditionalFormatting>
  <conditionalFormatting sqref="AC45">
    <cfRule type="containsText" dxfId="3162" priority="603" operator="containsText" text="Str">
      <formula>NOT(ISERROR(SEARCH("Str",AC45)))</formula>
    </cfRule>
    <cfRule type="containsText" dxfId="3161" priority="604" operator="containsText" text="Ere">
      <formula>NOT(ISERROR(SEARCH("Ere",AC45)))</formula>
    </cfRule>
    <cfRule type="containsText" dxfId="3160" priority="605" operator="containsText" text="Ear">
      <formula>NOT(ISERROR(SEARCH("Ear",AC45)))</formula>
    </cfRule>
    <cfRule type="containsText" dxfId="3159" priority="606" operator="containsText" text="fnd">
      <formula>NOT(ISERROR(SEARCH("fnd",AC45)))</formula>
    </cfRule>
  </conditionalFormatting>
  <conditionalFormatting sqref="AC53">
    <cfRule type="containsText" dxfId="3158" priority="541" operator="containsText" text="Str">
      <formula>NOT(ISERROR(SEARCH("Str",AC53)))</formula>
    </cfRule>
    <cfRule type="containsText" dxfId="3157" priority="542" operator="containsText" text="Ere">
      <formula>NOT(ISERROR(SEARCH("Ere",AC53)))</formula>
    </cfRule>
    <cfRule type="containsText" dxfId="3156" priority="543" operator="containsText" text="Ear">
      <formula>NOT(ISERROR(SEARCH("Ear",AC53)))</formula>
    </cfRule>
    <cfRule type="containsText" dxfId="3155" priority="544" operator="containsText" text="fnd">
      <formula>NOT(ISERROR(SEARCH("fnd",AC53)))</formula>
    </cfRule>
  </conditionalFormatting>
  <conditionalFormatting sqref="AC61">
    <cfRule type="containsText" dxfId="3154" priority="815" operator="containsText" text="Str">
      <formula>NOT(ISERROR(SEARCH("Str",AC61)))</formula>
    </cfRule>
    <cfRule type="containsText" dxfId="3153" priority="816" operator="containsText" text="Ere">
      <formula>NOT(ISERROR(SEARCH("Ere",AC61)))</formula>
    </cfRule>
    <cfRule type="containsText" dxfId="3152" priority="817" operator="containsText" text="Ear">
      <formula>NOT(ISERROR(SEARCH("Ear",AC61)))</formula>
    </cfRule>
    <cfRule type="containsText" dxfId="3151" priority="818" operator="containsText" text="fnd">
      <formula>NOT(ISERROR(SEARCH("fnd",AC61)))</formula>
    </cfRule>
  </conditionalFormatting>
  <conditionalFormatting sqref="AC70">
    <cfRule type="containsText" dxfId="3150" priority="2123" operator="containsText" text="Str">
      <formula>NOT(ISERROR(SEARCH("Str",AC70)))</formula>
    </cfRule>
    <cfRule type="containsText" dxfId="3149" priority="2124" operator="containsText" text="Ere">
      <formula>NOT(ISERROR(SEARCH("Ere",AC70)))</formula>
    </cfRule>
    <cfRule type="containsText" dxfId="3148" priority="2125" operator="containsText" text="Ear">
      <formula>NOT(ISERROR(SEARCH("Ear",AC70)))</formula>
    </cfRule>
    <cfRule type="containsText" dxfId="3147" priority="2126" operator="containsText" text="fnd">
      <formula>NOT(ISERROR(SEARCH("fnd",AC70)))</formula>
    </cfRule>
  </conditionalFormatting>
  <conditionalFormatting sqref="AC77">
    <cfRule type="containsText" dxfId="3146" priority="755" operator="containsText" text="Str">
      <formula>NOT(ISERROR(SEARCH("Str",AC77)))</formula>
    </cfRule>
    <cfRule type="containsText" dxfId="3145" priority="756" operator="containsText" text="Ere">
      <formula>NOT(ISERROR(SEARCH("Ere",AC77)))</formula>
    </cfRule>
    <cfRule type="containsText" dxfId="3144" priority="757" operator="containsText" text="Ear">
      <formula>NOT(ISERROR(SEARCH("Ear",AC77)))</formula>
    </cfRule>
    <cfRule type="containsText" dxfId="3143" priority="758" operator="containsText" text="fnd">
      <formula>NOT(ISERROR(SEARCH("fnd",AC77)))</formula>
    </cfRule>
  </conditionalFormatting>
  <conditionalFormatting sqref="AC85:AC86">
    <cfRule type="containsText" dxfId="3142" priority="2115" operator="containsText" text="Str">
      <formula>NOT(ISERROR(SEARCH("Str",AC85)))</formula>
    </cfRule>
    <cfRule type="containsText" dxfId="3141" priority="2116" operator="containsText" text="Ere">
      <formula>NOT(ISERROR(SEARCH("Ere",AC85)))</formula>
    </cfRule>
    <cfRule type="containsText" dxfId="3140" priority="2117" operator="containsText" text="Ear">
      <formula>NOT(ISERROR(SEARCH("Ear",AC85)))</formula>
    </cfRule>
    <cfRule type="containsText" dxfId="3139" priority="2118" operator="containsText" text="fnd">
      <formula>NOT(ISERROR(SEARCH("fnd",AC85)))</formula>
    </cfRule>
  </conditionalFormatting>
  <conditionalFormatting sqref="AC93">
    <cfRule type="containsText" dxfId="3138" priority="253" operator="containsText" text="Str">
      <formula>NOT(ISERROR(SEARCH("Str",AC93)))</formula>
    </cfRule>
    <cfRule type="containsText" dxfId="3137" priority="254" operator="containsText" text="Ere">
      <formula>NOT(ISERROR(SEARCH("Ere",AC93)))</formula>
    </cfRule>
    <cfRule type="containsText" dxfId="3136" priority="255" operator="containsText" text="Ear">
      <formula>NOT(ISERROR(SEARCH("Ear",AC93)))</formula>
    </cfRule>
    <cfRule type="containsText" dxfId="3135" priority="256" operator="containsText" text="fnd">
      <formula>NOT(ISERROR(SEARCH("fnd",AC93)))</formula>
    </cfRule>
  </conditionalFormatting>
  <conditionalFormatting sqref="AC101">
    <cfRule type="containsText" dxfId="3134" priority="1431" operator="containsText" text="Str">
      <formula>NOT(ISERROR(SEARCH("Str",AC101)))</formula>
    </cfRule>
    <cfRule type="containsText" dxfId="3133" priority="1432" operator="containsText" text="Ere">
      <formula>NOT(ISERROR(SEARCH("Ere",AC101)))</formula>
    </cfRule>
    <cfRule type="containsText" dxfId="3132" priority="1433" operator="containsText" text="Ear">
      <formula>NOT(ISERROR(SEARCH("Ear",AC101)))</formula>
    </cfRule>
    <cfRule type="containsText" dxfId="3131" priority="1434" operator="containsText" text="fnd">
      <formula>NOT(ISERROR(SEARCH("fnd",AC101)))</formula>
    </cfRule>
  </conditionalFormatting>
  <conditionalFormatting sqref="AC109">
    <cfRule type="containsText" dxfId="3130" priority="727" operator="containsText" text="Str">
      <formula>NOT(ISERROR(SEARCH("Str",AC109)))</formula>
    </cfRule>
    <cfRule type="containsText" dxfId="3129" priority="728" operator="containsText" text="Ere">
      <formula>NOT(ISERROR(SEARCH("Ere",AC109)))</formula>
    </cfRule>
    <cfRule type="containsText" dxfId="3128" priority="729" operator="containsText" text="Ear">
      <formula>NOT(ISERROR(SEARCH("Ear",AC109)))</formula>
    </cfRule>
    <cfRule type="containsText" dxfId="3127" priority="730" operator="containsText" text="fnd">
      <formula>NOT(ISERROR(SEARCH("fnd",AC109)))</formula>
    </cfRule>
  </conditionalFormatting>
  <conditionalFormatting sqref="AC117">
    <cfRule type="containsText" dxfId="3126" priority="1375" operator="containsText" text="Str">
      <formula>NOT(ISERROR(SEARCH("Str",AC117)))</formula>
    </cfRule>
    <cfRule type="containsText" dxfId="3125" priority="1376" operator="containsText" text="Ere">
      <formula>NOT(ISERROR(SEARCH("Ere",AC117)))</formula>
    </cfRule>
    <cfRule type="containsText" dxfId="3124" priority="1377" operator="containsText" text="Ear">
      <formula>NOT(ISERROR(SEARCH("Ear",AC117)))</formula>
    </cfRule>
    <cfRule type="containsText" dxfId="3123" priority="1378" operator="containsText" text="fnd">
      <formula>NOT(ISERROR(SEARCH("fnd",AC117)))</formula>
    </cfRule>
  </conditionalFormatting>
  <conditionalFormatting sqref="AC122 AC130 AC154 AC170 AC178">
    <cfRule type="containsText" dxfId="3122" priority="1987" operator="containsText" text="Str">
      <formula>NOT(ISERROR(SEARCH("Str",AC122)))</formula>
    </cfRule>
    <cfRule type="containsText" dxfId="3121" priority="1988" operator="containsText" text="Ere">
      <formula>NOT(ISERROR(SEARCH("Ere",AC122)))</formula>
    </cfRule>
    <cfRule type="containsText" dxfId="3120" priority="1989" operator="containsText" text="Ear">
      <formula>NOT(ISERROR(SEARCH("Ear",AC122)))</formula>
    </cfRule>
    <cfRule type="containsText" dxfId="3119" priority="1990" operator="containsText" text="fnd">
      <formula>NOT(ISERROR(SEARCH("fnd",AC122)))</formula>
    </cfRule>
  </conditionalFormatting>
  <conditionalFormatting sqref="AC125">
    <cfRule type="containsText" dxfId="3118" priority="545" operator="containsText" text="Str">
      <formula>NOT(ISERROR(SEARCH("Str",AC125)))</formula>
    </cfRule>
    <cfRule type="containsText" dxfId="3117" priority="546" operator="containsText" text="Ere">
      <formula>NOT(ISERROR(SEARCH("Ere",AC125)))</formula>
    </cfRule>
    <cfRule type="containsText" dxfId="3116" priority="547" operator="containsText" text="Ear">
      <formula>NOT(ISERROR(SEARCH("Ear",AC125)))</formula>
    </cfRule>
    <cfRule type="containsText" dxfId="3115" priority="548" operator="containsText" text="fnd">
      <formula>NOT(ISERROR(SEARCH("fnd",AC125)))</formula>
    </cfRule>
  </conditionalFormatting>
  <conditionalFormatting sqref="AC133">
    <cfRule type="containsText" dxfId="3114" priority="333" operator="containsText" text="Str">
      <formula>NOT(ISERROR(SEARCH("Str",AC133)))</formula>
    </cfRule>
    <cfRule type="containsText" dxfId="3113" priority="334" operator="containsText" text="Ere">
      <formula>NOT(ISERROR(SEARCH("Ere",AC133)))</formula>
    </cfRule>
    <cfRule type="containsText" dxfId="3112" priority="335" operator="containsText" text="Ear">
      <formula>NOT(ISERROR(SEARCH("Ear",AC133)))</formula>
    </cfRule>
    <cfRule type="containsText" dxfId="3111" priority="336" operator="containsText" text="fnd">
      <formula>NOT(ISERROR(SEARCH("fnd",AC133)))</formula>
    </cfRule>
  </conditionalFormatting>
  <conditionalFormatting sqref="AC141">
    <cfRule type="containsText" dxfId="3110" priority="1235" operator="containsText" text="Str">
      <formula>NOT(ISERROR(SEARCH("Str",AC141)))</formula>
    </cfRule>
    <cfRule type="containsText" dxfId="3109" priority="1236" operator="containsText" text="Ere">
      <formula>NOT(ISERROR(SEARCH("Ere",AC141)))</formula>
    </cfRule>
    <cfRule type="containsText" dxfId="3108" priority="1237" operator="containsText" text="Ear">
      <formula>NOT(ISERROR(SEARCH("Ear",AC141)))</formula>
    </cfRule>
    <cfRule type="containsText" dxfId="3107" priority="1238" operator="containsText" text="fnd">
      <formula>NOT(ISERROR(SEARCH("fnd",AC141)))</formula>
    </cfRule>
  </conditionalFormatting>
  <conditionalFormatting sqref="AC149">
    <cfRule type="containsText" dxfId="3106" priority="1159" operator="containsText" text="Str">
      <formula>NOT(ISERROR(SEARCH("Str",AC149)))</formula>
    </cfRule>
    <cfRule type="containsText" dxfId="3105" priority="1160" operator="containsText" text="Ere">
      <formula>NOT(ISERROR(SEARCH("Ere",AC149)))</formula>
    </cfRule>
    <cfRule type="containsText" dxfId="3104" priority="1161" operator="containsText" text="Ear">
      <formula>NOT(ISERROR(SEARCH("Ear",AC149)))</formula>
    </cfRule>
    <cfRule type="containsText" dxfId="3103" priority="1162" operator="containsText" text="fnd">
      <formula>NOT(ISERROR(SEARCH("fnd",AC149)))</formula>
    </cfRule>
  </conditionalFormatting>
  <conditionalFormatting sqref="AC157">
    <cfRule type="containsText" dxfId="3102" priority="457" operator="containsText" text="Str">
      <formula>NOT(ISERROR(SEARCH("Str",AC157)))</formula>
    </cfRule>
    <cfRule type="containsText" dxfId="3101" priority="458" operator="containsText" text="Ere">
      <formula>NOT(ISERROR(SEARCH("Ere",AC157)))</formula>
    </cfRule>
    <cfRule type="containsText" dxfId="3100" priority="459" operator="containsText" text="Ear">
      <formula>NOT(ISERROR(SEARCH("Ear",AC157)))</formula>
    </cfRule>
    <cfRule type="containsText" dxfId="3099" priority="460" operator="containsText" text="fnd">
      <formula>NOT(ISERROR(SEARCH("fnd",AC157)))</formula>
    </cfRule>
  </conditionalFormatting>
  <conditionalFormatting sqref="AC165">
    <cfRule type="containsText" dxfId="3098" priority="449" operator="containsText" text="Str">
      <formula>NOT(ISERROR(SEARCH("Str",AC165)))</formula>
    </cfRule>
    <cfRule type="containsText" dxfId="3097" priority="450" operator="containsText" text="Ere">
      <formula>NOT(ISERROR(SEARCH("Ere",AC165)))</formula>
    </cfRule>
    <cfRule type="containsText" dxfId="3096" priority="451" operator="containsText" text="Ear">
      <formula>NOT(ISERROR(SEARCH("Ear",AC165)))</formula>
    </cfRule>
    <cfRule type="containsText" dxfId="3095" priority="452" operator="containsText" text="fnd">
      <formula>NOT(ISERROR(SEARCH("fnd",AC165)))</formula>
    </cfRule>
  </conditionalFormatting>
  <conditionalFormatting sqref="AC173">
    <cfRule type="containsText" dxfId="3094" priority="975" operator="containsText" text="Str">
      <formula>NOT(ISERROR(SEARCH("Str",AC173)))</formula>
    </cfRule>
    <cfRule type="containsText" dxfId="3093" priority="976" operator="containsText" text="Ere">
      <formula>NOT(ISERROR(SEARCH("Ere",AC173)))</formula>
    </cfRule>
    <cfRule type="containsText" dxfId="3092" priority="977" operator="containsText" text="Ear">
      <formula>NOT(ISERROR(SEARCH("Ear",AC173)))</formula>
    </cfRule>
    <cfRule type="containsText" dxfId="3091" priority="978" operator="containsText" text="fnd">
      <formula>NOT(ISERROR(SEARCH("fnd",AC173)))</formula>
    </cfRule>
  </conditionalFormatting>
  <conditionalFormatting sqref="AC181">
    <cfRule type="containsText" dxfId="3090" priority="89" operator="containsText" text="Str">
      <formula>NOT(ISERROR(SEARCH("Str",AC181)))</formula>
    </cfRule>
    <cfRule type="containsText" dxfId="3089" priority="90" operator="containsText" text="Ere">
      <formula>NOT(ISERROR(SEARCH("Ere",AC181)))</formula>
    </cfRule>
    <cfRule type="containsText" dxfId="3088" priority="91" operator="containsText" text="Ear">
      <formula>NOT(ISERROR(SEARCH("Ear",AC181)))</formula>
    </cfRule>
    <cfRule type="containsText" dxfId="3087" priority="92" operator="containsText" text="fnd">
      <formula>NOT(ISERROR(SEARCH("fnd",AC181)))</formula>
    </cfRule>
  </conditionalFormatting>
  <conditionalFormatting sqref="AC30:AD30">
    <cfRule type="containsText" dxfId="3086" priority="1791" operator="containsText" text="Str">
      <formula>NOT(ISERROR(SEARCH("Str",AC30)))</formula>
    </cfRule>
    <cfRule type="containsText" dxfId="3085" priority="1792" operator="containsText" text="Ere">
      <formula>NOT(ISERROR(SEARCH("Ere",AC30)))</formula>
    </cfRule>
    <cfRule type="containsText" dxfId="3084" priority="1793" operator="containsText" text="Ear">
      <formula>NOT(ISERROR(SEARCH("Ear",AC30)))</formula>
    </cfRule>
    <cfRule type="containsText" dxfId="3083" priority="1794" operator="containsText" text="fnd">
      <formula>NOT(ISERROR(SEARCH("fnd",AC30)))</formula>
    </cfRule>
  </conditionalFormatting>
  <conditionalFormatting sqref="AC38:AD38">
    <cfRule type="containsText" dxfId="3082" priority="1483" operator="containsText" text="Str">
      <formula>NOT(ISERROR(SEARCH("Str",AC38)))</formula>
    </cfRule>
    <cfRule type="containsText" dxfId="3081" priority="1484" operator="containsText" text="Ere">
      <formula>NOT(ISERROR(SEARCH("Ere",AC38)))</formula>
    </cfRule>
    <cfRule type="containsText" dxfId="3080" priority="1485" operator="containsText" text="Ear">
      <formula>NOT(ISERROR(SEARCH("Ear",AC38)))</formula>
    </cfRule>
    <cfRule type="containsText" dxfId="3079" priority="1486" operator="containsText" text="fnd">
      <formula>NOT(ISERROR(SEARCH("fnd",AC38)))</formula>
    </cfRule>
  </conditionalFormatting>
  <conditionalFormatting sqref="AC54:AD54">
    <cfRule type="containsText" dxfId="3078" priority="537" operator="containsText" text="Str">
      <formula>NOT(ISERROR(SEARCH("Str",AC54)))</formula>
    </cfRule>
    <cfRule type="containsText" dxfId="3077" priority="538" operator="containsText" text="Ere">
      <formula>NOT(ISERROR(SEARCH("Ere",AC54)))</formula>
    </cfRule>
    <cfRule type="containsText" dxfId="3076" priority="539" operator="containsText" text="Ear">
      <formula>NOT(ISERROR(SEARCH("Ear",AC54)))</formula>
    </cfRule>
    <cfRule type="containsText" dxfId="3075" priority="540" operator="containsText" text="fnd">
      <formula>NOT(ISERROR(SEARCH("fnd",AC54)))</formula>
    </cfRule>
  </conditionalFormatting>
  <conditionalFormatting sqref="AC94:AD94">
    <cfRule type="containsText" dxfId="3074" priority="257" operator="containsText" text="Str">
      <formula>NOT(ISERROR(SEARCH("Str",AC94)))</formula>
    </cfRule>
    <cfRule type="containsText" dxfId="3073" priority="258" operator="containsText" text="Ere">
      <formula>NOT(ISERROR(SEARCH("Ere",AC94)))</formula>
    </cfRule>
    <cfRule type="containsText" dxfId="3072" priority="259" operator="containsText" text="Ear">
      <formula>NOT(ISERROR(SEARCH("Ear",AC94)))</formula>
    </cfRule>
    <cfRule type="containsText" dxfId="3071" priority="260" operator="containsText" text="fnd">
      <formula>NOT(ISERROR(SEARCH("fnd",AC94)))</formula>
    </cfRule>
  </conditionalFormatting>
  <conditionalFormatting sqref="AC102:AD102">
    <cfRule type="containsText" dxfId="3070" priority="1435" operator="containsText" text="Str">
      <formula>NOT(ISERROR(SEARCH("Str",AC102)))</formula>
    </cfRule>
    <cfRule type="containsText" dxfId="3069" priority="1436" operator="containsText" text="Ere">
      <formula>NOT(ISERROR(SEARCH("Ere",AC102)))</formula>
    </cfRule>
    <cfRule type="containsText" dxfId="3068" priority="1437" operator="containsText" text="Ear">
      <formula>NOT(ISERROR(SEARCH("Ear",AC102)))</formula>
    </cfRule>
    <cfRule type="containsText" dxfId="3067" priority="1438" operator="containsText" text="fnd">
      <formula>NOT(ISERROR(SEARCH("fnd",AC102)))</formula>
    </cfRule>
  </conditionalFormatting>
  <conditionalFormatting sqref="AC118:AD118">
    <cfRule type="containsText" dxfId="3066" priority="1379" operator="containsText" text="Str">
      <formula>NOT(ISERROR(SEARCH("Str",AC118)))</formula>
    </cfRule>
    <cfRule type="containsText" dxfId="3065" priority="1380" operator="containsText" text="Ere">
      <formula>NOT(ISERROR(SEARCH("Ere",AC118)))</formula>
    </cfRule>
    <cfRule type="containsText" dxfId="3064" priority="1381" operator="containsText" text="Ear">
      <formula>NOT(ISERROR(SEARCH("Ear",AC118)))</formula>
    </cfRule>
    <cfRule type="containsText" dxfId="3063" priority="1382" operator="containsText" text="fnd">
      <formula>NOT(ISERROR(SEARCH("fnd",AC118)))</formula>
    </cfRule>
  </conditionalFormatting>
  <conditionalFormatting sqref="AC126:AD126">
    <cfRule type="containsText" dxfId="3062" priority="549" operator="containsText" text="Str">
      <formula>NOT(ISERROR(SEARCH("Str",AC126)))</formula>
    </cfRule>
    <cfRule type="containsText" dxfId="3061" priority="550" operator="containsText" text="Ere">
      <formula>NOT(ISERROR(SEARCH("Ere",AC126)))</formula>
    </cfRule>
    <cfRule type="containsText" dxfId="3060" priority="551" operator="containsText" text="Ear">
      <formula>NOT(ISERROR(SEARCH("Ear",AC126)))</formula>
    </cfRule>
    <cfRule type="containsText" dxfId="3059" priority="552" operator="containsText" text="fnd">
      <formula>NOT(ISERROR(SEARCH("fnd",AC126)))</formula>
    </cfRule>
  </conditionalFormatting>
  <conditionalFormatting sqref="AC134:AD134">
    <cfRule type="containsText" dxfId="3058" priority="337" operator="containsText" text="Str">
      <formula>NOT(ISERROR(SEARCH("Str",AC134)))</formula>
    </cfRule>
    <cfRule type="containsText" dxfId="3057" priority="338" operator="containsText" text="Ere">
      <formula>NOT(ISERROR(SEARCH("Ere",AC134)))</formula>
    </cfRule>
    <cfRule type="containsText" dxfId="3056" priority="339" operator="containsText" text="Ear">
      <formula>NOT(ISERROR(SEARCH("Ear",AC134)))</formula>
    </cfRule>
    <cfRule type="containsText" dxfId="3055" priority="340" operator="containsText" text="fnd">
      <formula>NOT(ISERROR(SEARCH("fnd",AC134)))</formula>
    </cfRule>
  </conditionalFormatting>
  <conditionalFormatting sqref="AC142:AD142">
    <cfRule type="containsText" dxfId="3054" priority="1239" operator="containsText" text="Str">
      <formula>NOT(ISERROR(SEARCH("Str",AC142)))</formula>
    </cfRule>
    <cfRule type="containsText" dxfId="3053" priority="1240" operator="containsText" text="Ere">
      <formula>NOT(ISERROR(SEARCH("Ere",AC142)))</formula>
    </cfRule>
    <cfRule type="containsText" dxfId="3052" priority="1241" operator="containsText" text="Ear">
      <formula>NOT(ISERROR(SEARCH("Ear",AC142)))</formula>
    </cfRule>
    <cfRule type="containsText" dxfId="3051" priority="1242" operator="containsText" text="fnd">
      <formula>NOT(ISERROR(SEARCH("fnd",AC142)))</formula>
    </cfRule>
  </conditionalFormatting>
  <conditionalFormatting sqref="AC174:AD174">
    <cfRule type="containsText" dxfId="3050" priority="979" operator="containsText" text="Str">
      <formula>NOT(ISERROR(SEARCH("Str",AC174)))</formula>
    </cfRule>
    <cfRule type="containsText" dxfId="3049" priority="980" operator="containsText" text="Ere">
      <formula>NOT(ISERROR(SEARCH("Ere",AC174)))</formula>
    </cfRule>
    <cfRule type="containsText" dxfId="3048" priority="981" operator="containsText" text="Ear">
      <formula>NOT(ISERROR(SEARCH("Ear",AC174)))</formula>
    </cfRule>
    <cfRule type="containsText" dxfId="3047" priority="982" operator="containsText" text="fnd">
      <formula>NOT(ISERROR(SEARCH("fnd",AC174)))</formula>
    </cfRule>
  </conditionalFormatting>
  <conditionalFormatting sqref="AC182:AD182">
    <cfRule type="containsText" dxfId="3046" priority="93" operator="containsText" text="Str">
      <formula>NOT(ISERROR(SEARCH("Str",AC182)))</formula>
    </cfRule>
    <cfRule type="containsText" dxfId="3045" priority="94" operator="containsText" text="Ere">
      <formula>NOT(ISERROR(SEARCH("Ere",AC182)))</formula>
    </cfRule>
    <cfRule type="containsText" dxfId="3044" priority="95" operator="containsText" text="Ear">
      <formula>NOT(ISERROR(SEARCH("Ear",AC182)))</formula>
    </cfRule>
    <cfRule type="containsText" dxfId="3043" priority="96" operator="containsText" text="fnd">
      <formula>NOT(ISERROR(SEARCH("fnd",AC182)))</formula>
    </cfRule>
  </conditionalFormatting>
  <conditionalFormatting sqref="AD6">
    <cfRule type="containsText" dxfId="3042" priority="185" operator="containsText" text="Str">
      <formula>NOT(ISERROR(SEARCH("Str",AD6)))</formula>
    </cfRule>
    <cfRule type="containsText" dxfId="3041" priority="186" operator="containsText" text="Ere">
      <formula>NOT(ISERROR(SEARCH("Ere",AD6)))</formula>
    </cfRule>
    <cfRule type="containsText" dxfId="3040" priority="187" operator="containsText" text="Ear">
      <formula>NOT(ISERROR(SEARCH("Ear",AD6)))</formula>
    </cfRule>
    <cfRule type="containsText" dxfId="3039" priority="188" operator="containsText" text="fnd">
      <formula>NOT(ISERROR(SEARCH("fnd",AD6)))</formula>
    </cfRule>
  </conditionalFormatting>
  <conditionalFormatting sqref="AD14">
    <cfRule type="containsText" dxfId="3038" priority="927" operator="containsText" text="Str">
      <formula>NOT(ISERROR(SEARCH("Str",AD14)))</formula>
    </cfRule>
    <cfRule type="containsText" dxfId="3037" priority="928" operator="containsText" text="Ere">
      <formula>NOT(ISERROR(SEARCH("Ere",AD14)))</formula>
    </cfRule>
    <cfRule type="containsText" dxfId="3036" priority="929" operator="containsText" text="Ear">
      <formula>NOT(ISERROR(SEARCH("Ear",AD14)))</formula>
    </cfRule>
    <cfRule type="containsText" dxfId="3035" priority="930" operator="containsText" text="fnd">
      <formula>NOT(ISERROR(SEARCH("fnd",AD14)))</formula>
    </cfRule>
  </conditionalFormatting>
  <conditionalFormatting sqref="AD22">
    <cfRule type="containsText" dxfId="3034" priority="1879" operator="containsText" text="Str">
      <formula>NOT(ISERROR(SEARCH("Str",AD22)))</formula>
    </cfRule>
    <cfRule type="containsText" dxfId="3033" priority="1880" operator="containsText" text="Ere">
      <formula>NOT(ISERROR(SEARCH("Ere",AD22)))</formula>
    </cfRule>
    <cfRule type="containsText" dxfId="3032" priority="1881" operator="containsText" text="Ear">
      <formula>NOT(ISERROR(SEARCH("Ear",AD22)))</formula>
    </cfRule>
    <cfRule type="containsText" dxfId="3031" priority="1882" operator="containsText" text="fnd">
      <formula>NOT(ISERROR(SEARCH("fnd",AD22)))</formula>
    </cfRule>
  </conditionalFormatting>
  <conditionalFormatting sqref="AF5:AF6">
    <cfRule type="containsText" dxfId="3030" priority="181" operator="containsText" text="Str">
      <formula>NOT(ISERROR(SEARCH("Str",AF5)))</formula>
    </cfRule>
    <cfRule type="containsText" dxfId="3029" priority="182" operator="containsText" text="Ere">
      <formula>NOT(ISERROR(SEARCH("Ere",AF5)))</formula>
    </cfRule>
    <cfRule type="containsText" dxfId="3028" priority="183" operator="containsText" text="Ear">
      <formula>NOT(ISERROR(SEARCH("Ear",AF5)))</formula>
    </cfRule>
    <cfRule type="containsText" dxfId="3027" priority="184" operator="containsText" text="fnd">
      <formula>NOT(ISERROR(SEARCH("fnd",AF5)))</formula>
    </cfRule>
  </conditionalFormatting>
  <conditionalFormatting sqref="AF13:AF14">
    <cfRule type="containsText" dxfId="3026" priority="739" operator="containsText" text="Str">
      <formula>NOT(ISERROR(SEARCH("Str",AF13)))</formula>
    </cfRule>
    <cfRule type="containsText" dxfId="3025" priority="740" operator="containsText" text="Ere">
      <formula>NOT(ISERROR(SEARCH("Ere",AF13)))</formula>
    </cfRule>
    <cfRule type="containsText" dxfId="3024" priority="741" operator="containsText" text="Ear">
      <formula>NOT(ISERROR(SEARCH("Ear",AF13)))</formula>
    </cfRule>
    <cfRule type="containsText" dxfId="3023" priority="742" operator="containsText" text="fnd">
      <formula>NOT(ISERROR(SEARCH("fnd",AF13)))</formula>
    </cfRule>
  </conditionalFormatting>
  <conditionalFormatting sqref="AF21:AF22">
    <cfRule type="containsText" dxfId="3022" priority="1775" operator="containsText" text="Str">
      <formula>NOT(ISERROR(SEARCH("Str",AF21)))</formula>
    </cfRule>
    <cfRule type="containsText" dxfId="3021" priority="1776" operator="containsText" text="Ere">
      <formula>NOT(ISERROR(SEARCH("Ere",AF21)))</formula>
    </cfRule>
    <cfRule type="containsText" dxfId="3020" priority="1777" operator="containsText" text="Ear">
      <formula>NOT(ISERROR(SEARCH("Ear",AF21)))</formula>
    </cfRule>
    <cfRule type="containsText" dxfId="3019" priority="1778" operator="containsText" text="fnd">
      <formula>NOT(ISERROR(SEARCH("fnd",AF21)))</formula>
    </cfRule>
  </conditionalFormatting>
  <conditionalFormatting sqref="AF29">
    <cfRule type="containsText" dxfId="3018" priority="1455" operator="containsText" text="Str">
      <formula>NOT(ISERROR(SEARCH("Str",AF29)))</formula>
    </cfRule>
    <cfRule type="containsText" dxfId="3017" priority="1456" operator="containsText" text="Ere">
      <formula>NOT(ISERROR(SEARCH("Ere",AF29)))</formula>
    </cfRule>
    <cfRule type="containsText" dxfId="3016" priority="1457" operator="containsText" text="Ear">
      <formula>NOT(ISERROR(SEARCH("Ear",AF29)))</formula>
    </cfRule>
    <cfRule type="containsText" dxfId="3015" priority="1458" operator="containsText" text="fnd">
      <formula>NOT(ISERROR(SEARCH("fnd",AF29)))</formula>
    </cfRule>
  </conditionalFormatting>
  <conditionalFormatting sqref="AF37">
    <cfRule type="containsText" dxfId="3014" priority="2187" operator="containsText" text="Str">
      <formula>NOT(ISERROR(SEARCH("Str",AF37)))</formula>
    </cfRule>
    <cfRule type="containsText" dxfId="3013" priority="2188" operator="containsText" text="Ere">
      <formula>NOT(ISERROR(SEARCH("Ere",AF37)))</formula>
    </cfRule>
    <cfRule type="containsText" dxfId="3012" priority="2189" operator="containsText" text="Ear">
      <formula>NOT(ISERROR(SEARCH("Ear",AF37)))</formula>
    </cfRule>
    <cfRule type="containsText" dxfId="3011" priority="2190" operator="containsText" text="fnd">
      <formula>NOT(ISERROR(SEARCH("fnd",AF37)))</formula>
    </cfRule>
  </conditionalFormatting>
  <conditionalFormatting sqref="AF53">
    <cfRule type="containsText" dxfId="3010" priority="759" operator="containsText" text="Str">
      <formula>NOT(ISERROR(SEARCH("Str",AF53)))</formula>
    </cfRule>
    <cfRule type="containsText" dxfId="3009" priority="760" operator="containsText" text="Ere">
      <formula>NOT(ISERROR(SEARCH("Ere",AF53)))</formula>
    </cfRule>
    <cfRule type="containsText" dxfId="3008" priority="761" operator="containsText" text="Ear">
      <formula>NOT(ISERROR(SEARCH("Ear",AF53)))</formula>
    </cfRule>
    <cfRule type="containsText" dxfId="3007" priority="762" operator="containsText" text="fnd">
      <formula>NOT(ISERROR(SEARCH("fnd",AF53)))</formula>
    </cfRule>
  </conditionalFormatting>
  <conditionalFormatting sqref="AF61">
    <cfRule type="containsText" dxfId="3006" priority="1863" operator="containsText" text="Str">
      <formula>NOT(ISERROR(SEARCH("Str",AF61)))</formula>
    </cfRule>
    <cfRule type="containsText" dxfId="3005" priority="1864" operator="containsText" text="Ere">
      <formula>NOT(ISERROR(SEARCH("Ere",AF61)))</formula>
    </cfRule>
    <cfRule type="containsText" dxfId="3004" priority="1865" operator="containsText" text="Ear">
      <formula>NOT(ISERROR(SEARCH("Ear",AF61)))</formula>
    </cfRule>
    <cfRule type="containsText" dxfId="3003" priority="1866" operator="containsText" text="fnd">
      <formula>NOT(ISERROR(SEARCH("fnd",AF61)))</formula>
    </cfRule>
  </conditionalFormatting>
  <conditionalFormatting sqref="AF69">
    <cfRule type="containsText" dxfId="3002" priority="2107" operator="containsText" text="Str">
      <formula>NOT(ISERROR(SEARCH("Str",AF69)))</formula>
    </cfRule>
    <cfRule type="containsText" dxfId="3001" priority="2108" operator="containsText" text="Ere">
      <formula>NOT(ISERROR(SEARCH("Ere",AF69)))</formula>
    </cfRule>
    <cfRule type="containsText" dxfId="3000" priority="2109" operator="containsText" text="Ear">
      <formula>NOT(ISERROR(SEARCH("Ear",AF69)))</formula>
    </cfRule>
    <cfRule type="containsText" dxfId="2999" priority="2110" operator="containsText" text="fnd">
      <formula>NOT(ISERROR(SEARCH("fnd",AF69)))</formula>
    </cfRule>
  </conditionalFormatting>
  <conditionalFormatting sqref="AF85 AI85">
    <cfRule type="containsText" dxfId="2998" priority="2199" operator="containsText" text="Str">
      <formula>NOT(ISERROR(SEARCH("Str",AF85)))</formula>
    </cfRule>
    <cfRule type="containsText" dxfId="2997" priority="2200" operator="containsText" text="Ere">
      <formula>NOT(ISERROR(SEARCH("Ere",AF85)))</formula>
    </cfRule>
    <cfRule type="containsText" dxfId="2996" priority="2201" operator="containsText" text="Ear">
      <formula>NOT(ISERROR(SEARCH("Ear",AF85)))</formula>
    </cfRule>
    <cfRule type="containsText" dxfId="2995" priority="2202" operator="containsText" text="fnd">
      <formula>NOT(ISERROR(SEARCH("fnd",AF85)))</formula>
    </cfRule>
  </conditionalFormatting>
  <conditionalFormatting sqref="AF93:AF94">
    <cfRule type="containsText" dxfId="2994" priority="2175" operator="containsText" text="Str">
      <formula>NOT(ISERROR(SEARCH("Str",AF93)))</formula>
    </cfRule>
    <cfRule type="containsText" dxfId="2993" priority="2176" operator="containsText" text="Ere">
      <formula>NOT(ISERROR(SEARCH("Ere",AF93)))</formula>
    </cfRule>
    <cfRule type="containsText" dxfId="2992" priority="2177" operator="containsText" text="Ear">
      <formula>NOT(ISERROR(SEARCH("Ear",AF93)))</formula>
    </cfRule>
    <cfRule type="containsText" dxfId="2991" priority="2178" operator="containsText" text="fnd">
      <formula>NOT(ISERROR(SEARCH("fnd",AF93)))</formula>
    </cfRule>
  </conditionalFormatting>
  <conditionalFormatting sqref="AF101">
    <cfRule type="containsText" dxfId="2990" priority="469" operator="containsText" text="Str">
      <formula>NOT(ISERROR(SEARCH("Str",AF101)))</formula>
    </cfRule>
    <cfRule type="containsText" dxfId="2989" priority="470" operator="containsText" text="Ere">
      <formula>NOT(ISERROR(SEARCH("Ere",AF101)))</formula>
    </cfRule>
    <cfRule type="containsText" dxfId="2988" priority="471" operator="containsText" text="Ear">
      <formula>NOT(ISERROR(SEARCH("Ear",AF101)))</formula>
    </cfRule>
    <cfRule type="containsText" dxfId="2987" priority="472" operator="containsText" text="fnd">
      <formula>NOT(ISERROR(SEARCH("fnd",AF101)))</formula>
    </cfRule>
  </conditionalFormatting>
  <conditionalFormatting sqref="AF109">
    <cfRule type="containsText" dxfId="2986" priority="1679" operator="containsText" text="Str">
      <formula>NOT(ISERROR(SEARCH("Str",AF109)))</formula>
    </cfRule>
    <cfRule type="containsText" dxfId="2985" priority="1680" operator="containsText" text="Ere">
      <formula>NOT(ISERROR(SEARCH("Ere",AF109)))</formula>
    </cfRule>
    <cfRule type="containsText" dxfId="2984" priority="1681" operator="containsText" text="Ear">
      <formula>NOT(ISERROR(SEARCH("Ear",AF109)))</formula>
    </cfRule>
    <cfRule type="containsText" dxfId="2983" priority="1682" operator="containsText" text="fnd">
      <formula>NOT(ISERROR(SEARCH("fnd",AF109)))</formula>
    </cfRule>
  </conditionalFormatting>
  <conditionalFormatting sqref="AF117">
    <cfRule type="containsText" dxfId="2982" priority="675" operator="containsText" text="Str">
      <formula>NOT(ISERROR(SEARCH("Str",AF117)))</formula>
    </cfRule>
    <cfRule type="containsText" dxfId="2981" priority="676" operator="containsText" text="Ere">
      <formula>NOT(ISERROR(SEARCH("Ere",AF117)))</formula>
    </cfRule>
    <cfRule type="containsText" dxfId="2980" priority="677" operator="containsText" text="Ear">
      <formula>NOT(ISERROR(SEARCH("Ear",AF117)))</formula>
    </cfRule>
    <cfRule type="containsText" dxfId="2979" priority="678" operator="containsText" text="fnd">
      <formula>NOT(ISERROR(SEARCH("fnd",AF117)))</formula>
    </cfRule>
  </conditionalFormatting>
  <conditionalFormatting sqref="AF122 AF130 AF138 AF162 AF170 AF178">
    <cfRule type="containsText" dxfId="2978" priority="1983" operator="containsText" text="Str">
      <formula>NOT(ISERROR(SEARCH("Str",AF122)))</formula>
    </cfRule>
    <cfRule type="containsText" dxfId="2977" priority="1984" operator="containsText" text="Ere">
      <formula>NOT(ISERROR(SEARCH("Ere",AF122)))</formula>
    </cfRule>
    <cfRule type="containsText" dxfId="2976" priority="1985" operator="containsText" text="Ear">
      <formula>NOT(ISERROR(SEARCH("Ear",AF122)))</formula>
    </cfRule>
    <cfRule type="containsText" dxfId="2975" priority="1986" operator="containsText" text="fnd">
      <formula>NOT(ISERROR(SEARCH("fnd",AF122)))</formula>
    </cfRule>
  </conditionalFormatting>
  <conditionalFormatting sqref="AF125">
    <cfRule type="containsText" dxfId="2974" priority="481" operator="containsText" text="Str">
      <formula>NOT(ISERROR(SEARCH("Str",AF125)))</formula>
    </cfRule>
    <cfRule type="containsText" dxfId="2973" priority="482" operator="containsText" text="Ere">
      <formula>NOT(ISERROR(SEARCH("Ere",AF125)))</formula>
    </cfRule>
    <cfRule type="containsText" dxfId="2972" priority="483" operator="containsText" text="Ear">
      <formula>NOT(ISERROR(SEARCH("Ear",AF125)))</formula>
    </cfRule>
    <cfRule type="containsText" dxfId="2971" priority="484" operator="containsText" text="fnd">
      <formula>NOT(ISERROR(SEARCH("fnd",AF125)))</formula>
    </cfRule>
  </conditionalFormatting>
  <conditionalFormatting sqref="AF133">
    <cfRule type="containsText" dxfId="2970" priority="237" operator="containsText" text="Str">
      <formula>NOT(ISERROR(SEARCH("Str",AF133)))</formula>
    </cfRule>
    <cfRule type="containsText" dxfId="2969" priority="238" operator="containsText" text="Ere">
      <formula>NOT(ISERROR(SEARCH("Ere",AF133)))</formula>
    </cfRule>
    <cfRule type="containsText" dxfId="2968" priority="239" operator="containsText" text="Ear">
      <formula>NOT(ISERROR(SEARCH("Ear",AF133)))</formula>
    </cfRule>
    <cfRule type="containsText" dxfId="2967" priority="240" operator="containsText" text="fnd">
      <formula>NOT(ISERROR(SEARCH("fnd",AF133)))</formula>
    </cfRule>
  </conditionalFormatting>
  <conditionalFormatting sqref="AF141">
    <cfRule type="containsText" dxfId="2966" priority="1219" operator="containsText" text="Str">
      <formula>NOT(ISERROR(SEARCH("Str",AF141)))</formula>
    </cfRule>
    <cfRule type="containsText" dxfId="2965" priority="1220" operator="containsText" text="Ere">
      <formula>NOT(ISERROR(SEARCH("Ere",AF141)))</formula>
    </cfRule>
    <cfRule type="containsText" dxfId="2964" priority="1221" operator="containsText" text="Ear">
      <formula>NOT(ISERROR(SEARCH("Ear",AF141)))</formula>
    </cfRule>
    <cfRule type="containsText" dxfId="2963" priority="1222" operator="containsText" text="fnd">
      <formula>NOT(ISERROR(SEARCH("fnd",AF141)))</formula>
    </cfRule>
  </conditionalFormatting>
  <conditionalFormatting sqref="AF149">
    <cfRule type="containsText" dxfId="2962" priority="1155" operator="containsText" text="Str">
      <formula>NOT(ISERROR(SEARCH("Str",AF149)))</formula>
    </cfRule>
    <cfRule type="containsText" dxfId="2961" priority="1156" operator="containsText" text="Ere">
      <formula>NOT(ISERROR(SEARCH("Ere",AF149)))</formula>
    </cfRule>
    <cfRule type="containsText" dxfId="2960" priority="1157" operator="containsText" text="Ear">
      <formula>NOT(ISERROR(SEARCH("Ear",AF149)))</formula>
    </cfRule>
    <cfRule type="containsText" dxfId="2959" priority="1158" operator="containsText" text="fnd">
      <formula>NOT(ISERROR(SEARCH("fnd",AF149)))</formula>
    </cfRule>
  </conditionalFormatting>
  <conditionalFormatting sqref="AF157">
    <cfRule type="containsText" dxfId="2958" priority="1087" operator="containsText" text="Str">
      <formula>NOT(ISERROR(SEARCH("Str",AF157)))</formula>
    </cfRule>
    <cfRule type="containsText" dxfId="2957" priority="1088" operator="containsText" text="Ere">
      <formula>NOT(ISERROR(SEARCH("Ere",AF157)))</formula>
    </cfRule>
    <cfRule type="containsText" dxfId="2956" priority="1089" operator="containsText" text="Ear">
      <formula>NOT(ISERROR(SEARCH("Ear",AF157)))</formula>
    </cfRule>
    <cfRule type="containsText" dxfId="2955" priority="1090" operator="containsText" text="fnd">
      <formula>NOT(ISERROR(SEARCH("fnd",AF157)))</formula>
    </cfRule>
  </conditionalFormatting>
  <conditionalFormatting sqref="AF165">
    <cfRule type="containsText" dxfId="2954" priority="1023" operator="containsText" text="Str">
      <formula>NOT(ISERROR(SEARCH("Str",AF165)))</formula>
    </cfRule>
    <cfRule type="containsText" dxfId="2953" priority="1024" operator="containsText" text="Ere">
      <formula>NOT(ISERROR(SEARCH("Ere",AF165)))</formula>
    </cfRule>
    <cfRule type="containsText" dxfId="2952" priority="1025" operator="containsText" text="Ear">
      <formula>NOT(ISERROR(SEARCH("Ear",AF165)))</formula>
    </cfRule>
    <cfRule type="containsText" dxfId="2951" priority="1026" operator="containsText" text="fnd">
      <formula>NOT(ISERROR(SEARCH("fnd",AF165)))</formula>
    </cfRule>
  </conditionalFormatting>
  <conditionalFormatting sqref="AF173">
    <cfRule type="containsText" dxfId="2950" priority="353" operator="containsText" text="Str">
      <formula>NOT(ISERROR(SEARCH("Str",AF173)))</formula>
    </cfRule>
    <cfRule type="containsText" dxfId="2949" priority="354" operator="containsText" text="Ere">
      <formula>NOT(ISERROR(SEARCH("Ere",AF173)))</formula>
    </cfRule>
    <cfRule type="containsText" dxfId="2948" priority="355" operator="containsText" text="Ear">
      <formula>NOT(ISERROR(SEARCH("Ear",AF173)))</formula>
    </cfRule>
    <cfRule type="containsText" dxfId="2947" priority="356" operator="containsText" text="fnd">
      <formula>NOT(ISERROR(SEARCH("fnd",AF173)))</formula>
    </cfRule>
  </conditionalFormatting>
  <conditionalFormatting sqref="AF181">
    <cfRule type="containsText" dxfId="2946" priority="81" operator="containsText" text="Str">
      <formula>NOT(ISERROR(SEARCH("Str",AF181)))</formula>
    </cfRule>
    <cfRule type="containsText" dxfId="2945" priority="82" operator="containsText" text="Ere">
      <formula>NOT(ISERROR(SEARCH("Ere",AF181)))</formula>
    </cfRule>
    <cfRule type="containsText" dxfId="2944" priority="83" operator="containsText" text="Ear">
      <formula>NOT(ISERROR(SEARCH("Ear",AF181)))</formula>
    </cfRule>
    <cfRule type="containsText" dxfId="2943" priority="84" operator="containsText" text="fnd">
      <formula>NOT(ISERROR(SEARCH("fnd",AF181)))</formula>
    </cfRule>
  </conditionalFormatting>
  <conditionalFormatting sqref="AF30:AG30">
    <cfRule type="containsText" dxfId="2942" priority="1459" operator="containsText" text="Str">
      <formula>NOT(ISERROR(SEARCH("Str",AF30)))</formula>
    </cfRule>
    <cfRule type="containsText" dxfId="2941" priority="1460" operator="containsText" text="Ere">
      <formula>NOT(ISERROR(SEARCH("Ere",AF30)))</formula>
    </cfRule>
    <cfRule type="containsText" dxfId="2940" priority="1461" operator="containsText" text="Ear">
      <formula>NOT(ISERROR(SEARCH("Ear",AF30)))</formula>
    </cfRule>
    <cfRule type="containsText" dxfId="2939" priority="1462" operator="containsText" text="fnd">
      <formula>NOT(ISERROR(SEARCH("fnd",AF30)))</formula>
    </cfRule>
  </conditionalFormatting>
  <conditionalFormatting sqref="AF38:AG38">
    <cfRule type="containsText" dxfId="2938" priority="2299" operator="containsText" text="Str">
      <formula>NOT(ISERROR(SEARCH("Str",AF38)))</formula>
    </cfRule>
    <cfRule type="containsText" dxfId="2937" priority="2300" operator="containsText" text="Ere">
      <formula>NOT(ISERROR(SEARCH("Ere",AF38)))</formula>
    </cfRule>
    <cfRule type="containsText" dxfId="2936" priority="2301" operator="containsText" text="Ear">
      <formula>NOT(ISERROR(SEARCH("Ear",AF38)))</formula>
    </cfRule>
    <cfRule type="containsText" dxfId="2935" priority="2302" operator="containsText" text="fnd">
      <formula>NOT(ISERROR(SEARCH("fnd",AF38)))</formula>
    </cfRule>
  </conditionalFormatting>
  <conditionalFormatting sqref="AF45:AG46 K53 H53:H54">
    <cfRule type="containsText" dxfId="2934" priority="2255" operator="containsText" text="Str">
      <formula>NOT(ISERROR(SEARCH("Str",H45)))</formula>
    </cfRule>
    <cfRule type="containsText" dxfId="2933" priority="2256" operator="containsText" text="Ere">
      <formula>NOT(ISERROR(SEARCH("Ere",H45)))</formula>
    </cfRule>
    <cfRule type="containsText" dxfId="2932" priority="2257" operator="containsText" text="Ear">
      <formula>NOT(ISERROR(SEARCH("Ear",H45)))</formula>
    </cfRule>
    <cfRule type="containsText" dxfId="2931" priority="2258" operator="containsText" text="fnd">
      <formula>NOT(ISERROR(SEARCH("fnd",H45)))</formula>
    </cfRule>
  </conditionalFormatting>
  <conditionalFormatting sqref="AF62:AG62">
    <cfRule type="containsText" dxfId="2930" priority="1867" operator="containsText" text="Str">
      <formula>NOT(ISERROR(SEARCH("Str",AF62)))</formula>
    </cfRule>
    <cfRule type="containsText" dxfId="2929" priority="1868" operator="containsText" text="Ere">
      <formula>NOT(ISERROR(SEARCH("Ere",AF62)))</formula>
    </cfRule>
    <cfRule type="containsText" dxfId="2928" priority="1869" operator="containsText" text="Ear">
      <formula>NOT(ISERROR(SEARCH("Ear",AF62)))</formula>
    </cfRule>
    <cfRule type="containsText" dxfId="2927" priority="1870" operator="containsText" text="fnd">
      <formula>NOT(ISERROR(SEARCH("fnd",AF62)))</formula>
    </cfRule>
  </conditionalFormatting>
  <conditionalFormatting sqref="AF70:AG70">
    <cfRule type="containsText" dxfId="2926" priority="2131" operator="containsText" text="Str">
      <formula>NOT(ISERROR(SEARCH("Str",AF70)))</formula>
    </cfRule>
    <cfRule type="containsText" dxfId="2925" priority="2132" operator="containsText" text="Ere">
      <formula>NOT(ISERROR(SEARCH("Ere",AF70)))</formula>
    </cfRule>
    <cfRule type="containsText" dxfId="2924" priority="2133" operator="containsText" text="Ear">
      <formula>NOT(ISERROR(SEARCH("Ear",AF70)))</formula>
    </cfRule>
    <cfRule type="containsText" dxfId="2923" priority="2134" operator="containsText" text="fnd">
      <formula>NOT(ISERROR(SEARCH("fnd",AF70)))</formula>
    </cfRule>
  </conditionalFormatting>
  <conditionalFormatting sqref="AF86:AG86">
    <cfRule type="containsText" dxfId="2922" priority="2227" operator="containsText" text="Str">
      <formula>NOT(ISERROR(SEARCH("Str",AF86)))</formula>
    </cfRule>
    <cfRule type="containsText" dxfId="2921" priority="2228" operator="containsText" text="Ere">
      <formula>NOT(ISERROR(SEARCH("Ere",AF86)))</formula>
    </cfRule>
    <cfRule type="containsText" dxfId="2920" priority="2229" operator="containsText" text="Ear">
      <formula>NOT(ISERROR(SEARCH("Ear",AF86)))</formula>
    </cfRule>
    <cfRule type="containsText" dxfId="2919" priority="2230" operator="containsText" text="fnd">
      <formula>NOT(ISERROR(SEARCH("fnd",AF86)))</formula>
    </cfRule>
  </conditionalFormatting>
  <conditionalFormatting sqref="AF110:AG110">
    <cfRule type="containsText" dxfId="2918" priority="1683" operator="containsText" text="Str">
      <formula>NOT(ISERROR(SEARCH("Str",AF110)))</formula>
    </cfRule>
    <cfRule type="containsText" dxfId="2917" priority="1684" operator="containsText" text="Ere">
      <formula>NOT(ISERROR(SEARCH("Ere",AF110)))</formula>
    </cfRule>
    <cfRule type="containsText" dxfId="2916" priority="1685" operator="containsText" text="Ear">
      <formula>NOT(ISERROR(SEARCH("Ear",AF110)))</formula>
    </cfRule>
    <cfRule type="containsText" dxfId="2915" priority="1686" operator="containsText" text="fnd">
      <formula>NOT(ISERROR(SEARCH("fnd",AF110)))</formula>
    </cfRule>
  </conditionalFormatting>
  <conditionalFormatting sqref="AF118:AG118">
    <cfRule type="containsText" dxfId="2914" priority="679" operator="containsText" text="Str">
      <formula>NOT(ISERROR(SEARCH("Str",AF118)))</formula>
    </cfRule>
    <cfRule type="containsText" dxfId="2913" priority="680" operator="containsText" text="Ere">
      <formula>NOT(ISERROR(SEARCH("Ere",AF118)))</formula>
    </cfRule>
    <cfRule type="containsText" dxfId="2912" priority="681" operator="containsText" text="Ear">
      <formula>NOT(ISERROR(SEARCH("Ear",AF118)))</formula>
    </cfRule>
    <cfRule type="containsText" dxfId="2911" priority="682" operator="containsText" text="fnd">
      <formula>NOT(ISERROR(SEARCH("fnd",AF118)))</formula>
    </cfRule>
  </conditionalFormatting>
  <conditionalFormatting sqref="AF126:AG126">
    <cfRule type="containsText" dxfId="2910" priority="485" operator="containsText" text="Str">
      <formula>NOT(ISERROR(SEARCH("Str",AF126)))</formula>
    </cfRule>
    <cfRule type="containsText" dxfId="2909" priority="486" operator="containsText" text="Ere">
      <formula>NOT(ISERROR(SEARCH("Ere",AF126)))</formula>
    </cfRule>
    <cfRule type="containsText" dxfId="2908" priority="487" operator="containsText" text="Ear">
      <formula>NOT(ISERROR(SEARCH("Ear",AF126)))</formula>
    </cfRule>
    <cfRule type="containsText" dxfId="2907" priority="488" operator="containsText" text="fnd">
      <formula>NOT(ISERROR(SEARCH("fnd",AF126)))</formula>
    </cfRule>
  </conditionalFormatting>
  <conditionalFormatting sqref="AF134:AG134">
    <cfRule type="containsText" dxfId="2906" priority="241" operator="containsText" text="Str">
      <formula>NOT(ISERROR(SEARCH("Str",AF134)))</formula>
    </cfRule>
    <cfRule type="containsText" dxfId="2905" priority="242" operator="containsText" text="Ere">
      <formula>NOT(ISERROR(SEARCH("Ere",AF134)))</formula>
    </cfRule>
    <cfRule type="containsText" dxfId="2904" priority="243" operator="containsText" text="Ear">
      <formula>NOT(ISERROR(SEARCH("Ear",AF134)))</formula>
    </cfRule>
    <cfRule type="containsText" dxfId="2903" priority="244" operator="containsText" text="fnd">
      <formula>NOT(ISERROR(SEARCH("fnd",AF134)))</formula>
    </cfRule>
  </conditionalFormatting>
  <conditionalFormatting sqref="AF142:AG142">
    <cfRule type="containsText" dxfId="2902" priority="1223" operator="containsText" text="Str">
      <formula>NOT(ISERROR(SEARCH("Str",AF142)))</formula>
    </cfRule>
    <cfRule type="containsText" dxfId="2901" priority="1224" operator="containsText" text="Ere">
      <formula>NOT(ISERROR(SEARCH("Ere",AF142)))</formula>
    </cfRule>
    <cfRule type="containsText" dxfId="2900" priority="1225" operator="containsText" text="Ear">
      <formula>NOT(ISERROR(SEARCH("Ear",AF142)))</formula>
    </cfRule>
    <cfRule type="containsText" dxfId="2899" priority="1226" operator="containsText" text="fnd">
      <formula>NOT(ISERROR(SEARCH("fnd",AF142)))</formula>
    </cfRule>
  </conditionalFormatting>
  <conditionalFormatting sqref="AF158:AG158">
    <cfRule type="containsText" dxfId="2898" priority="1091" operator="containsText" text="Str">
      <formula>NOT(ISERROR(SEARCH("Str",AF158)))</formula>
    </cfRule>
    <cfRule type="containsText" dxfId="2897" priority="1092" operator="containsText" text="Ere">
      <formula>NOT(ISERROR(SEARCH("Ere",AF158)))</formula>
    </cfRule>
    <cfRule type="containsText" dxfId="2896" priority="1093" operator="containsText" text="Ear">
      <formula>NOT(ISERROR(SEARCH("Ear",AF158)))</formula>
    </cfRule>
    <cfRule type="containsText" dxfId="2895" priority="1094" operator="containsText" text="fnd">
      <formula>NOT(ISERROR(SEARCH("fnd",AF158)))</formula>
    </cfRule>
  </conditionalFormatting>
  <conditionalFormatting sqref="AF166:AG166">
    <cfRule type="containsText" dxfId="2894" priority="1027" operator="containsText" text="Str">
      <formula>NOT(ISERROR(SEARCH("Str",AF166)))</formula>
    </cfRule>
    <cfRule type="containsText" dxfId="2893" priority="1028" operator="containsText" text="Ere">
      <formula>NOT(ISERROR(SEARCH("Ere",AF166)))</formula>
    </cfRule>
    <cfRule type="containsText" dxfId="2892" priority="1029" operator="containsText" text="Ear">
      <formula>NOT(ISERROR(SEARCH("Ear",AF166)))</formula>
    </cfRule>
    <cfRule type="containsText" dxfId="2891" priority="1030" operator="containsText" text="fnd">
      <formula>NOT(ISERROR(SEARCH("fnd",AF166)))</formula>
    </cfRule>
  </conditionalFormatting>
  <conditionalFormatting sqref="AF174:AG174">
    <cfRule type="containsText" dxfId="2890" priority="357" operator="containsText" text="Str">
      <formula>NOT(ISERROR(SEARCH("Str",AF174)))</formula>
    </cfRule>
    <cfRule type="containsText" dxfId="2889" priority="358" operator="containsText" text="Ere">
      <formula>NOT(ISERROR(SEARCH("Ere",AF174)))</formula>
    </cfRule>
    <cfRule type="containsText" dxfId="2888" priority="359" operator="containsText" text="Ear">
      <formula>NOT(ISERROR(SEARCH("Ear",AF174)))</formula>
    </cfRule>
    <cfRule type="containsText" dxfId="2887" priority="360" operator="containsText" text="fnd">
      <formula>NOT(ISERROR(SEARCH("fnd",AF174)))</formula>
    </cfRule>
  </conditionalFormatting>
  <conditionalFormatting sqref="AF182:AG182">
    <cfRule type="containsText" dxfId="2886" priority="85" operator="containsText" text="Str">
      <formula>NOT(ISERROR(SEARCH("Str",AF182)))</formula>
    </cfRule>
    <cfRule type="containsText" dxfId="2885" priority="86" operator="containsText" text="Ere">
      <formula>NOT(ISERROR(SEARCH("Ere",AF182)))</formula>
    </cfRule>
    <cfRule type="containsText" dxfId="2884" priority="87" operator="containsText" text="Ear">
      <formula>NOT(ISERROR(SEARCH("Ear",AF182)))</formula>
    </cfRule>
    <cfRule type="containsText" dxfId="2883" priority="88" operator="containsText" text="fnd">
      <formula>NOT(ISERROR(SEARCH("fnd",AF182)))</formula>
    </cfRule>
  </conditionalFormatting>
  <conditionalFormatting sqref="AG6">
    <cfRule type="containsText" dxfId="2882" priority="177" operator="containsText" text="Str">
      <formula>NOT(ISERROR(SEARCH("Str",AG6)))</formula>
    </cfRule>
    <cfRule type="containsText" dxfId="2881" priority="178" operator="containsText" text="Ere">
      <formula>NOT(ISERROR(SEARCH("Ere",AG6)))</formula>
    </cfRule>
    <cfRule type="containsText" dxfId="2880" priority="179" operator="containsText" text="Ear">
      <formula>NOT(ISERROR(SEARCH("Ear",AG6)))</formula>
    </cfRule>
    <cfRule type="containsText" dxfId="2879" priority="180" operator="containsText" text="fnd">
      <formula>NOT(ISERROR(SEARCH("fnd",AG6)))</formula>
    </cfRule>
  </conditionalFormatting>
  <conditionalFormatting sqref="AG14">
    <cfRule type="containsText" dxfId="2878" priority="735" operator="containsText" text="Str">
      <formula>NOT(ISERROR(SEARCH("Str",AG14)))</formula>
    </cfRule>
    <cfRule type="containsText" dxfId="2877" priority="736" operator="containsText" text="Ere">
      <formula>NOT(ISERROR(SEARCH("Ere",AG14)))</formula>
    </cfRule>
    <cfRule type="containsText" dxfId="2876" priority="737" operator="containsText" text="Ear">
      <formula>NOT(ISERROR(SEARCH("Ear",AG14)))</formula>
    </cfRule>
    <cfRule type="containsText" dxfId="2875" priority="738" operator="containsText" text="fnd">
      <formula>NOT(ISERROR(SEARCH("fnd",AG14)))</formula>
    </cfRule>
  </conditionalFormatting>
  <conditionalFormatting sqref="AG22">
    <cfRule type="containsText" dxfId="2874" priority="1771" operator="containsText" text="Str">
      <formula>NOT(ISERROR(SEARCH("Str",AG22)))</formula>
    </cfRule>
    <cfRule type="containsText" dxfId="2873" priority="1772" operator="containsText" text="Ere">
      <formula>NOT(ISERROR(SEARCH("Ere",AG22)))</formula>
    </cfRule>
    <cfRule type="containsText" dxfId="2872" priority="1773" operator="containsText" text="Ear">
      <formula>NOT(ISERROR(SEARCH("Ear",AG22)))</formula>
    </cfRule>
    <cfRule type="containsText" dxfId="2871" priority="1774" operator="containsText" text="fnd">
      <formula>NOT(ISERROR(SEARCH("fnd",AG22)))</formula>
    </cfRule>
  </conditionalFormatting>
  <conditionalFormatting sqref="AG78">
    <cfRule type="containsText" dxfId="2870" priority="2243" operator="containsText" text="Str">
      <formula>NOT(ISERROR(SEARCH("Str",AG78)))</formula>
    </cfRule>
    <cfRule type="containsText" dxfId="2869" priority="2244" operator="containsText" text="Ere">
      <formula>NOT(ISERROR(SEARCH("Ere",AG78)))</formula>
    </cfRule>
    <cfRule type="containsText" dxfId="2868" priority="2245" operator="containsText" text="Ear">
      <formula>NOT(ISERROR(SEARCH("Ear",AG78)))</formula>
    </cfRule>
    <cfRule type="containsText" dxfId="2867" priority="2246" operator="containsText" text="fnd">
      <formula>NOT(ISERROR(SEARCH("fnd",AG78)))</formula>
    </cfRule>
  </conditionalFormatting>
  <conditionalFormatting sqref="AI5:AI6">
    <cfRule type="containsText" dxfId="2866" priority="173" operator="containsText" text="Str">
      <formula>NOT(ISERROR(SEARCH("Str",AI5)))</formula>
    </cfRule>
    <cfRule type="containsText" dxfId="2865" priority="174" operator="containsText" text="Ere">
      <formula>NOT(ISERROR(SEARCH("Ere",AI5)))</formula>
    </cfRule>
    <cfRule type="containsText" dxfId="2864" priority="175" operator="containsText" text="Ear">
      <formula>NOT(ISERROR(SEARCH("Ear",AI5)))</formula>
    </cfRule>
    <cfRule type="containsText" dxfId="2863" priority="176" operator="containsText" text="fnd">
      <formula>NOT(ISERROR(SEARCH("fnd",AI5)))</formula>
    </cfRule>
  </conditionalFormatting>
  <conditionalFormatting sqref="AI13:AI14">
    <cfRule type="containsText" dxfId="2862" priority="1627" operator="containsText" text="Str">
      <formula>NOT(ISERROR(SEARCH("Str",AI13)))</formula>
    </cfRule>
    <cfRule type="containsText" dxfId="2861" priority="1628" operator="containsText" text="Ere">
      <formula>NOT(ISERROR(SEARCH("Ere",AI13)))</formula>
    </cfRule>
    <cfRule type="containsText" dxfId="2860" priority="1629" operator="containsText" text="Ear">
      <formula>NOT(ISERROR(SEARCH("Ear",AI13)))</formula>
    </cfRule>
    <cfRule type="containsText" dxfId="2859" priority="1630" operator="containsText" text="fnd">
      <formula>NOT(ISERROR(SEARCH("fnd",AI13)))</formula>
    </cfRule>
  </conditionalFormatting>
  <conditionalFormatting sqref="AI21:AI22">
    <cfRule type="containsText" dxfId="2858" priority="923" operator="containsText" text="Str">
      <formula>NOT(ISERROR(SEARCH("Str",AI21)))</formula>
    </cfRule>
    <cfRule type="containsText" dxfId="2857" priority="924" operator="containsText" text="Ere">
      <formula>NOT(ISERROR(SEARCH("Ere",AI21)))</formula>
    </cfRule>
    <cfRule type="containsText" dxfId="2856" priority="925" operator="containsText" text="Ear">
      <formula>NOT(ISERROR(SEARCH("Ear",AI21)))</formula>
    </cfRule>
    <cfRule type="containsText" dxfId="2855" priority="926" operator="containsText" text="fnd">
      <formula>NOT(ISERROR(SEARCH("fnd",AI21)))</formula>
    </cfRule>
  </conditionalFormatting>
  <conditionalFormatting sqref="AI29">
    <cfRule type="containsText" dxfId="2854" priority="1687" operator="containsText" text="Str">
      <formula>NOT(ISERROR(SEARCH("Str",AI29)))</formula>
    </cfRule>
    <cfRule type="containsText" dxfId="2853" priority="1688" operator="containsText" text="Ere">
      <formula>NOT(ISERROR(SEARCH("Ere",AI29)))</formula>
    </cfRule>
    <cfRule type="containsText" dxfId="2852" priority="1689" operator="containsText" text="Ear">
      <formula>NOT(ISERROR(SEARCH("Ear",AI29)))</formula>
    </cfRule>
    <cfRule type="containsText" dxfId="2851" priority="1690" operator="containsText" text="fnd">
      <formula>NOT(ISERROR(SEARCH("fnd",AI29)))</formula>
    </cfRule>
  </conditionalFormatting>
  <conditionalFormatting sqref="AI37">
    <cfRule type="containsText" dxfId="2850" priority="843" operator="containsText" text="Str">
      <formula>NOT(ISERROR(SEARCH("Str",AI37)))</formula>
    </cfRule>
    <cfRule type="containsText" dxfId="2849" priority="844" operator="containsText" text="Ere">
      <formula>NOT(ISERROR(SEARCH("Ere",AI37)))</formula>
    </cfRule>
    <cfRule type="containsText" dxfId="2848" priority="845" operator="containsText" text="Ear">
      <formula>NOT(ISERROR(SEARCH("Ear",AI37)))</formula>
    </cfRule>
    <cfRule type="containsText" dxfId="2847" priority="846" operator="containsText" text="fnd">
      <formula>NOT(ISERROR(SEARCH("fnd",AI37)))</formula>
    </cfRule>
  </conditionalFormatting>
  <conditionalFormatting sqref="AI53">
    <cfRule type="containsText" dxfId="2846" priority="763" operator="containsText" text="Str">
      <formula>NOT(ISERROR(SEARCH("Str",AI53)))</formula>
    </cfRule>
    <cfRule type="containsText" dxfId="2845" priority="764" operator="containsText" text="Ere">
      <formula>NOT(ISERROR(SEARCH("Ere",AI53)))</formula>
    </cfRule>
    <cfRule type="containsText" dxfId="2844" priority="765" operator="containsText" text="Ear">
      <formula>NOT(ISERROR(SEARCH("Ear",AI53)))</formula>
    </cfRule>
    <cfRule type="containsText" dxfId="2843" priority="766" operator="containsText" text="fnd">
      <formula>NOT(ISERROR(SEARCH("fnd",AI53)))</formula>
    </cfRule>
  </conditionalFormatting>
  <conditionalFormatting sqref="AI61">
    <cfRule type="containsText" dxfId="2842" priority="1947" operator="containsText" text="Str">
      <formula>NOT(ISERROR(SEARCH("Str",AI61)))</formula>
    </cfRule>
    <cfRule type="containsText" dxfId="2841" priority="1948" operator="containsText" text="Ere">
      <formula>NOT(ISERROR(SEARCH("Ere",AI61)))</formula>
    </cfRule>
    <cfRule type="containsText" dxfId="2840" priority="1949" operator="containsText" text="Ear">
      <formula>NOT(ISERROR(SEARCH("Ear",AI61)))</formula>
    </cfRule>
    <cfRule type="containsText" dxfId="2839" priority="1950" operator="containsText" text="fnd">
      <formula>NOT(ISERROR(SEARCH("fnd",AI61)))</formula>
    </cfRule>
  </conditionalFormatting>
  <conditionalFormatting sqref="AI69">
    <cfRule type="containsText" dxfId="2838" priority="1871" operator="containsText" text="Str">
      <formula>NOT(ISERROR(SEARCH("Str",AI69)))</formula>
    </cfRule>
    <cfRule type="containsText" dxfId="2837" priority="1872" operator="containsText" text="Ere">
      <formula>NOT(ISERROR(SEARCH("Ere",AI69)))</formula>
    </cfRule>
    <cfRule type="containsText" dxfId="2836" priority="1873" operator="containsText" text="Ear">
      <formula>NOT(ISERROR(SEARCH("Ear",AI69)))</formula>
    </cfRule>
    <cfRule type="containsText" dxfId="2835" priority="1874" operator="containsText" text="fnd">
      <formula>NOT(ISERROR(SEARCH("fnd",AI69)))</formula>
    </cfRule>
  </conditionalFormatting>
  <conditionalFormatting sqref="AI77:AI78">
    <cfRule type="containsText" dxfId="2834" priority="261" operator="containsText" text="Str">
      <formula>NOT(ISERROR(SEARCH("Str",AI77)))</formula>
    </cfRule>
    <cfRule type="containsText" dxfId="2833" priority="262" operator="containsText" text="Ere">
      <formula>NOT(ISERROR(SEARCH("Ere",AI77)))</formula>
    </cfRule>
    <cfRule type="containsText" dxfId="2832" priority="263" operator="containsText" text="Ear">
      <formula>NOT(ISERROR(SEARCH("Ear",AI77)))</formula>
    </cfRule>
    <cfRule type="containsText" dxfId="2831" priority="264" operator="containsText" text="fnd">
      <formula>NOT(ISERROR(SEARCH("fnd",AI77)))</formula>
    </cfRule>
  </conditionalFormatting>
  <conditionalFormatting sqref="AI93:AI94">
    <cfRule type="containsText" dxfId="2830" priority="1611" operator="containsText" text="Str">
      <formula>NOT(ISERROR(SEARCH("Str",AI93)))</formula>
    </cfRule>
    <cfRule type="containsText" dxfId="2829" priority="1612" operator="containsText" text="Ere">
      <formula>NOT(ISERROR(SEARCH("Ere",AI93)))</formula>
    </cfRule>
    <cfRule type="containsText" dxfId="2828" priority="1613" operator="containsText" text="Ear">
      <formula>NOT(ISERROR(SEARCH("Ear",AI93)))</formula>
    </cfRule>
    <cfRule type="containsText" dxfId="2827" priority="1614" operator="containsText" text="fnd">
      <formula>NOT(ISERROR(SEARCH("fnd",AI93)))</formula>
    </cfRule>
  </conditionalFormatting>
  <conditionalFormatting sqref="AI101">
    <cfRule type="containsText" dxfId="2826" priority="2155" operator="containsText" text="Str">
      <formula>NOT(ISERROR(SEARCH("Str",AI101)))</formula>
    </cfRule>
    <cfRule type="containsText" dxfId="2825" priority="2156" operator="containsText" text="Ere">
      <formula>NOT(ISERROR(SEARCH("Ere",AI101)))</formula>
    </cfRule>
    <cfRule type="containsText" dxfId="2824" priority="2157" operator="containsText" text="Ear">
      <formula>NOT(ISERROR(SEARCH("Ear",AI101)))</formula>
    </cfRule>
    <cfRule type="containsText" dxfId="2823" priority="2158" operator="containsText" text="fnd">
      <formula>NOT(ISERROR(SEARCH("fnd",AI101)))</formula>
    </cfRule>
  </conditionalFormatting>
  <conditionalFormatting sqref="AI109">
    <cfRule type="containsText" dxfId="2822" priority="1639" operator="containsText" text="Str">
      <formula>NOT(ISERROR(SEARCH("Str",AI109)))</formula>
    </cfRule>
    <cfRule type="containsText" dxfId="2821" priority="1640" operator="containsText" text="Ere">
      <formula>NOT(ISERROR(SEARCH("Ere",AI109)))</formula>
    </cfRule>
    <cfRule type="containsText" dxfId="2820" priority="1641" operator="containsText" text="Ear">
      <formula>NOT(ISERROR(SEARCH("Ear",AI109)))</formula>
    </cfRule>
    <cfRule type="containsText" dxfId="2819" priority="1642" operator="containsText" text="fnd">
      <formula>NOT(ISERROR(SEARCH("fnd",AI109)))</formula>
    </cfRule>
  </conditionalFormatting>
  <conditionalFormatting sqref="AI117">
    <cfRule type="containsText" dxfId="2818" priority="579" operator="containsText" text="Str">
      <formula>NOT(ISERROR(SEARCH("Str",AI117)))</formula>
    </cfRule>
    <cfRule type="containsText" dxfId="2817" priority="580" operator="containsText" text="Ere">
      <formula>NOT(ISERROR(SEARCH("Ere",AI117)))</formula>
    </cfRule>
    <cfRule type="containsText" dxfId="2816" priority="581" operator="containsText" text="Ear">
      <formula>NOT(ISERROR(SEARCH("Ear",AI117)))</formula>
    </cfRule>
    <cfRule type="containsText" dxfId="2815" priority="582" operator="containsText" text="fnd">
      <formula>NOT(ISERROR(SEARCH("fnd",AI117)))</formula>
    </cfRule>
  </conditionalFormatting>
  <conditionalFormatting sqref="AI122 AI130 AI138 AI170 AI178">
    <cfRule type="containsText" dxfId="2814" priority="1979" operator="containsText" text="Str">
      <formula>NOT(ISERROR(SEARCH("Str",AI122)))</formula>
    </cfRule>
    <cfRule type="containsText" dxfId="2813" priority="1980" operator="containsText" text="Ere">
      <formula>NOT(ISERROR(SEARCH("Ere",AI122)))</formula>
    </cfRule>
    <cfRule type="containsText" dxfId="2812" priority="1981" operator="containsText" text="Ear">
      <formula>NOT(ISERROR(SEARCH("Ear",AI122)))</formula>
    </cfRule>
    <cfRule type="containsText" dxfId="2811" priority="1982" operator="containsText" text="fnd">
      <formula>NOT(ISERROR(SEARCH("fnd",AI122)))</formula>
    </cfRule>
  </conditionalFormatting>
  <conditionalFormatting sqref="AI125">
    <cfRule type="containsText" dxfId="2810" priority="1351" operator="containsText" text="Str">
      <formula>NOT(ISERROR(SEARCH("Str",AI125)))</formula>
    </cfRule>
    <cfRule type="containsText" dxfId="2809" priority="1352" operator="containsText" text="Ere">
      <formula>NOT(ISERROR(SEARCH("Ere",AI125)))</formula>
    </cfRule>
    <cfRule type="containsText" dxfId="2808" priority="1353" operator="containsText" text="Ear">
      <formula>NOT(ISERROR(SEARCH("Ear",AI125)))</formula>
    </cfRule>
    <cfRule type="containsText" dxfId="2807" priority="1354" operator="containsText" text="fnd">
      <formula>NOT(ISERROR(SEARCH("fnd",AI125)))</formula>
    </cfRule>
  </conditionalFormatting>
  <conditionalFormatting sqref="AI133">
    <cfRule type="containsText" dxfId="2806" priority="1299" operator="containsText" text="Str">
      <formula>NOT(ISERROR(SEARCH("Str",AI133)))</formula>
    </cfRule>
    <cfRule type="containsText" dxfId="2805" priority="1300" operator="containsText" text="Ere">
      <formula>NOT(ISERROR(SEARCH("Ere",AI133)))</formula>
    </cfRule>
    <cfRule type="containsText" dxfId="2804" priority="1301" operator="containsText" text="Ear">
      <formula>NOT(ISERROR(SEARCH("Ear",AI133)))</formula>
    </cfRule>
    <cfRule type="containsText" dxfId="2803" priority="1302" operator="containsText" text="fnd">
      <formula>NOT(ISERROR(SEARCH("fnd",AI133)))</formula>
    </cfRule>
  </conditionalFormatting>
  <conditionalFormatting sqref="AI141">
    <cfRule type="containsText" dxfId="2802" priority="1195" operator="containsText" text="Str">
      <formula>NOT(ISERROR(SEARCH("Str",AI141)))</formula>
    </cfRule>
    <cfRule type="containsText" dxfId="2801" priority="1196" operator="containsText" text="Ere">
      <formula>NOT(ISERROR(SEARCH("Ere",AI141)))</formula>
    </cfRule>
    <cfRule type="containsText" dxfId="2800" priority="1197" operator="containsText" text="Ear">
      <formula>NOT(ISERROR(SEARCH("Ear",AI141)))</formula>
    </cfRule>
    <cfRule type="containsText" dxfId="2799" priority="1198" operator="containsText" text="fnd">
      <formula>NOT(ISERROR(SEARCH("fnd",AI141)))</formula>
    </cfRule>
  </conditionalFormatting>
  <conditionalFormatting sqref="AI149">
    <cfRule type="containsText" dxfId="2798" priority="301" operator="containsText" text="Str">
      <formula>NOT(ISERROR(SEARCH("Str",AI149)))</formula>
    </cfRule>
    <cfRule type="containsText" dxfId="2797" priority="302" operator="containsText" text="Ere">
      <formula>NOT(ISERROR(SEARCH("Ere",AI149)))</formula>
    </cfRule>
    <cfRule type="containsText" dxfId="2796" priority="303" operator="containsText" text="Ear">
      <formula>NOT(ISERROR(SEARCH("Ear",AI149)))</formula>
    </cfRule>
    <cfRule type="containsText" dxfId="2795" priority="304" operator="containsText" text="fnd">
      <formula>NOT(ISERROR(SEARCH("fnd",AI149)))</formula>
    </cfRule>
  </conditionalFormatting>
  <conditionalFormatting sqref="AI157">
    <cfRule type="containsText" dxfId="2794" priority="1063" operator="containsText" text="Str">
      <formula>NOT(ISERROR(SEARCH("Str",AI157)))</formula>
    </cfRule>
    <cfRule type="containsText" dxfId="2793" priority="1064" operator="containsText" text="Ere">
      <formula>NOT(ISERROR(SEARCH("Ere",AI157)))</formula>
    </cfRule>
    <cfRule type="containsText" dxfId="2792" priority="1065" operator="containsText" text="Ear">
      <formula>NOT(ISERROR(SEARCH("Ear",AI157)))</formula>
    </cfRule>
    <cfRule type="containsText" dxfId="2791" priority="1066" operator="containsText" text="fnd">
      <formula>NOT(ISERROR(SEARCH("fnd",AI157)))</formula>
    </cfRule>
  </conditionalFormatting>
  <conditionalFormatting sqref="AI165">
    <cfRule type="containsText" dxfId="2790" priority="489" operator="containsText" text="Str">
      <formula>NOT(ISERROR(SEARCH("Str",AI165)))</formula>
    </cfRule>
    <cfRule type="containsText" dxfId="2789" priority="490" operator="containsText" text="Ere">
      <formula>NOT(ISERROR(SEARCH("Ere",AI165)))</formula>
    </cfRule>
    <cfRule type="containsText" dxfId="2788" priority="491" operator="containsText" text="Ear">
      <formula>NOT(ISERROR(SEARCH("Ear",AI165)))</formula>
    </cfRule>
    <cfRule type="containsText" dxfId="2787" priority="492" operator="containsText" text="fnd">
      <formula>NOT(ISERROR(SEARCH("fnd",AI165)))</formula>
    </cfRule>
  </conditionalFormatting>
  <conditionalFormatting sqref="AI173">
    <cfRule type="containsText" dxfId="2786" priority="959" operator="containsText" text="Str">
      <formula>NOT(ISERROR(SEARCH("Str",AI173)))</formula>
    </cfRule>
    <cfRule type="containsText" dxfId="2785" priority="960" operator="containsText" text="Ere">
      <formula>NOT(ISERROR(SEARCH("Ere",AI173)))</formula>
    </cfRule>
    <cfRule type="containsText" dxfId="2784" priority="961" operator="containsText" text="Ear">
      <formula>NOT(ISERROR(SEARCH("Ear",AI173)))</formula>
    </cfRule>
    <cfRule type="containsText" dxfId="2783" priority="962" operator="containsText" text="fnd">
      <formula>NOT(ISERROR(SEARCH("fnd",AI173)))</formula>
    </cfRule>
  </conditionalFormatting>
  <conditionalFormatting sqref="AI181">
    <cfRule type="containsText" dxfId="2782" priority="73" operator="containsText" text="Str">
      <formula>NOT(ISERROR(SEARCH("Str",AI181)))</formula>
    </cfRule>
    <cfRule type="containsText" dxfId="2781" priority="74" operator="containsText" text="Ere">
      <formula>NOT(ISERROR(SEARCH("Ere",AI181)))</formula>
    </cfRule>
    <cfRule type="containsText" dxfId="2780" priority="75" operator="containsText" text="Ear">
      <formula>NOT(ISERROR(SEARCH("Ear",AI181)))</formula>
    </cfRule>
    <cfRule type="containsText" dxfId="2779" priority="76" operator="containsText" text="fnd">
      <formula>NOT(ISERROR(SEARCH("fnd",AI181)))</formula>
    </cfRule>
  </conditionalFormatting>
  <conditionalFormatting sqref="AI30:AJ30">
    <cfRule type="containsText" dxfId="2778" priority="1691" operator="containsText" text="Str">
      <formula>NOT(ISERROR(SEARCH("Str",AI30)))</formula>
    </cfRule>
    <cfRule type="containsText" dxfId="2777" priority="1692" operator="containsText" text="Ere">
      <formula>NOT(ISERROR(SEARCH("Ere",AI30)))</formula>
    </cfRule>
    <cfRule type="containsText" dxfId="2776" priority="1693" operator="containsText" text="Ear">
      <formula>NOT(ISERROR(SEARCH("Ear",AI30)))</formula>
    </cfRule>
    <cfRule type="containsText" dxfId="2775" priority="1694" operator="containsText" text="fnd">
      <formula>NOT(ISERROR(SEARCH("fnd",AI30)))</formula>
    </cfRule>
  </conditionalFormatting>
  <conditionalFormatting sqref="AI38:AJ38">
    <cfRule type="containsText" dxfId="2774" priority="847" operator="containsText" text="Str">
      <formula>NOT(ISERROR(SEARCH("Str",AI38)))</formula>
    </cfRule>
    <cfRule type="containsText" dxfId="2773" priority="848" operator="containsText" text="Ere">
      <formula>NOT(ISERROR(SEARCH("Ere",AI38)))</formula>
    </cfRule>
    <cfRule type="containsText" dxfId="2772" priority="849" operator="containsText" text="Ear">
      <formula>NOT(ISERROR(SEARCH("Ear",AI38)))</formula>
    </cfRule>
    <cfRule type="containsText" dxfId="2771" priority="850" operator="containsText" text="fnd">
      <formula>NOT(ISERROR(SEARCH("fnd",AI38)))</formula>
    </cfRule>
  </conditionalFormatting>
  <conditionalFormatting sqref="AI46:AJ46">
    <cfRule type="containsText" dxfId="2770" priority="2291" operator="containsText" text="Str">
      <formula>NOT(ISERROR(SEARCH("Str",AI46)))</formula>
    </cfRule>
    <cfRule type="containsText" dxfId="2769" priority="2292" operator="containsText" text="Ere">
      <formula>NOT(ISERROR(SEARCH("Ere",AI46)))</formula>
    </cfRule>
    <cfRule type="containsText" dxfId="2768" priority="2293" operator="containsText" text="Ear">
      <formula>NOT(ISERROR(SEARCH("Ear",AI46)))</formula>
    </cfRule>
    <cfRule type="containsText" dxfId="2767" priority="2294" operator="containsText" text="fnd">
      <formula>NOT(ISERROR(SEARCH("fnd",AI46)))</formula>
    </cfRule>
  </conditionalFormatting>
  <conditionalFormatting sqref="AI62:AJ62">
    <cfRule type="containsText" dxfId="2766" priority="1951" operator="containsText" text="Str">
      <formula>NOT(ISERROR(SEARCH("Str",AI62)))</formula>
    </cfRule>
    <cfRule type="containsText" dxfId="2765" priority="1952" operator="containsText" text="Ere">
      <formula>NOT(ISERROR(SEARCH("Ere",AI62)))</formula>
    </cfRule>
    <cfRule type="containsText" dxfId="2764" priority="1953" operator="containsText" text="Ear">
      <formula>NOT(ISERROR(SEARCH("Ear",AI62)))</formula>
    </cfRule>
    <cfRule type="containsText" dxfId="2763" priority="1954" operator="containsText" text="fnd">
      <formula>NOT(ISERROR(SEARCH("fnd",AI62)))</formula>
    </cfRule>
  </conditionalFormatting>
  <conditionalFormatting sqref="AI70:AJ70">
    <cfRule type="containsText" dxfId="2762" priority="1875" operator="containsText" text="Str">
      <formula>NOT(ISERROR(SEARCH("Str",AI70)))</formula>
    </cfRule>
    <cfRule type="containsText" dxfId="2761" priority="1876" operator="containsText" text="Ere">
      <formula>NOT(ISERROR(SEARCH("Ere",AI70)))</formula>
    </cfRule>
    <cfRule type="containsText" dxfId="2760" priority="1877" operator="containsText" text="Ear">
      <formula>NOT(ISERROR(SEARCH("Ear",AI70)))</formula>
    </cfRule>
    <cfRule type="containsText" dxfId="2759" priority="1878" operator="containsText" text="fnd">
      <formula>NOT(ISERROR(SEARCH("fnd",AI70)))</formula>
    </cfRule>
  </conditionalFormatting>
  <conditionalFormatting sqref="AI86:AJ86">
    <cfRule type="containsText" dxfId="2758" priority="2223" operator="containsText" text="Str">
      <formula>NOT(ISERROR(SEARCH("Str",AI86)))</formula>
    </cfRule>
    <cfRule type="containsText" dxfId="2757" priority="2224" operator="containsText" text="Ere">
      <formula>NOT(ISERROR(SEARCH("Ere",AI86)))</formula>
    </cfRule>
    <cfRule type="containsText" dxfId="2756" priority="2225" operator="containsText" text="Ear">
      <formula>NOT(ISERROR(SEARCH("Ear",AI86)))</formula>
    </cfRule>
    <cfRule type="containsText" dxfId="2755" priority="2226" operator="containsText" text="fnd">
      <formula>NOT(ISERROR(SEARCH("fnd",AI86)))</formula>
    </cfRule>
  </conditionalFormatting>
  <conditionalFormatting sqref="AI102:AJ102">
    <cfRule type="containsText" dxfId="2754" priority="2219" operator="containsText" text="Str">
      <formula>NOT(ISERROR(SEARCH("Str",AI102)))</formula>
    </cfRule>
    <cfRule type="containsText" dxfId="2753" priority="2220" operator="containsText" text="Ere">
      <formula>NOT(ISERROR(SEARCH("Ere",AI102)))</formula>
    </cfRule>
    <cfRule type="containsText" dxfId="2752" priority="2221" operator="containsText" text="Ear">
      <formula>NOT(ISERROR(SEARCH("Ear",AI102)))</formula>
    </cfRule>
    <cfRule type="containsText" dxfId="2751" priority="2222" operator="containsText" text="fnd">
      <formula>NOT(ISERROR(SEARCH("fnd",AI102)))</formula>
    </cfRule>
  </conditionalFormatting>
  <conditionalFormatting sqref="AI110:AJ110">
    <cfRule type="containsText" dxfId="2750" priority="1643" operator="containsText" text="Str">
      <formula>NOT(ISERROR(SEARCH("Str",AI110)))</formula>
    </cfRule>
    <cfRule type="containsText" dxfId="2749" priority="1644" operator="containsText" text="Ere">
      <formula>NOT(ISERROR(SEARCH("Ere",AI110)))</formula>
    </cfRule>
    <cfRule type="containsText" dxfId="2748" priority="1645" operator="containsText" text="Ear">
      <formula>NOT(ISERROR(SEARCH("Ear",AI110)))</formula>
    </cfRule>
    <cfRule type="containsText" dxfId="2747" priority="1646" operator="containsText" text="fnd">
      <formula>NOT(ISERROR(SEARCH("fnd",AI110)))</formula>
    </cfRule>
  </conditionalFormatting>
  <conditionalFormatting sqref="AI118:AJ118">
    <cfRule type="containsText" dxfId="2746" priority="583" operator="containsText" text="Str">
      <formula>NOT(ISERROR(SEARCH("Str",AI118)))</formula>
    </cfRule>
    <cfRule type="containsText" dxfId="2745" priority="584" operator="containsText" text="Ere">
      <formula>NOT(ISERROR(SEARCH("Ere",AI118)))</formula>
    </cfRule>
    <cfRule type="containsText" dxfId="2744" priority="585" operator="containsText" text="Ear">
      <formula>NOT(ISERROR(SEARCH("Ear",AI118)))</formula>
    </cfRule>
    <cfRule type="containsText" dxfId="2743" priority="586" operator="containsText" text="fnd">
      <formula>NOT(ISERROR(SEARCH("fnd",AI118)))</formula>
    </cfRule>
  </conditionalFormatting>
  <conditionalFormatting sqref="AI126:AJ126">
    <cfRule type="containsText" dxfId="2742" priority="1355" operator="containsText" text="Str">
      <formula>NOT(ISERROR(SEARCH("Str",AI126)))</formula>
    </cfRule>
    <cfRule type="containsText" dxfId="2741" priority="1356" operator="containsText" text="Ere">
      <formula>NOT(ISERROR(SEARCH("Ere",AI126)))</formula>
    </cfRule>
    <cfRule type="containsText" dxfId="2740" priority="1357" operator="containsText" text="Ear">
      <formula>NOT(ISERROR(SEARCH("Ear",AI126)))</formula>
    </cfRule>
    <cfRule type="containsText" dxfId="2739" priority="1358" operator="containsText" text="fnd">
      <formula>NOT(ISERROR(SEARCH("fnd",AI126)))</formula>
    </cfRule>
  </conditionalFormatting>
  <conditionalFormatting sqref="AI134:AJ134">
    <cfRule type="containsText" dxfId="2738" priority="1303" operator="containsText" text="Str">
      <formula>NOT(ISERROR(SEARCH("Str",AI134)))</formula>
    </cfRule>
    <cfRule type="containsText" dxfId="2737" priority="1304" operator="containsText" text="Ere">
      <formula>NOT(ISERROR(SEARCH("Ere",AI134)))</formula>
    </cfRule>
    <cfRule type="containsText" dxfId="2736" priority="1305" operator="containsText" text="Ear">
      <formula>NOT(ISERROR(SEARCH("Ear",AI134)))</formula>
    </cfRule>
    <cfRule type="containsText" dxfId="2735" priority="1306" operator="containsText" text="fnd">
      <formula>NOT(ISERROR(SEARCH("fnd",AI134)))</formula>
    </cfRule>
  </conditionalFormatting>
  <conditionalFormatting sqref="AI142:AJ142">
    <cfRule type="containsText" dxfId="2734" priority="1199" operator="containsText" text="Str">
      <formula>NOT(ISERROR(SEARCH("Str",AI142)))</formula>
    </cfRule>
    <cfRule type="containsText" dxfId="2733" priority="1200" operator="containsText" text="Ere">
      <formula>NOT(ISERROR(SEARCH("Ere",AI142)))</formula>
    </cfRule>
    <cfRule type="containsText" dxfId="2732" priority="1201" operator="containsText" text="Ear">
      <formula>NOT(ISERROR(SEARCH("Ear",AI142)))</formula>
    </cfRule>
    <cfRule type="containsText" dxfId="2731" priority="1202" operator="containsText" text="fnd">
      <formula>NOT(ISERROR(SEARCH("fnd",AI142)))</formula>
    </cfRule>
  </conditionalFormatting>
  <conditionalFormatting sqref="AI150:AJ150">
    <cfRule type="containsText" dxfId="2730" priority="305" operator="containsText" text="Str">
      <formula>NOT(ISERROR(SEARCH("Str",AI150)))</formula>
    </cfRule>
    <cfRule type="containsText" dxfId="2729" priority="306" operator="containsText" text="Ere">
      <formula>NOT(ISERROR(SEARCH("Ere",AI150)))</formula>
    </cfRule>
    <cfRule type="containsText" dxfId="2728" priority="307" operator="containsText" text="Ear">
      <formula>NOT(ISERROR(SEARCH("Ear",AI150)))</formula>
    </cfRule>
    <cfRule type="containsText" dxfId="2727" priority="308" operator="containsText" text="fnd">
      <formula>NOT(ISERROR(SEARCH("fnd",AI150)))</formula>
    </cfRule>
  </conditionalFormatting>
  <conditionalFormatting sqref="AI158:AJ158">
    <cfRule type="containsText" dxfId="2726" priority="1067" operator="containsText" text="Str">
      <formula>NOT(ISERROR(SEARCH("Str",AI158)))</formula>
    </cfRule>
    <cfRule type="containsText" dxfId="2725" priority="1068" operator="containsText" text="Ere">
      <formula>NOT(ISERROR(SEARCH("Ere",AI158)))</formula>
    </cfRule>
    <cfRule type="containsText" dxfId="2724" priority="1069" operator="containsText" text="Ear">
      <formula>NOT(ISERROR(SEARCH("Ear",AI158)))</formula>
    </cfRule>
    <cfRule type="containsText" dxfId="2723" priority="1070" operator="containsText" text="fnd">
      <formula>NOT(ISERROR(SEARCH("fnd",AI158)))</formula>
    </cfRule>
  </conditionalFormatting>
  <conditionalFormatting sqref="AI166:AJ166">
    <cfRule type="containsText" dxfId="2722" priority="493" operator="containsText" text="Str">
      <formula>NOT(ISERROR(SEARCH("Str",AI166)))</formula>
    </cfRule>
    <cfRule type="containsText" dxfId="2721" priority="494" operator="containsText" text="Ere">
      <formula>NOT(ISERROR(SEARCH("Ere",AI166)))</formula>
    </cfRule>
    <cfRule type="containsText" dxfId="2720" priority="495" operator="containsText" text="Ear">
      <formula>NOT(ISERROR(SEARCH("Ear",AI166)))</formula>
    </cfRule>
    <cfRule type="containsText" dxfId="2719" priority="496" operator="containsText" text="fnd">
      <formula>NOT(ISERROR(SEARCH("fnd",AI166)))</formula>
    </cfRule>
  </conditionalFormatting>
  <conditionalFormatting sqref="AI174:AJ174">
    <cfRule type="containsText" dxfId="2718" priority="963" operator="containsText" text="Str">
      <formula>NOT(ISERROR(SEARCH("Str",AI174)))</formula>
    </cfRule>
    <cfRule type="containsText" dxfId="2717" priority="964" operator="containsText" text="Ere">
      <formula>NOT(ISERROR(SEARCH("Ere",AI174)))</formula>
    </cfRule>
    <cfRule type="containsText" dxfId="2716" priority="965" operator="containsText" text="Ear">
      <formula>NOT(ISERROR(SEARCH("Ear",AI174)))</formula>
    </cfRule>
    <cfRule type="containsText" dxfId="2715" priority="966" operator="containsText" text="fnd">
      <formula>NOT(ISERROR(SEARCH("fnd",AI174)))</formula>
    </cfRule>
  </conditionalFormatting>
  <conditionalFormatting sqref="AI182:AJ182">
    <cfRule type="containsText" dxfId="2714" priority="77" operator="containsText" text="Str">
      <formula>NOT(ISERROR(SEARCH("Str",AI182)))</formula>
    </cfRule>
    <cfRule type="containsText" dxfId="2713" priority="78" operator="containsText" text="Ere">
      <formula>NOT(ISERROR(SEARCH("Ere",AI182)))</formula>
    </cfRule>
    <cfRule type="containsText" dxfId="2712" priority="79" operator="containsText" text="Ear">
      <formula>NOT(ISERROR(SEARCH("Ear",AI182)))</formula>
    </cfRule>
    <cfRule type="containsText" dxfId="2711" priority="80" operator="containsText" text="fnd">
      <formula>NOT(ISERROR(SEARCH("fnd",AI182)))</formula>
    </cfRule>
  </conditionalFormatting>
  <conditionalFormatting sqref="AJ6">
    <cfRule type="containsText" dxfId="2710" priority="169" operator="containsText" text="Str">
      <formula>NOT(ISERROR(SEARCH("Str",AJ6)))</formula>
    </cfRule>
    <cfRule type="containsText" dxfId="2709" priority="170" operator="containsText" text="Ere">
      <formula>NOT(ISERROR(SEARCH("Ere",AJ6)))</formula>
    </cfRule>
    <cfRule type="containsText" dxfId="2708" priority="171" operator="containsText" text="Ear">
      <formula>NOT(ISERROR(SEARCH("Ear",AJ6)))</formula>
    </cfRule>
    <cfRule type="containsText" dxfId="2707" priority="172" operator="containsText" text="fnd">
      <formula>NOT(ISERROR(SEARCH("fnd",AJ6)))</formula>
    </cfRule>
  </conditionalFormatting>
  <conditionalFormatting sqref="AJ14">
    <cfRule type="containsText" dxfId="2706" priority="1623" operator="containsText" text="Str">
      <formula>NOT(ISERROR(SEARCH("Str",AJ14)))</formula>
    </cfRule>
    <cfRule type="containsText" dxfId="2705" priority="1624" operator="containsText" text="Ere">
      <formula>NOT(ISERROR(SEARCH("Ere",AJ14)))</formula>
    </cfRule>
    <cfRule type="containsText" dxfId="2704" priority="1625" operator="containsText" text="Ear">
      <formula>NOT(ISERROR(SEARCH("Ear",AJ14)))</formula>
    </cfRule>
    <cfRule type="containsText" dxfId="2703" priority="1626" operator="containsText" text="fnd">
      <formula>NOT(ISERROR(SEARCH("fnd",AJ14)))</formula>
    </cfRule>
  </conditionalFormatting>
  <conditionalFormatting sqref="AJ22">
    <cfRule type="containsText" dxfId="2702" priority="919" operator="containsText" text="Str">
      <formula>NOT(ISERROR(SEARCH("Str",AJ22)))</formula>
    </cfRule>
    <cfRule type="containsText" dxfId="2701" priority="920" operator="containsText" text="Ere">
      <formula>NOT(ISERROR(SEARCH("Ere",AJ22)))</formula>
    </cfRule>
    <cfRule type="containsText" dxfId="2700" priority="921" operator="containsText" text="Ear">
      <formula>NOT(ISERROR(SEARCH("Ear",AJ22)))</formula>
    </cfRule>
    <cfRule type="containsText" dxfId="2699" priority="922" operator="containsText" text="fnd">
      <formula>NOT(ISERROR(SEARCH("fnd",AJ22)))</formula>
    </cfRule>
  </conditionalFormatting>
  <conditionalFormatting sqref="AJ78">
    <cfRule type="containsText" dxfId="2698" priority="265" operator="containsText" text="Str">
      <formula>NOT(ISERROR(SEARCH("Str",AJ78)))</formula>
    </cfRule>
    <cfRule type="containsText" dxfId="2697" priority="266" operator="containsText" text="Ere">
      <formula>NOT(ISERROR(SEARCH("Ere",AJ78)))</formula>
    </cfRule>
    <cfRule type="containsText" dxfId="2696" priority="267" operator="containsText" text="Ear">
      <formula>NOT(ISERROR(SEARCH("Ear",AJ78)))</formula>
    </cfRule>
    <cfRule type="containsText" dxfId="2695" priority="268" operator="containsText" text="fnd">
      <formula>NOT(ISERROR(SEARCH("fnd",AJ78)))</formula>
    </cfRule>
  </conditionalFormatting>
  <conditionalFormatting sqref="AL5:AL6">
    <cfRule type="containsText" dxfId="2694" priority="165" operator="containsText" text="Str">
      <formula>NOT(ISERROR(SEARCH("Str",AL5)))</formula>
    </cfRule>
    <cfRule type="containsText" dxfId="2693" priority="166" operator="containsText" text="Ere">
      <formula>NOT(ISERROR(SEARCH("Ere",AL5)))</formula>
    </cfRule>
    <cfRule type="containsText" dxfId="2692" priority="167" operator="containsText" text="Ear">
      <formula>NOT(ISERROR(SEARCH("Ear",AL5)))</formula>
    </cfRule>
    <cfRule type="containsText" dxfId="2691" priority="168" operator="containsText" text="fnd">
      <formula>NOT(ISERROR(SEARCH("fnd",AL5)))</formula>
    </cfRule>
  </conditionalFormatting>
  <conditionalFormatting sqref="AL13:AL14">
    <cfRule type="containsText" dxfId="2690" priority="1599" operator="containsText" text="Str">
      <formula>NOT(ISERROR(SEARCH("Str",AL13)))</formula>
    </cfRule>
    <cfRule type="containsText" dxfId="2689" priority="1600" operator="containsText" text="Ere">
      <formula>NOT(ISERROR(SEARCH("Ere",AL13)))</formula>
    </cfRule>
    <cfRule type="containsText" dxfId="2688" priority="1601" operator="containsText" text="Ear">
      <formula>NOT(ISERROR(SEARCH("Ear",AL13)))</formula>
    </cfRule>
    <cfRule type="containsText" dxfId="2687" priority="1602" operator="containsText" text="fnd">
      <formula>NOT(ISERROR(SEARCH("fnd",AL13)))</formula>
    </cfRule>
  </conditionalFormatting>
  <conditionalFormatting sqref="AL21">
    <cfRule type="containsText" dxfId="2686" priority="2303" operator="containsText" text="Str">
      <formula>NOT(ISERROR(SEARCH("Str",AL21)))</formula>
    </cfRule>
    <cfRule type="containsText" dxfId="2685" priority="2304" operator="containsText" text="Ere">
      <formula>NOT(ISERROR(SEARCH("Ere",AL21)))</formula>
    </cfRule>
    <cfRule type="containsText" dxfId="2684" priority="2305" operator="containsText" text="Ear">
      <formula>NOT(ISERROR(SEARCH("Ear",AL21)))</formula>
    </cfRule>
    <cfRule type="containsText" dxfId="2683" priority="2306" operator="containsText" text="fnd">
      <formula>NOT(ISERROR(SEARCH("fnd",AL21)))</formula>
    </cfRule>
  </conditionalFormatting>
  <conditionalFormatting sqref="AL29">
    <cfRule type="containsText" dxfId="2682" priority="895" operator="containsText" text="Str">
      <formula>NOT(ISERROR(SEARCH("Str",AL29)))</formula>
    </cfRule>
    <cfRule type="containsText" dxfId="2681" priority="896" operator="containsText" text="Ere">
      <formula>NOT(ISERROR(SEARCH("Ere",AL29)))</formula>
    </cfRule>
    <cfRule type="containsText" dxfId="2680" priority="897" operator="containsText" text="Ear">
      <formula>NOT(ISERROR(SEARCH("Ear",AL29)))</formula>
    </cfRule>
    <cfRule type="containsText" dxfId="2679" priority="898" operator="containsText" text="fnd">
      <formula>NOT(ISERROR(SEARCH("fnd",AL29)))</formula>
    </cfRule>
  </conditionalFormatting>
  <conditionalFormatting sqref="AL37">
    <cfRule type="containsText" dxfId="2678" priority="639" operator="containsText" text="Str">
      <formula>NOT(ISERROR(SEARCH("Str",AL37)))</formula>
    </cfRule>
    <cfRule type="containsText" dxfId="2677" priority="640" operator="containsText" text="Ere">
      <formula>NOT(ISERROR(SEARCH("Ere",AL37)))</formula>
    </cfRule>
    <cfRule type="containsText" dxfId="2676" priority="641" operator="containsText" text="Ear">
      <formula>NOT(ISERROR(SEARCH("Ear",AL37)))</formula>
    </cfRule>
    <cfRule type="containsText" dxfId="2675" priority="642" operator="containsText" text="fnd">
      <formula>NOT(ISERROR(SEARCH("fnd",AL37)))</formula>
    </cfRule>
  </conditionalFormatting>
  <conditionalFormatting sqref="AL61:AL62">
    <cfRule type="containsText" dxfId="2674" priority="1959" operator="containsText" text="Str">
      <formula>NOT(ISERROR(SEARCH("Str",AL61)))</formula>
    </cfRule>
    <cfRule type="containsText" dxfId="2673" priority="1960" operator="containsText" text="Ere">
      <formula>NOT(ISERROR(SEARCH("Ere",AL61)))</formula>
    </cfRule>
    <cfRule type="containsText" dxfId="2672" priority="1961" operator="containsText" text="Ear">
      <formula>NOT(ISERROR(SEARCH("Ear",AL61)))</formula>
    </cfRule>
    <cfRule type="containsText" dxfId="2671" priority="1962" operator="containsText" text="fnd">
      <formula>NOT(ISERROR(SEARCH("fnd",AL61)))</formula>
    </cfRule>
  </conditionalFormatting>
  <conditionalFormatting sqref="AL69">
    <cfRule type="containsText" dxfId="2670" priority="2127" operator="containsText" text="Str">
      <formula>NOT(ISERROR(SEARCH("Str",AL69)))</formula>
    </cfRule>
    <cfRule type="containsText" dxfId="2669" priority="2128" operator="containsText" text="Ere">
      <formula>NOT(ISERROR(SEARCH("Ere",AL69)))</formula>
    </cfRule>
    <cfRule type="containsText" dxfId="2668" priority="2129" operator="containsText" text="Ear">
      <formula>NOT(ISERROR(SEARCH("Ear",AL69)))</formula>
    </cfRule>
    <cfRule type="containsText" dxfId="2667" priority="2130" operator="containsText" text="fnd">
      <formula>NOT(ISERROR(SEARCH("fnd",AL69)))</formula>
    </cfRule>
  </conditionalFormatting>
  <conditionalFormatting sqref="AL77">
    <cfRule type="containsText" dxfId="2666" priority="783" operator="containsText" text="Str">
      <formula>NOT(ISERROR(SEARCH("Str",AL77)))</formula>
    </cfRule>
    <cfRule type="containsText" dxfId="2665" priority="784" operator="containsText" text="Ere">
      <formula>NOT(ISERROR(SEARCH("Ere",AL77)))</formula>
    </cfRule>
    <cfRule type="containsText" dxfId="2664" priority="785" operator="containsText" text="Ear">
      <formula>NOT(ISERROR(SEARCH("Ear",AL77)))</formula>
    </cfRule>
    <cfRule type="containsText" dxfId="2663" priority="786" operator="containsText" text="fnd">
      <formula>NOT(ISERROR(SEARCH("fnd",AL77)))</formula>
    </cfRule>
  </conditionalFormatting>
  <conditionalFormatting sqref="AL85">
    <cfRule type="containsText" dxfId="2662" priority="751" operator="containsText" text="Str">
      <formula>NOT(ISERROR(SEARCH("Str",AL85)))</formula>
    </cfRule>
    <cfRule type="containsText" dxfId="2661" priority="752" operator="containsText" text="Ere">
      <formula>NOT(ISERROR(SEARCH("Ere",AL85)))</formula>
    </cfRule>
    <cfRule type="containsText" dxfId="2660" priority="753" operator="containsText" text="Ear">
      <formula>NOT(ISERROR(SEARCH("Ear",AL85)))</formula>
    </cfRule>
    <cfRule type="containsText" dxfId="2659" priority="754" operator="containsText" text="fnd">
      <formula>NOT(ISERROR(SEARCH("fnd",AL85)))</formula>
    </cfRule>
  </conditionalFormatting>
  <conditionalFormatting sqref="AL93:AL94">
    <cfRule type="containsText" dxfId="2658" priority="1591" operator="containsText" text="Str">
      <formula>NOT(ISERROR(SEARCH("Str",AL93)))</formula>
    </cfRule>
    <cfRule type="containsText" dxfId="2657" priority="1592" operator="containsText" text="Ere">
      <formula>NOT(ISERROR(SEARCH("Ere",AL93)))</formula>
    </cfRule>
    <cfRule type="containsText" dxfId="2656" priority="1593" operator="containsText" text="Ear">
      <formula>NOT(ISERROR(SEARCH("Ear",AL93)))</formula>
    </cfRule>
    <cfRule type="containsText" dxfId="2655" priority="1594" operator="containsText" text="fnd">
      <formula>NOT(ISERROR(SEARCH("fnd",AL93)))</formula>
    </cfRule>
  </conditionalFormatting>
  <conditionalFormatting sqref="AL101">
    <cfRule type="containsText" dxfId="2654" priority="1811" operator="containsText" text="Str">
      <formula>NOT(ISERROR(SEARCH("Str",AL101)))</formula>
    </cfRule>
    <cfRule type="containsText" dxfId="2653" priority="1812" operator="containsText" text="Ere">
      <formula>NOT(ISERROR(SEARCH("Ere",AL101)))</formula>
    </cfRule>
    <cfRule type="containsText" dxfId="2652" priority="1813" operator="containsText" text="Ear">
      <formula>NOT(ISERROR(SEARCH("Ear",AL101)))</formula>
    </cfRule>
    <cfRule type="containsText" dxfId="2651" priority="1814" operator="containsText" text="fnd">
      <formula>NOT(ISERROR(SEARCH("fnd",AL101)))</formula>
    </cfRule>
  </conditionalFormatting>
  <conditionalFormatting sqref="AL109">
    <cfRule type="containsText" dxfId="2650" priority="723" operator="containsText" text="Str">
      <formula>NOT(ISERROR(SEARCH("Str",AL109)))</formula>
    </cfRule>
    <cfRule type="containsText" dxfId="2649" priority="724" operator="containsText" text="Ere">
      <formula>NOT(ISERROR(SEARCH("Ere",AL109)))</formula>
    </cfRule>
    <cfRule type="containsText" dxfId="2648" priority="725" operator="containsText" text="Ear">
      <formula>NOT(ISERROR(SEARCH("Ear",AL109)))</formula>
    </cfRule>
    <cfRule type="containsText" dxfId="2647" priority="726" operator="containsText" text="fnd">
      <formula>NOT(ISERROR(SEARCH("fnd",AL109)))</formula>
    </cfRule>
  </conditionalFormatting>
  <conditionalFormatting sqref="AL117">
    <cfRule type="containsText" dxfId="2646" priority="513" operator="containsText" text="Str">
      <formula>NOT(ISERROR(SEARCH("Str",AL117)))</formula>
    </cfRule>
    <cfRule type="containsText" dxfId="2645" priority="514" operator="containsText" text="Ere">
      <formula>NOT(ISERROR(SEARCH("Ere",AL117)))</formula>
    </cfRule>
    <cfRule type="containsText" dxfId="2644" priority="515" operator="containsText" text="Ear">
      <formula>NOT(ISERROR(SEARCH("Ear",AL117)))</formula>
    </cfRule>
    <cfRule type="containsText" dxfId="2643" priority="516" operator="containsText" text="fnd">
      <formula>NOT(ISERROR(SEARCH("fnd",AL117)))</formula>
    </cfRule>
  </conditionalFormatting>
  <conditionalFormatting sqref="AL122 AL130 AL138 AL154 AL162 AL170 AL178">
    <cfRule type="containsText" dxfId="2642" priority="1975" operator="containsText" text="Str">
      <formula>NOT(ISERROR(SEARCH("Str",AL122)))</formula>
    </cfRule>
    <cfRule type="containsText" dxfId="2641" priority="1976" operator="containsText" text="Ere">
      <formula>NOT(ISERROR(SEARCH("Ere",AL122)))</formula>
    </cfRule>
    <cfRule type="containsText" dxfId="2640" priority="1977" operator="containsText" text="Ear">
      <formula>NOT(ISERROR(SEARCH("Ear",AL122)))</formula>
    </cfRule>
    <cfRule type="containsText" dxfId="2639" priority="1978" operator="containsText" text="fnd">
      <formula>NOT(ISERROR(SEARCH("fnd",AL122)))</formula>
    </cfRule>
  </conditionalFormatting>
  <conditionalFormatting sqref="AL133">
    <cfRule type="containsText" dxfId="2638" priority="1307" operator="containsText" text="Str">
      <formula>NOT(ISERROR(SEARCH("Str",AL133)))</formula>
    </cfRule>
    <cfRule type="containsText" dxfId="2637" priority="1308" operator="containsText" text="Ere">
      <formula>NOT(ISERROR(SEARCH("Ere",AL133)))</formula>
    </cfRule>
    <cfRule type="containsText" dxfId="2636" priority="1309" operator="containsText" text="Ear">
      <formula>NOT(ISERROR(SEARCH("Ear",AL133)))</formula>
    </cfRule>
    <cfRule type="containsText" dxfId="2635" priority="1310" operator="containsText" text="fnd">
      <formula>NOT(ISERROR(SEARCH("fnd",AL133)))</formula>
    </cfRule>
  </conditionalFormatting>
  <conditionalFormatting sqref="AL141">
    <cfRule type="containsText" dxfId="2634" priority="1203" operator="containsText" text="Str">
      <formula>NOT(ISERROR(SEARCH("Str",AL141)))</formula>
    </cfRule>
    <cfRule type="containsText" dxfId="2633" priority="1204" operator="containsText" text="Ere">
      <formula>NOT(ISERROR(SEARCH("Ere",AL141)))</formula>
    </cfRule>
    <cfRule type="containsText" dxfId="2632" priority="1205" operator="containsText" text="Ear">
      <formula>NOT(ISERROR(SEARCH("Ear",AL141)))</formula>
    </cfRule>
    <cfRule type="containsText" dxfId="2631" priority="1206" operator="containsText" text="fnd">
      <formula>NOT(ISERROR(SEARCH("fnd",AL141)))</formula>
    </cfRule>
  </conditionalFormatting>
  <conditionalFormatting sqref="AL149">
    <cfRule type="containsText" dxfId="2630" priority="1151" operator="containsText" text="Str">
      <formula>NOT(ISERROR(SEARCH("Str",AL149)))</formula>
    </cfRule>
    <cfRule type="containsText" dxfId="2629" priority="1152" operator="containsText" text="Ere">
      <formula>NOT(ISERROR(SEARCH("Ere",AL149)))</formula>
    </cfRule>
    <cfRule type="containsText" dxfId="2628" priority="1153" operator="containsText" text="Ear">
      <formula>NOT(ISERROR(SEARCH("Ear",AL149)))</formula>
    </cfRule>
    <cfRule type="containsText" dxfId="2627" priority="1154" operator="containsText" text="fnd">
      <formula>NOT(ISERROR(SEARCH("fnd",AL149)))</formula>
    </cfRule>
  </conditionalFormatting>
  <conditionalFormatting sqref="AL157">
    <cfRule type="containsText" dxfId="2626" priority="1071" operator="containsText" text="Str">
      <formula>NOT(ISERROR(SEARCH("Str",AL157)))</formula>
    </cfRule>
    <cfRule type="containsText" dxfId="2625" priority="1072" operator="containsText" text="Ere">
      <formula>NOT(ISERROR(SEARCH("Ere",AL157)))</formula>
    </cfRule>
    <cfRule type="containsText" dxfId="2624" priority="1073" operator="containsText" text="Ear">
      <formula>NOT(ISERROR(SEARCH("Ear",AL157)))</formula>
    </cfRule>
    <cfRule type="containsText" dxfId="2623" priority="1074" operator="containsText" text="fnd">
      <formula>NOT(ISERROR(SEARCH("fnd",AL157)))</formula>
    </cfRule>
  </conditionalFormatting>
  <conditionalFormatting sqref="AL165">
    <cfRule type="containsText" dxfId="2622" priority="1015" operator="containsText" text="Str">
      <formula>NOT(ISERROR(SEARCH("Str",AL165)))</formula>
    </cfRule>
    <cfRule type="containsText" dxfId="2621" priority="1016" operator="containsText" text="Ere">
      <formula>NOT(ISERROR(SEARCH("Ere",AL165)))</formula>
    </cfRule>
    <cfRule type="containsText" dxfId="2620" priority="1017" operator="containsText" text="Ear">
      <formula>NOT(ISERROR(SEARCH("Ear",AL165)))</formula>
    </cfRule>
    <cfRule type="containsText" dxfId="2619" priority="1018" operator="containsText" text="fnd">
      <formula>NOT(ISERROR(SEARCH("fnd",AL165)))</formula>
    </cfRule>
  </conditionalFormatting>
  <conditionalFormatting sqref="AL173">
    <cfRule type="containsText" dxfId="2618" priority="967" operator="containsText" text="Str">
      <formula>NOT(ISERROR(SEARCH("Str",AL173)))</formula>
    </cfRule>
    <cfRule type="containsText" dxfId="2617" priority="968" operator="containsText" text="Ere">
      <formula>NOT(ISERROR(SEARCH("Ere",AL173)))</formula>
    </cfRule>
    <cfRule type="containsText" dxfId="2616" priority="969" operator="containsText" text="Ear">
      <formula>NOT(ISERROR(SEARCH("Ear",AL173)))</formula>
    </cfRule>
    <cfRule type="containsText" dxfId="2615" priority="970" operator="containsText" text="fnd">
      <formula>NOT(ISERROR(SEARCH("fnd",AL173)))</formula>
    </cfRule>
  </conditionalFormatting>
  <conditionalFormatting sqref="AL181">
    <cfRule type="containsText" dxfId="2614" priority="65" operator="containsText" text="Str">
      <formula>NOT(ISERROR(SEARCH("Str",AL181)))</formula>
    </cfRule>
    <cfRule type="containsText" dxfId="2613" priority="66" operator="containsText" text="Ere">
      <formula>NOT(ISERROR(SEARCH("Ere",AL181)))</formula>
    </cfRule>
    <cfRule type="containsText" dxfId="2612" priority="67" operator="containsText" text="Ear">
      <formula>NOT(ISERROR(SEARCH("Ear",AL181)))</formula>
    </cfRule>
    <cfRule type="containsText" dxfId="2611" priority="68" operator="containsText" text="fnd">
      <formula>NOT(ISERROR(SEARCH("fnd",AL181)))</formula>
    </cfRule>
  </conditionalFormatting>
  <conditionalFormatting sqref="AL30:AM30">
    <cfRule type="containsText" dxfId="2610" priority="899" operator="containsText" text="Str">
      <formula>NOT(ISERROR(SEARCH("Str",AL30)))</formula>
    </cfRule>
    <cfRule type="containsText" dxfId="2609" priority="900" operator="containsText" text="Ere">
      <formula>NOT(ISERROR(SEARCH("Ere",AL30)))</formula>
    </cfRule>
    <cfRule type="containsText" dxfId="2608" priority="901" operator="containsText" text="Ear">
      <formula>NOT(ISERROR(SEARCH("Ear",AL30)))</formula>
    </cfRule>
    <cfRule type="containsText" dxfId="2607" priority="902" operator="containsText" text="fnd">
      <formula>NOT(ISERROR(SEARCH("fnd",AL30)))</formula>
    </cfRule>
  </conditionalFormatting>
  <conditionalFormatting sqref="AL38:AM38">
    <cfRule type="containsText" dxfId="2606" priority="643" operator="containsText" text="Str">
      <formula>NOT(ISERROR(SEARCH("Str",AL38)))</formula>
    </cfRule>
    <cfRule type="containsText" dxfId="2605" priority="644" operator="containsText" text="Ere">
      <formula>NOT(ISERROR(SEARCH("Ere",AL38)))</formula>
    </cfRule>
    <cfRule type="containsText" dxfId="2604" priority="645" operator="containsText" text="Ear">
      <formula>NOT(ISERROR(SEARCH("Ear",AL38)))</formula>
    </cfRule>
    <cfRule type="containsText" dxfId="2603" priority="646" operator="containsText" text="fnd">
      <formula>NOT(ISERROR(SEARCH("fnd",AL38)))</formula>
    </cfRule>
  </conditionalFormatting>
  <conditionalFormatting sqref="AL53:AM54">
    <cfRule type="containsText" dxfId="2602" priority="835" operator="containsText" text="Str">
      <formula>NOT(ISERROR(SEARCH("Str",AL53)))</formula>
    </cfRule>
    <cfRule type="containsText" dxfId="2601" priority="836" operator="containsText" text="Ere">
      <formula>NOT(ISERROR(SEARCH("Ere",AL53)))</formula>
    </cfRule>
    <cfRule type="containsText" dxfId="2600" priority="837" operator="containsText" text="Ear">
      <formula>NOT(ISERROR(SEARCH("Ear",AL53)))</formula>
    </cfRule>
    <cfRule type="containsText" dxfId="2599" priority="838" operator="containsText" text="fnd">
      <formula>NOT(ISERROR(SEARCH("fnd",AL53)))</formula>
    </cfRule>
  </conditionalFormatting>
  <conditionalFormatting sqref="AL70:AM70">
    <cfRule type="containsText" dxfId="2598" priority="2139" operator="containsText" text="Str">
      <formula>NOT(ISERROR(SEARCH("Str",AL70)))</formula>
    </cfRule>
    <cfRule type="containsText" dxfId="2597" priority="2140" operator="containsText" text="Ere">
      <formula>NOT(ISERROR(SEARCH("Ere",AL70)))</formula>
    </cfRule>
    <cfRule type="containsText" dxfId="2596" priority="2141" operator="containsText" text="Ear">
      <formula>NOT(ISERROR(SEARCH("Ear",AL70)))</formula>
    </cfRule>
    <cfRule type="containsText" dxfId="2595" priority="2142" operator="containsText" text="fnd">
      <formula>NOT(ISERROR(SEARCH("fnd",AL70)))</formula>
    </cfRule>
  </conditionalFormatting>
  <conditionalFormatting sqref="AL78:AM78">
    <cfRule type="containsText" dxfId="2594" priority="787" operator="containsText" text="Str">
      <formula>NOT(ISERROR(SEARCH("Str",AL78)))</formula>
    </cfRule>
    <cfRule type="containsText" dxfId="2593" priority="788" operator="containsText" text="Ere">
      <formula>NOT(ISERROR(SEARCH("Ere",AL78)))</formula>
    </cfRule>
    <cfRule type="containsText" dxfId="2592" priority="789" operator="containsText" text="Ear">
      <formula>NOT(ISERROR(SEARCH("Ear",AL78)))</formula>
    </cfRule>
    <cfRule type="containsText" dxfId="2591" priority="790" operator="containsText" text="fnd">
      <formula>NOT(ISERROR(SEARCH("fnd",AL78)))</formula>
    </cfRule>
  </conditionalFormatting>
  <conditionalFormatting sqref="AL102:AM102">
    <cfRule type="containsText" dxfId="2590" priority="1815" operator="containsText" text="Str">
      <formula>NOT(ISERROR(SEARCH("Str",AL102)))</formula>
    </cfRule>
    <cfRule type="containsText" dxfId="2589" priority="1816" operator="containsText" text="Ere">
      <formula>NOT(ISERROR(SEARCH("Ere",AL102)))</formula>
    </cfRule>
    <cfRule type="containsText" dxfId="2588" priority="1817" operator="containsText" text="Ear">
      <formula>NOT(ISERROR(SEARCH("Ear",AL102)))</formula>
    </cfRule>
    <cfRule type="containsText" dxfId="2587" priority="1818" operator="containsText" text="fnd">
      <formula>NOT(ISERROR(SEARCH("fnd",AL102)))</formula>
    </cfRule>
  </conditionalFormatting>
  <conditionalFormatting sqref="AL118:AM118">
    <cfRule type="containsText" dxfId="2586" priority="517" operator="containsText" text="Str">
      <formula>NOT(ISERROR(SEARCH("Str",AL118)))</formula>
    </cfRule>
    <cfRule type="containsText" dxfId="2585" priority="518" operator="containsText" text="Ere">
      <formula>NOT(ISERROR(SEARCH("Ere",AL118)))</formula>
    </cfRule>
    <cfRule type="containsText" dxfId="2584" priority="519" operator="containsText" text="Ear">
      <formula>NOT(ISERROR(SEARCH("Ear",AL118)))</formula>
    </cfRule>
    <cfRule type="containsText" dxfId="2583" priority="520" operator="containsText" text="fnd">
      <formula>NOT(ISERROR(SEARCH("fnd",AL118)))</formula>
    </cfRule>
  </conditionalFormatting>
  <conditionalFormatting sqref="AL142:AM142">
    <cfRule type="containsText" dxfId="2582" priority="1207" operator="containsText" text="Str">
      <formula>NOT(ISERROR(SEARCH("Str",AL142)))</formula>
    </cfRule>
    <cfRule type="containsText" dxfId="2581" priority="1208" operator="containsText" text="Ere">
      <formula>NOT(ISERROR(SEARCH("Ere",AL142)))</formula>
    </cfRule>
    <cfRule type="containsText" dxfId="2580" priority="1209" operator="containsText" text="Ear">
      <formula>NOT(ISERROR(SEARCH("Ear",AL142)))</formula>
    </cfRule>
    <cfRule type="containsText" dxfId="2579" priority="1210" operator="containsText" text="fnd">
      <formula>NOT(ISERROR(SEARCH("fnd",AL142)))</formula>
    </cfRule>
  </conditionalFormatting>
  <conditionalFormatting sqref="AL158:AM158">
    <cfRule type="containsText" dxfId="2578" priority="1075" operator="containsText" text="Str">
      <formula>NOT(ISERROR(SEARCH("Str",AL158)))</formula>
    </cfRule>
    <cfRule type="containsText" dxfId="2577" priority="1076" operator="containsText" text="Ere">
      <formula>NOT(ISERROR(SEARCH("Ere",AL158)))</formula>
    </cfRule>
    <cfRule type="containsText" dxfId="2576" priority="1077" operator="containsText" text="Ear">
      <formula>NOT(ISERROR(SEARCH("Ear",AL158)))</formula>
    </cfRule>
    <cfRule type="containsText" dxfId="2575" priority="1078" operator="containsText" text="fnd">
      <formula>NOT(ISERROR(SEARCH("fnd",AL158)))</formula>
    </cfRule>
  </conditionalFormatting>
  <conditionalFormatting sqref="AL166:AM166">
    <cfRule type="containsText" dxfId="2574" priority="1019" operator="containsText" text="Str">
      <formula>NOT(ISERROR(SEARCH("Str",AL166)))</formula>
    </cfRule>
    <cfRule type="containsText" dxfId="2573" priority="1020" operator="containsText" text="Ere">
      <formula>NOT(ISERROR(SEARCH("Ere",AL166)))</formula>
    </cfRule>
    <cfRule type="containsText" dxfId="2572" priority="1021" operator="containsText" text="Ear">
      <formula>NOT(ISERROR(SEARCH("Ear",AL166)))</formula>
    </cfRule>
    <cfRule type="containsText" dxfId="2571" priority="1022" operator="containsText" text="fnd">
      <formula>NOT(ISERROR(SEARCH("fnd",AL166)))</formula>
    </cfRule>
  </conditionalFormatting>
  <conditionalFormatting sqref="AL174:AM174">
    <cfRule type="containsText" dxfId="2570" priority="971" operator="containsText" text="Str">
      <formula>NOT(ISERROR(SEARCH("Str",AL174)))</formula>
    </cfRule>
    <cfRule type="containsText" dxfId="2569" priority="972" operator="containsText" text="Ere">
      <formula>NOT(ISERROR(SEARCH("Ere",AL174)))</formula>
    </cfRule>
    <cfRule type="containsText" dxfId="2568" priority="973" operator="containsText" text="Ear">
      <formula>NOT(ISERROR(SEARCH("Ear",AL174)))</formula>
    </cfRule>
    <cfRule type="containsText" dxfId="2567" priority="974" operator="containsText" text="fnd">
      <formula>NOT(ISERROR(SEARCH("fnd",AL174)))</formula>
    </cfRule>
  </conditionalFormatting>
  <conditionalFormatting sqref="AL182:AM182">
    <cfRule type="containsText" dxfId="2566" priority="69" operator="containsText" text="Str">
      <formula>NOT(ISERROR(SEARCH("Str",AL182)))</formula>
    </cfRule>
    <cfRule type="containsText" dxfId="2565" priority="70" operator="containsText" text="Ere">
      <formula>NOT(ISERROR(SEARCH("Ere",AL182)))</formula>
    </cfRule>
    <cfRule type="containsText" dxfId="2564" priority="71" operator="containsText" text="Ear">
      <formula>NOT(ISERROR(SEARCH("Ear",AL182)))</formula>
    </cfRule>
    <cfRule type="containsText" dxfId="2563" priority="72" operator="containsText" text="fnd">
      <formula>NOT(ISERROR(SEARCH("fnd",AL182)))</formula>
    </cfRule>
  </conditionalFormatting>
  <conditionalFormatting sqref="AM6">
    <cfRule type="containsText" dxfId="2562" priority="161" operator="containsText" text="Str">
      <formula>NOT(ISERROR(SEARCH("Str",AM6)))</formula>
    </cfRule>
    <cfRule type="containsText" dxfId="2561" priority="162" operator="containsText" text="Ere">
      <formula>NOT(ISERROR(SEARCH("Ere",AM6)))</formula>
    </cfRule>
    <cfRule type="containsText" dxfId="2560" priority="163" operator="containsText" text="Ear">
      <formula>NOT(ISERROR(SEARCH("Ear",AM6)))</formula>
    </cfRule>
    <cfRule type="containsText" dxfId="2559" priority="164" operator="containsText" text="fnd">
      <formula>NOT(ISERROR(SEARCH("fnd",AM6)))</formula>
    </cfRule>
  </conditionalFormatting>
  <conditionalFormatting sqref="AM14">
    <cfRule type="containsText" dxfId="2558" priority="1595" operator="containsText" text="Str">
      <formula>NOT(ISERROR(SEARCH("Str",AM14)))</formula>
    </cfRule>
    <cfRule type="containsText" dxfId="2557" priority="1596" operator="containsText" text="Ere">
      <formula>NOT(ISERROR(SEARCH("Ere",AM14)))</formula>
    </cfRule>
    <cfRule type="containsText" dxfId="2556" priority="1597" operator="containsText" text="Ear">
      <formula>NOT(ISERROR(SEARCH("Ear",AM14)))</formula>
    </cfRule>
    <cfRule type="containsText" dxfId="2555" priority="1598" operator="containsText" text="fnd">
      <formula>NOT(ISERROR(SEARCH("fnd",AM14)))</formula>
    </cfRule>
  </conditionalFormatting>
  <conditionalFormatting sqref="AO5:AO6">
    <cfRule type="containsText" dxfId="2554" priority="153" operator="containsText" text="Str">
      <formula>NOT(ISERROR(SEARCH("Str",AO5)))</formula>
    </cfRule>
    <cfRule type="containsText" dxfId="2553" priority="154" operator="containsText" text="Ere">
      <formula>NOT(ISERROR(SEARCH("Ere",AO5)))</formula>
    </cfRule>
    <cfRule type="containsText" dxfId="2552" priority="155" operator="containsText" text="Ear">
      <formula>NOT(ISERROR(SEARCH("Ear",AO5)))</formula>
    </cfRule>
    <cfRule type="containsText" dxfId="2551" priority="156" operator="containsText" text="fnd">
      <formula>NOT(ISERROR(SEARCH("fnd",AO5)))</formula>
    </cfRule>
  </conditionalFormatting>
  <conditionalFormatting sqref="AO13:AO14">
    <cfRule type="containsText" dxfId="2550" priority="1719" operator="containsText" text="Str">
      <formula>NOT(ISERROR(SEARCH("Str",AO13)))</formula>
    </cfRule>
    <cfRule type="containsText" dxfId="2549" priority="1720" operator="containsText" text="Ere">
      <formula>NOT(ISERROR(SEARCH("Ere",AO13)))</formula>
    </cfRule>
    <cfRule type="containsText" dxfId="2548" priority="1721" operator="containsText" text="Ear">
      <formula>NOT(ISERROR(SEARCH("Ear",AO13)))</formula>
    </cfRule>
    <cfRule type="containsText" dxfId="2547" priority="1722" operator="containsText" text="fnd">
      <formula>NOT(ISERROR(SEARCH("fnd",AO13)))</formula>
    </cfRule>
  </conditionalFormatting>
  <conditionalFormatting sqref="AO21:AO22">
    <cfRule type="containsText" dxfId="2546" priority="915" operator="containsText" text="Str">
      <formula>NOT(ISERROR(SEARCH("Str",AO21)))</formula>
    </cfRule>
    <cfRule type="containsText" dxfId="2545" priority="916" operator="containsText" text="Ere">
      <formula>NOT(ISERROR(SEARCH("Ere",AO21)))</formula>
    </cfRule>
    <cfRule type="containsText" dxfId="2544" priority="917" operator="containsText" text="Ear">
      <formula>NOT(ISERROR(SEARCH("Ear",AO21)))</formula>
    </cfRule>
    <cfRule type="containsText" dxfId="2543" priority="918" operator="containsText" text="fnd">
      <formula>NOT(ISERROR(SEARCH("fnd",AO21)))</formula>
    </cfRule>
  </conditionalFormatting>
  <conditionalFormatting sqref="AO29">
    <cfRule type="containsText" dxfId="2542" priority="887" operator="containsText" text="Str">
      <formula>NOT(ISERROR(SEARCH("Str",AO29)))</formula>
    </cfRule>
    <cfRule type="containsText" dxfId="2541" priority="888" operator="containsText" text="Ere">
      <formula>NOT(ISERROR(SEARCH("Ere",AO29)))</formula>
    </cfRule>
    <cfRule type="containsText" dxfId="2540" priority="889" operator="containsText" text="Ear">
      <formula>NOT(ISERROR(SEARCH("Ear",AO29)))</formula>
    </cfRule>
    <cfRule type="containsText" dxfId="2539" priority="890" operator="containsText" text="fnd">
      <formula>NOT(ISERROR(SEARCH("fnd",AO29)))</formula>
    </cfRule>
  </conditionalFormatting>
  <conditionalFormatting sqref="AO37">
    <cfRule type="containsText" dxfId="2538" priority="699" operator="containsText" text="Str">
      <formula>NOT(ISERROR(SEARCH("Str",AO37)))</formula>
    </cfRule>
    <cfRule type="containsText" dxfId="2537" priority="700" operator="containsText" text="Ere">
      <formula>NOT(ISERROR(SEARCH("Ere",AO37)))</formula>
    </cfRule>
    <cfRule type="containsText" dxfId="2536" priority="701" operator="containsText" text="Ear">
      <formula>NOT(ISERROR(SEARCH("Ear",AO37)))</formula>
    </cfRule>
    <cfRule type="containsText" dxfId="2535" priority="702" operator="containsText" text="fnd">
      <formula>NOT(ISERROR(SEARCH("fnd",AO37)))</formula>
    </cfRule>
  </conditionalFormatting>
  <conditionalFormatting sqref="AO61:AO62">
    <cfRule type="containsText" dxfId="2534" priority="1939" operator="containsText" text="Str">
      <formula>NOT(ISERROR(SEARCH("Str",AO61)))</formula>
    </cfRule>
    <cfRule type="containsText" dxfId="2533" priority="1940" operator="containsText" text="Ere">
      <formula>NOT(ISERROR(SEARCH("Ere",AO61)))</formula>
    </cfRule>
    <cfRule type="containsText" dxfId="2532" priority="1941" operator="containsText" text="Ear">
      <formula>NOT(ISERROR(SEARCH("Ear",AO61)))</formula>
    </cfRule>
    <cfRule type="containsText" dxfId="2531" priority="1942" operator="containsText" text="fnd">
      <formula>NOT(ISERROR(SEARCH("fnd",AO61)))</formula>
    </cfRule>
  </conditionalFormatting>
  <conditionalFormatting sqref="AO69">
    <cfRule type="containsText" dxfId="2530" priority="807" operator="containsText" text="Str">
      <formula>NOT(ISERROR(SEARCH("Str",AO69)))</formula>
    </cfRule>
    <cfRule type="containsText" dxfId="2529" priority="808" operator="containsText" text="Ere">
      <formula>NOT(ISERROR(SEARCH("Ere",AO69)))</formula>
    </cfRule>
    <cfRule type="containsText" dxfId="2528" priority="809" operator="containsText" text="Ear">
      <formula>NOT(ISERROR(SEARCH("Ear",AO69)))</formula>
    </cfRule>
    <cfRule type="containsText" dxfId="2527" priority="810" operator="containsText" text="fnd">
      <formula>NOT(ISERROR(SEARCH("fnd",AO69)))</formula>
    </cfRule>
  </conditionalFormatting>
  <conditionalFormatting sqref="AO77">
    <cfRule type="containsText" dxfId="2526" priority="663" operator="containsText" text="Str">
      <formula>NOT(ISERROR(SEARCH("Str",AO77)))</formula>
    </cfRule>
    <cfRule type="containsText" dxfId="2525" priority="664" operator="containsText" text="Ere">
      <formula>NOT(ISERROR(SEARCH("Ere",AO77)))</formula>
    </cfRule>
    <cfRule type="containsText" dxfId="2524" priority="665" operator="containsText" text="Ear">
      <formula>NOT(ISERROR(SEARCH("Ear",AO77)))</formula>
    </cfRule>
    <cfRule type="containsText" dxfId="2523" priority="666" operator="containsText" text="fnd">
      <formula>NOT(ISERROR(SEARCH("fnd",AO77)))</formula>
    </cfRule>
  </conditionalFormatting>
  <conditionalFormatting sqref="AO85">
    <cfRule type="containsText" dxfId="2522" priority="775" operator="containsText" text="Str">
      <formula>NOT(ISERROR(SEARCH("Str",AO85)))</formula>
    </cfRule>
    <cfRule type="containsText" dxfId="2521" priority="776" operator="containsText" text="Ere">
      <formula>NOT(ISERROR(SEARCH("Ere",AO85)))</formula>
    </cfRule>
    <cfRule type="containsText" dxfId="2520" priority="777" operator="containsText" text="Ear">
      <formula>NOT(ISERROR(SEARCH("Ear",AO85)))</formula>
    </cfRule>
    <cfRule type="containsText" dxfId="2519" priority="778" operator="containsText" text="fnd">
      <formula>NOT(ISERROR(SEARCH("fnd",AO85)))</formula>
    </cfRule>
  </conditionalFormatting>
  <conditionalFormatting sqref="AO93:AO94">
    <cfRule type="containsText" dxfId="2518" priority="1819" operator="containsText" text="Str">
      <formula>NOT(ISERROR(SEARCH("Str",AO93)))</formula>
    </cfRule>
    <cfRule type="containsText" dxfId="2517" priority="1820" operator="containsText" text="Ere">
      <formula>NOT(ISERROR(SEARCH("Ere",AO93)))</formula>
    </cfRule>
    <cfRule type="containsText" dxfId="2516" priority="1821" operator="containsText" text="Ear">
      <formula>NOT(ISERROR(SEARCH("Ear",AO93)))</formula>
    </cfRule>
    <cfRule type="containsText" dxfId="2515" priority="1822" operator="containsText" text="fnd">
      <formula>NOT(ISERROR(SEARCH("fnd",AO93)))</formula>
    </cfRule>
  </conditionalFormatting>
  <conditionalFormatting sqref="AO101:AO102">
    <cfRule type="containsText" dxfId="2514" priority="41" operator="containsText" text="Str">
      <formula>NOT(ISERROR(SEARCH("Str",AO101)))</formula>
    </cfRule>
    <cfRule type="containsText" dxfId="2513" priority="42" operator="containsText" text="Ere">
      <formula>NOT(ISERROR(SEARCH("Ere",AO101)))</formula>
    </cfRule>
    <cfRule type="containsText" dxfId="2512" priority="43" operator="containsText" text="Ear">
      <formula>NOT(ISERROR(SEARCH("Ear",AO101)))</formula>
    </cfRule>
    <cfRule type="containsText" dxfId="2511" priority="44" operator="containsText" text="fnd">
      <formula>NOT(ISERROR(SEARCH("fnd",AO101)))</formula>
    </cfRule>
  </conditionalFormatting>
  <conditionalFormatting sqref="AO109">
    <cfRule type="containsText" dxfId="2510" priority="719" operator="containsText" text="Str">
      <formula>NOT(ISERROR(SEARCH("Str",AO109)))</formula>
    </cfRule>
    <cfRule type="containsText" dxfId="2509" priority="720" operator="containsText" text="Ere">
      <formula>NOT(ISERROR(SEARCH("Ere",AO109)))</formula>
    </cfRule>
    <cfRule type="containsText" dxfId="2508" priority="721" operator="containsText" text="Ear">
      <formula>NOT(ISERROR(SEARCH("Ear",AO109)))</formula>
    </cfRule>
    <cfRule type="containsText" dxfId="2507" priority="722" operator="containsText" text="fnd">
      <formula>NOT(ISERROR(SEARCH("fnd",AO109)))</formula>
    </cfRule>
  </conditionalFormatting>
  <conditionalFormatting sqref="AO117">
    <cfRule type="containsText" dxfId="2506" priority="1371" operator="containsText" text="Str">
      <formula>NOT(ISERROR(SEARCH("Str",AO117)))</formula>
    </cfRule>
    <cfRule type="containsText" dxfId="2505" priority="1372" operator="containsText" text="Ere">
      <formula>NOT(ISERROR(SEARCH("Ere",AO117)))</formula>
    </cfRule>
    <cfRule type="containsText" dxfId="2504" priority="1373" operator="containsText" text="Ear">
      <formula>NOT(ISERROR(SEARCH("Ear",AO117)))</formula>
    </cfRule>
    <cfRule type="containsText" dxfId="2503" priority="1374" operator="containsText" text="fnd">
      <formula>NOT(ISERROR(SEARCH("fnd",AO117)))</formula>
    </cfRule>
  </conditionalFormatting>
  <conditionalFormatting sqref="AO122 AO130 AO138 AO154 AO162 AO170 AO178">
    <cfRule type="containsText" dxfId="2502" priority="1971" operator="containsText" text="Str">
      <formula>NOT(ISERROR(SEARCH("Str",AO122)))</formula>
    </cfRule>
    <cfRule type="containsText" dxfId="2501" priority="1972" operator="containsText" text="Ere">
      <formula>NOT(ISERROR(SEARCH("Ere",AO122)))</formula>
    </cfRule>
    <cfRule type="containsText" dxfId="2500" priority="1973" operator="containsText" text="Ear">
      <formula>NOT(ISERROR(SEARCH("Ear",AO122)))</formula>
    </cfRule>
    <cfRule type="containsText" dxfId="2499" priority="1974" operator="containsText" text="fnd">
      <formula>NOT(ISERROR(SEARCH("fnd",AO122)))</formula>
    </cfRule>
  </conditionalFormatting>
  <conditionalFormatting sqref="AO125">
    <cfRule type="containsText" dxfId="2498" priority="1343" operator="containsText" text="Str">
      <formula>NOT(ISERROR(SEARCH("Str",AO125)))</formula>
    </cfRule>
    <cfRule type="containsText" dxfId="2497" priority="1344" operator="containsText" text="Ere">
      <formula>NOT(ISERROR(SEARCH("Ere",AO125)))</formula>
    </cfRule>
    <cfRule type="containsText" dxfId="2496" priority="1345" operator="containsText" text="Ear">
      <formula>NOT(ISERROR(SEARCH("Ear",AO125)))</formula>
    </cfRule>
    <cfRule type="containsText" dxfId="2495" priority="1346" operator="containsText" text="fnd">
      <formula>NOT(ISERROR(SEARCH("fnd",AO125)))</formula>
    </cfRule>
  </conditionalFormatting>
  <conditionalFormatting sqref="AO133">
    <cfRule type="containsText" dxfId="2494" priority="1291" operator="containsText" text="Str">
      <formula>NOT(ISERROR(SEARCH("Str",AO133)))</formula>
    </cfRule>
    <cfRule type="containsText" dxfId="2493" priority="1292" operator="containsText" text="Ere">
      <formula>NOT(ISERROR(SEARCH("Ere",AO133)))</formula>
    </cfRule>
    <cfRule type="containsText" dxfId="2492" priority="1293" operator="containsText" text="Ear">
      <formula>NOT(ISERROR(SEARCH("Ear",AO133)))</formula>
    </cfRule>
    <cfRule type="containsText" dxfId="2491" priority="1294" operator="containsText" text="fnd">
      <formula>NOT(ISERROR(SEARCH("fnd",AO133)))</formula>
    </cfRule>
  </conditionalFormatting>
  <conditionalFormatting sqref="AO141">
    <cfRule type="containsText" dxfId="2490" priority="245" operator="containsText" text="Str">
      <formula>NOT(ISERROR(SEARCH("Str",AO141)))</formula>
    </cfRule>
    <cfRule type="containsText" dxfId="2489" priority="246" operator="containsText" text="Ere">
      <formula>NOT(ISERROR(SEARCH("Ere",AO141)))</formula>
    </cfRule>
    <cfRule type="containsText" dxfId="2488" priority="247" operator="containsText" text="Ear">
      <formula>NOT(ISERROR(SEARCH("Ear",AO141)))</formula>
    </cfRule>
    <cfRule type="containsText" dxfId="2487" priority="248" operator="containsText" text="fnd">
      <formula>NOT(ISERROR(SEARCH("fnd",AO141)))</formula>
    </cfRule>
  </conditionalFormatting>
  <conditionalFormatting sqref="AO149">
    <cfRule type="containsText" dxfId="2486" priority="1147" operator="containsText" text="Str">
      <formula>NOT(ISERROR(SEARCH("Str",AO149)))</formula>
    </cfRule>
    <cfRule type="containsText" dxfId="2485" priority="1148" operator="containsText" text="Ere">
      <formula>NOT(ISERROR(SEARCH("Ere",AO149)))</formula>
    </cfRule>
    <cfRule type="containsText" dxfId="2484" priority="1149" operator="containsText" text="Ear">
      <formula>NOT(ISERROR(SEARCH("Ear",AO149)))</formula>
    </cfRule>
    <cfRule type="containsText" dxfId="2483" priority="1150" operator="containsText" text="fnd">
      <formula>NOT(ISERROR(SEARCH("fnd",AO149)))</formula>
    </cfRule>
  </conditionalFormatting>
  <conditionalFormatting sqref="AO157">
    <cfRule type="containsText" dxfId="2482" priority="1055" operator="containsText" text="Str">
      <formula>NOT(ISERROR(SEARCH("Str",AO157)))</formula>
    </cfRule>
    <cfRule type="containsText" dxfId="2481" priority="1056" operator="containsText" text="Ere">
      <formula>NOT(ISERROR(SEARCH("Ere",AO157)))</formula>
    </cfRule>
    <cfRule type="containsText" dxfId="2480" priority="1057" operator="containsText" text="Ear">
      <formula>NOT(ISERROR(SEARCH("Ear",AO157)))</formula>
    </cfRule>
    <cfRule type="containsText" dxfId="2479" priority="1058" operator="containsText" text="fnd">
      <formula>NOT(ISERROR(SEARCH("fnd",AO157)))</formula>
    </cfRule>
  </conditionalFormatting>
  <conditionalFormatting sqref="AO165">
    <cfRule type="containsText" dxfId="2478" priority="1011" operator="containsText" text="Str">
      <formula>NOT(ISERROR(SEARCH("Str",AO165)))</formula>
    </cfRule>
    <cfRule type="containsText" dxfId="2477" priority="1012" operator="containsText" text="Ere">
      <formula>NOT(ISERROR(SEARCH("Ere",AO165)))</formula>
    </cfRule>
    <cfRule type="containsText" dxfId="2476" priority="1013" operator="containsText" text="Ear">
      <formula>NOT(ISERROR(SEARCH("Ear",AO165)))</formula>
    </cfRule>
    <cfRule type="containsText" dxfId="2475" priority="1014" operator="containsText" text="fnd">
      <formula>NOT(ISERROR(SEARCH("fnd",AO165)))</formula>
    </cfRule>
  </conditionalFormatting>
  <conditionalFormatting sqref="AO173">
    <cfRule type="containsText" dxfId="2474" priority="955" operator="containsText" text="Str">
      <formula>NOT(ISERROR(SEARCH("Str",AO173)))</formula>
    </cfRule>
    <cfRule type="containsText" dxfId="2473" priority="956" operator="containsText" text="Ere">
      <formula>NOT(ISERROR(SEARCH("Ere",AO173)))</formula>
    </cfRule>
    <cfRule type="containsText" dxfId="2472" priority="957" operator="containsText" text="Ear">
      <formula>NOT(ISERROR(SEARCH("Ear",AO173)))</formula>
    </cfRule>
    <cfRule type="containsText" dxfId="2471" priority="958" operator="containsText" text="fnd">
      <formula>NOT(ISERROR(SEARCH("fnd",AO173)))</formula>
    </cfRule>
  </conditionalFormatting>
  <conditionalFormatting sqref="AO181">
    <cfRule type="containsText" dxfId="2470" priority="939" operator="containsText" text="Str">
      <formula>NOT(ISERROR(SEARCH("Str",AO181)))</formula>
    </cfRule>
    <cfRule type="containsText" dxfId="2469" priority="940" operator="containsText" text="Ere">
      <formula>NOT(ISERROR(SEARCH("Ere",AO181)))</formula>
    </cfRule>
    <cfRule type="containsText" dxfId="2468" priority="941" operator="containsText" text="Ear">
      <formula>NOT(ISERROR(SEARCH("Ear",AO181)))</formula>
    </cfRule>
    <cfRule type="containsText" dxfId="2467" priority="942" operator="containsText" text="fnd">
      <formula>NOT(ISERROR(SEARCH("fnd",AO181)))</formula>
    </cfRule>
  </conditionalFormatting>
  <conditionalFormatting sqref="AO30:AR30">
    <cfRule type="containsText" dxfId="2466" priority="891" operator="containsText" text="Str">
      <formula>NOT(ISERROR(SEARCH("Str",AO30)))</formula>
    </cfRule>
    <cfRule type="containsText" dxfId="2465" priority="892" operator="containsText" text="Ere">
      <formula>NOT(ISERROR(SEARCH("Ere",AO30)))</formula>
    </cfRule>
    <cfRule type="containsText" dxfId="2464" priority="893" operator="containsText" text="Ear">
      <formula>NOT(ISERROR(SEARCH("Ear",AO30)))</formula>
    </cfRule>
    <cfRule type="containsText" dxfId="2463" priority="894" operator="containsText" text="fnd">
      <formula>NOT(ISERROR(SEARCH("fnd",AO30)))</formula>
    </cfRule>
  </conditionalFormatting>
  <conditionalFormatting sqref="AO38:AR38">
    <cfRule type="containsText" dxfId="2462" priority="703" operator="containsText" text="Str">
      <formula>NOT(ISERROR(SEARCH("Str",AO38)))</formula>
    </cfRule>
    <cfRule type="containsText" dxfId="2461" priority="704" operator="containsText" text="Ere">
      <formula>NOT(ISERROR(SEARCH("Ere",AO38)))</formula>
    </cfRule>
    <cfRule type="containsText" dxfId="2460" priority="705" operator="containsText" text="Ear">
      <formula>NOT(ISERROR(SEARCH("Ear",AO38)))</formula>
    </cfRule>
    <cfRule type="containsText" dxfId="2459" priority="706" operator="containsText" text="fnd">
      <formula>NOT(ISERROR(SEARCH("fnd",AO38)))</formula>
    </cfRule>
  </conditionalFormatting>
  <conditionalFormatting sqref="AO53:AR54">
    <cfRule type="containsText" dxfId="2458" priority="831" operator="containsText" text="Str">
      <formula>NOT(ISERROR(SEARCH("Str",AO53)))</formula>
    </cfRule>
    <cfRule type="containsText" dxfId="2457" priority="832" operator="containsText" text="Ere">
      <formula>NOT(ISERROR(SEARCH("Ere",AO53)))</formula>
    </cfRule>
    <cfRule type="containsText" dxfId="2456" priority="833" operator="containsText" text="Ear">
      <formula>NOT(ISERROR(SEARCH("Ear",AO53)))</formula>
    </cfRule>
    <cfRule type="containsText" dxfId="2455" priority="834" operator="containsText" text="fnd">
      <formula>NOT(ISERROR(SEARCH("fnd",AO53)))</formula>
    </cfRule>
  </conditionalFormatting>
  <conditionalFormatting sqref="AO70:AR70">
    <cfRule type="containsText" dxfId="2454" priority="811" operator="containsText" text="Str">
      <formula>NOT(ISERROR(SEARCH("Str",AO70)))</formula>
    </cfRule>
    <cfRule type="containsText" dxfId="2453" priority="812" operator="containsText" text="Ere">
      <formula>NOT(ISERROR(SEARCH("Ere",AO70)))</formula>
    </cfRule>
    <cfRule type="containsText" dxfId="2452" priority="813" operator="containsText" text="Ear">
      <formula>NOT(ISERROR(SEARCH("Ear",AO70)))</formula>
    </cfRule>
    <cfRule type="containsText" dxfId="2451" priority="814" operator="containsText" text="fnd">
      <formula>NOT(ISERROR(SEARCH("fnd",AO70)))</formula>
    </cfRule>
  </conditionalFormatting>
  <conditionalFormatting sqref="AO86:AR86">
    <cfRule type="containsText" dxfId="2450" priority="779" operator="containsText" text="Str">
      <formula>NOT(ISERROR(SEARCH("Str",AO86)))</formula>
    </cfRule>
    <cfRule type="containsText" dxfId="2449" priority="780" operator="containsText" text="Ere">
      <formula>NOT(ISERROR(SEARCH("Ere",AO86)))</formula>
    </cfRule>
    <cfRule type="containsText" dxfId="2448" priority="781" operator="containsText" text="Ear">
      <formula>NOT(ISERROR(SEARCH("Ear",AO86)))</formula>
    </cfRule>
    <cfRule type="containsText" dxfId="2447" priority="782" operator="containsText" text="fnd">
      <formula>NOT(ISERROR(SEARCH("fnd",AO86)))</formula>
    </cfRule>
  </conditionalFormatting>
  <conditionalFormatting sqref="AO126:AR126">
    <cfRule type="containsText" dxfId="2446" priority="1347" operator="containsText" text="Str">
      <formula>NOT(ISERROR(SEARCH("Str",AO126)))</formula>
    </cfRule>
    <cfRule type="containsText" dxfId="2445" priority="1348" operator="containsText" text="Ere">
      <formula>NOT(ISERROR(SEARCH("Ere",AO126)))</formula>
    </cfRule>
    <cfRule type="containsText" dxfId="2444" priority="1349" operator="containsText" text="Ear">
      <formula>NOT(ISERROR(SEARCH("Ear",AO126)))</formula>
    </cfRule>
    <cfRule type="containsText" dxfId="2443" priority="1350" operator="containsText" text="fnd">
      <formula>NOT(ISERROR(SEARCH("fnd",AO126)))</formula>
    </cfRule>
  </conditionalFormatting>
  <conditionalFormatting sqref="AO134:AR134">
    <cfRule type="containsText" dxfId="2442" priority="1295" operator="containsText" text="Str">
      <formula>NOT(ISERROR(SEARCH("Str",AO134)))</formula>
    </cfRule>
    <cfRule type="containsText" dxfId="2441" priority="1296" operator="containsText" text="Ere">
      <formula>NOT(ISERROR(SEARCH("Ere",AO134)))</formula>
    </cfRule>
    <cfRule type="containsText" dxfId="2440" priority="1297" operator="containsText" text="Ear">
      <formula>NOT(ISERROR(SEARCH("Ear",AO134)))</formula>
    </cfRule>
    <cfRule type="containsText" dxfId="2439" priority="1298" operator="containsText" text="fnd">
      <formula>NOT(ISERROR(SEARCH("fnd",AO134)))</formula>
    </cfRule>
  </conditionalFormatting>
  <conditionalFormatting sqref="AO142:AR142">
    <cfRule type="containsText" dxfId="2438" priority="249" operator="containsText" text="Str">
      <formula>NOT(ISERROR(SEARCH("Str",AO142)))</formula>
    </cfRule>
    <cfRule type="containsText" dxfId="2437" priority="250" operator="containsText" text="Ere">
      <formula>NOT(ISERROR(SEARCH("Ere",AO142)))</formula>
    </cfRule>
    <cfRule type="containsText" dxfId="2436" priority="251" operator="containsText" text="Ear">
      <formula>NOT(ISERROR(SEARCH("Ear",AO142)))</formula>
    </cfRule>
    <cfRule type="containsText" dxfId="2435" priority="252" operator="containsText" text="fnd">
      <formula>NOT(ISERROR(SEARCH("fnd",AO142)))</formula>
    </cfRule>
  </conditionalFormatting>
  <conditionalFormatting sqref="AO158:AR158">
    <cfRule type="containsText" dxfId="2434" priority="1059" operator="containsText" text="Str">
      <formula>NOT(ISERROR(SEARCH("Str",AO158)))</formula>
    </cfRule>
    <cfRule type="containsText" dxfId="2433" priority="1060" operator="containsText" text="Ere">
      <formula>NOT(ISERROR(SEARCH("Ere",AO158)))</formula>
    </cfRule>
    <cfRule type="containsText" dxfId="2432" priority="1061" operator="containsText" text="Ear">
      <formula>NOT(ISERROR(SEARCH("Ear",AO158)))</formula>
    </cfRule>
    <cfRule type="containsText" dxfId="2431" priority="1062" operator="containsText" text="fnd">
      <formula>NOT(ISERROR(SEARCH("fnd",AO158)))</formula>
    </cfRule>
  </conditionalFormatting>
  <conditionalFormatting sqref="AO182:AR182">
    <cfRule type="containsText" dxfId="2430" priority="943" operator="containsText" text="Str">
      <formula>NOT(ISERROR(SEARCH("Str",AO182)))</formula>
    </cfRule>
    <cfRule type="containsText" dxfId="2429" priority="944" operator="containsText" text="Ere">
      <formula>NOT(ISERROR(SEARCH("Ere",AO182)))</formula>
    </cfRule>
    <cfRule type="containsText" dxfId="2428" priority="945" operator="containsText" text="Ear">
      <formula>NOT(ISERROR(SEARCH("Ear",AO182)))</formula>
    </cfRule>
    <cfRule type="containsText" dxfId="2427" priority="946" operator="containsText" text="fnd">
      <formula>NOT(ISERROR(SEARCH("fnd",AO182)))</formula>
    </cfRule>
  </conditionalFormatting>
  <conditionalFormatting sqref="AP102">
    <cfRule type="containsText" dxfId="2426" priority="37" operator="containsText" text="Str">
      <formula>NOT(ISERROR(SEARCH("Str",AP102)))</formula>
    </cfRule>
    <cfRule type="containsText" dxfId="2425" priority="38" operator="containsText" text="Ere">
      <formula>NOT(ISERROR(SEARCH("Ere",AP102)))</formula>
    </cfRule>
    <cfRule type="containsText" dxfId="2424" priority="39" operator="containsText" text="Ear">
      <formula>NOT(ISERROR(SEARCH("Ear",AP102)))</formula>
    </cfRule>
    <cfRule type="containsText" dxfId="2423" priority="40" operator="containsText" text="fnd">
      <formula>NOT(ISERROR(SEARCH("fnd",AP102)))</formula>
    </cfRule>
  </conditionalFormatting>
  <conditionalFormatting sqref="AP14:AR14">
    <cfRule type="containsText" dxfId="2422" priority="1715" operator="containsText" text="Str">
      <formula>NOT(ISERROR(SEARCH("Str",AP14)))</formula>
    </cfRule>
    <cfRule type="containsText" dxfId="2421" priority="1716" operator="containsText" text="Ere">
      <formula>NOT(ISERROR(SEARCH("Ere",AP14)))</formula>
    </cfRule>
    <cfRule type="containsText" dxfId="2420" priority="1717" operator="containsText" text="Ear">
      <formula>NOT(ISERROR(SEARCH("Ear",AP14)))</formula>
    </cfRule>
    <cfRule type="containsText" dxfId="2419" priority="1718" operator="containsText" text="fnd">
      <formula>NOT(ISERROR(SEARCH("fnd",AP14)))</formula>
    </cfRule>
  </conditionalFormatting>
  <conditionalFormatting sqref="AP22:AR22">
    <cfRule type="containsText" dxfId="2418" priority="911" operator="containsText" text="Str">
      <formula>NOT(ISERROR(SEARCH("Str",AP22)))</formula>
    </cfRule>
    <cfRule type="containsText" dxfId="2417" priority="912" operator="containsText" text="Ere">
      <formula>NOT(ISERROR(SEARCH("Ere",AP22)))</formula>
    </cfRule>
    <cfRule type="containsText" dxfId="2416" priority="913" operator="containsText" text="Ear">
      <formula>NOT(ISERROR(SEARCH("Ear",AP22)))</formula>
    </cfRule>
    <cfRule type="containsText" dxfId="2415" priority="914" operator="containsText" text="fnd">
      <formula>NOT(ISERROR(SEARCH("fnd",AP22)))</formula>
    </cfRule>
  </conditionalFormatting>
  <conditionalFormatting sqref="AP62:AR62">
    <cfRule type="containsText" dxfId="2414" priority="1943" operator="containsText" text="Str">
      <formula>NOT(ISERROR(SEARCH("Str",AP62)))</formula>
    </cfRule>
    <cfRule type="containsText" dxfId="2413" priority="1944" operator="containsText" text="Ere">
      <formula>NOT(ISERROR(SEARCH("Ere",AP62)))</formula>
    </cfRule>
    <cfRule type="containsText" dxfId="2412" priority="1945" operator="containsText" text="Ear">
      <formula>NOT(ISERROR(SEARCH("Ear",AP62)))</formula>
    </cfRule>
    <cfRule type="containsText" dxfId="2411" priority="1946" operator="containsText" text="fnd">
      <formula>NOT(ISERROR(SEARCH("fnd",AP62)))</formula>
    </cfRule>
  </conditionalFormatting>
  <conditionalFormatting sqref="AQ6">
    <cfRule type="containsText" dxfId="2410" priority="569" operator="containsText" text="Str">
      <formula>NOT(ISERROR(SEARCH("Str",AQ6)))</formula>
    </cfRule>
    <cfRule type="containsText" dxfId="2409" priority="570" operator="containsText" text="Ere">
      <formula>NOT(ISERROR(SEARCH("Ere",AQ6)))</formula>
    </cfRule>
  </conditionalFormatting>
  <conditionalFormatting sqref="AR5:AR6">
    <cfRule type="containsText" dxfId="2408" priority="935" operator="containsText" text="Str">
      <formula>NOT(ISERROR(SEARCH("Str",AR5)))</formula>
    </cfRule>
    <cfRule type="containsText" dxfId="2407" priority="936" operator="containsText" text="Ere">
      <formula>NOT(ISERROR(SEARCH("Ere",AR5)))</formula>
    </cfRule>
    <cfRule type="containsText" dxfId="2406" priority="937" operator="containsText" text="Ear">
      <formula>NOT(ISERROR(SEARCH("Ear",AR5)))</formula>
    </cfRule>
    <cfRule type="containsText" dxfId="2405" priority="938" operator="containsText" text="fnd">
      <formula>NOT(ISERROR(SEARCH("fnd",AR5)))</formula>
    </cfRule>
  </conditionalFormatting>
  <conditionalFormatting sqref="AV2 BB2">
    <cfRule type="containsText" dxfId="2404" priority="17" operator="containsText" text="Str">
      <formula>NOT(ISERROR(SEARCH("Str",AV2)))</formula>
    </cfRule>
    <cfRule type="containsText" dxfId="2403" priority="18" operator="containsText" text="Ere">
      <formula>NOT(ISERROR(SEARCH("Ere",AV2)))</formula>
    </cfRule>
    <cfRule type="containsText" dxfId="2402" priority="19" operator="containsText" text="Ear">
      <formula>NOT(ISERROR(SEARCH("Ear",AV2)))</formula>
    </cfRule>
    <cfRule type="containsText" dxfId="2401" priority="20" operator="containsText" text="fnd">
      <formula>NOT(ISERROR(SEARCH("fnd",AV2)))</formula>
    </cfRule>
  </conditionalFormatting>
  <conditionalFormatting sqref="AV3:BB3">
    <cfRule type="containsText" dxfId="2400" priority="57" operator="containsText" text="Str">
      <formula>NOT(ISERROR(SEARCH("Str",AV3)))</formula>
    </cfRule>
    <cfRule type="containsText" dxfId="2399" priority="58" operator="containsText" text="Ere">
      <formula>NOT(ISERROR(SEARCH("Ere",AV3)))</formula>
    </cfRule>
    <cfRule type="containsText" dxfId="2398" priority="59" operator="containsText" text="Ear">
      <formula>NOT(ISERROR(SEARCH("Ear",AV3)))</formula>
    </cfRule>
    <cfRule type="containsText" dxfId="2397" priority="60" operator="containsText" text="fnd">
      <formula>NOT(ISERROR(SEARCH("fnd",AV3)))</formula>
    </cfRule>
  </conditionalFormatting>
  <conditionalFormatting sqref="AW27:BA27">
    <cfRule type="containsText" dxfId="2396" priority="2307" operator="containsText" text="Str">
      <formula>NOT(ISERROR(SEARCH("Str",AW27)))</formula>
    </cfRule>
    <cfRule type="containsText" dxfId="2395" priority="2308" operator="containsText" text="Ere">
      <formula>NOT(ISERROR(SEARCH("Ere",AW27)))</formula>
    </cfRule>
    <cfRule type="containsText" dxfId="2394" priority="2309" operator="containsText" text="Ear">
      <formula>NOT(ISERROR(SEARCH("Ear",AW27)))</formula>
    </cfRule>
    <cfRule type="containsText" dxfId="2393" priority="2310" operator="containsText" text="fnd">
      <formula>NOT(ISERROR(SEARCH("fnd",AW27)))</formula>
    </cfRule>
  </conditionalFormatting>
  <conditionalFormatting sqref="W125">
    <cfRule type="containsText" dxfId="2392" priority="9" operator="containsText" text="Str">
      <formula>NOT(ISERROR(SEARCH("Str",W125)))</formula>
    </cfRule>
    <cfRule type="containsText" dxfId="2391" priority="10" operator="containsText" text="Ere">
      <formula>NOT(ISERROR(SEARCH("Ere",W125)))</formula>
    </cfRule>
    <cfRule type="containsText" dxfId="2390" priority="11" operator="containsText" text="Ear">
      <formula>NOT(ISERROR(SEARCH("Ear",W125)))</formula>
    </cfRule>
    <cfRule type="containsText" dxfId="2389" priority="12" operator="containsText" text="fnd">
      <formula>NOT(ISERROR(SEARCH("fnd",W125)))</formula>
    </cfRule>
  </conditionalFormatting>
  <conditionalFormatting sqref="W126:X126">
    <cfRule type="containsText" dxfId="2388" priority="13" operator="containsText" text="Str">
      <formula>NOT(ISERROR(SEARCH("Str",W126)))</formula>
    </cfRule>
    <cfRule type="containsText" dxfId="2387" priority="14" operator="containsText" text="Ere">
      <formula>NOT(ISERROR(SEARCH("Ere",W126)))</formula>
    </cfRule>
    <cfRule type="containsText" dxfId="2386" priority="15" operator="containsText" text="Ear">
      <formula>NOT(ISERROR(SEARCH("Ear",W126)))</formula>
    </cfRule>
    <cfRule type="containsText" dxfId="2385" priority="16" operator="containsText" text="fnd">
      <formula>NOT(ISERROR(SEARCH("fnd",W126)))</formula>
    </cfRule>
  </conditionalFormatting>
  <conditionalFormatting sqref="AL125">
    <cfRule type="containsText" dxfId="2384" priority="1" operator="containsText" text="Str">
      <formula>NOT(ISERROR(SEARCH("Str",AL125)))</formula>
    </cfRule>
    <cfRule type="containsText" dxfId="2383" priority="2" operator="containsText" text="Ere">
      <formula>NOT(ISERROR(SEARCH("Ere",AL125)))</formula>
    </cfRule>
    <cfRule type="containsText" dxfId="2382" priority="3" operator="containsText" text="Ear">
      <formula>NOT(ISERROR(SEARCH("Ear",AL125)))</formula>
    </cfRule>
    <cfRule type="containsText" dxfId="2381" priority="4" operator="containsText" text="fnd">
      <formula>NOT(ISERROR(SEARCH("fnd",AL125)))</formula>
    </cfRule>
  </conditionalFormatting>
  <conditionalFormatting sqref="AL126:AM126">
    <cfRule type="containsText" dxfId="2380" priority="5" operator="containsText" text="Str">
      <formula>NOT(ISERROR(SEARCH("Str",AL126)))</formula>
    </cfRule>
    <cfRule type="containsText" dxfId="2379" priority="6" operator="containsText" text="Ere">
      <formula>NOT(ISERROR(SEARCH("Ere",AL126)))</formula>
    </cfRule>
    <cfRule type="containsText" dxfId="2378" priority="7" operator="containsText" text="Ear">
      <formula>NOT(ISERROR(SEARCH("Ear",AL126)))</formula>
    </cfRule>
    <cfRule type="containsText" dxfId="2377" priority="8" operator="containsText" text="fnd">
      <formula>NOT(ISERROR(SEARCH("fnd",AL126)))</formula>
    </cfRule>
  </conditionalFormatting>
  <pageMargins left="0.14000000000000001" right="0.11" top="0.2" bottom="0.19" header="0.16" footer="0.05"/>
  <pageSetup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222"/>
  <sheetViews>
    <sheetView zoomScale="55" zoomScaleNormal="55" workbookViewId="0">
      <selection activeCell="AQ10" sqref="AQ10"/>
    </sheetView>
  </sheetViews>
  <sheetFormatPr defaultRowHeight="14.5" x14ac:dyDescent="0.35"/>
  <cols>
    <col min="1" max="1" width="9.1796875" bestFit="1" customWidth="1"/>
    <col min="2" max="3" width="4" customWidth="1"/>
    <col min="4" max="4" width="6.1796875" style="6" customWidth="1"/>
    <col min="5" max="5" width="4.1796875" customWidth="1"/>
    <col min="6" max="6" width="3.81640625" customWidth="1"/>
    <col min="7" max="7" width="7" style="6" customWidth="1"/>
    <col min="8" max="9" width="4" customWidth="1"/>
    <col min="10" max="10" width="6.81640625" style="6" customWidth="1"/>
    <col min="11" max="12" width="4" customWidth="1"/>
    <col min="13" max="13" width="5.54296875" style="6" customWidth="1"/>
    <col min="14" max="15" width="4" customWidth="1"/>
    <col min="16" max="16" width="5" style="6" customWidth="1"/>
    <col min="17" max="18" width="4" customWidth="1"/>
    <col min="19" max="19" width="5.81640625" style="6" customWidth="1"/>
    <col min="20" max="21" width="4" customWidth="1"/>
    <col min="22" max="22" width="5.1796875" style="6" customWidth="1"/>
    <col min="23" max="24" width="4" customWidth="1"/>
    <col min="25" max="25" width="7.81640625" style="6" customWidth="1"/>
    <col min="26" max="27" width="4" customWidth="1"/>
    <col min="28" max="28" width="6.81640625" style="6" customWidth="1"/>
    <col min="29" max="30" width="3.81640625" customWidth="1"/>
    <col min="31" max="31" width="6.1796875" style="6" customWidth="1"/>
    <col min="32" max="32" width="4" customWidth="1"/>
    <col min="33" max="33" width="3.81640625" customWidth="1"/>
    <col min="34" max="34" width="8.54296875" style="6" customWidth="1"/>
    <col min="35" max="35" width="4" customWidth="1"/>
    <col min="36" max="36" width="3.81640625" customWidth="1"/>
    <col min="37" max="37" width="5.81640625" style="6" customWidth="1"/>
    <col min="38" max="38" width="4" customWidth="1"/>
    <col min="39" max="39" width="3.54296875" customWidth="1"/>
    <col min="40" max="40" width="7.453125" style="6" customWidth="1"/>
    <col min="41" max="41" width="4" customWidth="1"/>
    <col min="42" max="42" width="3.453125" customWidth="1"/>
    <col min="43" max="43" width="7.81640625" customWidth="1"/>
    <col min="44" max="44" width="3.453125" customWidth="1"/>
    <col min="45" max="45" width="3.81640625" style="6" customWidth="1"/>
    <col min="46" max="46" width="4.1796875" style="6" bestFit="1" customWidth="1"/>
    <col min="47" max="47" width="2.54296875" customWidth="1"/>
    <col min="48" max="48" width="6.1796875" customWidth="1"/>
    <col min="49" max="49" width="6" customWidth="1"/>
    <col min="50" max="51" width="5.81640625" customWidth="1"/>
    <col min="52" max="52" width="7.1796875" customWidth="1"/>
  </cols>
  <sheetData>
    <row r="1" spans="1:53" ht="21.75" customHeight="1" thickBot="1" x14ac:dyDescent="0.4">
      <c r="A1" s="689" t="str">
        <f>[2]TS!A1</f>
        <v>Name of Line:- 765 KV D/C Mandsaur - Kurawar (Part-1)Transmission Line(WZ-4)</v>
      </c>
      <c r="B1" s="690"/>
      <c r="C1" s="690"/>
      <c r="D1" s="690"/>
      <c r="E1" s="690"/>
      <c r="F1" s="690"/>
      <c r="G1" s="691"/>
      <c r="H1" s="691"/>
      <c r="I1" s="691"/>
      <c r="J1" s="691"/>
      <c r="K1" s="690"/>
      <c r="L1" s="690"/>
      <c r="M1" s="690"/>
      <c r="N1" s="690"/>
      <c r="O1" s="690"/>
      <c r="P1" s="690"/>
      <c r="Q1" s="690"/>
      <c r="R1" s="690"/>
      <c r="S1" s="690"/>
      <c r="T1" s="690"/>
      <c r="U1" s="690"/>
      <c r="V1" s="690"/>
      <c r="W1" s="690"/>
      <c r="X1" s="690"/>
      <c r="Y1" s="690"/>
      <c r="Z1" s="690"/>
      <c r="AA1" s="690"/>
      <c r="AB1" s="690"/>
      <c r="AC1" s="690"/>
      <c r="AD1" s="690"/>
      <c r="AE1" s="690"/>
      <c r="AF1" s="690"/>
      <c r="AG1" s="690"/>
      <c r="AH1" s="690"/>
      <c r="AI1" s="690"/>
      <c r="AJ1" s="690"/>
      <c r="AK1" s="690"/>
      <c r="AL1" s="690"/>
      <c r="AM1" s="690"/>
      <c r="AN1" s="690"/>
      <c r="AO1" s="690"/>
      <c r="AP1" s="690"/>
      <c r="AQ1" s="690"/>
      <c r="AR1" s="690"/>
      <c r="AS1" s="690"/>
      <c r="AT1" s="219"/>
      <c r="AV1" s="692"/>
      <c r="AW1" s="693"/>
      <c r="AX1" s="693"/>
      <c r="AY1" s="693"/>
      <c r="AZ1" s="693"/>
      <c r="BA1" s="693"/>
    </row>
    <row r="2" spans="1:53" ht="30" x14ac:dyDescent="0.45">
      <c r="A2" s="505"/>
      <c r="B2" s="506"/>
      <c r="C2" s="506"/>
      <c r="D2" s="19"/>
      <c r="E2" s="506"/>
      <c r="F2" s="506"/>
      <c r="G2" s="223"/>
      <c r="H2" s="223"/>
      <c r="I2" s="223"/>
      <c r="J2" s="223"/>
      <c r="K2" s="506"/>
      <c r="L2" s="506"/>
      <c r="M2" s="19"/>
      <c r="N2" s="506"/>
      <c r="O2" s="506"/>
      <c r="P2" s="19"/>
      <c r="Q2" s="506"/>
      <c r="R2" s="506"/>
      <c r="S2" s="19"/>
      <c r="T2" s="694" t="s">
        <v>387</v>
      </c>
      <c r="U2" s="694"/>
      <c r="V2" s="694"/>
      <c r="W2" s="694"/>
      <c r="X2" s="694"/>
      <c r="Y2" s="694"/>
      <c r="Z2" s="694"/>
      <c r="AA2" s="694"/>
      <c r="AB2" s="694"/>
      <c r="AC2" s="694"/>
      <c r="AD2" s="694"/>
      <c r="AE2" s="19"/>
      <c r="AF2" s="506"/>
      <c r="AG2" s="506"/>
      <c r="AH2" s="19"/>
      <c r="AI2" s="506"/>
      <c r="AJ2" s="506"/>
      <c r="AK2" s="695" t="s">
        <v>351</v>
      </c>
      <c r="AL2" s="695"/>
      <c r="AM2" s="695"/>
      <c r="AN2" s="696">
        <v>46170</v>
      </c>
      <c r="AO2" s="696"/>
      <c r="AP2" s="696"/>
      <c r="AQ2" s="507"/>
      <c r="AR2" s="507"/>
      <c r="AS2" s="19"/>
      <c r="AT2" s="220"/>
      <c r="AV2" s="496" t="s">
        <v>2139</v>
      </c>
      <c r="AW2" s="497" t="s">
        <v>2140</v>
      </c>
      <c r="AX2" s="498" t="s">
        <v>2141</v>
      </c>
      <c r="AY2" s="499" t="s">
        <v>352</v>
      </c>
      <c r="AZ2" s="500" t="s">
        <v>353</v>
      </c>
      <c r="BA2" s="501" t="s">
        <v>2123</v>
      </c>
    </row>
    <row r="3" spans="1:53" x14ac:dyDescent="0.35">
      <c r="A3" s="5"/>
      <c r="C3" s="6"/>
      <c r="F3" s="6"/>
      <c r="G3"/>
      <c r="AT3" s="7"/>
      <c r="AV3" s="8">
        <f>SUM(AV6:AV182)</f>
        <v>267</v>
      </c>
      <c r="AW3" s="8">
        <f>SUM(AW6:AW182)</f>
        <v>235</v>
      </c>
      <c r="AX3" s="8">
        <f>SUM(AX6:AX182)</f>
        <v>208</v>
      </c>
      <c r="AY3" s="8">
        <f t="shared" ref="AY3:BA3" si="0">SUM(AY6:AY182)</f>
        <v>4</v>
      </c>
      <c r="AZ3" s="8">
        <f t="shared" si="0"/>
        <v>0</v>
      </c>
      <c r="BA3" s="8">
        <f t="shared" si="0"/>
        <v>118387.00699999998</v>
      </c>
    </row>
    <row r="4" spans="1:53" x14ac:dyDescent="0.35">
      <c r="A4" s="5"/>
      <c r="B4" s="697"/>
      <c r="C4" s="697"/>
      <c r="E4" s="697"/>
      <c r="F4" s="697"/>
      <c r="H4" s="698"/>
      <c r="I4" s="698"/>
      <c r="K4" s="697"/>
      <c r="L4" s="697"/>
      <c r="N4" s="697"/>
      <c r="O4" s="697"/>
      <c r="Q4" s="698"/>
      <c r="R4" s="698"/>
      <c r="T4" s="698"/>
      <c r="U4" s="698"/>
      <c r="W4" s="711"/>
      <c r="X4" s="711"/>
      <c r="Z4" s="711"/>
      <c r="AA4" s="711"/>
      <c r="AC4" s="698"/>
      <c r="AD4" s="697"/>
      <c r="AF4" s="698"/>
      <c r="AG4" s="697"/>
      <c r="AI4" s="698"/>
      <c r="AJ4" s="697"/>
      <c r="AL4" s="698"/>
      <c r="AM4" s="697"/>
      <c r="AO4" s="698"/>
      <c r="AP4" s="697"/>
      <c r="AQ4" s="10"/>
      <c r="AR4" s="10"/>
      <c r="AT4" s="7"/>
      <c r="AV4" s="10"/>
    </row>
    <row r="5" spans="1:53" x14ac:dyDescent="0.35">
      <c r="A5" s="5"/>
      <c r="B5" s="8"/>
      <c r="C5" s="13"/>
      <c r="D5" s="508"/>
      <c r="E5" s="11"/>
      <c r="F5" s="12"/>
      <c r="G5" s="508"/>
      <c r="H5" s="11"/>
      <c r="I5" s="12"/>
      <c r="J5" s="509"/>
      <c r="K5" s="11"/>
      <c r="L5" s="12"/>
      <c r="M5" s="508"/>
      <c r="N5" s="11"/>
      <c r="O5" s="12"/>
      <c r="P5" s="510"/>
      <c r="Q5" s="11"/>
      <c r="R5" s="12"/>
      <c r="S5" s="510"/>
      <c r="T5" s="705" t="s">
        <v>397</v>
      </c>
      <c r="U5" s="706"/>
      <c r="V5" s="510"/>
      <c r="W5" s="705" t="s">
        <v>397</v>
      </c>
      <c r="X5" s="706"/>
      <c r="Y5" s="510"/>
      <c r="Z5" s="207"/>
      <c r="AA5" s="207"/>
      <c r="AB5" s="510"/>
      <c r="AC5" s="11"/>
      <c r="AD5" s="14"/>
      <c r="AE5" s="510"/>
      <c r="AF5" s="11"/>
      <c r="AG5" s="12"/>
      <c r="AH5" s="510"/>
      <c r="AI5" s="11"/>
      <c r="AJ5" s="12"/>
      <c r="AK5" s="510"/>
      <c r="AL5" s="11"/>
      <c r="AM5" s="12"/>
      <c r="AN5" s="510"/>
      <c r="AO5" s="11"/>
      <c r="AP5" s="12"/>
      <c r="AQ5" s="511"/>
      <c r="AR5" s="512"/>
      <c r="AS5" s="511"/>
      <c r="AT5" s="209"/>
    </row>
    <row r="6" spans="1:53" x14ac:dyDescent="0.35">
      <c r="A6" s="5"/>
      <c r="B6" s="404"/>
      <c r="C6" s="404"/>
      <c r="D6" s="513"/>
      <c r="E6" s="11"/>
      <c r="F6" s="11"/>
      <c r="G6" s="513"/>
      <c r="H6" s="11"/>
      <c r="I6" s="11"/>
      <c r="J6" s="514"/>
      <c r="K6" s="11"/>
      <c r="L6" s="11"/>
      <c r="M6" s="513"/>
      <c r="N6" s="11"/>
      <c r="O6" s="11"/>
      <c r="P6" s="513"/>
      <c r="Q6" s="11"/>
      <c r="R6" s="11"/>
      <c r="S6" s="513"/>
      <c r="T6" s="707"/>
      <c r="U6" s="708"/>
      <c r="V6" s="513"/>
      <c r="W6" s="707"/>
      <c r="X6" s="708"/>
      <c r="Y6" s="513"/>
      <c r="Z6" s="11"/>
      <c r="AA6" s="11"/>
      <c r="AB6" s="513"/>
      <c r="AC6" s="11"/>
      <c r="AD6" s="11"/>
      <c r="AF6" s="11"/>
      <c r="AG6" s="11"/>
      <c r="AH6" s="513"/>
      <c r="AI6" s="11"/>
      <c r="AJ6" s="11"/>
      <c r="AK6" s="513"/>
      <c r="AL6" s="11"/>
      <c r="AM6" s="11"/>
      <c r="AN6" s="513"/>
      <c r="AO6" s="11"/>
      <c r="AP6" s="12"/>
      <c r="AQ6" s="512"/>
      <c r="AR6" s="512"/>
      <c r="AS6" s="512"/>
      <c r="AT6" s="210"/>
      <c r="AV6" s="2">
        <v>11</v>
      </c>
      <c r="AW6" s="2">
        <v>7</v>
      </c>
      <c r="AX6" s="2">
        <v>2</v>
      </c>
      <c r="AY6" s="2">
        <v>0</v>
      </c>
      <c r="AZ6" s="2">
        <v>0</v>
      </c>
      <c r="BA6" s="405">
        <f>+A7+D7+G7+J7+M7+P7+S7+V7+Y7+AB7+AE7+AH7+AK7+AN7+AQ7</f>
        <v>5498.4219999999996</v>
      </c>
    </row>
    <row r="7" spans="1:53" x14ac:dyDescent="0.35">
      <c r="A7" s="515">
        <v>107.961</v>
      </c>
      <c r="B7" s="700" t="s">
        <v>9</v>
      </c>
      <c r="C7" s="700"/>
      <c r="D7" s="517">
        <v>148.47800000000001</v>
      </c>
      <c r="E7" s="700" t="s">
        <v>9</v>
      </c>
      <c r="F7" s="700"/>
      <c r="G7" s="517">
        <v>408.83199999999999</v>
      </c>
      <c r="H7" s="702" t="s">
        <v>12</v>
      </c>
      <c r="I7" s="700"/>
      <c r="J7" s="513">
        <v>380</v>
      </c>
      <c r="K7" s="702" t="s">
        <v>14</v>
      </c>
      <c r="L7" s="700"/>
      <c r="M7" s="513">
        <v>422</v>
      </c>
      <c r="N7" s="709" t="s">
        <v>16</v>
      </c>
      <c r="O7" s="710"/>
      <c r="P7" s="517">
        <v>408.35199999999998</v>
      </c>
      <c r="Q7" s="703" t="s">
        <v>18</v>
      </c>
      <c r="R7" s="700"/>
      <c r="S7" s="517">
        <v>419.45299999999997</v>
      </c>
      <c r="T7" s="703" t="s">
        <v>20</v>
      </c>
      <c r="U7" s="700"/>
      <c r="V7" s="513">
        <v>381</v>
      </c>
      <c r="W7" s="703" t="s">
        <v>20</v>
      </c>
      <c r="X7" s="700"/>
      <c r="Y7" s="513">
        <v>417</v>
      </c>
      <c r="Z7" s="699" t="s">
        <v>23</v>
      </c>
      <c r="AA7" s="700"/>
      <c r="AB7" s="6">
        <v>417</v>
      </c>
      <c r="AC7" s="699" t="s">
        <v>16</v>
      </c>
      <c r="AD7" s="700"/>
      <c r="AE7" s="513">
        <v>417</v>
      </c>
      <c r="AF7" s="700" t="s">
        <v>23</v>
      </c>
      <c r="AG7" s="700"/>
      <c r="AH7" s="517">
        <v>388.00299999999999</v>
      </c>
      <c r="AI7" s="699" t="s">
        <v>16</v>
      </c>
      <c r="AJ7" s="700"/>
      <c r="AK7" s="517">
        <v>452.34300000000002</v>
      </c>
      <c r="AL7" s="699" t="s">
        <v>28</v>
      </c>
      <c r="AM7" s="700"/>
      <c r="AN7" s="337">
        <v>401</v>
      </c>
      <c r="AO7" s="701" t="s">
        <v>23</v>
      </c>
      <c r="AP7" s="701"/>
      <c r="AQ7" s="513">
        <v>330</v>
      </c>
      <c r="AT7" s="7"/>
      <c r="AX7" s="10"/>
    </row>
    <row r="8" spans="1:53" x14ac:dyDescent="0.35">
      <c r="A8" s="5"/>
      <c r="B8" s="700" t="s">
        <v>8</v>
      </c>
      <c r="C8" s="700"/>
      <c r="D8" s="519"/>
      <c r="E8" s="700" t="s">
        <v>10</v>
      </c>
      <c r="F8" s="700"/>
      <c r="G8" s="519"/>
      <c r="H8" s="702" t="s">
        <v>11</v>
      </c>
      <c r="I8" s="700"/>
      <c r="J8" s="519"/>
      <c r="K8" s="702" t="s">
        <v>13</v>
      </c>
      <c r="L8" s="700"/>
      <c r="M8" s="519"/>
      <c r="N8" s="703" t="s">
        <v>15</v>
      </c>
      <c r="O8" s="704"/>
      <c r="P8" s="519"/>
      <c r="Q8" s="703" t="s">
        <v>17</v>
      </c>
      <c r="R8" s="704"/>
      <c r="S8" s="519"/>
      <c r="T8" s="703" t="s">
        <v>19</v>
      </c>
      <c r="U8" s="704"/>
      <c r="V8" s="519"/>
      <c r="W8" s="703" t="s">
        <v>21</v>
      </c>
      <c r="X8" s="704"/>
      <c r="Y8" s="519"/>
      <c r="Z8" s="703" t="s">
        <v>22</v>
      </c>
      <c r="AA8" s="704"/>
      <c r="AB8" s="513"/>
      <c r="AC8" s="703" t="s">
        <v>24</v>
      </c>
      <c r="AD8" s="704"/>
      <c r="AE8" s="519"/>
      <c r="AF8" s="703" t="s">
        <v>25</v>
      </c>
      <c r="AG8" s="704"/>
      <c r="AH8" s="519"/>
      <c r="AI8" s="703" t="s">
        <v>26</v>
      </c>
      <c r="AJ8" s="704"/>
      <c r="AK8" s="519"/>
      <c r="AL8" s="699" t="s">
        <v>27</v>
      </c>
      <c r="AM8" s="700"/>
      <c r="AN8" s="516"/>
      <c r="AO8" s="699" t="s">
        <v>29</v>
      </c>
      <c r="AP8" s="700"/>
      <c r="AQ8" s="6"/>
      <c r="AT8" s="7"/>
    </row>
    <row r="9" spans="1:53" x14ac:dyDescent="0.35">
      <c r="A9" s="5"/>
      <c r="B9" s="521" t="s">
        <v>359</v>
      </c>
      <c r="C9" s="521"/>
      <c r="D9" s="521"/>
      <c r="E9" s="521" t="s">
        <v>359</v>
      </c>
      <c r="F9" s="521"/>
      <c r="G9" s="522"/>
      <c r="H9" s="521" t="s">
        <v>359</v>
      </c>
      <c r="I9" s="521"/>
      <c r="J9" s="522"/>
      <c r="K9" s="521" t="s">
        <v>359</v>
      </c>
      <c r="L9" s="521"/>
      <c r="M9" s="522"/>
      <c r="N9" s="521" t="s">
        <v>359</v>
      </c>
      <c r="O9" s="521"/>
      <c r="P9" s="522"/>
      <c r="Q9" s="521" t="s">
        <v>359</v>
      </c>
      <c r="R9" s="523"/>
      <c r="S9" s="522"/>
      <c r="T9" s="521" t="s">
        <v>359</v>
      </c>
      <c r="U9" s="523"/>
      <c r="V9" s="522"/>
      <c r="W9" s="521" t="s">
        <v>359</v>
      </c>
      <c r="X9" s="521"/>
      <c r="Y9" s="522"/>
      <c r="Z9" s="521" t="s">
        <v>359</v>
      </c>
      <c r="AA9" s="521"/>
      <c r="AB9" s="522"/>
      <c r="AC9" s="521" t="s">
        <v>359</v>
      </c>
      <c r="AD9" s="521"/>
      <c r="AE9" s="524"/>
      <c r="AF9" s="521" t="s">
        <v>359</v>
      </c>
      <c r="AG9" s="521"/>
      <c r="AH9" s="522"/>
      <c r="AI9" s="521" t="s">
        <v>359</v>
      </c>
      <c r="AJ9" s="521"/>
      <c r="AK9" s="522"/>
      <c r="AL9" s="522" t="s">
        <v>359</v>
      </c>
      <c r="AM9" s="521"/>
      <c r="AN9" s="522"/>
      <c r="AO9" s="522" t="s">
        <v>359</v>
      </c>
      <c r="AP9" s="521"/>
      <c r="AQ9" s="521"/>
      <c r="AR9" s="521"/>
      <c r="AS9" s="525"/>
      <c r="AT9" s="7"/>
    </row>
    <row r="10" spans="1:53" x14ac:dyDescent="0.35">
      <c r="A10" s="5"/>
      <c r="K10" s="6"/>
      <c r="L10" s="6"/>
      <c r="S10" s="718"/>
      <c r="T10" s="718"/>
      <c r="U10" s="718"/>
      <c r="V10" s="718"/>
      <c r="Y10" s="719"/>
      <c r="Z10" s="719"/>
      <c r="AA10" s="719"/>
      <c r="AB10" s="719"/>
      <c r="AT10" s="7"/>
      <c r="AX10" t="s">
        <v>358</v>
      </c>
    </row>
    <row r="11" spans="1:53" x14ac:dyDescent="0.35">
      <c r="A11" s="5"/>
      <c r="Q11" s="6"/>
      <c r="AT11" s="7"/>
    </row>
    <row r="12" spans="1:53" x14ac:dyDescent="0.35">
      <c r="A12" s="5"/>
      <c r="B12" s="711"/>
      <c r="C12" s="711"/>
      <c r="E12" s="698"/>
      <c r="F12" s="697"/>
      <c r="H12" s="698"/>
      <c r="I12" s="697"/>
      <c r="K12" s="697"/>
      <c r="L12" s="697"/>
      <c r="N12" s="698"/>
      <c r="O12" s="697"/>
      <c r="Q12" s="698"/>
      <c r="R12" s="697"/>
      <c r="T12" s="698"/>
      <c r="U12" s="697"/>
      <c r="W12" s="698"/>
      <c r="X12" s="697"/>
      <c r="Z12" s="698"/>
      <c r="AA12" s="697"/>
      <c r="AC12" s="697"/>
      <c r="AD12" s="697"/>
      <c r="AF12" s="698"/>
      <c r="AG12" s="697"/>
      <c r="AI12" s="697"/>
      <c r="AJ12" s="697"/>
      <c r="AL12" s="697"/>
      <c r="AM12" s="697"/>
      <c r="AO12" s="698"/>
      <c r="AP12" s="697"/>
      <c r="AQ12" s="10"/>
      <c r="AR12" s="10"/>
      <c r="AT12" s="7"/>
    </row>
    <row r="13" spans="1:53" x14ac:dyDescent="0.35">
      <c r="A13" s="5"/>
      <c r="B13" s="11"/>
      <c r="C13" s="12"/>
      <c r="D13" s="510"/>
      <c r="E13" s="11"/>
      <c r="F13" s="12"/>
      <c r="G13" s="510"/>
      <c r="H13" s="11"/>
      <c r="I13" s="12"/>
      <c r="J13" s="510"/>
      <c r="K13" s="11"/>
      <c r="L13" s="12"/>
      <c r="M13" s="510"/>
      <c r="N13" s="11"/>
      <c r="O13" s="12"/>
      <c r="P13" s="510"/>
      <c r="Q13" s="11"/>
      <c r="R13" s="12"/>
      <c r="S13" s="510"/>
      <c r="T13" s="11"/>
      <c r="U13" s="12"/>
      <c r="V13" s="510"/>
      <c r="W13" s="11"/>
      <c r="X13" s="12"/>
      <c r="Y13" s="510"/>
      <c r="Z13" s="11"/>
      <c r="AA13" s="12"/>
      <c r="AB13" s="510"/>
      <c r="AC13" s="11"/>
      <c r="AD13" s="12"/>
      <c r="AE13" s="510"/>
      <c r="AF13" s="11"/>
      <c r="AG13" s="12"/>
      <c r="AH13" s="510"/>
      <c r="AI13" s="11"/>
      <c r="AJ13" s="12"/>
      <c r="AK13" s="526"/>
      <c r="AL13" s="11"/>
      <c r="AM13" s="12"/>
      <c r="AN13" s="510"/>
      <c r="AO13" s="11"/>
      <c r="AP13" s="12"/>
      <c r="AQ13" s="511"/>
      <c r="AR13" s="511"/>
      <c r="AS13" s="510"/>
      <c r="AT13" s="212"/>
    </row>
    <row r="14" spans="1:53" x14ac:dyDescent="0.35">
      <c r="A14" s="5"/>
      <c r="B14" s="11"/>
      <c r="C14" s="11"/>
      <c r="D14" s="513"/>
      <c r="E14" s="11"/>
      <c r="F14" s="11"/>
      <c r="G14" s="513"/>
      <c r="H14" s="11"/>
      <c r="I14" s="11"/>
      <c r="J14" s="519"/>
      <c r="K14" s="11"/>
      <c r="L14" s="11"/>
      <c r="M14" s="513"/>
      <c r="N14" s="11"/>
      <c r="O14" s="11"/>
      <c r="P14" s="513"/>
      <c r="Q14" s="11"/>
      <c r="R14" s="11"/>
      <c r="S14" s="513"/>
      <c r="T14" s="11"/>
      <c r="U14" s="11"/>
      <c r="V14" s="513"/>
      <c r="W14" s="11"/>
      <c r="X14" s="11"/>
      <c r="Y14" s="513"/>
      <c r="Z14" s="11"/>
      <c r="AA14" s="11"/>
      <c r="AB14" s="28"/>
      <c r="AC14" s="11"/>
      <c r="AD14" s="11"/>
      <c r="AE14" s="29"/>
      <c r="AF14" s="11"/>
      <c r="AG14" s="11"/>
      <c r="AH14" s="513"/>
      <c r="AI14" s="11"/>
      <c r="AJ14" s="11"/>
      <c r="AK14" s="513"/>
      <c r="AL14" s="11"/>
      <c r="AM14" s="11"/>
      <c r="AN14" s="513"/>
      <c r="AO14" s="11"/>
      <c r="AP14" s="11"/>
      <c r="AQ14" s="512"/>
      <c r="AR14" s="512"/>
      <c r="AS14" s="519"/>
      <c r="AT14" s="213"/>
      <c r="AV14" s="2">
        <v>14</v>
      </c>
      <c r="AW14" s="2">
        <v>11</v>
      </c>
      <c r="AX14" s="2">
        <v>14</v>
      </c>
      <c r="AY14" s="2">
        <v>4</v>
      </c>
      <c r="AZ14" s="2">
        <v>0</v>
      </c>
      <c r="BA14" s="405">
        <f>+A15+D15+G15+J15+M15+P15+S15+V15+Y15+AB15+AE15+AH15+AK15+AN15+AQ15</f>
        <v>5348</v>
      </c>
    </row>
    <row r="15" spans="1:53" x14ac:dyDescent="0.35">
      <c r="A15" s="5"/>
      <c r="B15" s="700" t="s">
        <v>31</v>
      </c>
      <c r="C15" s="700"/>
      <c r="D15" s="513">
        <v>413</v>
      </c>
      <c r="E15" s="712" t="s">
        <v>33</v>
      </c>
      <c r="F15" s="712"/>
      <c r="G15" s="527">
        <v>422</v>
      </c>
      <c r="H15" s="713" t="s">
        <v>35</v>
      </c>
      <c r="I15" s="712"/>
      <c r="J15" s="519">
        <v>396</v>
      </c>
      <c r="K15" s="714" t="s">
        <v>31</v>
      </c>
      <c r="L15" s="712"/>
      <c r="M15" s="513">
        <v>385</v>
      </c>
      <c r="N15" s="714" t="s">
        <v>31</v>
      </c>
      <c r="O15" s="712"/>
      <c r="P15" s="513">
        <v>338</v>
      </c>
      <c r="Q15" s="715" t="s">
        <v>23</v>
      </c>
      <c r="R15" s="716"/>
      <c r="S15" s="513">
        <v>324</v>
      </c>
      <c r="T15" s="717" t="s">
        <v>40</v>
      </c>
      <c r="U15" s="712"/>
      <c r="V15" s="513">
        <v>380</v>
      </c>
      <c r="W15" s="699" t="s">
        <v>14</v>
      </c>
      <c r="X15" s="700"/>
      <c r="Y15" s="513">
        <v>374</v>
      </c>
      <c r="Z15" s="717" t="s">
        <v>35</v>
      </c>
      <c r="AA15" s="712"/>
      <c r="AB15" s="528">
        <v>415</v>
      </c>
      <c r="AC15" s="712" t="s">
        <v>35</v>
      </c>
      <c r="AD15" s="712"/>
      <c r="AE15" s="529">
        <v>386</v>
      </c>
      <c r="AF15" s="714" t="s">
        <v>40</v>
      </c>
      <c r="AG15" s="712"/>
      <c r="AH15" s="513">
        <v>352</v>
      </c>
      <c r="AI15" s="714" t="s">
        <v>31</v>
      </c>
      <c r="AJ15" s="712"/>
      <c r="AK15" s="513">
        <v>392</v>
      </c>
      <c r="AL15" s="714" t="s">
        <v>31</v>
      </c>
      <c r="AM15" s="712"/>
      <c r="AN15" s="513">
        <v>381</v>
      </c>
      <c r="AO15" s="714" t="s">
        <v>31</v>
      </c>
      <c r="AP15" s="712"/>
      <c r="AQ15" s="516">
        <v>390</v>
      </c>
      <c r="AR15" s="516"/>
      <c r="AS15" s="519"/>
      <c r="AT15" s="213"/>
    </row>
    <row r="16" spans="1:53" x14ac:dyDescent="0.35">
      <c r="A16" s="5"/>
      <c r="B16" s="699" t="s">
        <v>30</v>
      </c>
      <c r="C16" s="700"/>
      <c r="D16" s="519"/>
      <c r="E16" s="699" t="s">
        <v>32</v>
      </c>
      <c r="F16" s="700"/>
      <c r="G16" s="519"/>
      <c r="H16" s="699" t="s">
        <v>34</v>
      </c>
      <c r="I16" s="700"/>
      <c r="J16" s="519"/>
      <c r="K16" s="699" t="s">
        <v>36</v>
      </c>
      <c r="L16" s="700"/>
      <c r="M16" s="519"/>
      <c r="N16" s="699" t="s">
        <v>37</v>
      </c>
      <c r="O16" s="700"/>
      <c r="P16" s="519"/>
      <c r="Q16" s="699" t="s">
        <v>38</v>
      </c>
      <c r="R16" s="700"/>
      <c r="S16" s="519"/>
      <c r="T16" s="703" t="s">
        <v>39</v>
      </c>
      <c r="U16" s="704"/>
      <c r="V16" s="519"/>
      <c r="W16" s="703" t="s">
        <v>41</v>
      </c>
      <c r="X16" s="704"/>
      <c r="Y16" s="519"/>
      <c r="Z16" s="703" t="s">
        <v>42</v>
      </c>
      <c r="AA16" s="704"/>
      <c r="AB16" s="528"/>
      <c r="AC16" s="703" t="s">
        <v>43</v>
      </c>
      <c r="AD16" s="704"/>
      <c r="AE16" s="529"/>
      <c r="AF16" s="703" t="s">
        <v>44</v>
      </c>
      <c r="AG16" s="704"/>
      <c r="AH16" s="519"/>
      <c r="AI16" s="703" t="s">
        <v>45</v>
      </c>
      <c r="AJ16" s="704"/>
      <c r="AK16" s="519"/>
      <c r="AL16" s="703" t="s">
        <v>46</v>
      </c>
      <c r="AM16" s="704"/>
      <c r="AN16" s="519"/>
      <c r="AO16" s="703" t="s">
        <v>47</v>
      </c>
      <c r="AP16" s="704"/>
      <c r="AQ16" s="520"/>
      <c r="AR16" s="520"/>
      <c r="AT16" s="7"/>
    </row>
    <row r="17" spans="1:53" x14ac:dyDescent="0.35">
      <c r="A17" s="5"/>
      <c r="B17" s="522" t="s">
        <v>359</v>
      </c>
      <c r="C17" s="521"/>
      <c r="D17" s="522"/>
      <c r="E17" s="522" t="s">
        <v>359</v>
      </c>
      <c r="F17" s="523"/>
      <c r="G17" s="522"/>
      <c r="H17" s="521"/>
      <c r="I17" s="522" t="s">
        <v>359</v>
      </c>
      <c r="J17" s="522"/>
      <c r="K17" s="521"/>
      <c r="L17" s="522" t="s">
        <v>359</v>
      </c>
      <c r="M17" s="522"/>
      <c r="N17" s="521"/>
      <c r="O17" s="522" t="s">
        <v>359</v>
      </c>
      <c r="P17" s="522"/>
      <c r="Q17" s="521"/>
      <c r="R17" s="522" t="s">
        <v>359</v>
      </c>
      <c r="S17" s="522"/>
      <c r="T17" s="521"/>
      <c r="U17" s="522" t="s">
        <v>359</v>
      </c>
      <c r="V17" s="522"/>
      <c r="W17" s="521"/>
      <c r="X17" s="522" t="s">
        <v>359</v>
      </c>
      <c r="Y17" s="522"/>
      <c r="Z17" s="522" t="s">
        <v>359</v>
      </c>
      <c r="AA17" s="521"/>
      <c r="AB17" s="522"/>
      <c r="AC17" s="522" t="s">
        <v>359</v>
      </c>
      <c r="AD17" s="521"/>
      <c r="AE17" s="522"/>
      <c r="AF17" s="521"/>
      <c r="AG17" s="522" t="s">
        <v>359</v>
      </c>
      <c r="AH17" s="522"/>
      <c r="AI17" s="522" t="s">
        <v>359</v>
      </c>
      <c r="AJ17" s="521"/>
      <c r="AK17" s="522"/>
      <c r="AL17" s="521"/>
      <c r="AM17" s="522" t="s">
        <v>359</v>
      </c>
      <c r="AN17" s="522"/>
      <c r="AO17" s="522" t="s">
        <v>359</v>
      </c>
      <c r="AP17" s="522"/>
      <c r="AQ17" s="521"/>
      <c r="AR17" s="521"/>
      <c r="AT17" s="7"/>
      <c r="AV17" s="156"/>
      <c r="AW17" s="157"/>
    </row>
    <row r="18" spans="1:53" x14ac:dyDescent="0.35">
      <c r="A18" s="5"/>
      <c r="D18" s="719"/>
      <c r="E18" s="719"/>
      <c r="F18" s="719"/>
      <c r="G18" s="719"/>
      <c r="AT18" s="7"/>
    </row>
    <row r="19" spans="1:53" x14ac:dyDescent="0.35">
      <c r="A19" s="5"/>
      <c r="AT19" s="7"/>
    </row>
    <row r="20" spans="1:53" x14ac:dyDescent="0.35">
      <c r="A20" s="5"/>
      <c r="B20" s="720"/>
      <c r="C20" s="711"/>
      <c r="E20" s="697"/>
      <c r="F20" s="697"/>
      <c r="H20" s="698"/>
      <c r="I20" s="697"/>
      <c r="K20" s="697"/>
      <c r="L20" s="697"/>
      <c r="N20" s="697"/>
      <c r="O20" s="697"/>
      <c r="Q20" s="698"/>
      <c r="R20" s="697"/>
      <c r="T20" s="698"/>
      <c r="U20" s="697"/>
      <c r="W20" s="698"/>
      <c r="X20" s="697"/>
      <c r="Z20" s="698"/>
      <c r="AA20" s="697"/>
      <c r="AC20" s="698"/>
      <c r="AD20" s="697"/>
      <c r="AF20" s="698"/>
      <c r="AG20" s="697"/>
      <c r="AI20" s="698"/>
      <c r="AJ20" s="697"/>
      <c r="AL20" s="698"/>
      <c r="AM20" s="697"/>
      <c r="AO20" s="698"/>
      <c r="AP20" s="697"/>
      <c r="AQ20" s="10"/>
      <c r="AR20" s="10"/>
      <c r="AT20" s="7"/>
    </row>
    <row r="21" spans="1:53" x14ac:dyDescent="0.35">
      <c r="A21" s="5"/>
      <c r="B21" s="11"/>
      <c r="C21" s="12"/>
      <c r="D21" s="510"/>
      <c r="E21" s="11"/>
      <c r="F21" s="12"/>
      <c r="G21" s="510"/>
      <c r="H21" s="11"/>
      <c r="I21" s="12"/>
      <c r="J21" s="510"/>
      <c r="K21" s="11"/>
      <c r="L21" s="12"/>
      <c r="M21" s="510"/>
      <c r="N21" s="11"/>
      <c r="O21" s="12"/>
      <c r="P21" s="510"/>
      <c r="Q21" s="11"/>
      <c r="R21" s="12"/>
      <c r="S21" s="510"/>
      <c r="T21" s="11"/>
      <c r="U21" s="12"/>
      <c r="V21" s="510"/>
      <c r="W21" s="11"/>
      <c r="X21" s="12"/>
      <c r="Y21" s="510"/>
      <c r="Z21" s="11"/>
      <c r="AA21" s="12"/>
      <c r="AB21" s="510"/>
      <c r="AC21" s="11"/>
      <c r="AD21" s="12"/>
      <c r="AE21" s="510"/>
      <c r="AF21" s="11"/>
      <c r="AG21" s="12"/>
      <c r="AH21" s="510"/>
      <c r="AI21" s="11"/>
      <c r="AJ21" s="12"/>
      <c r="AK21" s="510"/>
      <c r="AL21" s="207"/>
      <c r="AM21" s="207"/>
      <c r="AN21" s="510"/>
      <c r="AO21" s="11"/>
      <c r="AP21" s="12"/>
      <c r="AQ21" s="511"/>
      <c r="AR21" s="511"/>
      <c r="AS21" s="510"/>
      <c r="AT21" s="212"/>
    </row>
    <row r="22" spans="1:53" x14ac:dyDescent="0.35">
      <c r="A22" s="5"/>
      <c r="B22" s="11"/>
      <c r="C22" s="11"/>
      <c r="D22" s="519"/>
      <c r="E22" s="11"/>
      <c r="F22" s="11"/>
      <c r="G22" s="519"/>
      <c r="H22" s="11"/>
      <c r="I22" s="11"/>
      <c r="J22" s="513"/>
      <c r="K22" s="11"/>
      <c r="L22" s="11"/>
      <c r="M22" s="513"/>
      <c r="N22" s="11"/>
      <c r="O22" s="11"/>
      <c r="P22" s="513"/>
      <c r="Q22" s="11"/>
      <c r="R22" s="11"/>
      <c r="S22" s="513"/>
      <c r="T22" s="11"/>
      <c r="U22" s="11"/>
      <c r="V22" s="513"/>
      <c r="W22" s="11"/>
      <c r="X22" s="11"/>
      <c r="Y22" s="519"/>
      <c r="Z22" s="11"/>
      <c r="AA22" s="11"/>
      <c r="AB22" s="513"/>
      <c r="AC22" s="11"/>
      <c r="AD22" s="11"/>
      <c r="AE22" s="513"/>
      <c r="AF22" s="11"/>
      <c r="AG22" s="11"/>
      <c r="AH22" s="513"/>
      <c r="AI22" s="11"/>
      <c r="AJ22" s="11"/>
      <c r="AK22" s="513"/>
      <c r="AL22" s="207"/>
      <c r="AM22" s="207"/>
      <c r="AN22" s="513"/>
      <c r="AO22" s="11"/>
      <c r="AP22" s="11"/>
      <c r="AQ22" s="512"/>
      <c r="AR22" s="512"/>
      <c r="AS22" s="513"/>
      <c r="AT22" s="211"/>
      <c r="AV22" s="2">
        <v>14</v>
      </c>
      <c r="AW22" s="2">
        <v>14</v>
      </c>
      <c r="AX22" s="2">
        <v>14</v>
      </c>
      <c r="AY22" s="2">
        <v>0</v>
      </c>
      <c r="AZ22" s="2">
        <v>0</v>
      </c>
      <c r="BA22" s="405">
        <f>+A23+D23+G23+J23+M23+P23+S23+V23+Y23+AB23+AE23+AH23+AK23+AN23+AQ23</f>
        <v>5480</v>
      </c>
    </row>
    <row r="23" spans="1:53" x14ac:dyDescent="0.35">
      <c r="A23" s="5"/>
      <c r="B23" s="703" t="s">
        <v>31</v>
      </c>
      <c r="C23" s="704"/>
      <c r="D23" s="519">
        <v>391</v>
      </c>
      <c r="E23" s="714" t="s">
        <v>28</v>
      </c>
      <c r="F23" s="712"/>
      <c r="G23" s="519">
        <v>331</v>
      </c>
      <c r="H23" s="713" t="s">
        <v>31</v>
      </c>
      <c r="I23" s="712"/>
      <c r="J23" s="513">
        <v>404</v>
      </c>
      <c r="K23" s="714" t="s">
        <v>33</v>
      </c>
      <c r="L23" s="712"/>
      <c r="M23" s="513">
        <v>410</v>
      </c>
      <c r="N23" s="714" t="s">
        <v>33</v>
      </c>
      <c r="O23" s="712"/>
      <c r="P23" s="513">
        <v>398</v>
      </c>
      <c r="Q23" s="715" t="s">
        <v>33</v>
      </c>
      <c r="R23" s="716"/>
      <c r="S23" s="513">
        <v>432</v>
      </c>
      <c r="T23" s="713" t="s">
        <v>31</v>
      </c>
      <c r="U23" s="712"/>
      <c r="V23" s="513">
        <v>356</v>
      </c>
      <c r="W23" s="713" t="s">
        <v>31</v>
      </c>
      <c r="X23" s="712"/>
      <c r="Y23" s="513">
        <v>408</v>
      </c>
      <c r="Z23" s="713" t="s">
        <v>31</v>
      </c>
      <c r="AA23" s="712"/>
      <c r="AB23" s="513">
        <v>415</v>
      </c>
      <c r="AC23" s="715" t="s">
        <v>33</v>
      </c>
      <c r="AD23" s="716"/>
      <c r="AE23" s="513">
        <v>371</v>
      </c>
      <c r="AF23" s="721" t="s">
        <v>23</v>
      </c>
      <c r="AG23" s="721"/>
      <c r="AH23" s="519">
        <v>364</v>
      </c>
      <c r="AI23" s="713" t="s">
        <v>31</v>
      </c>
      <c r="AJ23" s="712"/>
      <c r="AK23" s="530">
        <v>415</v>
      </c>
      <c r="AL23" s="721" t="s">
        <v>61</v>
      </c>
      <c r="AM23" s="721"/>
      <c r="AN23" s="519">
        <v>389</v>
      </c>
      <c r="AO23" s="715" t="s">
        <v>33</v>
      </c>
      <c r="AP23" s="716"/>
      <c r="AQ23" s="518">
        <v>396</v>
      </c>
      <c r="AR23" s="518"/>
      <c r="AT23" s="7"/>
      <c r="AW23" s="10"/>
      <c r="AX23" s="10"/>
      <c r="AY23" s="10"/>
      <c r="AZ23" s="10"/>
    </row>
    <row r="24" spans="1:53" x14ac:dyDescent="0.35">
      <c r="A24" s="5"/>
      <c r="B24" s="703" t="s">
        <v>48</v>
      </c>
      <c r="C24" s="704"/>
      <c r="D24" s="519"/>
      <c r="E24" s="699" t="s">
        <v>49</v>
      </c>
      <c r="F24" s="700"/>
      <c r="G24" s="519"/>
      <c r="H24" s="699" t="s">
        <v>50</v>
      </c>
      <c r="I24" s="700"/>
      <c r="J24" s="519"/>
      <c r="K24" s="699" t="s">
        <v>51</v>
      </c>
      <c r="L24" s="700"/>
      <c r="M24" s="519"/>
      <c r="N24" s="699" t="s">
        <v>52</v>
      </c>
      <c r="O24" s="700"/>
      <c r="P24" s="519"/>
      <c r="Q24" s="699" t="s">
        <v>53</v>
      </c>
      <c r="R24" s="700"/>
      <c r="S24" s="519"/>
      <c r="T24" s="699" t="s">
        <v>54</v>
      </c>
      <c r="U24" s="700"/>
      <c r="V24" s="519"/>
      <c r="W24" s="699" t="s">
        <v>55</v>
      </c>
      <c r="X24" s="700"/>
      <c r="Y24" s="519"/>
      <c r="Z24" s="699" t="s">
        <v>56</v>
      </c>
      <c r="AA24" s="700"/>
      <c r="AB24" s="519"/>
      <c r="AC24" s="699" t="s">
        <v>57</v>
      </c>
      <c r="AD24" s="700"/>
      <c r="AE24" s="531"/>
      <c r="AF24" s="699" t="s">
        <v>58</v>
      </c>
      <c r="AG24" s="700"/>
      <c r="AH24" s="531"/>
      <c r="AI24" s="699" t="s">
        <v>59</v>
      </c>
      <c r="AJ24" s="700"/>
      <c r="AK24" s="531"/>
      <c r="AL24" s="722" t="s">
        <v>60</v>
      </c>
      <c r="AM24" s="722"/>
      <c r="AN24" s="531"/>
      <c r="AO24" s="722" t="s">
        <v>62</v>
      </c>
      <c r="AP24" s="722"/>
      <c r="AQ24" s="530"/>
      <c r="AR24" s="530"/>
      <c r="AT24" s="7"/>
      <c r="AW24" s="10"/>
      <c r="AX24" s="10"/>
      <c r="AY24" s="10"/>
      <c r="AZ24" s="10"/>
    </row>
    <row r="25" spans="1:53" x14ac:dyDescent="0.35">
      <c r="A25" s="5"/>
      <c r="B25" s="522" t="s">
        <v>359</v>
      </c>
      <c r="C25" s="521"/>
      <c r="D25" s="522"/>
      <c r="E25" s="521"/>
      <c r="F25" s="522" t="s">
        <v>359</v>
      </c>
      <c r="G25" s="522"/>
      <c r="H25" s="522" t="s">
        <v>359</v>
      </c>
      <c r="I25" s="523"/>
      <c r="J25" s="522"/>
      <c r="K25" s="522" t="s">
        <v>359</v>
      </c>
      <c r="L25" s="523"/>
      <c r="M25" s="522"/>
      <c r="N25" s="522" t="s">
        <v>359</v>
      </c>
      <c r="O25" s="521"/>
      <c r="P25" s="522"/>
      <c r="Q25" s="521"/>
      <c r="R25" s="522" t="s">
        <v>359</v>
      </c>
      <c r="S25" s="522"/>
      <c r="T25" s="522" t="s">
        <v>359</v>
      </c>
      <c r="U25" s="521"/>
      <c r="V25" s="522"/>
      <c r="W25" s="522" t="s">
        <v>359</v>
      </c>
      <c r="X25" s="521"/>
      <c r="Y25" s="522"/>
      <c r="Z25" s="522" t="s">
        <v>359</v>
      </c>
      <c r="AA25" s="521"/>
      <c r="AB25" s="522"/>
      <c r="AC25" s="521"/>
      <c r="AD25" s="522" t="s">
        <v>359</v>
      </c>
      <c r="AE25" s="522"/>
      <c r="AF25" s="521"/>
      <c r="AG25" s="522" t="s">
        <v>359</v>
      </c>
      <c r="AH25" s="522"/>
      <c r="AI25" s="521"/>
      <c r="AJ25" s="522" t="s">
        <v>359</v>
      </c>
      <c r="AK25" s="522"/>
      <c r="AL25" s="521"/>
      <c r="AM25" s="522" t="s">
        <v>359</v>
      </c>
      <c r="AN25" s="522"/>
      <c r="AO25" s="522" t="s">
        <v>359</v>
      </c>
      <c r="AP25" s="522"/>
      <c r="AQ25" s="522"/>
      <c r="AR25" s="522"/>
      <c r="AT25" s="7"/>
      <c r="AW25" s="10"/>
      <c r="AX25" s="10"/>
      <c r="AY25" s="10"/>
      <c r="AZ25" s="10"/>
    </row>
    <row r="26" spans="1:53" x14ac:dyDescent="0.35">
      <c r="A26" s="5"/>
      <c r="G26" s="723"/>
      <c r="H26" s="723"/>
      <c r="I26" s="723"/>
      <c r="J26" s="723"/>
      <c r="T26" s="724" t="s">
        <v>404</v>
      </c>
      <c r="U26" s="724"/>
      <c r="V26" s="724"/>
      <c r="W26" s="724"/>
      <c r="X26" s="724"/>
      <c r="AT26" s="7"/>
      <c r="AW26" s="10"/>
      <c r="AX26" s="10"/>
      <c r="AY26" s="10"/>
      <c r="AZ26" s="10"/>
    </row>
    <row r="27" spans="1:53" x14ac:dyDescent="0.35">
      <c r="A27" s="5"/>
      <c r="V27" s="6" t="s">
        <v>399</v>
      </c>
      <c r="AT27" s="7"/>
      <c r="AW27" s="10"/>
      <c r="AX27" s="10"/>
      <c r="AY27" s="10"/>
      <c r="AZ27" s="10"/>
    </row>
    <row r="28" spans="1:53" x14ac:dyDescent="0.35">
      <c r="A28" s="5"/>
      <c r="B28" s="720"/>
      <c r="C28" s="711"/>
      <c r="E28" s="697"/>
      <c r="F28" s="697"/>
      <c r="H28" s="697"/>
      <c r="I28" s="697"/>
      <c r="K28" s="697"/>
      <c r="L28" s="697"/>
      <c r="N28" s="697"/>
      <c r="O28" s="697"/>
      <c r="Q28" s="697"/>
      <c r="R28" s="697"/>
      <c r="T28" s="697"/>
      <c r="U28" s="697"/>
      <c r="W28" s="697"/>
      <c r="X28" s="697"/>
      <c r="Z28" s="697"/>
      <c r="AA28" s="697"/>
      <c r="AC28" s="697"/>
      <c r="AD28" s="697"/>
      <c r="AF28" s="697"/>
      <c r="AG28" s="697"/>
      <c r="AI28" s="697"/>
      <c r="AJ28" s="697"/>
      <c r="AL28" s="697"/>
      <c r="AM28" s="697"/>
      <c r="AO28" s="697"/>
      <c r="AP28" s="697"/>
      <c r="AQ28" s="10"/>
      <c r="AR28" s="10"/>
      <c r="AT28" s="7"/>
    </row>
    <row r="29" spans="1:53" ht="15" customHeight="1" x14ac:dyDescent="0.35">
      <c r="A29" s="5"/>
      <c r="B29" s="11"/>
      <c r="C29" s="12"/>
      <c r="D29" s="510"/>
      <c r="E29" s="11"/>
      <c r="F29" s="12"/>
      <c r="G29" s="510"/>
      <c r="H29" s="11"/>
      <c r="I29" s="12"/>
      <c r="J29" s="510"/>
      <c r="K29" s="11"/>
      <c r="L29" s="12"/>
      <c r="M29" s="510"/>
      <c r="N29" s="11"/>
      <c r="O29" s="12"/>
      <c r="P29" s="510"/>
      <c r="Q29" s="11"/>
      <c r="R29" s="12"/>
      <c r="S29" s="510"/>
      <c r="T29" s="11"/>
      <c r="U29" s="12"/>
      <c r="V29" s="510"/>
      <c r="W29" s="705" t="s">
        <v>897</v>
      </c>
      <c r="X29" s="706"/>
      <c r="Y29" s="510"/>
      <c r="Z29" s="11"/>
      <c r="AA29" s="12"/>
      <c r="AB29" s="510"/>
      <c r="AC29" s="11"/>
      <c r="AD29" s="12"/>
      <c r="AE29" s="510"/>
      <c r="AF29" s="11"/>
      <c r="AG29" s="12"/>
      <c r="AH29" s="510"/>
      <c r="AI29" s="11"/>
      <c r="AJ29" s="12"/>
      <c r="AK29" s="510"/>
      <c r="AL29" s="11"/>
      <c r="AM29" s="12"/>
      <c r="AN29" s="510"/>
      <c r="AO29" s="11"/>
      <c r="AP29" s="12"/>
      <c r="AQ29" s="511"/>
      <c r="AR29" s="511"/>
      <c r="AS29" s="510"/>
      <c r="AT29" s="212"/>
    </row>
    <row r="30" spans="1:53" x14ac:dyDescent="0.35">
      <c r="A30" s="5"/>
      <c r="B30" s="11"/>
      <c r="C30" s="11"/>
      <c r="D30" s="513"/>
      <c r="E30" s="11"/>
      <c r="F30" s="11"/>
      <c r="G30" s="513"/>
      <c r="H30" s="11"/>
      <c r="I30" s="11"/>
      <c r="J30" s="513"/>
      <c r="K30" s="11"/>
      <c r="L30" s="11"/>
      <c r="M30" s="513"/>
      <c r="N30" s="11"/>
      <c r="O30" s="11"/>
      <c r="P30" s="513"/>
      <c r="Q30" s="11"/>
      <c r="R30" s="11"/>
      <c r="S30" s="513"/>
      <c r="T30" s="11"/>
      <c r="U30" s="11"/>
      <c r="V30" s="513"/>
      <c r="W30" s="707"/>
      <c r="X30" s="708"/>
      <c r="Y30" s="519"/>
      <c r="Z30" s="11"/>
      <c r="AA30" s="11"/>
      <c r="AB30" s="513"/>
      <c r="AC30" s="11"/>
      <c r="AD30" s="11"/>
      <c r="AE30" s="513"/>
      <c r="AF30" s="11"/>
      <c r="AG30" s="11"/>
      <c r="AH30" s="519"/>
      <c r="AI30" s="11"/>
      <c r="AJ30" s="11"/>
      <c r="AK30" s="513"/>
      <c r="AL30" s="11"/>
      <c r="AM30" s="11"/>
      <c r="AN30" s="519"/>
      <c r="AO30" s="11"/>
      <c r="AP30" s="11"/>
      <c r="AQ30" s="512"/>
      <c r="AR30" s="512"/>
      <c r="AS30" s="513"/>
      <c r="AT30" s="211"/>
      <c r="AV30" s="2">
        <v>13</v>
      </c>
      <c r="AW30" s="2">
        <v>13</v>
      </c>
      <c r="AX30" s="2">
        <v>13</v>
      </c>
      <c r="AY30" s="2">
        <v>0</v>
      </c>
      <c r="AZ30" s="2">
        <v>0</v>
      </c>
      <c r="BA30" s="405">
        <f>+A31+D31+G31+J31+M31+P31+S31+V31+Y31+AB31+AE31+AH31+AK31+AN31+AQ31</f>
        <v>5326</v>
      </c>
    </row>
    <row r="31" spans="1:53" x14ac:dyDescent="0.35">
      <c r="A31" s="5"/>
      <c r="B31" s="713" t="s">
        <v>31</v>
      </c>
      <c r="C31" s="712"/>
      <c r="D31" s="513">
        <v>439</v>
      </c>
      <c r="E31" s="713" t="s">
        <v>16</v>
      </c>
      <c r="F31" s="712"/>
      <c r="G31" s="513">
        <v>381</v>
      </c>
      <c r="H31" s="714" t="s">
        <v>28</v>
      </c>
      <c r="I31" s="712"/>
      <c r="J31" s="513">
        <v>386</v>
      </c>
      <c r="K31" s="714" t="s">
        <v>31</v>
      </c>
      <c r="L31" s="712"/>
      <c r="M31" s="513">
        <v>356</v>
      </c>
      <c r="N31" s="714" t="s">
        <v>23</v>
      </c>
      <c r="O31" s="712"/>
      <c r="P31" s="513">
        <v>365</v>
      </c>
      <c r="Q31" s="714" t="s">
        <v>33</v>
      </c>
      <c r="R31" s="712"/>
      <c r="S31" s="513">
        <v>475</v>
      </c>
      <c r="T31" s="714" t="s">
        <v>70</v>
      </c>
      <c r="U31" s="712"/>
      <c r="V31" s="513">
        <v>196</v>
      </c>
      <c r="W31" s="714" t="s">
        <v>70</v>
      </c>
      <c r="X31" s="712"/>
      <c r="Y31" s="519">
        <v>477</v>
      </c>
      <c r="Z31" s="714" t="s">
        <v>33</v>
      </c>
      <c r="AA31" s="712"/>
      <c r="AB31" s="513">
        <v>363</v>
      </c>
      <c r="AC31" s="714" t="s">
        <v>23</v>
      </c>
      <c r="AD31" s="712"/>
      <c r="AE31" s="513">
        <v>328</v>
      </c>
      <c r="AF31" s="714" t="s">
        <v>23</v>
      </c>
      <c r="AG31" s="712"/>
      <c r="AH31" s="519">
        <v>376</v>
      </c>
      <c r="AI31" s="714" t="s">
        <v>31</v>
      </c>
      <c r="AJ31" s="712"/>
      <c r="AK31" s="513">
        <v>393</v>
      </c>
      <c r="AL31" s="714" t="s">
        <v>35</v>
      </c>
      <c r="AM31" s="712"/>
      <c r="AN31" s="519">
        <v>397</v>
      </c>
      <c r="AO31" s="714" t="s">
        <v>31</v>
      </c>
      <c r="AP31" s="712"/>
      <c r="AQ31" s="516">
        <v>394</v>
      </c>
      <c r="AR31" s="516"/>
      <c r="AS31" s="513"/>
      <c r="AT31" s="211"/>
    </row>
    <row r="32" spans="1:53" x14ac:dyDescent="0.35">
      <c r="A32" s="5"/>
      <c r="B32" s="722" t="s">
        <v>63</v>
      </c>
      <c r="C32" s="722"/>
      <c r="D32" s="519"/>
      <c r="E32" s="722" t="s">
        <v>64</v>
      </c>
      <c r="F32" s="722"/>
      <c r="G32" s="519"/>
      <c r="H32" s="722" t="s">
        <v>65</v>
      </c>
      <c r="I32" s="722"/>
      <c r="J32" s="519"/>
      <c r="K32" s="722" t="s">
        <v>66</v>
      </c>
      <c r="L32" s="722"/>
      <c r="M32" s="519"/>
      <c r="N32" s="722" t="s">
        <v>67</v>
      </c>
      <c r="O32" s="722"/>
      <c r="P32" s="519"/>
      <c r="Q32" s="722" t="s">
        <v>68</v>
      </c>
      <c r="R32" s="722"/>
      <c r="S32" s="519"/>
      <c r="T32" s="699" t="s">
        <v>69</v>
      </c>
      <c r="U32" s="700"/>
      <c r="V32" s="519"/>
      <c r="W32" s="699" t="s">
        <v>388</v>
      </c>
      <c r="X32" s="700"/>
      <c r="Y32" s="519"/>
      <c r="Z32" s="699" t="s">
        <v>71</v>
      </c>
      <c r="AA32" s="700"/>
      <c r="AB32" s="519"/>
      <c r="AC32" s="699" t="s">
        <v>72</v>
      </c>
      <c r="AD32" s="700"/>
      <c r="AE32" s="519"/>
      <c r="AF32" s="699" t="s">
        <v>73</v>
      </c>
      <c r="AG32" s="700"/>
      <c r="AH32" s="519"/>
      <c r="AI32" s="699" t="s">
        <v>74</v>
      </c>
      <c r="AJ32" s="700"/>
      <c r="AK32" s="519"/>
      <c r="AL32" s="699" t="s">
        <v>75</v>
      </c>
      <c r="AM32" s="700"/>
      <c r="AN32" s="519"/>
      <c r="AO32" s="699" t="s">
        <v>76</v>
      </c>
      <c r="AP32" s="700"/>
      <c r="AQ32" s="516"/>
      <c r="AR32" s="516"/>
      <c r="AT32" s="7"/>
    </row>
    <row r="33" spans="1:53" x14ac:dyDescent="0.35">
      <c r="A33" s="5"/>
      <c r="B33" s="522" t="s">
        <v>359</v>
      </c>
      <c r="C33" s="521"/>
      <c r="D33" s="522"/>
      <c r="E33" s="521"/>
      <c r="F33" s="522" t="s">
        <v>359</v>
      </c>
      <c r="G33" s="522"/>
      <c r="H33" s="521"/>
      <c r="I33" s="522" t="s">
        <v>359</v>
      </c>
      <c r="J33" s="522"/>
      <c r="K33" s="521"/>
      <c r="L33" s="522" t="s">
        <v>359</v>
      </c>
      <c r="M33" s="522"/>
      <c r="N33" s="521"/>
      <c r="O33" s="522" t="s">
        <v>359</v>
      </c>
      <c r="P33" s="522"/>
      <c r="Q33" s="521"/>
      <c r="R33" s="522" t="s">
        <v>359</v>
      </c>
      <c r="S33" s="522"/>
      <c r="T33" s="521"/>
      <c r="U33" s="522" t="s">
        <v>359</v>
      </c>
      <c r="V33" s="522"/>
      <c r="W33" s="521"/>
      <c r="X33" s="522" t="s">
        <v>359</v>
      </c>
      <c r="Y33" s="522"/>
      <c r="Z33" s="521"/>
      <c r="AA33" s="522" t="s">
        <v>359</v>
      </c>
      <c r="AB33" s="522"/>
      <c r="AC33" s="521"/>
      <c r="AD33" s="522" t="s">
        <v>359</v>
      </c>
      <c r="AE33" s="522"/>
      <c r="AF33" s="521"/>
      <c r="AG33" s="522" t="s">
        <v>359</v>
      </c>
      <c r="AH33" s="522"/>
      <c r="AI33" s="521"/>
      <c r="AJ33" s="522" t="s">
        <v>359</v>
      </c>
      <c r="AK33" s="522"/>
      <c r="AL33" s="521"/>
      <c r="AM33" s="522" t="s">
        <v>359</v>
      </c>
      <c r="AN33" s="522"/>
      <c r="AO33" s="522" t="s">
        <v>359</v>
      </c>
      <c r="AP33" s="522"/>
      <c r="AQ33" s="522"/>
      <c r="AR33" s="522"/>
      <c r="AT33" s="7"/>
    </row>
    <row r="34" spans="1:53" x14ac:dyDescent="0.35">
      <c r="A34" s="5"/>
      <c r="B34" s="711"/>
      <c r="C34" s="711"/>
      <c r="D34" s="711"/>
      <c r="K34" s="516"/>
      <c r="AE34"/>
      <c r="AF34" s="6"/>
      <c r="AI34" s="6"/>
      <c r="AT34" s="7"/>
    </row>
    <row r="35" spans="1:53" x14ac:dyDescent="0.35">
      <c r="A35" s="5"/>
      <c r="AT35" s="7"/>
    </row>
    <row r="36" spans="1:53" x14ac:dyDescent="0.35">
      <c r="A36" s="5"/>
      <c r="B36" s="711"/>
      <c r="C36" s="711"/>
      <c r="E36" s="697"/>
      <c r="F36" s="697"/>
      <c r="H36" s="697"/>
      <c r="I36" s="697"/>
      <c r="K36" s="697"/>
      <c r="L36" s="697"/>
      <c r="N36" s="697"/>
      <c r="O36" s="697"/>
      <c r="Q36" s="697"/>
      <c r="R36" s="697"/>
      <c r="T36" s="697"/>
      <c r="U36" s="697"/>
      <c r="W36" s="697"/>
      <c r="X36" s="697"/>
      <c r="Z36" s="697"/>
      <c r="AA36" s="697"/>
      <c r="AC36" s="697"/>
      <c r="AD36" s="697"/>
      <c r="AF36" s="697"/>
      <c r="AG36" s="697"/>
      <c r="AI36" s="697"/>
      <c r="AJ36" s="697"/>
      <c r="AL36" s="697"/>
      <c r="AM36" s="697"/>
      <c r="AO36" s="697"/>
      <c r="AP36" s="697"/>
      <c r="AQ36" s="10"/>
      <c r="AR36" s="10"/>
      <c r="AT36" s="7"/>
    </row>
    <row r="37" spans="1:53" x14ac:dyDescent="0.35">
      <c r="A37" s="5"/>
      <c r="B37" s="11"/>
      <c r="C37" s="14"/>
      <c r="D37" s="510"/>
      <c r="E37" s="11"/>
      <c r="F37" s="14"/>
      <c r="G37" s="510"/>
      <c r="H37" s="11"/>
      <c r="I37" s="14"/>
      <c r="J37" s="526"/>
      <c r="K37" s="11"/>
      <c r="L37" s="14"/>
      <c r="M37" s="510"/>
      <c r="N37" s="11"/>
      <c r="O37" s="14"/>
      <c r="P37" s="510"/>
      <c r="Q37" s="11"/>
      <c r="R37" s="14"/>
      <c r="S37" s="510"/>
      <c r="T37" s="11"/>
      <c r="U37" s="12"/>
      <c r="V37" s="510"/>
      <c r="W37" s="11"/>
      <c r="X37" s="12"/>
      <c r="Y37" s="510"/>
      <c r="Z37" s="11"/>
      <c r="AA37" s="12"/>
      <c r="AB37" s="510"/>
      <c r="AC37" s="11"/>
      <c r="AD37" s="12"/>
      <c r="AE37" s="510"/>
      <c r="AF37" s="11"/>
      <c r="AG37" s="12"/>
      <c r="AH37" s="510"/>
      <c r="AI37" s="11"/>
      <c r="AJ37" s="12"/>
      <c r="AK37" s="510"/>
      <c r="AL37" s="11"/>
      <c r="AM37" s="12"/>
      <c r="AN37" s="510"/>
      <c r="AO37" s="11"/>
      <c r="AP37" s="12"/>
      <c r="AQ37" s="511"/>
      <c r="AR37" s="511"/>
      <c r="AS37" s="510"/>
      <c r="AT37" s="212"/>
    </row>
    <row r="38" spans="1:53" x14ac:dyDescent="0.35">
      <c r="A38" s="5"/>
      <c r="B38" s="11"/>
      <c r="C38" s="11"/>
      <c r="D38" s="519"/>
      <c r="E38" s="11"/>
      <c r="F38" s="11"/>
      <c r="G38" s="513"/>
      <c r="H38" s="11"/>
      <c r="I38" s="11"/>
      <c r="J38" s="519"/>
      <c r="K38" s="11"/>
      <c r="L38" s="11"/>
      <c r="M38" s="513"/>
      <c r="N38" s="11"/>
      <c r="O38" s="11"/>
      <c r="P38" s="519"/>
      <c r="Q38" s="11"/>
      <c r="R38" s="11"/>
      <c r="S38" s="513"/>
      <c r="T38" s="11"/>
      <c r="U38" s="11"/>
      <c r="V38" s="519"/>
      <c r="W38" s="11"/>
      <c r="X38" s="11"/>
      <c r="Y38" s="519"/>
      <c r="Z38" s="11"/>
      <c r="AA38" s="11"/>
      <c r="AB38" s="519"/>
      <c r="AC38" s="11"/>
      <c r="AD38" s="11"/>
      <c r="AE38" s="519"/>
      <c r="AF38" s="11"/>
      <c r="AG38" s="11"/>
      <c r="AH38" s="519"/>
      <c r="AI38" s="11"/>
      <c r="AJ38" s="11"/>
      <c r="AK38" s="519"/>
      <c r="AL38" s="11"/>
      <c r="AM38" s="11"/>
      <c r="AO38" s="11"/>
      <c r="AP38" s="11"/>
      <c r="AQ38" s="512"/>
      <c r="AR38" s="512"/>
      <c r="AS38" s="519"/>
      <c r="AT38" s="213"/>
      <c r="AV38" s="2">
        <v>14</v>
      </c>
      <c r="AW38" s="2">
        <v>12</v>
      </c>
      <c r="AX38" s="2">
        <v>13</v>
      </c>
      <c r="AY38" s="2">
        <v>0</v>
      </c>
      <c r="AZ38" s="2">
        <v>0</v>
      </c>
      <c r="BA38" s="405">
        <f>+A39+D39+G39+J39+M39+P39+S39+V39+Y39+AB39+AE39+AH39+AK39+AN39+AQ39</f>
        <v>5154</v>
      </c>
    </row>
    <row r="39" spans="1:53" x14ac:dyDescent="0.35">
      <c r="A39" s="5"/>
      <c r="B39" s="699" t="s">
        <v>31</v>
      </c>
      <c r="C39" s="700"/>
      <c r="D39" s="519">
        <v>373</v>
      </c>
      <c r="E39" s="714" t="s">
        <v>61</v>
      </c>
      <c r="F39" s="712"/>
      <c r="G39" s="519">
        <v>357</v>
      </c>
      <c r="H39" s="714" t="s">
        <v>14</v>
      </c>
      <c r="I39" s="712"/>
      <c r="J39" s="519">
        <v>374</v>
      </c>
      <c r="K39" s="714" t="s">
        <v>31</v>
      </c>
      <c r="L39" s="712"/>
      <c r="M39" s="519">
        <v>380</v>
      </c>
      <c r="N39" s="714" t="s">
        <v>31</v>
      </c>
      <c r="O39" s="712"/>
      <c r="P39" s="519">
        <v>344</v>
      </c>
      <c r="Q39" s="714" t="s">
        <v>23</v>
      </c>
      <c r="R39" s="712"/>
      <c r="S39" s="519">
        <v>330</v>
      </c>
      <c r="T39" s="714" t="s">
        <v>31</v>
      </c>
      <c r="U39" s="712"/>
      <c r="V39" s="519">
        <v>367</v>
      </c>
      <c r="W39" s="714" t="s">
        <v>18</v>
      </c>
      <c r="X39" s="712"/>
      <c r="Y39" s="519">
        <v>385</v>
      </c>
      <c r="Z39" s="714" t="s">
        <v>31</v>
      </c>
      <c r="AA39" s="712"/>
      <c r="AB39" s="519">
        <v>355</v>
      </c>
      <c r="AC39" s="714" t="s">
        <v>31</v>
      </c>
      <c r="AD39" s="712"/>
      <c r="AE39" s="519">
        <v>357</v>
      </c>
      <c r="AF39" s="714" t="s">
        <v>23</v>
      </c>
      <c r="AG39" s="712"/>
      <c r="AH39" s="519">
        <v>393</v>
      </c>
      <c r="AI39" s="714" t="s">
        <v>33</v>
      </c>
      <c r="AJ39" s="712"/>
      <c r="AK39" s="530">
        <v>383</v>
      </c>
      <c r="AL39" s="714" t="s">
        <v>31</v>
      </c>
      <c r="AM39" s="712"/>
      <c r="AN39" s="519">
        <v>388</v>
      </c>
      <c r="AO39" s="714" t="s">
        <v>61</v>
      </c>
      <c r="AP39" s="712"/>
      <c r="AQ39" s="516">
        <v>368</v>
      </c>
      <c r="AR39" s="516"/>
      <c r="AT39" s="7"/>
    </row>
    <row r="40" spans="1:53" x14ac:dyDescent="0.35">
      <c r="A40" s="5"/>
      <c r="B40" s="699" t="s">
        <v>77</v>
      </c>
      <c r="C40" s="700"/>
      <c r="D40" s="519"/>
      <c r="E40" s="699" t="s">
        <v>78</v>
      </c>
      <c r="F40" s="700"/>
      <c r="G40" s="519"/>
      <c r="H40" s="699" t="s">
        <v>79</v>
      </c>
      <c r="I40" s="700"/>
      <c r="J40" s="519"/>
      <c r="K40" s="699" t="s">
        <v>80</v>
      </c>
      <c r="L40" s="700"/>
      <c r="M40" s="519"/>
      <c r="N40" s="699" t="s">
        <v>81</v>
      </c>
      <c r="O40" s="700"/>
      <c r="P40" s="519"/>
      <c r="Q40" s="699" t="s">
        <v>82</v>
      </c>
      <c r="R40" s="700"/>
      <c r="S40" s="519"/>
      <c r="T40" s="699" t="s">
        <v>83</v>
      </c>
      <c r="U40" s="700"/>
      <c r="V40" s="519"/>
      <c r="W40" s="699" t="s">
        <v>84</v>
      </c>
      <c r="X40" s="700"/>
      <c r="Y40" s="519"/>
      <c r="Z40" s="699" t="s">
        <v>85</v>
      </c>
      <c r="AA40" s="700"/>
      <c r="AB40" s="519"/>
      <c r="AC40" s="699" t="s">
        <v>86</v>
      </c>
      <c r="AD40" s="700"/>
      <c r="AE40" s="519"/>
      <c r="AF40" s="699" t="s">
        <v>87</v>
      </c>
      <c r="AG40" s="700"/>
      <c r="AH40" s="519"/>
      <c r="AI40" s="699" t="s">
        <v>88</v>
      </c>
      <c r="AJ40" s="700"/>
      <c r="AK40" s="519"/>
      <c r="AL40" s="699" t="s">
        <v>89</v>
      </c>
      <c r="AM40" s="700"/>
      <c r="AN40" s="519"/>
      <c r="AO40" s="699" t="s">
        <v>90</v>
      </c>
      <c r="AP40" s="700"/>
      <c r="AQ40" s="516"/>
      <c r="AR40" s="516"/>
      <c r="AT40" s="7"/>
    </row>
    <row r="41" spans="1:53" x14ac:dyDescent="0.35">
      <c r="A41" s="5"/>
      <c r="B41" s="521"/>
      <c r="C41" s="522" t="s">
        <v>359</v>
      </c>
      <c r="D41" s="522"/>
      <c r="E41" s="521"/>
      <c r="F41" s="522" t="s">
        <v>359</v>
      </c>
      <c r="G41" s="522"/>
      <c r="H41" s="521"/>
      <c r="I41" s="522" t="s">
        <v>359</v>
      </c>
      <c r="J41" s="522"/>
      <c r="K41" s="521"/>
      <c r="L41" s="522" t="s">
        <v>359</v>
      </c>
      <c r="M41" s="522"/>
      <c r="N41" s="522" t="s">
        <v>359</v>
      </c>
      <c r="O41" s="521"/>
      <c r="P41" s="522"/>
      <c r="Q41" s="532"/>
      <c r="R41" s="522" t="s">
        <v>359</v>
      </c>
      <c r="S41" s="533"/>
      <c r="T41" s="532"/>
      <c r="U41" s="522" t="s">
        <v>359</v>
      </c>
      <c r="V41" s="533"/>
      <c r="W41" s="532"/>
      <c r="X41" s="522" t="s">
        <v>359</v>
      </c>
      <c r="Y41" s="533"/>
      <c r="Z41" s="532"/>
      <c r="AA41" s="522" t="s">
        <v>359</v>
      </c>
      <c r="AB41" s="533"/>
      <c r="AC41" s="532"/>
      <c r="AD41" s="522" t="s">
        <v>359</v>
      </c>
      <c r="AE41" s="533"/>
      <c r="AF41" s="532"/>
      <c r="AG41" s="522" t="s">
        <v>359</v>
      </c>
      <c r="AH41" s="533"/>
      <c r="AI41" s="532"/>
      <c r="AJ41" s="522" t="s">
        <v>359</v>
      </c>
      <c r="AK41" s="533"/>
      <c r="AL41" s="522" t="s">
        <v>359</v>
      </c>
      <c r="AM41" s="532"/>
      <c r="AN41" s="533"/>
      <c r="AO41" s="522" t="s">
        <v>359</v>
      </c>
      <c r="AP41" s="532"/>
      <c r="AQ41" s="532"/>
      <c r="AR41" s="532"/>
      <c r="AT41" s="7"/>
    </row>
    <row r="42" spans="1:53" x14ac:dyDescent="0.35">
      <c r="A42" s="5"/>
      <c r="W42" s="529"/>
      <c r="Z42" s="529"/>
      <c r="AC42" s="529"/>
      <c r="AL42" s="529"/>
      <c r="AT42" s="7"/>
    </row>
    <row r="43" spans="1:53" x14ac:dyDescent="0.35">
      <c r="A43" s="5"/>
      <c r="AK43"/>
      <c r="AT43" s="7"/>
    </row>
    <row r="44" spans="1:53" x14ac:dyDescent="0.35">
      <c r="A44" s="5"/>
      <c r="B44" s="711"/>
      <c r="C44" s="711"/>
      <c r="E44" s="697"/>
      <c r="F44" s="697"/>
      <c r="H44" s="697"/>
      <c r="I44" s="697"/>
      <c r="K44" s="697"/>
      <c r="L44" s="697"/>
      <c r="N44" s="697"/>
      <c r="O44" s="697"/>
      <c r="Q44" s="697"/>
      <c r="R44" s="697"/>
      <c r="T44" s="697"/>
      <c r="U44" s="697"/>
      <c r="W44" s="697"/>
      <c r="X44" s="697"/>
      <c r="Z44" s="697"/>
      <c r="AA44" s="697"/>
      <c r="AC44" s="697"/>
      <c r="AD44" s="697"/>
      <c r="AF44" s="697"/>
      <c r="AG44" s="697"/>
      <c r="AI44" s="697"/>
      <c r="AJ44" s="697"/>
      <c r="AL44" s="697"/>
      <c r="AM44" s="697"/>
      <c r="AO44" s="697"/>
      <c r="AP44" s="697"/>
      <c r="AQ44" s="10"/>
      <c r="AR44" s="10"/>
      <c r="AT44" s="7"/>
    </row>
    <row r="45" spans="1:53" x14ac:dyDescent="0.35">
      <c r="A45" s="5"/>
      <c r="B45" s="11"/>
      <c r="C45" s="14"/>
      <c r="D45" s="510"/>
      <c r="E45" s="11"/>
      <c r="F45" s="14"/>
      <c r="G45" s="510"/>
      <c r="H45" s="11"/>
      <c r="I45" s="14"/>
      <c r="J45" s="510"/>
      <c r="K45" s="11"/>
      <c r="L45" s="14"/>
      <c r="M45" s="510"/>
      <c r="N45" s="11"/>
      <c r="O45" s="14"/>
      <c r="P45" s="510"/>
      <c r="Q45" s="705" t="s">
        <v>397</v>
      </c>
      <c r="R45" s="706"/>
      <c r="S45" s="510"/>
      <c r="T45" s="11"/>
      <c r="U45" s="14"/>
      <c r="V45" s="510"/>
      <c r="W45" s="11"/>
      <c r="X45" s="14"/>
      <c r="Y45" s="510"/>
      <c r="Z45" s="11"/>
      <c r="AA45" s="12"/>
      <c r="AB45" s="510"/>
      <c r="AC45" s="207"/>
      <c r="AD45" s="207"/>
      <c r="AE45" s="510"/>
      <c r="AF45" s="11"/>
      <c r="AG45" s="11"/>
      <c r="AH45" s="510"/>
      <c r="AI45" s="12"/>
      <c r="AJ45" s="12"/>
      <c r="AK45" s="510"/>
      <c r="AL45" s="12"/>
      <c r="AM45" s="12"/>
      <c r="AN45" s="510"/>
      <c r="AO45" s="12"/>
      <c r="AP45" s="12"/>
      <c r="AQ45" s="511"/>
      <c r="AR45" s="511"/>
      <c r="AS45" s="510"/>
      <c r="AT45" s="212"/>
    </row>
    <row r="46" spans="1:53" x14ac:dyDescent="0.35">
      <c r="A46" s="5"/>
      <c r="B46" s="11"/>
      <c r="C46" s="11"/>
      <c r="D46" s="513"/>
      <c r="E46" s="11"/>
      <c r="F46" s="11"/>
      <c r="G46" s="513"/>
      <c r="H46" s="11"/>
      <c r="I46" s="11"/>
      <c r="J46" s="510"/>
      <c r="K46" s="11"/>
      <c r="L46" s="14"/>
      <c r="M46" s="513"/>
      <c r="N46" s="11"/>
      <c r="O46" s="11"/>
      <c r="P46" s="513"/>
      <c r="Q46" s="707"/>
      <c r="R46" s="708"/>
      <c r="S46" s="513"/>
      <c r="T46" s="11"/>
      <c r="U46" s="11"/>
      <c r="V46" s="513"/>
      <c r="W46" s="11"/>
      <c r="X46" s="11"/>
      <c r="Y46" s="513"/>
      <c r="Z46" s="11"/>
      <c r="AA46" s="11"/>
      <c r="AB46" s="513"/>
      <c r="AC46" s="207"/>
      <c r="AD46" s="207"/>
      <c r="AE46" s="513"/>
      <c r="AF46" s="11"/>
      <c r="AG46" s="11"/>
      <c r="AH46" s="513"/>
      <c r="AI46" s="11"/>
      <c r="AJ46" s="11"/>
      <c r="AK46" s="513"/>
      <c r="AL46" s="12"/>
      <c r="AM46" s="12"/>
      <c r="AN46" s="513"/>
      <c r="AO46" s="12"/>
      <c r="AP46" s="12"/>
      <c r="AQ46" s="511"/>
      <c r="AR46" s="511"/>
      <c r="AS46" s="513"/>
      <c r="AT46" s="211"/>
      <c r="AV46" s="2">
        <v>13</v>
      </c>
      <c r="AW46" s="2">
        <v>13</v>
      </c>
      <c r="AX46" s="2">
        <v>13</v>
      </c>
      <c r="AY46" s="2"/>
      <c r="AZ46" s="2"/>
      <c r="BA46" s="405">
        <f>+A47+D47+G47+J47+M47+P47+S47+V47+Y47+AB47+AE47+AH47+AK47+AN47+AQ47</f>
        <v>5549</v>
      </c>
    </row>
    <row r="47" spans="1:53" x14ac:dyDescent="0.35">
      <c r="A47" s="5"/>
      <c r="B47" s="714" t="s">
        <v>31</v>
      </c>
      <c r="C47" s="712"/>
      <c r="D47" s="519">
        <v>412</v>
      </c>
      <c r="E47" s="714" t="s">
        <v>33</v>
      </c>
      <c r="F47" s="712"/>
      <c r="G47" s="519">
        <v>416</v>
      </c>
      <c r="H47" s="714" t="s">
        <v>31</v>
      </c>
      <c r="I47" s="712"/>
      <c r="J47" s="513">
        <v>407</v>
      </c>
      <c r="K47" s="714" t="s">
        <v>16</v>
      </c>
      <c r="L47" s="712"/>
      <c r="M47" s="534">
        <v>425</v>
      </c>
      <c r="N47" s="714" t="s">
        <v>23</v>
      </c>
      <c r="O47" s="712"/>
      <c r="P47" s="519">
        <v>386</v>
      </c>
      <c r="Q47" s="714" t="s">
        <v>31</v>
      </c>
      <c r="R47" s="712"/>
      <c r="S47" s="519">
        <v>359</v>
      </c>
      <c r="T47" s="714" t="s">
        <v>31</v>
      </c>
      <c r="U47" s="712"/>
      <c r="V47" s="519">
        <v>368</v>
      </c>
      <c r="W47" s="714" t="s">
        <v>31</v>
      </c>
      <c r="X47" s="712"/>
      <c r="Y47" s="519">
        <v>390</v>
      </c>
      <c r="Z47" s="714" t="s">
        <v>33</v>
      </c>
      <c r="AA47" s="712"/>
      <c r="AB47" s="519">
        <v>410</v>
      </c>
      <c r="AC47" s="714" t="s">
        <v>28</v>
      </c>
      <c r="AD47" s="712"/>
      <c r="AE47" s="519">
        <v>380</v>
      </c>
      <c r="AF47" s="714" t="s">
        <v>31</v>
      </c>
      <c r="AG47" s="712"/>
      <c r="AH47" s="530">
        <v>367</v>
      </c>
      <c r="AI47" s="714" t="s">
        <v>31</v>
      </c>
      <c r="AJ47" s="712"/>
      <c r="AK47" s="530">
        <v>433</v>
      </c>
      <c r="AL47" s="714" t="s">
        <v>20</v>
      </c>
      <c r="AM47" s="712"/>
      <c r="AN47" s="519">
        <v>400</v>
      </c>
      <c r="AO47" s="714" t="s">
        <v>31</v>
      </c>
      <c r="AP47" s="712"/>
      <c r="AQ47" s="516">
        <v>396</v>
      </c>
      <c r="AR47" s="516"/>
      <c r="AT47" s="7"/>
    </row>
    <row r="48" spans="1:53" x14ac:dyDescent="0.35">
      <c r="A48" s="5"/>
      <c r="B48" s="699" t="s">
        <v>91</v>
      </c>
      <c r="C48" s="700"/>
      <c r="D48" s="519"/>
      <c r="E48" s="699" t="s">
        <v>92</v>
      </c>
      <c r="F48" s="700"/>
      <c r="G48" s="519"/>
      <c r="H48" s="699" t="s">
        <v>93</v>
      </c>
      <c r="I48" s="699"/>
      <c r="J48" s="519"/>
      <c r="K48" s="699" t="s">
        <v>94</v>
      </c>
      <c r="L48" s="699"/>
      <c r="M48" s="519"/>
      <c r="N48" s="699" t="s">
        <v>95</v>
      </c>
      <c r="O48" s="699"/>
      <c r="P48" s="519"/>
      <c r="Q48" s="699" t="s">
        <v>96</v>
      </c>
      <c r="R48" s="699"/>
      <c r="S48" s="519"/>
      <c r="T48" s="699" t="s">
        <v>97</v>
      </c>
      <c r="U48" s="699"/>
      <c r="V48" s="519"/>
      <c r="W48" s="699" t="s">
        <v>98</v>
      </c>
      <c r="X48" s="700"/>
      <c r="Y48" s="519"/>
      <c r="Z48" s="699" t="s">
        <v>99</v>
      </c>
      <c r="AA48" s="700"/>
      <c r="AB48" s="519"/>
      <c r="AC48" s="699" t="s">
        <v>100</v>
      </c>
      <c r="AD48" s="700"/>
      <c r="AE48" s="519"/>
      <c r="AF48" s="699" t="s">
        <v>101</v>
      </c>
      <c r="AG48" s="700"/>
      <c r="AH48" s="519"/>
      <c r="AI48" s="699" t="s">
        <v>102</v>
      </c>
      <c r="AJ48" s="700"/>
      <c r="AK48" s="519"/>
      <c r="AL48" s="699" t="s">
        <v>103</v>
      </c>
      <c r="AM48" s="700"/>
      <c r="AN48" s="519"/>
      <c r="AO48" s="699" t="s">
        <v>104</v>
      </c>
      <c r="AP48" s="700"/>
      <c r="AQ48" s="516"/>
      <c r="AR48" s="516"/>
      <c r="AT48" s="7"/>
    </row>
    <row r="49" spans="1:53" x14ac:dyDescent="0.35">
      <c r="A49" s="5"/>
      <c r="B49" s="522" t="s">
        <v>359</v>
      </c>
      <c r="C49" s="532"/>
      <c r="D49" s="533"/>
      <c r="E49" s="532"/>
      <c r="F49" s="522" t="s">
        <v>359</v>
      </c>
      <c r="G49" s="533"/>
      <c r="H49" s="532"/>
      <c r="I49" s="522" t="s">
        <v>359</v>
      </c>
      <c r="J49" s="533"/>
      <c r="K49" s="532"/>
      <c r="L49" s="522" t="s">
        <v>359</v>
      </c>
      <c r="M49" s="533"/>
      <c r="N49" s="532"/>
      <c r="O49" s="522" t="s">
        <v>359</v>
      </c>
      <c r="P49" s="533"/>
      <c r="Q49" s="532"/>
      <c r="R49" s="522" t="s">
        <v>359</v>
      </c>
      <c r="S49" s="533"/>
      <c r="T49" s="532"/>
      <c r="U49" s="522" t="s">
        <v>359</v>
      </c>
      <c r="V49" s="533"/>
      <c r="W49" s="532"/>
      <c r="X49" s="522" t="s">
        <v>359</v>
      </c>
      <c r="Y49" s="533"/>
      <c r="Z49" s="532"/>
      <c r="AA49" s="522" t="s">
        <v>359</v>
      </c>
      <c r="AB49" s="533"/>
      <c r="AC49" s="522" t="s">
        <v>359</v>
      </c>
      <c r="AD49" s="532"/>
      <c r="AE49" s="533"/>
      <c r="AF49" s="522" t="s">
        <v>359</v>
      </c>
      <c r="AG49" s="532"/>
      <c r="AH49" s="533"/>
      <c r="AI49" s="522" t="s">
        <v>359</v>
      </c>
      <c r="AJ49" s="532"/>
      <c r="AK49" s="533"/>
      <c r="AL49" s="522" t="s">
        <v>359</v>
      </c>
      <c r="AM49" s="532"/>
      <c r="AN49" s="533"/>
      <c r="AO49" s="532"/>
      <c r="AP49" s="522" t="s">
        <v>359</v>
      </c>
      <c r="AQ49" s="522"/>
      <c r="AR49" s="522"/>
      <c r="AT49" s="7"/>
    </row>
    <row r="50" spans="1:53" x14ac:dyDescent="0.35">
      <c r="A50" s="5"/>
      <c r="V50"/>
      <c r="W50" s="724" t="s">
        <v>406</v>
      </c>
      <c r="X50" s="724"/>
      <c r="Y50" s="724"/>
      <c r="Z50" s="724"/>
      <c r="AA50" s="724"/>
      <c r="AB50" s="724"/>
      <c r="AC50" s="724"/>
      <c r="AD50" s="724"/>
      <c r="AT50" s="7"/>
    </row>
    <row r="51" spans="1:53" x14ac:dyDescent="0.35">
      <c r="A51" s="5"/>
      <c r="AT51" s="7"/>
    </row>
    <row r="52" spans="1:53" x14ac:dyDescent="0.35">
      <c r="A52" s="5"/>
      <c r="B52" s="711"/>
      <c r="C52" s="711"/>
      <c r="E52" s="697"/>
      <c r="F52" s="697"/>
      <c r="H52" s="697"/>
      <c r="I52" s="697"/>
      <c r="K52" s="697"/>
      <c r="L52" s="697"/>
      <c r="N52" s="697"/>
      <c r="O52" s="697"/>
      <c r="Q52" s="697"/>
      <c r="R52" s="697"/>
      <c r="T52" s="697"/>
      <c r="U52" s="697"/>
      <c r="W52" s="697"/>
      <c r="X52" s="697"/>
      <c r="Z52" s="697"/>
      <c r="AA52" s="697"/>
      <c r="AC52" s="697"/>
      <c r="AD52" s="697"/>
      <c r="AF52" s="697"/>
      <c r="AG52" s="697"/>
      <c r="AI52" s="697"/>
      <c r="AJ52" s="697"/>
      <c r="AL52" s="697"/>
      <c r="AM52" s="697"/>
      <c r="AO52" s="697"/>
      <c r="AP52" s="697"/>
      <c r="AQ52" s="10"/>
      <c r="AR52" s="10"/>
      <c r="AT52" s="7"/>
    </row>
    <row r="53" spans="1:53" ht="15" customHeight="1" x14ac:dyDescent="0.35">
      <c r="A53" s="5"/>
      <c r="B53" s="12"/>
      <c r="C53" s="12"/>
      <c r="D53" s="510"/>
      <c r="E53" s="11"/>
      <c r="F53" s="12"/>
      <c r="G53" s="510"/>
      <c r="H53" s="11"/>
      <c r="I53" s="12"/>
      <c r="J53" s="510"/>
      <c r="K53" s="11"/>
      <c r="L53" s="12"/>
      <c r="M53" s="510"/>
      <c r="N53" s="11"/>
      <c r="O53" s="12"/>
      <c r="P53" s="510"/>
      <c r="Q53" s="11"/>
      <c r="R53" s="12"/>
      <c r="S53" s="510"/>
      <c r="T53" s="11"/>
      <c r="U53" s="12"/>
      <c r="V53" s="510"/>
      <c r="W53" s="11"/>
      <c r="X53" s="12"/>
      <c r="Y53" s="510"/>
      <c r="Z53" s="11"/>
      <c r="AA53" s="12"/>
      <c r="AB53" s="510"/>
      <c r="AC53" s="11"/>
      <c r="AD53" s="14"/>
      <c r="AE53" s="510"/>
      <c r="AF53" s="705" t="s">
        <v>397</v>
      </c>
      <c r="AG53" s="706"/>
      <c r="AH53" s="510"/>
      <c r="AI53" s="725" t="s">
        <v>397</v>
      </c>
      <c r="AJ53" s="726"/>
      <c r="AK53" s="510"/>
      <c r="AL53" s="11"/>
      <c r="AM53" s="11"/>
      <c r="AN53" s="510"/>
      <c r="AO53" s="11"/>
      <c r="AP53" s="11"/>
      <c r="AQ53" s="512"/>
      <c r="AR53" s="512"/>
      <c r="AS53" s="510"/>
      <c r="AT53" s="212"/>
    </row>
    <row r="54" spans="1:53" x14ac:dyDescent="0.35">
      <c r="A54" s="5"/>
      <c r="B54" s="11"/>
      <c r="C54" s="11"/>
      <c r="D54" s="513"/>
      <c r="E54" s="11"/>
      <c r="F54" s="11"/>
      <c r="G54" s="513"/>
      <c r="H54" s="11"/>
      <c r="I54" s="11"/>
      <c r="J54" s="513"/>
      <c r="K54" s="11"/>
      <c r="L54" s="11"/>
      <c r="M54" s="513"/>
      <c r="N54" s="11"/>
      <c r="O54" s="11"/>
      <c r="P54" s="513"/>
      <c r="Q54" s="11"/>
      <c r="R54" s="11"/>
      <c r="S54" s="513"/>
      <c r="T54" s="11"/>
      <c r="U54" s="11"/>
      <c r="V54" s="513"/>
      <c r="W54" s="11"/>
      <c r="X54" s="11"/>
      <c r="Y54" s="513"/>
      <c r="Z54" s="11"/>
      <c r="AA54" s="11"/>
      <c r="AB54" s="513"/>
      <c r="AC54" s="11"/>
      <c r="AD54" s="11"/>
      <c r="AE54" s="513"/>
      <c r="AF54" s="707"/>
      <c r="AG54" s="708"/>
      <c r="AH54" s="513"/>
      <c r="AI54" s="727"/>
      <c r="AJ54" s="728"/>
      <c r="AK54" s="519"/>
      <c r="AL54" s="11"/>
      <c r="AM54" s="11"/>
      <c r="AN54" s="513"/>
      <c r="AO54" s="11"/>
      <c r="AP54" s="11"/>
      <c r="AQ54" s="512"/>
      <c r="AR54" s="512"/>
      <c r="AS54" s="513"/>
      <c r="AT54" s="211"/>
      <c r="AV54" s="2">
        <v>12</v>
      </c>
      <c r="AW54" s="2">
        <v>12</v>
      </c>
      <c r="AX54" s="2">
        <v>12</v>
      </c>
      <c r="AY54" s="2"/>
      <c r="AZ54" s="2"/>
      <c r="BA54" s="405">
        <f>+A55+D55+G55+J55+M55+P55+S55+V55+Y55+AB55+AE55+AH55+AK55+AN55+AQ55</f>
        <v>5373</v>
      </c>
    </row>
    <row r="55" spans="1:53" x14ac:dyDescent="0.35">
      <c r="A55" s="5"/>
      <c r="B55" s="714" t="s">
        <v>16</v>
      </c>
      <c r="C55" s="712"/>
      <c r="D55" s="513">
        <v>420</v>
      </c>
      <c r="E55" s="714" t="s">
        <v>23</v>
      </c>
      <c r="F55" s="712"/>
      <c r="G55" s="513">
        <v>354</v>
      </c>
      <c r="H55" s="714" t="s">
        <v>31</v>
      </c>
      <c r="I55" s="712"/>
      <c r="J55" s="513">
        <v>348</v>
      </c>
      <c r="K55" s="714" t="s">
        <v>23</v>
      </c>
      <c r="L55" s="712"/>
      <c r="M55" s="513">
        <v>319</v>
      </c>
      <c r="N55" s="714" t="s">
        <v>31</v>
      </c>
      <c r="O55" s="712"/>
      <c r="P55" s="513">
        <v>379</v>
      </c>
      <c r="Q55" s="714" t="s">
        <v>16</v>
      </c>
      <c r="R55" s="712"/>
      <c r="S55" s="513">
        <v>428</v>
      </c>
      <c r="T55" s="714" t="s">
        <v>31</v>
      </c>
      <c r="U55" s="712"/>
      <c r="V55" s="513">
        <v>397</v>
      </c>
      <c r="W55" s="712" t="s">
        <v>113</v>
      </c>
      <c r="X55" s="712"/>
      <c r="Y55" s="513">
        <v>247</v>
      </c>
      <c r="Z55" s="714" t="s">
        <v>115</v>
      </c>
      <c r="AA55" s="712"/>
      <c r="AB55" s="513">
        <v>423</v>
      </c>
      <c r="AC55" s="712" t="s">
        <v>16</v>
      </c>
      <c r="AD55" s="712"/>
      <c r="AE55" s="513">
        <v>395</v>
      </c>
      <c r="AF55" s="714" t="s">
        <v>118</v>
      </c>
      <c r="AG55" s="712"/>
      <c r="AH55" s="513">
        <v>499</v>
      </c>
      <c r="AI55" s="717" t="s">
        <v>120</v>
      </c>
      <c r="AJ55" s="712"/>
      <c r="AK55" s="519">
        <v>377</v>
      </c>
      <c r="AL55" s="717" t="s">
        <v>23</v>
      </c>
      <c r="AM55" s="712"/>
      <c r="AN55" s="513">
        <v>443</v>
      </c>
      <c r="AO55" s="717" t="s">
        <v>23</v>
      </c>
      <c r="AP55" s="712"/>
      <c r="AQ55" s="516">
        <v>344</v>
      </c>
      <c r="AR55" s="516"/>
      <c r="AS55" s="513"/>
      <c r="AT55" s="211"/>
    </row>
    <row r="56" spans="1:53" x14ac:dyDescent="0.35">
      <c r="A56" s="5"/>
      <c r="B56" s="699" t="s">
        <v>105</v>
      </c>
      <c r="C56" s="700"/>
      <c r="D56" s="519"/>
      <c r="E56" s="699" t="s">
        <v>106</v>
      </c>
      <c r="F56" s="700"/>
      <c r="G56" s="519"/>
      <c r="H56" s="699" t="s">
        <v>107</v>
      </c>
      <c r="I56" s="700"/>
      <c r="J56" s="519"/>
      <c r="K56" s="699" t="s">
        <v>108</v>
      </c>
      <c r="L56" s="700"/>
      <c r="M56" s="519"/>
      <c r="N56" s="699" t="s">
        <v>109</v>
      </c>
      <c r="O56" s="700"/>
      <c r="P56" s="519"/>
      <c r="Q56" s="699" t="s">
        <v>110</v>
      </c>
      <c r="R56" s="700"/>
      <c r="S56" s="519"/>
      <c r="T56" s="699" t="s">
        <v>111</v>
      </c>
      <c r="U56" s="700"/>
      <c r="V56" s="519"/>
      <c r="W56" s="699" t="s">
        <v>112</v>
      </c>
      <c r="X56" s="700"/>
      <c r="Y56" s="519"/>
      <c r="Z56" s="699" t="s">
        <v>114</v>
      </c>
      <c r="AA56" s="700"/>
      <c r="AB56" s="519"/>
      <c r="AC56" s="699" t="s">
        <v>116</v>
      </c>
      <c r="AD56" s="700"/>
      <c r="AE56" s="519"/>
      <c r="AF56" s="699" t="s">
        <v>117</v>
      </c>
      <c r="AG56" s="700"/>
      <c r="AH56" s="519"/>
      <c r="AI56" s="703" t="s">
        <v>119</v>
      </c>
      <c r="AJ56" s="700"/>
      <c r="AK56" s="519"/>
      <c r="AL56" s="703" t="s">
        <v>121</v>
      </c>
      <c r="AM56" s="700"/>
      <c r="AN56" s="519"/>
      <c r="AO56" s="703" t="s">
        <v>122</v>
      </c>
      <c r="AP56" s="700"/>
      <c r="AQ56" s="516"/>
      <c r="AR56" s="516"/>
      <c r="AT56" s="7"/>
    </row>
    <row r="57" spans="1:53" x14ac:dyDescent="0.35">
      <c r="A57" s="5"/>
      <c r="B57" s="532"/>
      <c r="C57" s="522" t="s">
        <v>359</v>
      </c>
      <c r="D57" s="533"/>
      <c r="E57" s="532"/>
      <c r="F57" s="522" t="s">
        <v>359</v>
      </c>
      <c r="G57" s="533"/>
      <c r="H57" s="532"/>
      <c r="I57" s="522" t="s">
        <v>359</v>
      </c>
      <c r="J57" s="533"/>
      <c r="K57" s="532"/>
      <c r="L57" s="522" t="s">
        <v>359</v>
      </c>
      <c r="M57" s="533"/>
      <c r="N57" s="522" t="s">
        <v>359</v>
      </c>
      <c r="O57" s="532"/>
      <c r="P57" s="533"/>
      <c r="Q57" s="521"/>
      <c r="R57" s="522" t="s">
        <v>359</v>
      </c>
      <c r="S57" s="522"/>
      <c r="T57" s="521"/>
      <c r="U57" s="522" t="s">
        <v>359</v>
      </c>
      <c r="V57" s="522"/>
      <c r="W57" s="521"/>
      <c r="X57" s="522" t="s">
        <v>359</v>
      </c>
      <c r="Y57" s="522"/>
      <c r="Z57" s="521"/>
      <c r="AA57" s="522" t="s">
        <v>359</v>
      </c>
      <c r="AB57" s="522"/>
      <c r="AC57" s="522" t="s">
        <v>359</v>
      </c>
      <c r="AD57" s="521"/>
      <c r="AE57" s="522"/>
      <c r="AF57" s="521"/>
      <c r="AG57" s="522" t="s">
        <v>359</v>
      </c>
      <c r="AH57" s="522"/>
      <c r="AI57" s="521"/>
      <c r="AJ57" s="522" t="s">
        <v>359</v>
      </c>
      <c r="AK57" s="522"/>
      <c r="AL57" s="522" t="s">
        <v>359</v>
      </c>
      <c r="AM57" s="521"/>
      <c r="AN57" s="522"/>
      <c r="AO57" s="522" t="s">
        <v>359</v>
      </c>
      <c r="AP57" s="521"/>
      <c r="AQ57" s="521"/>
      <c r="AR57" s="521"/>
      <c r="AT57" s="7"/>
    </row>
    <row r="58" spans="1:53" x14ac:dyDescent="0.35">
      <c r="A58" s="5"/>
      <c r="AT58" s="7"/>
    </row>
    <row r="59" spans="1:53" x14ac:dyDescent="0.35">
      <c r="A59" s="5"/>
      <c r="AT59" s="7"/>
    </row>
    <row r="60" spans="1:53" x14ac:dyDescent="0.35">
      <c r="A60" s="5"/>
      <c r="B60" s="711"/>
      <c r="C60" s="711"/>
      <c r="E60" s="697"/>
      <c r="F60" s="697"/>
      <c r="H60" s="697"/>
      <c r="I60" s="697"/>
      <c r="K60" s="697"/>
      <c r="L60" s="697"/>
      <c r="N60" s="697"/>
      <c r="O60" s="697"/>
      <c r="Q60" s="697"/>
      <c r="R60" s="697"/>
      <c r="T60" s="697"/>
      <c r="U60" s="697"/>
      <c r="W60" s="697"/>
      <c r="X60" s="697"/>
      <c r="Z60" s="697"/>
      <c r="AA60" s="697"/>
      <c r="AC60" s="697"/>
      <c r="AD60" s="697"/>
      <c r="AF60" s="697"/>
      <c r="AG60" s="697"/>
      <c r="AI60" s="697"/>
      <c r="AJ60" s="697"/>
      <c r="AL60" s="697"/>
      <c r="AM60" s="697"/>
      <c r="AO60" s="697"/>
      <c r="AP60" s="697"/>
      <c r="AQ60" s="10"/>
      <c r="AR60" s="10"/>
      <c r="AT60" s="7"/>
    </row>
    <row r="61" spans="1:53" x14ac:dyDescent="0.35">
      <c r="A61" s="5"/>
      <c r="B61" s="14"/>
      <c r="C61" s="14"/>
      <c r="D61" s="510"/>
      <c r="E61" s="11"/>
      <c r="F61" s="12"/>
      <c r="G61" s="510"/>
      <c r="H61" s="11"/>
      <c r="I61" s="12"/>
      <c r="J61" s="510"/>
      <c r="K61" s="11"/>
      <c r="L61" s="12"/>
      <c r="M61" s="510"/>
      <c r="N61" s="11"/>
      <c r="O61" s="12"/>
      <c r="P61" s="510"/>
      <c r="Q61" s="705" t="s">
        <v>397</v>
      </c>
      <c r="R61" s="706"/>
      <c r="S61" s="510"/>
      <c r="T61" s="11"/>
      <c r="U61" s="14"/>
      <c r="V61" s="510"/>
      <c r="W61" s="207"/>
      <c r="X61" s="207"/>
      <c r="Y61" s="510"/>
      <c r="Z61" s="11"/>
      <c r="AA61" s="12"/>
      <c r="AB61" s="510"/>
      <c r="AC61" s="705" t="s">
        <v>397</v>
      </c>
      <c r="AD61" s="706"/>
      <c r="AE61" s="510"/>
      <c r="AF61" s="11"/>
      <c r="AG61" s="12"/>
      <c r="AH61" s="510"/>
      <c r="AI61" s="11"/>
      <c r="AJ61" s="12"/>
      <c r="AK61" s="510"/>
      <c r="AL61" s="11"/>
      <c r="AM61" s="14"/>
      <c r="AN61" s="510"/>
      <c r="AO61" s="11"/>
      <c r="AP61" s="14"/>
      <c r="AS61" s="510"/>
      <c r="AT61" s="212"/>
    </row>
    <row r="62" spans="1:53" x14ac:dyDescent="0.35">
      <c r="A62" s="5"/>
      <c r="B62" s="11"/>
      <c r="C62" s="11"/>
      <c r="D62" s="513"/>
      <c r="E62" s="11"/>
      <c r="F62" s="11"/>
      <c r="G62" s="513"/>
      <c r="H62" s="11"/>
      <c r="I62" s="11"/>
      <c r="J62" s="513"/>
      <c r="K62" s="11"/>
      <c r="L62" s="11"/>
      <c r="M62" s="513"/>
      <c r="N62" s="11"/>
      <c r="O62" s="11"/>
      <c r="P62" s="513"/>
      <c r="Q62" s="707"/>
      <c r="R62" s="708"/>
      <c r="S62" s="513"/>
      <c r="T62" s="11"/>
      <c r="U62" s="11"/>
      <c r="V62" s="513"/>
      <c r="W62" s="207"/>
      <c r="X62" s="207"/>
      <c r="Y62" s="519"/>
      <c r="Z62" s="11"/>
      <c r="AA62" s="11"/>
      <c r="AB62" s="519"/>
      <c r="AC62" s="707"/>
      <c r="AD62" s="708"/>
      <c r="AE62" s="513"/>
      <c r="AF62" s="11"/>
      <c r="AG62" s="11"/>
      <c r="AH62" s="513"/>
      <c r="AI62" s="11"/>
      <c r="AJ62" s="11"/>
      <c r="AK62" s="513"/>
      <c r="AL62" s="11"/>
      <c r="AM62" s="11"/>
      <c r="AO62" s="11"/>
      <c r="AP62" s="11"/>
      <c r="AQ62" s="512"/>
      <c r="AR62" s="512"/>
      <c r="AT62" s="7"/>
      <c r="AV62" s="2">
        <v>12</v>
      </c>
      <c r="AW62" s="2">
        <v>8</v>
      </c>
      <c r="AX62" s="2">
        <v>7</v>
      </c>
      <c r="AY62" s="2">
        <v>0</v>
      </c>
      <c r="AZ62" s="2">
        <v>0</v>
      </c>
      <c r="BA62" s="405">
        <f>+A63+D63+G63+J63+M63+P63+S63+V63+Y63+AB63+AE63+AH63+AK63+AN63+AQ63</f>
        <v>5451</v>
      </c>
    </row>
    <row r="63" spans="1:53" x14ac:dyDescent="0.35">
      <c r="A63" s="5"/>
      <c r="B63" s="703" t="s">
        <v>40</v>
      </c>
      <c r="C63" s="700"/>
      <c r="D63" s="513">
        <v>390</v>
      </c>
      <c r="E63" s="703" t="s">
        <v>23</v>
      </c>
      <c r="F63" s="700"/>
      <c r="G63" s="513">
        <v>352</v>
      </c>
      <c r="H63" s="714" t="s">
        <v>31</v>
      </c>
      <c r="I63" s="712"/>
      <c r="J63" s="513">
        <v>426</v>
      </c>
      <c r="K63" s="714" t="s">
        <v>31</v>
      </c>
      <c r="L63" s="712"/>
      <c r="M63" s="513">
        <v>394</v>
      </c>
      <c r="N63" s="714" t="s">
        <v>33</v>
      </c>
      <c r="O63" s="712"/>
      <c r="P63" s="513">
        <v>408</v>
      </c>
      <c r="Q63" s="712" t="s">
        <v>115</v>
      </c>
      <c r="R63" s="712"/>
      <c r="S63" s="513">
        <v>373</v>
      </c>
      <c r="T63" s="714" t="s">
        <v>16</v>
      </c>
      <c r="U63" s="712"/>
      <c r="V63" s="513">
        <v>408</v>
      </c>
      <c r="W63" s="717" t="s">
        <v>12</v>
      </c>
      <c r="X63" s="729"/>
      <c r="Y63" s="519">
        <v>379</v>
      </c>
      <c r="Z63" s="714" t="s">
        <v>33</v>
      </c>
      <c r="AA63" s="712"/>
      <c r="AB63" s="519">
        <v>406</v>
      </c>
      <c r="AC63" s="714" t="s">
        <v>133</v>
      </c>
      <c r="AD63" s="712"/>
      <c r="AE63" s="513">
        <v>385</v>
      </c>
      <c r="AF63" s="714" t="s">
        <v>31</v>
      </c>
      <c r="AG63" s="712"/>
      <c r="AH63" s="513">
        <v>400</v>
      </c>
      <c r="AI63" s="714" t="s">
        <v>31</v>
      </c>
      <c r="AJ63" s="712"/>
      <c r="AK63" s="513">
        <v>439</v>
      </c>
      <c r="AL63" s="714" t="s">
        <v>16</v>
      </c>
      <c r="AM63" s="712"/>
      <c r="AN63" s="6">
        <v>400</v>
      </c>
      <c r="AO63" s="717" t="s">
        <v>23</v>
      </c>
      <c r="AP63" s="712"/>
      <c r="AQ63" s="516">
        <v>291</v>
      </c>
      <c r="AR63" s="516"/>
      <c r="AT63" s="7"/>
    </row>
    <row r="64" spans="1:53" x14ac:dyDescent="0.35">
      <c r="A64" s="5"/>
      <c r="B64" s="703" t="s">
        <v>123</v>
      </c>
      <c r="C64" s="700"/>
      <c r="D64" s="519"/>
      <c r="E64" s="703" t="s">
        <v>124</v>
      </c>
      <c r="F64" s="700"/>
      <c r="G64" s="519"/>
      <c r="H64" s="703" t="s">
        <v>125</v>
      </c>
      <c r="I64" s="700"/>
      <c r="J64" s="519"/>
      <c r="K64" s="703" t="s">
        <v>126</v>
      </c>
      <c r="L64" s="700"/>
      <c r="M64" s="519"/>
      <c r="N64" s="703" t="s">
        <v>127</v>
      </c>
      <c r="O64" s="700"/>
      <c r="P64" s="519"/>
      <c r="Q64" s="699" t="s">
        <v>128</v>
      </c>
      <c r="R64" s="700"/>
      <c r="S64" s="519"/>
      <c r="T64" s="699" t="s">
        <v>129</v>
      </c>
      <c r="U64" s="700"/>
      <c r="V64" s="519"/>
      <c r="W64" s="703" t="s">
        <v>130</v>
      </c>
      <c r="X64" s="704"/>
      <c r="Y64" s="519"/>
      <c r="Z64" s="703" t="s">
        <v>131</v>
      </c>
      <c r="AA64" s="704"/>
      <c r="AB64" s="519"/>
      <c r="AC64" s="699" t="s">
        <v>132</v>
      </c>
      <c r="AD64" s="700"/>
      <c r="AE64" s="513"/>
      <c r="AF64" s="699" t="s">
        <v>134</v>
      </c>
      <c r="AG64" s="700"/>
      <c r="AH64" s="513"/>
      <c r="AI64" s="699" t="s">
        <v>135</v>
      </c>
      <c r="AJ64" s="700"/>
      <c r="AL64" s="699" t="s">
        <v>136</v>
      </c>
      <c r="AM64" s="700"/>
      <c r="AN64" s="519"/>
      <c r="AO64" s="699" t="s">
        <v>137</v>
      </c>
      <c r="AP64" s="700"/>
      <c r="AQ64" s="516"/>
      <c r="AR64" s="516"/>
      <c r="AS64" s="529"/>
      <c r="AT64" s="214"/>
    </row>
    <row r="65" spans="1:53" x14ac:dyDescent="0.35">
      <c r="A65" s="5"/>
      <c r="B65" s="522" t="s">
        <v>359</v>
      </c>
      <c r="C65" s="521"/>
      <c r="D65" s="522"/>
      <c r="E65" s="522" t="s">
        <v>359</v>
      </c>
      <c r="F65" s="523"/>
      <c r="G65" s="522"/>
      <c r="H65" s="522" t="s">
        <v>359</v>
      </c>
      <c r="I65" s="523"/>
      <c r="J65" s="522"/>
      <c r="K65" s="521"/>
      <c r="L65" s="522" t="s">
        <v>359</v>
      </c>
      <c r="M65" s="522"/>
      <c r="N65" s="521"/>
      <c r="O65" s="522" t="s">
        <v>359</v>
      </c>
      <c r="P65" s="522"/>
      <c r="Q65" s="521"/>
      <c r="R65" s="522" t="s">
        <v>359</v>
      </c>
      <c r="S65" s="522"/>
      <c r="T65" s="521"/>
      <c r="U65" s="522" t="s">
        <v>359</v>
      </c>
      <c r="V65" s="522"/>
      <c r="W65" s="522" t="s">
        <v>359</v>
      </c>
      <c r="X65" s="521"/>
      <c r="Y65" s="522"/>
      <c r="Z65" s="522" t="s">
        <v>359</v>
      </c>
      <c r="AA65" s="521"/>
      <c r="AB65" s="522"/>
      <c r="AC65" s="522" t="s">
        <v>359</v>
      </c>
      <c r="AD65" s="521"/>
      <c r="AE65" s="522"/>
      <c r="AF65" s="521"/>
      <c r="AG65" s="522" t="s">
        <v>359</v>
      </c>
      <c r="AH65" s="522"/>
      <c r="AI65" s="522" t="s">
        <v>359</v>
      </c>
      <c r="AJ65" s="521"/>
      <c r="AK65" s="522"/>
      <c r="AL65" s="522" t="s">
        <v>359</v>
      </c>
      <c r="AM65" s="521"/>
      <c r="AN65" s="522"/>
      <c r="AO65" s="521"/>
      <c r="AP65" s="522" t="s">
        <v>359</v>
      </c>
      <c r="AQ65" s="522"/>
      <c r="AR65" s="522"/>
      <c r="AS65" s="529"/>
      <c r="AT65" s="214"/>
    </row>
    <row r="66" spans="1:53" x14ac:dyDescent="0.35">
      <c r="A66" s="5"/>
      <c r="W66" s="724" t="s">
        <v>404</v>
      </c>
      <c r="X66" s="724"/>
      <c r="Y66" s="724"/>
      <c r="Z66" s="724"/>
      <c r="AA66" s="724"/>
      <c r="AO66" s="711"/>
      <c r="AP66" s="711"/>
      <c r="AQ66" s="711"/>
      <c r="AR66" s="711"/>
      <c r="AS66" s="711"/>
      <c r="AT66" s="215"/>
    </row>
    <row r="67" spans="1:53" x14ac:dyDescent="0.35">
      <c r="A67" s="5"/>
      <c r="Y67" s="6" t="s">
        <v>398</v>
      </c>
      <c r="AT67" s="7"/>
    </row>
    <row r="68" spans="1:53" x14ac:dyDescent="0.35">
      <c r="A68" s="5"/>
      <c r="B68" s="711"/>
      <c r="C68" s="711"/>
      <c r="E68" s="697"/>
      <c r="F68" s="697"/>
      <c r="H68" s="697"/>
      <c r="I68" s="697"/>
      <c r="K68" s="697"/>
      <c r="L68" s="697"/>
      <c r="N68" s="697"/>
      <c r="O68" s="697"/>
      <c r="Q68" s="697"/>
      <c r="R68" s="697"/>
      <c r="T68" s="697"/>
      <c r="U68" s="697"/>
      <c r="W68" s="697"/>
      <c r="X68" s="697"/>
      <c r="Z68" s="697"/>
      <c r="AA68" s="697"/>
      <c r="AC68" s="697"/>
      <c r="AD68" s="697"/>
      <c r="AF68" s="697"/>
      <c r="AG68" s="697"/>
      <c r="AI68" s="697"/>
      <c r="AJ68" s="697"/>
      <c r="AL68" s="697"/>
      <c r="AM68" s="697"/>
      <c r="AO68" s="697"/>
      <c r="AP68" s="697"/>
      <c r="AQ68" s="10"/>
      <c r="AR68" s="10"/>
      <c r="AT68" s="7"/>
    </row>
    <row r="69" spans="1:53" x14ac:dyDescent="0.35">
      <c r="A69" s="5"/>
      <c r="B69" s="11"/>
      <c r="C69" s="14"/>
      <c r="D69" s="510"/>
      <c r="E69" s="11"/>
      <c r="F69" s="14"/>
      <c r="G69" s="510"/>
      <c r="H69" s="11"/>
      <c r="I69" s="14"/>
      <c r="J69" s="526"/>
      <c r="K69" s="14"/>
      <c r="L69" s="14"/>
      <c r="M69" s="510"/>
      <c r="N69" s="14"/>
      <c r="O69" s="14"/>
      <c r="P69" s="526"/>
      <c r="Q69" s="14"/>
      <c r="R69" s="14"/>
      <c r="S69" s="510"/>
      <c r="T69" s="14"/>
      <c r="U69" s="14"/>
      <c r="V69" s="510"/>
      <c r="W69" s="14"/>
      <c r="X69" s="14"/>
      <c r="Y69" s="510"/>
      <c r="Z69" s="207"/>
      <c r="AA69" s="207"/>
      <c r="AB69" s="510"/>
      <c r="AC69" s="14"/>
      <c r="AD69" s="14"/>
      <c r="AE69" s="510"/>
      <c r="AF69" s="11"/>
      <c r="AG69" s="14"/>
      <c r="AH69" s="510"/>
      <c r="AI69" s="11"/>
      <c r="AJ69" s="14"/>
      <c r="AK69" s="510"/>
      <c r="AL69" s="11"/>
      <c r="AM69" s="14"/>
      <c r="AN69" s="510"/>
      <c r="AO69" s="11"/>
      <c r="AP69" s="12"/>
      <c r="AQ69" s="511"/>
      <c r="AR69" s="511"/>
      <c r="AS69" s="510"/>
      <c r="AT69" s="212"/>
    </row>
    <row r="70" spans="1:53" x14ac:dyDescent="0.35">
      <c r="A70" s="5"/>
      <c r="B70" s="14"/>
      <c r="C70" s="14"/>
      <c r="D70" s="513"/>
      <c r="E70" s="14"/>
      <c r="F70" s="14"/>
      <c r="G70" s="513"/>
      <c r="H70" s="14"/>
      <c r="I70" s="14"/>
      <c r="J70" s="519"/>
      <c r="K70" s="14"/>
      <c r="L70" s="14"/>
      <c r="M70" s="519"/>
      <c r="N70" s="14"/>
      <c r="O70" s="14"/>
      <c r="P70" s="513"/>
      <c r="Q70" s="14"/>
      <c r="R70" s="14"/>
      <c r="S70" s="513"/>
      <c r="T70" s="11"/>
      <c r="U70" s="11"/>
      <c r="V70" s="513"/>
      <c r="W70" s="11"/>
      <c r="X70" s="11"/>
      <c r="Y70" s="519"/>
      <c r="Z70" s="207"/>
      <c r="AA70" s="207"/>
      <c r="AB70" s="519"/>
      <c r="AC70" s="11"/>
      <c r="AD70" s="14"/>
      <c r="AE70" s="513"/>
      <c r="AF70" s="11"/>
      <c r="AG70" s="11"/>
      <c r="AH70" s="519"/>
      <c r="AI70" s="11"/>
      <c r="AJ70" s="11"/>
      <c r="AK70" s="513"/>
      <c r="AL70" s="11"/>
      <c r="AM70" s="11"/>
      <c r="AN70" s="513"/>
      <c r="AO70" s="11"/>
      <c r="AP70" s="11"/>
      <c r="AQ70" s="512"/>
      <c r="AR70" s="512"/>
      <c r="AS70" s="513"/>
      <c r="AT70" s="211"/>
      <c r="AV70" s="2">
        <v>14</v>
      </c>
      <c r="AW70" s="2">
        <v>14</v>
      </c>
      <c r="AX70" s="2">
        <v>12</v>
      </c>
      <c r="AY70" s="2">
        <v>0</v>
      </c>
      <c r="AZ70" s="2">
        <v>0</v>
      </c>
      <c r="BA70" s="405">
        <f>+A71+D71+G71+J71+M71+P71+S71+V71+Y71+AB71+AE71+AH71+AK71+AN71+AQ71</f>
        <v>5597</v>
      </c>
    </row>
    <row r="71" spans="1:53" x14ac:dyDescent="0.35">
      <c r="A71" s="5"/>
      <c r="B71" s="717" t="s">
        <v>23</v>
      </c>
      <c r="C71" s="712"/>
      <c r="D71" s="513">
        <v>390</v>
      </c>
      <c r="E71" s="714" t="s">
        <v>33</v>
      </c>
      <c r="F71" s="712"/>
      <c r="G71" s="513">
        <v>403</v>
      </c>
      <c r="H71" s="714" t="s">
        <v>31</v>
      </c>
      <c r="I71" s="712"/>
      <c r="J71" s="519">
        <v>422</v>
      </c>
      <c r="K71" s="714" t="s">
        <v>16</v>
      </c>
      <c r="L71" s="712"/>
      <c r="M71" s="519">
        <v>389</v>
      </c>
      <c r="N71" s="714" t="s">
        <v>14</v>
      </c>
      <c r="O71" s="712"/>
      <c r="P71" s="513">
        <v>436</v>
      </c>
      <c r="Q71" s="712" t="s">
        <v>35</v>
      </c>
      <c r="R71" s="712"/>
      <c r="S71" s="513">
        <v>380</v>
      </c>
      <c r="T71" s="714" t="s">
        <v>31</v>
      </c>
      <c r="U71" s="712"/>
      <c r="V71" s="513">
        <v>445</v>
      </c>
      <c r="W71" s="714" t="s">
        <v>146</v>
      </c>
      <c r="X71" s="712"/>
      <c r="Y71" s="519">
        <v>220</v>
      </c>
      <c r="Z71" s="714" t="s">
        <v>148</v>
      </c>
      <c r="AA71" s="712"/>
      <c r="AB71" s="519">
        <v>435</v>
      </c>
      <c r="AC71" s="712" t="s">
        <v>35</v>
      </c>
      <c r="AD71" s="712"/>
      <c r="AE71" s="513">
        <v>405</v>
      </c>
      <c r="AF71" s="714" t="s">
        <v>16</v>
      </c>
      <c r="AG71" s="712"/>
      <c r="AH71" s="519">
        <v>434</v>
      </c>
      <c r="AI71" s="714" t="s">
        <v>16</v>
      </c>
      <c r="AJ71" s="712"/>
      <c r="AK71" s="513">
        <v>380</v>
      </c>
      <c r="AL71" s="714" t="s">
        <v>23</v>
      </c>
      <c r="AM71" s="712"/>
      <c r="AN71" s="513">
        <v>379</v>
      </c>
      <c r="AO71" s="714" t="s">
        <v>154</v>
      </c>
      <c r="AP71" s="712"/>
      <c r="AQ71" s="516">
        <v>479</v>
      </c>
      <c r="AR71" s="516"/>
      <c r="AS71" s="513"/>
      <c r="AT71" s="211"/>
    </row>
    <row r="72" spans="1:53" x14ac:dyDescent="0.35">
      <c r="A72" s="5"/>
      <c r="B72" s="699" t="s">
        <v>138</v>
      </c>
      <c r="C72" s="700"/>
      <c r="E72" s="699" t="s">
        <v>139</v>
      </c>
      <c r="F72" s="700"/>
      <c r="G72" s="519"/>
      <c r="H72" s="699" t="s">
        <v>140</v>
      </c>
      <c r="I72" s="700"/>
      <c r="J72" s="519"/>
      <c r="K72" s="699" t="s">
        <v>141</v>
      </c>
      <c r="L72" s="700"/>
      <c r="M72" s="519"/>
      <c r="N72" s="699" t="s">
        <v>142</v>
      </c>
      <c r="O72" s="700"/>
      <c r="P72" s="519"/>
      <c r="Q72" s="699" t="s">
        <v>143</v>
      </c>
      <c r="R72" s="700"/>
      <c r="S72" s="519"/>
      <c r="T72" s="699" t="s">
        <v>144</v>
      </c>
      <c r="U72" s="700"/>
      <c r="V72" s="519"/>
      <c r="W72" s="699" t="s">
        <v>145</v>
      </c>
      <c r="X72" s="700"/>
      <c r="Y72" s="519"/>
      <c r="Z72" s="699" t="s">
        <v>147</v>
      </c>
      <c r="AA72" s="700"/>
      <c r="AB72" s="519"/>
      <c r="AC72" s="699" t="s">
        <v>149</v>
      </c>
      <c r="AD72" s="700"/>
      <c r="AE72" s="519"/>
      <c r="AF72" s="699" t="s">
        <v>150</v>
      </c>
      <c r="AG72" s="700"/>
      <c r="AH72" s="519"/>
      <c r="AI72" s="699" t="s">
        <v>151</v>
      </c>
      <c r="AJ72" s="700"/>
      <c r="AK72" s="519"/>
      <c r="AL72" s="699" t="s">
        <v>152</v>
      </c>
      <c r="AM72" s="700"/>
      <c r="AN72" s="519"/>
      <c r="AO72" s="699" t="s">
        <v>153</v>
      </c>
      <c r="AP72" s="700"/>
      <c r="AQ72" s="516"/>
      <c r="AR72" s="516"/>
      <c r="AT72" s="7"/>
    </row>
    <row r="73" spans="1:53" x14ac:dyDescent="0.35">
      <c r="A73" s="5"/>
      <c r="B73" s="522" t="s">
        <v>359</v>
      </c>
      <c r="C73" s="521"/>
      <c r="D73" s="522"/>
      <c r="E73" s="521"/>
      <c r="F73" s="522" t="s">
        <v>359</v>
      </c>
      <c r="G73" s="522"/>
      <c r="H73" s="521"/>
      <c r="I73" s="522" t="s">
        <v>359</v>
      </c>
      <c r="J73" s="522"/>
      <c r="K73" s="521"/>
      <c r="L73" s="522" t="s">
        <v>359</v>
      </c>
      <c r="M73" s="522"/>
      <c r="N73" s="521"/>
      <c r="O73" s="522" t="s">
        <v>359</v>
      </c>
      <c r="P73" s="522"/>
      <c r="Q73" s="521"/>
      <c r="R73" s="522" t="s">
        <v>359</v>
      </c>
      <c r="S73" s="522"/>
      <c r="T73" s="521"/>
      <c r="U73" s="522" t="s">
        <v>359</v>
      </c>
      <c r="V73" s="522"/>
      <c r="W73" s="521"/>
      <c r="X73" s="522" t="s">
        <v>359</v>
      </c>
      <c r="Y73" s="522"/>
      <c r="Z73" s="521"/>
      <c r="AA73" s="522" t="s">
        <v>359</v>
      </c>
      <c r="AB73" s="522"/>
      <c r="AC73" s="521"/>
      <c r="AD73" s="522" t="s">
        <v>359</v>
      </c>
      <c r="AE73" s="522"/>
      <c r="AF73" s="521"/>
      <c r="AG73" s="522" t="s">
        <v>359</v>
      </c>
      <c r="AH73" s="522"/>
      <c r="AI73" s="521"/>
      <c r="AJ73" s="522" t="s">
        <v>359</v>
      </c>
      <c r="AK73" s="522"/>
      <c r="AL73" s="521"/>
      <c r="AM73" s="522" t="s">
        <v>359</v>
      </c>
      <c r="AN73" s="522"/>
      <c r="AO73" s="522" t="s">
        <v>359</v>
      </c>
      <c r="AP73" s="521"/>
      <c r="AQ73" s="521"/>
      <c r="AR73" s="521"/>
      <c r="AT73" s="7"/>
    </row>
    <row r="74" spans="1:53" x14ac:dyDescent="0.35">
      <c r="A74" s="730" t="s">
        <v>403</v>
      </c>
      <c r="B74" s="731"/>
      <c r="C74" s="731"/>
      <c r="Q74" s="724"/>
      <c r="R74" s="724"/>
      <c r="S74" s="724"/>
      <c r="AI74" s="724" t="s">
        <v>405</v>
      </c>
      <c r="AJ74" s="724"/>
      <c r="AK74" s="724"/>
      <c r="AL74" s="724"/>
      <c r="AM74" s="724"/>
      <c r="AN74" s="724"/>
      <c r="AO74" s="724"/>
      <c r="AP74" s="724"/>
      <c r="AQ74" s="10"/>
      <c r="AR74" s="10"/>
      <c r="AT74" s="7"/>
    </row>
    <row r="75" spans="1:53" x14ac:dyDescent="0.35">
      <c r="A75" s="5"/>
      <c r="H75" s="6"/>
      <c r="S75" s="6" t="s">
        <v>400</v>
      </c>
      <c r="AT75" s="7"/>
    </row>
    <row r="76" spans="1:53" x14ac:dyDescent="0.35">
      <c r="A76" s="5"/>
      <c r="B76" s="711"/>
      <c r="C76" s="711"/>
      <c r="E76" s="697"/>
      <c r="F76" s="697"/>
      <c r="H76" s="697"/>
      <c r="I76" s="697"/>
      <c r="K76" s="732"/>
      <c r="L76" s="697"/>
      <c r="N76" s="732"/>
      <c r="O76" s="697"/>
      <c r="Q76" s="732"/>
      <c r="R76" s="697"/>
      <c r="T76" s="732"/>
      <c r="U76" s="697"/>
      <c r="W76" s="697"/>
      <c r="X76" s="697"/>
      <c r="Z76" s="697"/>
      <c r="AA76" s="697"/>
      <c r="AC76" s="697"/>
      <c r="AD76" s="697"/>
      <c r="AF76" s="697"/>
      <c r="AG76" s="697"/>
      <c r="AI76" s="697"/>
      <c r="AJ76" s="697"/>
      <c r="AL76" s="697"/>
      <c r="AM76" s="697"/>
      <c r="AO76" s="697"/>
      <c r="AP76" s="697"/>
      <c r="AQ76" s="10"/>
      <c r="AR76" s="10"/>
      <c r="AT76" s="7"/>
    </row>
    <row r="77" spans="1:53" ht="15" customHeight="1" x14ac:dyDescent="0.35">
      <c r="A77" s="5"/>
      <c r="B77" s="11"/>
      <c r="C77" s="12"/>
      <c r="D77" s="510"/>
      <c r="E77" s="14"/>
      <c r="F77" s="14"/>
      <c r="G77" s="510"/>
      <c r="H77" s="14"/>
      <c r="I77" s="14"/>
      <c r="J77" s="510"/>
      <c r="K77" s="11"/>
      <c r="L77" s="12"/>
      <c r="M77" s="510"/>
      <c r="N77" s="14"/>
      <c r="O77" s="14"/>
      <c r="P77" s="510"/>
      <c r="Q77" s="11"/>
      <c r="R77" s="12"/>
      <c r="S77" s="510"/>
      <c r="T77" s="14"/>
      <c r="U77" s="14"/>
      <c r="V77" s="510"/>
      <c r="W77" s="11"/>
      <c r="X77" s="11"/>
      <c r="Y77" s="510"/>
      <c r="Z77" s="11"/>
      <c r="AA77" s="11"/>
      <c r="AB77" s="510"/>
      <c r="AC77" s="267"/>
      <c r="AD77" s="267"/>
      <c r="AE77" s="510"/>
      <c r="AF77" s="11"/>
      <c r="AG77" s="12"/>
      <c r="AH77" s="510"/>
      <c r="AI77" s="11"/>
      <c r="AJ77" s="12"/>
      <c r="AK77" s="510"/>
      <c r="AL77" s="11"/>
      <c r="AM77" s="12"/>
      <c r="AN77" s="510"/>
      <c r="AO77" s="207"/>
      <c r="AP77" s="207"/>
      <c r="AQ77" s="208"/>
      <c r="AR77" s="208"/>
      <c r="AS77" s="510"/>
      <c r="AT77" s="212"/>
    </row>
    <row r="78" spans="1:53" x14ac:dyDescent="0.35">
      <c r="A78" s="5"/>
      <c r="B78" s="11"/>
      <c r="C78" s="11"/>
      <c r="D78" s="513"/>
      <c r="E78" s="14"/>
      <c r="F78" s="11"/>
      <c r="G78" s="513"/>
      <c r="H78" s="14"/>
      <c r="I78" s="11"/>
      <c r="J78" s="519"/>
      <c r="K78" s="11"/>
      <c r="L78" s="11"/>
      <c r="M78" s="519"/>
      <c r="N78" s="14"/>
      <c r="O78" s="11"/>
      <c r="P78" s="513"/>
      <c r="Q78" s="11"/>
      <c r="R78" s="11"/>
      <c r="S78" s="519"/>
      <c r="T78" s="14"/>
      <c r="U78" s="11"/>
      <c r="V78" s="513"/>
      <c r="W78" s="11"/>
      <c r="X78" s="11"/>
      <c r="Y78" s="513"/>
      <c r="Z78" s="11"/>
      <c r="AA78" s="11"/>
      <c r="AB78" s="513"/>
      <c r="AC78" s="267"/>
      <c r="AD78" s="267"/>
      <c r="AE78" s="513"/>
      <c r="AF78" s="11"/>
      <c r="AG78" s="11"/>
      <c r="AH78" s="513"/>
      <c r="AI78" s="11"/>
      <c r="AJ78" s="11"/>
      <c r="AK78" s="513"/>
      <c r="AL78" s="11"/>
      <c r="AM78" s="11"/>
      <c r="AN78" s="519"/>
      <c r="AO78" s="207"/>
      <c r="AP78" s="207"/>
      <c r="AQ78" s="208"/>
      <c r="AR78" s="208"/>
      <c r="AS78" s="513"/>
      <c r="AT78" s="211"/>
      <c r="AV78" s="2">
        <v>14</v>
      </c>
      <c r="AW78" s="2">
        <v>14</v>
      </c>
      <c r="AX78" s="2">
        <v>14</v>
      </c>
      <c r="AY78" s="2">
        <v>0</v>
      </c>
      <c r="AZ78" s="2">
        <v>0</v>
      </c>
      <c r="BA78" s="405">
        <f>+A79+D79+G79+J79+M79+P79+S79+V79+Y79+AB79+AE79+AH79+AK79+AN79+AQ79</f>
        <v>5226</v>
      </c>
    </row>
    <row r="79" spans="1:53" x14ac:dyDescent="0.35">
      <c r="A79" s="5"/>
      <c r="B79" s="699" t="s">
        <v>156</v>
      </c>
      <c r="C79" s="700"/>
      <c r="D79" s="513">
        <v>464</v>
      </c>
      <c r="E79" s="714" t="s">
        <v>31</v>
      </c>
      <c r="F79" s="712"/>
      <c r="G79" s="513">
        <v>376</v>
      </c>
      <c r="H79" s="712" t="s">
        <v>35</v>
      </c>
      <c r="I79" s="712"/>
      <c r="J79" s="519">
        <v>380</v>
      </c>
      <c r="K79" s="714" t="s">
        <v>23</v>
      </c>
      <c r="L79" s="712"/>
      <c r="M79" s="519">
        <v>352</v>
      </c>
      <c r="N79" s="714" t="s">
        <v>14</v>
      </c>
      <c r="O79" s="712"/>
      <c r="P79" s="513">
        <v>361</v>
      </c>
      <c r="Q79" s="714" t="s">
        <v>162</v>
      </c>
      <c r="R79" s="712"/>
      <c r="S79" s="519">
        <v>252</v>
      </c>
      <c r="T79" s="714" t="s">
        <v>164</v>
      </c>
      <c r="U79" s="712"/>
      <c r="V79" s="513">
        <v>394</v>
      </c>
      <c r="W79" s="712" t="s">
        <v>35</v>
      </c>
      <c r="X79" s="712"/>
      <c r="Y79" s="513">
        <v>389</v>
      </c>
      <c r="Z79" s="714" t="s">
        <v>35</v>
      </c>
      <c r="AA79" s="712"/>
      <c r="AB79" s="513">
        <v>399</v>
      </c>
      <c r="AC79" s="714" t="s">
        <v>18</v>
      </c>
      <c r="AD79" s="712"/>
      <c r="AE79" s="513">
        <v>392</v>
      </c>
      <c r="AF79" s="714" t="s">
        <v>35</v>
      </c>
      <c r="AG79" s="712"/>
      <c r="AH79" s="513">
        <v>363</v>
      </c>
      <c r="AI79" s="714" t="s">
        <v>31</v>
      </c>
      <c r="AJ79" s="712"/>
      <c r="AK79" s="513">
        <v>379</v>
      </c>
      <c r="AL79" s="714" t="s">
        <v>9</v>
      </c>
      <c r="AM79" s="712"/>
      <c r="AN79" s="519">
        <v>226</v>
      </c>
      <c r="AO79" s="712" t="s">
        <v>172</v>
      </c>
      <c r="AP79" s="712"/>
      <c r="AQ79" s="516">
        <v>499</v>
      </c>
      <c r="AR79" s="516"/>
      <c r="AS79" s="513"/>
      <c r="AT79" s="211"/>
    </row>
    <row r="80" spans="1:53" x14ac:dyDescent="0.35">
      <c r="A80" s="5"/>
      <c r="B80" s="699" t="s">
        <v>155</v>
      </c>
      <c r="C80" s="700"/>
      <c r="D80" s="519"/>
      <c r="E80" s="699" t="s">
        <v>157</v>
      </c>
      <c r="F80" s="700"/>
      <c r="G80" s="513"/>
      <c r="H80" s="699" t="s">
        <v>158</v>
      </c>
      <c r="I80" s="700"/>
      <c r="J80" s="519"/>
      <c r="K80" s="699" t="s">
        <v>159</v>
      </c>
      <c r="L80" s="700"/>
      <c r="M80" s="519"/>
      <c r="N80" s="699" t="s">
        <v>160</v>
      </c>
      <c r="O80" s="700"/>
      <c r="P80" s="535"/>
      <c r="Q80" s="699" t="s">
        <v>161</v>
      </c>
      <c r="R80" s="700"/>
      <c r="S80" s="519"/>
      <c r="T80" s="699" t="s">
        <v>163</v>
      </c>
      <c r="U80" s="700"/>
      <c r="V80" s="519"/>
      <c r="W80" s="699" t="s">
        <v>165</v>
      </c>
      <c r="X80" s="700"/>
      <c r="Y80" s="519"/>
      <c r="Z80" s="699" t="s">
        <v>166</v>
      </c>
      <c r="AA80" s="700"/>
      <c r="AB80" s="519"/>
      <c r="AC80" s="699" t="s">
        <v>167</v>
      </c>
      <c r="AD80" s="700"/>
      <c r="AE80" s="513"/>
      <c r="AF80" s="699" t="s">
        <v>168</v>
      </c>
      <c r="AG80" s="700"/>
      <c r="AH80" s="519"/>
      <c r="AI80" s="699" t="s">
        <v>169</v>
      </c>
      <c r="AJ80" s="700"/>
      <c r="AK80" s="519"/>
      <c r="AL80" s="699" t="s">
        <v>170</v>
      </c>
      <c r="AM80" s="700"/>
      <c r="AN80" s="519"/>
      <c r="AO80" s="699" t="s">
        <v>171</v>
      </c>
      <c r="AP80" s="700"/>
      <c r="AQ80" s="516"/>
      <c r="AR80" s="516"/>
      <c r="AT80" s="7"/>
    </row>
    <row r="81" spans="1:53" x14ac:dyDescent="0.35">
      <c r="A81" s="5"/>
      <c r="B81" s="522" t="s">
        <v>359</v>
      </c>
      <c r="C81" s="521"/>
      <c r="D81" s="522"/>
      <c r="E81" s="521"/>
      <c r="F81" s="523" t="s">
        <v>359</v>
      </c>
      <c r="G81" s="522"/>
      <c r="H81" s="521"/>
      <c r="I81" s="522" t="s">
        <v>359</v>
      </c>
      <c r="J81" s="522"/>
      <c r="K81" s="521"/>
      <c r="L81" s="522" t="s">
        <v>359</v>
      </c>
      <c r="M81" s="522"/>
      <c r="N81" s="521"/>
      <c r="O81" s="522" t="s">
        <v>359</v>
      </c>
      <c r="P81" s="522"/>
      <c r="Q81" s="521"/>
      <c r="R81" s="522" t="s">
        <v>359</v>
      </c>
      <c r="S81" s="522"/>
      <c r="T81" s="521"/>
      <c r="U81" s="522" t="s">
        <v>359</v>
      </c>
      <c r="V81" s="522"/>
      <c r="W81" s="521"/>
      <c r="X81" s="522" t="s">
        <v>359</v>
      </c>
      <c r="Y81" s="522"/>
      <c r="Z81" s="522" t="s">
        <v>359</v>
      </c>
      <c r="AA81" s="521"/>
      <c r="AB81" s="522"/>
      <c r="AC81" s="521"/>
      <c r="AD81" s="522" t="s">
        <v>359</v>
      </c>
      <c r="AE81" s="522"/>
      <c r="AF81" s="521"/>
      <c r="AG81" s="522" t="s">
        <v>359</v>
      </c>
      <c r="AH81" s="522"/>
      <c r="AI81" s="521"/>
      <c r="AJ81" s="522" t="s">
        <v>359</v>
      </c>
      <c r="AK81" s="522"/>
      <c r="AL81" s="521"/>
      <c r="AM81" s="522" t="s">
        <v>359</v>
      </c>
      <c r="AN81" s="522"/>
      <c r="AO81" s="521"/>
      <c r="AP81" s="522" t="s">
        <v>359</v>
      </c>
      <c r="AQ81" s="522"/>
      <c r="AR81" s="522"/>
      <c r="AT81" s="7"/>
    </row>
    <row r="82" spans="1:53" x14ac:dyDescent="0.35">
      <c r="A82" s="733" t="s">
        <v>405</v>
      </c>
      <c r="B82" s="724"/>
      <c r="C82" s="724"/>
      <c r="D82" s="724"/>
      <c r="W82" s="711"/>
      <c r="X82" s="711"/>
      <c r="Y82" s="711"/>
      <c r="Z82" s="711"/>
      <c r="AA82" s="711"/>
      <c r="AL82" s="724" t="s">
        <v>406</v>
      </c>
      <c r="AM82" s="724"/>
      <c r="AN82" s="724"/>
      <c r="AO82" s="724"/>
      <c r="AP82" s="724"/>
      <c r="AQ82" s="10"/>
      <c r="AR82" s="10"/>
      <c r="AT82" s="7"/>
    </row>
    <row r="83" spans="1:53" x14ac:dyDescent="0.35">
      <c r="A83" s="5"/>
      <c r="M83"/>
      <c r="Y83" t="s">
        <v>401</v>
      </c>
      <c r="AT83" s="7"/>
    </row>
    <row r="84" spans="1:53" x14ac:dyDescent="0.35">
      <c r="A84" s="5"/>
      <c r="B84" s="711"/>
      <c r="C84" s="711"/>
      <c r="E84" s="697"/>
      <c r="F84" s="697"/>
      <c r="H84" s="697"/>
      <c r="I84" s="697"/>
      <c r="K84" s="697"/>
      <c r="L84" s="697"/>
      <c r="N84" s="697"/>
      <c r="O84" s="697"/>
      <c r="Q84" s="734"/>
      <c r="R84" s="697"/>
      <c r="T84" s="697"/>
      <c r="U84" s="697"/>
      <c r="W84" s="697"/>
      <c r="X84" s="697"/>
      <c r="Z84" s="697"/>
      <c r="AA84" s="697"/>
      <c r="AC84" s="697"/>
      <c r="AD84" s="697"/>
      <c r="AF84" s="697"/>
      <c r="AG84" s="697"/>
      <c r="AI84" s="697"/>
      <c r="AJ84" s="697"/>
      <c r="AL84" s="697"/>
      <c r="AM84" s="697"/>
      <c r="AO84" s="697"/>
      <c r="AP84" s="697"/>
      <c r="AQ84" s="10"/>
      <c r="AR84" s="10"/>
      <c r="AT84" s="7"/>
    </row>
    <row r="85" spans="1:53" x14ac:dyDescent="0.35">
      <c r="A85" s="5"/>
      <c r="B85" s="14"/>
      <c r="C85" s="14"/>
      <c r="D85" s="510"/>
      <c r="E85" s="14"/>
      <c r="F85" s="14"/>
      <c r="G85" s="510"/>
      <c r="H85" s="14"/>
      <c r="I85" s="14"/>
      <c r="J85" s="510"/>
      <c r="K85" s="11"/>
      <c r="L85" s="14"/>
      <c r="M85" s="510"/>
      <c r="N85" s="11"/>
      <c r="O85" s="14"/>
      <c r="P85" s="510"/>
      <c r="Q85" s="11"/>
      <c r="R85" s="14"/>
      <c r="S85" s="510"/>
      <c r="T85" s="11"/>
      <c r="U85" s="14"/>
      <c r="V85" s="526"/>
      <c r="W85" s="11"/>
      <c r="X85" s="14"/>
      <c r="Y85" s="510"/>
      <c r="Z85" s="11"/>
      <c r="AA85" s="14"/>
      <c r="AB85" s="510"/>
      <c r="AC85" s="11"/>
      <c r="AD85" s="12"/>
      <c r="AE85" s="510"/>
      <c r="AF85" s="11"/>
      <c r="AG85" s="12"/>
      <c r="AH85" s="510"/>
      <c r="AI85" s="11"/>
      <c r="AJ85" s="12"/>
      <c r="AK85" s="510"/>
      <c r="AL85" s="207"/>
      <c r="AM85" s="207"/>
      <c r="AN85" s="510"/>
      <c r="AO85" s="11"/>
      <c r="AP85" s="12"/>
      <c r="AQ85" s="511"/>
      <c r="AR85" s="511"/>
      <c r="AS85" s="510"/>
      <c r="AT85" s="212"/>
    </row>
    <row r="86" spans="1:53" x14ac:dyDescent="0.35">
      <c r="A86" s="5"/>
      <c r="B86" s="11"/>
      <c r="C86" s="14"/>
      <c r="D86" s="513"/>
      <c r="E86" s="11"/>
      <c r="F86" s="14"/>
      <c r="G86" s="513"/>
      <c r="H86" s="11"/>
      <c r="I86" s="14"/>
      <c r="J86" s="513"/>
      <c r="K86" s="11"/>
      <c r="L86" s="11"/>
      <c r="M86" s="513"/>
      <c r="N86" s="11"/>
      <c r="O86" s="11"/>
      <c r="P86" s="513"/>
      <c r="Q86" s="11"/>
      <c r="R86" s="11"/>
      <c r="S86" s="513"/>
      <c r="T86" s="11"/>
      <c r="U86" s="11"/>
      <c r="V86" s="513"/>
      <c r="W86" s="11"/>
      <c r="X86" s="11"/>
      <c r="Y86" s="513"/>
      <c r="Z86" s="11"/>
      <c r="AA86" s="11"/>
      <c r="AB86" s="513"/>
      <c r="AC86" s="11"/>
      <c r="AD86" s="12"/>
      <c r="AE86" s="513"/>
      <c r="AF86" s="11"/>
      <c r="AG86" s="11"/>
      <c r="AH86" s="513"/>
      <c r="AI86" s="11"/>
      <c r="AJ86" s="11"/>
      <c r="AK86" s="513"/>
      <c r="AL86" s="207"/>
      <c r="AM86" s="207"/>
      <c r="AN86" s="513"/>
      <c r="AO86" s="11"/>
      <c r="AP86" s="11"/>
      <c r="AQ86" s="512"/>
      <c r="AR86" s="512"/>
      <c r="AS86" s="513"/>
      <c r="AT86" s="211"/>
      <c r="AV86" s="2">
        <v>14</v>
      </c>
      <c r="AW86" s="2">
        <v>13</v>
      </c>
      <c r="AX86" s="2">
        <v>13</v>
      </c>
      <c r="AY86" s="2">
        <v>0</v>
      </c>
      <c r="AZ86" s="2"/>
      <c r="BA86" s="405">
        <f>+A87+D87+G87+J87+M87+P87+S87+V87+Y87+AB87+AE87+AH87+AK87+AN87+AQ87</f>
        <v>5119</v>
      </c>
    </row>
    <row r="87" spans="1:53" x14ac:dyDescent="0.35">
      <c r="A87" s="5"/>
      <c r="B87" s="699" t="s">
        <v>156</v>
      </c>
      <c r="C87" s="700"/>
      <c r="D87" s="513">
        <v>446</v>
      </c>
      <c r="E87" s="714" t="s">
        <v>35</v>
      </c>
      <c r="F87" s="712"/>
      <c r="G87" s="513">
        <v>394</v>
      </c>
      <c r="H87" s="714" t="s">
        <v>35</v>
      </c>
      <c r="I87" s="712"/>
      <c r="J87" s="513">
        <v>391</v>
      </c>
      <c r="K87" s="714" t="s">
        <v>31</v>
      </c>
      <c r="L87" s="712"/>
      <c r="M87" s="513">
        <v>409</v>
      </c>
      <c r="N87" s="714" t="s">
        <v>35</v>
      </c>
      <c r="O87" s="712"/>
      <c r="P87" s="513">
        <v>379</v>
      </c>
      <c r="Q87" s="714" t="s">
        <v>31</v>
      </c>
      <c r="R87" s="712"/>
      <c r="S87" s="513">
        <v>364</v>
      </c>
      <c r="T87" s="714" t="s">
        <v>14</v>
      </c>
      <c r="U87" s="712"/>
      <c r="V87" s="513">
        <v>447</v>
      </c>
      <c r="W87" s="714" t="s">
        <v>118</v>
      </c>
      <c r="X87" s="712"/>
      <c r="Y87" s="513">
        <v>257</v>
      </c>
      <c r="Z87" s="712" t="s">
        <v>182</v>
      </c>
      <c r="AA87" s="712"/>
      <c r="AB87" s="513">
        <v>232</v>
      </c>
      <c r="AC87" s="714" t="s">
        <v>33</v>
      </c>
      <c r="AD87" s="712"/>
      <c r="AE87" s="513">
        <v>365</v>
      </c>
      <c r="AF87" s="714" t="s">
        <v>23</v>
      </c>
      <c r="AG87" s="712"/>
      <c r="AH87" s="513">
        <v>379</v>
      </c>
      <c r="AI87" s="714" t="s">
        <v>16</v>
      </c>
      <c r="AJ87" s="712"/>
      <c r="AK87" s="513">
        <v>440</v>
      </c>
      <c r="AL87" s="714" t="s">
        <v>113</v>
      </c>
      <c r="AM87" s="712"/>
      <c r="AN87" s="513">
        <v>221</v>
      </c>
      <c r="AO87" s="714" t="s">
        <v>40</v>
      </c>
      <c r="AP87" s="712"/>
      <c r="AQ87" s="516">
        <v>395</v>
      </c>
      <c r="AR87" s="516"/>
      <c r="AS87" s="513"/>
      <c r="AT87" s="211"/>
    </row>
    <row r="88" spans="1:53" x14ac:dyDescent="0.35">
      <c r="A88" s="5"/>
      <c r="B88" s="699" t="s">
        <v>173</v>
      </c>
      <c r="C88" s="700"/>
      <c r="D88" s="519"/>
      <c r="E88" s="699" t="s">
        <v>174</v>
      </c>
      <c r="F88" s="700"/>
      <c r="G88" s="519"/>
      <c r="H88" s="699" t="s">
        <v>175</v>
      </c>
      <c r="I88" s="700"/>
      <c r="J88" s="519"/>
      <c r="K88" s="699" t="s">
        <v>176</v>
      </c>
      <c r="L88" s="700"/>
      <c r="M88" s="513"/>
      <c r="N88" s="699" t="s">
        <v>177</v>
      </c>
      <c r="O88" s="700"/>
      <c r="P88" s="519"/>
      <c r="Q88" s="699" t="s">
        <v>178</v>
      </c>
      <c r="R88" s="700"/>
      <c r="S88" s="519"/>
      <c r="T88" s="699" t="s">
        <v>179</v>
      </c>
      <c r="U88" s="700"/>
      <c r="V88" s="519"/>
      <c r="W88" s="699" t="s">
        <v>180</v>
      </c>
      <c r="X88" s="700"/>
      <c r="Y88" s="519"/>
      <c r="Z88" s="699" t="s">
        <v>181</v>
      </c>
      <c r="AA88" s="700"/>
      <c r="AB88" s="519"/>
      <c r="AC88" s="699" t="s">
        <v>183</v>
      </c>
      <c r="AD88" s="700"/>
      <c r="AE88" s="519"/>
      <c r="AF88" s="699" t="s">
        <v>184</v>
      </c>
      <c r="AG88" s="700"/>
      <c r="AH88" s="519"/>
      <c r="AI88" s="699" t="s">
        <v>185</v>
      </c>
      <c r="AJ88" s="700"/>
      <c r="AK88" s="519"/>
      <c r="AL88" s="699" t="s">
        <v>186</v>
      </c>
      <c r="AM88" s="700"/>
      <c r="AN88" s="519"/>
      <c r="AO88" s="699" t="s">
        <v>187</v>
      </c>
      <c r="AP88" s="700"/>
      <c r="AQ88" s="516"/>
      <c r="AR88" s="516"/>
      <c r="AT88" s="7"/>
    </row>
    <row r="89" spans="1:53" x14ac:dyDescent="0.35">
      <c r="A89" s="5"/>
      <c r="B89" s="522" t="s">
        <v>359</v>
      </c>
      <c r="C89" s="521"/>
      <c r="D89" s="522"/>
      <c r="E89" s="522" t="s">
        <v>359</v>
      </c>
      <c r="F89" s="523"/>
      <c r="G89" s="522"/>
      <c r="H89" s="521"/>
      <c r="I89" s="522" t="s">
        <v>359</v>
      </c>
      <c r="J89" s="522"/>
      <c r="K89" s="521"/>
      <c r="L89" s="522" t="s">
        <v>359</v>
      </c>
      <c r="M89" s="522"/>
      <c r="N89" s="521"/>
      <c r="O89" s="522" t="s">
        <v>359</v>
      </c>
      <c r="P89" s="522"/>
      <c r="Q89" s="521"/>
      <c r="R89" s="522" t="s">
        <v>359</v>
      </c>
      <c r="S89" s="522"/>
      <c r="T89" s="521"/>
      <c r="U89" s="522" t="s">
        <v>359</v>
      </c>
      <c r="V89" s="522"/>
      <c r="W89" s="521"/>
      <c r="X89" s="522" t="s">
        <v>359</v>
      </c>
      <c r="Y89" s="522"/>
      <c r="Z89" s="521"/>
      <c r="AA89" s="522" t="s">
        <v>359</v>
      </c>
      <c r="AB89" s="522"/>
      <c r="AC89" s="521"/>
      <c r="AD89" s="522" t="s">
        <v>359</v>
      </c>
      <c r="AE89" s="522"/>
      <c r="AF89" s="521"/>
      <c r="AG89" s="522" t="s">
        <v>359</v>
      </c>
      <c r="AH89" s="522"/>
      <c r="AI89" s="521"/>
      <c r="AJ89" s="522" t="s">
        <v>359</v>
      </c>
      <c r="AK89" s="522"/>
      <c r="AL89" s="521"/>
      <c r="AM89" s="522" t="s">
        <v>359</v>
      </c>
      <c r="AN89" s="522"/>
      <c r="AO89" s="521"/>
      <c r="AP89" s="522" t="s">
        <v>359</v>
      </c>
      <c r="AQ89" s="522"/>
      <c r="AR89" s="522"/>
      <c r="AT89" s="7"/>
    </row>
    <row r="90" spans="1:53" x14ac:dyDescent="0.35">
      <c r="A90" s="5"/>
      <c r="Z90" s="724"/>
      <c r="AA90" s="724"/>
      <c r="AB90" s="724"/>
      <c r="AC90" s="724"/>
      <c r="AD90" s="724"/>
      <c r="AT90" s="7"/>
    </row>
    <row r="91" spans="1:53" x14ac:dyDescent="0.35">
      <c r="A91" s="5"/>
      <c r="AB91" s="6" t="s">
        <v>402</v>
      </c>
      <c r="AT91" s="7"/>
    </row>
    <row r="92" spans="1:53" x14ac:dyDescent="0.35">
      <c r="A92" s="5"/>
      <c r="B92" s="697"/>
      <c r="C92" s="697"/>
      <c r="E92" s="697"/>
      <c r="F92" s="697"/>
      <c r="H92" s="697"/>
      <c r="I92" s="697"/>
      <c r="K92" s="697"/>
      <c r="L92" s="697"/>
      <c r="N92" s="697"/>
      <c r="O92" s="697"/>
      <c r="Q92" s="697"/>
      <c r="R92" s="697"/>
      <c r="T92" s="697"/>
      <c r="U92" s="697"/>
      <c r="W92" s="697"/>
      <c r="X92" s="697"/>
      <c r="Z92" s="697"/>
      <c r="AA92" s="697"/>
      <c r="AC92" s="697"/>
      <c r="AD92" s="697"/>
      <c r="AF92" s="697"/>
      <c r="AG92" s="697"/>
      <c r="AI92" s="697"/>
      <c r="AJ92" s="697"/>
      <c r="AL92" s="697"/>
      <c r="AM92" s="697"/>
      <c r="AN92" s="510"/>
      <c r="AO92" s="697"/>
      <c r="AP92" s="697"/>
      <c r="AQ92" s="10"/>
      <c r="AR92" s="10"/>
      <c r="AT92" s="7"/>
    </row>
    <row r="93" spans="1:53" x14ac:dyDescent="0.35">
      <c r="A93" s="5"/>
      <c r="B93" s="12"/>
      <c r="C93" s="12"/>
      <c r="D93" s="510"/>
      <c r="E93" s="11"/>
      <c r="F93" s="12"/>
      <c r="G93" s="510"/>
      <c r="H93" s="11"/>
      <c r="I93" s="12"/>
      <c r="J93" s="510"/>
      <c r="K93" s="11"/>
      <c r="L93" s="12"/>
      <c r="M93" s="510"/>
      <c r="N93" s="11"/>
      <c r="O93" s="12"/>
      <c r="P93" s="510"/>
      <c r="Q93" s="11"/>
      <c r="R93" s="12"/>
      <c r="S93" s="510"/>
      <c r="T93" s="11"/>
      <c r="U93" s="12"/>
      <c r="V93" s="510"/>
      <c r="W93" s="11"/>
      <c r="X93" s="12"/>
      <c r="Y93" s="510"/>
      <c r="Z93" s="11"/>
      <c r="AA93" s="12"/>
      <c r="AB93" s="510"/>
      <c r="AC93" s="11"/>
      <c r="AD93" s="12"/>
      <c r="AE93" s="510"/>
      <c r="AF93" s="11"/>
      <c r="AG93" s="12"/>
      <c r="AH93" s="510"/>
      <c r="AI93" s="11"/>
      <c r="AJ93" s="12"/>
      <c r="AK93" s="510"/>
      <c r="AL93" s="11"/>
      <c r="AM93" s="12"/>
      <c r="AO93" s="11"/>
      <c r="AP93" s="12"/>
      <c r="AQ93" s="511"/>
      <c r="AR93" s="511"/>
      <c r="AS93" s="510"/>
      <c r="AT93" s="212"/>
    </row>
    <row r="94" spans="1:53" x14ac:dyDescent="0.35">
      <c r="A94" s="5"/>
      <c r="B94" s="15"/>
      <c r="C94" s="15"/>
      <c r="D94" s="513"/>
      <c r="E94" s="15"/>
      <c r="F94" s="15"/>
      <c r="G94" s="519"/>
      <c r="H94" s="15"/>
      <c r="I94" s="15"/>
      <c r="J94" s="513"/>
      <c r="K94" s="15"/>
      <c r="L94" s="15"/>
      <c r="M94" s="513"/>
      <c r="N94" s="15"/>
      <c r="O94" s="15"/>
      <c r="P94" s="513"/>
      <c r="Q94" s="15"/>
      <c r="R94" s="15"/>
      <c r="S94" s="519"/>
      <c r="T94" s="15"/>
      <c r="U94" s="15"/>
      <c r="V94" s="513"/>
      <c r="W94" s="15"/>
      <c r="X94" s="15"/>
      <c r="Y94" s="513"/>
      <c r="Z94" s="15"/>
      <c r="AA94" s="15"/>
      <c r="AB94" s="513"/>
      <c r="AC94" s="15"/>
      <c r="AD94" s="15"/>
      <c r="AE94" s="513"/>
      <c r="AF94" s="15"/>
      <c r="AG94" s="12"/>
      <c r="AH94" s="513"/>
      <c r="AI94" s="15"/>
      <c r="AJ94" s="12"/>
      <c r="AK94" s="513"/>
      <c r="AL94" s="15"/>
      <c r="AM94" s="12"/>
      <c r="AN94" s="513"/>
      <c r="AO94" s="15"/>
      <c r="AP94" s="12"/>
      <c r="AQ94" s="511"/>
      <c r="AR94" s="511"/>
      <c r="AS94" s="513"/>
      <c r="AT94" s="211"/>
      <c r="AV94" s="2">
        <v>14</v>
      </c>
      <c r="AW94" s="2">
        <v>12</v>
      </c>
      <c r="AX94" s="2">
        <v>14</v>
      </c>
      <c r="AY94" s="2">
        <v>0</v>
      </c>
      <c r="AZ94" s="2"/>
      <c r="BA94" s="405">
        <f>+A95+D95+G95+J95+M95+P95+S95+V95+Y95+AB95+AE95+AH95+AK95+AN95+AQ95</f>
        <v>5433</v>
      </c>
    </row>
    <row r="95" spans="1:53" x14ac:dyDescent="0.35">
      <c r="A95" s="5"/>
      <c r="B95" s="714" t="s">
        <v>31</v>
      </c>
      <c r="C95" s="712"/>
      <c r="D95" s="513">
        <v>356</v>
      </c>
      <c r="E95" s="714" t="s">
        <v>31</v>
      </c>
      <c r="F95" s="712"/>
      <c r="G95" s="519">
        <v>404</v>
      </c>
      <c r="H95" s="714" t="s">
        <v>31</v>
      </c>
      <c r="I95" s="712"/>
      <c r="J95" s="513">
        <v>380</v>
      </c>
      <c r="K95" s="714" t="s">
        <v>33</v>
      </c>
      <c r="L95" s="712"/>
      <c r="M95" s="513">
        <v>460</v>
      </c>
      <c r="N95" s="714" t="s">
        <v>16</v>
      </c>
      <c r="O95" s="712"/>
      <c r="P95" s="513">
        <v>380</v>
      </c>
      <c r="Q95" s="714" t="s">
        <v>14</v>
      </c>
      <c r="R95" s="712"/>
      <c r="S95" s="519">
        <v>413</v>
      </c>
      <c r="T95" s="714" t="s">
        <v>33</v>
      </c>
      <c r="U95" s="712"/>
      <c r="V95" s="513">
        <v>413</v>
      </c>
      <c r="W95" s="714" t="s">
        <v>31</v>
      </c>
      <c r="X95" s="712"/>
      <c r="Y95" s="513">
        <v>427</v>
      </c>
      <c r="Z95" s="712" t="s">
        <v>197</v>
      </c>
      <c r="AA95" s="712"/>
      <c r="AB95" s="513">
        <v>220</v>
      </c>
      <c r="AC95" s="714" t="s">
        <v>118</v>
      </c>
      <c r="AD95" s="712"/>
      <c r="AE95" s="513">
        <v>430</v>
      </c>
      <c r="AF95" s="714" t="s">
        <v>23</v>
      </c>
      <c r="AG95" s="712"/>
      <c r="AH95" s="513">
        <v>344</v>
      </c>
      <c r="AI95" s="714" t="s">
        <v>31</v>
      </c>
      <c r="AJ95" s="712"/>
      <c r="AK95" s="513">
        <v>373</v>
      </c>
      <c r="AL95" s="714" t="s">
        <v>23</v>
      </c>
      <c r="AM95" s="712"/>
      <c r="AN95" s="513">
        <v>389</v>
      </c>
      <c r="AO95" s="714" t="s">
        <v>33</v>
      </c>
      <c r="AP95" s="712"/>
      <c r="AQ95" s="516">
        <v>444</v>
      </c>
      <c r="AR95" s="516"/>
      <c r="AS95" s="513"/>
      <c r="AT95" s="211"/>
    </row>
    <row r="96" spans="1:53" x14ac:dyDescent="0.35">
      <c r="A96" s="5"/>
      <c r="B96" s="699" t="s">
        <v>188</v>
      </c>
      <c r="C96" s="700"/>
      <c r="D96" s="519"/>
      <c r="E96" s="699" t="s">
        <v>189</v>
      </c>
      <c r="F96" s="700"/>
      <c r="G96" s="519"/>
      <c r="H96" s="699" t="s">
        <v>190</v>
      </c>
      <c r="I96" s="700"/>
      <c r="J96" s="519"/>
      <c r="K96" s="699" t="s">
        <v>191</v>
      </c>
      <c r="L96" s="700"/>
      <c r="M96" s="519"/>
      <c r="N96" s="699" t="s">
        <v>192</v>
      </c>
      <c r="O96" s="700"/>
      <c r="P96" s="519"/>
      <c r="Q96" s="699" t="s">
        <v>193</v>
      </c>
      <c r="R96" s="700"/>
      <c r="S96" s="519"/>
      <c r="T96" s="699" t="s">
        <v>194</v>
      </c>
      <c r="U96" s="700"/>
      <c r="V96" s="519"/>
      <c r="W96" s="699" t="s">
        <v>195</v>
      </c>
      <c r="X96" s="700"/>
      <c r="Y96" s="519"/>
      <c r="Z96" s="699" t="s">
        <v>196</v>
      </c>
      <c r="AA96" s="700"/>
      <c r="AB96" s="519"/>
      <c r="AC96" s="699" t="s">
        <v>198</v>
      </c>
      <c r="AD96" s="700"/>
      <c r="AE96" s="519"/>
      <c r="AF96" s="699" t="s">
        <v>199</v>
      </c>
      <c r="AG96" s="700"/>
      <c r="AH96" s="519"/>
      <c r="AI96" s="699" t="s">
        <v>200</v>
      </c>
      <c r="AJ96" s="700"/>
      <c r="AK96" s="519"/>
      <c r="AL96" s="699" t="s">
        <v>201</v>
      </c>
      <c r="AM96" s="700"/>
      <c r="AN96" s="519"/>
      <c r="AO96" s="699" t="s">
        <v>202</v>
      </c>
      <c r="AP96" s="700"/>
      <c r="AQ96" s="516"/>
      <c r="AR96" s="516"/>
      <c r="AS96" s="519"/>
      <c r="AT96" s="213"/>
    </row>
    <row r="97" spans="1:53" x14ac:dyDescent="0.35">
      <c r="A97" s="5"/>
      <c r="B97" s="522" t="s">
        <v>359</v>
      </c>
      <c r="C97" s="521"/>
      <c r="D97" s="522"/>
      <c r="E97" s="521"/>
      <c r="F97" s="522" t="s">
        <v>359</v>
      </c>
      <c r="G97" s="522"/>
      <c r="H97" s="521"/>
      <c r="I97" s="522" t="s">
        <v>359</v>
      </c>
      <c r="J97" s="522"/>
      <c r="K97" s="521"/>
      <c r="L97" s="522" t="s">
        <v>359</v>
      </c>
      <c r="M97" s="522"/>
      <c r="N97" s="521"/>
      <c r="O97" s="522" t="s">
        <v>359</v>
      </c>
      <c r="P97" s="522"/>
      <c r="Q97" s="521"/>
      <c r="R97" s="522" t="s">
        <v>359</v>
      </c>
      <c r="S97" s="522"/>
      <c r="T97" s="521"/>
      <c r="U97" s="522" t="s">
        <v>359</v>
      </c>
      <c r="V97" s="522"/>
      <c r="W97" s="521"/>
      <c r="X97" s="522" t="s">
        <v>359</v>
      </c>
      <c r="Y97" s="522"/>
      <c r="Z97" s="521"/>
      <c r="AA97" s="522" t="s">
        <v>359</v>
      </c>
      <c r="AB97" s="522"/>
      <c r="AC97" s="521"/>
      <c r="AD97" s="522" t="s">
        <v>359</v>
      </c>
      <c r="AE97" s="522"/>
      <c r="AF97" s="521"/>
      <c r="AG97" s="522" t="s">
        <v>359</v>
      </c>
      <c r="AH97" s="522"/>
      <c r="AI97" s="521"/>
      <c r="AJ97" s="522" t="s">
        <v>359</v>
      </c>
      <c r="AK97" s="522"/>
      <c r="AL97" s="521"/>
      <c r="AM97" s="522" t="s">
        <v>359</v>
      </c>
      <c r="AN97" s="522"/>
      <c r="AO97" s="521"/>
      <c r="AP97" s="522" t="s">
        <v>359</v>
      </c>
      <c r="AQ97" s="522"/>
      <c r="AR97" s="522"/>
      <c r="AS97" s="519"/>
      <c r="AT97" s="213"/>
    </row>
    <row r="98" spans="1:53" x14ac:dyDescent="0.35">
      <c r="A98" s="5"/>
      <c r="B98" s="529"/>
      <c r="C98" s="529"/>
      <c r="D98" s="519"/>
      <c r="E98" s="529"/>
      <c r="F98" s="529"/>
      <c r="G98" s="519"/>
      <c r="H98" s="529"/>
      <c r="I98" s="529"/>
      <c r="J98" s="519"/>
      <c r="K98" s="529"/>
      <c r="L98" s="529"/>
      <c r="M98" s="519"/>
      <c r="N98" s="529"/>
      <c r="O98" s="529"/>
      <c r="P98" s="519"/>
      <c r="Q98" s="529"/>
      <c r="R98" s="529"/>
      <c r="S98" s="519"/>
      <c r="T98" s="529"/>
      <c r="U98" s="529"/>
      <c r="V98" s="519"/>
      <c r="W98" s="529"/>
      <c r="X98" s="529"/>
      <c r="Y98" s="519"/>
      <c r="Z98" s="529"/>
      <c r="AA98" s="529"/>
      <c r="AB98" s="519"/>
      <c r="AC98" s="529"/>
      <c r="AD98" s="529"/>
      <c r="AE98" s="519"/>
      <c r="AF98" s="700"/>
      <c r="AG98" s="700"/>
      <c r="AH98" s="700"/>
      <c r="AI98" s="529"/>
      <c r="AJ98" s="529"/>
      <c r="AK98" s="519"/>
      <c r="AL98" s="529"/>
      <c r="AM98" s="529"/>
      <c r="AN98" s="519"/>
      <c r="AO98" s="529"/>
      <c r="AP98" s="529"/>
      <c r="AQ98" s="529"/>
      <c r="AR98" s="529"/>
      <c r="AS98" s="519"/>
      <c r="AT98" s="213"/>
    </row>
    <row r="99" spans="1:53" x14ac:dyDescent="0.35">
      <c r="A99" s="5"/>
      <c r="B99" s="529"/>
      <c r="C99" s="529"/>
      <c r="D99" s="519"/>
      <c r="E99" s="529"/>
      <c r="F99" s="529"/>
      <c r="G99" s="519"/>
      <c r="H99" s="529"/>
      <c r="I99" s="529"/>
      <c r="J99" s="519"/>
      <c r="K99" s="529"/>
      <c r="L99" s="529"/>
      <c r="M99" s="519"/>
      <c r="N99" s="529"/>
      <c r="O99" s="529"/>
      <c r="P99" s="519"/>
      <c r="Q99" s="529"/>
      <c r="R99" s="529"/>
      <c r="S99" s="519"/>
      <c r="T99" s="529"/>
      <c r="U99" s="529"/>
      <c r="V99" s="519"/>
      <c r="W99" s="529"/>
      <c r="X99" s="529"/>
      <c r="Y99" s="519"/>
      <c r="Z99" s="529"/>
      <c r="AA99" s="529"/>
      <c r="AB99" s="519"/>
      <c r="AC99" s="529"/>
      <c r="AD99" s="529"/>
      <c r="AE99" s="519"/>
      <c r="AF99" s="529"/>
      <c r="AG99" s="529"/>
      <c r="AH99" s="519"/>
      <c r="AI99" s="529"/>
      <c r="AJ99" s="529"/>
      <c r="AK99" s="519"/>
      <c r="AL99" s="529"/>
      <c r="AM99" s="529"/>
      <c r="AN99" s="519"/>
      <c r="AO99" s="529"/>
      <c r="AP99" s="529"/>
      <c r="AQ99" s="529"/>
      <c r="AR99" s="529"/>
      <c r="AS99" s="519"/>
      <c r="AT99" s="213"/>
    </row>
    <row r="100" spans="1:53" x14ac:dyDescent="0.35">
      <c r="A100" s="5"/>
      <c r="B100" s="735"/>
      <c r="C100" s="735"/>
      <c r="D100" s="519"/>
      <c r="E100" s="735"/>
      <c r="F100" s="735"/>
      <c r="G100" s="519"/>
      <c r="H100" s="735"/>
      <c r="I100" s="735"/>
      <c r="J100" s="519"/>
      <c r="K100" s="735"/>
      <c r="L100" s="735"/>
      <c r="M100" s="519"/>
      <c r="N100" s="735"/>
      <c r="O100" s="735"/>
      <c r="P100" s="519"/>
      <c r="Q100" s="735"/>
      <c r="R100" s="735"/>
      <c r="S100" s="519"/>
      <c r="T100" s="735"/>
      <c r="U100" s="735"/>
      <c r="V100" s="519"/>
      <c r="W100" s="735"/>
      <c r="X100" s="735"/>
      <c r="Y100" s="519"/>
      <c r="Z100" s="735"/>
      <c r="AA100" s="735"/>
      <c r="AB100" s="519"/>
      <c r="AC100" s="735"/>
      <c r="AD100" s="735"/>
      <c r="AE100" s="519"/>
      <c r="AF100" s="735"/>
      <c r="AG100" s="735"/>
      <c r="AH100" s="519"/>
      <c r="AI100" s="735"/>
      <c r="AJ100" s="735"/>
      <c r="AK100" s="519"/>
      <c r="AL100" s="735"/>
      <c r="AM100" s="735"/>
      <c r="AN100" s="519"/>
      <c r="AO100" s="735"/>
      <c r="AP100" s="735"/>
      <c r="AQ100" s="516"/>
      <c r="AR100" s="516"/>
      <c r="AS100" s="519"/>
      <c r="AT100" s="213"/>
    </row>
    <row r="101" spans="1:53" x14ac:dyDescent="0.35">
      <c r="A101" s="5"/>
      <c r="B101" s="736" t="s">
        <v>397</v>
      </c>
      <c r="C101" s="737"/>
      <c r="D101" s="513"/>
      <c r="E101" s="11"/>
      <c r="F101" s="12"/>
      <c r="G101" s="513"/>
      <c r="H101" s="11"/>
      <c r="I101" s="12"/>
      <c r="J101" s="513"/>
      <c r="K101" s="11"/>
      <c r="L101" s="12"/>
      <c r="M101" s="513"/>
      <c r="N101" s="11"/>
      <c r="O101" s="12"/>
      <c r="P101" s="513"/>
      <c r="Q101" s="11"/>
      <c r="R101" s="12"/>
      <c r="S101" s="513"/>
      <c r="T101" s="15"/>
      <c r="U101" s="17"/>
      <c r="V101" s="513"/>
      <c r="W101" s="15"/>
      <c r="X101" s="17"/>
      <c r="Y101" s="513"/>
      <c r="Z101" s="15"/>
      <c r="AA101" s="17"/>
      <c r="AB101" s="513"/>
      <c r="AC101" s="15"/>
      <c r="AD101" s="17"/>
      <c r="AE101" s="513"/>
      <c r="AF101" s="15"/>
      <c r="AG101" s="16"/>
      <c r="AH101" s="513"/>
      <c r="AI101" s="15"/>
      <c r="AJ101" s="16"/>
      <c r="AK101" s="513"/>
      <c r="AL101" s="11"/>
      <c r="AM101" s="12"/>
      <c r="AN101" s="513"/>
      <c r="AO101" s="207"/>
      <c r="AP101" s="207"/>
      <c r="AQ101" s="208"/>
      <c r="AR101" s="208"/>
      <c r="AS101" s="513"/>
      <c r="AT101" s="211"/>
    </row>
    <row r="102" spans="1:53" x14ac:dyDescent="0.35">
      <c r="A102" s="5"/>
      <c r="B102" s="738"/>
      <c r="C102" s="739"/>
      <c r="D102" s="513"/>
      <c r="E102" s="15"/>
      <c r="F102" s="15"/>
      <c r="G102" s="513"/>
      <c r="H102" s="15"/>
      <c r="I102" s="15"/>
      <c r="J102" s="513"/>
      <c r="K102" s="15"/>
      <c r="L102" s="15"/>
      <c r="M102" s="519"/>
      <c r="N102" s="15"/>
      <c r="O102" s="15"/>
      <c r="P102" s="519"/>
      <c r="Q102" s="15"/>
      <c r="R102" s="15"/>
      <c r="S102" s="519"/>
      <c r="T102" s="15"/>
      <c r="U102" s="15"/>
      <c r="V102" s="519"/>
      <c r="W102" s="15"/>
      <c r="X102" s="15"/>
      <c r="Y102" s="519"/>
      <c r="Z102" s="15"/>
      <c r="AA102" s="15"/>
      <c r="AB102" s="513"/>
      <c r="AC102" s="15"/>
      <c r="AD102" s="15"/>
      <c r="AE102" s="519"/>
      <c r="AF102" s="15"/>
      <c r="AG102" s="15"/>
      <c r="AH102" s="513"/>
      <c r="AI102" s="15"/>
      <c r="AJ102" s="15"/>
      <c r="AK102" s="513"/>
      <c r="AL102" s="15"/>
      <c r="AM102" s="15"/>
      <c r="AN102" s="513"/>
      <c r="AO102" s="11"/>
      <c r="AP102" s="11"/>
      <c r="AQ102" s="208"/>
      <c r="AR102" s="208"/>
      <c r="AS102" s="513"/>
      <c r="AT102" s="211"/>
      <c r="AV102" s="2">
        <v>13</v>
      </c>
      <c r="AW102" s="2">
        <v>13</v>
      </c>
      <c r="AX102" s="2">
        <v>9</v>
      </c>
      <c r="AY102" s="2">
        <v>0</v>
      </c>
      <c r="AZ102" s="2"/>
      <c r="BA102" s="405">
        <f>+A103+D103+G103+J103+M103+P103+S103+V103+Y103+AB103+AE103+AH103+AK103+AN103+AQ103</f>
        <v>5408</v>
      </c>
    </row>
    <row r="103" spans="1:53" x14ac:dyDescent="0.35">
      <c r="A103" s="5"/>
      <c r="B103" s="714" t="s">
        <v>16</v>
      </c>
      <c r="C103" s="712"/>
      <c r="D103" s="513">
        <v>308</v>
      </c>
      <c r="E103" s="714" t="s">
        <v>23</v>
      </c>
      <c r="F103" s="712"/>
      <c r="G103" s="513">
        <v>345</v>
      </c>
      <c r="H103" s="714" t="s">
        <v>31</v>
      </c>
      <c r="I103" s="712"/>
      <c r="J103" s="513">
        <v>425</v>
      </c>
      <c r="K103" s="714" t="s">
        <v>16</v>
      </c>
      <c r="L103" s="712"/>
      <c r="M103" s="513">
        <v>412</v>
      </c>
      <c r="N103" s="729" t="s">
        <v>18</v>
      </c>
      <c r="O103" s="729"/>
      <c r="P103" s="513">
        <v>399</v>
      </c>
      <c r="Q103" s="714" t="s">
        <v>33</v>
      </c>
      <c r="R103" s="712"/>
      <c r="S103" s="513">
        <v>420</v>
      </c>
      <c r="T103" s="714" t="s">
        <v>31</v>
      </c>
      <c r="U103" s="712"/>
      <c r="V103" s="513">
        <v>367</v>
      </c>
      <c r="W103" s="714" t="s">
        <v>31</v>
      </c>
      <c r="X103" s="712"/>
      <c r="Y103" s="519">
        <v>354</v>
      </c>
      <c r="Z103" s="714" t="s">
        <v>31</v>
      </c>
      <c r="AA103" s="712"/>
      <c r="AB103" s="519">
        <v>399</v>
      </c>
      <c r="AC103" s="714" t="s">
        <v>31</v>
      </c>
      <c r="AD103" s="712"/>
      <c r="AE103" s="513">
        <v>375</v>
      </c>
      <c r="AF103" s="714" t="s">
        <v>40</v>
      </c>
      <c r="AG103" s="712"/>
      <c r="AH103" s="519">
        <v>380</v>
      </c>
      <c r="AI103" s="714" t="s">
        <v>31</v>
      </c>
      <c r="AJ103" s="712"/>
      <c r="AK103" s="519">
        <v>405</v>
      </c>
      <c r="AL103" s="714" t="s">
        <v>33</v>
      </c>
      <c r="AM103" s="712"/>
      <c r="AN103" s="519">
        <v>420</v>
      </c>
      <c r="AO103" s="714" t="s">
        <v>33</v>
      </c>
      <c r="AP103" s="712"/>
      <c r="AQ103" s="516">
        <v>399</v>
      </c>
      <c r="AR103" s="516"/>
      <c r="AS103" s="519"/>
      <c r="AT103" s="213"/>
    </row>
    <row r="104" spans="1:53" x14ac:dyDescent="0.35">
      <c r="A104" s="5"/>
      <c r="B104" s="699" t="s">
        <v>203</v>
      </c>
      <c r="C104" s="700"/>
      <c r="D104" s="519"/>
      <c r="E104" s="699" t="s">
        <v>204</v>
      </c>
      <c r="F104" s="700"/>
      <c r="G104" s="519"/>
      <c r="H104" s="699" t="s">
        <v>205</v>
      </c>
      <c r="I104" s="700"/>
      <c r="J104" s="519"/>
      <c r="K104" s="699" t="s">
        <v>206</v>
      </c>
      <c r="L104" s="700"/>
      <c r="M104" s="519"/>
      <c r="N104" s="703" t="s">
        <v>207</v>
      </c>
      <c r="O104" s="704"/>
      <c r="P104" s="519"/>
      <c r="Q104" s="703" t="s">
        <v>208</v>
      </c>
      <c r="R104" s="704"/>
      <c r="S104" s="519"/>
      <c r="T104" s="703" t="s">
        <v>209</v>
      </c>
      <c r="U104" s="704"/>
      <c r="V104" s="519"/>
      <c r="W104" s="703" t="s">
        <v>210</v>
      </c>
      <c r="X104" s="704"/>
      <c r="Y104" s="519"/>
      <c r="Z104" s="703" t="s">
        <v>211</v>
      </c>
      <c r="AA104" s="704"/>
      <c r="AB104" s="519"/>
      <c r="AC104" s="703" t="s">
        <v>212</v>
      </c>
      <c r="AD104" s="704"/>
      <c r="AE104" s="519"/>
      <c r="AF104" s="703" t="s">
        <v>213</v>
      </c>
      <c r="AG104" s="704"/>
      <c r="AH104" s="519"/>
      <c r="AI104" s="703" t="s">
        <v>214</v>
      </c>
      <c r="AJ104" s="704"/>
      <c r="AK104" s="519"/>
      <c r="AL104" s="703" t="s">
        <v>215</v>
      </c>
      <c r="AM104" s="704"/>
      <c r="AN104" s="519"/>
      <c r="AO104" s="703" t="s">
        <v>216</v>
      </c>
      <c r="AP104" s="704"/>
      <c r="AQ104" s="520"/>
      <c r="AR104" s="520"/>
      <c r="AS104" s="519"/>
      <c r="AT104" s="213"/>
    </row>
    <row r="105" spans="1:53" x14ac:dyDescent="0.35">
      <c r="A105" s="5"/>
      <c r="B105" s="522" t="s">
        <v>359</v>
      </c>
      <c r="C105" s="521"/>
      <c r="D105" s="522"/>
      <c r="E105" s="522" t="s">
        <v>359</v>
      </c>
      <c r="F105" s="532"/>
      <c r="G105" s="533"/>
      <c r="H105" s="522" t="s">
        <v>359</v>
      </c>
      <c r="I105" s="532"/>
      <c r="J105" s="533"/>
      <c r="K105" s="522" t="s">
        <v>359</v>
      </c>
      <c r="L105" s="536"/>
      <c r="M105" s="533"/>
      <c r="N105" s="522" t="s">
        <v>359</v>
      </c>
      <c r="O105" s="536"/>
      <c r="P105" s="537"/>
      <c r="Q105" s="538"/>
      <c r="R105" s="538" t="s">
        <v>395</v>
      </c>
      <c r="S105" s="537"/>
      <c r="T105" s="538"/>
      <c r="U105" s="538" t="s">
        <v>395</v>
      </c>
      <c r="V105" s="537"/>
      <c r="W105" s="538"/>
      <c r="X105" s="538" t="s">
        <v>395</v>
      </c>
      <c r="Y105" s="537"/>
      <c r="Z105" s="538"/>
      <c r="AA105" s="538" t="s">
        <v>395</v>
      </c>
      <c r="AB105" s="537"/>
      <c r="AC105" s="538"/>
      <c r="AD105" s="538" t="s">
        <v>395</v>
      </c>
      <c r="AE105" s="537"/>
      <c r="AF105" s="538"/>
      <c r="AG105" s="538" t="s">
        <v>395</v>
      </c>
      <c r="AH105" s="537"/>
      <c r="AI105" s="538"/>
      <c r="AJ105" s="538" t="s">
        <v>395</v>
      </c>
      <c r="AK105" s="537"/>
      <c r="AL105" s="538"/>
      <c r="AM105" s="538" t="s">
        <v>395</v>
      </c>
      <c r="AN105" s="537"/>
      <c r="AO105" s="538"/>
      <c r="AP105" s="538" t="s">
        <v>395</v>
      </c>
      <c r="AQ105" s="538"/>
      <c r="AR105" s="538"/>
      <c r="AS105" s="519"/>
      <c r="AT105" s="213"/>
    </row>
    <row r="106" spans="1:53" x14ac:dyDescent="0.35">
      <c r="A106" s="5"/>
      <c r="B106" s="529"/>
      <c r="C106" s="529"/>
      <c r="D106" s="519"/>
      <c r="E106" s="529"/>
      <c r="F106" s="529"/>
      <c r="G106" s="519"/>
      <c r="H106" s="529"/>
      <c r="I106" s="529"/>
      <c r="J106" s="519"/>
      <c r="K106" s="529"/>
      <c r="L106" s="529"/>
      <c r="M106" s="519"/>
      <c r="N106" s="529"/>
      <c r="O106" s="529"/>
      <c r="P106" s="519"/>
      <c r="Q106" s="529"/>
      <c r="R106" s="529"/>
      <c r="S106" s="519"/>
      <c r="T106" s="529"/>
      <c r="U106" s="529"/>
      <c r="V106" s="519"/>
      <c r="W106" s="529"/>
      <c r="X106" s="529"/>
      <c r="Y106" s="519"/>
      <c r="Z106" s="529"/>
      <c r="AA106" s="529"/>
      <c r="AB106" s="519"/>
      <c r="AC106" s="529"/>
      <c r="AD106" s="529"/>
      <c r="AE106" s="519"/>
      <c r="AF106" s="529"/>
      <c r="AG106" s="529"/>
      <c r="AI106" s="529"/>
      <c r="AT106" s="7"/>
    </row>
    <row r="107" spans="1:53" x14ac:dyDescent="0.35">
      <c r="A107" s="5"/>
      <c r="B107" s="529"/>
      <c r="C107" s="529"/>
      <c r="D107" s="519"/>
      <c r="E107" s="529"/>
      <c r="F107" s="529"/>
      <c r="G107" s="519"/>
      <c r="H107" s="529"/>
      <c r="I107" s="529"/>
      <c r="J107" s="519"/>
      <c r="K107" s="529"/>
      <c r="L107" s="529"/>
      <c r="M107" s="519"/>
      <c r="N107" s="529"/>
      <c r="O107" s="529"/>
      <c r="P107" s="519"/>
      <c r="Q107" s="529"/>
      <c r="R107" s="529"/>
      <c r="S107" s="519"/>
      <c r="T107" s="529"/>
      <c r="U107" s="529"/>
      <c r="V107" s="519"/>
      <c r="W107" s="529"/>
      <c r="X107" s="529"/>
      <c r="Y107" s="519"/>
      <c r="Z107" s="529"/>
      <c r="AA107" s="529"/>
      <c r="AC107" s="529"/>
      <c r="AD107" s="529"/>
      <c r="AE107" s="519"/>
      <c r="AF107" s="529"/>
      <c r="AG107" s="529"/>
      <c r="AT107" s="7"/>
    </row>
    <row r="108" spans="1:53" x14ac:dyDescent="0.35">
      <c r="A108" s="5"/>
      <c r="B108" s="700"/>
      <c r="C108" s="700"/>
      <c r="D108" s="519"/>
      <c r="E108" s="735"/>
      <c r="F108" s="735"/>
      <c r="G108" s="519"/>
      <c r="H108" s="735"/>
      <c r="I108" s="735"/>
      <c r="J108" s="519"/>
      <c r="K108" s="735"/>
      <c r="L108" s="735"/>
      <c r="M108" s="519"/>
      <c r="N108" s="735"/>
      <c r="O108" s="735"/>
      <c r="P108" s="519"/>
      <c r="Q108" s="735"/>
      <c r="R108" s="735"/>
      <c r="S108" s="519"/>
      <c r="T108" s="735"/>
      <c r="U108" s="735"/>
      <c r="V108" s="519"/>
      <c r="W108" s="735"/>
      <c r="X108" s="735"/>
      <c r="Y108" s="519"/>
      <c r="Z108" s="700"/>
      <c r="AA108" s="700"/>
      <c r="AB108" s="519"/>
      <c r="AC108" s="700"/>
      <c r="AD108" s="700"/>
      <c r="AE108" s="701"/>
      <c r="AF108" s="701"/>
      <c r="AG108" s="701"/>
      <c r="AH108" s="701"/>
      <c r="AI108" s="711"/>
      <c r="AJ108" s="711"/>
      <c r="AL108" s="711"/>
      <c r="AM108" s="711"/>
      <c r="AO108" s="711"/>
      <c r="AP108" s="711"/>
      <c r="AQ108" s="10"/>
      <c r="AR108" s="10"/>
      <c r="AT108" s="7"/>
    </row>
    <row r="109" spans="1:53" x14ac:dyDescent="0.35">
      <c r="A109" s="5"/>
      <c r="B109" s="207"/>
      <c r="C109" s="207"/>
      <c r="D109" s="513"/>
      <c r="E109" s="207"/>
      <c r="F109" s="207"/>
      <c r="G109" s="513"/>
      <c r="H109" s="11"/>
      <c r="I109" s="12"/>
      <c r="J109" s="513"/>
      <c r="K109" s="11"/>
      <c r="L109" s="12"/>
      <c r="M109" s="513"/>
      <c r="N109" s="11"/>
      <c r="O109" s="12"/>
      <c r="P109" s="513"/>
      <c r="Q109" s="11"/>
      <c r="R109" s="12"/>
      <c r="S109" s="513"/>
      <c r="T109" s="11"/>
      <c r="U109" s="12"/>
      <c r="V109" s="513"/>
      <c r="W109" s="11"/>
      <c r="X109" s="12"/>
      <c r="Y109" s="513"/>
      <c r="Z109" s="11"/>
      <c r="AA109" s="12"/>
      <c r="AB109" s="529"/>
      <c r="AC109" s="207"/>
      <c r="AD109" s="207"/>
      <c r="AE109" s="513"/>
      <c r="AF109" s="11"/>
      <c r="AG109" s="12"/>
      <c r="AH109" s="510"/>
      <c r="AI109" s="11"/>
      <c r="AJ109" s="12"/>
      <c r="AK109" s="510"/>
      <c r="AL109" s="744" t="s">
        <v>396</v>
      </c>
      <c r="AM109" s="745"/>
      <c r="AN109" s="510"/>
      <c r="AO109" s="207"/>
      <c r="AP109" s="207"/>
      <c r="AQ109" s="208"/>
      <c r="AR109" s="208"/>
      <c r="AS109" s="510"/>
      <c r="AT109" s="212"/>
    </row>
    <row r="110" spans="1:53" x14ac:dyDescent="0.35">
      <c r="A110" s="5"/>
      <c r="B110" s="207"/>
      <c r="C110" s="207"/>
      <c r="D110" s="513"/>
      <c r="E110" s="207"/>
      <c r="F110" s="207"/>
      <c r="G110" s="513"/>
      <c r="H110" s="15"/>
      <c r="I110" s="15"/>
      <c r="J110" s="513"/>
      <c r="K110" s="15"/>
      <c r="L110" s="15"/>
      <c r="M110" s="513"/>
      <c r="N110" s="15"/>
      <c r="O110" s="15"/>
      <c r="P110" s="513"/>
      <c r="Q110" s="15"/>
      <c r="R110" s="15"/>
      <c r="S110" s="513"/>
      <c r="T110" s="15"/>
      <c r="U110" s="15"/>
      <c r="V110" s="513"/>
      <c r="W110" s="15"/>
      <c r="X110" s="15"/>
      <c r="Y110" s="519"/>
      <c r="Z110" s="15"/>
      <c r="AA110" s="15"/>
      <c r="AB110" s="534"/>
      <c r="AC110" s="207"/>
      <c r="AD110" s="207"/>
      <c r="AE110" s="519"/>
      <c r="AF110" s="15"/>
      <c r="AG110" s="15"/>
      <c r="AH110" s="510"/>
      <c r="AI110" s="15"/>
      <c r="AJ110" s="15"/>
      <c r="AL110" s="746"/>
      <c r="AM110" s="747"/>
      <c r="AO110" s="207"/>
      <c r="AP110" s="207"/>
      <c r="AQ110" s="208"/>
      <c r="AR110" s="208"/>
      <c r="AS110" s="510"/>
      <c r="AT110" s="212"/>
      <c r="AV110" s="2">
        <v>13</v>
      </c>
      <c r="AW110" s="2">
        <v>10</v>
      </c>
      <c r="AX110" s="2">
        <v>5</v>
      </c>
      <c r="AY110" s="2">
        <v>0</v>
      </c>
      <c r="AZ110" s="2"/>
      <c r="BA110" s="405">
        <f>+A111+D111+G111+J111+M111+P111+S111+V111+Y111+AB111+AE111+AH111+AK111+AN111+AQ111</f>
        <v>5539</v>
      </c>
    </row>
    <row r="111" spans="1:53" x14ac:dyDescent="0.35">
      <c r="A111" s="5"/>
      <c r="B111" s="714" t="s">
        <v>31</v>
      </c>
      <c r="C111" s="712"/>
      <c r="D111" s="513">
        <v>380</v>
      </c>
      <c r="E111" s="714" t="s">
        <v>33</v>
      </c>
      <c r="F111" s="712"/>
      <c r="G111" s="513">
        <v>415</v>
      </c>
      <c r="H111" s="714" t="s">
        <v>18</v>
      </c>
      <c r="I111" s="712"/>
      <c r="J111" s="513">
        <v>400</v>
      </c>
      <c r="K111" s="714" t="s">
        <v>33</v>
      </c>
      <c r="L111" s="712"/>
      <c r="M111" s="513">
        <v>392</v>
      </c>
      <c r="N111" s="714" t="s">
        <v>31</v>
      </c>
      <c r="O111" s="712"/>
      <c r="P111" s="513">
        <v>387</v>
      </c>
      <c r="Q111" s="714" t="s">
        <v>31</v>
      </c>
      <c r="R111" s="712"/>
      <c r="S111" s="513">
        <v>346</v>
      </c>
      <c r="T111" s="717" t="s">
        <v>115</v>
      </c>
      <c r="U111" s="712"/>
      <c r="V111" s="513">
        <v>400</v>
      </c>
      <c r="W111" s="717" t="s">
        <v>16</v>
      </c>
      <c r="X111" s="712"/>
      <c r="Y111" s="519">
        <v>418</v>
      </c>
      <c r="Z111" s="699" t="s">
        <v>14</v>
      </c>
      <c r="AA111" s="700"/>
      <c r="AB111" s="534">
        <v>351</v>
      </c>
      <c r="AC111" s="699" t="s">
        <v>35</v>
      </c>
      <c r="AD111" s="699"/>
      <c r="AE111" s="519">
        <v>429</v>
      </c>
      <c r="AF111" s="699" t="s">
        <v>33</v>
      </c>
      <c r="AG111" s="700"/>
      <c r="AH111" s="513">
        <v>411</v>
      </c>
      <c r="AI111" s="714" t="s">
        <v>31</v>
      </c>
      <c r="AJ111" s="712"/>
      <c r="AK111" s="519">
        <v>381</v>
      </c>
      <c r="AL111" s="714" t="s">
        <v>16</v>
      </c>
      <c r="AM111" s="712"/>
      <c r="AN111" s="519">
        <v>459</v>
      </c>
      <c r="AO111" s="714" t="s">
        <v>16</v>
      </c>
      <c r="AP111" s="712"/>
      <c r="AQ111" s="516">
        <v>370</v>
      </c>
      <c r="AR111" s="516"/>
      <c r="AS111" s="513"/>
      <c r="AT111" s="211"/>
    </row>
    <row r="112" spans="1:53" x14ac:dyDescent="0.35">
      <c r="A112" s="5"/>
      <c r="B112" s="703" t="s">
        <v>217</v>
      </c>
      <c r="C112" s="704"/>
      <c r="D112" s="519"/>
      <c r="E112" s="703" t="s">
        <v>218</v>
      </c>
      <c r="F112" s="704"/>
      <c r="G112" s="519"/>
      <c r="H112" s="703" t="s">
        <v>219</v>
      </c>
      <c r="I112" s="704"/>
      <c r="J112" s="519"/>
      <c r="K112" s="703" t="s">
        <v>220</v>
      </c>
      <c r="L112" s="704"/>
      <c r="M112" s="519"/>
      <c r="N112" s="703" t="s">
        <v>221</v>
      </c>
      <c r="O112" s="704"/>
      <c r="P112" s="519"/>
      <c r="Q112" s="703" t="s">
        <v>222</v>
      </c>
      <c r="R112" s="704"/>
      <c r="S112" s="519"/>
      <c r="T112" s="703" t="s">
        <v>223</v>
      </c>
      <c r="U112" s="704"/>
      <c r="V112" s="519"/>
      <c r="W112" s="703" t="s">
        <v>224</v>
      </c>
      <c r="X112" s="704"/>
      <c r="Y112" s="519"/>
      <c r="Z112" s="703" t="s">
        <v>225</v>
      </c>
      <c r="AA112" s="704"/>
      <c r="AB112" s="519"/>
      <c r="AC112" s="703" t="s">
        <v>226</v>
      </c>
      <c r="AD112" s="704"/>
      <c r="AE112" s="519"/>
      <c r="AF112" s="703" t="s">
        <v>227</v>
      </c>
      <c r="AG112" s="704"/>
      <c r="AI112" s="703" t="s">
        <v>228</v>
      </c>
      <c r="AJ112" s="704"/>
      <c r="AL112" s="703" t="s">
        <v>229</v>
      </c>
      <c r="AM112" s="704"/>
      <c r="AO112" s="703" t="s">
        <v>230</v>
      </c>
      <c r="AP112" s="704"/>
      <c r="AQ112" s="520"/>
      <c r="AR112" s="520"/>
      <c r="AT112" s="7"/>
    </row>
    <row r="113" spans="1:53" x14ac:dyDescent="0.35">
      <c r="A113" s="5"/>
      <c r="B113" s="538" t="s">
        <v>395</v>
      </c>
      <c r="C113" s="538"/>
      <c r="D113" s="537"/>
      <c r="E113" s="538" t="s">
        <v>395</v>
      </c>
      <c r="F113" s="538"/>
      <c r="G113" s="537"/>
      <c r="H113" s="538" t="s">
        <v>395</v>
      </c>
      <c r="I113" s="538"/>
      <c r="J113" s="537"/>
      <c r="K113" s="538" t="s">
        <v>395</v>
      </c>
      <c r="L113" s="538"/>
      <c r="M113" s="537"/>
      <c r="N113" s="538" t="s">
        <v>395</v>
      </c>
      <c r="O113" s="538"/>
      <c r="P113" s="537"/>
      <c r="Q113" s="538" t="s">
        <v>395</v>
      </c>
      <c r="R113" s="538"/>
      <c r="S113" s="537"/>
      <c r="T113" s="538" t="s">
        <v>395</v>
      </c>
      <c r="U113" s="538"/>
      <c r="V113" s="537"/>
      <c r="W113" s="538" t="s">
        <v>395</v>
      </c>
      <c r="X113" s="538"/>
      <c r="Y113" s="537"/>
      <c r="Z113" s="538" t="s">
        <v>395</v>
      </c>
      <c r="AA113" s="538"/>
      <c r="AB113" s="537"/>
      <c r="AC113" s="538" t="s">
        <v>395</v>
      </c>
      <c r="AD113" s="538"/>
      <c r="AE113" s="537"/>
      <c r="AF113" s="538"/>
      <c r="AG113" s="538" t="s">
        <v>395</v>
      </c>
      <c r="AH113" s="539"/>
      <c r="AI113" s="538"/>
      <c r="AJ113" s="538" t="s">
        <v>395</v>
      </c>
      <c r="AK113" s="539"/>
      <c r="AL113" s="538"/>
      <c r="AM113" s="538" t="s">
        <v>395</v>
      </c>
      <c r="AN113" s="539"/>
      <c r="AO113" s="538"/>
      <c r="AP113" s="538" t="s">
        <v>395</v>
      </c>
      <c r="AQ113" s="538"/>
      <c r="AR113" s="538"/>
      <c r="AT113" s="7"/>
    </row>
    <row r="114" spans="1:53" x14ac:dyDescent="0.35">
      <c r="A114" s="5"/>
      <c r="B114" s="529"/>
      <c r="C114" s="529"/>
      <c r="D114" s="519"/>
      <c r="E114" s="748" t="s">
        <v>407</v>
      </c>
      <c r="F114" s="748"/>
      <c r="G114" s="748"/>
      <c r="H114" s="748"/>
      <c r="I114" s="748"/>
      <c r="J114" s="748"/>
      <c r="K114" s="748"/>
      <c r="L114" s="748"/>
      <c r="M114" s="748"/>
      <c r="N114" s="748"/>
      <c r="O114" s="748"/>
      <c r="P114" s="519"/>
      <c r="Q114" s="529"/>
      <c r="R114" s="529"/>
      <c r="S114" s="519"/>
      <c r="T114" s="529"/>
      <c r="U114" s="529"/>
      <c r="V114" s="519"/>
      <c r="W114" s="529"/>
      <c r="X114" s="529"/>
      <c r="Y114" s="519"/>
      <c r="Z114" s="529"/>
      <c r="AA114" s="529"/>
      <c r="AB114" s="519"/>
      <c r="AC114" s="529"/>
      <c r="AD114" s="529"/>
      <c r="AE114" s="519"/>
      <c r="AF114" s="700"/>
      <c r="AG114" s="700"/>
      <c r="AH114" s="700"/>
      <c r="AI114" s="700"/>
      <c r="AJ114" s="700"/>
      <c r="AK114" s="700"/>
      <c r="AL114" s="700"/>
      <c r="AM114" s="700"/>
      <c r="AT114" s="7"/>
    </row>
    <row r="115" spans="1:53" x14ac:dyDescent="0.35">
      <c r="A115" s="5"/>
      <c r="B115" s="529"/>
      <c r="C115" s="529"/>
      <c r="D115" s="519"/>
      <c r="E115" s="529"/>
      <c r="F115" s="529"/>
      <c r="G115" s="519"/>
      <c r="H115" s="529"/>
      <c r="I115" s="529"/>
      <c r="J115" s="519"/>
      <c r="K115" s="529"/>
      <c r="L115" s="529"/>
      <c r="M115" s="519"/>
      <c r="N115" s="529"/>
      <c r="O115" s="529"/>
      <c r="P115" s="519"/>
      <c r="Q115" s="529"/>
      <c r="R115" s="529"/>
      <c r="S115" s="519"/>
      <c r="T115" s="529"/>
      <c r="U115" s="529"/>
      <c r="V115" s="519"/>
      <c r="W115" s="529"/>
      <c r="X115" s="529"/>
      <c r="Y115" s="519"/>
      <c r="Z115" s="529"/>
      <c r="AA115" s="529"/>
      <c r="AC115" s="529"/>
      <c r="AD115" s="529"/>
      <c r="AE115" s="519"/>
      <c r="AF115" s="529"/>
      <c r="AG115" s="529"/>
      <c r="AT115" s="7"/>
    </row>
    <row r="116" spans="1:53" x14ac:dyDescent="0.35">
      <c r="A116" s="5"/>
      <c r="B116" s="700"/>
      <c r="C116" s="700"/>
      <c r="D116" s="519"/>
      <c r="E116" s="735"/>
      <c r="F116" s="735"/>
      <c r="G116" s="519"/>
      <c r="H116" s="735"/>
      <c r="I116" s="735"/>
      <c r="J116" s="519"/>
      <c r="K116" s="735"/>
      <c r="L116" s="735"/>
      <c r="M116" s="519"/>
      <c r="N116" s="735"/>
      <c r="O116" s="735"/>
      <c r="P116" s="519"/>
      <c r="Q116" s="735"/>
      <c r="R116" s="735"/>
      <c r="S116" s="519"/>
      <c r="T116" s="735"/>
      <c r="U116" s="735"/>
      <c r="V116" s="519"/>
      <c r="W116" s="735"/>
      <c r="X116" s="735"/>
      <c r="Y116" s="519"/>
      <c r="Z116" s="700"/>
      <c r="AA116" s="700"/>
      <c r="AB116" s="519"/>
      <c r="AC116" s="700"/>
      <c r="AD116" s="700"/>
      <c r="AE116" s="701"/>
      <c r="AF116" s="701"/>
      <c r="AG116" s="701"/>
      <c r="AH116" s="701"/>
      <c r="AI116" s="711"/>
      <c r="AJ116" s="711"/>
      <c r="AL116" s="711"/>
      <c r="AM116" s="711"/>
      <c r="AO116" s="711"/>
      <c r="AP116" s="711"/>
      <c r="AQ116" s="10"/>
      <c r="AR116" s="10"/>
      <c r="AT116" s="7"/>
    </row>
    <row r="117" spans="1:53" x14ac:dyDescent="0.35">
      <c r="A117" s="5"/>
      <c r="B117" s="11"/>
      <c r="C117" s="12"/>
      <c r="D117" s="513"/>
      <c r="E117" s="744" t="s">
        <v>396</v>
      </c>
      <c r="F117" s="745"/>
      <c r="G117" s="513"/>
      <c r="H117" s="30"/>
      <c r="I117" s="31"/>
      <c r="J117" s="513"/>
      <c r="K117" s="30"/>
      <c r="L117" s="31"/>
      <c r="M117" s="513"/>
      <c r="N117" s="30"/>
      <c r="O117" s="31"/>
      <c r="P117" s="513"/>
      <c r="Q117" s="11"/>
      <c r="R117" s="12"/>
      <c r="S117" s="513"/>
      <c r="T117" s="11"/>
      <c r="U117" s="12"/>
      <c r="V117" s="513"/>
      <c r="W117" s="11"/>
      <c r="X117" s="12"/>
      <c r="Y117" s="513"/>
      <c r="Z117" s="11"/>
      <c r="AA117" s="12"/>
      <c r="AB117" s="529"/>
      <c r="AC117" s="11"/>
      <c r="AD117" s="12"/>
      <c r="AE117" s="513"/>
      <c r="AF117" s="11"/>
      <c r="AG117" s="12"/>
      <c r="AH117" s="510"/>
      <c r="AI117" s="11"/>
      <c r="AJ117" s="12"/>
      <c r="AK117" s="510"/>
      <c r="AL117" s="11"/>
      <c r="AM117" s="12"/>
      <c r="AN117" s="510"/>
      <c r="AO117" s="736" t="s">
        <v>397</v>
      </c>
      <c r="AP117" s="737"/>
      <c r="AQ117" s="540"/>
      <c r="AR117" s="540"/>
      <c r="AS117" s="510"/>
      <c r="AT117" s="212"/>
    </row>
    <row r="118" spans="1:53" x14ac:dyDescent="0.35">
      <c r="A118" s="5"/>
      <c r="B118" s="15"/>
      <c r="C118" s="15"/>
      <c r="D118" s="513"/>
      <c r="E118" s="746"/>
      <c r="F118" s="747"/>
      <c r="G118" s="513"/>
      <c r="H118" s="32"/>
      <c r="I118" s="32"/>
      <c r="J118" s="513"/>
      <c r="K118" s="32"/>
      <c r="L118" s="32"/>
      <c r="M118" s="513"/>
      <c r="N118" s="32"/>
      <c r="O118" s="32"/>
      <c r="P118" s="513"/>
      <c r="Q118" s="15"/>
      <c r="R118" s="15"/>
      <c r="S118" s="513"/>
      <c r="T118" s="15"/>
      <c r="U118" s="15"/>
      <c r="V118" s="513"/>
      <c r="W118" s="15"/>
      <c r="X118" s="15"/>
      <c r="Y118" s="519"/>
      <c r="Z118" s="15"/>
      <c r="AA118" s="15"/>
      <c r="AB118" s="534"/>
      <c r="AC118" s="15"/>
      <c r="AD118" s="15"/>
      <c r="AE118" s="519"/>
      <c r="AF118" s="15"/>
      <c r="AG118" s="15"/>
      <c r="AH118" s="510"/>
      <c r="AI118" s="15"/>
      <c r="AJ118" s="15"/>
      <c r="AL118" s="15"/>
      <c r="AM118" s="15"/>
      <c r="AO118" s="738"/>
      <c r="AP118" s="739"/>
      <c r="AQ118" s="540"/>
      <c r="AR118" s="540"/>
      <c r="AS118" s="510"/>
      <c r="AT118" s="212"/>
      <c r="AV118" s="2">
        <v>9</v>
      </c>
      <c r="AW118" s="2">
        <v>8</v>
      </c>
      <c r="AX118" s="2">
        <v>5</v>
      </c>
      <c r="AY118" s="2">
        <v>0</v>
      </c>
      <c r="AZ118" s="2"/>
      <c r="BA118" s="405">
        <f>+A119+D119+G119+J119+M119+P119+S119+V119+Y119+AB119+AE119+AH119+AK119+AN119+AQ119</f>
        <v>5550.31</v>
      </c>
    </row>
    <row r="119" spans="1:53" x14ac:dyDescent="0.35">
      <c r="A119" s="5"/>
      <c r="B119" s="714" t="s">
        <v>33</v>
      </c>
      <c r="C119" s="712"/>
      <c r="D119" s="513">
        <v>425</v>
      </c>
      <c r="E119" s="714" t="s">
        <v>182</v>
      </c>
      <c r="F119" s="712"/>
      <c r="G119" s="513">
        <v>256</v>
      </c>
      <c r="H119" s="714" t="s">
        <v>234</v>
      </c>
      <c r="I119" s="712"/>
      <c r="J119" s="513">
        <v>443</v>
      </c>
      <c r="K119" s="714" t="s">
        <v>236</v>
      </c>
      <c r="L119" s="712"/>
      <c r="M119" s="513">
        <v>451</v>
      </c>
      <c r="N119" s="714" t="s">
        <v>238</v>
      </c>
      <c r="O119" s="712"/>
      <c r="P119" s="513">
        <v>420</v>
      </c>
      <c r="Q119" s="714" t="s">
        <v>33</v>
      </c>
      <c r="R119" s="712"/>
      <c r="S119" s="513">
        <v>418</v>
      </c>
      <c r="T119" s="714" t="s">
        <v>31</v>
      </c>
      <c r="U119" s="712"/>
      <c r="V119" s="513">
        <v>349</v>
      </c>
      <c r="W119" s="717" t="s">
        <v>18</v>
      </c>
      <c r="X119" s="712"/>
      <c r="Y119" s="519">
        <v>407</v>
      </c>
      <c r="Z119" s="699" t="s">
        <v>2124</v>
      </c>
      <c r="AA119" s="700"/>
      <c r="AB119" s="534">
        <v>323</v>
      </c>
      <c r="AC119" s="699" t="s">
        <v>31</v>
      </c>
      <c r="AD119" s="699"/>
      <c r="AE119" s="519">
        <v>419</v>
      </c>
      <c r="AF119" s="699" t="s">
        <v>31</v>
      </c>
      <c r="AG119" s="700"/>
      <c r="AH119" s="510">
        <v>402</v>
      </c>
      <c r="AI119" s="749" t="s">
        <v>35</v>
      </c>
      <c r="AJ119" s="711"/>
      <c r="AK119" s="6">
        <v>402.31</v>
      </c>
      <c r="AL119" s="711" t="s">
        <v>40</v>
      </c>
      <c r="AM119" s="711"/>
      <c r="AN119" s="6">
        <v>416</v>
      </c>
      <c r="AO119" s="711" t="s">
        <v>35</v>
      </c>
      <c r="AP119" s="711"/>
      <c r="AQ119" s="10">
        <v>419</v>
      </c>
      <c r="AR119" s="10"/>
      <c r="AS119" s="510"/>
      <c r="AT119" s="212"/>
    </row>
    <row r="120" spans="1:53" x14ac:dyDescent="0.35">
      <c r="A120" s="5"/>
      <c r="B120" s="703" t="s">
        <v>231</v>
      </c>
      <c r="C120" s="704"/>
      <c r="D120" s="519"/>
      <c r="E120" s="703" t="s">
        <v>232</v>
      </c>
      <c r="F120" s="704"/>
      <c r="G120" s="519"/>
      <c r="H120" s="703" t="s">
        <v>233</v>
      </c>
      <c r="I120" s="704"/>
      <c r="J120" s="519"/>
      <c r="K120" s="703" t="s">
        <v>235</v>
      </c>
      <c r="L120" s="704"/>
      <c r="M120" s="519"/>
      <c r="N120" s="703" t="s">
        <v>237</v>
      </c>
      <c r="O120" s="704"/>
      <c r="P120" s="519"/>
      <c r="Q120" s="703" t="s">
        <v>239</v>
      </c>
      <c r="R120" s="704"/>
      <c r="S120" s="519"/>
      <c r="T120" s="703" t="s">
        <v>240</v>
      </c>
      <c r="U120" s="704"/>
      <c r="V120" s="519"/>
      <c r="W120" s="703" t="s">
        <v>241</v>
      </c>
      <c r="X120" s="704"/>
      <c r="Y120" s="519"/>
      <c r="Z120" s="703" t="s">
        <v>242</v>
      </c>
      <c r="AA120" s="704"/>
      <c r="AB120" s="519"/>
      <c r="AC120" s="703" t="s">
        <v>243</v>
      </c>
      <c r="AD120" s="704"/>
      <c r="AE120" s="519"/>
      <c r="AF120" s="703" t="s">
        <v>244</v>
      </c>
      <c r="AG120" s="704"/>
      <c r="AI120" s="703" t="s">
        <v>245</v>
      </c>
      <c r="AJ120" s="704"/>
      <c r="AL120" s="703" t="s">
        <v>246</v>
      </c>
      <c r="AM120" s="704"/>
      <c r="AO120" s="703" t="s">
        <v>247</v>
      </c>
      <c r="AP120" s="704"/>
      <c r="AQ120" s="520"/>
      <c r="AR120" s="520"/>
      <c r="AT120" s="7"/>
    </row>
    <row r="121" spans="1:53" x14ac:dyDescent="0.35">
      <c r="A121" s="5"/>
      <c r="B121" s="538" t="s">
        <v>395</v>
      </c>
      <c r="C121" s="538"/>
      <c r="D121" s="537"/>
      <c r="E121" s="538" t="s">
        <v>395</v>
      </c>
      <c r="F121" s="538"/>
      <c r="G121" s="537"/>
      <c r="H121" s="538" t="s">
        <v>395</v>
      </c>
      <c r="I121" s="538"/>
      <c r="J121" s="537"/>
      <c r="K121" s="538" t="s">
        <v>395</v>
      </c>
      <c r="L121" s="538"/>
      <c r="M121" s="537"/>
      <c r="N121" s="538" t="s">
        <v>395</v>
      </c>
      <c r="O121" s="538"/>
      <c r="P121" s="537"/>
      <c r="Q121" s="538" t="s">
        <v>395</v>
      </c>
      <c r="R121" s="538"/>
      <c r="S121" s="537"/>
      <c r="T121" s="538" t="s">
        <v>395</v>
      </c>
      <c r="U121" s="538"/>
      <c r="V121" s="537"/>
      <c r="W121" s="538" t="s">
        <v>395</v>
      </c>
      <c r="X121" s="538"/>
      <c r="Y121" s="537"/>
      <c r="Z121" s="538" t="s">
        <v>395</v>
      </c>
      <c r="AA121" s="538"/>
      <c r="AB121" s="537"/>
      <c r="AC121" s="538" t="s">
        <v>395</v>
      </c>
      <c r="AD121" s="538"/>
      <c r="AE121" s="537"/>
      <c r="AF121" s="538" t="s">
        <v>395</v>
      </c>
      <c r="AG121" s="538"/>
      <c r="AH121" s="539"/>
      <c r="AI121" s="538"/>
      <c r="AJ121" s="538" t="s">
        <v>395</v>
      </c>
      <c r="AK121" s="539"/>
      <c r="AL121" s="538"/>
      <c r="AM121" s="538" t="s">
        <v>395</v>
      </c>
      <c r="AN121" s="539"/>
      <c r="AO121" s="538"/>
      <c r="AP121" s="538" t="s">
        <v>395</v>
      </c>
      <c r="AQ121" s="538"/>
      <c r="AR121" s="538"/>
      <c r="AT121" s="7"/>
    </row>
    <row r="122" spans="1:53" x14ac:dyDescent="0.35">
      <c r="A122" s="5"/>
      <c r="B122" s="516"/>
      <c r="C122" s="516"/>
      <c r="D122" s="513"/>
      <c r="E122" s="542"/>
      <c r="F122" s="516"/>
      <c r="G122" s="750"/>
      <c r="H122" s="750"/>
      <c r="I122" s="750"/>
      <c r="J122" s="750"/>
      <c r="K122" s="543"/>
      <c r="L122" s="544"/>
      <c r="M122" s="513"/>
      <c r="N122" s="751"/>
      <c r="O122" s="751"/>
      <c r="P122" s="751"/>
      <c r="Q122" s="751"/>
      <c r="R122" s="751"/>
      <c r="S122" s="751"/>
      <c r="T122" s="751"/>
      <c r="U122" s="751"/>
      <c r="V122" s="751"/>
      <c r="W122" s="542"/>
      <c r="X122" s="529"/>
      <c r="Y122" s="519"/>
      <c r="Z122" s="542"/>
      <c r="AA122" s="529"/>
      <c r="AB122" s="529"/>
      <c r="AC122" s="542"/>
      <c r="AD122" s="529"/>
      <c r="AE122" s="519"/>
      <c r="AF122" s="542"/>
      <c r="AG122" s="529"/>
      <c r="AI122" s="542"/>
      <c r="AJ122" s="529"/>
      <c r="AL122" s="542"/>
      <c r="AM122" s="529"/>
      <c r="AO122" s="542"/>
      <c r="AP122" s="529"/>
      <c r="AQ122" s="529"/>
      <c r="AR122" s="529"/>
      <c r="AT122" s="7"/>
      <c r="AV122" s="6"/>
      <c r="AW122" s="6"/>
      <c r="AX122" s="6"/>
      <c r="AY122" s="6"/>
      <c r="AZ122" s="6"/>
    </row>
    <row r="123" spans="1:53" x14ac:dyDescent="0.35">
      <c r="A123" s="5"/>
      <c r="B123" s="529"/>
      <c r="C123" s="529"/>
      <c r="D123" s="519"/>
      <c r="E123" s="529"/>
      <c r="F123" s="529"/>
      <c r="G123" s="519"/>
      <c r="H123" s="529"/>
      <c r="I123" s="529"/>
      <c r="J123" s="519"/>
      <c r="K123" s="529"/>
      <c r="L123" s="529"/>
      <c r="M123" s="519"/>
      <c r="N123" s="529"/>
      <c r="O123" s="529"/>
      <c r="P123" s="519"/>
      <c r="Q123" s="529"/>
      <c r="R123" s="529"/>
      <c r="S123" s="519"/>
      <c r="T123" s="529"/>
      <c r="U123" s="529"/>
      <c r="V123" s="519"/>
      <c r="W123" s="529"/>
      <c r="X123" s="529"/>
      <c r="Y123" s="519"/>
      <c r="Z123" s="529"/>
      <c r="AA123" s="529"/>
      <c r="AC123" s="529"/>
      <c r="AD123" s="529"/>
      <c r="AE123" s="519"/>
      <c r="AF123" s="529"/>
      <c r="AG123" s="529"/>
      <c r="AT123" s="7"/>
    </row>
    <row r="124" spans="1:53" x14ac:dyDescent="0.35">
      <c r="A124" s="5"/>
      <c r="B124" s="700"/>
      <c r="C124" s="700"/>
      <c r="D124" s="519"/>
      <c r="E124" s="735"/>
      <c r="F124" s="735"/>
      <c r="G124" s="519"/>
      <c r="H124" s="735"/>
      <c r="I124" s="735"/>
      <c r="J124" s="519"/>
      <c r="K124" s="735"/>
      <c r="L124" s="735"/>
      <c r="M124" s="519"/>
      <c r="N124" s="735"/>
      <c r="O124" s="735"/>
      <c r="P124" s="519"/>
      <c r="Q124" s="735"/>
      <c r="R124" s="735"/>
      <c r="S124" s="519"/>
      <c r="T124" s="735"/>
      <c r="U124" s="735"/>
      <c r="V124" s="519"/>
      <c r="W124" s="735"/>
      <c r="X124" s="735"/>
      <c r="Y124" s="519"/>
      <c r="Z124" s="700"/>
      <c r="AA124" s="700"/>
      <c r="AB124" s="519"/>
      <c r="AC124" s="700"/>
      <c r="AD124" s="700"/>
      <c r="AE124" s="701"/>
      <c r="AF124" s="701"/>
      <c r="AG124" s="701"/>
      <c r="AH124" s="701"/>
      <c r="AI124" s="711"/>
      <c r="AJ124" s="711"/>
      <c r="AL124" s="711"/>
      <c r="AM124" s="711"/>
      <c r="AO124" s="711"/>
      <c r="AP124" s="711"/>
      <c r="AQ124" s="10"/>
      <c r="AR124" s="10"/>
      <c r="AT124" s="7"/>
    </row>
    <row r="125" spans="1:53" x14ac:dyDescent="0.35">
      <c r="A125" s="5"/>
      <c r="B125" s="11"/>
      <c r="C125" s="12"/>
      <c r="D125" s="513"/>
      <c r="E125" s="736" t="s">
        <v>397</v>
      </c>
      <c r="F125" s="737"/>
      <c r="G125" s="513"/>
      <c r="H125" s="11"/>
      <c r="I125" s="12"/>
      <c r="J125" s="513"/>
      <c r="K125" s="11"/>
      <c r="L125" s="12"/>
      <c r="M125" s="513"/>
      <c r="N125" s="11"/>
      <c r="O125" s="12"/>
      <c r="P125" s="513"/>
      <c r="Q125" s="11"/>
      <c r="R125" s="12"/>
      <c r="S125" s="513"/>
      <c r="T125" s="11"/>
      <c r="U125" s="12"/>
      <c r="V125" s="513"/>
      <c r="W125" s="265"/>
      <c r="X125" s="9"/>
      <c r="Y125" s="513"/>
      <c r="Z125" s="11"/>
      <c r="AA125" s="12"/>
      <c r="AB125" s="529"/>
      <c r="AC125" s="11"/>
      <c r="AD125" s="12"/>
      <c r="AE125" s="513"/>
      <c r="AF125" s="11"/>
      <c r="AG125" s="12"/>
      <c r="AH125" s="510"/>
      <c r="AI125" s="11"/>
      <c r="AJ125" s="12"/>
      <c r="AK125" s="510"/>
      <c r="AL125" s="265"/>
      <c r="AM125" s="9"/>
      <c r="AN125" s="510"/>
      <c r="AO125" s="11"/>
      <c r="AP125" s="12"/>
      <c r="AQ125" s="511"/>
      <c r="AR125" s="511"/>
      <c r="AS125" s="510"/>
      <c r="AT125" s="212"/>
    </row>
    <row r="126" spans="1:53" x14ac:dyDescent="0.35">
      <c r="A126" s="5"/>
      <c r="B126" s="15"/>
      <c r="C126" s="15"/>
      <c r="D126" s="513"/>
      <c r="E126" s="738"/>
      <c r="F126" s="739"/>
      <c r="G126" s="513"/>
      <c r="H126" s="15"/>
      <c r="I126" s="15"/>
      <c r="J126" s="513"/>
      <c r="K126" s="15"/>
      <c r="L126" s="15"/>
      <c r="M126" s="513"/>
      <c r="N126" s="15"/>
      <c r="O126" s="15"/>
      <c r="P126" s="513"/>
      <c r="Q126" s="15"/>
      <c r="R126" s="15"/>
      <c r="S126" s="513"/>
      <c r="T126" s="15"/>
      <c r="U126" s="15"/>
      <c r="V126" s="513"/>
      <c r="W126" s="266"/>
      <c r="X126" s="266"/>
      <c r="Y126" s="519"/>
      <c r="Z126" s="15"/>
      <c r="AA126" s="15"/>
      <c r="AB126" s="534"/>
      <c r="AC126" s="15"/>
      <c r="AD126" s="15"/>
      <c r="AE126" s="519"/>
      <c r="AF126" s="15"/>
      <c r="AG126" s="15"/>
      <c r="AH126" s="510"/>
      <c r="AI126" s="15"/>
      <c r="AJ126" s="15"/>
      <c r="AL126" s="266"/>
      <c r="AM126" s="266"/>
      <c r="AO126" s="15"/>
      <c r="AP126" s="15"/>
      <c r="AQ126" s="542"/>
      <c r="AR126" s="542"/>
      <c r="AS126" s="510"/>
      <c r="AT126" s="212"/>
      <c r="AV126" s="2">
        <v>11</v>
      </c>
      <c r="AW126" s="2">
        <v>10</v>
      </c>
      <c r="AX126" s="2">
        <v>7</v>
      </c>
      <c r="AY126" s="2">
        <v>0</v>
      </c>
      <c r="AZ126" s="2"/>
      <c r="BA126" s="405">
        <f>+A127+D127+G127+J127+M127+P127+S127+V127+Y127+AB127+AE127+AH127+AK127+AN127+AQ127</f>
        <v>5528.79</v>
      </c>
    </row>
    <row r="127" spans="1:53" x14ac:dyDescent="0.35">
      <c r="A127" s="5"/>
      <c r="B127" s="699" t="s">
        <v>115</v>
      </c>
      <c r="C127" s="700"/>
      <c r="D127" s="513">
        <v>377</v>
      </c>
      <c r="E127" s="714" t="s">
        <v>35</v>
      </c>
      <c r="F127" s="712"/>
      <c r="G127" s="513">
        <v>440</v>
      </c>
      <c r="H127" s="712" t="s">
        <v>33</v>
      </c>
      <c r="I127" s="712"/>
      <c r="J127" s="513">
        <v>400.28</v>
      </c>
      <c r="K127" s="714" t="s">
        <v>18</v>
      </c>
      <c r="L127" s="712"/>
      <c r="M127" s="513">
        <v>386</v>
      </c>
      <c r="N127" s="714" t="s">
        <v>33</v>
      </c>
      <c r="O127" s="712"/>
      <c r="P127" s="513">
        <v>420</v>
      </c>
      <c r="Q127" s="714" t="s">
        <v>23</v>
      </c>
      <c r="R127" s="712"/>
      <c r="S127" s="513">
        <v>337</v>
      </c>
      <c r="T127" s="714" t="s">
        <v>23</v>
      </c>
      <c r="U127" s="712"/>
      <c r="V127" s="513">
        <v>336.51</v>
      </c>
      <c r="W127" s="714" t="s">
        <v>182</v>
      </c>
      <c r="X127" s="712"/>
      <c r="Y127" s="519">
        <v>412</v>
      </c>
      <c r="Z127" s="699" t="s">
        <v>31</v>
      </c>
      <c r="AA127" s="700"/>
      <c r="AB127" s="534">
        <v>408</v>
      </c>
      <c r="AC127" s="699" t="s">
        <v>16</v>
      </c>
      <c r="AD127" s="699"/>
      <c r="AE127" s="519">
        <v>413</v>
      </c>
      <c r="AF127" s="699" t="s">
        <v>31</v>
      </c>
      <c r="AG127" s="700"/>
      <c r="AH127" s="510">
        <v>410</v>
      </c>
      <c r="AI127" s="749" t="s">
        <v>33</v>
      </c>
      <c r="AJ127" s="711"/>
      <c r="AK127" s="6">
        <v>406</v>
      </c>
      <c r="AL127" s="749" t="s">
        <v>33</v>
      </c>
      <c r="AM127" s="711"/>
      <c r="AN127" s="6">
        <v>411</v>
      </c>
      <c r="AO127" s="749" t="s">
        <v>33</v>
      </c>
      <c r="AP127" s="711"/>
      <c r="AQ127" s="10">
        <v>372</v>
      </c>
      <c r="AR127" s="10"/>
      <c r="AS127" s="510"/>
      <c r="AT127" s="212"/>
    </row>
    <row r="128" spans="1:53" x14ac:dyDescent="0.35">
      <c r="A128" s="5"/>
      <c r="B128" s="699" t="s">
        <v>248</v>
      </c>
      <c r="C128" s="700"/>
      <c r="D128" s="519"/>
      <c r="E128" s="699" t="s">
        <v>249</v>
      </c>
      <c r="F128" s="700"/>
      <c r="G128" s="519"/>
      <c r="H128" s="699" t="s">
        <v>250</v>
      </c>
      <c r="I128" s="700"/>
      <c r="J128" s="519"/>
      <c r="K128" s="699" t="s">
        <v>251</v>
      </c>
      <c r="L128" s="700"/>
      <c r="M128" s="519"/>
      <c r="N128" s="699" t="s">
        <v>252</v>
      </c>
      <c r="O128" s="700"/>
      <c r="P128" s="519"/>
      <c r="Q128" s="699" t="s">
        <v>253</v>
      </c>
      <c r="R128" s="700"/>
      <c r="S128" s="519"/>
      <c r="T128" s="699" t="s">
        <v>254</v>
      </c>
      <c r="U128" s="700"/>
      <c r="V128" s="519"/>
      <c r="W128" s="704" t="s">
        <v>255</v>
      </c>
      <c r="X128" s="700"/>
      <c r="Y128" s="519"/>
      <c r="Z128" s="703" t="s">
        <v>256</v>
      </c>
      <c r="AA128" s="700"/>
      <c r="AB128" s="519"/>
      <c r="AC128" s="703" t="s">
        <v>257</v>
      </c>
      <c r="AD128" s="700"/>
      <c r="AE128" s="519"/>
      <c r="AF128" s="703" t="s">
        <v>258</v>
      </c>
      <c r="AG128" s="700"/>
      <c r="AI128" s="703" t="s">
        <v>259</v>
      </c>
      <c r="AJ128" s="700"/>
      <c r="AL128" s="703" t="s">
        <v>260</v>
      </c>
      <c r="AM128" s="703"/>
      <c r="AO128" s="703" t="s">
        <v>261</v>
      </c>
      <c r="AP128" s="700"/>
      <c r="AQ128" s="516"/>
      <c r="AR128" s="516"/>
      <c r="AT128" s="7"/>
    </row>
    <row r="129" spans="1:53" x14ac:dyDescent="0.35">
      <c r="A129" s="5"/>
      <c r="B129" s="538" t="s">
        <v>395</v>
      </c>
      <c r="C129" s="538"/>
      <c r="D129" s="537"/>
      <c r="E129" s="538"/>
      <c r="F129" s="538" t="s">
        <v>395</v>
      </c>
      <c r="G129" s="537"/>
      <c r="H129" s="538"/>
      <c r="I129" s="538" t="s">
        <v>395</v>
      </c>
      <c r="J129" s="537"/>
      <c r="K129" s="538"/>
      <c r="L129" s="538" t="s">
        <v>395</v>
      </c>
      <c r="M129" s="537"/>
      <c r="N129" s="538"/>
      <c r="O129" s="538" t="s">
        <v>395</v>
      </c>
      <c r="P129" s="537"/>
      <c r="Q129" s="538"/>
      <c r="R129" s="538" t="s">
        <v>395</v>
      </c>
      <c r="S129" s="537"/>
      <c r="T129" s="538"/>
      <c r="U129" s="538" t="s">
        <v>395</v>
      </c>
      <c r="V129" s="537"/>
      <c r="W129" s="538"/>
      <c r="X129" s="538" t="s">
        <v>395</v>
      </c>
      <c r="Y129" s="537"/>
      <c r="Z129" s="538"/>
      <c r="AA129" s="538" t="s">
        <v>395</v>
      </c>
      <c r="AB129" s="537"/>
      <c r="AC129" s="538"/>
      <c r="AD129" s="538" t="s">
        <v>395</v>
      </c>
      <c r="AE129" s="537"/>
      <c r="AF129" s="538"/>
      <c r="AG129" s="538" t="s">
        <v>395</v>
      </c>
      <c r="AH129" s="539"/>
      <c r="AI129" s="538"/>
      <c r="AJ129" s="538" t="s">
        <v>395</v>
      </c>
      <c r="AK129" s="539"/>
      <c r="AL129" s="538" t="s">
        <v>395</v>
      </c>
      <c r="AM129" s="545"/>
      <c r="AN129" s="539"/>
      <c r="AO129" s="538" t="s">
        <v>395</v>
      </c>
      <c r="AP129" s="545"/>
      <c r="AQ129" s="545"/>
      <c r="AR129" s="545"/>
      <c r="AT129" s="7"/>
    </row>
    <row r="130" spans="1:53" x14ac:dyDescent="0.35">
      <c r="A130" s="5"/>
      <c r="B130" s="516"/>
      <c r="C130" s="516"/>
      <c r="D130" s="513"/>
      <c r="E130" s="542"/>
      <c r="F130" s="516"/>
      <c r="G130" s="516"/>
      <c r="H130" s="542"/>
      <c r="I130" s="529"/>
      <c r="J130" s="513"/>
      <c r="K130" s="543"/>
      <c r="L130" s="544"/>
      <c r="M130" s="513"/>
      <c r="N130" s="543"/>
      <c r="O130" s="544"/>
      <c r="P130" s="513"/>
      <c r="Q130" s="543"/>
      <c r="R130" s="544"/>
      <c r="S130" s="513"/>
      <c r="T130" s="543"/>
      <c r="U130" s="544"/>
      <c r="V130" s="513"/>
      <c r="W130" s="542"/>
      <c r="X130" s="529"/>
      <c r="Y130" s="519"/>
      <c r="Z130" s="542"/>
      <c r="AA130" s="529"/>
      <c r="AB130" s="529"/>
      <c r="AC130" s="542"/>
      <c r="AD130" s="529"/>
      <c r="AE130" s="519"/>
      <c r="AF130" s="542"/>
      <c r="AG130" s="529"/>
      <c r="AI130" s="542"/>
      <c r="AJ130" s="529"/>
      <c r="AL130" s="542"/>
      <c r="AM130" s="529"/>
      <c r="AO130" s="542"/>
      <c r="AP130" s="529"/>
      <c r="AQ130" s="529"/>
      <c r="AR130" s="529"/>
      <c r="AT130" s="7"/>
      <c r="AV130" s="6"/>
      <c r="AW130" s="6"/>
      <c r="AX130" s="6"/>
      <c r="AY130" s="6"/>
      <c r="AZ130" s="6"/>
    </row>
    <row r="131" spans="1:53" x14ac:dyDescent="0.35">
      <c r="A131" s="5"/>
      <c r="B131" s="529"/>
      <c r="C131" s="529"/>
      <c r="D131" s="519"/>
      <c r="E131" s="529"/>
      <c r="F131" s="529"/>
      <c r="G131" s="519"/>
      <c r="H131" s="529"/>
      <c r="I131" s="529"/>
      <c r="J131" s="519"/>
      <c r="K131" s="529"/>
      <c r="L131" s="529"/>
      <c r="M131" s="519"/>
      <c r="N131" s="529"/>
      <c r="O131" s="529"/>
      <c r="P131" s="519"/>
      <c r="Q131" s="529"/>
      <c r="R131" s="529"/>
      <c r="S131" s="519"/>
      <c r="T131" s="529"/>
      <c r="U131" s="529"/>
      <c r="V131" s="519"/>
      <c r="W131" s="529"/>
      <c r="X131" s="529"/>
      <c r="Y131" s="519"/>
      <c r="Z131" s="529"/>
      <c r="AA131" s="529"/>
      <c r="AC131" s="529"/>
      <c r="AD131" s="529"/>
      <c r="AE131" s="519"/>
      <c r="AF131" s="529"/>
      <c r="AG131" s="529"/>
      <c r="AT131" s="7"/>
    </row>
    <row r="132" spans="1:53" x14ac:dyDescent="0.35">
      <c r="A132" s="5"/>
      <c r="B132" s="700"/>
      <c r="C132" s="700"/>
      <c r="D132" s="519"/>
      <c r="E132" s="735"/>
      <c r="F132" s="735"/>
      <c r="G132" s="519"/>
      <c r="H132" s="735"/>
      <c r="I132" s="735"/>
      <c r="J132" s="519"/>
      <c r="K132" s="735"/>
      <c r="L132" s="735"/>
      <c r="M132" s="519"/>
      <c r="N132" s="735"/>
      <c r="O132" s="735"/>
      <c r="P132" s="519"/>
      <c r="Q132" s="735"/>
      <c r="R132" s="735"/>
      <c r="S132" s="519"/>
      <c r="T132" s="735"/>
      <c r="U132" s="735"/>
      <c r="V132" s="519"/>
      <c r="W132" s="735"/>
      <c r="X132" s="735"/>
      <c r="Y132" s="519"/>
      <c r="Z132" s="700"/>
      <c r="AA132" s="700"/>
      <c r="AB132" s="519"/>
      <c r="AC132" s="700"/>
      <c r="AD132" s="700"/>
      <c r="AE132" s="701"/>
      <c r="AF132" s="701"/>
      <c r="AG132" s="701"/>
      <c r="AH132" s="701"/>
      <c r="AI132" s="711"/>
      <c r="AJ132" s="711"/>
      <c r="AL132" s="711"/>
      <c r="AM132" s="711"/>
      <c r="AO132" s="711"/>
      <c r="AP132" s="711"/>
      <c r="AQ132" s="10"/>
      <c r="AR132" s="10"/>
      <c r="AT132" s="7"/>
    </row>
    <row r="133" spans="1:53" x14ac:dyDescent="0.35">
      <c r="A133" s="5"/>
      <c r="B133" s="11"/>
      <c r="C133" s="12"/>
      <c r="D133" s="513"/>
      <c r="E133" s="11"/>
      <c r="F133" s="12"/>
      <c r="G133" s="513"/>
      <c r="H133" s="11"/>
      <c r="I133" s="12"/>
      <c r="J133" s="513"/>
      <c r="K133" s="11"/>
      <c r="L133" s="12"/>
      <c r="M133" s="513"/>
      <c r="N133" s="11"/>
      <c r="O133" s="12"/>
      <c r="P133" s="513"/>
      <c r="Q133" s="11"/>
      <c r="R133" s="12"/>
      <c r="S133" s="513"/>
      <c r="T133" s="207"/>
      <c r="U133" s="207"/>
      <c r="V133" s="513"/>
      <c r="W133" s="11"/>
      <c r="X133" s="12"/>
      <c r="Y133" s="513"/>
      <c r="Z133" s="11"/>
      <c r="AA133" s="12"/>
      <c r="AB133" s="529"/>
      <c r="AC133" s="11"/>
      <c r="AD133" s="12"/>
      <c r="AE133" s="513"/>
      <c r="AF133" s="11"/>
      <c r="AG133" s="12"/>
      <c r="AH133" s="510"/>
      <c r="AI133" s="11"/>
      <c r="AJ133" s="12"/>
      <c r="AK133" s="510"/>
      <c r="AL133" s="736" t="s">
        <v>397</v>
      </c>
      <c r="AM133" s="737"/>
      <c r="AN133" s="510"/>
      <c r="AO133" s="11"/>
      <c r="AP133" s="12"/>
      <c r="AQ133" s="511"/>
      <c r="AR133" s="511"/>
      <c r="AS133" s="510"/>
      <c r="AT133" s="212"/>
    </row>
    <row r="134" spans="1:53" x14ac:dyDescent="0.35">
      <c r="A134" s="5"/>
      <c r="B134" s="15"/>
      <c r="C134" s="15"/>
      <c r="D134" s="513"/>
      <c r="E134" s="15"/>
      <c r="F134" s="15"/>
      <c r="G134" s="513"/>
      <c r="H134" s="15"/>
      <c r="I134" s="15"/>
      <c r="J134" s="513"/>
      <c r="K134" s="15"/>
      <c r="L134" s="15"/>
      <c r="M134" s="513"/>
      <c r="N134" s="15"/>
      <c r="O134" s="15"/>
      <c r="P134" s="513"/>
      <c r="Q134" s="15"/>
      <c r="R134" s="15"/>
      <c r="S134" s="513"/>
      <c r="T134" s="207"/>
      <c r="U134" s="207"/>
      <c r="V134" s="513"/>
      <c r="W134" s="15"/>
      <c r="X134" s="15"/>
      <c r="Y134" s="519"/>
      <c r="Z134" s="15"/>
      <c r="AA134" s="15"/>
      <c r="AB134" s="534"/>
      <c r="AC134" s="15"/>
      <c r="AD134" s="15"/>
      <c r="AE134" s="519"/>
      <c r="AF134" s="15"/>
      <c r="AG134" s="15"/>
      <c r="AH134" s="510"/>
      <c r="AI134" s="15"/>
      <c r="AJ134" s="15"/>
      <c r="AL134" s="738"/>
      <c r="AM134" s="739"/>
      <c r="AO134" s="15"/>
      <c r="AP134" s="15"/>
      <c r="AQ134" s="542"/>
      <c r="AR134" s="542"/>
      <c r="AS134" s="510"/>
      <c r="AT134" s="212"/>
      <c r="AV134" s="2">
        <v>13</v>
      </c>
      <c r="AW134" s="2">
        <v>13</v>
      </c>
      <c r="AX134" s="2">
        <v>8</v>
      </c>
      <c r="AY134" s="2">
        <v>0</v>
      </c>
      <c r="AZ134" s="2"/>
      <c r="BA134" s="405">
        <f>+A135+D135+G135+J135+M135+P135+S135+V135+Y135+AB135+AE135+AH135+AK135+AN135+AQ135</f>
        <v>5453</v>
      </c>
    </row>
    <row r="135" spans="1:53" x14ac:dyDescent="0.35">
      <c r="A135" s="5"/>
      <c r="B135" s="699" t="s">
        <v>31</v>
      </c>
      <c r="C135" s="700"/>
      <c r="D135" s="513">
        <v>386</v>
      </c>
      <c r="E135" s="699" t="s">
        <v>31</v>
      </c>
      <c r="F135" s="700"/>
      <c r="G135" s="513">
        <v>370</v>
      </c>
      <c r="H135" s="699" t="s">
        <v>31</v>
      </c>
      <c r="I135" s="700"/>
      <c r="J135" s="513">
        <v>382</v>
      </c>
      <c r="K135" s="749" t="s">
        <v>33</v>
      </c>
      <c r="L135" s="711"/>
      <c r="M135" s="513">
        <v>384</v>
      </c>
      <c r="N135" s="714" t="s">
        <v>16</v>
      </c>
      <c r="O135" s="712"/>
      <c r="P135" s="513">
        <v>382</v>
      </c>
      <c r="Q135" s="714" t="s">
        <v>28</v>
      </c>
      <c r="R135" s="712"/>
      <c r="S135" s="513">
        <v>357</v>
      </c>
      <c r="T135" s="699" t="s">
        <v>31</v>
      </c>
      <c r="U135" s="700"/>
      <c r="V135" s="513">
        <v>351</v>
      </c>
      <c r="W135" s="717" t="s">
        <v>14</v>
      </c>
      <c r="X135" s="712"/>
      <c r="Y135" s="519">
        <v>413</v>
      </c>
      <c r="Z135" s="699" t="s">
        <v>33</v>
      </c>
      <c r="AA135" s="700"/>
      <c r="AB135" s="534">
        <v>423</v>
      </c>
      <c r="AC135" s="699" t="s">
        <v>14</v>
      </c>
      <c r="AD135" s="699"/>
      <c r="AE135" s="519">
        <v>390</v>
      </c>
      <c r="AF135" s="699" t="s">
        <v>31</v>
      </c>
      <c r="AG135" s="700"/>
      <c r="AH135" s="513">
        <v>406</v>
      </c>
      <c r="AI135" s="699" t="s">
        <v>33</v>
      </c>
      <c r="AJ135" s="700"/>
      <c r="AK135" s="519">
        <v>390</v>
      </c>
      <c r="AL135" s="700" t="s">
        <v>14</v>
      </c>
      <c r="AM135" s="700"/>
      <c r="AN135" s="519">
        <v>393</v>
      </c>
      <c r="AO135" s="700" t="s">
        <v>31</v>
      </c>
      <c r="AP135" s="700"/>
      <c r="AQ135" s="516">
        <v>426</v>
      </c>
      <c r="AR135" s="516"/>
      <c r="AS135" s="510"/>
      <c r="AT135" s="212"/>
    </row>
    <row r="136" spans="1:53" x14ac:dyDescent="0.35">
      <c r="A136" s="5"/>
      <c r="B136" s="703" t="s">
        <v>262</v>
      </c>
      <c r="C136" s="700"/>
      <c r="D136" s="519"/>
      <c r="E136" s="703" t="s">
        <v>263</v>
      </c>
      <c r="F136" s="700"/>
      <c r="G136" s="519"/>
      <c r="H136" s="703" t="s">
        <v>264</v>
      </c>
      <c r="I136" s="700"/>
      <c r="J136" s="519"/>
      <c r="K136" s="703" t="s">
        <v>265</v>
      </c>
      <c r="L136" s="700"/>
      <c r="M136" s="519"/>
      <c r="N136" s="703" t="s">
        <v>266</v>
      </c>
      <c r="O136" s="700"/>
      <c r="P136" s="519"/>
      <c r="Q136" s="703" t="s">
        <v>267</v>
      </c>
      <c r="R136" s="700"/>
      <c r="S136" s="519"/>
      <c r="T136" s="703" t="s">
        <v>268</v>
      </c>
      <c r="U136" s="700"/>
      <c r="V136" s="519"/>
      <c r="W136" s="703" t="s">
        <v>269</v>
      </c>
      <c r="X136" s="700"/>
      <c r="Y136" s="519"/>
      <c r="Z136" s="703" t="s">
        <v>270</v>
      </c>
      <c r="AA136" s="700"/>
      <c r="AB136" s="519"/>
      <c r="AC136" s="703" t="s">
        <v>271</v>
      </c>
      <c r="AD136" s="700"/>
      <c r="AE136" s="519"/>
      <c r="AF136" s="703" t="s">
        <v>272</v>
      </c>
      <c r="AG136" s="700"/>
      <c r="AI136" s="703" t="s">
        <v>273</v>
      </c>
      <c r="AJ136" s="700"/>
      <c r="AL136" s="703" t="s">
        <v>274</v>
      </c>
      <c r="AM136" s="700"/>
      <c r="AO136" s="703" t="s">
        <v>275</v>
      </c>
      <c r="AP136" s="700"/>
      <c r="AQ136" s="516"/>
      <c r="AR136" s="516"/>
      <c r="AT136" s="7"/>
    </row>
    <row r="137" spans="1:53" x14ac:dyDescent="0.35">
      <c r="A137" s="5"/>
      <c r="B137" s="538" t="s">
        <v>395</v>
      </c>
      <c r="C137" s="538"/>
      <c r="D137" s="537"/>
      <c r="E137" s="538" t="s">
        <v>395</v>
      </c>
      <c r="F137" s="538"/>
      <c r="G137" s="537"/>
      <c r="H137" s="538" t="s">
        <v>395</v>
      </c>
      <c r="I137" s="538"/>
      <c r="J137" s="537"/>
      <c r="K137" s="538" t="s">
        <v>395</v>
      </c>
      <c r="L137" s="538"/>
      <c r="M137" s="537"/>
      <c r="N137" s="532"/>
      <c r="O137" s="522" t="s">
        <v>359</v>
      </c>
      <c r="P137" s="533"/>
      <c r="Q137" s="532"/>
      <c r="R137" s="522" t="s">
        <v>359</v>
      </c>
      <c r="S137" s="533"/>
      <c r="T137" s="532"/>
      <c r="U137" s="522" t="s">
        <v>359</v>
      </c>
      <c r="V137" s="533"/>
      <c r="W137" s="532"/>
      <c r="X137" s="522" t="s">
        <v>359</v>
      </c>
      <c r="Y137" s="533"/>
      <c r="Z137" s="532"/>
      <c r="AA137" s="522" t="s">
        <v>359</v>
      </c>
      <c r="AB137" s="533"/>
      <c r="AC137" s="532"/>
      <c r="AD137" s="522" t="s">
        <v>359</v>
      </c>
      <c r="AE137" s="533"/>
      <c r="AF137" s="532"/>
      <c r="AG137" s="522" t="s">
        <v>359</v>
      </c>
      <c r="AH137" s="546"/>
      <c r="AI137" s="532"/>
      <c r="AJ137" s="522" t="s">
        <v>359</v>
      </c>
      <c r="AK137" s="546"/>
      <c r="AL137" s="532"/>
      <c r="AM137" s="522" t="s">
        <v>359</v>
      </c>
      <c r="AN137" s="546"/>
      <c r="AO137" s="532"/>
      <c r="AP137" s="522" t="s">
        <v>359</v>
      </c>
      <c r="AQ137" s="522"/>
      <c r="AR137" s="522"/>
      <c r="AT137" s="7"/>
    </row>
    <row r="138" spans="1:53" x14ac:dyDescent="0.35">
      <c r="A138" s="5"/>
      <c r="B138" s="516"/>
      <c r="C138" s="516"/>
      <c r="D138" s="513"/>
      <c r="E138" s="542"/>
      <c r="F138" s="516"/>
      <c r="G138" s="516"/>
      <c r="H138" s="542"/>
      <c r="I138" s="529"/>
      <c r="J138" s="513"/>
      <c r="K138" s="543"/>
      <c r="L138" s="544"/>
      <c r="M138" s="513"/>
      <c r="N138" s="543"/>
      <c r="O138" s="544"/>
      <c r="P138" s="513"/>
      <c r="Q138" s="543"/>
      <c r="R138" s="544"/>
      <c r="S138" s="513"/>
      <c r="T138" s="543"/>
      <c r="U138" s="544"/>
      <c r="V138" s="513"/>
      <c r="W138" s="542"/>
      <c r="X138" s="529"/>
      <c r="Y138" s="519"/>
      <c r="Z138" s="748" t="s">
        <v>408</v>
      </c>
      <c r="AA138" s="748"/>
      <c r="AB138" s="748"/>
      <c r="AC138" s="748"/>
      <c r="AD138" s="748"/>
      <c r="AE138" s="519"/>
      <c r="AF138" s="542"/>
      <c r="AG138" s="529"/>
      <c r="AI138" s="542"/>
      <c r="AJ138" s="529"/>
      <c r="AL138" s="542"/>
      <c r="AM138" s="529"/>
      <c r="AO138" s="542"/>
      <c r="AP138" s="529"/>
      <c r="AQ138" s="529"/>
      <c r="AR138" s="529"/>
      <c r="AT138" s="7"/>
      <c r="AV138" s="6"/>
      <c r="AW138" s="6"/>
      <c r="AX138" s="6"/>
      <c r="AY138" s="6"/>
      <c r="AZ138" s="6"/>
    </row>
    <row r="139" spans="1:53" x14ac:dyDescent="0.35">
      <c r="A139" s="5"/>
      <c r="B139" s="529"/>
      <c r="C139" s="529"/>
      <c r="D139" s="519"/>
      <c r="E139" s="529"/>
      <c r="F139" s="529"/>
      <c r="G139" s="519"/>
      <c r="H139" s="529"/>
      <c r="I139" s="529"/>
      <c r="J139" s="519"/>
      <c r="K139" s="529"/>
      <c r="L139" s="529"/>
      <c r="M139" s="519"/>
      <c r="N139" s="529"/>
      <c r="O139" s="529"/>
      <c r="P139" s="519"/>
      <c r="Q139" s="529"/>
      <c r="R139" s="529"/>
      <c r="S139" s="519"/>
      <c r="T139" s="529"/>
      <c r="U139" s="529"/>
      <c r="V139" s="519"/>
      <c r="W139" s="529"/>
      <c r="X139" s="529"/>
      <c r="Y139" s="519"/>
      <c r="Z139" s="529"/>
      <c r="AA139" s="529"/>
      <c r="AC139" s="529"/>
      <c r="AD139" s="529"/>
      <c r="AE139" s="519"/>
      <c r="AF139" s="529"/>
      <c r="AG139" s="529"/>
      <c r="AT139" s="7"/>
    </row>
    <row r="140" spans="1:53" x14ac:dyDescent="0.35">
      <c r="A140" s="5"/>
      <c r="B140" s="700"/>
      <c r="C140" s="700"/>
      <c r="D140" s="519"/>
      <c r="E140" s="735"/>
      <c r="F140" s="735"/>
      <c r="G140" s="519"/>
      <c r="H140" s="735"/>
      <c r="I140" s="735"/>
      <c r="J140" s="519"/>
      <c r="K140" s="735"/>
      <c r="L140" s="735"/>
      <c r="M140" s="519"/>
      <c r="N140" s="735"/>
      <c r="O140" s="735"/>
      <c r="P140" s="519"/>
      <c r="Q140" s="735"/>
      <c r="R140" s="735"/>
      <c r="S140" s="519"/>
      <c r="T140" s="735"/>
      <c r="U140" s="735"/>
      <c r="V140" s="519"/>
      <c r="W140" s="735"/>
      <c r="X140" s="735"/>
      <c r="Y140" s="519"/>
      <c r="Z140" s="700"/>
      <c r="AA140" s="700"/>
      <c r="AB140" s="519"/>
      <c r="AC140" s="700"/>
      <c r="AD140" s="700"/>
      <c r="AE140" s="701"/>
      <c r="AF140" s="701"/>
      <c r="AG140" s="701"/>
      <c r="AH140" s="701"/>
      <c r="AI140" s="711"/>
      <c r="AJ140" s="711"/>
      <c r="AL140" s="711"/>
      <c r="AM140" s="711"/>
      <c r="AO140" s="711"/>
      <c r="AP140" s="711"/>
      <c r="AQ140" s="10"/>
      <c r="AR140" s="10"/>
      <c r="AT140" s="7"/>
    </row>
    <row r="141" spans="1:53" x14ac:dyDescent="0.35">
      <c r="A141" s="5"/>
      <c r="B141" s="11"/>
      <c r="C141" s="12"/>
      <c r="D141" s="513"/>
      <c r="E141" s="11"/>
      <c r="F141" s="12"/>
      <c r="G141" s="513"/>
      <c r="H141" s="11"/>
      <c r="I141" s="12"/>
      <c r="J141" s="513"/>
      <c r="K141" s="11"/>
      <c r="L141" s="12"/>
      <c r="M141" s="513"/>
      <c r="N141" s="11"/>
      <c r="O141" s="12"/>
      <c r="P141" s="513"/>
      <c r="Q141" s="11"/>
      <c r="R141" s="12"/>
      <c r="S141" s="513"/>
      <c r="T141" s="11"/>
      <c r="U141" s="12"/>
      <c r="V141" s="513"/>
      <c r="W141" s="11"/>
      <c r="X141" s="12"/>
      <c r="Y141" s="513"/>
      <c r="Z141" s="207"/>
      <c r="AA141" s="207"/>
      <c r="AB141" s="529"/>
      <c r="AC141" s="265"/>
      <c r="AD141" s="9"/>
      <c r="AE141" s="513"/>
      <c r="AF141" s="11"/>
      <c r="AG141" s="12"/>
      <c r="AH141" s="510"/>
      <c r="AI141" s="11"/>
      <c r="AJ141" s="12"/>
      <c r="AK141" s="510"/>
      <c r="AL141" s="11"/>
      <c r="AM141" s="12"/>
      <c r="AN141" s="510"/>
      <c r="AO141" s="11"/>
      <c r="AP141" s="12"/>
      <c r="AQ141" s="547"/>
      <c r="AR141" s="547"/>
      <c r="AS141" s="510"/>
      <c r="AT141" s="212"/>
    </row>
    <row r="142" spans="1:53" x14ac:dyDescent="0.35">
      <c r="A142" s="5"/>
      <c r="B142" s="15"/>
      <c r="C142" s="15"/>
      <c r="D142" s="513"/>
      <c r="E142" s="15"/>
      <c r="F142" s="15"/>
      <c r="G142" s="513"/>
      <c r="H142" s="15"/>
      <c r="I142" s="15"/>
      <c r="J142" s="513"/>
      <c r="K142" s="15"/>
      <c r="L142" s="15"/>
      <c r="M142" s="513"/>
      <c r="N142" s="15"/>
      <c r="O142" s="15"/>
      <c r="P142" s="513"/>
      <c r="Q142" s="15"/>
      <c r="R142" s="15"/>
      <c r="S142" s="513"/>
      <c r="T142" s="15"/>
      <c r="U142" s="15"/>
      <c r="V142" s="513"/>
      <c r="W142" s="15"/>
      <c r="X142" s="15"/>
      <c r="Y142" s="519"/>
      <c r="Z142" s="207"/>
      <c r="AA142" s="207"/>
      <c r="AB142" s="534"/>
      <c r="AC142" s="266"/>
      <c r="AD142" s="266"/>
      <c r="AE142" s="519"/>
      <c r="AF142" s="15"/>
      <c r="AG142" s="15"/>
      <c r="AH142" s="510"/>
      <c r="AI142" s="15"/>
      <c r="AJ142" s="15"/>
      <c r="AL142" s="15"/>
      <c r="AM142" s="15"/>
      <c r="AO142" s="15"/>
      <c r="AP142" s="15"/>
      <c r="AQ142" s="548"/>
      <c r="AR142" s="548"/>
      <c r="AS142" s="510"/>
      <c r="AT142" s="212"/>
      <c r="AV142" s="2">
        <v>13</v>
      </c>
      <c r="AW142" s="2">
        <v>11</v>
      </c>
      <c r="AX142" s="2">
        <v>9</v>
      </c>
      <c r="AY142" s="2">
        <v>0</v>
      </c>
      <c r="AZ142" s="2"/>
      <c r="BA142" s="405">
        <f>+A143+D143+G143+J143+M143+P143+S143+V143+Y143+AB143+AE143+AH143+AK143+AN143+AQ143</f>
        <v>5377</v>
      </c>
    </row>
    <row r="143" spans="1:53" x14ac:dyDescent="0.35">
      <c r="A143" s="5"/>
      <c r="B143" s="699" t="s">
        <v>33</v>
      </c>
      <c r="C143" s="700"/>
      <c r="D143" s="513">
        <v>407</v>
      </c>
      <c r="E143" s="714" t="s">
        <v>28</v>
      </c>
      <c r="F143" s="712"/>
      <c r="G143" s="513">
        <v>404</v>
      </c>
      <c r="H143" s="712" t="s">
        <v>16</v>
      </c>
      <c r="I143" s="712"/>
      <c r="J143" s="513">
        <v>418</v>
      </c>
      <c r="K143" s="714" t="s">
        <v>31</v>
      </c>
      <c r="L143" s="712"/>
      <c r="M143" s="513">
        <v>413</v>
      </c>
      <c r="N143" s="714" t="s">
        <v>33</v>
      </c>
      <c r="O143" s="712"/>
      <c r="P143" s="513">
        <v>410</v>
      </c>
      <c r="Q143" s="714" t="s">
        <v>31</v>
      </c>
      <c r="R143" s="712"/>
      <c r="S143" s="513">
        <v>426</v>
      </c>
      <c r="T143" s="717" t="s">
        <v>31</v>
      </c>
      <c r="U143" s="712"/>
      <c r="V143" s="513">
        <v>397</v>
      </c>
      <c r="W143" s="717" t="s">
        <v>16</v>
      </c>
      <c r="X143" s="712"/>
      <c r="Y143" s="519">
        <v>404</v>
      </c>
      <c r="Z143" s="699" t="s">
        <v>146</v>
      </c>
      <c r="AA143" s="700"/>
      <c r="AB143" s="534">
        <v>224</v>
      </c>
      <c r="AC143" s="699" t="s">
        <v>118</v>
      </c>
      <c r="AD143" s="699"/>
      <c r="AE143" s="519">
        <v>422</v>
      </c>
      <c r="AF143" s="699" t="s">
        <v>31</v>
      </c>
      <c r="AG143" s="700"/>
      <c r="AH143" s="513">
        <v>343</v>
      </c>
      <c r="AI143" s="704" t="s">
        <v>23</v>
      </c>
      <c r="AJ143" s="700"/>
      <c r="AK143" s="519">
        <v>360</v>
      </c>
      <c r="AL143" s="704" t="s">
        <v>23</v>
      </c>
      <c r="AM143" s="700"/>
      <c r="AN143" s="6">
        <v>340</v>
      </c>
      <c r="AO143" s="711" t="s">
        <v>40</v>
      </c>
      <c r="AP143" s="711"/>
      <c r="AQ143" s="10">
        <v>409</v>
      </c>
      <c r="AR143" s="10"/>
      <c r="AS143" s="510"/>
      <c r="AT143" s="212"/>
    </row>
    <row r="144" spans="1:53" x14ac:dyDescent="0.35">
      <c r="A144" s="5"/>
      <c r="B144" s="703" t="s">
        <v>276</v>
      </c>
      <c r="C144" s="700"/>
      <c r="D144" s="519"/>
      <c r="E144" s="700" t="s">
        <v>277</v>
      </c>
      <c r="F144" s="700"/>
      <c r="G144" s="519"/>
      <c r="H144" s="700" t="s">
        <v>278</v>
      </c>
      <c r="I144" s="700"/>
      <c r="J144" s="519"/>
      <c r="K144" s="700" t="s">
        <v>279</v>
      </c>
      <c r="L144" s="700"/>
      <c r="M144" s="519"/>
      <c r="N144" s="700" t="s">
        <v>280</v>
      </c>
      <c r="O144" s="700"/>
      <c r="P144" s="519"/>
      <c r="Q144" s="700" t="s">
        <v>281</v>
      </c>
      <c r="R144" s="700"/>
      <c r="S144" s="519"/>
      <c r="T144" s="700" t="s">
        <v>282</v>
      </c>
      <c r="U144" s="700"/>
      <c r="V144" s="519"/>
      <c r="W144" s="700" t="s">
        <v>283</v>
      </c>
      <c r="X144" s="700"/>
      <c r="Y144" s="519"/>
      <c r="Z144" s="700" t="s">
        <v>284</v>
      </c>
      <c r="AA144" s="700"/>
      <c r="AB144" s="519"/>
      <c r="AC144" s="700" t="s">
        <v>285</v>
      </c>
      <c r="AD144" s="700"/>
      <c r="AE144" s="519"/>
      <c r="AF144" s="700" t="s">
        <v>286</v>
      </c>
      <c r="AG144" s="700"/>
      <c r="AI144" s="700" t="s">
        <v>287</v>
      </c>
      <c r="AJ144" s="700"/>
      <c r="AK144" s="519"/>
      <c r="AL144" s="700" t="s">
        <v>288</v>
      </c>
      <c r="AM144" s="700"/>
      <c r="AO144" s="700" t="s">
        <v>289</v>
      </c>
      <c r="AP144" s="700"/>
      <c r="AQ144" s="516"/>
      <c r="AR144" s="516"/>
      <c r="AT144" s="7"/>
    </row>
    <row r="145" spans="1:53" x14ac:dyDescent="0.35">
      <c r="A145" s="5"/>
      <c r="B145" s="522" t="s">
        <v>359</v>
      </c>
      <c r="C145" s="532"/>
      <c r="D145" s="533"/>
      <c r="E145" s="532"/>
      <c r="F145" s="522" t="s">
        <v>359</v>
      </c>
      <c r="G145" s="533"/>
      <c r="H145" s="532"/>
      <c r="I145" s="522" t="s">
        <v>359</v>
      </c>
      <c r="J145" s="533"/>
      <c r="K145" s="532"/>
      <c r="L145" s="522" t="s">
        <v>359</v>
      </c>
      <c r="M145" s="533"/>
      <c r="N145" s="532"/>
      <c r="O145" s="522" t="s">
        <v>359</v>
      </c>
      <c r="P145" s="533"/>
      <c r="Q145" s="532"/>
      <c r="R145" s="522" t="s">
        <v>359</v>
      </c>
      <c r="S145" s="533"/>
      <c r="T145" s="532"/>
      <c r="U145" s="522" t="s">
        <v>359</v>
      </c>
      <c r="V145" s="533"/>
      <c r="W145" s="532"/>
      <c r="X145" s="522" t="s">
        <v>359</v>
      </c>
      <c r="Y145" s="533"/>
      <c r="Z145" s="532"/>
      <c r="AA145" s="522" t="s">
        <v>359</v>
      </c>
      <c r="AB145" s="533"/>
      <c r="AC145" s="532"/>
      <c r="AD145" s="522" t="s">
        <v>359</v>
      </c>
      <c r="AE145" s="533"/>
      <c r="AF145" s="532"/>
      <c r="AG145" s="522" t="s">
        <v>359</v>
      </c>
      <c r="AH145" s="546"/>
      <c r="AI145" s="532"/>
      <c r="AJ145" s="522" t="s">
        <v>359</v>
      </c>
      <c r="AK145" s="546"/>
      <c r="AL145" s="522"/>
      <c r="AM145" s="522" t="s">
        <v>359</v>
      </c>
      <c r="AN145" s="546"/>
      <c r="AO145" s="532"/>
      <c r="AP145" s="522" t="s">
        <v>359</v>
      </c>
      <c r="AQ145" s="522"/>
      <c r="AR145" s="522"/>
      <c r="AT145" s="7"/>
    </row>
    <row r="146" spans="1:53" x14ac:dyDescent="0.35">
      <c r="A146" s="5"/>
      <c r="C146" s="529"/>
      <c r="D146" s="529"/>
      <c r="E146" s="529"/>
      <c r="F146" s="529"/>
      <c r="G146" s="529"/>
      <c r="H146" s="748" t="s">
        <v>829</v>
      </c>
      <c r="I146" s="748"/>
      <c r="J146" s="748"/>
      <c r="K146" s="748"/>
      <c r="L146" s="748"/>
      <c r="M146" s="529"/>
      <c r="N146" s="529"/>
      <c r="O146" s="529"/>
      <c r="P146" s="529"/>
      <c r="Q146" s="748" t="s">
        <v>408</v>
      </c>
      <c r="R146" s="748"/>
      <c r="S146" s="748"/>
      <c r="T146" s="748"/>
      <c r="U146" s="748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  <c r="AI146" s="529"/>
      <c r="AJ146" s="529"/>
      <c r="AK146" s="529"/>
      <c r="AL146" s="529"/>
      <c r="AM146" s="529"/>
      <c r="AN146" s="529"/>
      <c r="AO146" s="700" t="s">
        <v>805</v>
      </c>
      <c r="AP146" s="700"/>
      <c r="AQ146" s="700"/>
      <c r="AR146" s="700"/>
      <c r="AS146" s="700"/>
      <c r="AT146" s="752"/>
      <c r="AV146" s="6"/>
      <c r="AW146" s="6"/>
      <c r="AX146" s="6"/>
      <c r="AY146" s="6"/>
      <c r="AZ146" s="6"/>
    </row>
    <row r="147" spans="1:53" x14ac:dyDescent="0.35">
      <c r="A147" s="5"/>
      <c r="B147" s="529"/>
      <c r="C147" s="529"/>
      <c r="D147" s="519"/>
      <c r="E147" s="529"/>
      <c r="F147" s="529"/>
      <c r="G147" s="519"/>
      <c r="H147" s="529"/>
      <c r="I147" s="529"/>
      <c r="J147" s="519"/>
      <c r="K147" s="529"/>
      <c r="L147" s="529"/>
      <c r="M147" s="519"/>
      <c r="N147" s="529"/>
      <c r="O147" s="529"/>
      <c r="P147" s="519"/>
      <c r="Q147" s="529"/>
      <c r="R147" s="529"/>
      <c r="S147" s="519"/>
      <c r="T147" s="529"/>
      <c r="U147" s="529"/>
      <c r="V147" s="519"/>
      <c r="W147" s="529"/>
      <c r="X147" s="529"/>
      <c r="Y147" s="519"/>
      <c r="Z147" s="529"/>
      <c r="AA147" s="529"/>
      <c r="AC147" s="529"/>
      <c r="AD147" s="529"/>
      <c r="AE147" s="519"/>
      <c r="AF147" s="529"/>
      <c r="AG147" s="529"/>
      <c r="AT147" s="7"/>
    </row>
    <row r="148" spans="1:53" x14ac:dyDescent="0.35">
      <c r="A148" s="5"/>
      <c r="B148" s="700"/>
      <c r="C148" s="700"/>
      <c r="D148" s="519"/>
      <c r="E148" s="735"/>
      <c r="F148" s="735"/>
      <c r="G148" s="519"/>
      <c r="H148" s="735"/>
      <c r="I148" s="735"/>
      <c r="J148" s="519"/>
      <c r="K148" s="735"/>
      <c r="L148" s="735"/>
      <c r="M148" s="519"/>
      <c r="N148" s="735"/>
      <c r="O148" s="735"/>
      <c r="P148" s="519"/>
      <c r="Q148" s="735"/>
      <c r="R148" s="735"/>
      <c r="S148" s="519"/>
      <c r="T148" s="735"/>
      <c r="U148" s="735"/>
      <c r="V148" s="519"/>
      <c r="W148" s="735"/>
      <c r="X148" s="735"/>
      <c r="Y148" s="519"/>
      <c r="Z148" s="700"/>
      <c r="AA148" s="700"/>
      <c r="AB148" s="519"/>
      <c r="AC148" s="700"/>
      <c r="AD148" s="700"/>
      <c r="AE148" s="701"/>
      <c r="AF148" s="701"/>
      <c r="AG148" s="701"/>
      <c r="AH148" s="701"/>
      <c r="AI148" s="711"/>
      <c r="AJ148" s="711"/>
      <c r="AL148" s="711"/>
      <c r="AM148" s="711"/>
      <c r="AO148" s="711"/>
      <c r="AP148" s="711"/>
      <c r="AQ148" s="10"/>
      <c r="AR148" s="10"/>
      <c r="AT148" s="7"/>
    </row>
    <row r="149" spans="1:53" x14ac:dyDescent="0.35">
      <c r="A149" s="5"/>
      <c r="B149" s="207"/>
      <c r="C149" s="207"/>
      <c r="D149" s="513"/>
      <c r="E149" s="207"/>
      <c r="F149" s="207"/>
      <c r="G149" s="513"/>
      <c r="H149" s="11"/>
      <c r="I149" s="12"/>
      <c r="J149" s="513"/>
      <c r="K149" s="11"/>
      <c r="L149" s="12"/>
      <c r="M149" s="513"/>
      <c r="N149" s="207"/>
      <c r="O149" s="207"/>
      <c r="P149" s="513"/>
      <c r="Q149" s="11"/>
      <c r="R149" s="12"/>
      <c r="S149" s="513"/>
      <c r="T149" s="30"/>
      <c r="U149" s="31"/>
      <c r="V149" s="513"/>
      <c r="W149" s="11"/>
      <c r="X149" s="12"/>
      <c r="Y149" s="513"/>
      <c r="Z149" s="11"/>
      <c r="AA149" s="12"/>
      <c r="AB149" s="529"/>
      <c r="AC149" s="736" t="s">
        <v>397</v>
      </c>
      <c r="AD149" s="737"/>
      <c r="AE149" s="513"/>
      <c r="AF149" s="736" t="s">
        <v>397</v>
      </c>
      <c r="AG149" s="737"/>
      <c r="AH149" s="510"/>
      <c r="AI149" s="11"/>
      <c r="AJ149" s="12"/>
      <c r="AK149" s="510"/>
      <c r="AL149" s="736" t="s">
        <v>397</v>
      </c>
      <c r="AM149" s="737"/>
      <c r="AN149" s="510"/>
      <c r="AO149" s="736" t="s">
        <v>397</v>
      </c>
      <c r="AP149" s="737"/>
      <c r="AQ149" s="540"/>
      <c r="AR149" s="540"/>
      <c r="AS149" s="510"/>
      <c r="AT149" s="212"/>
    </row>
    <row r="150" spans="1:53" x14ac:dyDescent="0.35">
      <c r="A150" s="5"/>
      <c r="B150" s="207"/>
      <c r="C150" s="207"/>
      <c r="D150" s="513"/>
      <c r="E150" s="207"/>
      <c r="F150" s="207"/>
      <c r="G150" s="513"/>
      <c r="H150" s="15"/>
      <c r="I150" s="15"/>
      <c r="J150" s="513"/>
      <c r="K150" s="15"/>
      <c r="L150" s="15"/>
      <c r="M150" s="513"/>
      <c r="N150" s="207"/>
      <c r="O150" s="207"/>
      <c r="P150" s="513"/>
      <c r="Q150" s="15"/>
      <c r="R150" s="15"/>
      <c r="S150" s="513"/>
      <c r="T150" s="32"/>
      <c r="U150" s="32"/>
      <c r="V150" s="513"/>
      <c r="W150" s="15"/>
      <c r="X150" s="15"/>
      <c r="Y150" s="519"/>
      <c r="Z150" s="15"/>
      <c r="AA150" s="15"/>
      <c r="AB150" s="534"/>
      <c r="AC150" s="738"/>
      <c r="AD150" s="739"/>
      <c r="AE150" s="519"/>
      <c r="AF150" s="738"/>
      <c r="AG150" s="739"/>
      <c r="AH150" s="510"/>
      <c r="AI150" s="15"/>
      <c r="AJ150" s="15"/>
      <c r="AL150" s="738"/>
      <c r="AM150" s="739"/>
      <c r="AO150" s="738"/>
      <c r="AP150" s="739"/>
      <c r="AQ150" s="540"/>
      <c r="AR150" s="540"/>
      <c r="AS150" s="510"/>
      <c r="AT150" s="212"/>
      <c r="AV150" s="2">
        <v>9</v>
      </c>
      <c r="AW150" s="2">
        <v>6</v>
      </c>
      <c r="AX150" s="2">
        <v>5</v>
      </c>
      <c r="AY150" s="2">
        <v>0</v>
      </c>
      <c r="AZ150" s="2"/>
      <c r="BA150" s="405">
        <f>+A151+D151+G151+J151+M151+P151+S151+V151+Y151+AB151+AE151+AH151+AK151+AN151+AQ151</f>
        <v>4749.2690000000002</v>
      </c>
    </row>
    <row r="151" spans="1:53" x14ac:dyDescent="0.35">
      <c r="A151" s="5"/>
      <c r="B151" s="699" t="s">
        <v>35</v>
      </c>
      <c r="C151" s="700"/>
      <c r="D151" s="513">
        <v>391.06</v>
      </c>
      <c r="E151" s="699" t="s">
        <v>113</v>
      </c>
      <c r="F151" s="700"/>
      <c r="G151" s="513">
        <v>386</v>
      </c>
      <c r="H151" s="699" t="s">
        <v>803</v>
      </c>
      <c r="I151" s="700"/>
      <c r="J151" s="363">
        <v>372.887</v>
      </c>
      <c r="K151" s="699" t="s">
        <v>804</v>
      </c>
      <c r="L151" s="700"/>
      <c r="M151" s="363">
        <v>333</v>
      </c>
      <c r="N151" s="714" t="s">
        <v>33</v>
      </c>
      <c r="O151" s="712"/>
      <c r="P151" s="363">
        <v>357.142</v>
      </c>
      <c r="Q151" s="714" t="s">
        <v>146</v>
      </c>
      <c r="R151" s="712"/>
      <c r="S151" s="363">
        <v>234.17099999999999</v>
      </c>
      <c r="T151" s="717" t="s">
        <v>172</v>
      </c>
      <c r="U151" s="712"/>
      <c r="V151" s="315">
        <v>352</v>
      </c>
      <c r="W151" s="717" t="s">
        <v>16</v>
      </c>
      <c r="X151" s="712"/>
      <c r="Y151" s="315">
        <v>353</v>
      </c>
      <c r="Z151" s="699" t="s">
        <v>33</v>
      </c>
      <c r="AA151" s="700"/>
      <c r="AB151" s="315">
        <v>352.60599999999999</v>
      </c>
      <c r="AC151" s="699" t="s">
        <v>154</v>
      </c>
      <c r="AD151" s="699"/>
      <c r="AE151" s="519">
        <v>268</v>
      </c>
      <c r="AF151" s="699" t="s">
        <v>299</v>
      </c>
      <c r="AG151" s="700"/>
      <c r="AH151" s="513">
        <v>306</v>
      </c>
      <c r="AI151" s="699" t="s">
        <v>390</v>
      </c>
      <c r="AJ151" s="700"/>
      <c r="AK151" s="519">
        <v>297</v>
      </c>
      <c r="AL151" s="700" t="s">
        <v>23</v>
      </c>
      <c r="AM151" s="700"/>
      <c r="AN151" s="315">
        <v>414.40300000000002</v>
      </c>
      <c r="AO151" s="700" t="s">
        <v>61</v>
      </c>
      <c r="AP151" s="700"/>
      <c r="AQ151" s="516">
        <v>332</v>
      </c>
      <c r="AR151" s="516"/>
      <c r="AS151" s="510"/>
      <c r="AT151" s="212"/>
    </row>
    <row r="152" spans="1:53" x14ac:dyDescent="0.35">
      <c r="A152" s="5"/>
      <c r="B152" s="700" t="s">
        <v>290</v>
      </c>
      <c r="C152" s="700"/>
      <c r="D152" s="519"/>
      <c r="E152" s="700" t="s">
        <v>291</v>
      </c>
      <c r="F152" s="700"/>
      <c r="G152" s="519"/>
      <c r="H152" s="700" t="s">
        <v>292</v>
      </c>
      <c r="I152" s="700"/>
      <c r="J152" s="519"/>
      <c r="K152" s="700" t="s">
        <v>391</v>
      </c>
      <c r="L152" s="700"/>
      <c r="M152" s="519"/>
      <c r="N152" s="700" t="s">
        <v>392</v>
      </c>
      <c r="O152" s="700"/>
      <c r="P152" s="519"/>
      <c r="Q152" s="699" t="s">
        <v>293</v>
      </c>
      <c r="R152" s="700"/>
      <c r="S152" s="519"/>
      <c r="T152" s="700" t="s">
        <v>294</v>
      </c>
      <c r="U152" s="700"/>
      <c r="V152" s="519"/>
      <c r="W152" s="700" t="s">
        <v>295</v>
      </c>
      <c r="X152" s="700"/>
      <c r="Y152" s="519"/>
      <c r="Z152" s="700" t="s">
        <v>296</v>
      </c>
      <c r="AA152" s="700"/>
      <c r="AB152" s="519"/>
      <c r="AC152" s="700" t="s">
        <v>297</v>
      </c>
      <c r="AD152" s="700"/>
      <c r="AE152" s="519"/>
      <c r="AF152" s="700" t="s">
        <v>298</v>
      </c>
      <c r="AG152" s="700"/>
      <c r="AI152" s="700" t="s">
        <v>300</v>
      </c>
      <c r="AJ152" s="700"/>
      <c r="AL152" s="700" t="s">
        <v>301</v>
      </c>
      <c r="AM152" s="700"/>
      <c r="AO152" s="700" t="s">
        <v>302</v>
      </c>
      <c r="AP152" s="700"/>
      <c r="AQ152" s="516"/>
      <c r="AR152" s="516"/>
      <c r="AT152" s="7"/>
    </row>
    <row r="153" spans="1:53" x14ac:dyDescent="0.35">
      <c r="A153" s="5"/>
      <c r="B153" s="522" t="s">
        <v>359</v>
      </c>
      <c r="C153" s="532"/>
      <c r="D153" s="533"/>
      <c r="E153" s="532"/>
      <c r="F153" s="522" t="s">
        <v>359</v>
      </c>
      <c r="G153" s="533"/>
      <c r="H153" s="532"/>
      <c r="I153" s="522" t="s">
        <v>359</v>
      </c>
      <c r="J153" s="533"/>
      <c r="K153" s="532"/>
      <c r="L153" s="522" t="s">
        <v>359</v>
      </c>
      <c r="M153" s="533"/>
      <c r="N153" s="532"/>
      <c r="O153" s="522" t="s">
        <v>359</v>
      </c>
      <c r="P153" s="533"/>
      <c r="Q153" s="532"/>
      <c r="R153" s="522" t="s">
        <v>359</v>
      </c>
      <c r="S153" s="533"/>
      <c r="T153" s="532"/>
      <c r="U153" s="522" t="s">
        <v>359</v>
      </c>
      <c r="V153" s="533"/>
      <c r="W153" s="532"/>
      <c r="X153" s="522" t="s">
        <v>359</v>
      </c>
      <c r="Y153" s="533"/>
      <c r="Z153" s="532"/>
      <c r="AA153" s="522" t="s">
        <v>359</v>
      </c>
      <c r="AB153" s="533"/>
      <c r="AC153" s="532"/>
      <c r="AD153" s="522" t="s">
        <v>359</v>
      </c>
      <c r="AE153" s="533"/>
      <c r="AF153" s="532"/>
      <c r="AG153" s="522" t="s">
        <v>359</v>
      </c>
      <c r="AH153" s="546"/>
      <c r="AI153" s="532"/>
      <c r="AJ153" s="522" t="s">
        <v>359</v>
      </c>
      <c r="AK153" s="546"/>
      <c r="AL153" s="532"/>
      <c r="AM153" s="522" t="s">
        <v>359</v>
      </c>
      <c r="AN153" s="546"/>
      <c r="AO153" s="532"/>
      <c r="AP153" s="522" t="s">
        <v>359</v>
      </c>
      <c r="AQ153" s="522"/>
      <c r="AR153" s="522"/>
      <c r="AT153" s="7"/>
    </row>
    <row r="154" spans="1:53" x14ac:dyDescent="0.35">
      <c r="A154" s="5"/>
      <c r="B154" s="748" t="s">
        <v>805</v>
      </c>
      <c r="C154" s="748"/>
      <c r="D154" s="748"/>
      <c r="E154" s="748"/>
      <c r="F154" s="748"/>
      <c r="G154" s="748"/>
      <c r="H154" s="748"/>
      <c r="I154" s="748"/>
      <c r="J154" s="748"/>
      <c r="K154" s="748"/>
      <c r="L154" s="748"/>
      <c r="M154" s="748"/>
      <c r="N154" s="748"/>
      <c r="O154" s="748"/>
      <c r="P154" s="529"/>
      <c r="Q154" s="529"/>
      <c r="R154" s="529"/>
      <c r="S154" s="529"/>
      <c r="T154" s="529"/>
      <c r="U154" s="529"/>
      <c r="V154" s="513"/>
      <c r="W154" s="753" t="s">
        <v>409</v>
      </c>
      <c r="X154" s="753"/>
      <c r="Y154" s="753"/>
      <c r="Z154" s="753"/>
      <c r="AA154" s="753"/>
      <c r="AB154" s="529"/>
      <c r="AC154" s="224" t="s">
        <v>830</v>
      </c>
      <c r="AD154" s="224"/>
      <c r="AE154" s="224"/>
      <c r="AF154" s="754" t="s">
        <v>408</v>
      </c>
      <c r="AG154" s="755"/>
      <c r="AH154" s="755"/>
      <c r="AI154" s="755"/>
      <c r="AJ154" s="756"/>
      <c r="AL154" s="542"/>
      <c r="AM154" s="529"/>
      <c r="AO154" s="542"/>
      <c r="AP154" s="529"/>
      <c r="AQ154" s="529"/>
      <c r="AR154" s="529"/>
      <c r="AT154" s="7"/>
      <c r="AV154" s="6"/>
      <c r="AW154" s="6"/>
      <c r="AX154" s="6"/>
      <c r="AY154" s="6"/>
      <c r="AZ154" s="6"/>
    </row>
    <row r="155" spans="1:53" x14ac:dyDescent="0.35">
      <c r="A155" s="5"/>
      <c r="B155" s="529"/>
      <c r="C155" s="529"/>
      <c r="D155" s="519"/>
      <c r="E155" s="529"/>
      <c r="F155" s="529"/>
      <c r="G155" s="519"/>
      <c r="H155" s="529"/>
      <c r="I155" s="529"/>
      <c r="J155" s="519"/>
      <c r="K155" s="529"/>
      <c r="L155" s="529"/>
      <c r="M155" s="519"/>
      <c r="N155" s="529"/>
      <c r="O155" s="529"/>
      <c r="P155" s="519"/>
      <c r="Q155" s="529"/>
      <c r="R155" s="529"/>
      <c r="S155" s="519"/>
      <c r="T155" s="529"/>
      <c r="U155" s="529"/>
      <c r="V155" s="519"/>
      <c r="W155" s="529"/>
      <c r="X155" s="529"/>
      <c r="Y155" s="519"/>
      <c r="Z155" s="529"/>
      <c r="AA155" s="529"/>
      <c r="AC155" s="529"/>
      <c r="AD155" s="529"/>
      <c r="AE155" s="519"/>
      <c r="AF155" s="529"/>
      <c r="AG155" s="529"/>
      <c r="AT155" s="7"/>
    </row>
    <row r="156" spans="1:53" x14ac:dyDescent="0.35">
      <c r="A156" s="5"/>
      <c r="B156" s="700"/>
      <c r="C156" s="700"/>
      <c r="D156" s="519"/>
      <c r="E156" s="735"/>
      <c r="F156" s="735"/>
      <c r="G156" s="519"/>
      <c r="H156" s="735"/>
      <c r="I156" s="735"/>
      <c r="J156" s="519"/>
      <c r="K156" s="735"/>
      <c r="L156" s="735"/>
      <c r="M156" s="519"/>
      <c r="N156" s="735"/>
      <c r="O156" s="735"/>
      <c r="P156" s="519"/>
      <c r="Q156" s="735"/>
      <c r="R156" s="735"/>
      <c r="S156" s="519"/>
      <c r="T156" s="735"/>
      <c r="U156" s="735"/>
      <c r="V156" s="519"/>
      <c r="W156" s="735"/>
      <c r="X156" s="735"/>
      <c r="Y156" s="519"/>
      <c r="Z156" s="700"/>
      <c r="AA156" s="700"/>
      <c r="AB156" s="519"/>
      <c r="AC156" s="700"/>
      <c r="AD156" s="700"/>
      <c r="AE156" s="701"/>
      <c r="AF156" s="701"/>
      <c r="AG156" s="701"/>
      <c r="AH156" s="701"/>
      <c r="AI156" s="711"/>
      <c r="AJ156" s="711"/>
      <c r="AL156" s="711"/>
      <c r="AM156" s="711"/>
      <c r="AO156" s="711"/>
      <c r="AP156" s="711"/>
      <c r="AQ156" s="10"/>
      <c r="AR156" s="10"/>
      <c r="AT156" s="7"/>
    </row>
    <row r="157" spans="1:53" x14ac:dyDescent="0.35">
      <c r="A157" s="5"/>
      <c r="B157" s="30"/>
      <c r="C157" s="31"/>
      <c r="D157" s="513"/>
      <c r="E157" s="30"/>
      <c r="F157" s="31"/>
      <c r="G157" s="513"/>
      <c r="H157" s="30"/>
      <c r="I157" s="31"/>
      <c r="J157" s="513"/>
      <c r="K157" s="30"/>
      <c r="L157" s="31"/>
      <c r="M157" s="513"/>
      <c r="N157" s="30"/>
      <c r="O157" s="31"/>
      <c r="P157" s="513"/>
      <c r="Q157" s="736" t="s">
        <v>397</v>
      </c>
      <c r="R157" s="737"/>
      <c r="S157" s="513"/>
      <c r="T157" s="30"/>
      <c r="U157" s="31"/>
      <c r="V157" s="513"/>
      <c r="W157" s="221"/>
      <c r="X157" s="221"/>
      <c r="Y157" s="513"/>
      <c r="Z157" s="30"/>
      <c r="AA157" s="31"/>
      <c r="AB157" s="529"/>
      <c r="AC157" s="744" t="s">
        <v>396</v>
      </c>
      <c r="AD157" s="745"/>
      <c r="AE157" s="513"/>
      <c r="AF157" s="30"/>
      <c r="AG157" s="31"/>
      <c r="AH157" s="510"/>
      <c r="AI157" s="265"/>
      <c r="AJ157" s="9"/>
      <c r="AK157" s="510"/>
      <c r="AL157" s="11"/>
      <c r="AM157" s="12"/>
      <c r="AN157" s="510"/>
      <c r="AO157" s="11"/>
      <c r="AP157" s="12"/>
      <c r="AQ157" s="511"/>
      <c r="AR157" s="511"/>
      <c r="AS157" s="510"/>
      <c r="AT157" s="212"/>
    </row>
    <row r="158" spans="1:53" x14ac:dyDescent="0.35">
      <c r="A158" s="5"/>
      <c r="B158" s="32"/>
      <c r="C158" s="32"/>
      <c r="D158" s="513"/>
      <c r="E158" s="32"/>
      <c r="F158" s="32"/>
      <c r="G158" s="513"/>
      <c r="H158" s="32"/>
      <c r="I158" s="32"/>
      <c r="J158" s="513"/>
      <c r="K158" s="32"/>
      <c r="L158" s="32"/>
      <c r="M158" s="513"/>
      <c r="N158" s="32"/>
      <c r="O158" s="32"/>
      <c r="P158" s="513"/>
      <c r="Q158" s="738"/>
      <c r="R158" s="739"/>
      <c r="S158" s="513"/>
      <c r="T158" s="32"/>
      <c r="U158" s="32"/>
      <c r="V158" s="513"/>
      <c r="W158" s="221"/>
      <c r="X158" s="221"/>
      <c r="Y158" s="519"/>
      <c r="Z158" s="32"/>
      <c r="AA158" s="32"/>
      <c r="AB158" s="534"/>
      <c r="AC158" s="746"/>
      <c r="AD158" s="747"/>
      <c r="AE158" s="519"/>
      <c r="AF158" s="32"/>
      <c r="AG158" s="32"/>
      <c r="AH158" s="510"/>
      <c r="AI158" s="266"/>
      <c r="AJ158" s="266"/>
      <c r="AL158" s="15"/>
      <c r="AM158" s="15"/>
      <c r="AO158" s="15"/>
      <c r="AP158" s="15"/>
      <c r="AQ158" s="542"/>
      <c r="AR158" s="542"/>
      <c r="AS158" s="510"/>
      <c r="AT158" s="212"/>
      <c r="AV158" s="2">
        <v>2</v>
      </c>
      <c r="AW158" s="2">
        <v>2</v>
      </c>
      <c r="AX158" s="2">
        <v>1</v>
      </c>
      <c r="AY158" s="2">
        <v>0</v>
      </c>
      <c r="AZ158" s="2"/>
      <c r="BA158" s="405">
        <f>+A159+D159+G159+J159+M159+P159+S159+V159+Y159+AB159+AE159+AH159+AK159+AN159+AQ159</f>
        <v>5209.9070000000002</v>
      </c>
    </row>
    <row r="159" spans="1:53" x14ac:dyDescent="0.35">
      <c r="A159" s="5"/>
      <c r="B159" s="699" t="s">
        <v>238</v>
      </c>
      <c r="C159" s="700"/>
      <c r="D159" s="513">
        <v>410</v>
      </c>
      <c r="E159" s="714" t="s">
        <v>35</v>
      </c>
      <c r="F159" s="712"/>
      <c r="G159" s="315">
        <v>414</v>
      </c>
      <c r="H159" s="712" t="s">
        <v>33</v>
      </c>
      <c r="I159" s="712"/>
      <c r="J159" s="315">
        <v>407</v>
      </c>
      <c r="K159" s="714" t="s">
        <v>31</v>
      </c>
      <c r="L159" s="712"/>
      <c r="M159" s="315">
        <v>421.88400000000001</v>
      </c>
      <c r="N159" s="714" t="s">
        <v>234</v>
      </c>
      <c r="O159" s="712"/>
      <c r="P159" s="315">
        <v>532.19200000000001</v>
      </c>
      <c r="Q159" s="714" t="s">
        <v>164</v>
      </c>
      <c r="R159" s="712"/>
      <c r="S159" s="513">
        <v>415</v>
      </c>
      <c r="T159" s="717" t="s">
        <v>20</v>
      </c>
      <c r="U159" s="712"/>
      <c r="V159" s="362">
        <v>350</v>
      </c>
      <c r="W159" s="717" t="s">
        <v>2013</v>
      </c>
      <c r="X159" s="712"/>
      <c r="Y159" s="362">
        <v>249.01300000000001</v>
      </c>
      <c r="Z159" s="699" t="s">
        <v>156</v>
      </c>
      <c r="AA159" s="700"/>
      <c r="AB159" s="362">
        <v>351</v>
      </c>
      <c r="AC159" s="699" t="s">
        <v>16</v>
      </c>
      <c r="AD159" s="699"/>
      <c r="AE159" s="362">
        <v>307.26100000000002</v>
      </c>
      <c r="AF159" s="699" t="s">
        <v>314</v>
      </c>
      <c r="AG159" s="700"/>
      <c r="AH159" s="362">
        <v>250.55699999999999</v>
      </c>
      <c r="AI159" s="749" t="s">
        <v>148</v>
      </c>
      <c r="AJ159" s="711"/>
      <c r="AK159" s="362">
        <v>423</v>
      </c>
      <c r="AL159" s="711" t="s">
        <v>23</v>
      </c>
      <c r="AM159" s="711"/>
      <c r="AN159" s="362">
        <v>339</v>
      </c>
      <c r="AO159" s="711" t="s">
        <v>23</v>
      </c>
      <c r="AP159" s="711"/>
      <c r="AQ159" s="10">
        <v>340</v>
      </c>
      <c r="AR159" s="10"/>
      <c r="AS159" s="510"/>
      <c r="AT159" s="212"/>
    </row>
    <row r="160" spans="1:53" x14ac:dyDescent="0.35">
      <c r="A160" s="5"/>
      <c r="B160" s="700" t="s">
        <v>303</v>
      </c>
      <c r="C160" s="700"/>
      <c r="D160" s="519"/>
      <c r="E160" s="700" t="s">
        <v>304</v>
      </c>
      <c r="F160" s="700"/>
      <c r="G160" s="519"/>
      <c r="H160" s="700" t="s">
        <v>305</v>
      </c>
      <c r="I160" s="700"/>
      <c r="J160" s="519"/>
      <c r="K160" s="700" t="s">
        <v>306</v>
      </c>
      <c r="L160" s="700"/>
      <c r="M160" s="519"/>
      <c r="N160" s="700" t="s">
        <v>307</v>
      </c>
      <c r="O160" s="700"/>
      <c r="P160" s="519"/>
      <c r="Q160" s="700" t="s">
        <v>308</v>
      </c>
      <c r="R160" s="700"/>
      <c r="S160" s="519"/>
      <c r="T160" s="700" t="s">
        <v>309</v>
      </c>
      <c r="U160" s="700"/>
      <c r="V160" s="519"/>
      <c r="W160" s="700" t="s">
        <v>310</v>
      </c>
      <c r="X160" s="700"/>
      <c r="Y160" s="519"/>
      <c r="Z160" s="700" t="s">
        <v>311</v>
      </c>
      <c r="AA160" s="700"/>
      <c r="AB160" s="519"/>
      <c r="AC160" s="700" t="s">
        <v>312</v>
      </c>
      <c r="AD160" s="700"/>
      <c r="AE160" s="519"/>
      <c r="AF160" s="700" t="s">
        <v>313</v>
      </c>
      <c r="AG160" s="700"/>
      <c r="AI160" s="700" t="s">
        <v>315</v>
      </c>
      <c r="AJ160" s="700"/>
      <c r="AL160" s="700" t="s">
        <v>316</v>
      </c>
      <c r="AM160" s="700"/>
      <c r="AO160" s="700" t="s">
        <v>317</v>
      </c>
      <c r="AP160" s="700"/>
      <c r="AQ160" s="516">
        <v>340</v>
      </c>
      <c r="AR160" s="516"/>
      <c r="AT160" s="7"/>
    </row>
    <row r="161" spans="1:53" x14ac:dyDescent="0.35">
      <c r="A161" s="5"/>
      <c r="B161" s="522" t="s">
        <v>359</v>
      </c>
      <c r="C161" s="532"/>
      <c r="D161" s="533"/>
      <c r="E161" s="532"/>
      <c r="F161" s="522" t="s">
        <v>359</v>
      </c>
      <c r="G161" s="533"/>
      <c r="H161" s="532"/>
      <c r="I161" s="522" t="s">
        <v>359</v>
      </c>
      <c r="J161" s="533"/>
      <c r="K161" s="532"/>
      <c r="L161" s="522" t="s">
        <v>359</v>
      </c>
      <c r="M161" s="533"/>
      <c r="N161" s="532"/>
      <c r="O161" s="522" t="s">
        <v>359</v>
      </c>
      <c r="P161" s="533"/>
      <c r="Q161" s="532"/>
      <c r="R161" s="522" t="s">
        <v>359</v>
      </c>
      <c r="S161" s="533"/>
      <c r="T161" s="532"/>
      <c r="U161" s="522" t="s">
        <v>359</v>
      </c>
      <c r="V161" s="533"/>
      <c r="W161" s="532"/>
      <c r="X161" s="522" t="s">
        <v>359</v>
      </c>
      <c r="Y161" s="533"/>
      <c r="Z161" s="532"/>
      <c r="AA161" s="522" t="s">
        <v>359</v>
      </c>
      <c r="AB161" s="533"/>
      <c r="AC161" s="532"/>
      <c r="AD161" s="522" t="s">
        <v>359</v>
      </c>
      <c r="AE161" s="533"/>
      <c r="AF161" s="532"/>
      <c r="AG161" s="522" t="s">
        <v>359</v>
      </c>
      <c r="AH161" s="546"/>
      <c r="AI161" s="532"/>
      <c r="AJ161" s="522" t="s">
        <v>359</v>
      </c>
      <c r="AK161" s="546"/>
      <c r="AL161" s="532"/>
      <c r="AM161" s="522" t="s">
        <v>359</v>
      </c>
      <c r="AN161" s="546"/>
      <c r="AO161" s="532"/>
      <c r="AP161" s="522" t="s">
        <v>359</v>
      </c>
      <c r="AQ161" s="522"/>
      <c r="AR161" s="522"/>
      <c r="AT161" s="7"/>
    </row>
    <row r="162" spans="1:53" x14ac:dyDescent="0.35">
      <c r="A162" s="5"/>
      <c r="B162" s="516"/>
      <c r="C162" s="516"/>
      <c r="D162" s="513"/>
      <c r="E162" s="542"/>
      <c r="F162" s="516"/>
      <c r="G162" s="516"/>
      <c r="H162" s="542"/>
      <c r="I162" s="529"/>
      <c r="J162" s="513"/>
      <c r="K162" s="543"/>
      <c r="L162" s="544"/>
      <c r="M162" s="513"/>
      <c r="N162" s="543"/>
      <c r="O162" s="544"/>
      <c r="P162" s="513"/>
      <c r="Q162" s="543"/>
      <c r="R162" s="544"/>
      <c r="S162" s="513"/>
      <c r="T162" s="543"/>
      <c r="U162" s="544"/>
      <c r="V162" s="513"/>
      <c r="W162" s="753" t="s">
        <v>403</v>
      </c>
      <c r="X162" s="753"/>
      <c r="Y162" s="753"/>
      <c r="Z162" s="753"/>
      <c r="AA162" s="753"/>
      <c r="AB162" s="753"/>
      <c r="AC162" s="753"/>
      <c r="AD162" s="753"/>
      <c r="AE162" s="519"/>
      <c r="AF162" s="542"/>
      <c r="AG162" s="529"/>
      <c r="AH162" s="757"/>
      <c r="AI162" s="757"/>
      <c r="AJ162" s="757"/>
      <c r="AK162" s="757"/>
      <c r="AL162" s="542"/>
      <c r="AM162" s="529"/>
      <c r="AO162" s="542"/>
      <c r="AP162" s="529"/>
      <c r="AQ162" s="529"/>
      <c r="AR162" s="529"/>
      <c r="AT162" s="7"/>
      <c r="AV162" s="6"/>
      <c r="AW162" s="6"/>
      <c r="AX162" s="6"/>
      <c r="AY162" s="6"/>
      <c r="AZ162" s="6"/>
    </row>
    <row r="163" spans="1:53" x14ac:dyDescent="0.35">
      <c r="A163" s="5"/>
      <c r="B163" s="529"/>
      <c r="C163" s="529"/>
      <c r="D163" s="519"/>
      <c r="E163" s="529"/>
      <c r="F163" s="529"/>
      <c r="G163" s="519"/>
      <c r="H163" s="529"/>
      <c r="I163" s="529"/>
      <c r="J163" s="519"/>
      <c r="K163" s="529"/>
      <c r="L163" s="529"/>
      <c r="M163" s="519"/>
      <c r="N163" s="529"/>
      <c r="O163" s="529"/>
      <c r="P163" s="519"/>
      <c r="Q163" s="529"/>
      <c r="R163" s="529"/>
      <c r="S163" s="519"/>
      <c r="T163" s="529"/>
      <c r="U163" s="529"/>
      <c r="V163" s="519"/>
      <c r="W163" s="529"/>
      <c r="X163" s="529"/>
      <c r="Y163" s="519"/>
      <c r="Z163" s="529"/>
      <c r="AA163" s="529"/>
      <c r="AC163" s="529"/>
      <c r="AD163" s="529"/>
      <c r="AE163" s="519"/>
      <c r="AF163" s="529"/>
      <c r="AG163" s="529"/>
      <c r="AT163" s="7"/>
    </row>
    <row r="164" spans="1:53" x14ac:dyDescent="0.35">
      <c r="A164" s="5"/>
      <c r="B164" s="700"/>
      <c r="C164" s="700"/>
      <c r="D164" s="519"/>
      <c r="E164" s="735"/>
      <c r="F164" s="735"/>
      <c r="G164" s="519"/>
      <c r="H164" s="735"/>
      <c r="I164" s="735"/>
      <c r="J164" s="519"/>
      <c r="K164" s="735"/>
      <c r="L164" s="735"/>
      <c r="M164" s="519"/>
      <c r="N164" s="735"/>
      <c r="O164" s="735"/>
      <c r="P164" s="519"/>
      <c r="Q164" s="735"/>
      <c r="R164" s="735"/>
      <c r="S164" s="519"/>
      <c r="T164" s="735"/>
      <c r="U164" s="735"/>
      <c r="V164" s="519"/>
      <c r="W164" s="735"/>
      <c r="X164" s="735"/>
      <c r="Y164" s="519"/>
      <c r="Z164" s="700"/>
      <c r="AA164" s="700"/>
      <c r="AB164" s="519"/>
      <c r="AC164" s="700"/>
      <c r="AD164" s="700"/>
      <c r="AE164" s="701"/>
      <c r="AF164" s="701"/>
      <c r="AG164" s="701"/>
      <c r="AH164" s="701"/>
      <c r="AI164" s="711"/>
      <c r="AJ164" s="711"/>
      <c r="AL164" s="711"/>
      <c r="AM164" s="711"/>
      <c r="AO164" s="711"/>
      <c r="AP164" s="711"/>
      <c r="AQ164" s="10"/>
      <c r="AR164" s="10"/>
      <c r="AT164" s="7"/>
    </row>
    <row r="165" spans="1:53" x14ac:dyDescent="0.35">
      <c r="A165" s="5"/>
      <c r="B165" s="11"/>
      <c r="C165" s="12"/>
      <c r="D165" s="513"/>
      <c r="E165" s="11"/>
      <c r="F165" s="12"/>
      <c r="G165" s="513"/>
      <c r="H165" s="11"/>
      <c r="I165" s="12"/>
      <c r="J165" s="513"/>
      <c r="K165" s="11"/>
      <c r="L165" s="12"/>
      <c r="M165" s="513"/>
      <c r="N165" s="11"/>
      <c r="O165" s="12"/>
      <c r="P165" s="513"/>
      <c r="Q165" s="11"/>
      <c r="R165" s="12"/>
      <c r="S165" s="513"/>
      <c r="T165" s="11"/>
      <c r="U165" s="12"/>
      <c r="V165" s="513"/>
      <c r="W165" s="740" t="s">
        <v>396</v>
      </c>
      <c r="X165" s="741"/>
      <c r="Y165" s="513"/>
      <c r="Z165" s="11"/>
      <c r="AA165" s="12"/>
      <c r="AB165" s="529"/>
      <c r="AC165" s="744" t="s">
        <v>396</v>
      </c>
      <c r="AD165" s="745"/>
      <c r="AE165" s="513"/>
      <c r="AF165" s="11"/>
      <c r="AG165" s="12"/>
      <c r="AH165" s="510"/>
      <c r="AI165" s="11"/>
      <c r="AJ165" s="12"/>
      <c r="AK165" s="510"/>
      <c r="AL165" s="11"/>
      <c r="AM165" s="12"/>
      <c r="AN165" s="510"/>
      <c r="AO165" s="736" t="s">
        <v>397</v>
      </c>
      <c r="AP165" s="737"/>
      <c r="AQ165" s="540"/>
      <c r="AR165" s="540"/>
      <c r="AS165" s="510"/>
      <c r="AT165" s="212"/>
    </row>
    <row r="166" spans="1:53" x14ac:dyDescent="0.35">
      <c r="A166" s="5"/>
      <c r="B166" s="15"/>
      <c r="C166" s="15"/>
      <c r="D166" s="513"/>
      <c r="E166" s="15"/>
      <c r="F166" s="15"/>
      <c r="G166" s="513"/>
      <c r="H166" s="15"/>
      <c r="I166" s="15"/>
      <c r="J166" s="513"/>
      <c r="K166" s="15"/>
      <c r="L166" s="15"/>
      <c r="M166" s="513"/>
      <c r="N166" s="15"/>
      <c r="O166" s="15"/>
      <c r="P166" s="513"/>
      <c r="Q166" s="15"/>
      <c r="R166" s="15"/>
      <c r="S166" s="513"/>
      <c r="T166" s="15"/>
      <c r="U166" s="15"/>
      <c r="V166" s="513"/>
      <c r="W166" s="742"/>
      <c r="X166" s="743"/>
      <c r="Y166" s="519"/>
      <c r="Z166" s="15"/>
      <c r="AA166" s="15"/>
      <c r="AB166" s="534"/>
      <c r="AC166" s="746"/>
      <c r="AD166" s="747"/>
      <c r="AE166" s="519"/>
      <c r="AF166" s="15"/>
      <c r="AG166" s="15"/>
      <c r="AH166" s="510"/>
      <c r="AI166" s="15"/>
      <c r="AJ166" s="15"/>
      <c r="AL166" s="15"/>
      <c r="AM166" s="15"/>
      <c r="AO166" s="738"/>
      <c r="AP166" s="739"/>
      <c r="AQ166" s="540"/>
      <c r="AR166" s="540"/>
      <c r="AS166" s="510"/>
      <c r="AT166" s="212"/>
      <c r="AV166" s="2">
        <v>12</v>
      </c>
      <c r="AW166" s="2">
        <v>11</v>
      </c>
      <c r="AX166" s="2">
        <v>7</v>
      </c>
      <c r="AY166" s="2">
        <v>0</v>
      </c>
      <c r="AZ166" s="2"/>
      <c r="BA166" s="405">
        <f>+A167+D167+G167+J167+M167+P167+S167+V167+Y167+AB167+AE167+AH167+AK167+AN167+AQ167</f>
        <v>5440.0609999999997</v>
      </c>
    </row>
    <row r="167" spans="1:53" x14ac:dyDescent="0.35">
      <c r="A167" s="5"/>
      <c r="B167" s="711" t="s">
        <v>23</v>
      </c>
      <c r="C167" s="711"/>
      <c r="D167" s="362">
        <v>339.06099999999998</v>
      </c>
      <c r="E167" s="714" t="s">
        <v>115</v>
      </c>
      <c r="F167" s="712"/>
      <c r="G167" s="513">
        <v>383</v>
      </c>
      <c r="H167" s="712" t="s">
        <v>16</v>
      </c>
      <c r="I167" s="712"/>
      <c r="J167" s="513">
        <v>400</v>
      </c>
      <c r="K167" s="714" t="s">
        <v>40</v>
      </c>
      <c r="L167" s="712"/>
      <c r="M167" s="513">
        <v>386</v>
      </c>
      <c r="N167" s="714" t="s">
        <v>14</v>
      </c>
      <c r="O167" s="712"/>
      <c r="P167" s="513">
        <v>393</v>
      </c>
      <c r="Q167" s="714" t="s">
        <v>31</v>
      </c>
      <c r="R167" s="712"/>
      <c r="S167" s="513">
        <v>422</v>
      </c>
      <c r="T167" s="717" t="s">
        <v>16</v>
      </c>
      <c r="U167" s="712"/>
      <c r="V167" s="513">
        <v>408</v>
      </c>
      <c r="W167" s="717" t="s">
        <v>14</v>
      </c>
      <c r="X167" s="712"/>
      <c r="Y167" s="519">
        <v>370</v>
      </c>
      <c r="Z167" s="699" t="s">
        <v>23</v>
      </c>
      <c r="AA167" s="700"/>
      <c r="AB167" s="362">
        <v>345</v>
      </c>
      <c r="AC167" s="714" t="s">
        <v>31</v>
      </c>
      <c r="AD167" s="712"/>
      <c r="AE167" s="362">
        <v>352</v>
      </c>
      <c r="AF167" s="699" t="s">
        <v>23</v>
      </c>
      <c r="AG167" s="700"/>
      <c r="AH167" s="510">
        <v>440</v>
      </c>
      <c r="AI167" s="704" t="s">
        <v>35</v>
      </c>
      <c r="AJ167" s="700"/>
      <c r="AK167" s="6">
        <v>380</v>
      </c>
      <c r="AL167" s="699" t="s">
        <v>23</v>
      </c>
      <c r="AM167" s="700"/>
      <c r="AN167" s="6">
        <v>416</v>
      </c>
      <c r="AO167" s="711" t="s">
        <v>20</v>
      </c>
      <c r="AP167" s="711"/>
      <c r="AQ167" s="516">
        <v>406</v>
      </c>
      <c r="AR167" s="10"/>
      <c r="AS167" s="510"/>
      <c r="AT167" s="212"/>
    </row>
    <row r="168" spans="1:53" x14ac:dyDescent="0.35">
      <c r="A168" s="5"/>
      <c r="B168" s="700" t="s">
        <v>318</v>
      </c>
      <c r="C168" s="700"/>
      <c r="D168" s="519"/>
      <c r="E168" s="700" t="s">
        <v>319</v>
      </c>
      <c r="F168" s="700"/>
      <c r="G168" s="519"/>
      <c r="H168" s="700" t="s">
        <v>320</v>
      </c>
      <c r="I168" s="700"/>
      <c r="J168" s="519"/>
      <c r="K168" s="700" t="s">
        <v>321</v>
      </c>
      <c r="L168" s="700"/>
      <c r="M168" s="519"/>
      <c r="N168" s="700" t="s">
        <v>322</v>
      </c>
      <c r="O168" s="700"/>
      <c r="P168" s="519"/>
      <c r="Q168" s="700" t="s">
        <v>323</v>
      </c>
      <c r="R168" s="700"/>
      <c r="S168" s="519"/>
      <c r="T168" s="700" t="s">
        <v>324</v>
      </c>
      <c r="U168" s="700"/>
      <c r="V168" s="519"/>
      <c r="W168" s="700" t="s">
        <v>325</v>
      </c>
      <c r="X168" s="700"/>
      <c r="Y168" s="519"/>
      <c r="Z168" s="700" t="s">
        <v>326</v>
      </c>
      <c r="AA168" s="700"/>
      <c r="AB168" s="519"/>
      <c r="AC168" s="700" t="s">
        <v>327</v>
      </c>
      <c r="AD168" s="700"/>
      <c r="AE168" s="519"/>
      <c r="AF168" s="700" t="s">
        <v>328</v>
      </c>
      <c r="AG168" s="700"/>
      <c r="AI168" s="700" t="s">
        <v>329</v>
      </c>
      <c r="AJ168" s="700"/>
      <c r="AL168" s="700" t="s">
        <v>330</v>
      </c>
      <c r="AM168" s="700"/>
      <c r="AO168" s="700" t="s">
        <v>331</v>
      </c>
      <c r="AP168" s="700"/>
      <c r="AR168" s="516"/>
      <c r="AT168" s="7"/>
    </row>
    <row r="169" spans="1:53" x14ac:dyDescent="0.35">
      <c r="A169" s="5"/>
      <c r="B169" s="522" t="s">
        <v>359</v>
      </c>
      <c r="C169" s="532"/>
      <c r="D169" s="533"/>
      <c r="E169" s="532"/>
      <c r="F169" s="522" t="s">
        <v>359</v>
      </c>
      <c r="G169" s="533"/>
      <c r="H169" s="532"/>
      <c r="I169" s="522" t="s">
        <v>359</v>
      </c>
      <c r="J169" s="533"/>
      <c r="K169" s="532"/>
      <c r="L169" s="522" t="s">
        <v>359</v>
      </c>
      <c r="M169" s="533"/>
      <c r="N169" s="532"/>
      <c r="O169" s="522" t="s">
        <v>359</v>
      </c>
      <c r="P169" s="533"/>
      <c r="Q169" s="532"/>
      <c r="R169" s="522" t="s">
        <v>359</v>
      </c>
      <c r="S169" s="533"/>
      <c r="T169" s="532"/>
      <c r="U169" s="522" t="s">
        <v>359</v>
      </c>
      <c r="V169" s="533"/>
      <c r="W169" s="532"/>
      <c r="X169" s="522" t="s">
        <v>359</v>
      </c>
      <c r="Y169" s="533"/>
      <c r="Z169" s="532"/>
      <c r="AA169" s="522" t="s">
        <v>359</v>
      </c>
      <c r="AB169" s="533"/>
      <c r="AC169" s="532"/>
      <c r="AD169" s="522" t="s">
        <v>359</v>
      </c>
      <c r="AE169" s="533"/>
      <c r="AF169" s="532"/>
      <c r="AG169" s="522" t="s">
        <v>359</v>
      </c>
      <c r="AH169" s="546"/>
      <c r="AI169" s="532"/>
      <c r="AJ169" s="522" t="s">
        <v>359</v>
      </c>
      <c r="AK169" s="546"/>
      <c r="AL169" s="532"/>
      <c r="AM169" s="522" t="s">
        <v>359</v>
      </c>
      <c r="AN169" s="546"/>
      <c r="AO169" s="532"/>
      <c r="AP169" s="522" t="s">
        <v>359</v>
      </c>
      <c r="AQ169" s="522"/>
      <c r="AR169" s="522"/>
      <c r="AT169" s="7"/>
    </row>
    <row r="170" spans="1:53" x14ac:dyDescent="0.35">
      <c r="A170" s="5"/>
      <c r="B170" s="516"/>
      <c r="C170" s="516"/>
      <c r="D170" s="513"/>
      <c r="E170" s="542"/>
      <c r="F170" s="516"/>
      <c r="G170" s="516"/>
      <c r="H170" s="542"/>
      <c r="I170" s="529"/>
      <c r="J170" s="513"/>
      <c r="K170" s="751"/>
      <c r="L170" s="751"/>
      <c r="M170" s="751"/>
      <c r="N170" s="751"/>
      <c r="O170" s="751"/>
      <c r="P170" s="751"/>
      <c r="Q170" s="751"/>
      <c r="R170" s="751"/>
      <c r="S170" s="513"/>
      <c r="T170" s="543"/>
      <c r="U170" s="544"/>
      <c r="V170" s="758" t="s">
        <v>403</v>
      </c>
      <c r="W170" s="758"/>
      <c r="X170" s="758"/>
      <c r="Y170" s="758"/>
      <c r="Z170" s="542"/>
      <c r="AA170" s="529"/>
      <c r="AB170" s="529"/>
      <c r="AC170" s="542"/>
      <c r="AD170" s="529"/>
      <c r="AE170" s="519"/>
      <c r="AF170" s="542"/>
      <c r="AG170" s="529"/>
      <c r="AI170" s="542"/>
      <c r="AJ170" s="529"/>
      <c r="AL170" s="542"/>
      <c r="AM170" s="529"/>
      <c r="AO170" s="542"/>
      <c r="AP170" s="529"/>
      <c r="AQ170" s="529"/>
      <c r="AR170" s="529"/>
      <c r="AT170" s="7"/>
      <c r="AV170" s="6"/>
      <c r="AW170" s="6"/>
      <c r="AX170" s="6"/>
      <c r="AY170" s="6"/>
      <c r="AZ170" s="6"/>
    </row>
    <row r="171" spans="1:53" x14ac:dyDescent="0.35">
      <c r="A171" s="5"/>
      <c r="B171" s="529"/>
      <c r="C171" s="529"/>
      <c r="D171" s="519"/>
      <c r="E171" s="529"/>
      <c r="F171" s="529"/>
      <c r="G171" s="519"/>
      <c r="H171" s="529"/>
      <c r="I171" s="529"/>
      <c r="J171" s="519"/>
      <c r="K171" s="529"/>
      <c r="L171" s="529"/>
      <c r="M171" s="519"/>
      <c r="N171" s="529"/>
      <c r="O171" s="529"/>
      <c r="P171" s="519"/>
      <c r="Q171" s="529"/>
      <c r="R171" s="529"/>
      <c r="S171" s="519"/>
      <c r="T171" s="529"/>
      <c r="U171" s="529"/>
      <c r="V171" s="519"/>
      <c r="W171" s="529"/>
      <c r="X171" s="529"/>
      <c r="Y171" s="519"/>
      <c r="Z171" s="529"/>
      <c r="AA171" s="529"/>
      <c r="AC171" s="529"/>
      <c r="AD171" s="529"/>
      <c r="AE171" s="519"/>
      <c r="AF171" s="529"/>
      <c r="AG171" s="529"/>
      <c r="AT171" s="7"/>
    </row>
    <row r="172" spans="1:53" x14ac:dyDescent="0.35">
      <c r="A172" s="5"/>
      <c r="B172" s="700"/>
      <c r="C172" s="700"/>
      <c r="D172" s="519"/>
      <c r="E172" s="735"/>
      <c r="F172" s="735"/>
      <c r="G172" s="519"/>
      <c r="H172" s="735"/>
      <c r="I172" s="735"/>
      <c r="J172" s="519"/>
      <c r="K172" s="735"/>
      <c r="L172" s="735"/>
      <c r="M172" s="519"/>
      <c r="N172" s="735"/>
      <c r="O172" s="735"/>
      <c r="P172" s="519"/>
      <c r="Q172" s="735"/>
      <c r="R172" s="735"/>
      <c r="S172" s="519"/>
      <c r="T172" s="735"/>
      <c r="U172" s="735"/>
      <c r="V172" s="519"/>
      <c r="W172" s="735"/>
      <c r="X172" s="735"/>
      <c r="Y172" s="519"/>
      <c r="Z172" s="700"/>
      <c r="AA172" s="700"/>
      <c r="AB172" s="519"/>
      <c r="AC172" s="700"/>
      <c r="AD172" s="700"/>
      <c r="AE172" s="701"/>
      <c r="AF172" s="701"/>
      <c r="AG172" s="701"/>
      <c r="AH172" s="701"/>
      <c r="AI172" s="711"/>
      <c r="AJ172" s="711"/>
      <c r="AL172" s="711"/>
      <c r="AM172" s="711"/>
      <c r="AO172" s="711"/>
      <c r="AP172" s="711"/>
      <c r="AQ172" s="10"/>
      <c r="AR172" s="10"/>
      <c r="AT172" s="7"/>
    </row>
    <row r="173" spans="1:53" x14ac:dyDescent="0.35">
      <c r="A173" s="5"/>
      <c r="B173" s="11"/>
      <c r="C173" s="12"/>
      <c r="D173" s="513"/>
      <c r="E173" s="11"/>
      <c r="F173" s="12"/>
      <c r="G173" s="513"/>
      <c r="H173" s="736" t="s">
        <v>397</v>
      </c>
      <c r="I173" s="737"/>
      <c r="J173" s="513"/>
      <c r="K173" s="11"/>
      <c r="L173" s="12"/>
      <c r="M173" s="513"/>
      <c r="N173" s="11"/>
      <c r="O173" s="12"/>
      <c r="P173" s="513"/>
      <c r="Q173" s="11"/>
      <c r="R173" s="12"/>
      <c r="S173" s="513"/>
      <c r="T173" s="11"/>
      <c r="U173" s="12"/>
      <c r="V173" s="513"/>
      <c r="W173" s="11"/>
      <c r="X173" s="12"/>
      <c r="Y173" s="513"/>
      <c r="Z173" s="11"/>
      <c r="AA173" s="12"/>
      <c r="AB173" s="529"/>
      <c r="AC173" s="11"/>
      <c r="AD173" s="12"/>
      <c r="AE173" s="513"/>
      <c r="AF173" s="11"/>
      <c r="AG173" s="12"/>
      <c r="AH173" s="510"/>
      <c r="AI173" s="11"/>
      <c r="AJ173" s="12"/>
      <c r="AK173" s="510"/>
      <c r="AL173" s="11"/>
      <c r="AM173" s="12"/>
      <c r="AN173" s="510"/>
      <c r="AO173" s="736" t="s">
        <v>397</v>
      </c>
      <c r="AP173" s="737"/>
      <c r="AQ173" s="540"/>
      <c r="AR173" s="540"/>
      <c r="AS173" s="510"/>
      <c r="AT173" s="212"/>
    </row>
    <row r="174" spans="1:53" x14ac:dyDescent="0.35">
      <c r="A174" s="5"/>
      <c r="B174" s="15"/>
      <c r="C174" s="15"/>
      <c r="D174" s="513"/>
      <c r="E174" s="15"/>
      <c r="F174" s="15"/>
      <c r="G174" s="513"/>
      <c r="H174" s="738"/>
      <c r="I174" s="739"/>
      <c r="J174" s="513"/>
      <c r="K174" s="15"/>
      <c r="L174" s="15"/>
      <c r="M174" s="513"/>
      <c r="N174" s="15"/>
      <c r="O174" s="15"/>
      <c r="P174" s="513"/>
      <c r="Q174" s="15"/>
      <c r="R174" s="15"/>
      <c r="S174" s="513"/>
      <c r="T174" s="15"/>
      <c r="U174" s="15"/>
      <c r="V174" s="513"/>
      <c r="W174" s="15"/>
      <c r="X174" s="15"/>
      <c r="Y174" s="519"/>
      <c r="Z174" s="15"/>
      <c r="AA174" s="15"/>
      <c r="AB174" s="534"/>
      <c r="AC174" s="15"/>
      <c r="AD174" s="15"/>
      <c r="AE174" s="519"/>
      <c r="AF174" s="15"/>
      <c r="AG174" s="15"/>
      <c r="AH174" s="510"/>
      <c r="AI174" s="15"/>
      <c r="AJ174" s="15"/>
      <c r="AL174" s="15"/>
      <c r="AM174" s="15"/>
      <c r="AO174" s="738"/>
      <c r="AP174" s="739"/>
      <c r="AQ174" s="540"/>
      <c r="AR174" s="540"/>
      <c r="AS174" s="510"/>
      <c r="AT174" s="212"/>
      <c r="AV174" s="2">
        <v>12</v>
      </c>
      <c r="AW174" s="2">
        <v>8</v>
      </c>
      <c r="AX174" s="2">
        <v>10</v>
      </c>
      <c r="AY174" s="2">
        <v>0</v>
      </c>
      <c r="AZ174" s="2"/>
      <c r="BA174" s="405">
        <f>+A175+D175+G175+J175+M175+P175+S175+V175+Y175+AB175+AE175+AH175+AK175+AN175+AQ175</f>
        <v>5577.2479999999996</v>
      </c>
    </row>
    <row r="175" spans="1:53" x14ac:dyDescent="0.35">
      <c r="A175" s="5"/>
      <c r="B175" s="712" t="s">
        <v>16</v>
      </c>
      <c r="C175" s="712"/>
      <c r="D175" s="513">
        <v>433</v>
      </c>
      <c r="E175" s="714" t="s">
        <v>28</v>
      </c>
      <c r="F175" s="712"/>
      <c r="G175" s="362">
        <v>353.24799999999999</v>
      </c>
      <c r="H175" s="712" t="s">
        <v>16</v>
      </c>
      <c r="I175" s="712"/>
      <c r="J175" s="362">
        <v>407</v>
      </c>
      <c r="K175" s="714" t="s">
        <v>14</v>
      </c>
      <c r="L175" s="712"/>
      <c r="M175" s="362">
        <v>416</v>
      </c>
      <c r="N175" s="714" t="s">
        <v>16</v>
      </c>
      <c r="O175" s="712"/>
      <c r="P175" s="513">
        <v>373</v>
      </c>
      <c r="Q175" s="714" t="s">
        <v>23</v>
      </c>
      <c r="R175" s="712"/>
      <c r="S175" s="513">
        <v>389</v>
      </c>
      <c r="T175" s="717" t="s">
        <v>33</v>
      </c>
      <c r="U175" s="712"/>
      <c r="V175" s="513">
        <v>399</v>
      </c>
      <c r="W175" s="717" t="s">
        <v>14</v>
      </c>
      <c r="X175" s="712"/>
      <c r="Y175" s="519">
        <v>412</v>
      </c>
      <c r="Z175" s="699" t="s">
        <v>16</v>
      </c>
      <c r="AA175" s="700"/>
      <c r="AB175" s="534">
        <v>418</v>
      </c>
      <c r="AC175" s="699" t="s">
        <v>23</v>
      </c>
      <c r="AD175" s="699"/>
      <c r="AE175" s="519">
        <v>394</v>
      </c>
      <c r="AF175" s="699" t="s">
        <v>236</v>
      </c>
      <c r="AG175" s="700"/>
      <c r="AH175" s="510">
        <v>399</v>
      </c>
      <c r="AI175" s="749" t="s">
        <v>23</v>
      </c>
      <c r="AJ175" s="711"/>
      <c r="AK175" s="362">
        <v>348</v>
      </c>
      <c r="AL175" s="749" t="s">
        <v>23</v>
      </c>
      <c r="AM175" s="711"/>
      <c r="AN175" s="6">
        <v>358</v>
      </c>
      <c r="AO175" s="711" t="s">
        <v>20</v>
      </c>
      <c r="AP175" s="711"/>
      <c r="AQ175" s="10">
        <v>478</v>
      </c>
      <c r="AR175" s="10"/>
      <c r="AS175" s="510"/>
      <c r="AT175" s="212"/>
    </row>
    <row r="176" spans="1:53" x14ac:dyDescent="0.35">
      <c r="A176" s="5"/>
      <c r="B176" s="700" t="s">
        <v>332</v>
      </c>
      <c r="C176" s="700"/>
      <c r="D176" s="519"/>
      <c r="E176" s="700" t="s">
        <v>333</v>
      </c>
      <c r="F176" s="700"/>
      <c r="G176" s="519"/>
      <c r="H176" s="700" t="s">
        <v>334</v>
      </c>
      <c r="I176" s="700"/>
      <c r="J176" s="519"/>
      <c r="K176" s="700" t="s">
        <v>335</v>
      </c>
      <c r="L176" s="700"/>
      <c r="M176" s="519"/>
      <c r="N176" s="700" t="s">
        <v>336</v>
      </c>
      <c r="O176" s="700"/>
      <c r="P176" s="519"/>
      <c r="Q176" s="700" t="s">
        <v>337</v>
      </c>
      <c r="R176" s="700"/>
      <c r="S176" s="519"/>
      <c r="T176" s="700" t="s">
        <v>338</v>
      </c>
      <c r="U176" s="700"/>
      <c r="V176" s="519"/>
      <c r="W176" s="700" t="s">
        <v>339</v>
      </c>
      <c r="X176" s="700"/>
      <c r="Y176" s="519"/>
      <c r="Z176" s="700" t="s">
        <v>340</v>
      </c>
      <c r="AA176" s="700"/>
      <c r="AB176" s="519"/>
      <c r="AC176" s="700" t="s">
        <v>341</v>
      </c>
      <c r="AD176" s="700"/>
      <c r="AE176" s="519"/>
      <c r="AF176" s="700" t="s">
        <v>342</v>
      </c>
      <c r="AG176" s="700"/>
      <c r="AI176" s="700" t="s">
        <v>343</v>
      </c>
      <c r="AJ176" s="700"/>
      <c r="AL176" s="700" t="s">
        <v>344</v>
      </c>
      <c r="AM176" s="700"/>
      <c r="AO176" s="700" t="s">
        <v>345</v>
      </c>
      <c r="AP176" s="700"/>
      <c r="AQ176" s="516"/>
      <c r="AR176" s="516"/>
      <c r="AT176" s="7"/>
    </row>
    <row r="177" spans="1:53" x14ac:dyDescent="0.35">
      <c r="A177" s="5"/>
      <c r="B177" s="522" t="s">
        <v>359</v>
      </c>
      <c r="C177" s="532"/>
      <c r="D177" s="533"/>
      <c r="E177" s="532"/>
      <c r="F177" s="522" t="s">
        <v>359</v>
      </c>
      <c r="G177" s="533"/>
      <c r="H177" s="532"/>
      <c r="I177" s="522" t="s">
        <v>359</v>
      </c>
      <c r="J177" s="533"/>
      <c r="K177" s="532"/>
      <c r="L177" s="522" t="s">
        <v>359</v>
      </c>
      <c r="M177" s="533"/>
      <c r="N177" s="532"/>
      <c r="O177" s="522" t="s">
        <v>359</v>
      </c>
      <c r="P177" s="533"/>
      <c r="Q177" s="532"/>
      <c r="R177" s="522" t="s">
        <v>359</v>
      </c>
      <c r="S177" s="533"/>
      <c r="T177" s="532"/>
      <c r="U177" s="522" t="s">
        <v>359</v>
      </c>
      <c r="V177" s="533"/>
      <c r="W177" s="532"/>
      <c r="X177" s="522" t="s">
        <v>359</v>
      </c>
      <c r="Y177" s="533"/>
      <c r="Z177" s="532"/>
      <c r="AA177" s="522" t="s">
        <v>359</v>
      </c>
      <c r="AB177" s="533"/>
      <c r="AC177" s="532"/>
      <c r="AD177" s="522" t="s">
        <v>359</v>
      </c>
      <c r="AE177" s="533"/>
      <c r="AF177" s="532"/>
      <c r="AG177" s="522" t="s">
        <v>359</v>
      </c>
      <c r="AH177" s="546"/>
      <c r="AI177" s="532"/>
      <c r="AJ177" s="522" t="s">
        <v>359</v>
      </c>
      <c r="AK177" s="546"/>
      <c r="AL177" s="532"/>
      <c r="AM177" s="522" t="s">
        <v>359</v>
      </c>
      <c r="AN177" s="546"/>
      <c r="AO177" s="532"/>
      <c r="AP177" s="522" t="s">
        <v>359</v>
      </c>
      <c r="AQ177" s="522"/>
      <c r="AR177" s="522"/>
      <c r="AT177" s="7"/>
    </row>
    <row r="178" spans="1:53" x14ac:dyDescent="0.35">
      <c r="A178" s="759" t="s">
        <v>403</v>
      </c>
      <c r="B178" s="748"/>
      <c r="C178" s="748"/>
      <c r="D178" s="748"/>
      <c r="E178" s="542"/>
      <c r="F178" s="516"/>
      <c r="G178" s="516"/>
      <c r="H178" s="542"/>
      <c r="I178" s="529"/>
      <c r="J178" s="513"/>
      <c r="K178" s="543"/>
      <c r="L178" s="544"/>
      <c r="M178" s="513"/>
      <c r="N178" s="543"/>
      <c r="O178" s="544"/>
      <c r="P178" s="513"/>
      <c r="Q178" s="543"/>
      <c r="R178" s="544"/>
      <c r="S178" s="513"/>
      <c r="T178" s="543"/>
      <c r="U178" s="544"/>
      <c r="V178" s="513"/>
      <c r="W178" s="542"/>
      <c r="X178" s="529"/>
      <c r="Y178" s="519"/>
      <c r="Z178" s="542"/>
      <c r="AA178" s="529"/>
      <c r="AB178" s="529"/>
      <c r="AC178" s="542"/>
      <c r="AD178" s="529"/>
      <c r="AE178" s="519"/>
      <c r="AF178" s="542"/>
      <c r="AG178" s="529"/>
      <c r="AI178" s="542"/>
      <c r="AJ178" s="529"/>
      <c r="AL178" s="542"/>
      <c r="AM178" s="529"/>
      <c r="AO178" s="542"/>
      <c r="AP178" s="529"/>
      <c r="AQ178" s="529"/>
      <c r="AR178" s="529"/>
      <c r="AT178" s="7"/>
      <c r="AV178" s="6"/>
      <c r="AW178" s="6"/>
      <c r="AX178" s="6"/>
      <c r="AY178" s="6"/>
      <c r="AZ178" s="6"/>
    </row>
    <row r="179" spans="1:53" x14ac:dyDescent="0.35">
      <c r="A179" s="5"/>
      <c r="B179" s="529"/>
      <c r="C179" s="529"/>
      <c r="D179" s="519"/>
      <c r="E179" s="529"/>
      <c r="F179" s="529"/>
      <c r="G179" s="519"/>
      <c r="H179" s="529"/>
      <c r="I179" s="529"/>
      <c r="J179" s="519"/>
      <c r="K179" s="529"/>
      <c r="L179" s="529"/>
      <c r="M179" s="519"/>
      <c r="N179" s="529"/>
      <c r="O179" s="529"/>
      <c r="P179" s="519"/>
      <c r="Q179" s="529"/>
      <c r="R179" s="529"/>
      <c r="S179" s="519"/>
      <c r="T179" s="529"/>
      <c r="U179" s="529"/>
      <c r="V179" s="519"/>
      <c r="W179" s="529"/>
      <c r="X179" s="529"/>
      <c r="Y179" s="519"/>
      <c r="Z179" s="529"/>
      <c r="AA179" s="529"/>
      <c r="AC179" s="529"/>
      <c r="AD179" s="529"/>
      <c r="AE179" s="519"/>
      <c r="AF179" s="529"/>
      <c r="AG179" s="529"/>
      <c r="AT179" s="7"/>
    </row>
    <row r="180" spans="1:53" x14ac:dyDescent="0.35">
      <c r="A180" s="5"/>
      <c r="B180" s="700"/>
      <c r="C180" s="700"/>
      <c r="D180" s="519"/>
      <c r="E180" s="735"/>
      <c r="F180" s="735"/>
      <c r="G180" s="519"/>
      <c r="H180" s="735"/>
      <c r="I180" s="735"/>
      <c r="J180" s="519"/>
      <c r="K180" s="735"/>
      <c r="L180" s="735"/>
      <c r="M180" s="519"/>
      <c r="N180" s="735"/>
      <c r="O180" s="735"/>
      <c r="P180" s="519"/>
      <c r="Q180" s="735"/>
      <c r="R180" s="735"/>
      <c r="S180" s="519"/>
      <c r="T180" s="735"/>
      <c r="U180" s="735"/>
      <c r="V180" s="519"/>
      <c r="W180" s="735"/>
      <c r="X180" s="735"/>
      <c r="Y180" s="519"/>
      <c r="Z180" s="700"/>
      <c r="AA180" s="700"/>
      <c r="AB180" s="519"/>
      <c r="AC180" s="700"/>
      <c r="AD180" s="700"/>
      <c r="AE180" s="701"/>
      <c r="AF180" s="701"/>
      <c r="AG180" s="701"/>
      <c r="AH180" s="701"/>
      <c r="AI180" s="697"/>
      <c r="AJ180" s="697"/>
      <c r="AL180" s="697"/>
      <c r="AM180" s="697"/>
      <c r="AO180" s="697"/>
      <c r="AP180" s="697"/>
      <c r="AQ180" s="10"/>
      <c r="AR180" s="10"/>
      <c r="AT180" s="7"/>
    </row>
    <row r="181" spans="1:53" x14ac:dyDescent="0.35">
      <c r="A181" s="5"/>
      <c r="B181" s="11"/>
      <c r="C181" s="12"/>
      <c r="D181" s="513"/>
      <c r="E181" s="8"/>
      <c r="F181" s="13"/>
      <c r="G181" s="513"/>
      <c r="H181" s="8"/>
      <c r="I181" s="13"/>
      <c r="J181" s="513"/>
      <c r="K181" s="8"/>
      <c r="L181" s="13"/>
      <c r="M181" s="513"/>
      <c r="N181" s="8"/>
      <c r="O181" s="13"/>
      <c r="P181" s="513"/>
      <c r="Q181" s="8"/>
      <c r="R181" s="13"/>
      <c r="S181" s="513"/>
      <c r="T181" s="8"/>
      <c r="U181" s="13"/>
      <c r="V181" s="513"/>
      <c r="W181" s="8"/>
      <c r="X181" s="13"/>
      <c r="Y181" s="513"/>
      <c r="Z181" s="8"/>
      <c r="AA181" s="13"/>
      <c r="AB181" s="529"/>
      <c r="AC181" s="8"/>
      <c r="AD181" s="13"/>
      <c r="AE181" s="513"/>
      <c r="AF181" s="8"/>
      <c r="AG181" s="13"/>
      <c r="AH181" s="510"/>
      <c r="AI181" s="8"/>
      <c r="AJ181" s="13"/>
      <c r="AK181" s="510"/>
      <c r="AL181" s="8"/>
      <c r="AM181" s="13"/>
      <c r="AN181" s="510"/>
      <c r="AO181" s="8"/>
      <c r="AP181" s="13"/>
      <c r="AQ181" s="511"/>
      <c r="AR181" s="511"/>
      <c r="AS181" s="510"/>
      <c r="AT181" s="212"/>
    </row>
    <row r="182" spans="1:53" x14ac:dyDescent="0.35">
      <c r="A182" s="5"/>
      <c r="B182" s="15"/>
      <c r="C182" s="15"/>
      <c r="D182" s="513"/>
      <c r="E182" s="406"/>
      <c r="F182" s="406"/>
      <c r="G182" s="513"/>
      <c r="H182" s="406"/>
      <c r="I182" s="406"/>
      <c r="J182" s="513"/>
      <c r="K182" s="406"/>
      <c r="L182" s="406"/>
      <c r="M182" s="513"/>
      <c r="N182" s="406"/>
      <c r="O182" s="406"/>
      <c r="P182" s="513"/>
      <c r="Q182" s="406"/>
      <c r="R182" s="406"/>
      <c r="S182" s="513"/>
      <c r="T182" s="406"/>
      <c r="U182" s="406"/>
      <c r="V182" s="513"/>
      <c r="W182" s="406"/>
      <c r="X182" s="406"/>
      <c r="Y182" s="519"/>
      <c r="Z182" s="406"/>
      <c r="AA182" s="406"/>
      <c r="AB182" s="534"/>
      <c r="AC182" s="406"/>
      <c r="AD182" s="406"/>
      <c r="AE182" s="519"/>
      <c r="AF182" s="406"/>
      <c r="AG182" s="406"/>
      <c r="AH182" s="510"/>
      <c r="AI182" s="406"/>
      <c r="AJ182" s="406"/>
      <c r="AL182" s="406"/>
      <c r="AM182" s="406"/>
      <c r="AO182" s="406"/>
      <c r="AP182" s="406"/>
      <c r="AQ182" s="542"/>
      <c r="AR182" s="542"/>
      <c r="AS182" s="510"/>
      <c r="AT182" s="212"/>
      <c r="AV182" s="2">
        <v>1</v>
      </c>
      <c r="AW182" s="2">
        <v>0</v>
      </c>
      <c r="AX182" s="2">
        <v>1</v>
      </c>
      <c r="AY182" s="2">
        <v>0</v>
      </c>
      <c r="AZ182" s="2"/>
      <c r="BA182" s="405">
        <f>+A183+D183+G183+J183+M183+P183+S183+V183+Y183+AB183+AE183+AH183+AK183+AN183+AQ183</f>
        <v>0</v>
      </c>
    </row>
    <row r="183" spans="1:53" x14ac:dyDescent="0.35">
      <c r="A183" s="5"/>
      <c r="B183" s="699" t="s">
        <v>236</v>
      </c>
      <c r="C183" s="700"/>
      <c r="D183" s="513"/>
      <c r="E183" s="714"/>
      <c r="F183" s="712"/>
      <c r="G183" s="513"/>
      <c r="H183" s="712"/>
      <c r="I183" s="712"/>
      <c r="J183" s="513"/>
      <c r="K183" s="714"/>
      <c r="L183" s="712"/>
      <c r="M183" s="513"/>
      <c r="N183" s="714"/>
      <c r="O183" s="712"/>
      <c r="P183" s="513"/>
      <c r="Q183" s="714"/>
      <c r="R183" s="712"/>
      <c r="S183" s="513"/>
      <c r="T183" s="717"/>
      <c r="U183" s="712"/>
      <c r="V183" s="513"/>
      <c r="W183" s="717"/>
      <c r="X183" s="712"/>
      <c r="Y183" s="519"/>
      <c r="Z183" s="699"/>
      <c r="AA183" s="700"/>
      <c r="AB183" s="534"/>
      <c r="AC183" s="699"/>
      <c r="AD183" s="699"/>
      <c r="AE183" s="519"/>
      <c r="AF183" s="714"/>
      <c r="AG183" s="714"/>
      <c r="AH183" s="510"/>
      <c r="AI183" s="760"/>
      <c r="AJ183" s="760"/>
      <c r="AL183" s="761"/>
      <c r="AM183" s="761"/>
      <c r="AO183" s="711"/>
      <c r="AP183" s="711"/>
      <c r="AQ183" s="10"/>
      <c r="AR183" s="10"/>
      <c r="AS183" s="510"/>
      <c r="AT183" s="212"/>
    </row>
    <row r="184" spans="1:53" x14ac:dyDescent="0.35">
      <c r="A184" s="5"/>
      <c r="B184" s="700" t="s">
        <v>346</v>
      </c>
      <c r="C184" s="700"/>
      <c r="D184" s="519"/>
      <c r="E184" s="700"/>
      <c r="F184" s="700"/>
      <c r="G184" s="519"/>
      <c r="H184" s="700"/>
      <c r="I184" s="700"/>
      <c r="J184" s="519"/>
      <c r="K184" s="700"/>
      <c r="L184" s="700"/>
      <c r="M184" s="519"/>
      <c r="N184" s="700"/>
      <c r="O184" s="700"/>
      <c r="P184" s="519"/>
      <c r="Q184" s="700"/>
      <c r="R184" s="700"/>
      <c r="S184" s="519"/>
      <c r="T184" s="700"/>
      <c r="U184" s="700"/>
      <c r="V184" s="519"/>
      <c r="W184" s="704"/>
      <c r="X184" s="700"/>
      <c r="Y184" s="519"/>
      <c r="Z184" s="700"/>
      <c r="AA184" s="700"/>
      <c r="AB184" s="519"/>
      <c r="AC184" s="700"/>
      <c r="AD184" s="700"/>
      <c r="AE184" s="519"/>
      <c r="AF184" s="700"/>
      <c r="AG184" s="700"/>
      <c r="AI184" s="749"/>
      <c r="AJ184" s="711"/>
      <c r="AL184" s="711"/>
      <c r="AM184" s="711"/>
      <c r="AO184" s="711"/>
      <c r="AP184" s="711"/>
      <c r="AQ184" s="10"/>
      <c r="AR184" s="10"/>
      <c r="AT184" s="7"/>
    </row>
    <row r="185" spans="1:53" x14ac:dyDescent="0.35">
      <c r="A185" s="5"/>
      <c r="B185" s="522" t="s">
        <v>359</v>
      </c>
      <c r="C185" s="532"/>
      <c r="D185" s="537"/>
      <c r="E185" s="538"/>
      <c r="F185" s="538"/>
      <c r="G185" s="537"/>
      <c r="H185" s="538"/>
      <c r="I185" s="538"/>
      <c r="J185" s="537"/>
      <c r="K185" s="538"/>
      <c r="L185" s="538"/>
      <c r="M185" s="537"/>
      <c r="N185" s="538"/>
      <c r="O185" s="538"/>
      <c r="P185" s="537"/>
      <c r="Q185" s="538"/>
      <c r="R185" s="538"/>
      <c r="S185" s="537"/>
      <c r="T185" s="538"/>
      <c r="U185" s="538"/>
      <c r="V185" s="537"/>
      <c r="W185" s="538"/>
      <c r="X185" s="538"/>
      <c r="Y185" s="537"/>
      <c r="Z185" s="538"/>
      <c r="AA185" s="538"/>
      <c r="AB185" s="537"/>
      <c r="AC185" s="538"/>
      <c r="AD185" s="538"/>
      <c r="AE185" s="537"/>
      <c r="AF185" s="538"/>
      <c r="AG185" s="538"/>
      <c r="AH185" s="539"/>
      <c r="AI185" s="538"/>
      <c r="AJ185" s="538"/>
      <c r="AK185" s="539"/>
      <c r="AL185" s="538"/>
      <c r="AM185" s="538"/>
      <c r="AN185" s="539"/>
      <c r="AO185" s="538"/>
      <c r="AP185" s="538"/>
      <c r="AQ185" s="538"/>
      <c r="AR185" s="538"/>
      <c r="AT185" s="7"/>
    </row>
    <row r="186" spans="1:53" x14ac:dyDescent="0.35">
      <c r="A186" s="5"/>
      <c r="B186" s="516"/>
      <c r="C186" s="516"/>
      <c r="D186" s="513"/>
      <c r="E186" s="542"/>
      <c r="F186" s="516"/>
      <c r="G186" s="516"/>
      <c r="H186" s="542"/>
      <c r="I186" s="529"/>
      <c r="J186" s="513"/>
      <c r="K186" s="543"/>
      <c r="L186" s="544"/>
      <c r="M186" s="513"/>
      <c r="N186" s="543"/>
      <c r="O186" s="544"/>
      <c r="P186" s="513"/>
      <c r="Q186" s="543"/>
      <c r="R186" s="544"/>
      <c r="S186" s="513"/>
      <c r="T186" s="543"/>
      <c r="U186" s="544"/>
      <c r="V186" s="513"/>
      <c r="W186" s="542"/>
      <c r="X186" s="529"/>
      <c r="Y186" s="519"/>
      <c r="Z186" s="542"/>
      <c r="AA186" s="529"/>
      <c r="AB186" s="529"/>
      <c r="AC186" s="542"/>
      <c r="AD186" s="529"/>
      <c r="AE186" s="519"/>
      <c r="AF186" s="542"/>
      <c r="AG186" s="529"/>
      <c r="AI186" s="542"/>
      <c r="AJ186" s="529"/>
      <c r="AL186" s="542"/>
      <c r="AM186" s="529"/>
      <c r="AO186" s="542"/>
      <c r="AP186" s="529"/>
      <c r="AQ186" s="529"/>
      <c r="AR186" s="529"/>
      <c r="AT186" s="7"/>
      <c r="AV186" s="6"/>
      <c r="AW186" s="6"/>
      <c r="AX186" s="6"/>
      <c r="AY186" s="6"/>
      <c r="AZ186" s="6"/>
    </row>
    <row r="187" spans="1:53" x14ac:dyDescent="0.35">
      <c r="A187" s="5"/>
      <c r="B187" s="516"/>
      <c r="C187" s="516"/>
      <c r="D187" s="513"/>
      <c r="E187" s="542"/>
      <c r="F187" s="516"/>
      <c r="G187" s="516"/>
      <c r="H187" s="542"/>
      <c r="I187" s="529"/>
      <c r="J187" s="513"/>
      <c r="K187" s="543"/>
      <c r="L187" s="544"/>
      <c r="M187" s="513"/>
      <c r="N187" s="543"/>
      <c r="O187" s="544"/>
      <c r="P187" s="513"/>
      <c r="Q187" s="543"/>
      <c r="R187" s="544"/>
      <c r="S187" s="513"/>
      <c r="T187" s="543"/>
      <c r="U187" s="544"/>
      <c r="V187" s="513"/>
      <c r="W187" s="542"/>
      <c r="X187" s="529"/>
      <c r="Y187" s="519"/>
      <c r="Z187" s="542"/>
      <c r="AA187" s="529"/>
      <c r="AB187" s="529"/>
      <c r="AC187" s="542"/>
      <c r="AD187" s="529"/>
      <c r="AE187" s="519"/>
      <c r="AF187" s="542"/>
      <c r="AG187" s="529"/>
      <c r="AI187" s="542"/>
      <c r="AJ187" s="529"/>
      <c r="AL187" s="542"/>
      <c r="AM187" s="529"/>
      <c r="AO187" s="542"/>
      <c r="AP187" s="529"/>
      <c r="AQ187" s="529"/>
      <c r="AR187" s="529"/>
      <c r="AT187" s="7"/>
      <c r="AV187" s="6"/>
      <c r="AW187" s="6"/>
      <c r="AX187" s="6"/>
      <c r="AY187" s="6"/>
      <c r="AZ187" s="6"/>
    </row>
    <row r="188" spans="1:53" x14ac:dyDescent="0.35">
      <c r="A188" s="5"/>
      <c r="B188" s="516"/>
      <c r="C188" s="516"/>
      <c r="D188" s="513"/>
      <c r="E188" s="542"/>
      <c r="F188" s="516"/>
      <c r="G188" s="516"/>
      <c r="H188" s="542"/>
      <c r="I188" s="529"/>
      <c r="J188" s="513"/>
      <c r="K188" s="543"/>
      <c r="L188" s="544"/>
      <c r="M188" s="513"/>
      <c r="N188" s="543"/>
      <c r="O188" s="544"/>
      <c r="P188" s="513"/>
      <c r="Q188" s="543"/>
      <c r="R188" s="544"/>
      <c r="S188" s="513"/>
      <c r="T188" s="543"/>
      <c r="U188" s="544"/>
      <c r="V188" s="513"/>
      <c r="W188" s="542"/>
      <c r="X188" s="529"/>
      <c r="Y188" s="519"/>
      <c r="Z188" s="542"/>
      <c r="AA188" s="529"/>
      <c r="AB188" s="529"/>
      <c r="AC188" s="542"/>
      <c r="AD188" s="529"/>
      <c r="AE188" s="519"/>
      <c r="AF188" s="542"/>
      <c r="AG188" s="529"/>
      <c r="AI188" s="542"/>
      <c r="AJ188" s="529"/>
      <c r="AL188" s="542"/>
      <c r="AM188" s="529"/>
      <c r="AO188" s="542"/>
      <c r="AP188" s="529"/>
      <c r="AQ188" s="529"/>
      <c r="AR188" s="529"/>
      <c r="AT188" s="7"/>
      <c r="AV188" s="6"/>
      <c r="AW188" s="6"/>
      <c r="AX188" s="6"/>
      <c r="AY188" s="6"/>
      <c r="AZ188" s="6"/>
    </row>
    <row r="189" spans="1:53" x14ac:dyDescent="0.35">
      <c r="A189" s="5"/>
      <c r="B189" s="516"/>
      <c r="C189" s="516"/>
      <c r="D189" s="513"/>
      <c r="E189" s="542"/>
      <c r="F189" s="516"/>
      <c r="G189" s="516"/>
      <c r="H189" s="542"/>
      <c r="I189" s="529"/>
      <c r="J189" s="513"/>
      <c r="K189" s="543"/>
      <c r="L189" s="544"/>
      <c r="M189" s="513"/>
      <c r="N189" s="543"/>
      <c r="O189" s="544"/>
      <c r="P189" s="513"/>
      <c r="Q189" s="543"/>
      <c r="R189" s="544"/>
      <c r="S189" s="513"/>
      <c r="T189" s="543"/>
      <c r="U189" s="544"/>
      <c r="V189" s="513"/>
      <c r="W189" s="542"/>
      <c r="X189" s="529"/>
      <c r="Y189" s="519"/>
      <c r="Z189" s="542"/>
      <c r="AA189" s="529"/>
      <c r="AB189" s="529"/>
      <c r="AC189" s="542"/>
      <c r="AD189" s="529"/>
      <c r="AE189" s="519"/>
      <c r="AF189" s="542"/>
      <c r="AG189" s="529"/>
      <c r="AI189" s="542"/>
      <c r="AJ189" s="529"/>
      <c r="AL189" s="542"/>
      <c r="AM189" s="529"/>
      <c r="AO189" s="542"/>
      <c r="AP189" s="529"/>
      <c r="AQ189" s="529"/>
      <c r="AR189" s="529"/>
      <c r="AT189" s="7"/>
      <c r="AV189" s="6"/>
      <c r="AW189" s="6"/>
      <c r="AX189" s="6"/>
      <c r="AY189" s="6"/>
      <c r="AZ189" s="6"/>
    </row>
    <row r="190" spans="1:53" x14ac:dyDescent="0.35">
      <c r="A190" s="5"/>
      <c r="B190" s="516"/>
      <c r="C190" s="516"/>
      <c r="D190" s="513"/>
      <c r="E190" s="542"/>
      <c r="F190" s="516"/>
      <c r="G190" s="516"/>
      <c r="H190" s="542"/>
      <c r="I190" s="529"/>
      <c r="J190" s="513"/>
      <c r="K190" s="543"/>
      <c r="L190" s="544"/>
      <c r="M190" s="513"/>
      <c r="N190" s="543"/>
      <c r="O190" s="544"/>
      <c r="P190" s="513"/>
      <c r="Q190" s="543"/>
      <c r="R190" s="544"/>
      <c r="S190" s="513"/>
      <c r="T190" s="543"/>
      <c r="U190" s="544"/>
      <c r="V190" s="513"/>
      <c r="W190" s="542"/>
      <c r="X190" s="529"/>
      <c r="Y190" s="519"/>
      <c r="Z190" s="542"/>
      <c r="AA190" s="529"/>
      <c r="AB190" s="529"/>
      <c r="AC190" s="542"/>
      <c r="AD190" s="529"/>
      <c r="AE190" s="519"/>
      <c r="AF190" s="542"/>
      <c r="AG190" s="529"/>
      <c r="AI190" s="542"/>
      <c r="AJ190" s="529"/>
      <c r="AL190" s="542"/>
      <c r="AM190" s="529"/>
      <c r="AO190" s="542"/>
      <c r="AP190" s="529"/>
      <c r="AQ190" s="529"/>
      <c r="AR190" s="529"/>
      <c r="AT190" s="7"/>
      <c r="AV190" s="6"/>
      <c r="AW190" s="6"/>
      <c r="AX190" s="6"/>
      <c r="AY190" s="6"/>
      <c r="AZ190" s="6"/>
    </row>
    <row r="191" spans="1:53" x14ac:dyDescent="0.35">
      <c r="A191" s="5"/>
      <c r="B191" s="516"/>
      <c r="C191" s="516"/>
      <c r="D191" s="513"/>
      <c r="E191" s="542"/>
      <c r="F191" s="516"/>
      <c r="G191" s="516"/>
      <c r="H191" s="542"/>
      <c r="I191" s="529"/>
      <c r="J191" s="513"/>
      <c r="K191" s="543"/>
      <c r="L191" s="544"/>
      <c r="M191" s="513"/>
      <c r="N191" s="543"/>
      <c r="O191" s="544"/>
      <c r="P191" s="513"/>
      <c r="Q191" s="543"/>
      <c r="R191" s="544"/>
      <c r="S191" s="513"/>
      <c r="T191" s="543"/>
      <c r="U191" s="544"/>
      <c r="V191" s="513"/>
      <c r="W191" s="542"/>
      <c r="X191" s="529"/>
      <c r="Y191" s="519"/>
      <c r="Z191" s="542"/>
      <c r="AA191" s="529"/>
      <c r="AB191" s="529"/>
      <c r="AC191" s="542"/>
      <c r="AD191" s="529"/>
      <c r="AE191" s="519"/>
      <c r="AF191" s="542"/>
      <c r="AG191" s="529"/>
      <c r="AI191" s="542"/>
      <c r="AJ191" s="529"/>
      <c r="AL191" s="542"/>
      <c r="AM191" s="529"/>
      <c r="AO191" s="542"/>
      <c r="AP191" s="529"/>
      <c r="AQ191" s="529"/>
      <c r="AR191" s="529"/>
      <c r="AT191" s="7"/>
      <c r="AV191" s="6"/>
      <c r="AW191" s="6"/>
      <c r="AX191" s="6"/>
      <c r="AY191" s="6"/>
      <c r="AZ191" s="6"/>
    </row>
    <row r="192" spans="1:53" x14ac:dyDescent="0.35">
      <c r="A192" s="5"/>
      <c r="B192" s="516"/>
      <c r="C192" s="516"/>
      <c r="D192" s="513"/>
      <c r="E192" s="542"/>
      <c r="F192" s="516"/>
      <c r="G192" s="516"/>
      <c r="H192" s="542"/>
      <c r="I192" s="529"/>
      <c r="J192" s="513"/>
      <c r="K192" s="543"/>
      <c r="L192" s="544"/>
      <c r="M192" s="513"/>
      <c r="N192" s="543"/>
      <c r="O192" s="544"/>
      <c r="P192" s="513"/>
      <c r="Q192" s="543"/>
      <c r="R192" s="544"/>
      <c r="S192" s="513"/>
      <c r="T192" s="543"/>
      <c r="U192" s="544"/>
      <c r="V192" s="513"/>
      <c r="W192" s="542"/>
      <c r="X192" s="529"/>
      <c r="Y192" s="519"/>
      <c r="Z192" s="542"/>
      <c r="AA192" s="529"/>
      <c r="AB192" s="529"/>
      <c r="AC192" s="542"/>
      <c r="AD192" s="529"/>
      <c r="AE192" s="519"/>
      <c r="AF192" s="542"/>
      <c r="AG192" s="529"/>
      <c r="AI192" s="542"/>
      <c r="AJ192" s="529"/>
      <c r="AL192" s="542"/>
      <c r="AM192" s="529"/>
      <c r="AO192" s="542"/>
      <c r="AP192" s="529"/>
      <c r="AQ192" s="529"/>
      <c r="AR192" s="529"/>
      <c r="AT192" s="7"/>
      <c r="AV192" s="6"/>
      <c r="AW192" s="6"/>
      <c r="AX192" s="6"/>
      <c r="AY192" s="6"/>
      <c r="AZ192" s="6"/>
    </row>
    <row r="193" spans="1:52" x14ac:dyDescent="0.35">
      <c r="A193" s="5"/>
      <c r="B193" s="516"/>
      <c r="C193" s="516"/>
      <c r="D193" s="513"/>
      <c r="E193" s="542"/>
      <c r="F193" s="516"/>
      <c r="G193" s="516"/>
      <c r="H193" s="542"/>
      <c r="I193" s="529"/>
      <c r="J193" s="513"/>
      <c r="K193" s="543"/>
      <c r="L193" s="544"/>
      <c r="M193" s="513"/>
      <c r="N193" s="543"/>
      <c r="O193" s="544"/>
      <c r="P193" s="513"/>
      <c r="Q193" s="543"/>
      <c r="R193" s="544"/>
      <c r="S193" s="513"/>
      <c r="T193" s="543"/>
      <c r="U193" s="544"/>
      <c r="V193" s="513"/>
      <c r="W193" s="542"/>
      <c r="X193" s="529"/>
      <c r="Y193" s="519"/>
      <c r="Z193" s="542"/>
      <c r="AA193" s="529"/>
      <c r="AB193" s="529"/>
      <c r="AC193" s="542"/>
      <c r="AD193" s="529"/>
      <c r="AE193" s="519"/>
      <c r="AF193" s="542"/>
      <c r="AG193" s="529"/>
      <c r="AI193" s="542"/>
      <c r="AJ193" s="529"/>
      <c r="AL193" s="542"/>
      <c r="AM193" s="529"/>
      <c r="AO193" s="542"/>
      <c r="AP193" s="529"/>
      <c r="AQ193" s="529"/>
      <c r="AR193" s="529"/>
      <c r="AT193" s="7"/>
      <c r="AV193" s="6"/>
      <c r="AW193" s="6"/>
      <c r="AX193" s="6"/>
      <c r="AY193" s="6"/>
      <c r="AZ193" s="6"/>
    </row>
    <row r="194" spans="1:52" x14ac:dyDescent="0.35">
      <c r="A194" s="5"/>
      <c r="B194" s="516"/>
      <c r="C194" s="516"/>
      <c r="D194" s="513"/>
      <c r="E194" s="542"/>
      <c r="F194" s="516"/>
      <c r="G194" s="516"/>
      <c r="H194" s="542"/>
      <c r="I194" s="529"/>
      <c r="J194" s="513"/>
      <c r="K194" s="543"/>
      <c r="L194" s="544"/>
      <c r="M194" s="513"/>
      <c r="N194" s="543"/>
      <c r="O194" s="544"/>
      <c r="P194" s="513"/>
      <c r="Q194" s="543"/>
      <c r="R194" s="544"/>
      <c r="S194" s="513"/>
      <c r="T194" s="543"/>
      <c r="U194" s="544"/>
      <c r="V194" s="513"/>
      <c r="W194" s="542"/>
      <c r="X194" s="529"/>
      <c r="Y194" s="519"/>
      <c r="Z194" s="542"/>
      <c r="AA194" s="529"/>
      <c r="AB194" s="529"/>
      <c r="AC194" s="542"/>
      <c r="AD194" s="529"/>
      <c r="AE194" s="519"/>
      <c r="AF194" s="542"/>
      <c r="AG194" s="529"/>
      <c r="AI194" s="542"/>
      <c r="AJ194" s="529"/>
      <c r="AL194" s="542"/>
      <c r="AM194" s="529"/>
      <c r="AO194" s="542"/>
      <c r="AP194" s="529"/>
      <c r="AQ194" s="529"/>
      <c r="AR194" s="529"/>
      <c r="AT194" s="7"/>
      <c r="AV194" s="6"/>
      <c r="AW194" s="6"/>
      <c r="AX194" s="6"/>
      <c r="AY194" s="6"/>
      <c r="AZ194" s="6"/>
    </row>
    <row r="195" spans="1:52" x14ac:dyDescent="0.35">
      <c r="A195" s="5"/>
      <c r="B195" s="516"/>
      <c r="C195" s="516"/>
      <c r="D195" s="513"/>
      <c r="E195" s="542"/>
      <c r="F195" s="516"/>
      <c r="G195" s="516"/>
      <c r="H195" s="542"/>
      <c r="I195" s="529"/>
      <c r="J195" s="513"/>
      <c r="K195" s="543"/>
      <c r="L195" s="544"/>
      <c r="M195" s="513"/>
      <c r="N195" s="543"/>
      <c r="O195" s="544"/>
      <c r="P195" s="513"/>
      <c r="Q195" s="543"/>
      <c r="R195" s="544"/>
      <c r="S195" s="513"/>
      <c r="T195" s="543"/>
      <c r="U195" s="544"/>
      <c r="V195" s="513"/>
      <c r="W195" s="542"/>
      <c r="X195" s="529"/>
      <c r="Y195" s="519"/>
      <c r="Z195" s="542"/>
      <c r="AA195" s="529"/>
      <c r="AB195" s="529"/>
      <c r="AC195" s="542"/>
      <c r="AD195" s="529"/>
      <c r="AE195" s="519"/>
      <c r="AF195" s="542"/>
      <c r="AG195" s="529"/>
      <c r="AI195" s="542"/>
      <c r="AJ195" s="529"/>
      <c r="AL195" s="542"/>
      <c r="AM195" s="529"/>
      <c r="AO195" s="542"/>
      <c r="AP195" s="529"/>
      <c r="AQ195" s="529"/>
      <c r="AR195" s="529"/>
      <c r="AT195" s="7"/>
      <c r="AV195" s="6"/>
      <c r="AW195" s="6"/>
      <c r="AX195" s="6"/>
      <c r="AY195" s="6"/>
      <c r="AZ195" s="6"/>
    </row>
    <row r="196" spans="1:52" x14ac:dyDescent="0.35">
      <c r="A196" s="5"/>
      <c r="B196" s="516"/>
      <c r="C196" s="516"/>
      <c r="D196" s="513"/>
      <c r="E196" s="542"/>
      <c r="F196" s="516"/>
      <c r="G196" s="516"/>
      <c r="H196" s="542"/>
      <c r="I196" s="529"/>
      <c r="J196" s="513"/>
      <c r="K196" s="543"/>
      <c r="L196" s="544"/>
      <c r="M196" s="513"/>
      <c r="N196" s="543"/>
      <c r="O196" s="544"/>
      <c r="P196" s="513"/>
      <c r="Q196" s="543"/>
      <c r="R196" s="544"/>
      <c r="S196" s="513"/>
      <c r="T196" s="543"/>
      <c r="U196" s="544"/>
      <c r="V196" s="513"/>
      <c r="W196" s="542"/>
      <c r="X196" s="529"/>
      <c r="Y196" s="519"/>
      <c r="Z196" s="542"/>
      <c r="AA196" s="529"/>
      <c r="AB196" s="529"/>
      <c r="AC196" s="542"/>
      <c r="AD196" s="529"/>
      <c r="AE196" s="519"/>
      <c r="AF196" s="542"/>
      <c r="AG196" s="529"/>
      <c r="AI196" s="542"/>
      <c r="AJ196" s="529"/>
      <c r="AL196" s="542"/>
      <c r="AM196" s="529"/>
      <c r="AO196" s="542"/>
      <c r="AP196" s="529"/>
      <c r="AQ196" s="529"/>
      <c r="AR196" s="529"/>
      <c r="AT196" s="7"/>
      <c r="AV196" s="6"/>
      <c r="AW196" s="6"/>
      <c r="AX196" s="6"/>
      <c r="AY196" s="6"/>
      <c r="AZ196" s="6"/>
    </row>
    <row r="197" spans="1:52" x14ac:dyDescent="0.35">
      <c r="A197" s="5"/>
      <c r="B197" s="516"/>
      <c r="C197" s="516"/>
      <c r="D197" s="513"/>
      <c r="E197" s="542"/>
      <c r="F197" s="516"/>
      <c r="G197" s="516"/>
      <c r="H197" s="542"/>
      <c r="I197" s="529"/>
      <c r="J197" s="513"/>
      <c r="K197" s="543"/>
      <c r="L197" s="544"/>
      <c r="M197" s="513"/>
      <c r="N197" s="543"/>
      <c r="O197" s="544"/>
      <c r="P197" s="513"/>
      <c r="Q197" s="543"/>
      <c r="R197" s="544"/>
      <c r="S197" s="513"/>
      <c r="T197" s="543"/>
      <c r="U197" s="544"/>
      <c r="V197" s="513"/>
      <c r="W197" s="542"/>
      <c r="X197" s="529"/>
      <c r="Y197" s="519"/>
      <c r="Z197" s="542"/>
      <c r="AA197" s="529"/>
      <c r="AB197" s="529"/>
      <c r="AC197" s="542"/>
      <c r="AD197" s="529"/>
      <c r="AE197" s="519"/>
      <c r="AF197" s="542"/>
      <c r="AG197" s="529"/>
      <c r="AI197" s="542"/>
      <c r="AJ197" s="529"/>
      <c r="AL197" s="542"/>
      <c r="AM197" s="529"/>
      <c r="AO197" s="542"/>
      <c r="AP197" s="529"/>
      <c r="AQ197" s="529"/>
      <c r="AR197" s="529"/>
      <c r="AT197" s="7"/>
      <c r="AV197" s="6"/>
      <c r="AW197" s="6"/>
      <c r="AX197" s="6"/>
      <c r="AY197" s="6"/>
      <c r="AZ197" s="6"/>
    </row>
    <row r="198" spans="1:52" x14ac:dyDescent="0.35">
      <c r="A198" s="5"/>
      <c r="B198" s="516"/>
      <c r="C198" s="516"/>
      <c r="D198" s="513"/>
      <c r="E198" s="542"/>
      <c r="F198" s="516"/>
      <c r="G198" s="516"/>
      <c r="H198" s="542"/>
      <c r="I198" s="529"/>
      <c r="J198" s="513"/>
      <c r="K198" s="543"/>
      <c r="L198" s="544"/>
      <c r="M198" s="513"/>
      <c r="N198" s="543"/>
      <c r="O198" s="544"/>
      <c r="P198" s="513"/>
      <c r="Q198" s="543"/>
      <c r="R198" s="544"/>
      <c r="S198" s="513"/>
      <c r="T198" s="543"/>
      <c r="U198" s="544"/>
      <c r="V198" s="513"/>
      <c r="W198" s="542"/>
      <c r="X198" s="529"/>
      <c r="Y198" s="519"/>
      <c r="Z198" s="542"/>
      <c r="AA198" s="529"/>
      <c r="AB198" s="529"/>
      <c r="AC198" s="542"/>
      <c r="AD198" s="529"/>
      <c r="AE198" s="519"/>
      <c r="AF198" s="542"/>
      <c r="AG198" s="529"/>
      <c r="AI198" s="542"/>
      <c r="AJ198" s="529"/>
      <c r="AL198" s="542"/>
      <c r="AM198" s="529"/>
      <c r="AO198" s="542"/>
      <c r="AP198" s="529"/>
      <c r="AQ198" s="529"/>
      <c r="AR198" s="529"/>
      <c r="AT198" s="7"/>
      <c r="AV198" s="6"/>
      <c r="AW198" s="6"/>
      <c r="AX198" s="6"/>
      <c r="AY198" s="6"/>
      <c r="AZ198" s="6"/>
    </row>
    <row r="199" spans="1:52" ht="15" thickBot="1" x14ac:dyDescent="0.4">
      <c r="A199" s="5"/>
      <c r="B199" s="549" t="s">
        <v>359</v>
      </c>
      <c r="C199" s="549"/>
      <c r="D199" s="18"/>
      <c r="E199" s="297"/>
      <c r="F199" s="549"/>
      <c r="G199" s="18"/>
      <c r="H199" s="297"/>
      <c r="I199" s="297"/>
      <c r="J199" s="18"/>
      <c r="K199" s="297"/>
      <c r="L199" s="297"/>
      <c r="M199" s="519"/>
      <c r="N199" s="297"/>
      <c r="O199" s="297"/>
      <c r="P199" s="18"/>
      <c r="Q199" s="297"/>
      <c r="R199" s="297"/>
      <c r="S199" s="18"/>
      <c r="T199" s="297"/>
      <c r="U199" s="297"/>
      <c r="V199" s="18"/>
      <c r="W199" s="520"/>
      <c r="X199" s="516"/>
      <c r="Y199" s="519"/>
      <c r="Z199" s="516"/>
      <c r="AA199" s="516"/>
      <c r="AB199" s="519"/>
      <c r="AC199" s="516"/>
      <c r="AD199" s="516"/>
      <c r="AE199" s="519"/>
      <c r="AF199" s="516"/>
      <c r="AG199" s="516"/>
      <c r="AI199" s="541"/>
      <c r="AJ199" s="10"/>
      <c r="AL199" s="10"/>
      <c r="AM199" s="10"/>
      <c r="AO199" s="10"/>
      <c r="AP199" s="10"/>
      <c r="AQ199" s="10"/>
      <c r="AR199" s="10"/>
      <c r="AT199" s="7"/>
    </row>
    <row r="200" spans="1:52" ht="15" customHeight="1" thickBot="1" x14ac:dyDescent="0.4">
      <c r="A200" s="5"/>
      <c r="B200" s="762" t="s">
        <v>360</v>
      </c>
      <c r="C200" s="763"/>
      <c r="D200" s="764"/>
      <c r="E200" s="764"/>
      <c r="F200" s="764"/>
      <c r="G200" s="764"/>
      <c r="H200" s="764"/>
      <c r="I200" s="764"/>
      <c r="J200" s="764"/>
      <c r="K200" s="764"/>
      <c r="L200" s="765"/>
      <c r="M200" s="19"/>
      <c r="N200" s="766" t="s">
        <v>361</v>
      </c>
      <c r="O200" s="764"/>
      <c r="P200" s="764"/>
      <c r="Q200" s="764"/>
      <c r="R200" s="764"/>
      <c r="S200" s="764"/>
      <c r="T200" s="764"/>
      <c r="U200" s="764"/>
      <c r="V200" s="765"/>
      <c r="W200" s="767" t="s">
        <v>393</v>
      </c>
      <c r="X200" s="768"/>
      <c r="Y200" s="768"/>
      <c r="Z200" s="768"/>
      <c r="AA200" s="768"/>
      <c r="AB200" s="768"/>
      <c r="AC200" s="768"/>
      <c r="AD200" s="768"/>
      <c r="AE200" s="768"/>
      <c r="AF200" s="768"/>
      <c r="AG200" s="768"/>
      <c r="AH200" s="768"/>
      <c r="AI200" s="768"/>
      <c r="AJ200" s="768"/>
      <c r="AK200" s="768"/>
      <c r="AL200" s="768"/>
      <c r="AM200" s="769"/>
      <c r="AN200" s="773"/>
      <c r="AO200" s="773"/>
      <c r="AP200" s="773"/>
      <c r="AQ200" s="774"/>
      <c r="AR200" s="774"/>
      <c r="AS200" s="774"/>
      <c r="AT200" s="216"/>
      <c r="AV200" s="6"/>
      <c r="AW200" s="6"/>
      <c r="AX200" s="6"/>
      <c r="AY200" s="6"/>
      <c r="AZ200" s="6"/>
    </row>
    <row r="201" spans="1:52" ht="15" customHeight="1" x14ac:dyDescent="0.35">
      <c r="A201" s="5"/>
      <c r="B201" s="5"/>
      <c r="O201" s="512"/>
      <c r="P201" s="20"/>
      <c r="V201" s="21"/>
      <c r="W201" s="770"/>
      <c r="X201" s="771"/>
      <c r="Y201" s="771"/>
      <c r="Z201" s="771"/>
      <c r="AA201" s="771"/>
      <c r="AB201" s="771"/>
      <c r="AC201" s="771"/>
      <c r="AD201" s="771"/>
      <c r="AE201" s="771"/>
      <c r="AF201" s="771"/>
      <c r="AG201" s="771"/>
      <c r="AH201" s="771"/>
      <c r="AI201" s="771"/>
      <c r="AJ201" s="771"/>
      <c r="AK201" s="771"/>
      <c r="AL201" s="771"/>
      <c r="AM201" s="772"/>
      <c r="AN201" s="775"/>
      <c r="AO201" s="775"/>
      <c r="AP201" s="775"/>
      <c r="AQ201" s="776"/>
      <c r="AR201" s="776"/>
      <c r="AS201" s="776"/>
      <c r="AT201" s="217"/>
    </row>
    <row r="202" spans="1:52" x14ac:dyDescent="0.35">
      <c r="A202" s="5"/>
      <c r="B202" s="780" t="s">
        <v>3</v>
      </c>
      <c r="C202" s="781"/>
      <c r="D202" s="782"/>
      <c r="F202" s="783" t="s">
        <v>362</v>
      </c>
      <c r="G202" s="783"/>
      <c r="I202" s="784" t="s">
        <v>363</v>
      </c>
      <c r="J202" s="784"/>
      <c r="N202" s="785" t="s">
        <v>364</v>
      </c>
      <c r="O202" s="785"/>
      <c r="P202" s="731"/>
      <c r="R202" s="786" t="s">
        <v>365</v>
      </c>
      <c r="S202" s="787"/>
      <c r="T202" s="798"/>
      <c r="U202" s="799"/>
      <c r="V202" s="21"/>
      <c r="W202" s="804" t="s">
        <v>4</v>
      </c>
      <c r="X202" s="805"/>
      <c r="Y202" s="796" t="s">
        <v>366</v>
      </c>
      <c r="Z202" s="796"/>
      <c r="AA202" s="796"/>
      <c r="AB202" s="796"/>
      <c r="AC202" s="796" t="s">
        <v>367</v>
      </c>
      <c r="AD202" s="796"/>
      <c r="AE202" s="796" t="s">
        <v>368</v>
      </c>
      <c r="AF202" s="796"/>
      <c r="AG202" s="796"/>
      <c r="AH202" s="796" t="s">
        <v>369</v>
      </c>
      <c r="AI202" s="796"/>
      <c r="AJ202" s="796"/>
      <c r="AK202" s="796" t="s">
        <v>370</v>
      </c>
      <c r="AL202" s="796"/>
      <c r="AM202" s="796"/>
      <c r="AN202" s="796" t="s">
        <v>371</v>
      </c>
      <c r="AO202" s="796"/>
      <c r="AP202" s="796"/>
      <c r="AQ202" s="797"/>
      <c r="AR202" s="797"/>
      <c r="AS202" s="797"/>
      <c r="AT202" s="213"/>
    </row>
    <row r="203" spans="1:52" x14ac:dyDescent="0.35">
      <c r="A203" s="5"/>
      <c r="B203" s="5"/>
      <c r="N203" s="785"/>
      <c r="O203" s="785"/>
      <c r="P203" s="731"/>
      <c r="R203" s="788"/>
      <c r="S203" s="789"/>
      <c r="T203" s="800"/>
      <c r="U203" s="801"/>
      <c r="V203" s="21"/>
      <c r="W203" s="759">
        <v>1</v>
      </c>
      <c r="X203" s="748"/>
      <c r="Y203" s="779" t="s">
        <v>372</v>
      </c>
      <c r="Z203" s="779"/>
      <c r="AA203" s="779"/>
      <c r="AB203" s="779"/>
      <c r="AC203" s="777" t="s">
        <v>373</v>
      </c>
      <c r="AD203" s="777"/>
      <c r="AE203" s="758">
        <v>118.40600000000001</v>
      </c>
      <c r="AF203" s="777"/>
      <c r="AG203" s="777"/>
      <c r="AH203" s="758">
        <v>118.387</v>
      </c>
      <c r="AI203" s="777"/>
      <c r="AJ203" s="777"/>
      <c r="AK203" s="758">
        <f t="shared" ref="AK203:AK210" si="1">AE203-AH203</f>
        <v>1.9000000000005457E-2</v>
      </c>
      <c r="AL203" s="758"/>
      <c r="AM203" s="758"/>
      <c r="AN203" s="777"/>
      <c r="AO203" s="777"/>
      <c r="AP203" s="777"/>
      <c r="AQ203" s="778"/>
      <c r="AR203" s="778"/>
      <c r="AS203" s="778"/>
      <c r="AT203" s="213"/>
    </row>
    <row r="204" spans="1:52" x14ac:dyDescent="0.35">
      <c r="A204" s="5"/>
      <c r="B204" s="792" t="s">
        <v>2</v>
      </c>
      <c r="C204" s="793"/>
      <c r="D204" s="794"/>
      <c r="N204" s="785" t="s">
        <v>374</v>
      </c>
      <c r="O204" s="785"/>
      <c r="P204" s="731"/>
      <c r="R204" s="788"/>
      <c r="S204" s="789"/>
      <c r="T204" s="800"/>
      <c r="U204" s="801"/>
      <c r="V204" s="21"/>
      <c r="W204" s="759">
        <v>2</v>
      </c>
      <c r="X204" s="748"/>
      <c r="Y204" s="779" t="s">
        <v>375</v>
      </c>
      <c r="Z204" s="779"/>
      <c r="AA204" s="779"/>
      <c r="AB204" s="779"/>
      <c r="AC204" s="777" t="s">
        <v>373</v>
      </c>
      <c r="AD204" s="777"/>
      <c r="AE204" s="758">
        <v>118.40600000000001</v>
      </c>
      <c r="AF204" s="777"/>
      <c r="AG204" s="777"/>
      <c r="AH204" s="758">
        <v>118.387</v>
      </c>
      <c r="AI204" s="777"/>
      <c r="AJ204" s="777"/>
      <c r="AK204" s="758">
        <f t="shared" si="1"/>
        <v>1.9000000000005457E-2</v>
      </c>
      <c r="AL204" s="758"/>
      <c r="AM204" s="758"/>
      <c r="AN204" s="777"/>
      <c r="AO204" s="777"/>
      <c r="AP204" s="777"/>
      <c r="AQ204" s="778"/>
      <c r="AR204" s="778"/>
      <c r="AS204" s="778"/>
      <c r="AT204" s="213"/>
    </row>
    <row r="205" spans="1:52" x14ac:dyDescent="0.35">
      <c r="A205" s="5"/>
      <c r="B205" s="5"/>
      <c r="F205" s="6"/>
      <c r="G205"/>
      <c r="N205" s="785"/>
      <c r="O205" s="785"/>
      <c r="P205" s="731"/>
      <c r="R205" s="790"/>
      <c r="S205" s="791"/>
      <c r="T205" s="802"/>
      <c r="U205" s="803"/>
      <c r="V205" s="21"/>
      <c r="W205" s="759">
        <v>3</v>
      </c>
      <c r="X205" s="748"/>
      <c r="Y205" s="779" t="s">
        <v>0</v>
      </c>
      <c r="Z205" s="779"/>
      <c r="AA205" s="779"/>
      <c r="AB205" s="779"/>
      <c r="AC205" s="777" t="s">
        <v>376</v>
      </c>
      <c r="AD205" s="777"/>
      <c r="AE205" s="777">
        <v>309</v>
      </c>
      <c r="AF205" s="777"/>
      <c r="AG205" s="777"/>
      <c r="AH205" s="777">
        <f>I217</f>
        <v>267</v>
      </c>
      <c r="AI205" s="777"/>
      <c r="AJ205" s="777"/>
      <c r="AK205" s="777">
        <f>AE205-AH205</f>
        <v>42</v>
      </c>
      <c r="AL205" s="777"/>
      <c r="AM205" s="777"/>
      <c r="AN205" s="777"/>
      <c r="AO205" s="777"/>
      <c r="AP205" s="777"/>
      <c r="AQ205" s="778"/>
      <c r="AR205" s="778"/>
      <c r="AS205" s="778"/>
      <c r="AT205" s="213"/>
    </row>
    <row r="206" spans="1:52" x14ac:dyDescent="0.35">
      <c r="A206" s="5"/>
      <c r="B206" s="5"/>
      <c r="E206" s="697"/>
      <c r="F206" s="697"/>
      <c r="H206" s="698"/>
      <c r="I206" s="698"/>
      <c r="K206" s="697"/>
      <c r="L206" s="697"/>
      <c r="N206" s="785" t="s">
        <v>377</v>
      </c>
      <c r="O206" s="785"/>
      <c r="P206" s="731"/>
      <c r="R206" s="786" t="s">
        <v>378</v>
      </c>
      <c r="S206" s="787"/>
      <c r="T206" s="798"/>
      <c r="U206" s="799"/>
      <c r="V206" s="21"/>
      <c r="W206" s="759">
        <v>4</v>
      </c>
      <c r="X206" s="748"/>
      <c r="Y206" s="779" t="s">
        <v>1</v>
      </c>
      <c r="Z206" s="779"/>
      <c r="AA206" s="779"/>
      <c r="AB206" s="779"/>
      <c r="AC206" s="777" t="s">
        <v>376</v>
      </c>
      <c r="AD206" s="777"/>
      <c r="AE206" s="777">
        <v>309</v>
      </c>
      <c r="AF206" s="777"/>
      <c r="AG206" s="777"/>
      <c r="AH206" s="777">
        <f>J217</f>
        <v>235</v>
      </c>
      <c r="AI206" s="777"/>
      <c r="AJ206" s="777"/>
      <c r="AK206" s="777">
        <f t="shared" si="1"/>
        <v>74</v>
      </c>
      <c r="AL206" s="777"/>
      <c r="AM206" s="777"/>
      <c r="AN206" s="777"/>
      <c r="AO206" s="777"/>
      <c r="AP206" s="777"/>
      <c r="AQ206" s="778"/>
      <c r="AR206" s="778"/>
      <c r="AS206" s="778"/>
      <c r="AT206" s="213"/>
    </row>
    <row r="207" spans="1:52" x14ac:dyDescent="0.35">
      <c r="A207" s="5"/>
      <c r="B207" s="22"/>
      <c r="C207" s="550"/>
      <c r="D207" s="23"/>
      <c r="E207" s="11"/>
      <c r="F207" s="12"/>
      <c r="G207" s="508"/>
      <c r="H207" s="3"/>
      <c r="I207" s="3"/>
      <c r="J207" s="509"/>
      <c r="K207" s="8"/>
      <c r="L207" s="3"/>
      <c r="M207" s="508"/>
      <c r="N207" s="785"/>
      <c r="O207" s="785"/>
      <c r="P207" s="731"/>
      <c r="R207" s="788"/>
      <c r="S207" s="789"/>
      <c r="T207" s="800"/>
      <c r="U207" s="801"/>
      <c r="V207" s="21"/>
      <c r="W207" s="759">
        <v>5</v>
      </c>
      <c r="X207" s="748"/>
      <c r="Y207" s="779" t="s">
        <v>2</v>
      </c>
      <c r="Z207" s="779"/>
      <c r="AA207" s="779"/>
      <c r="AB207" s="779"/>
      <c r="AC207" s="777" t="s">
        <v>376</v>
      </c>
      <c r="AD207" s="777"/>
      <c r="AE207" s="777">
        <v>309</v>
      </c>
      <c r="AF207" s="777"/>
      <c r="AG207" s="777"/>
      <c r="AH207" s="777">
        <f>K217</f>
        <v>208</v>
      </c>
      <c r="AI207" s="777"/>
      <c r="AJ207" s="777"/>
      <c r="AK207" s="777">
        <f t="shared" si="1"/>
        <v>101</v>
      </c>
      <c r="AL207" s="777"/>
      <c r="AM207" s="777"/>
      <c r="AN207" s="777"/>
      <c r="AO207" s="777"/>
      <c r="AP207" s="777"/>
      <c r="AQ207" s="778"/>
      <c r="AR207" s="778"/>
      <c r="AS207" s="778"/>
      <c r="AT207" s="213"/>
    </row>
    <row r="208" spans="1:52" x14ac:dyDescent="0.35">
      <c r="A208" s="5"/>
      <c r="B208" s="810" t="s">
        <v>0</v>
      </c>
      <c r="C208" s="811"/>
      <c r="D208" s="812"/>
      <c r="E208" s="11"/>
      <c r="F208" s="11"/>
      <c r="G208" s="508"/>
      <c r="H208" s="3"/>
      <c r="I208" s="3"/>
      <c r="K208" s="8"/>
      <c r="L208" s="3"/>
      <c r="M208" s="508"/>
      <c r="N208" s="785" t="s">
        <v>379</v>
      </c>
      <c r="O208" s="785"/>
      <c r="P208" s="731"/>
      <c r="R208" s="788"/>
      <c r="S208" s="789"/>
      <c r="T208" s="800"/>
      <c r="U208" s="801"/>
      <c r="V208" s="21"/>
      <c r="W208" s="759">
        <v>6</v>
      </c>
      <c r="X208" s="748"/>
      <c r="Y208" s="779" t="s">
        <v>380</v>
      </c>
      <c r="Z208" s="779"/>
      <c r="AA208" s="779"/>
      <c r="AB208" s="779"/>
      <c r="AC208" s="777" t="s">
        <v>376</v>
      </c>
      <c r="AD208" s="777"/>
      <c r="AE208" s="777">
        <v>309</v>
      </c>
      <c r="AF208" s="777"/>
      <c r="AG208" s="777"/>
      <c r="AH208" s="777">
        <f>L217</f>
        <v>4</v>
      </c>
      <c r="AI208" s="777"/>
      <c r="AJ208" s="777"/>
      <c r="AK208" s="777">
        <f t="shared" si="1"/>
        <v>305</v>
      </c>
      <c r="AL208" s="777"/>
      <c r="AM208" s="777"/>
      <c r="AN208" s="777"/>
      <c r="AO208" s="777"/>
      <c r="AP208" s="777"/>
      <c r="AQ208" s="778"/>
      <c r="AR208" s="778"/>
      <c r="AS208" s="778"/>
      <c r="AT208" s="213"/>
    </row>
    <row r="209" spans="1:46" x14ac:dyDescent="0.35">
      <c r="A209" s="5"/>
      <c r="B209" s="22" t="s">
        <v>381</v>
      </c>
      <c r="C209" s="550"/>
      <c r="E209" s="761" t="s">
        <v>8</v>
      </c>
      <c r="F209" s="761"/>
      <c r="G209" s="526">
        <v>293</v>
      </c>
      <c r="H209" s="807" t="s">
        <v>354</v>
      </c>
      <c r="I209" s="761"/>
      <c r="J209" s="551">
        <v>391</v>
      </c>
      <c r="K209" s="808" t="s">
        <v>355</v>
      </c>
      <c r="L209" s="809"/>
      <c r="M209" s="508"/>
      <c r="N209" s="785"/>
      <c r="O209" s="785"/>
      <c r="P209" s="731"/>
      <c r="R209" s="790"/>
      <c r="S209" s="791"/>
      <c r="T209" s="802"/>
      <c r="U209" s="803"/>
      <c r="V209" s="21"/>
      <c r="W209" s="759">
        <v>7</v>
      </c>
      <c r="X209" s="748"/>
      <c r="Y209" s="779" t="s">
        <v>382</v>
      </c>
      <c r="Z209" s="779"/>
      <c r="AA209" s="779"/>
      <c r="AB209" s="779"/>
      <c r="AC209" s="777" t="s">
        <v>373</v>
      </c>
      <c r="AD209" s="777"/>
      <c r="AE209" s="758">
        <v>118.40600000000001</v>
      </c>
      <c r="AF209" s="777"/>
      <c r="AG209" s="777"/>
      <c r="AH209" s="758">
        <v>0</v>
      </c>
      <c r="AI209" s="758"/>
      <c r="AJ209" s="758"/>
      <c r="AK209" s="758">
        <f t="shared" si="1"/>
        <v>118.40600000000001</v>
      </c>
      <c r="AL209" s="758"/>
      <c r="AM209" s="758"/>
      <c r="AN209" s="779"/>
      <c r="AO209" s="779"/>
      <c r="AP209" s="779"/>
      <c r="AQ209" s="813"/>
      <c r="AR209" s="813"/>
      <c r="AS209" s="813"/>
      <c r="AT209" s="218"/>
    </row>
    <row r="210" spans="1:46" x14ac:dyDescent="0.35">
      <c r="A210" s="5"/>
      <c r="B210" s="22" t="s">
        <v>5</v>
      </c>
      <c r="C210" s="550"/>
      <c r="E210" s="711" t="s">
        <v>356</v>
      </c>
      <c r="F210" s="711"/>
      <c r="H210" s="711" t="s">
        <v>33</v>
      </c>
      <c r="I210" s="711"/>
      <c r="J210" s="551"/>
      <c r="K210" s="835" t="s">
        <v>357</v>
      </c>
      <c r="L210" s="836"/>
      <c r="M210" s="508"/>
      <c r="N210" s="785" t="s">
        <v>383</v>
      </c>
      <c r="O210" s="785"/>
      <c r="P210" s="731"/>
      <c r="R210" s="838"/>
      <c r="S210" s="838"/>
      <c r="T210" s="724"/>
      <c r="U210" s="724"/>
      <c r="V210" s="21"/>
      <c r="W210" s="759">
        <v>8</v>
      </c>
      <c r="X210" s="748"/>
      <c r="Y210" s="779" t="s">
        <v>384</v>
      </c>
      <c r="Z210" s="779"/>
      <c r="AA210" s="779"/>
      <c r="AB210" s="779"/>
      <c r="AC210" s="777" t="s">
        <v>373</v>
      </c>
      <c r="AD210" s="777"/>
      <c r="AE210" s="758">
        <v>118.40600000000001</v>
      </c>
      <c r="AF210" s="777"/>
      <c r="AG210" s="777"/>
      <c r="AH210" s="758">
        <v>0</v>
      </c>
      <c r="AI210" s="777"/>
      <c r="AJ210" s="777"/>
      <c r="AK210" s="758">
        <f t="shared" si="1"/>
        <v>118.40600000000001</v>
      </c>
      <c r="AL210" s="758"/>
      <c r="AM210" s="758"/>
      <c r="AN210" s="777"/>
      <c r="AO210" s="777"/>
      <c r="AP210" s="777"/>
      <c r="AQ210" s="778"/>
      <c r="AR210" s="778"/>
      <c r="AS210" s="778"/>
      <c r="AT210" s="213"/>
    </row>
    <row r="211" spans="1:46" ht="15" thickBot="1" x14ac:dyDescent="0.4">
      <c r="A211" s="24"/>
      <c r="B211" s="24"/>
      <c r="C211" s="25"/>
      <c r="D211" s="26"/>
      <c r="E211" s="25"/>
      <c r="F211" s="830" t="s">
        <v>1</v>
      </c>
      <c r="G211" s="830"/>
      <c r="H211" s="25"/>
      <c r="I211" s="25"/>
      <c r="J211" s="831" t="s">
        <v>385</v>
      </c>
      <c r="K211" s="831"/>
      <c r="L211" s="831"/>
      <c r="M211" s="26"/>
      <c r="N211" s="827"/>
      <c r="O211" s="827"/>
      <c r="P211" s="837"/>
      <c r="Q211" s="26"/>
      <c r="R211" s="839"/>
      <c r="S211" s="839"/>
      <c r="T211" s="806"/>
      <c r="U211" s="806"/>
      <c r="V211" s="27"/>
      <c r="W211" s="832">
        <v>9</v>
      </c>
      <c r="X211" s="833"/>
      <c r="Y211" s="834" t="s">
        <v>386</v>
      </c>
      <c r="Z211" s="834"/>
      <c r="AA211" s="834"/>
      <c r="AB211" s="834"/>
      <c r="AC211" s="824" t="s">
        <v>373</v>
      </c>
      <c r="AD211" s="824"/>
      <c r="AE211" s="823">
        <v>118.40600000000001</v>
      </c>
      <c r="AF211" s="824"/>
      <c r="AG211" s="824"/>
      <c r="AH211" s="823">
        <v>0</v>
      </c>
      <c r="AI211" s="824"/>
      <c r="AJ211" s="824"/>
      <c r="AK211" s="824">
        <v>118</v>
      </c>
      <c r="AL211" s="824"/>
      <c r="AM211" s="824"/>
      <c r="AN211" s="824"/>
      <c r="AO211" s="824"/>
      <c r="AP211" s="824"/>
      <c r="AQ211" s="825"/>
      <c r="AR211" s="825"/>
      <c r="AS211" s="825"/>
      <c r="AT211" s="552"/>
    </row>
    <row r="212" spans="1:46" x14ac:dyDescent="0.35">
      <c r="N212" s="826" t="s">
        <v>394</v>
      </c>
      <c r="O212" s="826"/>
      <c r="P212" s="828"/>
    </row>
    <row r="213" spans="1:46" ht="15" thickBot="1" x14ac:dyDescent="0.4">
      <c r="N213" s="827"/>
      <c r="O213" s="827"/>
      <c r="P213" s="731"/>
    </row>
    <row r="214" spans="1:46" x14ac:dyDescent="0.35">
      <c r="AH214" s="829"/>
      <c r="AI214" s="829"/>
    </row>
    <row r="215" spans="1:46" ht="15" thickBot="1" x14ac:dyDescent="0.4"/>
    <row r="216" spans="1:46" ht="72.5" x14ac:dyDescent="0.35">
      <c r="I216" s="496" t="s">
        <v>2139</v>
      </c>
      <c r="J216" s="502" t="s">
        <v>2140</v>
      </c>
      <c r="K216" s="503" t="s">
        <v>2142</v>
      </c>
      <c r="L216" s="499" t="s">
        <v>352</v>
      </c>
      <c r="M216" s="504" t="s">
        <v>353</v>
      </c>
      <c r="N216" s="501" t="s">
        <v>2123</v>
      </c>
      <c r="W216" s="208"/>
      <c r="X216" s="208"/>
      <c r="AB216" s="208"/>
      <c r="AH216" s="814" t="s">
        <v>2125</v>
      </c>
      <c r="AI216" s="815"/>
      <c r="AJ216" s="815"/>
      <c r="AK216" s="815"/>
      <c r="AL216" s="815"/>
      <c r="AM216" s="815"/>
      <c r="AN216" s="815"/>
      <c r="AO216" s="815"/>
      <c r="AP216" s="816"/>
      <c r="AQ216" s="298"/>
      <c r="AR216" s="298"/>
    </row>
    <row r="217" spans="1:46" x14ac:dyDescent="0.35">
      <c r="I217" s="8">
        <f>AV3</f>
        <v>267</v>
      </c>
      <c r="J217" s="8">
        <f>AW3</f>
        <v>235</v>
      </c>
      <c r="K217" s="8">
        <f>AX3</f>
        <v>208</v>
      </c>
      <c r="L217" s="8">
        <f>AY3</f>
        <v>4</v>
      </c>
      <c r="M217" s="8">
        <f t="shared" ref="M217:N217" si="2">SUM(M220:M396)</f>
        <v>0</v>
      </c>
      <c r="N217" s="8">
        <f t="shared" si="2"/>
        <v>0</v>
      </c>
      <c r="AH217" s="817"/>
      <c r="AI217" s="818"/>
      <c r="AJ217" s="818"/>
      <c r="AK217" s="818"/>
      <c r="AL217" s="818"/>
      <c r="AM217" s="818"/>
      <c r="AN217" s="818"/>
      <c r="AO217" s="818"/>
      <c r="AP217" s="819"/>
      <c r="AQ217" s="298"/>
      <c r="AR217" s="298"/>
    </row>
    <row r="218" spans="1:46" x14ac:dyDescent="0.35">
      <c r="AH218" s="817"/>
      <c r="AI218" s="818"/>
      <c r="AJ218" s="818"/>
      <c r="AK218" s="818"/>
      <c r="AL218" s="818"/>
      <c r="AM218" s="818"/>
      <c r="AN218" s="818"/>
      <c r="AO218" s="818"/>
      <c r="AP218" s="819"/>
      <c r="AQ218" s="298"/>
      <c r="AR218" s="298"/>
    </row>
    <row r="219" spans="1:46" x14ac:dyDescent="0.35">
      <c r="AH219" s="817"/>
      <c r="AI219" s="818"/>
      <c r="AJ219" s="818"/>
      <c r="AK219" s="818"/>
      <c r="AL219" s="818"/>
      <c r="AM219" s="818"/>
      <c r="AN219" s="818"/>
      <c r="AO219" s="818"/>
      <c r="AP219" s="819"/>
      <c r="AQ219" s="298"/>
      <c r="AR219" s="298"/>
    </row>
    <row r="220" spans="1:46" x14ac:dyDescent="0.35">
      <c r="D220"/>
      <c r="G220"/>
      <c r="J220"/>
      <c r="M220"/>
      <c r="P220"/>
      <c r="S220"/>
      <c r="V220"/>
      <c r="Y220"/>
      <c r="AB220"/>
      <c r="AE220"/>
      <c r="AH220" s="817"/>
      <c r="AI220" s="818"/>
      <c r="AJ220" s="818"/>
      <c r="AK220" s="818"/>
      <c r="AL220" s="818"/>
      <c r="AM220" s="818"/>
      <c r="AN220" s="818"/>
      <c r="AO220" s="818"/>
      <c r="AP220" s="819"/>
      <c r="AQ220" s="298"/>
      <c r="AR220" s="298"/>
      <c r="AS220"/>
      <c r="AT220"/>
    </row>
    <row r="221" spans="1:46" x14ac:dyDescent="0.35">
      <c r="D221"/>
      <c r="G221"/>
      <c r="J221"/>
      <c r="M221"/>
      <c r="P221"/>
      <c r="S221"/>
      <c r="V221"/>
      <c r="Y221"/>
      <c r="AB221"/>
      <c r="AE221"/>
      <c r="AH221" s="817"/>
      <c r="AI221" s="818"/>
      <c r="AJ221" s="818"/>
      <c r="AK221" s="818"/>
      <c r="AL221" s="818"/>
      <c r="AM221" s="818"/>
      <c r="AN221" s="818"/>
      <c r="AO221" s="818"/>
      <c r="AP221" s="819"/>
      <c r="AQ221" s="298"/>
      <c r="AR221" s="298"/>
      <c r="AS221"/>
      <c r="AT221"/>
    </row>
    <row r="222" spans="1:46" ht="15" thickBot="1" x14ac:dyDescent="0.4">
      <c r="D222"/>
      <c r="G222"/>
      <c r="J222"/>
      <c r="M222"/>
      <c r="P222"/>
      <c r="S222"/>
      <c r="V222"/>
      <c r="Y222"/>
      <c r="AB222"/>
      <c r="AE222"/>
      <c r="AH222" s="820"/>
      <c r="AI222" s="821"/>
      <c r="AJ222" s="821"/>
      <c r="AK222" s="821"/>
      <c r="AL222" s="821"/>
      <c r="AM222" s="821"/>
      <c r="AN222" s="821"/>
      <c r="AO222" s="821"/>
      <c r="AP222" s="822"/>
      <c r="AQ222" s="298"/>
      <c r="AR222" s="298"/>
      <c r="AS222"/>
      <c r="AT222"/>
    </row>
  </sheetData>
  <mergeCells count="1142">
    <mergeCell ref="AH216:AP222"/>
    <mergeCell ref="AH211:AJ211"/>
    <mergeCell ref="AK211:AM211"/>
    <mergeCell ref="AN211:AS211"/>
    <mergeCell ref="N212:O213"/>
    <mergeCell ref="P212:P213"/>
    <mergeCell ref="AH214:AI214"/>
    <mergeCell ref="F211:G211"/>
    <mergeCell ref="J211:L211"/>
    <mergeCell ref="W211:X211"/>
    <mergeCell ref="Y211:AB211"/>
    <mergeCell ref="AC211:AD211"/>
    <mergeCell ref="AE211:AG211"/>
    <mergeCell ref="Y210:AB210"/>
    <mergeCell ref="AC210:AD210"/>
    <mergeCell ref="AE210:AG210"/>
    <mergeCell ref="AH210:AJ210"/>
    <mergeCell ref="AK210:AM210"/>
    <mergeCell ref="AN210:AS210"/>
    <mergeCell ref="E210:F210"/>
    <mergeCell ref="H210:I210"/>
    <mergeCell ref="K210:L210"/>
    <mergeCell ref="N210:O211"/>
    <mergeCell ref="P210:P211"/>
    <mergeCell ref="R210:S211"/>
    <mergeCell ref="B208:D208"/>
    <mergeCell ref="N208:O209"/>
    <mergeCell ref="P208:P209"/>
    <mergeCell ref="W208:X208"/>
    <mergeCell ref="Y208:AB208"/>
    <mergeCell ref="AC208:AD208"/>
    <mergeCell ref="AK206:AM206"/>
    <mergeCell ref="AN206:AS206"/>
    <mergeCell ref="W207:X207"/>
    <mergeCell ref="Y207:AB207"/>
    <mergeCell ref="AC207:AD207"/>
    <mergeCell ref="AE207:AG207"/>
    <mergeCell ref="AH207:AJ207"/>
    <mergeCell ref="AK207:AM207"/>
    <mergeCell ref="AN207:AS207"/>
    <mergeCell ref="T206:U209"/>
    <mergeCell ref="W206:X206"/>
    <mergeCell ref="Y206:AB206"/>
    <mergeCell ref="AC206:AD206"/>
    <mergeCell ref="AE206:AG206"/>
    <mergeCell ref="AH206:AJ206"/>
    <mergeCell ref="AE208:AG208"/>
    <mergeCell ref="E206:F206"/>
    <mergeCell ref="K206:L206"/>
    <mergeCell ref="N206:O207"/>
    <mergeCell ref="P206:P207"/>
    <mergeCell ref="R206:S209"/>
    <mergeCell ref="AK209:AM209"/>
    <mergeCell ref="AN209:AS209"/>
    <mergeCell ref="W202:X202"/>
    <mergeCell ref="Y202:AB202"/>
    <mergeCell ref="AC202:AD202"/>
    <mergeCell ref="AE202:AG202"/>
    <mergeCell ref="AH202:AJ202"/>
    <mergeCell ref="W204:X204"/>
    <mergeCell ref="Y204:AB204"/>
    <mergeCell ref="AC204:AD204"/>
    <mergeCell ref="AE204:AG204"/>
    <mergeCell ref="T210:U211"/>
    <mergeCell ref="E209:F209"/>
    <mergeCell ref="H209:I209"/>
    <mergeCell ref="K209:L209"/>
    <mergeCell ref="W209:X209"/>
    <mergeCell ref="Y209:AB209"/>
    <mergeCell ref="AC209:AD209"/>
    <mergeCell ref="AE209:AG209"/>
    <mergeCell ref="AH209:AJ209"/>
    <mergeCell ref="W210:X210"/>
    <mergeCell ref="AH208:AJ208"/>
    <mergeCell ref="AK204:AM204"/>
    <mergeCell ref="AN204:AS204"/>
    <mergeCell ref="W205:X205"/>
    <mergeCell ref="Y205:AB205"/>
    <mergeCell ref="AC205:AD205"/>
    <mergeCell ref="AE205:AG205"/>
    <mergeCell ref="AH205:AJ205"/>
    <mergeCell ref="AK205:AM205"/>
    <mergeCell ref="AN205:AS205"/>
    <mergeCell ref="AK208:AM208"/>
    <mergeCell ref="AN208:AS208"/>
    <mergeCell ref="B202:D202"/>
    <mergeCell ref="F202:G202"/>
    <mergeCell ref="I202:J202"/>
    <mergeCell ref="N202:O203"/>
    <mergeCell ref="P202:P203"/>
    <mergeCell ref="R202:S205"/>
    <mergeCell ref="B204:D204"/>
    <mergeCell ref="N204:O205"/>
    <mergeCell ref="P204:P205"/>
    <mergeCell ref="AH204:AJ204"/>
    <mergeCell ref="AK202:AM202"/>
    <mergeCell ref="AN202:AS202"/>
    <mergeCell ref="W203:X203"/>
    <mergeCell ref="H206:I206"/>
    <mergeCell ref="Y203:AB203"/>
    <mergeCell ref="AC203:AD203"/>
    <mergeCell ref="AE203:AG203"/>
    <mergeCell ref="AH203:AJ203"/>
    <mergeCell ref="AK203:AM203"/>
    <mergeCell ref="AN203:AS203"/>
    <mergeCell ref="T202:U205"/>
    <mergeCell ref="AL184:AM184"/>
    <mergeCell ref="AO184:AP184"/>
    <mergeCell ref="B200:L200"/>
    <mergeCell ref="N200:V200"/>
    <mergeCell ref="W200:AM201"/>
    <mergeCell ref="AN200:AS200"/>
    <mergeCell ref="AN201:AS201"/>
    <mergeCell ref="T184:U184"/>
    <mergeCell ref="W184:X184"/>
    <mergeCell ref="Z184:AA184"/>
    <mergeCell ref="AC184:AD184"/>
    <mergeCell ref="AF184:AG184"/>
    <mergeCell ref="AI184:AJ184"/>
    <mergeCell ref="B184:C184"/>
    <mergeCell ref="E184:F184"/>
    <mergeCell ref="H184:I184"/>
    <mergeCell ref="K184:L184"/>
    <mergeCell ref="N184:O184"/>
    <mergeCell ref="Q184:R184"/>
    <mergeCell ref="Z183:AA183"/>
    <mergeCell ref="AC183:AD183"/>
    <mergeCell ref="AF183:AG183"/>
    <mergeCell ref="AI183:AJ183"/>
    <mergeCell ref="AL183:AM183"/>
    <mergeCell ref="AO183:AP183"/>
    <mergeCell ref="AL180:AM180"/>
    <mergeCell ref="AO180:AP180"/>
    <mergeCell ref="B183:C183"/>
    <mergeCell ref="E183:F183"/>
    <mergeCell ref="H183:I183"/>
    <mergeCell ref="K183:L183"/>
    <mergeCell ref="N183:O183"/>
    <mergeCell ref="Q183:R183"/>
    <mergeCell ref="T183:U183"/>
    <mergeCell ref="W183:X183"/>
    <mergeCell ref="T180:U180"/>
    <mergeCell ref="W180:X180"/>
    <mergeCell ref="Z180:AA180"/>
    <mergeCell ref="AC180:AD180"/>
    <mergeCell ref="AE180:AH180"/>
    <mergeCell ref="AI180:AJ180"/>
    <mergeCell ref="B180:C180"/>
    <mergeCell ref="E180:F180"/>
    <mergeCell ref="H180:I180"/>
    <mergeCell ref="K180:L180"/>
    <mergeCell ref="N180:O180"/>
    <mergeCell ref="Q180:R180"/>
    <mergeCell ref="AC176:AD176"/>
    <mergeCell ref="AF176:AG176"/>
    <mergeCell ref="AI176:AJ176"/>
    <mergeCell ref="AL176:AM176"/>
    <mergeCell ref="AO176:AP176"/>
    <mergeCell ref="A178:D178"/>
    <mergeCell ref="AO175:AP175"/>
    <mergeCell ref="B176:C176"/>
    <mergeCell ref="E176:F176"/>
    <mergeCell ref="H176:I176"/>
    <mergeCell ref="K176:L176"/>
    <mergeCell ref="N176:O176"/>
    <mergeCell ref="Q176:R176"/>
    <mergeCell ref="T176:U176"/>
    <mergeCell ref="W176:X176"/>
    <mergeCell ref="Z176:AA176"/>
    <mergeCell ref="W175:X175"/>
    <mergeCell ref="Z175:AA175"/>
    <mergeCell ref="AC175:AD175"/>
    <mergeCell ref="AF175:AG175"/>
    <mergeCell ref="AI175:AJ175"/>
    <mergeCell ref="AL175:AM175"/>
    <mergeCell ref="AO172:AP172"/>
    <mergeCell ref="H173:I174"/>
    <mergeCell ref="AO173:AP174"/>
    <mergeCell ref="B175:C175"/>
    <mergeCell ref="E175:F175"/>
    <mergeCell ref="H175:I175"/>
    <mergeCell ref="K175:L175"/>
    <mergeCell ref="N175:O175"/>
    <mergeCell ref="Q175:R175"/>
    <mergeCell ref="T175:U175"/>
    <mergeCell ref="W172:X172"/>
    <mergeCell ref="Z172:AA172"/>
    <mergeCell ref="AC172:AD172"/>
    <mergeCell ref="AE172:AH172"/>
    <mergeCell ref="AI172:AJ172"/>
    <mergeCell ref="AL172:AM172"/>
    <mergeCell ref="AO168:AP168"/>
    <mergeCell ref="K170:R170"/>
    <mergeCell ref="V170:Y170"/>
    <mergeCell ref="B172:C172"/>
    <mergeCell ref="E172:F172"/>
    <mergeCell ref="H172:I172"/>
    <mergeCell ref="K172:L172"/>
    <mergeCell ref="N172:O172"/>
    <mergeCell ref="Q172:R172"/>
    <mergeCell ref="T172:U172"/>
    <mergeCell ref="W168:X168"/>
    <mergeCell ref="Z168:AA168"/>
    <mergeCell ref="AC168:AD168"/>
    <mergeCell ref="AF168:AG168"/>
    <mergeCell ref="AI168:AJ168"/>
    <mergeCell ref="AL168:AM168"/>
    <mergeCell ref="AI167:AJ167"/>
    <mergeCell ref="AL167:AM167"/>
    <mergeCell ref="AO167:AP167"/>
    <mergeCell ref="B168:C168"/>
    <mergeCell ref="E168:F168"/>
    <mergeCell ref="H168:I168"/>
    <mergeCell ref="K168:L168"/>
    <mergeCell ref="N168:O168"/>
    <mergeCell ref="Q168:R168"/>
    <mergeCell ref="T168:U168"/>
    <mergeCell ref="Q167:R167"/>
    <mergeCell ref="T167:U167"/>
    <mergeCell ref="W167:X167"/>
    <mergeCell ref="Z167:AA167"/>
    <mergeCell ref="AC167:AD167"/>
    <mergeCell ref="AF167:AG167"/>
    <mergeCell ref="AL164:AM164"/>
    <mergeCell ref="AO164:AP164"/>
    <mergeCell ref="W165:X166"/>
    <mergeCell ref="AC165:AD166"/>
    <mergeCell ref="AO165:AP166"/>
    <mergeCell ref="B167:C167"/>
    <mergeCell ref="E167:F167"/>
    <mergeCell ref="H167:I167"/>
    <mergeCell ref="K167:L167"/>
    <mergeCell ref="N167:O167"/>
    <mergeCell ref="T164:U164"/>
    <mergeCell ref="W164:X164"/>
    <mergeCell ref="Z164:AA164"/>
    <mergeCell ref="AC164:AD164"/>
    <mergeCell ref="AE164:AH164"/>
    <mergeCell ref="AI164:AJ164"/>
    <mergeCell ref="B164:C164"/>
    <mergeCell ref="E164:F164"/>
    <mergeCell ref="H164:I164"/>
    <mergeCell ref="K164:L164"/>
    <mergeCell ref="N164:O164"/>
    <mergeCell ref="Q164:R164"/>
    <mergeCell ref="AC160:AD160"/>
    <mergeCell ref="AF160:AG160"/>
    <mergeCell ref="AI160:AJ160"/>
    <mergeCell ref="AL160:AM160"/>
    <mergeCell ref="AO160:AP160"/>
    <mergeCell ref="W162:AD162"/>
    <mergeCell ref="AH162:AK162"/>
    <mergeCell ref="AO159:AP159"/>
    <mergeCell ref="B160:C160"/>
    <mergeCell ref="E160:F160"/>
    <mergeCell ref="H160:I160"/>
    <mergeCell ref="K160:L160"/>
    <mergeCell ref="N160:O160"/>
    <mergeCell ref="Q160:R160"/>
    <mergeCell ref="T160:U160"/>
    <mergeCell ref="W160:X160"/>
    <mergeCell ref="Z160:AA160"/>
    <mergeCell ref="W159:X159"/>
    <mergeCell ref="Z159:AA159"/>
    <mergeCell ref="AC159:AD159"/>
    <mergeCell ref="AF159:AG159"/>
    <mergeCell ref="AI159:AJ159"/>
    <mergeCell ref="AL159:AM159"/>
    <mergeCell ref="AO156:AP156"/>
    <mergeCell ref="Q157:R158"/>
    <mergeCell ref="AC157:AD158"/>
    <mergeCell ref="B159:C159"/>
    <mergeCell ref="E159:F159"/>
    <mergeCell ref="H159:I159"/>
    <mergeCell ref="K159:L159"/>
    <mergeCell ref="N159:O159"/>
    <mergeCell ref="Q159:R159"/>
    <mergeCell ref="T159:U159"/>
    <mergeCell ref="W156:X156"/>
    <mergeCell ref="Z156:AA156"/>
    <mergeCell ref="AC156:AD156"/>
    <mergeCell ref="AE156:AH156"/>
    <mergeCell ref="AI156:AJ156"/>
    <mergeCell ref="AL156:AM156"/>
    <mergeCell ref="B154:O154"/>
    <mergeCell ref="W154:AA154"/>
    <mergeCell ref="AF154:AJ154"/>
    <mergeCell ref="B156:C156"/>
    <mergeCell ref="E156:F156"/>
    <mergeCell ref="H156:I156"/>
    <mergeCell ref="K156:L156"/>
    <mergeCell ref="N156:O156"/>
    <mergeCell ref="Q156:R156"/>
    <mergeCell ref="T156:U156"/>
    <mergeCell ref="Z152:AA152"/>
    <mergeCell ref="AC152:AD152"/>
    <mergeCell ref="AF152:AG152"/>
    <mergeCell ref="AI152:AJ152"/>
    <mergeCell ref="AL152:AM152"/>
    <mergeCell ref="AO152:AP152"/>
    <mergeCell ref="AL151:AM151"/>
    <mergeCell ref="AO151:AP151"/>
    <mergeCell ref="B152:C152"/>
    <mergeCell ref="E152:F152"/>
    <mergeCell ref="H152:I152"/>
    <mergeCell ref="K152:L152"/>
    <mergeCell ref="N152:O152"/>
    <mergeCell ref="Q152:R152"/>
    <mergeCell ref="T152:U152"/>
    <mergeCell ref="W152:X152"/>
    <mergeCell ref="T151:U151"/>
    <mergeCell ref="W151:X151"/>
    <mergeCell ref="Z151:AA151"/>
    <mergeCell ref="AC151:AD151"/>
    <mergeCell ref="AF151:AG151"/>
    <mergeCell ref="AI151:AJ151"/>
    <mergeCell ref="B151:C151"/>
    <mergeCell ref="E151:F151"/>
    <mergeCell ref="H151:I151"/>
    <mergeCell ref="K151:L151"/>
    <mergeCell ref="N151:O151"/>
    <mergeCell ref="Q151:R151"/>
    <mergeCell ref="AL148:AM148"/>
    <mergeCell ref="AO148:AP148"/>
    <mergeCell ref="AC149:AD150"/>
    <mergeCell ref="AF149:AG150"/>
    <mergeCell ref="AL149:AM150"/>
    <mergeCell ref="AO149:AP150"/>
    <mergeCell ref="T148:U148"/>
    <mergeCell ref="W148:X148"/>
    <mergeCell ref="Z148:AA148"/>
    <mergeCell ref="AC148:AD148"/>
    <mergeCell ref="AE148:AH148"/>
    <mergeCell ref="AI148:AJ148"/>
    <mergeCell ref="AO144:AP144"/>
    <mergeCell ref="H146:L146"/>
    <mergeCell ref="Q146:U146"/>
    <mergeCell ref="AO146:AT146"/>
    <mergeCell ref="B148:C148"/>
    <mergeCell ref="E148:F148"/>
    <mergeCell ref="H148:I148"/>
    <mergeCell ref="K148:L148"/>
    <mergeCell ref="N148:O148"/>
    <mergeCell ref="Q148:R148"/>
    <mergeCell ref="W144:X144"/>
    <mergeCell ref="Z144:AA144"/>
    <mergeCell ref="AC144:AD144"/>
    <mergeCell ref="AF144:AG144"/>
    <mergeCell ref="AI144:AJ144"/>
    <mergeCell ref="AL144:AM144"/>
    <mergeCell ref="AI143:AJ143"/>
    <mergeCell ref="AL143:AM143"/>
    <mergeCell ref="AO143:AP143"/>
    <mergeCell ref="B144:C144"/>
    <mergeCell ref="E144:F144"/>
    <mergeCell ref="H144:I144"/>
    <mergeCell ref="K144:L144"/>
    <mergeCell ref="N144:O144"/>
    <mergeCell ref="Q144:R144"/>
    <mergeCell ref="T144:U144"/>
    <mergeCell ref="Q143:R143"/>
    <mergeCell ref="T143:U143"/>
    <mergeCell ref="W143:X143"/>
    <mergeCell ref="Z143:AA143"/>
    <mergeCell ref="AC143:AD143"/>
    <mergeCell ref="AF143:AG143"/>
    <mergeCell ref="AC140:AD140"/>
    <mergeCell ref="AE140:AH140"/>
    <mergeCell ref="AI140:AJ140"/>
    <mergeCell ref="AL140:AM140"/>
    <mergeCell ref="AO140:AP140"/>
    <mergeCell ref="B143:C143"/>
    <mergeCell ref="E143:F143"/>
    <mergeCell ref="H143:I143"/>
    <mergeCell ref="K143:L143"/>
    <mergeCell ref="N143:O143"/>
    <mergeCell ref="Z138:AD138"/>
    <mergeCell ref="B140:C140"/>
    <mergeCell ref="E140:F140"/>
    <mergeCell ref="H140:I140"/>
    <mergeCell ref="K140:L140"/>
    <mergeCell ref="N140:O140"/>
    <mergeCell ref="Q140:R140"/>
    <mergeCell ref="T140:U140"/>
    <mergeCell ref="W140:X140"/>
    <mergeCell ref="Z140:AA140"/>
    <mergeCell ref="Z136:AA136"/>
    <mergeCell ref="AC136:AD136"/>
    <mergeCell ref="AF136:AG136"/>
    <mergeCell ref="AI136:AJ136"/>
    <mergeCell ref="AL136:AM136"/>
    <mergeCell ref="AO136:AP136"/>
    <mergeCell ref="AL135:AM135"/>
    <mergeCell ref="AO135:AP135"/>
    <mergeCell ref="B136:C136"/>
    <mergeCell ref="E136:F136"/>
    <mergeCell ref="H136:I136"/>
    <mergeCell ref="K136:L136"/>
    <mergeCell ref="N136:O136"/>
    <mergeCell ref="Q136:R136"/>
    <mergeCell ref="T136:U136"/>
    <mergeCell ref="W136:X136"/>
    <mergeCell ref="T135:U135"/>
    <mergeCell ref="W135:X135"/>
    <mergeCell ref="Z135:AA135"/>
    <mergeCell ref="AC135:AD135"/>
    <mergeCell ref="AF135:AG135"/>
    <mergeCell ref="AI135:AJ135"/>
    <mergeCell ref="B135:C135"/>
    <mergeCell ref="E135:F135"/>
    <mergeCell ref="H135:I135"/>
    <mergeCell ref="K135:L135"/>
    <mergeCell ref="N135:O135"/>
    <mergeCell ref="Q135:R135"/>
    <mergeCell ref="AC132:AD132"/>
    <mergeCell ref="AE132:AH132"/>
    <mergeCell ref="AI132:AJ132"/>
    <mergeCell ref="AL132:AM132"/>
    <mergeCell ref="AO132:AP132"/>
    <mergeCell ref="AL133:AM134"/>
    <mergeCell ref="AO128:AP128"/>
    <mergeCell ref="B132:C132"/>
    <mergeCell ref="E132:F132"/>
    <mergeCell ref="H132:I132"/>
    <mergeCell ref="K132:L132"/>
    <mergeCell ref="N132:O132"/>
    <mergeCell ref="Q132:R132"/>
    <mergeCell ref="T132:U132"/>
    <mergeCell ref="W132:X132"/>
    <mergeCell ref="Z132:AA132"/>
    <mergeCell ref="W128:X128"/>
    <mergeCell ref="Z128:AA128"/>
    <mergeCell ref="AC128:AD128"/>
    <mergeCell ref="AF128:AG128"/>
    <mergeCell ref="AI128:AJ128"/>
    <mergeCell ref="AL128:AM128"/>
    <mergeCell ref="AI127:AJ127"/>
    <mergeCell ref="AL127:AM127"/>
    <mergeCell ref="AO127:AP127"/>
    <mergeCell ref="B128:C128"/>
    <mergeCell ref="E128:F128"/>
    <mergeCell ref="H128:I128"/>
    <mergeCell ref="K128:L128"/>
    <mergeCell ref="N128:O128"/>
    <mergeCell ref="Q128:R128"/>
    <mergeCell ref="T128:U128"/>
    <mergeCell ref="Q127:R127"/>
    <mergeCell ref="T127:U127"/>
    <mergeCell ref="W127:X127"/>
    <mergeCell ref="Z127:AA127"/>
    <mergeCell ref="AC127:AD127"/>
    <mergeCell ref="AF127:AG127"/>
    <mergeCell ref="AL124:AM124"/>
    <mergeCell ref="AO124:AP124"/>
    <mergeCell ref="E125:F126"/>
    <mergeCell ref="B127:C127"/>
    <mergeCell ref="E127:F127"/>
    <mergeCell ref="H127:I127"/>
    <mergeCell ref="K127:L127"/>
    <mergeCell ref="N127:O127"/>
    <mergeCell ref="T124:U124"/>
    <mergeCell ref="W124:X124"/>
    <mergeCell ref="Z124:AA124"/>
    <mergeCell ref="AC124:AD124"/>
    <mergeCell ref="AE124:AH124"/>
    <mergeCell ref="AI124:AJ124"/>
    <mergeCell ref="B124:C124"/>
    <mergeCell ref="E124:F124"/>
    <mergeCell ref="H124:I124"/>
    <mergeCell ref="K124:L124"/>
    <mergeCell ref="N124:O124"/>
    <mergeCell ref="Q124:R124"/>
    <mergeCell ref="AC120:AD120"/>
    <mergeCell ref="AF120:AG120"/>
    <mergeCell ref="AI120:AJ120"/>
    <mergeCell ref="AL120:AM120"/>
    <mergeCell ref="AO120:AP120"/>
    <mergeCell ref="G122:J122"/>
    <mergeCell ref="N122:R122"/>
    <mergeCell ref="S122:V122"/>
    <mergeCell ref="AO119:AP119"/>
    <mergeCell ref="B120:C120"/>
    <mergeCell ref="E120:F120"/>
    <mergeCell ref="H120:I120"/>
    <mergeCell ref="K120:L120"/>
    <mergeCell ref="N120:O120"/>
    <mergeCell ref="Q120:R120"/>
    <mergeCell ref="T120:U120"/>
    <mergeCell ref="W120:X120"/>
    <mergeCell ref="Z120:AA120"/>
    <mergeCell ref="W119:X119"/>
    <mergeCell ref="Z119:AA119"/>
    <mergeCell ref="AC119:AD119"/>
    <mergeCell ref="AF119:AG119"/>
    <mergeCell ref="AI119:AJ119"/>
    <mergeCell ref="AL119:AM119"/>
    <mergeCell ref="AO116:AP116"/>
    <mergeCell ref="E117:F118"/>
    <mergeCell ref="AO117:AP118"/>
    <mergeCell ref="B119:C119"/>
    <mergeCell ref="E119:F119"/>
    <mergeCell ref="H119:I119"/>
    <mergeCell ref="K119:L119"/>
    <mergeCell ref="N119:O119"/>
    <mergeCell ref="Q119:R119"/>
    <mergeCell ref="T119:U119"/>
    <mergeCell ref="W116:X116"/>
    <mergeCell ref="Z116:AA116"/>
    <mergeCell ref="AC116:AD116"/>
    <mergeCell ref="AE116:AH116"/>
    <mergeCell ref="AI116:AJ116"/>
    <mergeCell ref="AL116:AM116"/>
    <mergeCell ref="E114:O114"/>
    <mergeCell ref="AF114:AH114"/>
    <mergeCell ref="AI114:AM114"/>
    <mergeCell ref="B116:C116"/>
    <mergeCell ref="E116:F116"/>
    <mergeCell ref="H116:I116"/>
    <mergeCell ref="K116:L116"/>
    <mergeCell ref="N116:O116"/>
    <mergeCell ref="Q116:R116"/>
    <mergeCell ref="T116:U116"/>
    <mergeCell ref="Z112:AA112"/>
    <mergeCell ref="AC112:AD112"/>
    <mergeCell ref="AF112:AG112"/>
    <mergeCell ref="AI112:AJ112"/>
    <mergeCell ref="AL112:AM112"/>
    <mergeCell ref="AO112:AP112"/>
    <mergeCell ref="AL111:AM111"/>
    <mergeCell ref="AO111:AP111"/>
    <mergeCell ref="B112:C112"/>
    <mergeCell ref="E112:F112"/>
    <mergeCell ref="H112:I112"/>
    <mergeCell ref="K112:L112"/>
    <mergeCell ref="N112:O112"/>
    <mergeCell ref="Q112:R112"/>
    <mergeCell ref="T112:U112"/>
    <mergeCell ref="W112:X112"/>
    <mergeCell ref="T111:U111"/>
    <mergeCell ref="W111:X111"/>
    <mergeCell ref="Z111:AA111"/>
    <mergeCell ref="AC111:AD111"/>
    <mergeCell ref="AF111:AG111"/>
    <mergeCell ref="AI111:AJ111"/>
    <mergeCell ref="B111:C111"/>
    <mergeCell ref="E111:F111"/>
    <mergeCell ref="H111:I111"/>
    <mergeCell ref="K111:L111"/>
    <mergeCell ref="N111:O111"/>
    <mergeCell ref="Q111:R111"/>
    <mergeCell ref="AC108:AD108"/>
    <mergeCell ref="AE108:AH108"/>
    <mergeCell ref="AI108:AJ108"/>
    <mergeCell ref="AL108:AM108"/>
    <mergeCell ref="AO108:AP108"/>
    <mergeCell ref="AL109:AM110"/>
    <mergeCell ref="AO104:AP104"/>
    <mergeCell ref="B108:C108"/>
    <mergeCell ref="E108:F108"/>
    <mergeCell ref="H108:I108"/>
    <mergeCell ref="K108:L108"/>
    <mergeCell ref="N108:O108"/>
    <mergeCell ref="Q108:R108"/>
    <mergeCell ref="T108:U108"/>
    <mergeCell ref="W108:X108"/>
    <mergeCell ref="Z108:AA108"/>
    <mergeCell ref="W104:X104"/>
    <mergeCell ref="Z104:AA104"/>
    <mergeCell ref="AC104:AD104"/>
    <mergeCell ref="AF104:AG104"/>
    <mergeCell ref="AI104:AJ104"/>
    <mergeCell ref="AL104:AM104"/>
    <mergeCell ref="AI103:AJ103"/>
    <mergeCell ref="AL103:AM103"/>
    <mergeCell ref="AO103:AP103"/>
    <mergeCell ref="B104:C104"/>
    <mergeCell ref="E104:F104"/>
    <mergeCell ref="H104:I104"/>
    <mergeCell ref="K104:L104"/>
    <mergeCell ref="N104:O104"/>
    <mergeCell ref="Q104:R104"/>
    <mergeCell ref="T104:U104"/>
    <mergeCell ref="Q103:R103"/>
    <mergeCell ref="T103:U103"/>
    <mergeCell ref="W103:X103"/>
    <mergeCell ref="Z103:AA103"/>
    <mergeCell ref="AC103:AD103"/>
    <mergeCell ref="AF103:AG103"/>
    <mergeCell ref="AL100:AM100"/>
    <mergeCell ref="AO100:AP100"/>
    <mergeCell ref="B101:C102"/>
    <mergeCell ref="B103:C103"/>
    <mergeCell ref="E103:F103"/>
    <mergeCell ref="H103:I103"/>
    <mergeCell ref="K103:L103"/>
    <mergeCell ref="N103:O103"/>
    <mergeCell ref="T100:U100"/>
    <mergeCell ref="W100:X100"/>
    <mergeCell ref="Z100:AA100"/>
    <mergeCell ref="AC100:AD100"/>
    <mergeCell ref="AF100:AG100"/>
    <mergeCell ref="AI100:AJ100"/>
    <mergeCell ref="AI96:AJ96"/>
    <mergeCell ref="AL96:AM96"/>
    <mergeCell ref="AO96:AP96"/>
    <mergeCell ref="AF98:AH98"/>
    <mergeCell ref="B100:C100"/>
    <mergeCell ref="E100:F100"/>
    <mergeCell ref="H100:I100"/>
    <mergeCell ref="K100:L100"/>
    <mergeCell ref="N100:O100"/>
    <mergeCell ref="Q100:R100"/>
    <mergeCell ref="Q96:R96"/>
    <mergeCell ref="T96:U96"/>
    <mergeCell ref="W96:X96"/>
    <mergeCell ref="Z96:AA96"/>
    <mergeCell ref="AC96:AD96"/>
    <mergeCell ref="AF96:AG96"/>
    <mergeCell ref="AC95:AD95"/>
    <mergeCell ref="AF95:AG95"/>
    <mergeCell ref="AI95:AJ95"/>
    <mergeCell ref="AL95:AM95"/>
    <mergeCell ref="AO95:AP95"/>
    <mergeCell ref="B96:C96"/>
    <mergeCell ref="E96:F96"/>
    <mergeCell ref="H96:I96"/>
    <mergeCell ref="K96:L96"/>
    <mergeCell ref="N96:O96"/>
    <mergeCell ref="AO92:AP92"/>
    <mergeCell ref="B95:C95"/>
    <mergeCell ref="E95:F95"/>
    <mergeCell ref="H95:I95"/>
    <mergeCell ref="K95:L95"/>
    <mergeCell ref="N95:O95"/>
    <mergeCell ref="Q95:R95"/>
    <mergeCell ref="T95:U95"/>
    <mergeCell ref="W95:X95"/>
    <mergeCell ref="Z95:AA95"/>
    <mergeCell ref="W92:X92"/>
    <mergeCell ref="Z92:AA92"/>
    <mergeCell ref="AC92:AD92"/>
    <mergeCell ref="AF92:AG92"/>
    <mergeCell ref="AI92:AJ92"/>
    <mergeCell ref="AL92:AM92"/>
    <mergeCell ref="AL88:AM88"/>
    <mergeCell ref="AO88:AP88"/>
    <mergeCell ref="Z90:AD90"/>
    <mergeCell ref="B92:C92"/>
    <mergeCell ref="E92:F92"/>
    <mergeCell ref="H92:I92"/>
    <mergeCell ref="K92:L92"/>
    <mergeCell ref="N92:O92"/>
    <mergeCell ref="Q92:R92"/>
    <mergeCell ref="T92:U92"/>
    <mergeCell ref="T88:U88"/>
    <mergeCell ref="W88:X88"/>
    <mergeCell ref="Z88:AA88"/>
    <mergeCell ref="AC88:AD88"/>
    <mergeCell ref="AF88:AG88"/>
    <mergeCell ref="AI88:AJ88"/>
    <mergeCell ref="B88:C88"/>
    <mergeCell ref="E88:F88"/>
    <mergeCell ref="H88:I88"/>
    <mergeCell ref="K88:L88"/>
    <mergeCell ref="N88:O88"/>
    <mergeCell ref="Q88:R88"/>
    <mergeCell ref="Z87:AA87"/>
    <mergeCell ref="AC87:AD87"/>
    <mergeCell ref="AF87:AG87"/>
    <mergeCell ref="AI87:AJ87"/>
    <mergeCell ref="AL87:AM87"/>
    <mergeCell ref="AO87:AP87"/>
    <mergeCell ref="AL84:AM84"/>
    <mergeCell ref="AO84:AP84"/>
    <mergeCell ref="B87:C87"/>
    <mergeCell ref="E87:F87"/>
    <mergeCell ref="H87:I87"/>
    <mergeCell ref="K87:L87"/>
    <mergeCell ref="N87:O87"/>
    <mergeCell ref="Q87:R87"/>
    <mergeCell ref="T87:U87"/>
    <mergeCell ref="W87:X87"/>
    <mergeCell ref="T84:U84"/>
    <mergeCell ref="W84:X84"/>
    <mergeCell ref="Z84:AA84"/>
    <mergeCell ref="AC84:AD84"/>
    <mergeCell ref="AF84:AG84"/>
    <mergeCell ref="AI84:AJ84"/>
    <mergeCell ref="B84:C84"/>
    <mergeCell ref="E84:F84"/>
    <mergeCell ref="H84:I84"/>
    <mergeCell ref="K84:L84"/>
    <mergeCell ref="N84:O84"/>
    <mergeCell ref="Q84:R84"/>
    <mergeCell ref="AI80:AJ80"/>
    <mergeCell ref="AL80:AM80"/>
    <mergeCell ref="AO80:AP80"/>
    <mergeCell ref="A82:D82"/>
    <mergeCell ref="W82:AA82"/>
    <mergeCell ref="AL82:AP82"/>
    <mergeCell ref="Q80:R80"/>
    <mergeCell ref="T80:U80"/>
    <mergeCell ref="W80:X80"/>
    <mergeCell ref="Z80:AA80"/>
    <mergeCell ref="AC80:AD80"/>
    <mergeCell ref="AF80:AG80"/>
    <mergeCell ref="AC79:AD79"/>
    <mergeCell ref="AF79:AG79"/>
    <mergeCell ref="AI79:AJ79"/>
    <mergeCell ref="AL79:AM79"/>
    <mergeCell ref="AO79:AP79"/>
    <mergeCell ref="B80:C80"/>
    <mergeCell ref="E80:F80"/>
    <mergeCell ref="H80:I80"/>
    <mergeCell ref="K80:L80"/>
    <mergeCell ref="N80:O80"/>
    <mergeCell ref="AO76:AP76"/>
    <mergeCell ref="B79:C79"/>
    <mergeCell ref="E79:F79"/>
    <mergeCell ref="H79:I79"/>
    <mergeCell ref="K79:L79"/>
    <mergeCell ref="N79:O79"/>
    <mergeCell ref="Q79:R79"/>
    <mergeCell ref="T79:U79"/>
    <mergeCell ref="W79:X79"/>
    <mergeCell ref="Z79:AA79"/>
    <mergeCell ref="W76:X76"/>
    <mergeCell ref="Z76:AA76"/>
    <mergeCell ref="AC76:AD76"/>
    <mergeCell ref="AF76:AG76"/>
    <mergeCell ref="AI76:AJ76"/>
    <mergeCell ref="AL76:AM76"/>
    <mergeCell ref="A74:C74"/>
    <mergeCell ref="Q74:S74"/>
    <mergeCell ref="AI74:AP74"/>
    <mergeCell ref="B76:C76"/>
    <mergeCell ref="E76:F76"/>
    <mergeCell ref="H76:I76"/>
    <mergeCell ref="K76:L76"/>
    <mergeCell ref="N76:O76"/>
    <mergeCell ref="Q76:R76"/>
    <mergeCell ref="T76:U76"/>
    <mergeCell ref="Z72:AA72"/>
    <mergeCell ref="AC72:AD72"/>
    <mergeCell ref="AF72:AG72"/>
    <mergeCell ref="AI72:AJ72"/>
    <mergeCell ref="AL72:AM72"/>
    <mergeCell ref="AO72:AP72"/>
    <mergeCell ref="AL71:AM71"/>
    <mergeCell ref="AO71:AP71"/>
    <mergeCell ref="B72:C72"/>
    <mergeCell ref="E72:F72"/>
    <mergeCell ref="H72:I72"/>
    <mergeCell ref="K72:L72"/>
    <mergeCell ref="N72:O72"/>
    <mergeCell ref="Q72:R72"/>
    <mergeCell ref="T72:U72"/>
    <mergeCell ref="W72:X72"/>
    <mergeCell ref="T71:U71"/>
    <mergeCell ref="W71:X71"/>
    <mergeCell ref="Z71:AA71"/>
    <mergeCell ref="AC71:AD71"/>
    <mergeCell ref="AF71:AG71"/>
    <mergeCell ref="AI71:AJ71"/>
    <mergeCell ref="B71:C71"/>
    <mergeCell ref="E71:F71"/>
    <mergeCell ref="H71:I71"/>
    <mergeCell ref="K71:L71"/>
    <mergeCell ref="N71:O71"/>
    <mergeCell ref="Q71:R71"/>
    <mergeCell ref="Z68:AA68"/>
    <mergeCell ref="AC68:AD68"/>
    <mergeCell ref="AF68:AG68"/>
    <mergeCell ref="AI68:AJ68"/>
    <mergeCell ref="AL68:AM68"/>
    <mergeCell ref="AO68:AP68"/>
    <mergeCell ref="W66:AA66"/>
    <mergeCell ref="AO66:AS66"/>
    <mergeCell ref="B68:C68"/>
    <mergeCell ref="E68:F68"/>
    <mergeCell ref="H68:I68"/>
    <mergeCell ref="K68:L68"/>
    <mergeCell ref="N68:O68"/>
    <mergeCell ref="Q68:R68"/>
    <mergeCell ref="T68:U68"/>
    <mergeCell ref="W68:X68"/>
    <mergeCell ref="Z64:AA64"/>
    <mergeCell ref="AC64:AD64"/>
    <mergeCell ref="AF64:AG64"/>
    <mergeCell ref="AI64:AJ64"/>
    <mergeCell ref="AL64:AM64"/>
    <mergeCell ref="AO64:AP64"/>
    <mergeCell ref="AL63:AM63"/>
    <mergeCell ref="AO63:AP63"/>
    <mergeCell ref="B64:C64"/>
    <mergeCell ref="E64:F64"/>
    <mergeCell ref="H64:I64"/>
    <mergeCell ref="K64:L64"/>
    <mergeCell ref="N64:O64"/>
    <mergeCell ref="Q64:R64"/>
    <mergeCell ref="T64:U64"/>
    <mergeCell ref="W64:X64"/>
    <mergeCell ref="T63:U63"/>
    <mergeCell ref="W63:X63"/>
    <mergeCell ref="Z63:AA63"/>
    <mergeCell ref="AC63:AD63"/>
    <mergeCell ref="AF63:AG63"/>
    <mergeCell ref="AI63:AJ63"/>
    <mergeCell ref="AL60:AM60"/>
    <mergeCell ref="AO60:AP60"/>
    <mergeCell ref="Q61:R62"/>
    <mergeCell ref="AC61:AD62"/>
    <mergeCell ref="B63:C63"/>
    <mergeCell ref="E63:F63"/>
    <mergeCell ref="H63:I63"/>
    <mergeCell ref="K63:L63"/>
    <mergeCell ref="N63:O63"/>
    <mergeCell ref="Q63:R63"/>
    <mergeCell ref="T60:U60"/>
    <mergeCell ref="W60:X60"/>
    <mergeCell ref="Z60:AA60"/>
    <mergeCell ref="AC60:AD60"/>
    <mergeCell ref="AF60:AG60"/>
    <mergeCell ref="AI60:AJ60"/>
    <mergeCell ref="B60:C60"/>
    <mergeCell ref="E60:F60"/>
    <mergeCell ref="H60:I60"/>
    <mergeCell ref="K60:L60"/>
    <mergeCell ref="N60:O60"/>
    <mergeCell ref="Q60:R60"/>
    <mergeCell ref="Z56:AA56"/>
    <mergeCell ref="AC56:AD56"/>
    <mergeCell ref="AF56:AG56"/>
    <mergeCell ref="AI56:AJ56"/>
    <mergeCell ref="AL56:AM56"/>
    <mergeCell ref="AO56:AP56"/>
    <mergeCell ref="AL55:AM55"/>
    <mergeCell ref="AO55:AP55"/>
    <mergeCell ref="B56:C56"/>
    <mergeCell ref="E56:F56"/>
    <mergeCell ref="H56:I56"/>
    <mergeCell ref="K56:L56"/>
    <mergeCell ref="N56:O56"/>
    <mergeCell ref="Q56:R56"/>
    <mergeCell ref="T56:U56"/>
    <mergeCell ref="W56:X56"/>
    <mergeCell ref="T55:U55"/>
    <mergeCell ref="W55:X55"/>
    <mergeCell ref="Z55:AA55"/>
    <mergeCell ref="AC55:AD55"/>
    <mergeCell ref="AF55:AG55"/>
    <mergeCell ref="AI55:AJ55"/>
    <mergeCell ref="B55:C55"/>
    <mergeCell ref="E55:F55"/>
    <mergeCell ref="H55:I55"/>
    <mergeCell ref="K55:L55"/>
    <mergeCell ref="N55:O55"/>
    <mergeCell ref="Q55:R55"/>
    <mergeCell ref="AC52:AD52"/>
    <mergeCell ref="AF52:AG52"/>
    <mergeCell ref="AI52:AJ52"/>
    <mergeCell ref="AL52:AM52"/>
    <mergeCell ref="AO52:AP52"/>
    <mergeCell ref="AF53:AG54"/>
    <mergeCell ref="AI53:AJ54"/>
    <mergeCell ref="W50:AD50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Z48:AA48"/>
    <mergeCell ref="AC48:AD48"/>
    <mergeCell ref="AF48:AG48"/>
    <mergeCell ref="AI48:AJ48"/>
    <mergeCell ref="AL48:AM48"/>
    <mergeCell ref="AO48:AP48"/>
    <mergeCell ref="AL47:AM47"/>
    <mergeCell ref="AO47:AP47"/>
    <mergeCell ref="B48:C48"/>
    <mergeCell ref="E48:F48"/>
    <mergeCell ref="H48:I48"/>
    <mergeCell ref="K48:L48"/>
    <mergeCell ref="N48:O48"/>
    <mergeCell ref="Q48:R48"/>
    <mergeCell ref="T48:U48"/>
    <mergeCell ref="W48:X48"/>
    <mergeCell ref="T47:U47"/>
    <mergeCell ref="W47:X47"/>
    <mergeCell ref="Z47:AA47"/>
    <mergeCell ref="AC47:AD47"/>
    <mergeCell ref="AF47:AG47"/>
    <mergeCell ref="AI47:AJ47"/>
    <mergeCell ref="Q45:R46"/>
    <mergeCell ref="B47:C47"/>
    <mergeCell ref="E47:F47"/>
    <mergeCell ref="H47:I47"/>
    <mergeCell ref="K47:L47"/>
    <mergeCell ref="N47:O47"/>
    <mergeCell ref="Q47:R47"/>
    <mergeCell ref="Z44:AA44"/>
    <mergeCell ref="AC44:AD44"/>
    <mergeCell ref="AF44:AG44"/>
    <mergeCell ref="AI44:AJ44"/>
    <mergeCell ref="AL44:AM44"/>
    <mergeCell ref="AO44:AP44"/>
    <mergeCell ref="AL40:AM40"/>
    <mergeCell ref="AO40:AP40"/>
    <mergeCell ref="B44:C44"/>
    <mergeCell ref="E44:F44"/>
    <mergeCell ref="H44:I44"/>
    <mergeCell ref="K44:L44"/>
    <mergeCell ref="N44:O44"/>
    <mergeCell ref="Q44:R44"/>
    <mergeCell ref="T44:U44"/>
    <mergeCell ref="W44:X44"/>
    <mergeCell ref="T40:U40"/>
    <mergeCell ref="W40:X40"/>
    <mergeCell ref="Z40:AA40"/>
    <mergeCell ref="AC40:AD40"/>
    <mergeCell ref="AF40:AG40"/>
    <mergeCell ref="AI40:AJ40"/>
    <mergeCell ref="B40:C40"/>
    <mergeCell ref="E40:F40"/>
    <mergeCell ref="H40:I40"/>
    <mergeCell ref="K40:L40"/>
    <mergeCell ref="N40:O40"/>
    <mergeCell ref="Q40:R40"/>
    <mergeCell ref="Z39:AA39"/>
    <mergeCell ref="AC39:AD39"/>
    <mergeCell ref="AF39:AG39"/>
    <mergeCell ref="AI39:AJ39"/>
    <mergeCell ref="AL39:AM39"/>
    <mergeCell ref="AO39:AP39"/>
    <mergeCell ref="AL36:AM36"/>
    <mergeCell ref="AO36:AP36"/>
    <mergeCell ref="B39:C39"/>
    <mergeCell ref="E39:F39"/>
    <mergeCell ref="H39:I39"/>
    <mergeCell ref="K39:L39"/>
    <mergeCell ref="N39:O39"/>
    <mergeCell ref="Q39:R39"/>
    <mergeCell ref="T39:U39"/>
    <mergeCell ref="W39:X39"/>
    <mergeCell ref="T36:U36"/>
    <mergeCell ref="W36:X36"/>
    <mergeCell ref="Z36:AA36"/>
    <mergeCell ref="AC36:AD36"/>
    <mergeCell ref="AF36:AG36"/>
    <mergeCell ref="AI36:AJ36"/>
    <mergeCell ref="B36:C36"/>
    <mergeCell ref="E36:F36"/>
    <mergeCell ref="H36:I36"/>
    <mergeCell ref="K36:L36"/>
    <mergeCell ref="N36:O36"/>
    <mergeCell ref="Q36:R36"/>
    <mergeCell ref="AC32:AD32"/>
    <mergeCell ref="AF32:AG32"/>
    <mergeCell ref="AI32:AJ32"/>
    <mergeCell ref="AL32:AM32"/>
    <mergeCell ref="AO32:AP32"/>
    <mergeCell ref="B34:D34"/>
    <mergeCell ref="AO31:AP31"/>
    <mergeCell ref="B32:C32"/>
    <mergeCell ref="E32:F32"/>
    <mergeCell ref="H32:I32"/>
    <mergeCell ref="K32:L32"/>
    <mergeCell ref="N32:O32"/>
    <mergeCell ref="Q32:R32"/>
    <mergeCell ref="T32:U32"/>
    <mergeCell ref="W32:X32"/>
    <mergeCell ref="Z32:AA32"/>
    <mergeCell ref="W31:X31"/>
    <mergeCell ref="Z31:AA31"/>
    <mergeCell ref="AC31:AD31"/>
    <mergeCell ref="AF31:AG31"/>
    <mergeCell ref="AI31:AJ31"/>
    <mergeCell ref="AL31:AM31"/>
    <mergeCell ref="AL28:AM28"/>
    <mergeCell ref="AO28:AP28"/>
    <mergeCell ref="W29:X30"/>
    <mergeCell ref="B31:C31"/>
    <mergeCell ref="E31:F31"/>
    <mergeCell ref="H31:I31"/>
    <mergeCell ref="K31:L31"/>
    <mergeCell ref="N31:O31"/>
    <mergeCell ref="Q31:R31"/>
    <mergeCell ref="T31:U31"/>
    <mergeCell ref="T28:U28"/>
    <mergeCell ref="W28:X28"/>
    <mergeCell ref="Z28:AA28"/>
    <mergeCell ref="AC28:AD28"/>
    <mergeCell ref="AF28:AG28"/>
    <mergeCell ref="AI28:AJ28"/>
    <mergeCell ref="AL24:AM24"/>
    <mergeCell ref="AO24:AP24"/>
    <mergeCell ref="G26:J26"/>
    <mergeCell ref="T26:X26"/>
    <mergeCell ref="B28:C28"/>
    <mergeCell ref="E28:F28"/>
    <mergeCell ref="H28:I28"/>
    <mergeCell ref="K28:L28"/>
    <mergeCell ref="N28:O28"/>
    <mergeCell ref="Q28:R28"/>
    <mergeCell ref="T24:U24"/>
    <mergeCell ref="W24:X24"/>
    <mergeCell ref="Z24:AA24"/>
    <mergeCell ref="AC24:AD24"/>
    <mergeCell ref="AF24:AG24"/>
    <mergeCell ref="AI24:AJ24"/>
    <mergeCell ref="E16:F16"/>
    <mergeCell ref="H16:I16"/>
    <mergeCell ref="K16:L16"/>
    <mergeCell ref="N16:O16"/>
    <mergeCell ref="B24:C24"/>
    <mergeCell ref="E24:F24"/>
    <mergeCell ref="H24:I24"/>
    <mergeCell ref="K24:L24"/>
    <mergeCell ref="N24:O24"/>
    <mergeCell ref="Q24:R24"/>
    <mergeCell ref="Z23:AA23"/>
    <mergeCell ref="AC23:AD23"/>
    <mergeCell ref="AF23:AG23"/>
    <mergeCell ref="AI23:AJ23"/>
    <mergeCell ref="AL23:AM23"/>
    <mergeCell ref="AO23:AP23"/>
    <mergeCell ref="AL20:AM20"/>
    <mergeCell ref="AO20:AP20"/>
    <mergeCell ref="B23:C23"/>
    <mergeCell ref="E23:F23"/>
    <mergeCell ref="H23:I23"/>
    <mergeCell ref="K23:L23"/>
    <mergeCell ref="N23:O23"/>
    <mergeCell ref="Q23:R23"/>
    <mergeCell ref="T23:U23"/>
    <mergeCell ref="W23:X23"/>
    <mergeCell ref="T20:U20"/>
    <mergeCell ref="W20:X20"/>
    <mergeCell ref="Z20:AA20"/>
    <mergeCell ref="AC20:AD20"/>
    <mergeCell ref="AF20:AG20"/>
    <mergeCell ref="AI20:AJ20"/>
    <mergeCell ref="K12:L12"/>
    <mergeCell ref="N12:O12"/>
    <mergeCell ref="Q12:R12"/>
    <mergeCell ref="T12:U12"/>
    <mergeCell ref="W8:X8"/>
    <mergeCell ref="Z8:AA8"/>
    <mergeCell ref="AC8:AD8"/>
    <mergeCell ref="AF8:AG8"/>
    <mergeCell ref="AI8:AJ8"/>
    <mergeCell ref="AL8:AM8"/>
    <mergeCell ref="AI16:AJ16"/>
    <mergeCell ref="AL16:AM16"/>
    <mergeCell ref="AO16:AP16"/>
    <mergeCell ref="D18:G18"/>
    <mergeCell ref="B20:C20"/>
    <mergeCell ref="E20:F20"/>
    <mergeCell ref="H20:I20"/>
    <mergeCell ref="K20:L20"/>
    <mergeCell ref="N20:O20"/>
    <mergeCell ref="Q20:R20"/>
    <mergeCell ref="Q16:R16"/>
    <mergeCell ref="T16:U16"/>
    <mergeCell ref="W16:X16"/>
    <mergeCell ref="Z16:AA16"/>
    <mergeCell ref="AC16:AD16"/>
    <mergeCell ref="AF16:AG16"/>
    <mergeCell ref="AC15:AD15"/>
    <mergeCell ref="AF15:AG15"/>
    <mergeCell ref="AI15:AJ15"/>
    <mergeCell ref="AL15:AM15"/>
    <mergeCell ref="AO15:AP15"/>
    <mergeCell ref="B16:C16"/>
    <mergeCell ref="E7:F7"/>
    <mergeCell ref="H7:I7"/>
    <mergeCell ref="K7:L7"/>
    <mergeCell ref="N7:O7"/>
    <mergeCell ref="Q4:R4"/>
    <mergeCell ref="T4:U4"/>
    <mergeCell ref="W4:X4"/>
    <mergeCell ref="Z4:AA4"/>
    <mergeCell ref="AC4:AD4"/>
    <mergeCell ref="AF4:AG4"/>
    <mergeCell ref="AO12:AP12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W12:X12"/>
    <mergeCell ref="Z12:AA12"/>
    <mergeCell ref="AC12:AD12"/>
    <mergeCell ref="AF12:AG12"/>
    <mergeCell ref="AI12:AJ12"/>
    <mergeCell ref="AL12:AM12"/>
    <mergeCell ref="AO8:AP8"/>
    <mergeCell ref="S10:V10"/>
    <mergeCell ref="Y10:AB10"/>
    <mergeCell ref="B12:C12"/>
    <mergeCell ref="E12:F12"/>
    <mergeCell ref="H12:I12"/>
    <mergeCell ref="A1:AS1"/>
    <mergeCell ref="AV1:BA1"/>
    <mergeCell ref="T2:AD2"/>
    <mergeCell ref="AK2:AM2"/>
    <mergeCell ref="AN2:AP2"/>
    <mergeCell ref="B4:C4"/>
    <mergeCell ref="E4:F4"/>
    <mergeCell ref="H4:I4"/>
    <mergeCell ref="K4:L4"/>
    <mergeCell ref="N4:O4"/>
    <mergeCell ref="AI7:AJ7"/>
    <mergeCell ref="AL7:AM7"/>
    <mergeCell ref="AO7:AP7"/>
    <mergeCell ref="B8:C8"/>
    <mergeCell ref="E8:F8"/>
    <mergeCell ref="H8:I8"/>
    <mergeCell ref="K8:L8"/>
    <mergeCell ref="N8:O8"/>
    <mergeCell ref="Q8:R8"/>
    <mergeCell ref="T8:U8"/>
    <mergeCell ref="Q7:R7"/>
    <mergeCell ref="T7:U7"/>
    <mergeCell ref="W7:X7"/>
    <mergeCell ref="Z7:AA7"/>
    <mergeCell ref="AC7:AD7"/>
    <mergeCell ref="AF7:AG7"/>
    <mergeCell ref="AI4:AJ4"/>
    <mergeCell ref="AL4:AM4"/>
    <mergeCell ref="AO4:AP4"/>
    <mergeCell ref="T5:U6"/>
    <mergeCell ref="W5:X6"/>
    <mergeCell ref="B7:C7"/>
  </mergeCells>
  <conditionalFormatting sqref="B5:B6 AQ6 AS6:AT6">
    <cfRule type="containsText" dxfId="2376" priority="1610" operator="containsText" text="fnd">
      <formula>NOT(ISERROR(SEARCH("fnd",B5)))</formula>
    </cfRule>
  </conditionalFormatting>
  <conditionalFormatting sqref="B5:B6 AS6:AT6 AQ6">
    <cfRule type="containsText" dxfId="2375" priority="1609" operator="containsText" text="Ear">
      <formula>NOT(ISERROR(SEARCH("Ear",B5)))</formula>
    </cfRule>
  </conditionalFormatting>
  <conditionalFormatting sqref="B5:B6 AS6:AT6">
    <cfRule type="containsText" dxfId="2374" priority="1607" operator="containsText" text="Str">
      <formula>NOT(ISERROR(SEARCH("Str",B5)))</formula>
    </cfRule>
    <cfRule type="containsText" dxfId="2373" priority="1608" operator="containsText" text="Ere">
      <formula>NOT(ISERROR(SEARCH("Ere",B5)))</formula>
    </cfRule>
  </conditionalFormatting>
  <conditionalFormatting sqref="B13:B14">
    <cfRule type="containsText" dxfId="2372" priority="1695" operator="containsText" text="Str">
      <formula>NOT(ISERROR(SEARCH("Str",B13)))</formula>
    </cfRule>
    <cfRule type="containsText" dxfId="2371" priority="1696" operator="containsText" text="Ere">
      <formula>NOT(ISERROR(SEARCH("Ere",B13)))</formula>
    </cfRule>
    <cfRule type="containsText" dxfId="2370" priority="1697" operator="containsText" text="Ear">
      <formula>NOT(ISERROR(SEARCH("Ear",B13)))</formula>
    </cfRule>
    <cfRule type="containsText" dxfId="2369" priority="1698" operator="containsText" text="fnd">
      <formula>NOT(ISERROR(SEARCH("fnd",B13)))</formula>
    </cfRule>
  </conditionalFormatting>
  <conditionalFormatting sqref="B21:B22 E186:E198 H186:H198 K186:K198 N186:N198 Q186:Q198 T186:T198 W186:W198 Z186:Z198 AC186:AC198 AF186:AF198 AI186:AI198 AL186:AL198 AO186:AO198 N216 W216:X216 AB216">
    <cfRule type="containsText" dxfId="2368" priority="1487" operator="containsText" text="Str">
      <formula>NOT(ISERROR(SEARCH("Str",B21)))</formula>
    </cfRule>
    <cfRule type="containsText" dxfId="2367" priority="1488" operator="containsText" text="Ere">
      <formula>NOT(ISERROR(SEARCH("Ere",B21)))</formula>
    </cfRule>
    <cfRule type="containsText" dxfId="2366" priority="1489" operator="containsText" text="Ear">
      <formula>NOT(ISERROR(SEARCH("Ear",B21)))</formula>
    </cfRule>
    <cfRule type="containsText" dxfId="2365" priority="1490" operator="containsText" text="fnd">
      <formula>NOT(ISERROR(SEARCH("fnd",B21)))</formula>
    </cfRule>
  </conditionalFormatting>
  <conditionalFormatting sqref="B29:B30">
    <cfRule type="containsText" dxfId="2364" priority="943" operator="containsText" text="Str">
      <formula>NOT(ISERROR(SEARCH("Str",B29)))</formula>
    </cfRule>
    <cfRule type="containsText" dxfId="2363" priority="944" operator="containsText" text="Ere">
      <formula>NOT(ISERROR(SEARCH("Ere",B29)))</formula>
    </cfRule>
    <cfRule type="containsText" dxfId="2362" priority="945" operator="containsText" text="Ear">
      <formula>NOT(ISERROR(SEARCH("Ear",B29)))</formula>
    </cfRule>
    <cfRule type="containsText" dxfId="2361" priority="946" operator="containsText" text="fnd">
      <formula>NOT(ISERROR(SEARCH("fnd",B29)))</formula>
    </cfRule>
  </conditionalFormatting>
  <conditionalFormatting sqref="B37:B38">
    <cfRule type="containsText" dxfId="2360" priority="683" operator="containsText" text="Str">
      <formula>NOT(ISERROR(SEARCH("Str",B37)))</formula>
    </cfRule>
    <cfRule type="containsText" dxfId="2359" priority="684" operator="containsText" text="Ere">
      <formula>NOT(ISERROR(SEARCH("Ere",B37)))</formula>
    </cfRule>
    <cfRule type="containsText" dxfId="2358" priority="685" operator="containsText" text="Ear">
      <formula>NOT(ISERROR(SEARCH("Ear",B37)))</formula>
    </cfRule>
    <cfRule type="containsText" dxfId="2357" priority="686" operator="containsText" text="fnd">
      <formula>NOT(ISERROR(SEARCH("fnd",B37)))</formula>
    </cfRule>
  </conditionalFormatting>
  <conditionalFormatting sqref="B45:B46">
    <cfRule type="containsText" dxfId="2356" priority="2131" operator="containsText" text="Str">
      <formula>NOT(ISERROR(SEARCH("Str",B45)))</formula>
    </cfRule>
    <cfRule type="containsText" dxfId="2355" priority="2132" operator="containsText" text="Ere">
      <formula>NOT(ISERROR(SEARCH("Ere",B45)))</formula>
    </cfRule>
    <cfRule type="containsText" dxfId="2354" priority="2133" operator="containsText" text="Ear">
      <formula>NOT(ISERROR(SEARCH("Ear",B45)))</formula>
    </cfRule>
    <cfRule type="containsText" dxfId="2353" priority="2134" operator="containsText" text="fnd">
      <formula>NOT(ISERROR(SEARCH("fnd",B45)))</formula>
    </cfRule>
  </conditionalFormatting>
  <conditionalFormatting sqref="B69">
    <cfRule type="containsText" dxfId="2352" priority="1999" operator="containsText" text="Str">
      <formula>NOT(ISERROR(SEARCH("Str",B69)))</formula>
    </cfRule>
    <cfRule type="containsText" dxfId="2351" priority="2000" operator="containsText" text="Ere">
      <formula>NOT(ISERROR(SEARCH("Ere",B69)))</formula>
    </cfRule>
    <cfRule type="containsText" dxfId="2350" priority="2001" operator="containsText" text="Ear">
      <formula>NOT(ISERROR(SEARCH("Ear",B69)))</formula>
    </cfRule>
    <cfRule type="containsText" dxfId="2349" priority="2002" operator="containsText" text="fnd">
      <formula>NOT(ISERROR(SEARCH("fnd",B69)))</formula>
    </cfRule>
  </conditionalFormatting>
  <conditionalFormatting sqref="B77">
    <cfRule type="containsText" dxfId="2348" priority="835" operator="containsText" text="Str">
      <formula>NOT(ISERROR(SEARCH("Str",B77)))</formula>
    </cfRule>
    <cfRule type="containsText" dxfId="2347" priority="836" operator="containsText" text="Ere">
      <formula>NOT(ISERROR(SEARCH("Ere",B77)))</formula>
    </cfRule>
    <cfRule type="containsText" dxfId="2346" priority="837" operator="containsText" text="Ear">
      <formula>NOT(ISERROR(SEARCH("Ear",B77)))</formula>
    </cfRule>
    <cfRule type="containsText" dxfId="2345" priority="838" operator="containsText" text="fnd">
      <formula>NOT(ISERROR(SEARCH("fnd",B77)))</formula>
    </cfRule>
  </conditionalFormatting>
  <conditionalFormatting sqref="B86">
    <cfRule type="containsText" dxfId="2344" priority="365" operator="containsText" text="Str">
      <formula>NOT(ISERROR(SEARCH("Str",B86)))</formula>
    </cfRule>
    <cfRule type="containsText" dxfId="2343" priority="366" operator="containsText" text="Ere">
      <formula>NOT(ISERROR(SEARCH("Ere",B86)))</formula>
    </cfRule>
    <cfRule type="containsText" dxfId="2342" priority="367" operator="containsText" text="Ear">
      <formula>NOT(ISERROR(SEARCH("Ear",B86)))</formula>
    </cfRule>
    <cfRule type="containsText" dxfId="2341" priority="368" operator="containsText" text="fnd">
      <formula>NOT(ISERROR(SEARCH("fnd",B86)))</formula>
    </cfRule>
  </conditionalFormatting>
  <conditionalFormatting sqref="B101">
    <cfRule type="containsText" dxfId="2340" priority="1587" operator="containsText" text="Str">
      <formula>NOT(ISERROR(SEARCH("Str",B101)))</formula>
    </cfRule>
    <cfRule type="containsText" dxfId="2339" priority="1588" operator="containsText" text="Ere">
      <formula>NOT(ISERROR(SEARCH("Ere",B101)))</formula>
    </cfRule>
    <cfRule type="containsText" dxfId="2338" priority="1589" operator="containsText" text="Ear">
      <formula>NOT(ISERROR(SEARCH("Ear",B101)))</formula>
    </cfRule>
    <cfRule type="containsText" dxfId="2337" priority="1590" operator="containsText" text="fnd">
      <formula>NOT(ISERROR(SEARCH("fnd",B101)))</formula>
    </cfRule>
  </conditionalFormatting>
  <conditionalFormatting sqref="B109">
    <cfRule type="containsText" dxfId="2336" priority="767" operator="containsText" text="Str">
      <formula>NOT(ISERROR(SEARCH("Str",B109)))</formula>
    </cfRule>
    <cfRule type="containsText" dxfId="2335" priority="768" operator="containsText" text="Ere">
      <formula>NOT(ISERROR(SEARCH("Ere",B109)))</formula>
    </cfRule>
    <cfRule type="containsText" dxfId="2334" priority="769" operator="containsText" text="Ear">
      <formula>NOT(ISERROR(SEARCH("Ear",B109)))</formula>
    </cfRule>
    <cfRule type="containsText" dxfId="2333" priority="770" operator="containsText" text="fnd">
      <formula>NOT(ISERROR(SEARCH("fnd",B109)))</formula>
    </cfRule>
  </conditionalFormatting>
  <conditionalFormatting sqref="B117">
    <cfRule type="containsText" dxfId="2332" priority="1459" operator="containsText" text="Str">
      <formula>NOT(ISERROR(SEARCH("Str",B117)))</formula>
    </cfRule>
    <cfRule type="containsText" dxfId="2331" priority="1460" operator="containsText" text="Ere">
      <formula>NOT(ISERROR(SEARCH("Ere",B117)))</formula>
    </cfRule>
    <cfRule type="containsText" dxfId="2330" priority="1461" operator="containsText" text="Ear">
      <formula>NOT(ISERROR(SEARCH("Ear",B117)))</formula>
    </cfRule>
    <cfRule type="containsText" dxfId="2329" priority="1462" operator="containsText" text="fnd">
      <formula>NOT(ISERROR(SEARCH("fnd",B117)))</formula>
    </cfRule>
  </conditionalFormatting>
  <conditionalFormatting sqref="B125">
    <cfRule type="containsText" dxfId="2328" priority="1399" operator="containsText" text="Str">
      <formula>NOT(ISERROR(SEARCH("Str",B125)))</formula>
    </cfRule>
    <cfRule type="containsText" dxfId="2327" priority="1400" operator="containsText" text="Ere">
      <formula>NOT(ISERROR(SEARCH("Ere",B125)))</formula>
    </cfRule>
    <cfRule type="containsText" dxfId="2326" priority="1401" operator="containsText" text="Ear">
      <formula>NOT(ISERROR(SEARCH("Ear",B125)))</formula>
    </cfRule>
    <cfRule type="containsText" dxfId="2325" priority="1402" operator="containsText" text="fnd">
      <formula>NOT(ISERROR(SEARCH("fnd",B125)))</formula>
    </cfRule>
  </conditionalFormatting>
  <conditionalFormatting sqref="B133">
    <cfRule type="containsText" dxfId="2324" priority="1371" operator="containsText" text="Str">
      <formula>NOT(ISERROR(SEARCH("Str",B133)))</formula>
    </cfRule>
    <cfRule type="containsText" dxfId="2323" priority="1372" operator="containsText" text="Ere">
      <formula>NOT(ISERROR(SEARCH("Ere",B133)))</formula>
    </cfRule>
    <cfRule type="containsText" dxfId="2322" priority="1373" operator="containsText" text="Ear">
      <formula>NOT(ISERROR(SEARCH("Ear",B133)))</formula>
    </cfRule>
    <cfRule type="containsText" dxfId="2321" priority="1374" operator="containsText" text="fnd">
      <formula>NOT(ISERROR(SEARCH("fnd",B133)))</formula>
    </cfRule>
  </conditionalFormatting>
  <conditionalFormatting sqref="B141">
    <cfRule type="containsText" dxfId="2320" priority="1319" operator="containsText" text="Str">
      <formula>NOT(ISERROR(SEARCH("Str",B141)))</formula>
    </cfRule>
    <cfRule type="containsText" dxfId="2319" priority="1320" operator="containsText" text="Ere">
      <formula>NOT(ISERROR(SEARCH("Ere",B141)))</formula>
    </cfRule>
    <cfRule type="containsText" dxfId="2318" priority="1321" operator="containsText" text="Ear">
      <formula>NOT(ISERROR(SEARCH("Ear",B141)))</formula>
    </cfRule>
    <cfRule type="containsText" dxfId="2317" priority="1322" operator="containsText" text="fnd">
      <formula>NOT(ISERROR(SEARCH("fnd",B141)))</formula>
    </cfRule>
  </conditionalFormatting>
  <conditionalFormatting sqref="B149">
    <cfRule type="containsText" dxfId="2316" priority="401" operator="containsText" text="Str">
      <formula>NOT(ISERROR(SEARCH("Str",B149)))</formula>
    </cfRule>
    <cfRule type="containsText" dxfId="2315" priority="402" operator="containsText" text="Ere">
      <formula>NOT(ISERROR(SEARCH("Ere",B149)))</formula>
    </cfRule>
    <cfRule type="containsText" dxfId="2314" priority="403" operator="containsText" text="Ear">
      <formula>NOT(ISERROR(SEARCH("Ear",B149)))</formula>
    </cfRule>
    <cfRule type="containsText" dxfId="2313" priority="404" operator="containsText" text="fnd">
      <formula>NOT(ISERROR(SEARCH("fnd",B149)))</formula>
    </cfRule>
  </conditionalFormatting>
  <conditionalFormatting sqref="B157">
    <cfRule type="containsText" dxfId="2312" priority="1175" operator="containsText" text="Str">
      <formula>NOT(ISERROR(SEARCH("Str",B157)))</formula>
    </cfRule>
    <cfRule type="containsText" dxfId="2311" priority="1176" operator="containsText" text="Ere">
      <formula>NOT(ISERROR(SEARCH("Ere",B157)))</formula>
    </cfRule>
    <cfRule type="containsText" dxfId="2310" priority="1177" operator="containsText" text="Ear">
      <formula>NOT(ISERROR(SEARCH("Ear",B157)))</formula>
    </cfRule>
    <cfRule type="containsText" dxfId="2309" priority="1178" operator="containsText" text="fnd">
      <formula>NOT(ISERROR(SEARCH("fnd",B157)))</formula>
    </cfRule>
  </conditionalFormatting>
  <conditionalFormatting sqref="B165">
    <cfRule type="containsText" dxfId="2308" priority="533" operator="containsText" text="Str">
      <formula>NOT(ISERROR(SEARCH("Str",B165)))</formula>
    </cfRule>
    <cfRule type="containsText" dxfId="2307" priority="534" operator="containsText" text="Ere">
      <formula>NOT(ISERROR(SEARCH("Ere",B165)))</formula>
    </cfRule>
    <cfRule type="containsText" dxfId="2306" priority="535" operator="containsText" text="Ear">
      <formula>NOT(ISERROR(SEARCH("Ear",B165)))</formula>
    </cfRule>
    <cfRule type="containsText" dxfId="2305" priority="536" operator="containsText" text="fnd">
      <formula>NOT(ISERROR(SEARCH("fnd",B165)))</formula>
    </cfRule>
  </conditionalFormatting>
  <conditionalFormatting sqref="B173">
    <cfRule type="containsText" dxfId="2304" priority="1039" operator="containsText" text="Str">
      <formula>NOT(ISERROR(SEARCH("Str",B173)))</formula>
    </cfRule>
    <cfRule type="containsText" dxfId="2303" priority="1040" operator="containsText" text="Ere">
      <formula>NOT(ISERROR(SEARCH("Ere",B173)))</formula>
    </cfRule>
    <cfRule type="containsText" dxfId="2302" priority="1041" operator="containsText" text="Ear">
      <formula>NOT(ISERROR(SEARCH("Ear",B173)))</formula>
    </cfRule>
    <cfRule type="containsText" dxfId="2301" priority="1042" operator="containsText" text="fnd">
      <formula>NOT(ISERROR(SEARCH("fnd",B173)))</formula>
    </cfRule>
  </conditionalFormatting>
  <conditionalFormatting sqref="B181">
    <cfRule type="containsText" dxfId="2300" priority="285" operator="containsText" text="Str">
      <formula>NOT(ISERROR(SEARCH("Str",B181)))</formula>
    </cfRule>
    <cfRule type="containsText" dxfId="2299" priority="286" operator="containsText" text="Ere">
      <formula>NOT(ISERROR(SEARCH("Ere",B181)))</formula>
    </cfRule>
    <cfRule type="containsText" dxfId="2298" priority="287" operator="containsText" text="Ear">
      <formula>NOT(ISERROR(SEARCH("Ear",B181)))</formula>
    </cfRule>
    <cfRule type="containsText" dxfId="2297" priority="288" operator="containsText" text="fnd">
      <formula>NOT(ISERROR(SEARCH("fnd",B181)))</formula>
    </cfRule>
  </conditionalFormatting>
  <conditionalFormatting sqref="B54:C54">
    <cfRule type="containsText" dxfId="2296" priority="2127" operator="containsText" text="Str">
      <formula>NOT(ISERROR(SEARCH("Str",B54)))</formula>
    </cfRule>
    <cfRule type="containsText" dxfId="2295" priority="2128" operator="containsText" text="Ere">
      <formula>NOT(ISERROR(SEARCH("Ere",B54)))</formula>
    </cfRule>
    <cfRule type="containsText" dxfId="2294" priority="2129" operator="containsText" text="Ear">
      <formula>NOT(ISERROR(SEARCH("Ear",B54)))</formula>
    </cfRule>
    <cfRule type="containsText" dxfId="2293" priority="2130" operator="containsText" text="fnd">
      <formula>NOT(ISERROR(SEARCH("fnd",B54)))</formula>
    </cfRule>
  </conditionalFormatting>
  <conditionalFormatting sqref="B62:C62">
    <cfRule type="containsText" dxfId="2292" priority="2123" operator="containsText" text="Str">
      <formula>NOT(ISERROR(SEARCH("Str",B62)))</formula>
    </cfRule>
    <cfRule type="containsText" dxfId="2291" priority="2124" operator="containsText" text="Ere">
      <formula>NOT(ISERROR(SEARCH("Ere",B62)))</formula>
    </cfRule>
    <cfRule type="containsText" dxfId="2290" priority="2125" operator="containsText" text="Ear">
      <formula>NOT(ISERROR(SEARCH("Ear",B62)))</formula>
    </cfRule>
    <cfRule type="containsText" dxfId="2289" priority="2126" operator="containsText" text="fnd">
      <formula>NOT(ISERROR(SEARCH("fnd",B62)))</formula>
    </cfRule>
  </conditionalFormatting>
  <conditionalFormatting sqref="B78:C78">
    <cfRule type="containsText" dxfId="2288" priority="839" operator="containsText" text="Str">
      <formula>NOT(ISERROR(SEARCH("Str",B78)))</formula>
    </cfRule>
    <cfRule type="containsText" dxfId="2287" priority="840" operator="containsText" text="Ere">
      <formula>NOT(ISERROR(SEARCH("Ere",B78)))</formula>
    </cfRule>
    <cfRule type="containsText" dxfId="2286" priority="841" operator="containsText" text="Ear">
      <formula>NOT(ISERROR(SEARCH("Ear",B78)))</formula>
    </cfRule>
    <cfRule type="containsText" dxfId="2285" priority="842" operator="containsText" text="fnd">
      <formula>NOT(ISERROR(SEARCH("fnd",B78)))</formula>
    </cfRule>
  </conditionalFormatting>
  <conditionalFormatting sqref="B94:C94">
    <cfRule type="containsText" dxfId="2284" priority="2119" operator="containsText" text="Str">
      <formula>NOT(ISERROR(SEARCH("Str",B94)))</formula>
    </cfRule>
    <cfRule type="containsText" dxfId="2283" priority="2120" operator="containsText" text="Ere">
      <formula>NOT(ISERROR(SEARCH("Ere",B94)))</formula>
    </cfRule>
    <cfRule type="containsText" dxfId="2282" priority="2121" operator="containsText" text="Ear">
      <formula>NOT(ISERROR(SEARCH("Ear",B94)))</formula>
    </cfRule>
    <cfRule type="containsText" dxfId="2281" priority="2122" operator="containsText" text="fnd">
      <formula>NOT(ISERROR(SEARCH("fnd",B94)))</formula>
    </cfRule>
  </conditionalFormatting>
  <conditionalFormatting sqref="B118:C118">
    <cfRule type="containsText" dxfId="2280" priority="1463" operator="containsText" text="Str">
      <formula>NOT(ISERROR(SEARCH("Str",B118)))</formula>
    </cfRule>
    <cfRule type="containsText" dxfId="2279" priority="1464" operator="containsText" text="Ere">
      <formula>NOT(ISERROR(SEARCH("Ere",B118)))</formula>
    </cfRule>
    <cfRule type="containsText" dxfId="2278" priority="1465" operator="containsText" text="Ear">
      <formula>NOT(ISERROR(SEARCH("Ear",B118)))</formula>
    </cfRule>
    <cfRule type="containsText" dxfId="2277" priority="1466" operator="containsText" text="fnd">
      <formula>NOT(ISERROR(SEARCH("fnd",B118)))</formula>
    </cfRule>
  </conditionalFormatting>
  <conditionalFormatting sqref="B126:C126">
    <cfRule type="containsText" dxfId="2276" priority="1403" operator="containsText" text="Str">
      <formula>NOT(ISERROR(SEARCH("Str",B126)))</formula>
    </cfRule>
    <cfRule type="containsText" dxfId="2275" priority="1404" operator="containsText" text="Ere">
      <formula>NOT(ISERROR(SEARCH("Ere",B126)))</formula>
    </cfRule>
    <cfRule type="containsText" dxfId="2274" priority="1405" operator="containsText" text="Ear">
      <formula>NOT(ISERROR(SEARCH("Ear",B126)))</formula>
    </cfRule>
    <cfRule type="containsText" dxfId="2273" priority="1406" operator="containsText" text="fnd">
      <formula>NOT(ISERROR(SEARCH("fnd",B126)))</formula>
    </cfRule>
  </conditionalFormatting>
  <conditionalFormatting sqref="B134:C134">
    <cfRule type="containsText" dxfId="2272" priority="1375" operator="containsText" text="Str">
      <formula>NOT(ISERROR(SEARCH("Str",B134)))</formula>
    </cfRule>
    <cfRule type="containsText" dxfId="2271" priority="1376" operator="containsText" text="Ere">
      <formula>NOT(ISERROR(SEARCH("Ere",B134)))</formula>
    </cfRule>
    <cfRule type="containsText" dxfId="2270" priority="1377" operator="containsText" text="Ear">
      <formula>NOT(ISERROR(SEARCH("Ear",B134)))</formula>
    </cfRule>
    <cfRule type="containsText" dxfId="2269" priority="1378" operator="containsText" text="fnd">
      <formula>NOT(ISERROR(SEARCH("fnd",B134)))</formula>
    </cfRule>
  </conditionalFormatting>
  <conditionalFormatting sqref="B142:C142">
    <cfRule type="containsText" dxfId="2268" priority="1323" operator="containsText" text="Str">
      <formula>NOT(ISERROR(SEARCH("Str",B142)))</formula>
    </cfRule>
    <cfRule type="containsText" dxfId="2267" priority="1324" operator="containsText" text="Ere">
      <formula>NOT(ISERROR(SEARCH("Ere",B142)))</formula>
    </cfRule>
    <cfRule type="containsText" dxfId="2266" priority="1325" operator="containsText" text="Ear">
      <formula>NOT(ISERROR(SEARCH("Ear",B142)))</formula>
    </cfRule>
    <cfRule type="containsText" dxfId="2265" priority="1326" operator="containsText" text="fnd">
      <formula>NOT(ISERROR(SEARCH("fnd",B142)))</formula>
    </cfRule>
  </conditionalFormatting>
  <conditionalFormatting sqref="B158:C158">
    <cfRule type="containsText" dxfId="2264" priority="1179" operator="containsText" text="Str">
      <formula>NOT(ISERROR(SEARCH("Str",B158)))</formula>
    </cfRule>
    <cfRule type="containsText" dxfId="2263" priority="1180" operator="containsText" text="Ere">
      <formula>NOT(ISERROR(SEARCH("Ere",B158)))</formula>
    </cfRule>
    <cfRule type="containsText" dxfId="2262" priority="1181" operator="containsText" text="Ear">
      <formula>NOT(ISERROR(SEARCH("Ear",B158)))</formula>
    </cfRule>
    <cfRule type="containsText" dxfId="2261" priority="1182" operator="containsText" text="fnd">
      <formula>NOT(ISERROR(SEARCH("fnd",B158)))</formula>
    </cfRule>
  </conditionalFormatting>
  <conditionalFormatting sqref="B166:C166">
    <cfRule type="containsText" dxfId="2260" priority="537" operator="containsText" text="Str">
      <formula>NOT(ISERROR(SEARCH("Str",B166)))</formula>
    </cfRule>
    <cfRule type="containsText" dxfId="2259" priority="538" operator="containsText" text="Ere">
      <formula>NOT(ISERROR(SEARCH("Ere",B166)))</formula>
    </cfRule>
    <cfRule type="containsText" dxfId="2258" priority="539" operator="containsText" text="Ear">
      <formula>NOT(ISERROR(SEARCH("Ear",B166)))</formula>
    </cfRule>
    <cfRule type="containsText" dxfId="2257" priority="540" operator="containsText" text="fnd">
      <formula>NOT(ISERROR(SEARCH("fnd",B166)))</formula>
    </cfRule>
  </conditionalFormatting>
  <conditionalFormatting sqref="B174:C174">
    <cfRule type="containsText" dxfId="2256" priority="1043" operator="containsText" text="Str">
      <formula>NOT(ISERROR(SEARCH("Str",B174)))</formula>
    </cfRule>
    <cfRule type="containsText" dxfId="2255" priority="1044" operator="containsText" text="Ere">
      <formula>NOT(ISERROR(SEARCH("Ere",B174)))</formula>
    </cfRule>
    <cfRule type="containsText" dxfId="2254" priority="1045" operator="containsText" text="Ear">
      <formula>NOT(ISERROR(SEARCH("Ear",B174)))</formula>
    </cfRule>
    <cfRule type="containsText" dxfId="2253" priority="1046" operator="containsText" text="fnd">
      <formula>NOT(ISERROR(SEARCH("fnd",B174)))</formula>
    </cfRule>
  </conditionalFormatting>
  <conditionalFormatting sqref="B182:C182">
    <cfRule type="containsText" dxfId="2252" priority="289" operator="containsText" text="Str">
      <formula>NOT(ISERROR(SEARCH("Str",B182)))</formula>
    </cfRule>
    <cfRule type="containsText" dxfId="2251" priority="290" operator="containsText" text="Ere">
      <formula>NOT(ISERROR(SEARCH("Ere",B182)))</formula>
    </cfRule>
    <cfRule type="containsText" dxfId="2250" priority="291" operator="containsText" text="Ear">
      <formula>NOT(ISERROR(SEARCH("Ear",B182)))</formula>
    </cfRule>
    <cfRule type="containsText" dxfId="2249" priority="292" operator="containsText" text="fnd">
      <formula>NOT(ISERROR(SEARCH("fnd",B182)))</formula>
    </cfRule>
  </conditionalFormatting>
  <conditionalFormatting sqref="B199:C199">
    <cfRule type="containsText" dxfId="2248" priority="1759" operator="containsText" text="Str">
      <formula>NOT(ISERROR(SEARCH("Str",B199)))</formula>
    </cfRule>
    <cfRule type="containsText" dxfId="2247" priority="1760" operator="containsText" text="Ere">
      <formula>NOT(ISERROR(SEARCH("Ere",B199)))</formula>
    </cfRule>
    <cfRule type="containsText" dxfId="2246" priority="1761" operator="containsText" text="Ear">
      <formula>NOT(ISERROR(SEARCH("Ear",B199)))</formula>
    </cfRule>
    <cfRule type="containsText" dxfId="2245" priority="1762" operator="containsText" text="fnd">
      <formula>NOT(ISERROR(SEARCH("fnd",B199)))</formula>
    </cfRule>
  </conditionalFormatting>
  <conditionalFormatting sqref="C6">
    <cfRule type="containsText" dxfId="2244" priority="1603" operator="containsText" text="Str">
      <formula>NOT(ISERROR(SEARCH("Str",C6)))</formula>
    </cfRule>
    <cfRule type="containsText" dxfId="2243" priority="1604" operator="containsText" text="Ere">
      <formula>NOT(ISERROR(SEARCH("Ere",C6)))</formula>
    </cfRule>
    <cfRule type="containsText" dxfId="2242" priority="1605" operator="containsText" text="Ear">
      <formula>NOT(ISERROR(SEARCH("Ear",C6)))</formula>
    </cfRule>
    <cfRule type="containsText" dxfId="2241" priority="1606" operator="containsText" text="fnd">
      <formula>NOT(ISERROR(SEARCH("fnd",C6)))</formula>
    </cfRule>
  </conditionalFormatting>
  <conditionalFormatting sqref="C14">
    <cfRule type="containsText" dxfId="2240" priority="1691" operator="containsText" text="Str">
      <formula>NOT(ISERROR(SEARCH("Str",C14)))</formula>
    </cfRule>
    <cfRule type="containsText" dxfId="2239" priority="1692" operator="containsText" text="Ere">
      <formula>NOT(ISERROR(SEARCH("Ere",C14)))</formula>
    </cfRule>
    <cfRule type="containsText" dxfId="2238" priority="1693" operator="containsText" text="Ear">
      <formula>NOT(ISERROR(SEARCH("Ear",C14)))</formula>
    </cfRule>
    <cfRule type="containsText" dxfId="2237" priority="1694" operator="containsText" text="fnd">
      <formula>NOT(ISERROR(SEARCH("fnd",C14)))</formula>
    </cfRule>
  </conditionalFormatting>
  <conditionalFormatting sqref="C22">
    <cfRule type="containsText" dxfId="2236" priority="1483" operator="containsText" text="Str">
      <formula>NOT(ISERROR(SEARCH("Str",C22)))</formula>
    </cfRule>
    <cfRule type="containsText" dxfId="2235" priority="1484" operator="containsText" text="Ere">
      <formula>NOT(ISERROR(SEARCH("Ere",C22)))</formula>
    </cfRule>
    <cfRule type="containsText" dxfId="2234" priority="1485" operator="containsText" text="Ear">
      <formula>NOT(ISERROR(SEARCH("Ear",C22)))</formula>
    </cfRule>
    <cfRule type="containsText" dxfId="2233" priority="1486" operator="containsText" text="fnd">
      <formula>NOT(ISERROR(SEARCH("fnd",C22)))</formula>
    </cfRule>
  </conditionalFormatting>
  <conditionalFormatting sqref="C30">
    <cfRule type="containsText" dxfId="2232" priority="939" operator="containsText" text="Str">
      <formula>NOT(ISERROR(SEARCH("Str",C30)))</formula>
    </cfRule>
    <cfRule type="containsText" dxfId="2231" priority="940" operator="containsText" text="Ere">
      <formula>NOT(ISERROR(SEARCH("Ere",C30)))</formula>
    </cfRule>
    <cfRule type="containsText" dxfId="2230" priority="941" operator="containsText" text="Ear">
      <formula>NOT(ISERROR(SEARCH("Ear",C30)))</formula>
    </cfRule>
    <cfRule type="containsText" dxfId="2229" priority="942" operator="containsText" text="fnd">
      <formula>NOT(ISERROR(SEARCH("fnd",C30)))</formula>
    </cfRule>
  </conditionalFormatting>
  <conditionalFormatting sqref="C38">
    <cfRule type="containsText" dxfId="2228" priority="679" operator="containsText" text="Str">
      <formula>NOT(ISERROR(SEARCH("Str",C38)))</formula>
    </cfRule>
    <cfRule type="containsText" dxfId="2227" priority="680" operator="containsText" text="Ere">
      <formula>NOT(ISERROR(SEARCH("Ere",C38)))</formula>
    </cfRule>
    <cfRule type="containsText" dxfId="2226" priority="681" operator="containsText" text="Ear">
      <formula>NOT(ISERROR(SEARCH("Ear",C38)))</formula>
    </cfRule>
    <cfRule type="containsText" dxfId="2225" priority="682" operator="containsText" text="fnd">
      <formula>NOT(ISERROR(SEARCH("fnd",C38)))</formula>
    </cfRule>
  </conditionalFormatting>
  <conditionalFormatting sqref="C46">
    <cfRule type="containsText" dxfId="2224" priority="2135" operator="containsText" text="Str">
      <formula>NOT(ISERROR(SEARCH("Str",C46)))</formula>
    </cfRule>
    <cfRule type="containsText" dxfId="2223" priority="2136" operator="containsText" text="Ere">
      <formula>NOT(ISERROR(SEARCH("Ere",C46)))</formula>
    </cfRule>
    <cfRule type="containsText" dxfId="2222" priority="2137" operator="containsText" text="Ear">
      <formula>NOT(ISERROR(SEARCH("Ear",C46)))</formula>
    </cfRule>
    <cfRule type="containsText" dxfId="2221" priority="2138" operator="containsText" text="fnd">
      <formula>NOT(ISERROR(SEARCH("fnd",C46)))</formula>
    </cfRule>
  </conditionalFormatting>
  <conditionalFormatting sqref="E5:E6">
    <cfRule type="containsText" dxfId="2220" priority="1663" operator="containsText" text="Str">
      <formula>NOT(ISERROR(SEARCH("Str",E5)))</formula>
    </cfRule>
    <cfRule type="containsText" dxfId="2219" priority="1664" operator="containsText" text="Ere">
      <formula>NOT(ISERROR(SEARCH("Ere",E5)))</formula>
    </cfRule>
    <cfRule type="containsText" dxfId="2218" priority="1665" operator="containsText" text="Ear">
      <formula>NOT(ISERROR(SEARCH("Ear",E5)))</formula>
    </cfRule>
    <cfRule type="containsText" dxfId="2217" priority="1666" operator="containsText" text="fnd">
      <formula>NOT(ISERROR(SEARCH("fnd",E5)))</formula>
    </cfRule>
  </conditionalFormatting>
  <conditionalFormatting sqref="E13:E14">
    <cfRule type="containsText" dxfId="2216" priority="1623" operator="containsText" text="Str">
      <formula>NOT(ISERROR(SEARCH("Str",E13)))</formula>
    </cfRule>
    <cfRule type="containsText" dxfId="2215" priority="1624" operator="containsText" text="Ere">
      <formula>NOT(ISERROR(SEARCH("Ere",E13)))</formula>
    </cfRule>
    <cfRule type="containsText" dxfId="2214" priority="1625" operator="containsText" text="Ear">
      <formula>NOT(ISERROR(SEARCH("Ear",E13)))</formula>
    </cfRule>
    <cfRule type="containsText" dxfId="2213" priority="1626" operator="containsText" text="fnd">
      <formula>NOT(ISERROR(SEARCH("fnd",E13)))</formula>
    </cfRule>
  </conditionalFormatting>
  <conditionalFormatting sqref="E21:E22">
    <cfRule type="containsText" dxfId="2212" priority="643" operator="containsText" text="Str">
      <formula>NOT(ISERROR(SEARCH("Str",E21)))</formula>
    </cfRule>
    <cfRule type="containsText" dxfId="2211" priority="644" operator="containsText" text="Ere">
      <formula>NOT(ISERROR(SEARCH("Ere",E21)))</formula>
    </cfRule>
    <cfRule type="containsText" dxfId="2210" priority="645" operator="containsText" text="Ear">
      <formula>NOT(ISERROR(SEARCH("Ear",E21)))</formula>
    </cfRule>
    <cfRule type="containsText" dxfId="2209" priority="646" operator="containsText" text="fnd">
      <formula>NOT(ISERROR(SEARCH("fnd",E21)))</formula>
    </cfRule>
  </conditionalFormatting>
  <conditionalFormatting sqref="E29">
    <cfRule type="containsText" dxfId="2208" priority="1567" operator="containsText" text="Str">
      <formula>NOT(ISERROR(SEARCH("Str",E29)))</formula>
    </cfRule>
    <cfRule type="containsText" dxfId="2207" priority="1568" operator="containsText" text="Ere">
      <formula>NOT(ISERROR(SEARCH("Ere",E29)))</formula>
    </cfRule>
    <cfRule type="containsText" dxfId="2206" priority="1569" operator="containsText" text="Ear">
      <formula>NOT(ISERROR(SEARCH("Ear",E29)))</formula>
    </cfRule>
    <cfRule type="containsText" dxfId="2205" priority="1570" operator="containsText" text="fnd">
      <formula>NOT(ISERROR(SEARCH("fnd",E29)))</formula>
    </cfRule>
  </conditionalFormatting>
  <conditionalFormatting sqref="E37:E38">
    <cfRule type="containsText" dxfId="2204" priority="895" operator="containsText" text="Str">
      <formula>NOT(ISERROR(SEARCH("Str",E37)))</formula>
    </cfRule>
    <cfRule type="containsText" dxfId="2203" priority="896" operator="containsText" text="Ere">
      <formula>NOT(ISERROR(SEARCH("Ere",E37)))</formula>
    </cfRule>
    <cfRule type="containsText" dxfId="2202" priority="897" operator="containsText" text="Ear">
      <formula>NOT(ISERROR(SEARCH("Ear",E37)))</formula>
    </cfRule>
    <cfRule type="containsText" dxfId="2201" priority="898" operator="containsText" text="fnd">
      <formula>NOT(ISERROR(SEARCH("fnd",E37)))</formula>
    </cfRule>
  </conditionalFormatting>
  <conditionalFormatting sqref="E45">
    <cfRule type="containsText" dxfId="2200" priority="2231" operator="containsText" text="Str">
      <formula>NOT(ISERROR(SEARCH("Str",E45)))</formula>
    </cfRule>
    <cfRule type="containsText" dxfId="2199" priority="2232" operator="containsText" text="Ere">
      <formula>NOT(ISERROR(SEARCH("Ere",E45)))</formula>
    </cfRule>
    <cfRule type="containsText" dxfId="2198" priority="2233" operator="containsText" text="Ear">
      <formula>NOT(ISERROR(SEARCH("Ear",E45)))</formula>
    </cfRule>
    <cfRule type="containsText" dxfId="2197" priority="2234" operator="containsText" text="fnd">
      <formula>NOT(ISERROR(SEARCH("fnd",E45)))</formula>
    </cfRule>
  </conditionalFormatting>
  <conditionalFormatting sqref="E53:E54">
    <cfRule type="containsText" dxfId="2196" priority="1991" operator="containsText" text="Str">
      <formula>NOT(ISERROR(SEARCH("Str",E53)))</formula>
    </cfRule>
    <cfRule type="containsText" dxfId="2195" priority="1992" operator="containsText" text="Ere">
      <formula>NOT(ISERROR(SEARCH("Ere",E53)))</formula>
    </cfRule>
    <cfRule type="containsText" dxfId="2194" priority="1993" operator="containsText" text="Ear">
      <formula>NOT(ISERROR(SEARCH("Ear",E53)))</formula>
    </cfRule>
    <cfRule type="containsText" dxfId="2193" priority="1994" operator="containsText" text="fnd">
      <formula>NOT(ISERROR(SEARCH("fnd",E53)))</formula>
    </cfRule>
  </conditionalFormatting>
  <conditionalFormatting sqref="E61">
    <cfRule type="containsText" dxfId="2192" priority="859" operator="containsText" text="Str">
      <formula>NOT(ISERROR(SEARCH("Str",E61)))</formula>
    </cfRule>
    <cfRule type="containsText" dxfId="2191" priority="860" operator="containsText" text="Ere">
      <formula>NOT(ISERROR(SEARCH("Ere",E61)))</formula>
    </cfRule>
    <cfRule type="containsText" dxfId="2190" priority="861" operator="containsText" text="Ear">
      <formula>NOT(ISERROR(SEARCH("Ear",E61)))</formula>
    </cfRule>
    <cfRule type="containsText" dxfId="2189" priority="862" operator="containsText" text="fnd">
      <formula>NOT(ISERROR(SEARCH("fnd",E61)))</formula>
    </cfRule>
  </conditionalFormatting>
  <conditionalFormatting sqref="E69">
    <cfRule type="containsText" dxfId="2188" priority="2087" operator="containsText" text="Str">
      <formula>NOT(ISERROR(SEARCH("Str",E69)))</formula>
    </cfRule>
    <cfRule type="containsText" dxfId="2187" priority="2088" operator="containsText" text="Ere">
      <formula>NOT(ISERROR(SEARCH("Ere",E69)))</formula>
    </cfRule>
    <cfRule type="containsText" dxfId="2186" priority="2089" operator="containsText" text="Ear">
      <formula>NOT(ISERROR(SEARCH("Ear",E69)))</formula>
    </cfRule>
    <cfRule type="containsText" dxfId="2185" priority="2090" operator="containsText" text="fnd">
      <formula>NOT(ISERROR(SEARCH("fnd",E69)))</formula>
    </cfRule>
  </conditionalFormatting>
  <conditionalFormatting sqref="E86">
    <cfRule type="containsText" dxfId="2184" priority="2019" operator="containsText" text="Str">
      <formula>NOT(ISERROR(SEARCH("Str",E86)))</formula>
    </cfRule>
    <cfRule type="containsText" dxfId="2183" priority="2020" operator="containsText" text="Ere">
      <formula>NOT(ISERROR(SEARCH("Ere",E86)))</formula>
    </cfRule>
    <cfRule type="containsText" dxfId="2182" priority="2021" operator="containsText" text="Ear">
      <formula>NOT(ISERROR(SEARCH("Ear",E86)))</formula>
    </cfRule>
    <cfRule type="containsText" dxfId="2181" priority="2022" operator="containsText" text="fnd">
      <formula>NOT(ISERROR(SEARCH("fnd",E86)))</formula>
    </cfRule>
  </conditionalFormatting>
  <conditionalFormatting sqref="E93">
    <cfRule type="containsText" dxfId="2180" priority="2027" operator="containsText" text="Str">
      <formula>NOT(ISERROR(SEARCH("Str",E93)))</formula>
    </cfRule>
    <cfRule type="containsText" dxfId="2179" priority="2028" operator="containsText" text="Ere">
      <formula>NOT(ISERROR(SEARCH("Ere",E93)))</formula>
    </cfRule>
    <cfRule type="containsText" dxfId="2178" priority="2029" operator="containsText" text="Ear">
      <formula>NOT(ISERROR(SEARCH("Ear",E93)))</formula>
    </cfRule>
    <cfRule type="containsText" dxfId="2177" priority="2030" operator="containsText" text="fnd">
      <formula>NOT(ISERROR(SEARCH("fnd",E93)))</formula>
    </cfRule>
  </conditionalFormatting>
  <conditionalFormatting sqref="E101">
    <cfRule type="containsText" dxfId="2176" priority="1911" operator="containsText" text="Str">
      <formula>NOT(ISERROR(SEARCH("Str",E101)))</formula>
    </cfRule>
    <cfRule type="containsText" dxfId="2175" priority="1912" operator="containsText" text="Ere">
      <formula>NOT(ISERROR(SEARCH("Ere",E101)))</formula>
    </cfRule>
    <cfRule type="containsText" dxfId="2174" priority="1913" operator="containsText" text="Ear">
      <formula>NOT(ISERROR(SEARCH("Ear",E101)))</formula>
    </cfRule>
    <cfRule type="containsText" dxfId="2173" priority="1914" operator="containsText" text="fnd">
      <formula>NOT(ISERROR(SEARCH("fnd",E101)))</formula>
    </cfRule>
  </conditionalFormatting>
  <conditionalFormatting sqref="E109">
    <cfRule type="containsText" dxfId="2172" priority="77" operator="containsText" text="Str">
      <formula>NOT(ISERROR(SEARCH("Str",E109)))</formula>
    </cfRule>
    <cfRule type="containsText" dxfId="2171" priority="78" operator="containsText" text="Ere">
      <formula>NOT(ISERROR(SEARCH("Ere",E109)))</formula>
    </cfRule>
    <cfRule type="containsText" dxfId="2170" priority="79" operator="containsText" text="Ear">
      <formula>NOT(ISERROR(SEARCH("Ear",E109)))</formula>
    </cfRule>
    <cfRule type="containsText" dxfId="2169" priority="80" operator="containsText" text="fnd">
      <formula>NOT(ISERROR(SEARCH("fnd",E109)))</formula>
    </cfRule>
  </conditionalFormatting>
  <conditionalFormatting sqref="E117">
    <cfRule type="containsText" dxfId="2168" priority="489" operator="containsText" text="Str">
      <formula>NOT(ISERROR(SEARCH("Str",E117)))</formula>
    </cfRule>
    <cfRule type="containsText" dxfId="2167" priority="490" operator="containsText" text="Ere">
      <formula>NOT(ISERROR(SEARCH("Ere",E117)))</formula>
    </cfRule>
    <cfRule type="containsText" dxfId="2166" priority="491" operator="containsText" text="Ear">
      <formula>NOT(ISERROR(SEARCH("Ear",E117)))</formula>
    </cfRule>
    <cfRule type="containsText" dxfId="2165" priority="492" operator="containsText" text="fnd">
      <formula>NOT(ISERROR(SEARCH("fnd",E117)))</formula>
    </cfRule>
  </conditionalFormatting>
  <conditionalFormatting sqref="E122 E130 E138 E162 E170 E178">
    <cfRule type="containsText" dxfId="2164" priority="2059" operator="containsText" text="Str">
      <formula>NOT(ISERROR(SEARCH("Str",E122)))</formula>
    </cfRule>
    <cfRule type="containsText" dxfId="2163" priority="2060" operator="containsText" text="Ere">
      <formula>NOT(ISERROR(SEARCH("Ere",E122)))</formula>
    </cfRule>
    <cfRule type="containsText" dxfId="2162" priority="2061" operator="containsText" text="Ear">
      <formula>NOT(ISERROR(SEARCH("Ear",E122)))</formula>
    </cfRule>
    <cfRule type="containsText" dxfId="2161" priority="2062" operator="containsText" text="fnd">
      <formula>NOT(ISERROR(SEARCH("fnd",E122)))</formula>
    </cfRule>
  </conditionalFormatting>
  <conditionalFormatting sqref="E125">
    <cfRule type="containsText" dxfId="2160" priority="1395" operator="containsText" text="Str">
      <formula>NOT(ISERROR(SEARCH("Str",E125)))</formula>
    </cfRule>
    <cfRule type="containsText" dxfId="2159" priority="1396" operator="containsText" text="Ere">
      <formula>NOT(ISERROR(SEARCH("Ere",E125)))</formula>
    </cfRule>
    <cfRule type="containsText" dxfId="2158" priority="1397" operator="containsText" text="Ear">
      <formula>NOT(ISERROR(SEARCH("Ear",E125)))</formula>
    </cfRule>
    <cfRule type="containsText" dxfId="2157" priority="1398" operator="containsText" text="fnd">
      <formula>NOT(ISERROR(SEARCH("fnd",E125)))</formula>
    </cfRule>
  </conditionalFormatting>
  <conditionalFormatting sqref="E133">
    <cfRule type="containsText" dxfId="2156" priority="1347" operator="containsText" text="Str">
      <formula>NOT(ISERROR(SEARCH("Str",E133)))</formula>
    </cfRule>
    <cfRule type="containsText" dxfId="2155" priority="1348" operator="containsText" text="Ere">
      <formula>NOT(ISERROR(SEARCH("Ere",E133)))</formula>
    </cfRule>
    <cfRule type="containsText" dxfId="2154" priority="1349" operator="containsText" text="Ear">
      <formula>NOT(ISERROR(SEARCH("Ear",E133)))</formula>
    </cfRule>
    <cfRule type="containsText" dxfId="2153" priority="1350" operator="containsText" text="fnd">
      <formula>NOT(ISERROR(SEARCH("fnd",E133)))</formula>
    </cfRule>
  </conditionalFormatting>
  <conditionalFormatting sqref="E141">
    <cfRule type="containsText" dxfId="2152" priority="1247" operator="containsText" text="Str">
      <formula>NOT(ISERROR(SEARCH("Str",E141)))</formula>
    </cfRule>
    <cfRule type="containsText" dxfId="2151" priority="1248" operator="containsText" text="Ere">
      <formula>NOT(ISERROR(SEARCH("Ere",E141)))</formula>
    </cfRule>
    <cfRule type="containsText" dxfId="2150" priority="1249" operator="containsText" text="Ear">
      <formula>NOT(ISERROR(SEARCH("Ear",E141)))</formula>
    </cfRule>
    <cfRule type="containsText" dxfId="2149" priority="1250" operator="containsText" text="fnd">
      <formula>NOT(ISERROR(SEARCH("fnd",E141)))</formula>
    </cfRule>
  </conditionalFormatting>
  <conditionalFormatting sqref="E149">
    <cfRule type="containsText" dxfId="2148" priority="337" operator="containsText" text="Str">
      <formula>NOT(ISERROR(SEARCH("Str",E149)))</formula>
    </cfRule>
    <cfRule type="containsText" dxfId="2147" priority="338" operator="containsText" text="Ere">
      <formula>NOT(ISERROR(SEARCH("Ere",E149)))</formula>
    </cfRule>
    <cfRule type="containsText" dxfId="2146" priority="339" operator="containsText" text="Ear">
      <formula>NOT(ISERROR(SEARCH("Ear",E149)))</formula>
    </cfRule>
    <cfRule type="containsText" dxfId="2145" priority="340" operator="containsText" text="fnd">
      <formula>NOT(ISERROR(SEARCH("fnd",E149)))</formula>
    </cfRule>
  </conditionalFormatting>
  <conditionalFormatting sqref="E157">
    <cfRule type="containsText" dxfId="2144" priority="1115" operator="containsText" text="Str">
      <formula>NOT(ISERROR(SEARCH("Str",E157)))</formula>
    </cfRule>
    <cfRule type="containsText" dxfId="2143" priority="1116" operator="containsText" text="Ere">
      <formula>NOT(ISERROR(SEARCH("Ere",E157)))</formula>
    </cfRule>
    <cfRule type="containsText" dxfId="2142" priority="1117" operator="containsText" text="Ear">
      <formula>NOT(ISERROR(SEARCH("Ear",E157)))</formula>
    </cfRule>
    <cfRule type="containsText" dxfId="2141" priority="1118" operator="containsText" text="fnd">
      <formula>NOT(ISERROR(SEARCH("fnd",E157)))</formula>
    </cfRule>
  </conditionalFormatting>
  <conditionalFormatting sqref="E165">
    <cfRule type="containsText" dxfId="2140" priority="627" operator="containsText" text="Str">
      <formula>NOT(ISERROR(SEARCH("Str",E165)))</formula>
    </cfRule>
    <cfRule type="containsText" dxfId="2139" priority="628" operator="containsText" text="Ere">
      <formula>NOT(ISERROR(SEARCH("Ere",E165)))</formula>
    </cfRule>
    <cfRule type="containsText" dxfId="2138" priority="629" operator="containsText" text="Ear">
      <formula>NOT(ISERROR(SEARCH("Ear",E165)))</formula>
    </cfRule>
    <cfRule type="containsText" dxfId="2137" priority="630" operator="containsText" text="fnd">
      <formula>NOT(ISERROR(SEARCH("fnd",E165)))</formula>
    </cfRule>
  </conditionalFormatting>
  <conditionalFormatting sqref="E173">
    <cfRule type="containsText" dxfId="2136" priority="581" operator="containsText" text="Str">
      <formula>NOT(ISERROR(SEARCH("Str",E173)))</formula>
    </cfRule>
    <cfRule type="containsText" dxfId="2135" priority="582" operator="containsText" text="Ere">
      <formula>NOT(ISERROR(SEARCH("Ere",E173)))</formula>
    </cfRule>
    <cfRule type="containsText" dxfId="2134" priority="583" operator="containsText" text="Ear">
      <formula>NOT(ISERROR(SEARCH("Ear",E173)))</formula>
    </cfRule>
    <cfRule type="containsText" dxfId="2133" priority="584" operator="containsText" text="fnd">
      <formula>NOT(ISERROR(SEARCH("fnd",E173)))</formula>
    </cfRule>
  </conditionalFormatting>
  <conditionalFormatting sqref="E181">
    <cfRule type="containsText" dxfId="2132" priority="983" operator="containsText" text="Str">
      <formula>NOT(ISERROR(SEARCH("Str",E181)))</formula>
    </cfRule>
    <cfRule type="containsText" dxfId="2131" priority="984" operator="containsText" text="Ere">
      <formula>NOT(ISERROR(SEARCH("Ere",E181)))</formula>
    </cfRule>
    <cfRule type="containsText" dxfId="2130" priority="985" operator="containsText" text="Ear">
      <formula>NOT(ISERROR(SEARCH("Ear",E181)))</formula>
    </cfRule>
    <cfRule type="containsText" dxfId="2129" priority="986" operator="containsText" text="fnd">
      <formula>NOT(ISERROR(SEARCH("fnd",E181)))</formula>
    </cfRule>
  </conditionalFormatting>
  <conditionalFormatting sqref="E207">
    <cfRule type="containsText" dxfId="2128" priority="2143" operator="containsText" text="Str">
      <formula>NOT(ISERROR(SEARCH("Str",E207)))</formula>
    </cfRule>
    <cfRule type="containsText" dxfId="2127" priority="2144" operator="containsText" text="Ere">
      <formula>NOT(ISERROR(SEARCH("Ere",E207)))</formula>
    </cfRule>
    <cfRule type="containsText" dxfId="2126" priority="2145" operator="containsText" text="Ear">
      <formula>NOT(ISERROR(SEARCH("Ear",E207)))</formula>
    </cfRule>
    <cfRule type="containsText" dxfId="2125" priority="2146" operator="containsText" text="fnd">
      <formula>NOT(ISERROR(SEARCH("fnd",E207)))</formula>
    </cfRule>
  </conditionalFormatting>
  <conditionalFormatting sqref="E30:F30">
    <cfRule type="containsText" dxfId="2124" priority="1571" operator="containsText" text="Str">
      <formula>NOT(ISERROR(SEARCH("Str",E30)))</formula>
    </cfRule>
    <cfRule type="containsText" dxfId="2123" priority="1572" operator="containsText" text="Ere">
      <formula>NOT(ISERROR(SEARCH("Ere",E30)))</formula>
    </cfRule>
    <cfRule type="containsText" dxfId="2122" priority="1573" operator="containsText" text="Ear">
      <formula>NOT(ISERROR(SEARCH("Ear",E30)))</formula>
    </cfRule>
    <cfRule type="containsText" dxfId="2121" priority="1574" operator="containsText" text="fnd">
      <formula>NOT(ISERROR(SEARCH("fnd",E30)))</formula>
    </cfRule>
  </conditionalFormatting>
  <conditionalFormatting sqref="E46:F46">
    <cfRule type="containsText" dxfId="2120" priority="2331" operator="containsText" text="Str">
      <formula>NOT(ISERROR(SEARCH("Str",E46)))</formula>
    </cfRule>
    <cfRule type="containsText" dxfId="2119" priority="2332" operator="containsText" text="Ere">
      <formula>NOT(ISERROR(SEARCH("Ere",E46)))</formula>
    </cfRule>
    <cfRule type="containsText" dxfId="2118" priority="2333" operator="containsText" text="Ear">
      <formula>NOT(ISERROR(SEARCH("Ear",E46)))</formula>
    </cfRule>
    <cfRule type="containsText" dxfId="2117" priority="2334" operator="containsText" text="fnd">
      <formula>NOT(ISERROR(SEARCH("fnd",E46)))</formula>
    </cfRule>
  </conditionalFormatting>
  <conditionalFormatting sqref="E62:F62">
    <cfRule type="containsText" dxfId="2116" priority="863" operator="containsText" text="Str">
      <formula>NOT(ISERROR(SEARCH("Str",E62)))</formula>
    </cfRule>
    <cfRule type="containsText" dxfId="2115" priority="864" operator="containsText" text="Ere">
      <formula>NOT(ISERROR(SEARCH("Ere",E62)))</formula>
    </cfRule>
    <cfRule type="containsText" dxfId="2114" priority="865" operator="containsText" text="Ear">
      <formula>NOT(ISERROR(SEARCH("Ear",E62)))</formula>
    </cfRule>
    <cfRule type="containsText" dxfId="2113" priority="866" operator="containsText" text="fnd">
      <formula>NOT(ISERROR(SEARCH("fnd",E62)))</formula>
    </cfRule>
  </conditionalFormatting>
  <conditionalFormatting sqref="E94:F94">
    <cfRule type="containsText" dxfId="2112" priority="2031" operator="containsText" text="Str">
      <formula>NOT(ISERROR(SEARCH("Str",E94)))</formula>
    </cfRule>
    <cfRule type="containsText" dxfId="2111" priority="2032" operator="containsText" text="Ere">
      <formula>NOT(ISERROR(SEARCH("Ere",E94)))</formula>
    </cfRule>
    <cfRule type="containsText" dxfId="2110" priority="2033" operator="containsText" text="Ear">
      <formula>NOT(ISERROR(SEARCH("Ear",E94)))</formula>
    </cfRule>
    <cfRule type="containsText" dxfId="2109" priority="2034" operator="containsText" text="fnd">
      <formula>NOT(ISERROR(SEARCH("fnd",E94)))</formula>
    </cfRule>
  </conditionalFormatting>
  <conditionalFormatting sqref="E102:F102">
    <cfRule type="containsText" dxfId="2108" priority="1915" operator="containsText" text="Str">
      <formula>NOT(ISERROR(SEARCH("Str",E102)))</formula>
    </cfRule>
    <cfRule type="containsText" dxfId="2107" priority="1916" operator="containsText" text="Ere">
      <formula>NOT(ISERROR(SEARCH("Ere",E102)))</formula>
    </cfRule>
    <cfRule type="containsText" dxfId="2106" priority="1917" operator="containsText" text="Ear">
      <formula>NOT(ISERROR(SEARCH("Ear",E102)))</formula>
    </cfRule>
    <cfRule type="containsText" dxfId="2105" priority="1918" operator="containsText" text="fnd">
      <formula>NOT(ISERROR(SEARCH("fnd",E102)))</formula>
    </cfRule>
  </conditionalFormatting>
  <conditionalFormatting sqref="E134:F134">
    <cfRule type="containsText" dxfId="2104" priority="1351" operator="containsText" text="Str">
      <formula>NOT(ISERROR(SEARCH("Str",E134)))</formula>
    </cfRule>
    <cfRule type="containsText" dxfId="2103" priority="1352" operator="containsText" text="Ere">
      <formula>NOT(ISERROR(SEARCH("Ere",E134)))</formula>
    </cfRule>
    <cfRule type="containsText" dxfId="2102" priority="1353" operator="containsText" text="Ear">
      <formula>NOT(ISERROR(SEARCH("Ear",E134)))</formula>
    </cfRule>
    <cfRule type="containsText" dxfId="2101" priority="1354" operator="containsText" text="fnd">
      <formula>NOT(ISERROR(SEARCH("fnd",E134)))</formula>
    </cfRule>
  </conditionalFormatting>
  <conditionalFormatting sqref="E142:F142">
    <cfRule type="containsText" dxfId="2100" priority="1251" operator="containsText" text="Str">
      <formula>NOT(ISERROR(SEARCH("Str",E142)))</formula>
    </cfRule>
    <cfRule type="containsText" dxfId="2099" priority="1252" operator="containsText" text="Ere">
      <formula>NOT(ISERROR(SEARCH("Ere",E142)))</formula>
    </cfRule>
    <cfRule type="containsText" dxfId="2098" priority="1253" operator="containsText" text="Ear">
      <formula>NOT(ISERROR(SEARCH("Ear",E142)))</formula>
    </cfRule>
    <cfRule type="containsText" dxfId="2097" priority="1254" operator="containsText" text="fnd">
      <formula>NOT(ISERROR(SEARCH("fnd",E142)))</formula>
    </cfRule>
  </conditionalFormatting>
  <conditionalFormatting sqref="E158:F158">
    <cfRule type="containsText" dxfId="2096" priority="1119" operator="containsText" text="Str">
      <formula>NOT(ISERROR(SEARCH("Str",E158)))</formula>
    </cfRule>
    <cfRule type="containsText" dxfId="2095" priority="1120" operator="containsText" text="Ere">
      <formula>NOT(ISERROR(SEARCH("Ere",E158)))</formula>
    </cfRule>
    <cfRule type="containsText" dxfId="2094" priority="1121" operator="containsText" text="Ear">
      <formula>NOT(ISERROR(SEARCH("Ear",E158)))</formula>
    </cfRule>
    <cfRule type="containsText" dxfId="2093" priority="1122" operator="containsText" text="fnd">
      <formula>NOT(ISERROR(SEARCH("fnd",E158)))</formula>
    </cfRule>
  </conditionalFormatting>
  <conditionalFormatting sqref="E166:F166">
    <cfRule type="containsText" dxfId="2092" priority="631" operator="containsText" text="Str">
      <formula>NOT(ISERROR(SEARCH("Str",E166)))</formula>
    </cfRule>
    <cfRule type="containsText" dxfId="2091" priority="632" operator="containsText" text="Ere">
      <formula>NOT(ISERROR(SEARCH("Ere",E166)))</formula>
    </cfRule>
    <cfRule type="containsText" dxfId="2090" priority="633" operator="containsText" text="Ear">
      <formula>NOT(ISERROR(SEARCH("Ear",E166)))</formula>
    </cfRule>
    <cfRule type="containsText" dxfId="2089" priority="634" operator="containsText" text="fnd">
      <formula>NOT(ISERROR(SEARCH("fnd",E166)))</formula>
    </cfRule>
  </conditionalFormatting>
  <conditionalFormatting sqref="E174:F174">
    <cfRule type="containsText" dxfId="2088" priority="585" operator="containsText" text="Str">
      <formula>NOT(ISERROR(SEARCH("Str",E174)))</formula>
    </cfRule>
    <cfRule type="containsText" dxfId="2087" priority="586" operator="containsText" text="Ere">
      <formula>NOT(ISERROR(SEARCH("Ere",E174)))</formula>
    </cfRule>
    <cfRule type="containsText" dxfId="2086" priority="587" operator="containsText" text="Ear">
      <formula>NOT(ISERROR(SEARCH("Ear",E174)))</formula>
    </cfRule>
    <cfRule type="containsText" dxfId="2085" priority="588" operator="containsText" text="fnd">
      <formula>NOT(ISERROR(SEARCH("fnd",E174)))</formula>
    </cfRule>
  </conditionalFormatting>
  <conditionalFormatting sqref="E182:F182">
    <cfRule type="containsText" dxfId="2084" priority="987" operator="containsText" text="Str">
      <formula>NOT(ISERROR(SEARCH("Str",E182)))</formula>
    </cfRule>
    <cfRule type="containsText" dxfId="2083" priority="988" operator="containsText" text="Ere">
      <formula>NOT(ISERROR(SEARCH("Ere",E182)))</formula>
    </cfRule>
    <cfRule type="containsText" dxfId="2082" priority="989" operator="containsText" text="Ear">
      <formula>NOT(ISERROR(SEARCH("Ear",E182)))</formula>
    </cfRule>
    <cfRule type="containsText" dxfId="2081" priority="990" operator="containsText" text="fnd">
      <formula>NOT(ISERROR(SEARCH("fnd",E182)))</formula>
    </cfRule>
  </conditionalFormatting>
  <conditionalFormatting sqref="E208:F208">
    <cfRule type="containsText" dxfId="2080" priority="2147" operator="containsText" text="Str">
      <formula>NOT(ISERROR(SEARCH("Str",E208)))</formula>
    </cfRule>
    <cfRule type="containsText" dxfId="2079" priority="2148" operator="containsText" text="Ere">
      <formula>NOT(ISERROR(SEARCH("Ere",E208)))</formula>
    </cfRule>
    <cfRule type="containsText" dxfId="2078" priority="2149" operator="containsText" text="Ear">
      <formula>NOT(ISERROR(SEARCH("Ear",E208)))</formula>
    </cfRule>
    <cfRule type="containsText" dxfId="2077" priority="2150" operator="containsText" text="fnd">
      <formula>NOT(ISERROR(SEARCH("fnd",E208)))</formula>
    </cfRule>
  </conditionalFormatting>
  <conditionalFormatting sqref="F6">
    <cfRule type="containsText" dxfId="2076" priority="1659" operator="containsText" text="Str">
      <formula>NOT(ISERROR(SEARCH("Str",F6)))</formula>
    </cfRule>
    <cfRule type="containsText" dxfId="2075" priority="1660" operator="containsText" text="Ere">
      <formula>NOT(ISERROR(SEARCH("Ere",F6)))</formula>
    </cfRule>
    <cfRule type="containsText" dxfId="2074" priority="1661" operator="containsText" text="Ear">
      <formula>NOT(ISERROR(SEARCH("Ear",F6)))</formula>
    </cfRule>
    <cfRule type="containsText" dxfId="2073" priority="1662" operator="containsText" text="fnd">
      <formula>NOT(ISERROR(SEARCH("fnd",F6)))</formula>
    </cfRule>
  </conditionalFormatting>
  <conditionalFormatting sqref="F14">
    <cfRule type="containsText" dxfId="2072" priority="1619" operator="containsText" text="Str">
      <formula>NOT(ISERROR(SEARCH("Str",F14)))</formula>
    </cfRule>
    <cfRule type="containsText" dxfId="2071" priority="1620" operator="containsText" text="Ere">
      <formula>NOT(ISERROR(SEARCH("Ere",F14)))</formula>
    </cfRule>
    <cfRule type="containsText" dxfId="2070" priority="1621" operator="containsText" text="Ear">
      <formula>NOT(ISERROR(SEARCH("Ear",F14)))</formula>
    </cfRule>
    <cfRule type="containsText" dxfId="2069" priority="1622" operator="containsText" text="fnd">
      <formula>NOT(ISERROR(SEARCH("fnd",F14)))</formula>
    </cfRule>
  </conditionalFormatting>
  <conditionalFormatting sqref="F22">
    <cfRule type="containsText" dxfId="2068" priority="639" operator="containsText" text="Str">
      <formula>NOT(ISERROR(SEARCH("Str",F22)))</formula>
    </cfRule>
    <cfRule type="containsText" dxfId="2067" priority="640" operator="containsText" text="Ere">
      <formula>NOT(ISERROR(SEARCH("Ere",F22)))</formula>
    </cfRule>
    <cfRule type="containsText" dxfId="2066" priority="641" operator="containsText" text="Ear">
      <formula>NOT(ISERROR(SEARCH("Ear",F22)))</formula>
    </cfRule>
    <cfRule type="containsText" dxfId="2065" priority="642" operator="containsText" text="fnd">
      <formula>NOT(ISERROR(SEARCH("fnd",F22)))</formula>
    </cfRule>
  </conditionalFormatting>
  <conditionalFormatting sqref="F38">
    <cfRule type="containsText" dxfId="2064" priority="891" operator="containsText" text="Str">
      <formula>NOT(ISERROR(SEARCH("Str",F38)))</formula>
    </cfRule>
    <cfRule type="containsText" dxfId="2063" priority="892" operator="containsText" text="Ere">
      <formula>NOT(ISERROR(SEARCH("Ere",F38)))</formula>
    </cfRule>
    <cfRule type="containsText" dxfId="2062" priority="893" operator="containsText" text="Ear">
      <formula>NOT(ISERROR(SEARCH("Ear",F38)))</formula>
    </cfRule>
    <cfRule type="containsText" dxfId="2061" priority="894" operator="containsText" text="fnd">
      <formula>NOT(ISERROR(SEARCH("fnd",F38)))</formula>
    </cfRule>
  </conditionalFormatting>
  <conditionalFormatting sqref="F54">
    <cfRule type="containsText" dxfId="2060" priority="1987" operator="containsText" text="Str">
      <formula>NOT(ISERROR(SEARCH("Str",F54)))</formula>
    </cfRule>
    <cfRule type="containsText" dxfId="2059" priority="1988" operator="containsText" text="Ere">
      <formula>NOT(ISERROR(SEARCH("Ere",F54)))</formula>
    </cfRule>
    <cfRule type="containsText" dxfId="2058" priority="1989" operator="containsText" text="Ear">
      <formula>NOT(ISERROR(SEARCH("Ear",F54)))</formula>
    </cfRule>
    <cfRule type="containsText" dxfId="2057" priority="1990" operator="containsText" text="fnd">
      <formula>NOT(ISERROR(SEARCH("fnd",F54)))</formula>
    </cfRule>
  </conditionalFormatting>
  <conditionalFormatting sqref="F78">
    <cfRule type="containsText" dxfId="2056" priority="1995" operator="containsText" text="Str">
      <formula>NOT(ISERROR(SEARCH("Str",F78)))</formula>
    </cfRule>
    <cfRule type="containsText" dxfId="2055" priority="1996" operator="containsText" text="Ere">
      <formula>NOT(ISERROR(SEARCH("Ere",F78)))</formula>
    </cfRule>
    <cfRule type="containsText" dxfId="2054" priority="1997" operator="containsText" text="Ear">
      <formula>NOT(ISERROR(SEARCH("Ear",F78)))</formula>
    </cfRule>
    <cfRule type="containsText" dxfId="2053" priority="1998" operator="containsText" text="fnd">
      <formula>NOT(ISERROR(SEARCH("fnd",F78)))</formula>
    </cfRule>
  </conditionalFormatting>
  <conditionalFormatting sqref="F199">
    <cfRule type="containsText" dxfId="2052" priority="1599" operator="containsText" text="Str">
      <formula>NOT(ISERROR(SEARCH("Str",F199)))</formula>
    </cfRule>
    <cfRule type="containsText" dxfId="2051" priority="1600" operator="containsText" text="Ere">
      <formula>NOT(ISERROR(SEARCH("Ere",F199)))</formula>
    </cfRule>
    <cfRule type="containsText" dxfId="2050" priority="1601" operator="containsText" text="Ear">
      <formula>NOT(ISERROR(SEARCH("Ear",F199)))</formula>
    </cfRule>
    <cfRule type="containsText" dxfId="2049" priority="1602" operator="containsText" text="fnd">
      <formula>NOT(ISERROR(SEARCH("fnd",F199)))</formula>
    </cfRule>
  </conditionalFormatting>
  <conditionalFormatting sqref="G122 H130 H138 H162 H170 H178">
    <cfRule type="containsText" dxfId="2048" priority="2079" operator="containsText" text="Str">
      <formula>NOT(ISERROR(SEARCH("Str",G122)))</formula>
    </cfRule>
    <cfRule type="containsText" dxfId="2047" priority="2080" operator="containsText" text="Ere">
      <formula>NOT(ISERROR(SEARCH("Ere",G122)))</formula>
    </cfRule>
    <cfRule type="containsText" dxfId="2046" priority="2081" operator="containsText" text="Ear">
      <formula>NOT(ISERROR(SEARCH("Ear",G122)))</formula>
    </cfRule>
    <cfRule type="containsText" dxfId="2045" priority="2082" operator="containsText" text="fnd">
      <formula>NOT(ISERROR(SEARCH("fnd",G122)))</formula>
    </cfRule>
  </conditionalFormatting>
  <conditionalFormatting sqref="H5:H6">
    <cfRule type="containsText" dxfId="2044" priority="249" operator="containsText" text="Str">
      <formula>NOT(ISERROR(SEARCH("Str",H5)))</formula>
    </cfRule>
    <cfRule type="containsText" dxfId="2043" priority="250" operator="containsText" text="Ere">
      <formula>NOT(ISERROR(SEARCH("Ere",H5)))</formula>
    </cfRule>
    <cfRule type="containsText" dxfId="2042" priority="251" operator="containsText" text="Ear">
      <formula>NOT(ISERROR(SEARCH("Ear",H5)))</formula>
    </cfRule>
    <cfRule type="containsText" dxfId="2041" priority="252" operator="containsText" text="fnd">
      <formula>NOT(ISERROR(SEARCH("fnd",H5)))</formula>
    </cfRule>
  </conditionalFormatting>
  <conditionalFormatting sqref="H13:H14">
    <cfRule type="containsText" dxfId="2040" priority="1679" operator="containsText" text="Str">
      <formula>NOT(ISERROR(SEARCH("Str",H13)))</formula>
    </cfRule>
    <cfRule type="containsText" dxfId="2039" priority="1680" operator="containsText" text="Ere">
      <formula>NOT(ISERROR(SEARCH("Ere",H13)))</formula>
    </cfRule>
    <cfRule type="containsText" dxfId="2038" priority="1681" operator="containsText" text="Ear">
      <formula>NOT(ISERROR(SEARCH("Ear",H13)))</formula>
    </cfRule>
    <cfRule type="containsText" dxfId="2037" priority="1682" operator="containsText" text="fnd">
      <formula>NOT(ISERROR(SEARCH("fnd",H13)))</formula>
    </cfRule>
  </conditionalFormatting>
  <conditionalFormatting sqref="H21:H22">
    <cfRule type="containsText" dxfId="2036" priority="1899" operator="containsText" text="Str">
      <formula>NOT(ISERROR(SEARCH("Str",H21)))</formula>
    </cfRule>
    <cfRule type="containsText" dxfId="2035" priority="1900" operator="containsText" text="Ere">
      <formula>NOT(ISERROR(SEARCH("Ere",H21)))</formula>
    </cfRule>
    <cfRule type="containsText" dxfId="2034" priority="1901" operator="containsText" text="Ear">
      <formula>NOT(ISERROR(SEARCH("Ear",H21)))</formula>
    </cfRule>
    <cfRule type="containsText" dxfId="2033" priority="1902" operator="containsText" text="fnd">
      <formula>NOT(ISERROR(SEARCH("fnd",H21)))</formula>
    </cfRule>
  </conditionalFormatting>
  <conditionalFormatting sqref="H29">
    <cfRule type="containsText" dxfId="2032" priority="655" operator="containsText" text="Str">
      <formula>NOT(ISERROR(SEARCH("Str",H29)))</formula>
    </cfRule>
    <cfRule type="containsText" dxfId="2031" priority="656" operator="containsText" text="Ere">
      <formula>NOT(ISERROR(SEARCH("Ere",H29)))</formula>
    </cfRule>
    <cfRule type="containsText" dxfId="2030" priority="657" operator="containsText" text="Ear">
      <formula>NOT(ISERROR(SEARCH("Ear",H29)))</formula>
    </cfRule>
    <cfRule type="containsText" dxfId="2029" priority="658" operator="containsText" text="fnd">
      <formula>NOT(ISERROR(SEARCH("fnd",H29)))</formula>
    </cfRule>
  </conditionalFormatting>
  <conditionalFormatting sqref="H37:H38">
    <cfRule type="containsText" dxfId="2028" priority="919" operator="containsText" text="Str">
      <formula>NOT(ISERROR(SEARCH("Str",H37)))</formula>
    </cfRule>
    <cfRule type="containsText" dxfId="2027" priority="920" operator="containsText" text="Ere">
      <formula>NOT(ISERROR(SEARCH("Ere",H37)))</formula>
    </cfRule>
    <cfRule type="containsText" dxfId="2026" priority="921" operator="containsText" text="Ear">
      <formula>NOT(ISERROR(SEARCH("Ear",H37)))</formula>
    </cfRule>
    <cfRule type="containsText" dxfId="2025" priority="922" operator="containsText" text="fnd">
      <formula>NOT(ISERROR(SEARCH("fnd",H37)))</formula>
    </cfRule>
  </conditionalFormatting>
  <conditionalFormatting sqref="H45">
    <cfRule type="containsText" dxfId="2024" priority="2247" operator="containsText" text="Str">
      <formula>NOT(ISERROR(SEARCH("Str",H45)))</formula>
    </cfRule>
    <cfRule type="containsText" dxfId="2023" priority="2248" operator="containsText" text="Ere">
      <formula>NOT(ISERROR(SEARCH("Ere",H45)))</formula>
    </cfRule>
    <cfRule type="containsText" dxfId="2022" priority="2249" operator="containsText" text="Ear">
      <formula>NOT(ISERROR(SEARCH("Ear",H45)))</formula>
    </cfRule>
    <cfRule type="containsText" dxfId="2021" priority="2250" operator="containsText" text="fnd">
      <formula>NOT(ISERROR(SEARCH("fnd",H45)))</formula>
    </cfRule>
  </conditionalFormatting>
  <conditionalFormatting sqref="H61">
    <cfRule type="containsText" dxfId="2020" priority="1867" operator="containsText" text="Str">
      <formula>NOT(ISERROR(SEARCH("Str",H61)))</formula>
    </cfRule>
    <cfRule type="containsText" dxfId="2019" priority="1868" operator="containsText" text="Ere">
      <formula>NOT(ISERROR(SEARCH("Ere",H61)))</formula>
    </cfRule>
    <cfRule type="containsText" dxfId="2018" priority="1869" operator="containsText" text="Ear">
      <formula>NOT(ISERROR(SEARCH("Ear",H61)))</formula>
    </cfRule>
    <cfRule type="containsText" dxfId="2017" priority="1870" operator="containsText" text="fnd">
      <formula>NOT(ISERROR(SEARCH("fnd",H61)))</formula>
    </cfRule>
  </conditionalFormatting>
  <conditionalFormatting sqref="H69">
    <cfRule type="containsText" dxfId="2016" priority="2219" operator="containsText" text="Str">
      <formula>NOT(ISERROR(SEARCH("Str",H69)))</formula>
    </cfRule>
    <cfRule type="containsText" dxfId="2015" priority="2220" operator="containsText" text="Ere">
      <formula>NOT(ISERROR(SEARCH("Ere",H69)))</formula>
    </cfRule>
    <cfRule type="containsText" dxfId="2014" priority="2221" operator="containsText" text="Ear">
      <formula>NOT(ISERROR(SEARCH("Ear",H69)))</formula>
    </cfRule>
    <cfRule type="containsText" dxfId="2013" priority="2222" operator="containsText" text="fnd">
      <formula>NOT(ISERROR(SEARCH("fnd",H69)))</formula>
    </cfRule>
  </conditionalFormatting>
  <conditionalFormatting sqref="H86 K86:L86 N86:O86">
    <cfRule type="containsText" dxfId="2012" priority="2303" operator="containsText" text="Str">
      <formula>NOT(ISERROR(SEARCH("Str",H86)))</formula>
    </cfRule>
    <cfRule type="containsText" dxfId="2011" priority="2304" operator="containsText" text="Ere">
      <formula>NOT(ISERROR(SEARCH("Ere",H86)))</formula>
    </cfRule>
    <cfRule type="containsText" dxfId="2010" priority="2305" operator="containsText" text="Ear">
      <formula>NOT(ISERROR(SEARCH("Ear",H86)))</formula>
    </cfRule>
    <cfRule type="containsText" dxfId="2009" priority="2306" operator="containsText" text="fnd">
      <formula>NOT(ISERROR(SEARCH("fnd",H86)))</formula>
    </cfRule>
  </conditionalFormatting>
  <conditionalFormatting sqref="H93">
    <cfRule type="containsText" dxfId="2008" priority="1971" operator="containsText" text="Str">
      <formula>NOT(ISERROR(SEARCH("Str",H93)))</formula>
    </cfRule>
    <cfRule type="containsText" dxfId="2007" priority="1972" operator="containsText" text="Ere">
      <formula>NOT(ISERROR(SEARCH("Ere",H93)))</formula>
    </cfRule>
    <cfRule type="containsText" dxfId="2006" priority="1973" operator="containsText" text="Ear">
      <formula>NOT(ISERROR(SEARCH("Ear",H93)))</formula>
    </cfRule>
    <cfRule type="containsText" dxfId="2005" priority="1974" operator="containsText" text="fnd">
      <formula>NOT(ISERROR(SEARCH("fnd",H93)))</formula>
    </cfRule>
  </conditionalFormatting>
  <conditionalFormatting sqref="H101">
    <cfRule type="containsText" dxfId="2004" priority="1507" operator="containsText" text="Str">
      <formula>NOT(ISERROR(SEARCH("Str",H101)))</formula>
    </cfRule>
    <cfRule type="containsText" dxfId="2003" priority="1508" operator="containsText" text="Ere">
      <formula>NOT(ISERROR(SEARCH("Ere",H101)))</formula>
    </cfRule>
    <cfRule type="containsText" dxfId="2002" priority="1509" operator="containsText" text="Ear">
      <formula>NOT(ISERROR(SEARCH("Ear",H101)))</formula>
    </cfRule>
    <cfRule type="containsText" dxfId="2001" priority="1510" operator="containsText" text="fnd">
      <formula>NOT(ISERROR(SEARCH("fnd",H101)))</formula>
    </cfRule>
  </conditionalFormatting>
  <conditionalFormatting sqref="H109">
    <cfRule type="containsText" dxfId="2000" priority="357" operator="containsText" text="Str">
      <formula>NOT(ISERROR(SEARCH("Str",H109)))</formula>
    </cfRule>
    <cfRule type="containsText" dxfId="1999" priority="358" operator="containsText" text="Ere">
      <formula>NOT(ISERROR(SEARCH("Ere",H109)))</formula>
    </cfRule>
    <cfRule type="containsText" dxfId="1998" priority="359" operator="containsText" text="Ear">
      <formula>NOT(ISERROR(SEARCH("Ear",H109)))</formula>
    </cfRule>
    <cfRule type="containsText" dxfId="1997" priority="360" operator="containsText" text="fnd">
      <formula>NOT(ISERROR(SEARCH("fnd",H109)))</formula>
    </cfRule>
  </conditionalFormatting>
  <conditionalFormatting sqref="H117">
    <cfRule type="containsText" dxfId="1996" priority="1451" operator="containsText" text="Str">
      <formula>NOT(ISERROR(SEARCH("Str",H117)))</formula>
    </cfRule>
    <cfRule type="containsText" dxfId="1995" priority="1452" operator="containsText" text="Ere">
      <formula>NOT(ISERROR(SEARCH("Ere",H117)))</formula>
    </cfRule>
    <cfRule type="containsText" dxfId="1994" priority="1453" operator="containsText" text="Ear">
      <formula>NOT(ISERROR(SEARCH("Ear",H117)))</formula>
    </cfRule>
    <cfRule type="containsText" dxfId="1993" priority="1454" operator="containsText" text="fnd">
      <formula>NOT(ISERROR(SEARCH("fnd",H117)))</formula>
    </cfRule>
  </conditionalFormatting>
  <conditionalFormatting sqref="H125">
    <cfRule type="containsText" dxfId="1992" priority="647" operator="containsText" text="Str">
      <formula>NOT(ISERROR(SEARCH("Str",H125)))</formula>
    </cfRule>
    <cfRule type="containsText" dxfId="1991" priority="648" operator="containsText" text="Ere">
      <formula>NOT(ISERROR(SEARCH("Ere",H125)))</formula>
    </cfRule>
    <cfRule type="containsText" dxfId="1990" priority="649" operator="containsText" text="Ear">
      <formula>NOT(ISERROR(SEARCH("Ear",H125)))</formula>
    </cfRule>
    <cfRule type="containsText" dxfId="1989" priority="650" operator="containsText" text="fnd">
      <formula>NOT(ISERROR(SEARCH("fnd",H125)))</formula>
    </cfRule>
  </conditionalFormatting>
  <conditionalFormatting sqref="H133">
    <cfRule type="containsText" dxfId="1988" priority="65" operator="containsText" text="Str">
      <formula>NOT(ISERROR(SEARCH("Str",H133)))</formula>
    </cfRule>
    <cfRule type="containsText" dxfId="1987" priority="66" operator="containsText" text="Ere">
      <formula>NOT(ISERROR(SEARCH("Ere",H133)))</formula>
    </cfRule>
    <cfRule type="containsText" dxfId="1986" priority="67" operator="containsText" text="Ear">
      <formula>NOT(ISERROR(SEARCH("Ear",H133)))</formula>
    </cfRule>
    <cfRule type="containsText" dxfId="1985" priority="68" operator="containsText" text="fnd">
      <formula>NOT(ISERROR(SEARCH("fnd",H133)))</formula>
    </cfRule>
  </conditionalFormatting>
  <conditionalFormatting sqref="H141">
    <cfRule type="containsText" dxfId="1984" priority="1311" operator="containsText" text="Str">
      <formula>NOT(ISERROR(SEARCH("Str",H141)))</formula>
    </cfRule>
    <cfRule type="containsText" dxfId="1983" priority="1312" operator="containsText" text="Ere">
      <formula>NOT(ISERROR(SEARCH("Ere",H141)))</formula>
    </cfRule>
    <cfRule type="containsText" dxfId="1982" priority="1313" operator="containsText" text="Ear">
      <formula>NOT(ISERROR(SEARCH("Ear",H141)))</formula>
    </cfRule>
    <cfRule type="containsText" dxfId="1981" priority="1314" operator="containsText" text="fnd">
      <formula>NOT(ISERROR(SEARCH("fnd",H141)))</formula>
    </cfRule>
  </conditionalFormatting>
  <conditionalFormatting sqref="H149">
    <cfRule type="containsText" dxfId="1980" priority="1223" operator="containsText" text="Str">
      <formula>NOT(ISERROR(SEARCH("Str",H149)))</formula>
    </cfRule>
    <cfRule type="containsText" dxfId="1979" priority="1224" operator="containsText" text="Ere">
      <formula>NOT(ISERROR(SEARCH("Ere",H149)))</formula>
    </cfRule>
    <cfRule type="containsText" dxfId="1978" priority="1225" operator="containsText" text="Ear">
      <formula>NOT(ISERROR(SEARCH("Ear",H149)))</formula>
    </cfRule>
    <cfRule type="containsText" dxfId="1977" priority="1226" operator="containsText" text="fnd">
      <formula>NOT(ISERROR(SEARCH("fnd",H149)))</formula>
    </cfRule>
  </conditionalFormatting>
  <conditionalFormatting sqref="H157">
    <cfRule type="containsText" dxfId="1976" priority="1167" operator="containsText" text="Str">
      <formula>NOT(ISERROR(SEARCH("Str",H157)))</formula>
    </cfRule>
    <cfRule type="containsText" dxfId="1975" priority="1168" operator="containsText" text="Ere">
      <formula>NOT(ISERROR(SEARCH("Ere",H157)))</formula>
    </cfRule>
    <cfRule type="containsText" dxfId="1974" priority="1169" operator="containsText" text="Ear">
      <formula>NOT(ISERROR(SEARCH("Ear",H157)))</formula>
    </cfRule>
    <cfRule type="containsText" dxfId="1973" priority="1170" operator="containsText" text="fnd">
      <formula>NOT(ISERROR(SEARCH("fnd",H157)))</formula>
    </cfRule>
  </conditionalFormatting>
  <conditionalFormatting sqref="H165">
    <cfRule type="containsText" dxfId="1972" priority="619" operator="containsText" text="Str">
      <formula>NOT(ISERROR(SEARCH("Str",H165)))</formula>
    </cfRule>
    <cfRule type="containsText" dxfId="1971" priority="620" operator="containsText" text="Ere">
      <formula>NOT(ISERROR(SEARCH("Ere",H165)))</formula>
    </cfRule>
    <cfRule type="containsText" dxfId="1970" priority="621" operator="containsText" text="Ear">
      <formula>NOT(ISERROR(SEARCH("Ear",H165)))</formula>
    </cfRule>
    <cfRule type="containsText" dxfId="1969" priority="622" operator="containsText" text="fnd">
      <formula>NOT(ISERROR(SEARCH("fnd",H165)))</formula>
    </cfRule>
  </conditionalFormatting>
  <conditionalFormatting sqref="H173">
    <cfRule type="containsText" dxfId="1968" priority="1035" operator="containsText" text="Str">
      <formula>NOT(ISERROR(SEARCH("Str",H173)))</formula>
    </cfRule>
    <cfRule type="containsText" dxfId="1967" priority="1036" operator="containsText" text="Ere">
      <formula>NOT(ISERROR(SEARCH("Ere",H173)))</formula>
    </cfRule>
    <cfRule type="containsText" dxfId="1966" priority="1037" operator="containsText" text="Ear">
      <formula>NOT(ISERROR(SEARCH("Ear",H173)))</formula>
    </cfRule>
    <cfRule type="containsText" dxfId="1965" priority="1038" operator="containsText" text="fnd">
      <formula>NOT(ISERROR(SEARCH("fnd",H173)))</formula>
    </cfRule>
  </conditionalFormatting>
  <conditionalFormatting sqref="H181">
    <cfRule type="containsText" dxfId="1964" priority="161" operator="containsText" text="Str">
      <formula>NOT(ISERROR(SEARCH("Str",H181)))</formula>
    </cfRule>
    <cfRule type="containsText" dxfId="1963" priority="162" operator="containsText" text="Ere">
      <formula>NOT(ISERROR(SEARCH("Ere",H181)))</formula>
    </cfRule>
    <cfRule type="containsText" dxfId="1962" priority="163" operator="containsText" text="Ear">
      <formula>NOT(ISERROR(SEARCH("Ear",H181)))</formula>
    </cfRule>
    <cfRule type="containsText" dxfId="1961" priority="164" operator="containsText" text="fnd">
      <formula>NOT(ISERROR(SEARCH("fnd",H181)))</formula>
    </cfRule>
  </conditionalFormatting>
  <conditionalFormatting sqref="H30:I30">
    <cfRule type="containsText" dxfId="1960" priority="659" operator="containsText" text="Str">
      <formula>NOT(ISERROR(SEARCH("Str",H30)))</formula>
    </cfRule>
    <cfRule type="containsText" dxfId="1959" priority="660" operator="containsText" text="Ere">
      <formula>NOT(ISERROR(SEARCH("Ere",H30)))</formula>
    </cfRule>
    <cfRule type="containsText" dxfId="1958" priority="661" operator="containsText" text="Ear">
      <formula>NOT(ISERROR(SEARCH("Ear",H30)))</formula>
    </cfRule>
    <cfRule type="containsText" dxfId="1957" priority="662" operator="containsText" text="fnd">
      <formula>NOT(ISERROR(SEARCH("fnd",H30)))</formula>
    </cfRule>
  </conditionalFormatting>
  <conditionalFormatting sqref="H46:I46">
    <cfRule type="containsText" dxfId="1956" priority="2335" operator="containsText" text="Str">
      <formula>NOT(ISERROR(SEARCH("Str",H46)))</formula>
    </cfRule>
    <cfRule type="containsText" dxfId="1955" priority="2336" operator="containsText" text="Ere">
      <formula>NOT(ISERROR(SEARCH("Ere",H46)))</formula>
    </cfRule>
    <cfRule type="containsText" dxfId="1954" priority="2337" operator="containsText" text="Ear">
      <formula>NOT(ISERROR(SEARCH("Ear",H46)))</formula>
    </cfRule>
    <cfRule type="containsText" dxfId="1953" priority="2338" operator="containsText" text="fnd">
      <formula>NOT(ISERROR(SEARCH("fnd",H46)))</formula>
    </cfRule>
  </conditionalFormatting>
  <conditionalFormatting sqref="H62:I62">
    <cfRule type="containsText" dxfId="1952" priority="1871" operator="containsText" text="Str">
      <formula>NOT(ISERROR(SEARCH("Str",H62)))</formula>
    </cfRule>
    <cfRule type="containsText" dxfId="1951" priority="1872" operator="containsText" text="Ere">
      <formula>NOT(ISERROR(SEARCH("Ere",H62)))</formula>
    </cfRule>
    <cfRule type="containsText" dxfId="1950" priority="1873" operator="containsText" text="Ear">
      <formula>NOT(ISERROR(SEARCH("Ear",H62)))</formula>
    </cfRule>
    <cfRule type="containsText" dxfId="1949" priority="1874" operator="containsText" text="fnd">
      <formula>NOT(ISERROR(SEARCH("fnd",H62)))</formula>
    </cfRule>
  </conditionalFormatting>
  <conditionalFormatting sqref="H94:I94">
    <cfRule type="containsText" dxfId="1948" priority="1975" operator="containsText" text="Str">
      <formula>NOT(ISERROR(SEARCH("Str",H94)))</formula>
    </cfRule>
    <cfRule type="containsText" dxfId="1947" priority="1976" operator="containsText" text="Ere">
      <formula>NOT(ISERROR(SEARCH("Ere",H94)))</formula>
    </cfRule>
    <cfRule type="containsText" dxfId="1946" priority="1977" operator="containsText" text="Ear">
      <formula>NOT(ISERROR(SEARCH("Ear",H94)))</formula>
    </cfRule>
    <cfRule type="containsText" dxfId="1945" priority="1978" operator="containsText" text="fnd">
      <formula>NOT(ISERROR(SEARCH("fnd",H94)))</formula>
    </cfRule>
  </conditionalFormatting>
  <conditionalFormatting sqref="H102:I102">
    <cfRule type="containsText" dxfId="1944" priority="1511" operator="containsText" text="Str">
      <formula>NOT(ISERROR(SEARCH("Str",H102)))</formula>
    </cfRule>
    <cfRule type="containsText" dxfId="1943" priority="1512" operator="containsText" text="Ere">
      <formula>NOT(ISERROR(SEARCH("Ere",H102)))</formula>
    </cfRule>
    <cfRule type="containsText" dxfId="1942" priority="1513" operator="containsText" text="Ear">
      <formula>NOT(ISERROR(SEARCH("Ear",H102)))</formula>
    </cfRule>
    <cfRule type="containsText" dxfId="1941" priority="1514" operator="containsText" text="fnd">
      <formula>NOT(ISERROR(SEARCH("fnd",H102)))</formula>
    </cfRule>
  </conditionalFormatting>
  <conditionalFormatting sqref="H110:I110">
    <cfRule type="containsText" dxfId="1940" priority="361" operator="containsText" text="Str">
      <formula>NOT(ISERROR(SEARCH("Str",H110)))</formula>
    </cfRule>
    <cfRule type="containsText" dxfId="1939" priority="362" operator="containsText" text="Ere">
      <formula>NOT(ISERROR(SEARCH("Ere",H110)))</formula>
    </cfRule>
    <cfRule type="containsText" dxfId="1938" priority="363" operator="containsText" text="Ear">
      <formula>NOT(ISERROR(SEARCH("Ear",H110)))</formula>
    </cfRule>
    <cfRule type="containsText" dxfId="1937" priority="364" operator="containsText" text="fnd">
      <formula>NOT(ISERROR(SEARCH("fnd",H110)))</formula>
    </cfRule>
  </conditionalFormatting>
  <conditionalFormatting sqref="H118:I118">
    <cfRule type="containsText" dxfId="1936" priority="1455" operator="containsText" text="Str">
      <formula>NOT(ISERROR(SEARCH("Str",H118)))</formula>
    </cfRule>
    <cfRule type="containsText" dxfId="1935" priority="1456" operator="containsText" text="Ere">
      <formula>NOT(ISERROR(SEARCH("Ere",H118)))</formula>
    </cfRule>
    <cfRule type="containsText" dxfId="1934" priority="1457" operator="containsText" text="Ear">
      <formula>NOT(ISERROR(SEARCH("Ear",H118)))</formula>
    </cfRule>
    <cfRule type="containsText" dxfId="1933" priority="1458" operator="containsText" text="fnd">
      <formula>NOT(ISERROR(SEARCH("fnd",H118)))</formula>
    </cfRule>
  </conditionalFormatting>
  <conditionalFormatting sqref="H126:I126">
    <cfRule type="containsText" dxfId="1932" priority="651" operator="containsText" text="Str">
      <formula>NOT(ISERROR(SEARCH("Str",H126)))</formula>
    </cfRule>
    <cfRule type="containsText" dxfId="1931" priority="652" operator="containsText" text="Ere">
      <formula>NOT(ISERROR(SEARCH("Ere",H126)))</formula>
    </cfRule>
    <cfRule type="containsText" dxfId="1930" priority="653" operator="containsText" text="Ear">
      <formula>NOT(ISERROR(SEARCH("Ear",H126)))</formula>
    </cfRule>
    <cfRule type="containsText" dxfId="1929" priority="654" operator="containsText" text="fnd">
      <formula>NOT(ISERROR(SEARCH("fnd",H126)))</formula>
    </cfRule>
  </conditionalFormatting>
  <conditionalFormatting sqref="H134:I134">
    <cfRule type="containsText" dxfId="1928" priority="69" operator="containsText" text="Str">
      <formula>NOT(ISERROR(SEARCH("Str",H134)))</formula>
    </cfRule>
    <cfRule type="containsText" dxfId="1927" priority="70" operator="containsText" text="Ere">
      <formula>NOT(ISERROR(SEARCH("Ere",H134)))</formula>
    </cfRule>
    <cfRule type="containsText" dxfId="1926" priority="71" operator="containsText" text="Ear">
      <formula>NOT(ISERROR(SEARCH("Ear",H134)))</formula>
    </cfRule>
    <cfRule type="containsText" dxfId="1925" priority="72" operator="containsText" text="fnd">
      <formula>NOT(ISERROR(SEARCH("fnd",H134)))</formula>
    </cfRule>
  </conditionalFormatting>
  <conditionalFormatting sqref="H142:I142">
    <cfRule type="containsText" dxfId="1924" priority="1315" operator="containsText" text="Str">
      <formula>NOT(ISERROR(SEARCH("Str",H142)))</formula>
    </cfRule>
    <cfRule type="containsText" dxfId="1923" priority="1316" operator="containsText" text="Ere">
      <formula>NOT(ISERROR(SEARCH("Ere",H142)))</formula>
    </cfRule>
    <cfRule type="containsText" dxfId="1922" priority="1317" operator="containsText" text="Ear">
      <formula>NOT(ISERROR(SEARCH("Ear",H142)))</formula>
    </cfRule>
    <cfRule type="containsText" dxfId="1921" priority="1318" operator="containsText" text="fnd">
      <formula>NOT(ISERROR(SEARCH("fnd",H142)))</formula>
    </cfRule>
  </conditionalFormatting>
  <conditionalFormatting sqref="H150:I150">
    <cfRule type="containsText" dxfId="1920" priority="1227" operator="containsText" text="Str">
      <formula>NOT(ISERROR(SEARCH("Str",H150)))</formula>
    </cfRule>
    <cfRule type="containsText" dxfId="1919" priority="1228" operator="containsText" text="Ere">
      <formula>NOT(ISERROR(SEARCH("Ere",H150)))</formula>
    </cfRule>
    <cfRule type="containsText" dxfId="1918" priority="1229" operator="containsText" text="Ear">
      <formula>NOT(ISERROR(SEARCH("Ear",H150)))</formula>
    </cfRule>
    <cfRule type="containsText" dxfId="1917" priority="1230" operator="containsText" text="fnd">
      <formula>NOT(ISERROR(SEARCH("fnd",H150)))</formula>
    </cfRule>
  </conditionalFormatting>
  <conditionalFormatting sqref="H158:I158">
    <cfRule type="containsText" dxfId="1916" priority="1171" operator="containsText" text="Str">
      <formula>NOT(ISERROR(SEARCH("Str",H158)))</formula>
    </cfRule>
    <cfRule type="containsText" dxfId="1915" priority="1172" operator="containsText" text="Ere">
      <formula>NOT(ISERROR(SEARCH("Ere",H158)))</formula>
    </cfRule>
    <cfRule type="containsText" dxfId="1914" priority="1173" operator="containsText" text="Ear">
      <formula>NOT(ISERROR(SEARCH("Ear",H158)))</formula>
    </cfRule>
    <cfRule type="containsText" dxfId="1913" priority="1174" operator="containsText" text="fnd">
      <formula>NOT(ISERROR(SEARCH("fnd",H158)))</formula>
    </cfRule>
  </conditionalFormatting>
  <conditionalFormatting sqref="H166:I166">
    <cfRule type="containsText" dxfId="1912" priority="623" operator="containsText" text="Str">
      <formula>NOT(ISERROR(SEARCH("Str",H166)))</formula>
    </cfRule>
    <cfRule type="containsText" dxfId="1911" priority="624" operator="containsText" text="Ere">
      <formula>NOT(ISERROR(SEARCH("Ere",H166)))</formula>
    </cfRule>
    <cfRule type="containsText" dxfId="1910" priority="625" operator="containsText" text="Ear">
      <formula>NOT(ISERROR(SEARCH("Ear",H166)))</formula>
    </cfRule>
    <cfRule type="containsText" dxfId="1909" priority="626" operator="containsText" text="fnd">
      <formula>NOT(ISERROR(SEARCH("fnd",H166)))</formula>
    </cfRule>
  </conditionalFormatting>
  <conditionalFormatting sqref="H182:I182">
    <cfRule type="containsText" dxfId="1908" priority="165" operator="containsText" text="Str">
      <formula>NOT(ISERROR(SEARCH("Str",H182)))</formula>
    </cfRule>
    <cfRule type="containsText" dxfId="1907" priority="166" operator="containsText" text="Ere">
      <formula>NOT(ISERROR(SEARCH("Ere",H182)))</formula>
    </cfRule>
    <cfRule type="containsText" dxfId="1906" priority="167" operator="containsText" text="Ear">
      <formula>NOT(ISERROR(SEARCH("Ear",H182)))</formula>
    </cfRule>
    <cfRule type="containsText" dxfId="1905" priority="168" operator="containsText" text="fnd">
      <formula>NOT(ISERROR(SEARCH("fnd",H182)))</formula>
    </cfRule>
  </conditionalFormatting>
  <conditionalFormatting sqref="I6">
    <cfRule type="containsText" dxfId="1904" priority="245" operator="containsText" text="Str">
      <formula>NOT(ISERROR(SEARCH("Str",I6)))</formula>
    </cfRule>
    <cfRule type="containsText" dxfId="1903" priority="246" operator="containsText" text="Ere">
      <formula>NOT(ISERROR(SEARCH("Ere",I6)))</formula>
    </cfRule>
    <cfRule type="containsText" dxfId="1902" priority="247" operator="containsText" text="Ear">
      <formula>NOT(ISERROR(SEARCH("Ear",I6)))</formula>
    </cfRule>
    <cfRule type="containsText" dxfId="1901" priority="248" operator="containsText" text="fnd">
      <formula>NOT(ISERROR(SEARCH("fnd",I6)))</formula>
    </cfRule>
  </conditionalFormatting>
  <conditionalFormatting sqref="I14">
    <cfRule type="containsText" dxfId="1900" priority="1675" operator="containsText" text="Str">
      <formula>NOT(ISERROR(SEARCH("Str",I14)))</formula>
    </cfRule>
    <cfRule type="containsText" dxfId="1899" priority="1676" operator="containsText" text="Ere">
      <formula>NOT(ISERROR(SEARCH("Ere",I14)))</formula>
    </cfRule>
    <cfRule type="containsText" dxfId="1898" priority="1677" operator="containsText" text="Ear">
      <formula>NOT(ISERROR(SEARCH("Ear",I14)))</formula>
    </cfRule>
    <cfRule type="containsText" dxfId="1897" priority="1678" operator="containsText" text="fnd">
      <formula>NOT(ISERROR(SEARCH("fnd",I14)))</formula>
    </cfRule>
  </conditionalFormatting>
  <conditionalFormatting sqref="I22">
    <cfRule type="containsText" dxfId="1896" priority="1895" operator="containsText" text="Str">
      <formula>NOT(ISERROR(SEARCH("Str",I22)))</formula>
    </cfRule>
    <cfRule type="containsText" dxfId="1895" priority="1896" operator="containsText" text="Ere">
      <formula>NOT(ISERROR(SEARCH("Ere",I22)))</formula>
    </cfRule>
    <cfRule type="containsText" dxfId="1894" priority="1897" operator="containsText" text="Ear">
      <formula>NOT(ISERROR(SEARCH("Ear",I22)))</formula>
    </cfRule>
    <cfRule type="containsText" dxfId="1893" priority="1898" operator="containsText" text="fnd">
      <formula>NOT(ISERROR(SEARCH("fnd",I22)))</formula>
    </cfRule>
  </conditionalFormatting>
  <conditionalFormatting sqref="I38">
    <cfRule type="containsText" dxfId="1892" priority="915" operator="containsText" text="Str">
      <formula>NOT(ISERROR(SEARCH("Str",I38)))</formula>
    </cfRule>
    <cfRule type="containsText" dxfId="1891" priority="916" operator="containsText" text="Ere">
      <formula>NOT(ISERROR(SEARCH("Ere",I38)))</formula>
    </cfRule>
    <cfRule type="containsText" dxfId="1890" priority="917" operator="containsText" text="Ear">
      <formula>NOT(ISERROR(SEARCH("Ear",I38)))</formula>
    </cfRule>
    <cfRule type="containsText" dxfId="1889" priority="918" operator="containsText" text="fnd">
      <formula>NOT(ISERROR(SEARCH("fnd",I38)))</formula>
    </cfRule>
  </conditionalFormatting>
  <conditionalFormatting sqref="I54">
    <cfRule type="containsText" dxfId="1888" priority="2103" operator="containsText" text="Str">
      <formula>NOT(ISERROR(SEARCH("Str",I54)))</formula>
    </cfRule>
    <cfRule type="containsText" dxfId="1887" priority="2104" operator="containsText" text="Ere">
      <formula>NOT(ISERROR(SEARCH("Ere",I54)))</formula>
    </cfRule>
    <cfRule type="containsText" dxfId="1886" priority="2105" operator="containsText" text="Ear">
      <formula>NOT(ISERROR(SEARCH("Ear",I54)))</formula>
    </cfRule>
    <cfRule type="containsText" dxfId="1885" priority="2106" operator="containsText" text="fnd">
      <formula>NOT(ISERROR(SEARCH("fnd",I54)))</formula>
    </cfRule>
  </conditionalFormatting>
  <conditionalFormatting sqref="I78">
    <cfRule type="containsText" dxfId="1884" priority="1967" operator="containsText" text="Str">
      <formula>NOT(ISERROR(SEARCH("Str",I78)))</formula>
    </cfRule>
    <cfRule type="containsText" dxfId="1883" priority="1968" operator="containsText" text="Ere">
      <formula>NOT(ISERROR(SEARCH("Ere",I78)))</formula>
    </cfRule>
    <cfRule type="containsText" dxfId="1882" priority="1969" operator="containsText" text="Ear">
      <formula>NOT(ISERROR(SEARCH("Ear",I78)))</formula>
    </cfRule>
    <cfRule type="containsText" dxfId="1881" priority="1970" operator="containsText" text="fnd">
      <formula>NOT(ISERROR(SEARCH("fnd",I78)))</formula>
    </cfRule>
  </conditionalFormatting>
  <conditionalFormatting sqref="I216:I217">
    <cfRule type="containsText" dxfId="1880" priority="33" operator="containsText" text="Str">
      <formula>NOT(ISERROR(SEARCH("Str",I216)))</formula>
    </cfRule>
    <cfRule type="containsText" dxfId="1879" priority="34" operator="containsText" text="Ere">
      <formula>NOT(ISERROR(SEARCH("Ere",I216)))</formula>
    </cfRule>
    <cfRule type="containsText" dxfId="1878" priority="35" operator="containsText" text="Ear">
      <formula>NOT(ISERROR(SEARCH("Ear",I216)))</formula>
    </cfRule>
    <cfRule type="containsText" dxfId="1877" priority="36" operator="containsText" text="fnd">
      <formula>NOT(ISERROR(SEARCH("fnd",I216)))</formula>
    </cfRule>
  </conditionalFormatting>
  <conditionalFormatting sqref="J217:N217">
    <cfRule type="containsText" dxfId="1876" priority="29" operator="containsText" text="Str">
      <formula>NOT(ISERROR(SEARCH("Str",J217)))</formula>
    </cfRule>
    <cfRule type="containsText" dxfId="1875" priority="30" operator="containsText" text="Ere">
      <formula>NOT(ISERROR(SEARCH("Ere",J217)))</formula>
    </cfRule>
    <cfRule type="containsText" dxfId="1874" priority="31" operator="containsText" text="Ear">
      <formula>NOT(ISERROR(SEARCH("Ear",J217)))</formula>
    </cfRule>
    <cfRule type="containsText" dxfId="1873" priority="32" operator="containsText" text="fnd">
      <formula>NOT(ISERROR(SEARCH("fnd",J217)))</formula>
    </cfRule>
  </conditionalFormatting>
  <conditionalFormatting sqref="K5:K6">
    <cfRule type="containsText" dxfId="1872" priority="241" operator="containsText" text="Str">
      <formula>NOT(ISERROR(SEARCH("Str",K5)))</formula>
    </cfRule>
    <cfRule type="containsText" dxfId="1871" priority="242" operator="containsText" text="Ere">
      <formula>NOT(ISERROR(SEARCH("Ere",K5)))</formula>
    </cfRule>
    <cfRule type="containsText" dxfId="1870" priority="243" operator="containsText" text="Ear">
      <formula>NOT(ISERROR(SEARCH("Ear",K5)))</formula>
    </cfRule>
    <cfRule type="containsText" dxfId="1869" priority="244" operator="containsText" text="fnd">
      <formula>NOT(ISERROR(SEARCH("fnd",K5)))</formula>
    </cfRule>
  </conditionalFormatting>
  <conditionalFormatting sqref="K13:K14">
    <cfRule type="containsText" dxfId="1868" priority="1723" operator="containsText" text="Str">
      <formula>NOT(ISERROR(SEARCH("Str",K13)))</formula>
    </cfRule>
    <cfRule type="containsText" dxfId="1867" priority="1724" operator="containsText" text="Ere">
      <formula>NOT(ISERROR(SEARCH("Ere",K13)))</formula>
    </cfRule>
    <cfRule type="containsText" dxfId="1866" priority="1725" operator="containsText" text="Ear">
      <formula>NOT(ISERROR(SEARCH("Ear",K13)))</formula>
    </cfRule>
    <cfRule type="containsText" dxfId="1865" priority="1726" operator="containsText" text="fnd">
      <formula>NOT(ISERROR(SEARCH("fnd",K13)))</formula>
    </cfRule>
  </conditionalFormatting>
  <conditionalFormatting sqref="K21:K22">
    <cfRule type="containsText" dxfId="1864" priority="1863" operator="containsText" text="Str">
      <formula>NOT(ISERROR(SEARCH("Str",K21)))</formula>
    </cfRule>
    <cfRule type="containsText" dxfId="1863" priority="1864" operator="containsText" text="Ere">
      <formula>NOT(ISERROR(SEARCH("Ere",K21)))</formula>
    </cfRule>
    <cfRule type="containsText" dxfId="1862" priority="1865" operator="containsText" text="Ear">
      <formula>NOT(ISERROR(SEARCH("Ear",K21)))</formula>
    </cfRule>
    <cfRule type="containsText" dxfId="1861" priority="1866" operator="containsText" text="fnd">
      <formula>NOT(ISERROR(SEARCH("fnd",K21)))</formula>
    </cfRule>
  </conditionalFormatting>
  <conditionalFormatting sqref="K29">
    <cfRule type="containsText" dxfId="1860" priority="1559" operator="containsText" text="Str">
      <formula>NOT(ISERROR(SEARCH("Str",K29)))</formula>
    </cfRule>
    <cfRule type="containsText" dxfId="1859" priority="1560" operator="containsText" text="Ere">
      <formula>NOT(ISERROR(SEARCH("Ere",K29)))</formula>
    </cfRule>
    <cfRule type="containsText" dxfId="1858" priority="1561" operator="containsText" text="Ear">
      <formula>NOT(ISERROR(SEARCH("Ear",K29)))</formula>
    </cfRule>
    <cfRule type="containsText" dxfId="1857" priority="1562" operator="containsText" text="fnd">
      <formula>NOT(ISERROR(SEARCH("fnd",K29)))</formula>
    </cfRule>
  </conditionalFormatting>
  <conditionalFormatting sqref="K37:K38">
    <cfRule type="containsText" dxfId="1856" priority="911" operator="containsText" text="Str">
      <formula>NOT(ISERROR(SEARCH("Str",K37)))</formula>
    </cfRule>
    <cfRule type="containsText" dxfId="1855" priority="912" operator="containsText" text="Ere">
      <formula>NOT(ISERROR(SEARCH("Ere",K37)))</formula>
    </cfRule>
    <cfRule type="containsText" dxfId="1854" priority="913" operator="containsText" text="Ear">
      <formula>NOT(ISERROR(SEARCH("Ear",K37)))</formula>
    </cfRule>
    <cfRule type="containsText" dxfId="1853" priority="914" operator="containsText" text="fnd">
      <formula>NOT(ISERROR(SEARCH("fnd",K37)))</formula>
    </cfRule>
  </conditionalFormatting>
  <conditionalFormatting sqref="K45:K46">
    <cfRule type="containsText" dxfId="1852" priority="2107" operator="containsText" text="Str">
      <formula>NOT(ISERROR(SEARCH("Str",K45)))</formula>
    </cfRule>
    <cfRule type="containsText" dxfId="1851" priority="2108" operator="containsText" text="Ere">
      <formula>NOT(ISERROR(SEARCH("Ere",K45)))</formula>
    </cfRule>
    <cfRule type="containsText" dxfId="1850" priority="2109" operator="containsText" text="Ear">
      <formula>NOT(ISERROR(SEARCH("Ear",K45)))</formula>
    </cfRule>
    <cfRule type="containsText" dxfId="1849" priority="2110" operator="containsText" text="fnd">
      <formula>NOT(ISERROR(SEARCH("fnd",K45)))</formula>
    </cfRule>
  </conditionalFormatting>
  <conditionalFormatting sqref="K61">
    <cfRule type="containsText" dxfId="1848" priority="1819" operator="containsText" text="Str">
      <formula>NOT(ISERROR(SEARCH("Str",K61)))</formula>
    </cfRule>
    <cfRule type="containsText" dxfId="1847" priority="1820" operator="containsText" text="Ere">
      <formula>NOT(ISERROR(SEARCH("Ere",K61)))</formula>
    </cfRule>
    <cfRule type="containsText" dxfId="1846" priority="1821" operator="containsText" text="Ear">
      <formula>NOT(ISERROR(SEARCH("Ear",K61)))</formula>
    </cfRule>
    <cfRule type="containsText" dxfId="1845" priority="1822" operator="containsText" text="fnd">
      <formula>NOT(ISERROR(SEARCH("fnd",K61)))</formula>
    </cfRule>
  </conditionalFormatting>
  <conditionalFormatting sqref="K77 AF77:AF78">
    <cfRule type="containsText" dxfId="1844" priority="2307" operator="containsText" text="Str">
      <formula>NOT(ISERROR(SEARCH("Str",K77)))</formula>
    </cfRule>
    <cfRule type="containsText" dxfId="1843" priority="2308" operator="containsText" text="Ere">
      <formula>NOT(ISERROR(SEARCH("Ere",K77)))</formula>
    </cfRule>
    <cfRule type="containsText" dxfId="1842" priority="2309" operator="containsText" text="Ear">
      <formula>NOT(ISERROR(SEARCH("Ear",K77)))</formula>
    </cfRule>
    <cfRule type="containsText" dxfId="1841" priority="2310" operator="containsText" text="fnd">
      <formula>NOT(ISERROR(SEARCH("fnd",K77)))</formula>
    </cfRule>
  </conditionalFormatting>
  <conditionalFormatting sqref="K85 N85">
    <cfRule type="containsText" dxfId="1840" priority="2299" operator="containsText" text="Str">
      <formula>NOT(ISERROR(SEARCH("Str",K85)))</formula>
    </cfRule>
    <cfRule type="containsText" dxfId="1839" priority="2300" operator="containsText" text="Ere">
      <formula>NOT(ISERROR(SEARCH("Ere",K85)))</formula>
    </cfRule>
    <cfRule type="containsText" dxfId="1838" priority="2301" operator="containsText" text="Ear">
      <formula>NOT(ISERROR(SEARCH("Ear",K85)))</formula>
    </cfRule>
    <cfRule type="containsText" dxfId="1837" priority="2302" operator="containsText" text="fnd">
      <formula>NOT(ISERROR(SEARCH("fnd",K85)))</formula>
    </cfRule>
  </conditionalFormatting>
  <conditionalFormatting sqref="K93">
    <cfRule type="containsText" dxfId="1836" priority="2263" operator="containsText" text="Str">
      <formula>NOT(ISERROR(SEARCH("Str",K93)))</formula>
    </cfRule>
    <cfRule type="containsText" dxfId="1835" priority="2264" operator="containsText" text="Ere">
      <formula>NOT(ISERROR(SEARCH("Ere",K93)))</formula>
    </cfRule>
    <cfRule type="containsText" dxfId="1834" priority="2265" operator="containsText" text="Ear">
      <formula>NOT(ISERROR(SEARCH("Ear",K93)))</formula>
    </cfRule>
    <cfRule type="containsText" dxfId="1833" priority="2266" operator="containsText" text="fnd">
      <formula>NOT(ISERROR(SEARCH("fnd",K93)))</formula>
    </cfRule>
  </conditionalFormatting>
  <conditionalFormatting sqref="K101">
    <cfRule type="containsText" dxfId="1832" priority="1499" operator="containsText" text="Str">
      <formula>NOT(ISERROR(SEARCH("Str",K101)))</formula>
    </cfRule>
    <cfRule type="containsText" dxfId="1831" priority="1500" operator="containsText" text="Ere">
      <formula>NOT(ISERROR(SEARCH("Ere",K101)))</formula>
    </cfRule>
    <cfRule type="containsText" dxfId="1830" priority="1501" operator="containsText" text="Ear">
      <formula>NOT(ISERROR(SEARCH("Ear",K101)))</formula>
    </cfRule>
    <cfRule type="containsText" dxfId="1829" priority="1502" operator="containsText" text="fnd">
      <formula>NOT(ISERROR(SEARCH("fnd",K101)))</formula>
    </cfRule>
  </conditionalFormatting>
  <conditionalFormatting sqref="K109">
    <cfRule type="containsText" dxfId="1828" priority="1843" operator="containsText" text="Str">
      <formula>NOT(ISERROR(SEARCH("Str",K109)))</formula>
    </cfRule>
    <cfRule type="containsText" dxfId="1827" priority="1844" operator="containsText" text="Ere">
      <formula>NOT(ISERROR(SEARCH("Ere",K109)))</formula>
    </cfRule>
    <cfRule type="containsText" dxfId="1826" priority="1845" operator="containsText" text="Ear">
      <formula>NOT(ISERROR(SEARCH("Ear",K109)))</formula>
    </cfRule>
    <cfRule type="containsText" dxfId="1825" priority="1846" operator="containsText" text="fnd">
      <formula>NOT(ISERROR(SEARCH("fnd",K109)))</formula>
    </cfRule>
  </conditionalFormatting>
  <conditionalFormatting sqref="K117">
    <cfRule type="containsText" dxfId="1824" priority="1443" operator="containsText" text="Str">
      <formula>NOT(ISERROR(SEARCH("Str",K117)))</formula>
    </cfRule>
    <cfRule type="containsText" dxfId="1823" priority="1444" operator="containsText" text="Ere">
      <formula>NOT(ISERROR(SEARCH("Ere",K117)))</formula>
    </cfRule>
    <cfRule type="containsText" dxfId="1822" priority="1445" operator="containsText" text="Ear">
      <formula>NOT(ISERROR(SEARCH("Ear",K117)))</formula>
    </cfRule>
    <cfRule type="containsText" dxfId="1821" priority="1446" operator="containsText" text="fnd">
      <formula>NOT(ISERROR(SEARCH("fnd",K117)))</formula>
    </cfRule>
  </conditionalFormatting>
  <conditionalFormatting sqref="K122 K130 K138 K162 K170 K178">
    <cfRule type="containsText" dxfId="1820" priority="2071" operator="containsText" text="Str">
      <formula>NOT(ISERROR(SEARCH("Str",K122)))</formula>
    </cfRule>
    <cfRule type="containsText" dxfId="1819" priority="2072" operator="containsText" text="Ere">
      <formula>NOT(ISERROR(SEARCH("Ere",K122)))</formula>
    </cfRule>
    <cfRule type="containsText" dxfId="1818" priority="2073" operator="containsText" text="Ear">
      <formula>NOT(ISERROR(SEARCH("Ear",K122)))</formula>
    </cfRule>
    <cfRule type="containsText" dxfId="1817" priority="2074" operator="containsText" text="fnd">
      <formula>NOT(ISERROR(SEARCH("fnd",K122)))</formula>
    </cfRule>
  </conditionalFormatting>
  <conditionalFormatting sqref="K125">
    <cfRule type="containsText" dxfId="1816" priority="723" operator="containsText" text="Str">
      <formula>NOT(ISERROR(SEARCH("Str",K125)))</formula>
    </cfRule>
    <cfRule type="containsText" dxfId="1815" priority="724" operator="containsText" text="Ere">
      <formula>NOT(ISERROR(SEARCH("Ere",K125)))</formula>
    </cfRule>
    <cfRule type="containsText" dxfId="1814" priority="725" operator="containsText" text="Ear">
      <formula>NOT(ISERROR(SEARCH("Ear",K125)))</formula>
    </cfRule>
    <cfRule type="containsText" dxfId="1813" priority="726" operator="containsText" text="fnd">
      <formula>NOT(ISERROR(SEARCH("fnd",K125)))</formula>
    </cfRule>
  </conditionalFormatting>
  <conditionalFormatting sqref="K133">
    <cfRule type="containsText" dxfId="1812" priority="61" operator="containsText" text="Ear">
      <formula>NOT(ISERROR(SEARCH("Ear",K133)))</formula>
    </cfRule>
    <cfRule type="containsText" dxfId="1811" priority="61" operator="containsText" text="Str">
      <formula>NOT(ISERROR(SEARCH("Str",K133)))</formula>
    </cfRule>
    <cfRule type="containsText" dxfId="1810" priority="61" operator="containsText" text="fnd">
      <formula>NOT(ISERROR(SEARCH("fnd",K133)))</formula>
    </cfRule>
    <cfRule type="containsText" dxfId="1809" priority="61" operator="containsText" text="Ere">
      <formula>NOT(ISERROR(SEARCH("Ere",K133)))</formula>
    </cfRule>
  </conditionalFormatting>
  <conditionalFormatting sqref="K141">
    <cfRule type="containsText" dxfId="1808" priority="1303" operator="containsText" text="Str">
      <formula>NOT(ISERROR(SEARCH("Str",K141)))</formula>
    </cfRule>
    <cfRule type="containsText" dxfId="1807" priority="1304" operator="containsText" text="Ere">
      <formula>NOT(ISERROR(SEARCH("Ere",K141)))</formula>
    </cfRule>
    <cfRule type="containsText" dxfId="1806" priority="1305" operator="containsText" text="Ear">
      <formula>NOT(ISERROR(SEARCH("Ear",K141)))</formula>
    </cfRule>
    <cfRule type="containsText" dxfId="1805" priority="1306" operator="containsText" text="fnd">
      <formula>NOT(ISERROR(SEARCH("fnd",K141)))</formula>
    </cfRule>
  </conditionalFormatting>
  <conditionalFormatting sqref="K149">
    <cfRule type="containsText" dxfId="1804" priority="1215" operator="containsText" text="Str">
      <formula>NOT(ISERROR(SEARCH("Str",K149)))</formula>
    </cfRule>
    <cfRule type="containsText" dxfId="1803" priority="1216" operator="containsText" text="Ere">
      <formula>NOT(ISERROR(SEARCH("Ere",K149)))</formula>
    </cfRule>
    <cfRule type="containsText" dxfId="1802" priority="1217" operator="containsText" text="Ear">
      <formula>NOT(ISERROR(SEARCH("Ear",K149)))</formula>
    </cfRule>
    <cfRule type="containsText" dxfId="1801" priority="1218" operator="containsText" text="fnd">
      <formula>NOT(ISERROR(SEARCH("fnd",K149)))</formula>
    </cfRule>
  </conditionalFormatting>
  <conditionalFormatting sqref="K157">
    <cfRule type="containsText" dxfId="1800" priority="1159" operator="containsText" text="Str">
      <formula>NOT(ISERROR(SEARCH("Str",K157)))</formula>
    </cfRule>
    <cfRule type="containsText" dxfId="1799" priority="1160" operator="containsText" text="Ere">
      <formula>NOT(ISERROR(SEARCH("Ere",K157)))</formula>
    </cfRule>
    <cfRule type="containsText" dxfId="1798" priority="1161" operator="containsText" text="Ear">
      <formula>NOT(ISERROR(SEARCH("Ear",K157)))</formula>
    </cfRule>
    <cfRule type="containsText" dxfId="1797" priority="1162" operator="containsText" text="fnd">
      <formula>NOT(ISERROR(SEARCH("fnd",K157)))</formula>
    </cfRule>
  </conditionalFormatting>
  <conditionalFormatting sqref="K165">
    <cfRule type="containsText" dxfId="1796" priority="385" operator="containsText" text="Str">
      <formula>NOT(ISERROR(SEARCH("Str",K165)))</formula>
    </cfRule>
    <cfRule type="containsText" dxfId="1795" priority="386" operator="containsText" text="Ere">
      <formula>NOT(ISERROR(SEARCH("Ere",K165)))</formula>
    </cfRule>
    <cfRule type="containsText" dxfId="1794" priority="387" operator="containsText" text="Ear">
      <formula>NOT(ISERROR(SEARCH("Ear",K165)))</formula>
    </cfRule>
    <cfRule type="containsText" dxfId="1793" priority="388" operator="containsText" text="fnd">
      <formula>NOT(ISERROR(SEARCH("fnd",K165)))</formula>
    </cfRule>
  </conditionalFormatting>
  <conditionalFormatting sqref="K173">
    <cfRule type="containsText" dxfId="1792" priority="557" operator="containsText" text="Str">
      <formula>NOT(ISERROR(SEARCH("Str",K173)))</formula>
    </cfRule>
    <cfRule type="containsText" dxfId="1791" priority="558" operator="containsText" text="Ere">
      <formula>NOT(ISERROR(SEARCH("Ere",K173)))</formula>
    </cfRule>
    <cfRule type="containsText" dxfId="1790" priority="559" operator="containsText" text="Ear">
      <formula>NOT(ISERROR(SEARCH("Ear",K173)))</formula>
    </cfRule>
    <cfRule type="containsText" dxfId="1789" priority="560" operator="containsText" text="fnd">
      <formula>NOT(ISERROR(SEARCH("fnd",K173)))</formula>
    </cfRule>
  </conditionalFormatting>
  <conditionalFormatting sqref="K181">
    <cfRule type="containsText" dxfId="1788" priority="153" operator="containsText" text="Str">
      <formula>NOT(ISERROR(SEARCH("Str",K181)))</formula>
    </cfRule>
    <cfRule type="containsText" dxfId="1787" priority="154" operator="containsText" text="Ere">
      <formula>NOT(ISERROR(SEARCH("Ere",K181)))</formula>
    </cfRule>
    <cfRule type="containsText" dxfId="1786" priority="155" operator="containsText" text="Ear">
      <formula>NOT(ISERROR(SEARCH("Ear",K181)))</formula>
    </cfRule>
    <cfRule type="containsText" dxfId="1785" priority="156" operator="containsText" text="fnd">
      <formula>NOT(ISERROR(SEARCH("fnd",K181)))</formula>
    </cfRule>
  </conditionalFormatting>
  <conditionalFormatting sqref="K207:K208">
    <cfRule type="containsText" dxfId="1784" priority="2151" operator="containsText" text="Str">
      <formula>NOT(ISERROR(SEARCH("Str",K207)))</formula>
    </cfRule>
    <cfRule type="containsText" dxfId="1783" priority="2152" operator="containsText" text="Ere">
      <formula>NOT(ISERROR(SEARCH("Ere",K207)))</formula>
    </cfRule>
    <cfRule type="containsText" dxfId="1782" priority="2153" operator="containsText" text="Ear">
      <formula>NOT(ISERROR(SEARCH("Ear",K207)))</formula>
    </cfRule>
    <cfRule type="containsText" dxfId="1781" priority="2154" operator="containsText" text="fnd">
      <formula>NOT(ISERROR(SEARCH("fnd",K207)))</formula>
    </cfRule>
  </conditionalFormatting>
  <conditionalFormatting sqref="K30:L30">
    <cfRule type="containsText" dxfId="1780" priority="1563" operator="containsText" text="Str">
      <formula>NOT(ISERROR(SEARCH("Str",K30)))</formula>
    </cfRule>
    <cfRule type="containsText" dxfId="1779" priority="1564" operator="containsText" text="Ere">
      <formula>NOT(ISERROR(SEARCH("Ere",K30)))</formula>
    </cfRule>
    <cfRule type="containsText" dxfId="1778" priority="1565" operator="containsText" text="Ear">
      <formula>NOT(ISERROR(SEARCH("Ear",K30)))</formula>
    </cfRule>
    <cfRule type="containsText" dxfId="1777" priority="1566" operator="containsText" text="fnd">
      <formula>NOT(ISERROR(SEARCH("fnd",K30)))</formula>
    </cfRule>
  </conditionalFormatting>
  <conditionalFormatting sqref="K54:L54">
    <cfRule type="containsText" dxfId="1776" priority="2355" operator="containsText" text="Str">
      <formula>NOT(ISERROR(SEARCH("Str",K54)))</formula>
    </cfRule>
    <cfRule type="containsText" dxfId="1775" priority="2356" operator="containsText" text="Ere">
      <formula>NOT(ISERROR(SEARCH("Ere",K54)))</formula>
    </cfRule>
    <cfRule type="containsText" dxfId="1774" priority="2357" operator="containsText" text="Ear">
      <formula>NOT(ISERROR(SEARCH("Ear",K54)))</formula>
    </cfRule>
    <cfRule type="containsText" dxfId="1773" priority="2358" operator="containsText" text="fnd">
      <formula>NOT(ISERROR(SEARCH("fnd",K54)))</formula>
    </cfRule>
  </conditionalFormatting>
  <conditionalFormatting sqref="K62:L62">
    <cfRule type="containsText" dxfId="1772" priority="1823" operator="containsText" text="Str">
      <formula>NOT(ISERROR(SEARCH("Str",K62)))</formula>
    </cfRule>
    <cfRule type="containsText" dxfId="1771" priority="1824" operator="containsText" text="Ere">
      <formula>NOT(ISERROR(SEARCH("Ere",K62)))</formula>
    </cfRule>
    <cfRule type="containsText" dxfId="1770" priority="1825" operator="containsText" text="Ear">
      <formula>NOT(ISERROR(SEARCH("Ear",K62)))</formula>
    </cfRule>
    <cfRule type="containsText" dxfId="1769" priority="1826" operator="containsText" text="fnd">
      <formula>NOT(ISERROR(SEARCH("fnd",K62)))</formula>
    </cfRule>
  </conditionalFormatting>
  <conditionalFormatting sqref="K78:L78">
    <cfRule type="containsText" dxfId="1768" priority="2315" operator="containsText" text="Str">
      <formula>NOT(ISERROR(SEARCH("Str",K78)))</formula>
    </cfRule>
    <cfRule type="containsText" dxfId="1767" priority="2316" operator="containsText" text="Ere">
      <formula>NOT(ISERROR(SEARCH("Ere",K78)))</formula>
    </cfRule>
    <cfRule type="containsText" dxfId="1766" priority="2317" operator="containsText" text="Ear">
      <formula>NOT(ISERROR(SEARCH("Ear",K78)))</formula>
    </cfRule>
    <cfRule type="containsText" dxfId="1765" priority="2318" operator="containsText" text="fnd">
      <formula>NOT(ISERROR(SEARCH("fnd",K78)))</formula>
    </cfRule>
  </conditionalFormatting>
  <conditionalFormatting sqref="K94:L94">
    <cfRule type="containsText" dxfId="1764" priority="2279" operator="containsText" text="Str">
      <formula>NOT(ISERROR(SEARCH("Str",K94)))</formula>
    </cfRule>
    <cfRule type="containsText" dxfId="1763" priority="2280" operator="containsText" text="Ere">
      <formula>NOT(ISERROR(SEARCH("Ere",K94)))</formula>
    </cfRule>
    <cfRule type="containsText" dxfId="1762" priority="2281" operator="containsText" text="Ear">
      <formula>NOT(ISERROR(SEARCH("Ear",K94)))</formula>
    </cfRule>
    <cfRule type="containsText" dxfId="1761" priority="2282" operator="containsText" text="fnd">
      <formula>NOT(ISERROR(SEARCH("fnd",K94)))</formula>
    </cfRule>
  </conditionalFormatting>
  <conditionalFormatting sqref="K102:L102">
    <cfRule type="containsText" dxfId="1760" priority="1503" operator="containsText" text="Str">
      <formula>NOT(ISERROR(SEARCH("Str",K102)))</formula>
    </cfRule>
    <cfRule type="containsText" dxfId="1759" priority="1504" operator="containsText" text="Ere">
      <formula>NOT(ISERROR(SEARCH("Ere",K102)))</formula>
    </cfRule>
    <cfRule type="containsText" dxfId="1758" priority="1505" operator="containsText" text="Ear">
      <formula>NOT(ISERROR(SEARCH("Ear",K102)))</formula>
    </cfRule>
    <cfRule type="containsText" dxfId="1757" priority="1506" operator="containsText" text="fnd">
      <formula>NOT(ISERROR(SEARCH("fnd",K102)))</formula>
    </cfRule>
  </conditionalFormatting>
  <conditionalFormatting sqref="K110:L110">
    <cfRule type="containsText" dxfId="1756" priority="1847" operator="containsText" text="Str">
      <formula>NOT(ISERROR(SEARCH("Str",K110)))</formula>
    </cfRule>
    <cfRule type="containsText" dxfId="1755" priority="1848" operator="containsText" text="Ere">
      <formula>NOT(ISERROR(SEARCH("Ere",K110)))</formula>
    </cfRule>
    <cfRule type="containsText" dxfId="1754" priority="1849" operator="containsText" text="Ear">
      <formula>NOT(ISERROR(SEARCH("Ear",K110)))</formula>
    </cfRule>
    <cfRule type="containsText" dxfId="1753" priority="1850" operator="containsText" text="fnd">
      <formula>NOT(ISERROR(SEARCH("fnd",K110)))</formula>
    </cfRule>
  </conditionalFormatting>
  <conditionalFormatting sqref="K118:L118">
    <cfRule type="containsText" dxfId="1752" priority="1447" operator="containsText" text="Str">
      <formula>NOT(ISERROR(SEARCH("Str",K118)))</formula>
    </cfRule>
    <cfRule type="containsText" dxfId="1751" priority="1448" operator="containsText" text="Ere">
      <formula>NOT(ISERROR(SEARCH("Ere",K118)))</formula>
    </cfRule>
    <cfRule type="containsText" dxfId="1750" priority="1449" operator="containsText" text="Ear">
      <formula>NOT(ISERROR(SEARCH("Ear",K118)))</formula>
    </cfRule>
    <cfRule type="containsText" dxfId="1749" priority="1450" operator="containsText" text="fnd">
      <formula>NOT(ISERROR(SEARCH("fnd",K118)))</formula>
    </cfRule>
  </conditionalFormatting>
  <conditionalFormatting sqref="K126:L126">
    <cfRule type="containsText" dxfId="1748" priority="727" operator="containsText" text="Str">
      <formula>NOT(ISERROR(SEARCH("Str",K126)))</formula>
    </cfRule>
    <cfRule type="containsText" dxfId="1747" priority="728" operator="containsText" text="Ere">
      <formula>NOT(ISERROR(SEARCH("Ere",K126)))</formula>
    </cfRule>
    <cfRule type="containsText" dxfId="1746" priority="729" operator="containsText" text="Ear">
      <formula>NOT(ISERROR(SEARCH("Ear",K126)))</formula>
    </cfRule>
    <cfRule type="containsText" dxfId="1745" priority="730" operator="containsText" text="fnd">
      <formula>NOT(ISERROR(SEARCH("fnd",K126)))</formula>
    </cfRule>
  </conditionalFormatting>
  <conditionalFormatting sqref="K134:L134">
    <cfRule type="containsText" dxfId="1744" priority="62" operator="containsText" text="Ere">
      <formula>NOT(ISERROR(SEARCH("Ere",K134)))</formula>
    </cfRule>
    <cfRule type="containsText" dxfId="1743" priority="63" operator="containsText" text="Ear">
      <formula>NOT(ISERROR(SEARCH("Ear",K134)))</formula>
    </cfRule>
    <cfRule type="containsText" dxfId="1742" priority="64" operator="containsText" text="fnd">
      <formula>NOT(ISERROR(SEARCH("fnd",K134)))</formula>
    </cfRule>
    <cfRule type="containsText" dxfId="1741" priority="2379" operator="containsText" text="Str">
      <formula>NOT(ISERROR(SEARCH("Str",K134)))</formula>
    </cfRule>
  </conditionalFormatting>
  <conditionalFormatting sqref="K142:L142">
    <cfRule type="containsText" dxfId="1740" priority="1307" operator="containsText" text="Str">
      <formula>NOT(ISERROR(SEARCH("Str",K142)))</formula>
    </cfRule>
    <cfRule type="containsText" dxfId="1739" priority="1308" operator="containsText" text="Ere">
      <formula>NOT(ISERROR(SEARCH("Ere",K142)))</formula>
    </cfRule>
    <cfRule type="containsText" dxfId="1738" priority="1309" operator="containsText" text="Ear">
      <formula>NOT(ISERROR(SEARCH("Ear",K142)))</formula>
    </cfRule>
    <cfRule type="containsText" dxfId="1737" priority="1310" operator="containsText" text="fnd">
      <formula>NOT(ISERROR(SEARCH("fnd",K142)))</formula>
    </cfRule>
  </conditionalFormatting>
  <conditionalFormatting sqref="K150:L150">
    <cfRule type="containsText" dxfId="1736" priority="1219" operator="containsText" text="Str">
      <formula>NOT(ISERROR(SEARCH("Str",K150)))</formula>
    </cfRule>
    <cfRule type="containsText" dxfId="1735" priority="1220" operator="containsText" text="Ere">
      <formula>NOT(ISERROR(SEARCH("Ere",K150)))</formula>
    </cfRule>
    <cfRule type="containsText" dxfId="1734" priority="1221" operator="containsText" text="Ear">
      <formula>NOT(ISERROR(SEARCH("Ear",K150)))</formula>
    </cfRule>
    <cfRule type="containsText" dxfId="1733" priority="1222" operator="containsText" text="fnd">
      <formula>NOT(ISERROR(SEARCH("fnd",K150)))</formula>
    </cfRule>
  </conditionalFormatting>
  <conditionalFormatting sqref="K158:L158">
    <cfRule type="containsText" dxfId="1732" priority="1163" operator="containsText" text="Str">
      <formula>NOT(ISERROR(SEARCH("Str",K158)))</formula>
    </cfRule>
    <cfRule type="containsText" dxfId="1731" priority="1164" operator="containsText" text="Ere">
      <formula>NOT(ISERROR(SEARCH("Ere",K158)))</formula>
    </cfRule>
    <cfRule type="containsText" dxfId="1730" priority="1165" operator="containsText" text="Ear">
      <formula>NOT(ISERROR(SEARCH("Ear",K158)))</formula>
    </cfRule>
    <cfRule type="containsText" dxfId="1729" priority="1166" operator="containsText" text="fnd">
      <formula>NOT(ISERROR(SEARCH("fnd",K158)))</formula>
    </cfRule>
  </conditionalFormatting>
  <conditionalFormatting sqref="K166:L166">
    <cfRule type="containsText" dxfId="1728" priority="389" operator="containsText" text="Str">
      <formula>NOT(ISERROR(SEARCH("Str",K166)))</formula>
    </cfRule>
    <cfRule type="containsText" dxfId="1727" priority="390" operator="containsText" text="Ere">
      <formula>NOT(ISERROR(SEARCH("Ere",K166)))</formula>
    </cfRule>
    <cfRule type="containsText" dxfId="1726" priority="391" operator="containsText" text="Ear">
      <formula>NOT(ISERROR(SEARCH("Ear",K166)))</formula>
    </cfRule>
    <cfRule type="containsText" dxfId="1725" priority="392" operator="containsText" text="fnd">
      <formula>NOT(ISERROR(SEARCH("fnd",K166)))</formula>
    </cfRule>
  </conditionalFormatting>
  <conditionalFormatting sqref="K174:L174">
    <cfRule type="containsText" dxfId="1724" priority="561" operator="containsText" text="Str">
      <formula>NOT(ISERROR(SEARCH("Str",K174)))</formula>
    </cfRule>
    <cfRule type="containsText" dxfId="1723" priority="562" operator="containsText" text="Ere">
      <formula>NOT(ISERROR(SEARCH("Ere",K174)))</formula>
    </cfRule>
    <cfRule type="containsText" dxfId="1722" priority="563" operator="containsText" text="Ear">
      <formula>NOT(ISERROR(SEARCH("Ear",K174)))</formula>
    </cfRule>
    <cfRule type="containsText" dxfId="1721" priority="564" operator="containsText" text="fnd">
      <formula>NOT(ISERROR(SEARCH("fnd",K174)))</formula>
    </cfRule>
  </conditionalFormatting>
  <conditionalFormatting sqref="K182:L182">
    <cfRule type="containsText" dxfId="1720" priority="157" operator="containsText" text="Str">
      <formula>NOT(ISERROR(SEARCH("Str",K182)))</formula>
    </cfRule>
    <cfRule type="containsText" dxfId="1719" priority="158" operator="containsText" text="Ere">
      <formula>NOT(ISERROR(SEARCH("Ere",K182)))</formula>
    </cfRule>
    <cfRule type="containsText" dxfId="1718" priority="159" operator="containsText" text="Ear">
      <formula>NOT(ISERROR(SEARCH("Ear",K182)))</formula>
    </cfRule>
    <cfRule type="containsText" dxfId="1717" priority="160" operator="containsText" text="fnd">
      <formula>NOT(ISERROR(SEARCH("fnd",K182)))</formula>
    </cfRule>
  </conditionalFormatting>
  <conditionalFormatting sqref="L6">
    <cfRule type="containsText" dxfId="1716" priority="237" operator="containsText" text="Str">
      <formula>NOT(ISERROR(SEARCH("Str",L6)))</formula>
    </cfRule>
    <cfRule type="containsText" dxfId="1715" priority="238" operator="containsText" text="Ere">
      <formula>NOT(ISERROR(SEARCH("Ere",L6)))</formula>
    </cfRule>
    <cfRule type="containsText" dxfId="1714" priority="239" operator="containsText" text="Ear">
      <formula>NOT(ISERROR(SEARCH("Ear",L6)))</formula>
    </cfRule>
    <cfRule type="containsText" dxfId="1713" priority="240" operator="containsText" text="fnd">
      <formula>NOT(ISERROR(SEARCH("fnd",L6)))</formula>
    </cfRule>
  </conditionalFormatting>
  <conditionalFormatting sqref="L14">
    <cfRule type="containsText" dxfId="1712" priority="1719" operator="containsText" text="Str">
      <formula>NOT(ISERROR(SEARCH("Str",L14)))</formula>
    </cfRule>
    <cfRule type="containsText" dxfId="1711" priority="1720" operator="containsText" text="Ere">
      <formula>NOT(ISERROR(SEARCH("Ere",L14)))</formula>
    </cfRule>
    <cfRule type="containsText" dxfId="1710" priority="1721" operator="containsText" text="Ear">
      <formula>NOT(ISERROR(SEARCH("Ear",L14)))</formula>
    </cfRule>
    <cfRule type="containsText" dxfId="1709" priority="1722" operator="containsText" text="fnd">
      <formula>NOT(ISERROR(SEARCH("fnd",L14)))</formula>
    </cfRule>
  </conditionalFormatting>
  <conditionalFormatting sqref="L22">
    <cfRule type="containsText" dxfId="1708" priority="1859" operator="containsText" text="Str">
      <formula>NOT(ISERROR(SEARCH("Str",L22)))</formula>
    </cfRule>
    <cfRule type="containsText" dxfId="1707" priority="1860" operator="containsText" text="Ere">
      <formula>NOT(ISERROR(SEARCH("Ere",L22)))</formula>
    </cfRule>
    <cfRule type="containsText" dxfId="1706" priority="1861" operator="containsText" text="Ear">
      <formula>NOT(ISERROR(SEARCH("Ear",L22)))</formula>
    </cfRule>
    <cfRule type="containsText" dxfId="1705" priority="1862" operator="containsText" text="fnd">
      <formula>NOT(ISERROR(SEARCH("fnd",L22)))</formula>
    </cfRule>
  </conditionalFormatting>
  <conditionalFormatting sqref="L38">
    <cfRule type="containsText" dxfId="1704" priority="907" operator="containsText" text="Str">
      <formula>NOT(ISERROR(SEARCH("Str",L38)))</formula>
    </cfRule>
    <cfRule type="containsText" dxfId="1703" priority="908" operator="containsText" text="Ere">
      <formula>NOT(ISERROR(SEARCH("Ere",L38)))</formula>
    </cfRule>
    <cfRule type="containsText" dxfId="1702" priority="909" operator="containsText" text="Ear">
      <formula>NOT(ISERROR(SEARCH("Ear",L38)))</formula>
    </cfRule>
    <cfRule type="containsText" dxfId="1701" priority="910" operator="containsText" text="fnd">
      <formula>NOT(ISERROR(SEARCH("fnd",L38)))</formula>
    </cfRule>
  </conditionalFormatting>
  <conditionalFormatting sqref="N5:N6">
    <cfRule type="containsText" dxfId="1700" priority="233" operator="containsText" text="Str">
      <formula>NOT(ISERROR(SEARCH("Str",N5)))</formula>
    </cfRule>
    <cfRule type="containsText" dxfId="1699" priority="234" operator="containsText" text="Ere">
      <formula>NOT(ISERROR(SEARCH("Ere",N5)))</formula>
    </cfRule>
    <cfRule type="containsText" dxfId="1698" priority="235" operator="containsText" text="Ear">
      <formula>NOT(ISERROR(SEARCH("Ear",N5)))</formula>
    </cfRule>
    <cfRule type="containsText" dxfId="1697" priority="236" operator="containsText" text="fnd">
      <formula>NOT(ISERROR(SEARCH("fnd",N5)))</formula>
    </cfRule>
  </conditionalFormatting>
  <conditionalFormatting sqref="N13:N14">
    <cfRule type="containsText" dxfId="1696" priority="1731" operator="containsText" text="Str">
      <formula>NOT(ISERROR(SEARCH("Str",N13)))</formula>
    </cfRule>
    <cfRule type="containsText" dxfId="1695" priority="1732" operator="containsText" text="Ere">
      <formula>NOT(ISERROR(SEARCH("Ere",N13)))</formula>
    </cfRule>
    <cfRule type="containsText" dxfId="1694" priority="1733" operator="containsText" text="Ear">
      <formula>NOT(ISERROR(SEARCH("Ear",N13)))</formula>
    </cfRule>
    <cfRule type="containsText" dxfId="1693" priority="1734" operator="containsText" text="fnd">
      <formula>NOT(ISERROR(SEARCH("fnd",N13)))</formula>
    </cfRule>
  </conditionalFormatting>
  <conditionalFormatting sqref="N21:N22">
    <cfRule type="containsText" dxfId="1692" priority="1643" operator="containsText" text="Str">
      <formula>NOT(ISERROR(SEARCH("Str",N21)))</formula>
    </cfRule>
    <cfRule type="containsText" dxfId="1691" priority="1644" operator="containsText" text="Ere">
      <formula>NOT(ISERROR(SEARCH("Ere",N21)))</formula>
    </cfRule>
    <cfRule type="containsText" dxfId="1690" priority="1645" operator="containsText" text="Ear">
      <formula>NOT(ISERROR(SEARCH("Ear",N21)))</formula>
    </cfRule>
    <cfRule type="containsText" dxfId="1689" priority="1646" operator="containsText" text="fnd">
      <formula>NOT(ISERROR(SEARCH("fnd",N21)))</formula>
    </cfRule>
  </conditionalFormatting>
  <conditionalFormatting sqref="N29">
    <cfRule type="containsText" dxfId="1688" priority="1551" operator="containsText" text="Str">
      <formula>NOT(ISERROR(SEARCH("Str",N29)))</formula>
    </cfRule>
    <cfRule type="containsText" dxfId="1687" priority="1552" operator="containsText" text="Ere">
      <formula>NOT(ISERROR(SEARCH("Ere",N29)))</formula>
    </cfRule>
    <cfRule type="containsText" dxfId="1686" priority="1553" operator="containsText" text="Ear">
      <formula>NOT(ISERROR(SEARCH("Ear",N29)))</formula>
    </cfRule>
    <cfRule type="containsText" dxfId="1685" priority="1554" operator="containsText" text="fnd">
      <formula>NOT(ISERROR(SEARCH("fnd",N29)))</formula>
    </cfRule>
  </conditionalFormatting>
  <conditionalFormatting sqref="N37:N38">
    <cfRule type="containsText" dxfId="1684" priority="903" operator="containsText" text="Str">
      <formula>NOT(ISERROR(SEARCH("Str",N37)))</formula>
    </cfRule>
    <cfRule type="containsText" dxfId="1683" priority="904" operator="containsText" text="Ere">
      <formula>NOT(ISERROR(SEARCH("Ere",N37)))</formula>
    </cfRule>
    <cfRule type="containsText" dxfId="1682" priority="905" operator="containsText" text="Ear">
      <formula>NOT(ISERROR(SEARCH("Ear",N37)))</formula>
    </cfRule>
    <cfRule type="containsText" dxfId="1681" priority="906" operator="containsText" text="fnd">
      <formula>NOT(ISERROR(SEARCH("fnd",N37)))</formula>
    </cfRule>
  </conditionalFormatting>
  <conditionalFormatting sqref="N45 T45 W45">
    <cfRule type="containsText" dxfId="1680" priority="2327" operator="containsText" text="Str">
      <formula>NOT(ISERROR(SEARCH("Str",N45)))</formula>
    </cfRule>
    <cfRule type="containsText" dxfId="1679" priority="2328" operator="containsText" text="Ere">
      <formula>NOT(ISERROR(SEARCH("Ere",N45)))</formula>
    </cfRule>
    <cfRule type="containsText" dxfId="1678" priority="2329" operator="containsText" text="Ear">
      <formula>NOT(ISERROR(SEARCH("Ear",N45)))</formula>
    </cfRule>
    <cfRule type="containsText" dxfId="1677" priority="2330" operator="containsText" text="fnd">
      <formula>NOT(ISERROR(SEARCH("fnd",N45)))</formula>
    </cfRule>
  </conditionalFormatting>
  <conditionalFormatting sqref="N53">
    <cfRule type="containsText" dxfId="1676" priority="2251" operator="containsText" text="Str">
      <formula>NOT(ISERROR(SEARCH("Str",N53)))</formula>
    </cfRule>
    <cfRule type="containsText" dxfId="1675" priority="2252" operator="containsText" text="Ere">
      <formula>NOT(ISERROR(SEARCH("Ere",N53)))</formula>
    </cfRule>
    <cfRule type="containsText" dxfId="1674" priority="2253" operator="containsText" text="Ear">
      <formula>NOT(ISERROR(SEARCH("Ear",N53)))</formula>
    </cfRule>
    <cfRule type="containsText" dxfId="1673" priority="2254" operator="containsText" text="fnd">
      <formula>NOT(ISERROR(SEARCH("fnd",N53)))</formula>
    </cfRule>
  </conditionalFormatting>
  <conditionalFormatting sqref="N61">
    <cfRule type="containsText" dxfId="1672" priority="1887" operator="containsText" text="Str">
      <formula>NOT(ISERROR(SEARCH("Str",N61)))</formula>
    </cfRule>
    <cfRule type="containsText" dxfId="1671" priority="1888" operator="containsText" text="Ere">
      <formula>NOT(ISERROR(SEARCH("Ere",N61)))</formula>
    </cfRule>
    <cfRule type="containsText" dxfId="1670" priority="1889" operator="containsText" text="Ear">
      <formula>NOT(ISERROR(SEARCH("Ear",N61)))</formula>
    </cfRule>
    <cfRule type="containsText" dxfId="1669" priority="1890" operator="containsText" text="fnd">
      <formula>NOT(ISERROR(SEARCH("fnd",N61)))</formula>
    </cfRule>
  </conditionalFormatting>
  <conditionalFormatting sqref="N93">
    <cfRule type="containsText" dxfId="1668" priority="1979" operator="containsText" text="Str">
      <formula>NOT(ISERROR(SEARCH("Str",N93)))</formula>
    </cfRule>
    <cfRule type="containsText" dxfId="1667" priority="1980" operator="containsText" text="Ere">
      <formula>NOT(ISERROR(SEARCH("Ere",N93)))</formula>
    </cfRule>
    <cfRule type="containsText" dxfId="1666" priority="1981" operator="containsText" text="Ear">
      <formula>NOT(ISERROR(SEARCH("Ear",N93)))</formula>
    </cfRule>
    <cfRule type="containsText" dxfId="1665" priority="1982" operator="containsText" text="fnd">
      <formula>NOT(ISERROR(SEARCH("fnd",N93)))</formula>
    </cfRule>
  </conditionalFormatting>
  <conditionalFormatting sqref="N101">
    <cfRule type="containsText" dxfId="1664" priority="309" operator="containsText" text="Str">
      <formula>NOT(ISERROR(SEARCH("Str",N101)))</formula>
    </cfRule>
    <cfRule type="containsText" dxfId="1663" priority="310" operator="containsText" text="Ere">
      <formula>NOT(ISERROR(SEARCH("Ere",N101)))</formula>
    </cfRule>
    <cfRule type="containsText" dxfId="1662" priority="311" operator="containsText" text="Ear">
      <formula>NOT(ISERROR(SEARCH("Ear",N101)))</formula>
    </cfRule>
    <cfRule type="containsText" dxfId="1661" priority="312" operator="containsText" text="fnd">
      <formula>NOT(ISERROR(SEARCH("fnd",N101)))</formula>
    </cfRule>
  </conditionalFormatting>
  <conditionalFormatting sqref="N109">
    <cfRule type="containsText" dxfId="1660" priority="1787" operator="containsText" text="Str">
      <formula>NOT(ISERROR(SEARCH("Str",N109)))</formula>
    </cfRule>
    <cfRule type="containsText" dxfId="1659" priority="1788" operator="containsText" text="Ere">
      <formula>NOT(ISERROR(SEARCH("Ere",N109)))</formula>
    </cfRule>
    <cfRule type="containsText" dxfId="1658" priority="1789" operator="containsText" text="Ear">
      <formula>NOT(ISERROR(SEARCH("Ear",N109)))</formula>
    </cfRule>
    <cfRule type="containsText" dxfId="1657" priority="1790" operator="containsText" text="fnd">
      <formula>NOT(ISERROR(SEARCH("fnd",N109)))</formula>
    </cfRule>
  </conditionalFormatting>
  <conditionalFormatting sqref="N117">
    <cfRule type="containsText" dxfId="1656" priority="1419" operator="containsText" text="Str">
      <formula>NOT(ISERROR(SEARCH("Str",N117)))</formula>
    </cfRule>
    <cfRule type="containsText" dxfId="1655" priority="1420" operator="containsText" text="Ere">
      <formula>NOT(ISERROR(SEARCH("Ere",N117)))</formula>
    </cfRule>
    <cfRule type="containsText" dxfId="1654" priority="1421" operator="containsText" text="Ear">
      <formula>NOT(ISERROR(SEARCH("Ear",N117)))</formula>
    </cfRule>
    <cfRule type="containsText" dxfId="1653" priority="1422" operator="containsText" text="fnd">
      <formula>NOT(ISERROR(SEARCH("fnd",N117)))</formula>
    </cfRule>
  </conditionalFormatting>
  <conditionalFormatting sqref="N122 N130 N138 N162 N178">
    <cfRule type="containsText" dxfId="1652" priority="2075" operator="containsText" text="Str">
      <formula>NOT(ISERROR(SEARCH("Str",N122)))</formula>
    </cfRule>
    <cfRule type="containsText" dxfId="1651" priority="2076" operator="containsText" text="Ere">
      <formula>NOT(ISERROR(SEARCH("Ere",N122)))</formula>
    </cfRule>
    <cfRule type="containsText" dxfId="1650" priority="2077" operator="containsText" text="Ear">
      <formula>NOT(ISERROR(SEARCH("Ear",N122)))</formula>
    </cfRule>
    <cfRule type="containsText" dxfId="1649" priority="2078" operator="containsText" text="fnd">
      <formula>NOT(ISERROR(SEARCH("fnd",N122)))</formula>
    </cfRule>
  </conditionalFormatting>
  <conditionalFormatting sqref="N125">
    <cfRule type="containsText" dxfId="1648" priority="663" operator="containsText" text="Str">
      <formula>NOT(ISERROR(SEARCH("Str",N125)))</formula>
    </cfRule>
    <cfRule type="containsText" dxfId="1647" priority="664" operator="containsText" text="Ere">
      <formula>NOT(ISERROR(SEARCH("Ere",N125)))</formula>
    </cfRule>
    <cfRule type="containsText" dxfId="1646" priority="665" operator="containsText" text="Ear">
      <formula>NOT(ISERROR(SEARCH("Ear",N125)))</formula>
    </cfRule>
    <cfRule type="containsText" dxfId="1645" priority="666" operator="containsText" text="fnd">
      <formula>NOT(ISERROR(SEARCH("fnd",N125)))</formula>
    </cfRule>
  </conditionalFormatting>
  <conditionalFormatting sqref="N133">
    <cfRule type="containsText" dxfId="1644" priority="1363" operator="containsText" text="Str">
      <formula>NOT(ISERROR(SEARCH("Str",N133)))</formula>
    </cfRule>
    <cfRule type="containsText" dxfId="1643" priority="1364" operator="containsText" text="Ere">
      <formula>NOT(ISERROR(SEARCH("Ere",N133)))</formula>
    </cfRule>
    <cfRule type="containsText" dxfId="1642" priority="1365" operator="containsText" text="Ear">
      <formula>NOT(ISERROR(SEARCH("Ear",N133)))</formula>
    </cfRule>
    <cfRule type="containsText" dxfId="1641" priority="1366" operator="containsText" text="fnd">
      <formula>NOT(ISERROR(SEARCH("fnd",N133)))</formula>
    </cfRule>
  </conditionalFormatting>
  <conditionalFormatting sqref="N141">
    <cfRule type="containsText" dxfId="1640" priority="1279" operator="containsText" text="Str">
      <formula>NOT(ISERROR(SEARCH("Str",N141)))</formula>
    </cfRule>
    <cfRule type="containsText" dxfId="1639" priority="1280" operator="containsText" text="Ere">
      <formula>NOT(ISERROR(SEARCH("Ere",N141)))</formula>
    </cfRule>
    <cfRule type="containsText" dxfId="1638" priority="1281" operator="containsText" text="Ear">
      <formula>NOT(ISERROR(SEARCH("Ear",N141)))</formula>
    </cfRule>
    <cfRule type="containsText" dxfId="1637" priority="1282" operator="containsText" text="fnd">
      <formula>NOT(ISERROR(SEARCH("fnd",N141)))</formula>
    </cfRule>
  </conditionalFormatting>
  <conditionalFormatting sqref="N149">
    <cfRule type="containsText" dxfId="1636" priority="305" operator="containsText" text="Str">
      <formula>NOT(ISERROR(SEARCH("Str",N149)))</formula>
    </cfRule>
    <cfRule type="containsText" dxfId="1635" priority="306" operator="containsText" text="Ere">
      <formula>NOT(ISERROR(SEARCH("Ere",N149)))</formula>
    </cfRule>
    <cfRule type="containsText" dxfId="1634" priority="307" operator="containsText" text="Ear">
      <formula>NOT(ISERROR(SEARCH("Ear",N149)))</formula>
    </cfRule>
    <cfRule type="containsText" dxfId="1633" priority="308" operator="containsText" text="fnd">
      <formula>NOT(ISERROR(SEARCH("fnd",N149)))</formula>
    </cfRule>
  </conditionalFormatting>
  <conditionalFormatting sqref="N157">
    <cfRule type="containsText" dxfId="1632" priority="1131" operator="containsText" text="Str">
      <formula>NOT(ISERROR(SEARCH("Str",N157)))</formula>
    </cfRule>
    <cfRule type="containsText" dxfId="1631" priority="1132" operator="containsText" text="Ere">
      <formula>NOT(ISERROR(SEARCH("Ere",N157)))</formula>
    </cfRule>
    <cfRule type="containsText" dxfId="1630" priority="1133" operator="containsText" text="Ear">
      <formula>NOT(ISERROR(SEARCH("Ear",N157)))</formula>
    </cfRule>
    <cfRule type="containsText" dxfId="1629" priority="1134" operator="containsText" text="fnd">
      <formula>NOT(ISERROR(SEARCH("fnd",N157)))</formula>
    </cfRule>
  </conditionalFormatting>
  <conditionalFormatting sqref="N165">
    <cfRule type="containsText" dxfId="1628" priority="1067" operator="containsText" text="Str">
      <formula>NOT(ISERROR(SEARCH("Str",N165)))</formula>
    </cfRule>
    <cfRule type="containsText" dxfId="1627" priority="1068" operator="containsText" text="Ere">
      <formula>NOT(ISERROR(SEARCH("Ere",N165)))</formula>
    </cfRule>
    <cfRule type="containsText" dxfId="1626" priority="1069" operator="containsText" text="Ear">
      <formula>NOT(ISERROR(SEARCH("Ear",N165)))</formula>
    </cfRule>
    <cfRule type="containsText" dxfId="1625" priority="1070" operator="containsText" text="fnd">
      <formula>NOT(ISERROR(SEARCH("fnd",N165)))</formula>
    </cfRule>
  </conditionalFormatting>
  <conditionalFormatting sqref="N173">
    <cfRule type="containsText" dxfId="1624" priority="465" operator="containsText" text="Str">
      <formula>NOT(ISERROR(SEARCH("Str",N173)))</formula>
    </cfRule>
    <cfRule type="containsText" dxfId="1623" priority="466" operator="containsText" text="Ere">
      <formula>NOT(ISERROR(SEARCH("Ere",N173)))</formula>
    </cfRule>
    <cfRule type="containsText" dxfId="1622" priority="467" operator="containsText" text="Ear">
      <formula>NOT(ISERROR(SEARCH("Ear",N173)))</formula>
    </cfRule>
    <cfRule type="containsText" dxfId="1621" priority="468" operator="containsText" text="fnd">
      <formula>NOT(ISERROR(SEARCH("fnd",N173)))</formula>
    </cfRule>
  </conditionalFormatting>
  <conditionalFormatting sqref="N181">
    <cfRule type="containsText" dxfId="1620" priority="145" operator="containsText" text="Str">
      <formula>NOT(ISERROR(SEARCH("Str",N181)))</formula>
    </cfRule>
    <cfRule type="containsText" dxfId="1619" priority="146" operator="containsText" text="Ere">
      <formula>NOT(ISERROR(SEARCH("Ere",N181)))</formula>
    </cfRule>
    <cfRule type="containsText" dxfId="1618" priority="147" operator="containsText" text="Ear">
      <formula>NOT(ISERROR(SEARCH("Ear",N181)))</formula>
    </cfRule>
    <cfRule type="containsText" dxfId="1617" priority="148" operator="containsText" text="fnd">
      <formula>NOT(ISERROR(SEARCH("fnd",N181)))</formula>
    </cfRule>
  </conditionalFormatting>
  <conditionalFormatting sqref="N30:O30">
    <cfRule type="containsText" dxfId="1616" priority="1555" operator="containsText" text="Str">
      <formula>NOT(ISERROR(SEARCH("Str",N30)))</formula>
    </cfRule>
    <cfRule type="containsText" dxfId="1615" priority="1556" operator="containsText" text="Ere">
      <formula>NOT(ISERROR(SEARCH("Ere",N30)))</formula>
    </cfRule>
    <cfRule type="containsText" dxfId="1614" priority="1557" operator="containsText" text="Ear">
      <formula>NOT(ISERROR(SEARCH("Ear",N30)))</formula>
    </cfRule>
    <cfRule type="containsText" dxfId="1613" priority="1558" operator="containsText" text="fnd">
      <formula>NOT(ISERROR(SEARCH("fnd",N30)))</formula>
    </cfRule>
  </conditionalFormatting>
  <conditionalFormatting sqref="N46:O46">
    <cfRule type="containsText" dxfId="1612" priority="2339" operator="containsText" text="Str">
      <formula>NOT(ISERROR(SEARCH("Str",N46)))</formula>
    </cfRule>
    <cfRule type="containsText" dxfId="1611" priority="2340" operator="containsText" text="Ere">
      <formula>NOT(ISERROR(SEARCH("Ere",N46)))</formula>
    </cfRule>
    <cfRule type="containsText" dxfId="1610" priority="2341" operator="containsText" text="Ear">
      <formula>NOT(ISERROR(SEARCH("Ear",N46)))</formula>
    </cfRule>
    <cfRule type="containsText" dxfId="1609" priority="2342" operator="containsText" text="fnd">
      <formula>NOT(ISERROR(SEARCH("fnd",N46)))</formula>
    </cfRule>
  </conditionalFormatting>
  <conditionalFormatting sqref="N54:O54">
    <cfRule type="containsText" dxfId="1608" priority="2351" operator="containsText" text="Str">
      <formula>NOT(ISERROR(SEARCH("Str",N54)))</formula>
    </cfRule>
    <cfRule type="containsText" dxfId="1607" priority="2352" operator="containsText" text="Ere">
      <formula>NOT(ISERROR(SEARCH("Ere",N54)))</formula>
    </cfRule>
    <cfRule type="containsText" dxfId="1606" priority="2353" operator="containsText" text="Ear">
      <formula>NOT(ISERROR(SEARCH("Ear",N54)))</formula>
    </cfRule>
    <cfRule type="containsText" dxfId="1605" priority="2354" operator="containsText" text="fnd">
      <formula>NOT(ISERROR(SEARCH("fnd",N54)))</formula>
    </cfRule>
  </conditionalFormatting>
  <conditionalFormatting sqref="N62:O62">
    <cfRule type="containsText" dxfId="1604" priority="1891" operator="containsText" text="Str">
      <formula>NOT(ISERROR(SEARCH("Str",N62)))</formula>
    </cfRule>
    <cfRule type="containsText" dxfId="1603" priority="1892" operator="containsText" text="Ere">
      <formula>NOT(ISERROR(SEARCH("Ere",N62)))</formula>
    </cfRule>
    <cfRule type="containsText" dxfId="1602" priority="1893" operator="containsText" text="Ear">
      <formula>NOT(ISERROR(SEARCH("Ear",N62)))</formula>
    </cfRule>
    <cfRule type="containsText" dxfId="1601" priority="1894" operator="containsText" text="fnd">
      <formula>NOT(ISERROR(SEARCH("fnd",N62)))</formula>
    </cfRule>
  </conditionalFormatting>
  <conditionalFormatting sqref="N94:O94">
    <cfRule type="containsText" dxfId="1600" priority="1983" operator="containsText" text="Str">
      <formula>NOT(ISERROR(SEARCH("Str",N94)))</formula>
    </cfRule>
    <cfRule type="containsText" dxfId="1599" priority="1984" operator="containsText" text="Ere">
      <formula>NOT(ISERROR(SEARCH("Ere",N94)))</formula>
    </cfRule>
    <cfRule type="containsText" dxfId="1598" priority="1985" operator="containsText" text="Ear">
      <formula>NOT(ISERROR(SEARCH("Ear",N94)))</formula>
    </cfRule>
    <cfRule type="containsText" dxfId="1597" priority="1986" operator="containsText" text="fnd">
      <formula>NOT(ISERROR(SEARCH("fnd",N94)))</formula>
    </cfRule>
  </conditionalFormatting>
  <conditionalFormatting sqref="N102:O102">
    <cfRule type="containsText" dxfId="1596" priority="313" operator="containsText" text="Str">
      <formula>NOT(ISERROR(SEARCH("Str",N102)))</formula>
    </cfRule>
    <cfRule type="containsText" dxfId="1595" priority="314" operator="containsText" text="Ere">
      <formula>NOT(ISERROR(SEARCH("Ere",N102)))</formula>
    </cfRule>
    <cfRule type="containsText" dxfId="1594" priority="315" operator="containsText" text="Ear">
      <formula>NOT(ISERROR(SEARCH("Ear",N102)))</formula>
    </cfRule>
    <cfRule type="containsText" dxfId="1593" priority="316" operator="containsText" text="fnd">
      <formula>NOT(ISERROR(SEARCH("fnd",N102)))</formula>
    </cfRule>
  </conditionalFormatting>
  <conditionalFormatting sqref="N110:O110">
    <cfRule type="containsText" dxfId="1592" priority="1791" operator="containsText" text="Str">
      <formula>NOT(ISERROR(SEARCH("Str",N110)))</formula>
    </cfRule>
    <cfRule type="containsText" dxfId="1591" priority="1792" operator="containsText" text="Ere">
      <formula>NOT(ISERROR(SEARCH("Ere",N110)))</formula>
    </cfRule>
    <cfRule type="containsText" dxfId="1590" priority="1793" operator="containsText" text="Ear">
      <formula>NOT(ISERROR(SEARCH("Ear",N110)))</formula>
    </cfRule>
    <cfRule type="containsText" dxfId="1589" priority="1794" operator="containsText" text="fnd">
      <formula>NOT(ISERROR(SEARCH("fnd",N110)))</formula>
    </cfRule>
  </conditionalFormatting>
  <conditionalFormatting sqref="N118:O118">
    <cfRule type="containsText" dxfId="1588" priority="1423" operator="containsText" text="Str">
      <formula>NOT(ISERROR(SEARCH("Str",N118)))</formula>
    </cfRule>
    <cfRule type="containsText" dxfId="1587" priority="1424" operator="containsText" text="Ere">
      <formula>NOT(ISERROR(SEARCH("Ere",N118)))</formula>
    </cfRule>
    <cfRule type="containsText" dxfId="1586" priority="1425" operator="containsText" text="Ear">
      <formula>NOT(ISERROR(SEARCH("Ear",N118)))</formula>
    </cfRule>
    <cfRule type="containsText" dxfId="1585" priority="1426" operator="containsText" text="fnd">
      <formula>NOT(ISERROR(SEARCH("fnd",N118)))</formula>
    </cfRule>
  </conditionalFormatting>
  <conditionalFormatting sqref="N126:O126">
    <cfRule type="containsText" dxfId="1584" priority="667" operator="containsText" text="Str">
      <formula>NOT(ISERROR(SEARCH("Str",N126)))</formula>
    </cfRule>
    <cfRule type="containsText" dxfId="1583" priority="668" operator="containsText" text="Ere">
      <formula>NOT(ISERROR(SEARCH("Ere",N126)))</formula>
    </cfRule>
    <cfRule type="containsText" dxfId="1582" priority="669" operator="containsText" text="Ear">
      <formula>NOT(ISERROR(SEARCH("Ear",N126)))</formula>
    </cfRule>
    <cfRule type="containsText" dxfId="1581" priority="670" operator="containsText" text="fnd">
      <formula>NOT(ISERROR(SEARCH("fnd",N126)))</formula>
    </cfRule>
  </conditionalFormatting>
  <conditionalFormatting sqref="N134:O134">
    <cfRule type="containsText" dxfId="1580" priority="1367" operator="containsText" text="Str">
      <formula>NOT(ISERROR(SEARCH("Str",N134)))</formula>
    </cfRule>
    <cfRule type="containsText" dxfId="1579" priority="1368" operator="containsText" text="Ere">
      <formula>NOT(ISERROR(SEARCH("Ere",N134)))</formula>
    </cfRule>
    <cfRule type="containsText" dxfId="1578" priority="1369" operator="containsText" text="Ear">
      <formula>NOT(ISERROR(SEARCH("Ear",N134)))</formula>
    </cfRule>
    <cfRule type="containsText" dxfId="1577" priority="1370" operator="containsText" text="fnd">
      <formula>NOT(ISERROR(SEARCH("fnd",N134)))</formula>
    </cfRule>
  </conditionalFormatting>
  <conditionalFormatting sqref="N142:O142">
    <cfRule type="containsText" dxfId="1576" priority="1283" operator="containsText" text="Str">
      <formula>NOT(ISERROR(SEARCH("Str",N142)))</formula>
    </cfRule>
    <cfRule type="containsText" dxfId="1575" priority="1284" operator="containsText" text="Ere">
      <formula>NOT(ISERROR(SEARCH("Ere",N142)))</formula>
    </cfRule>
    <cfRule type="containsText" dxfId="1574" priority="1285" operator="containsText" text="Ear">
      <formula>NOT(ISERROR(SEARCH("Ear",N142)))</formula>
    </cfRule>
    <cfRule type="containsText" dxfId="1573" priority="1286" operator="containsText" text="fnd">
      <formula>NOT(ISERROR(SEARCH("fnd",N142)))</formula>
    </cfRule>
  </conditionalFormatting>
  <conditionalFormatting sqref="N158:O158">
    <cfRule type="containsText" dxfId="1572" priority="1135" operator="containsText" text="Str">
      <formula>NOT(ISERROR(SEARCH("Str",N158)))</formula>
    </cfRule>
    <cfRule type="containsText" dxfId="1571" priority="1136" operator="containsText" text="Ere">
      <formula>NOT(ISERROR(SEARCH("Ere",N158)))</formula>
    </cfRule>
    <cfRule type="containsText" dxfId="1570" priority="1137" operator="containsText" text="Ear">
      <formula>NOT(ISERROR(SEARCH("Ear",N158)))</formula>
    </cfRule>
    <cfRule type="containsText" dxfId="1569" priority="1138" operator="containsText" text="fnd">
      <formula>NOT(ISERROR(SEARCH("fnd",N158)))</formula>
    </cfRule>
  </conditionalFormatting>
  <conditionalFormatting sqref="N166:O166">
    <cfRule type="containsText" dxfId="1568" priority="1071" operator="containsText" text="Str">
      <formula>NOT(ISERROR(SEARCH("Str",N166)))</formula>
    </cfRule>
    <cfRule type="containsText" dxfId="1567" priority="1072" operator="containsText" text="Ere">
      <formula>NOT(ISERROR(SEARCH("Ere",N166)))</formula>
    </cfRule>
    <cfRule type="containsText" dxfId="1566" priority="1073" operator="containsText" text="Ear">
      <formula>NOT(ISERROR(SEARCH("Ear",N166)))</formula>
    </cfRule>
    <cfRule type="containsText" dxfId="1565" priority="1074" operator="containsText" text="fnd">
      <formula>NOT(ISERROR(SEARCH("fnd",N166)))</formula>
    </cfRule>
  </conditionalFormatting>
  <conditionalFormatting sqref="N174:O174">
    <cfRule type="containsText" dxfId="1564" priority="469" operator="containsText" text="Str">
      <formula>NOT(ISERROR(SEARCH("Str",N174)))</formula>
    </cfRule>
    <cfRule type="containsText" dxfId="1563" priority="470" operator="containsText" text="Ere">
      <formula>NOT(ISERROR(SEARCH("Ere",N174)))</formula>
    </cfRule>
    <cfRule type="containsText" dxfId="1562" priority="471" operator="containsText" text="Ear">
      <formula>NOT(ISERROR(SEARCH("Ear",N174)))</formula>
    </cfRule>
    <cfRule type="containsText" dxfId="1561" priority="472" operator="containsText" text="fnd">
      <formula>NOT(ISERROR(SEARCH("fnd",N174)))</formula>
    </cfRule>
  </conditionalFormatting>
  <conditionalFormatting sqref="N182:O182">
    <cfRule type="containsText" dxfId="1560" priority="149" operator="containsText" text="Str">
      <formula>NOT(ISERROR(SEARCH("Str",N182)))</formula>
    </cfRule>
    <cfRule type="containsText" dxfId="1559" priority="150" operator="containsText" text="Ere">
      <formula>NOT(ISERROR(SEARCH("Ere",N182)))</formula>
    </cfRule>
    <cfRule type="containsText" dxfId="1558" priority="151" operator="containsText" text="Ear">
      <formula>NOT(ISERROR(SEARCH("Ear",N182)))</formula>
    </cfRule>
    <cfRule type="containsText" dxfId="1557" priority="152" operator="containsText" text="fnd">
      <formula>NOT(ISERROR(SEARCH("fnd",N182)))</formula>
    </cfRule>
  </conditionalFormatting>
  <conditionalFormatting sqref="O6">
    <cfRule type="containsText" dxfId="1556" priority="229" operator="containsText" text="Str">
      <formula>NOT(ISERROR(SEARCH("Str",O6)))</formula>
    </cfRule>
    <cfRule type="containsText" dxfId="1555" priority="230" operator="containsText" text="Ere">
      <formula>NOT(ISERROR(SEARCH("Ere",O6)))</formula>
    </cfRule>
    <cfRule type="containsText" dxfId="1554" priority="231" operator="containsText" text="Ear">
      <formula>NOT(ISERROR(SEARCH("Ear",O6)))</formula>
    </cfRule>
    <cfRule type="containsText" dxfId="1553" priority="232" operator="containsText" text="fnd">
      <formula>NOT(ISERROR(SEARCH("fnd",O6)))</formula>
    </cfRule>
  </conditionalFormatting>
  <conditionalFormatting sqref="O14">
    <cfRule type="containsText" dxfId="1552" priority="1727" operator="containsText" text="Str">
      <formula>NOT(ISERROR(SEARCH("Str",O14)))</formula>
    </cfRule>
    <cfRule type="containsText" dxfId="1551" priority="1728" operator="containsText" text="Ere">
      <formula>NOT(ISERROR(SEARCH("Ere",O14)))</formula>
    </cfRule>
    <cfRule type="containsText" dxfId="1550" priority="1729" operator="containsText" text="Ear">
      <formula>NOT(ISERROR(SEARCH("Ear",O14)))</formula>
    </cfRule>
    <cfRule type="containsText" dxfId="1549" priority="1730" operator="containsText" text="fnd">
      <formula>NOT(ISERROR(SEARCH("fnd",O14)))</formula>
    </cfRule>
  </conditionalFormatting>
  <conditionalFormatting sqref="O22">
    <cfRule type="containsText" dxfId="1548" priority="1639" operator="containsText" text="Str">
      <formula>NOT(ISERROR(SEARCH("Str",O22)))</formula>
    </cfRule>
    <cfRule type="containsText" dxfId="1547" priority="1640" operator="containsText" text="Ere">
      <formula>NOT(ISERROR(SEARCH("Ere",O22)))</formula>
    </cfRule>
    <cfRule type="containsText" dxfId="1546" priority="1641" operator="containsText" text="Ear">
      <formula>NOT(ISERROR(SEARCH("Ear",O22)))</formula>
    </cfRule>
    <cfRule type="containsText" dxfId="1545" priority="1642" operator="containsText" text="fnd">
      <formula>NOT(ISERROR(SEARCH("fnd",O22)))</formula>
    </cfRule>
  </conditionalFormatting>
  <conditionalFormatting sqref="O38">
    <cfRule type="containsText" dxfId="1544" priority="899" operator="containsText" text="Str">
      <formula>NOT(ISERROR(SEARCH("Str",O38)))</formula>
    </cfRule>
    <cfRule type="containsText" dxfId="1543" priority="900" operator="containsText" text="Ere">
      <formula>NOT(ISERROR(SEARCH("Ere",O38)))</formula>
    </cfRule>
    <cfRule type="containsText" dxfId="1542" priority="901" operator="containsText" text="Ear">
      <formula>NOT(ISERROR(SEARCH("Ear",O38)))</formula>
    </cfRule>
    <cfRule type="containsText" dxfId="1541" priority="902" operator="containsText" text="fnd">
      <formula>NOT(ISERROR(SEARCH("fnd",O38)))</formula>
    </cfRule>
  </conditionalFormatting>
  <conditionalFormatting sqref="O78">
    <cfRule type="containsText" dxfId="1540" priority="1963" operator="containsText" text="Str">
      <formula>NOT(ISERROR(SEARCH("Str",O78)))</formula>
    </cfRule>
    <cfRule type="containsText" dxfId="1539" priority="1964" operator="containsText" text="Ere">
      <formula>NOT(ISERROR(SEARCH("Ere",O78)))</formula>
    </cfRule>
    <cfRule type="containsText" dxfId="1538" priority="1965" operator="containsText" text="Ear">
      <formula>NOT(ISERROR(SEARCH("Ear",O78)))</formula>
    </cfRule>
    <cfRule type="containsText" dxfId="1537" priority="1966" operator="containsText" text="fnd">
      <formula>NOT(ISERROR(SEARCH("fnd",O78)))</formula>
    </cfRule>
  </conditionalFormatting>
  <conditionalFormatting sqref="O201">
    <cfRule type="containsText" dxfId="1536" priority="2139" operator="containsText" text="Str">
      <formula>NOT(ISERROR(SEARCH("Str",O201)))</formula>
    </cfRule>
    <cfRule type="containsText" dxfId="1535" priority="2140" operator="containsText" text="Ere">
      <formula>NOT(ISERROR(SEARCH("Ere",O201)))</formula>
    </cfRule>
    <cfRule type="containsText" dxfId="1534" priority="2141" operator="containsText" text="Ear">
      <formula>NOT(ISERROR(SEARCH("Ear",O201)))</formula>
    </cfRule>
    <cfRule type="containsText" dxfId="1533" priority="2142" operator="containsText" text="fnd">
      <formula>NOT(ISERROR(SEARCH("fnd",O201)))</formula>
    </cfRule>
  </conditionalFormatting>
  <conditionalFormatting sqref="Q5:Q6">
    <cfRule type="containsText" dxfId="1532" priority="225" operator="containsText" text="Str">
      <formula>NOT(ISERROR(SEARCH("Str",Q5)))</formula>
    </cfRule>
    <cfRule type="containsText" dxfId="1531" priority="226" operator="containsText" text="Ere">
      <formula>NOT(ISERROR(SEARCH("Ere",Q5)))</formula>
    </cfRule>
    <cfRule type="containsText" dxfId="1530" priority="227" operator="containsText" text="Ear">
      <formula>NOT(ISERROR(SEARCH("Ear",Q5)))</formula>
    </cfRule>
    <cfRule type="containsText" dxfId="1529" priority="228" operator="containsText" text="fnd">
      <formula>NOT(ISERROR(SEARCH("fnd",Q5)))</formula>
    </cfRule>
  </conditionalFormatting>
  <conditionalFormatting sqref="Q13:Q14">
    <cfRule type="containsText" dxfId="1528" priority="1767" operator="containsText" text="Str">
      <formula>NOT(ISERROR(SEARCH("Str",Q13)))</formula>
    </cfRule>
    <cfRule type="containsText" dxfId="1527" priority="1768" operator="containsText" text="Ere">
      <formula>NOT(ISERROR(SEARCH("Ere",Q13)))</formula>
    </cfRule>
    <cfRule type="containsText" dxfId="1526" priority="1769" operator="containsText" text="Ear">
      <formula>NOT(ISERROR(SEARCH("Ear",Q13)))</formula>
    </cfRule>
    <cfRule type="containsText" dxfId="1525" priority="1770" operator="containsText" text="fnd">
      <formula>NOT(ISERROR(SEARCH("fnd",Q13)))</formula>
    </cfRule>
  </conditionalFormatting>
  <conditionalFormatting sqref="Q21:Q22">
    <cfRule type="containsText" dxfId="1524" priority="1635" operator="containsText" text="Str">
      <formula>NOT(ISERROR(SEARCH("Str",Q21)))</formula>
    </cfRule>
    <cfRule type="containsText" dxfId="1523" priority="1636" operator="containsText" text="Ere">
      <formula>NOT(ISERROR(SEARCH("Ere",Q21)))</formula>
    </cfRule>
    <cfRule type="containsText" dxfId="1522" priority="1637" operator="containsText" text="Ear">
      <formula>NOT(ISERROR(SEARCH("Ear",Q21)))</formula>
    </cfRule>
    <cfRule type="containsText" dxfId="1521" priority="1638" operator="containsText" text="fnd">
      <formula>NOT(ISERROR(SEARCH("fnd",Q21)))</formula>
    </cfRule>
  </conditionalFormatting>
  <conditionalFormatting sqref="Q29">
    <cfRule type="containsText" dxfId="1520" priority="687" operator="containsText" text="Str">
      <formula>NOT(ISERROR(SEARCH("Str",Q29)))</formula>
    </cfRule>
    <cfRule type="containsText" dxfId="1519" priority="688" operator="containsText" text="Ere">
      <formula>NOT(ISERROR(SEARCH("Ere",Q29)))</formula>
    </cfRule>
    <cfRule type="containsText" dxfId="1518" priority="689" operator="containsText" text="Ear">
      <formula>NOT(ISERROR(SEARCH("Ear",Q29)))</formula>
    </cfRule>
    <cfRule type="containsText" dxfId="1517" priority="690" operator="containsText" text="fnd">
      <formula>NOT(ISERROR(SEARCH("fnd",Q29)))</formula>
    </cfRule>
  </conditionalFormatting>
  <conditionalFormatting sqref="Q37:Q38">
    <cfRule type="containsText" dxfId="1516" priority="2159" operator="containsText" text="Str">
      <formula>NOT(ISERROR(SEARCH("Str",Q37)))</formula>
    </cfRule>
    <cfRule type="containsText" dxfId="1515" priority="2160" operator="containsText" text="Ere">
      <formula>NOT(ISERROR(SEARCH("Ere",Q37)))</formula>
    </cfRule>
    <cfRule type="containsText" dxfId="1514" priority="2161" operator="containsText" text="Ear">
      <formula>NOT(ISERROR(SEARCH("Ear",Q37)))</formula>
    </cfRule>
    <cfRule type="containsText" dxfId="1513" priority="2162" operator="containsText" text="fnd">
      <formula>NOT(ISERROR(SEARCH("fnd",Q37)))</formula>
    </cfRule>
  </conditionalFormatting>
  <conditionalFormatting sqref="Q45">
    <cfRule type="containsText" dxfId="1512" priority="875" operator="containsText" text="Str">
      <formula>NOT(ISERROR(SEARCH("Str",Q45)))</formula>
    </cfRule>
    <cfRule type="containsText" dxfId="1511" priority="876" operator="containsText" text="Ere">
      <formula>NOT(ISERROR(SEARCH("Ere",Q45)))</formula>
    </cfRule>
    <cfRule type="containsText" dxfId="1510" priority="877" operator="containsText" text="Ear">
      <formula>NOT(ISERROR(SEARCH("Ear",Q45)))</formula>
    </cfRule>
    <cfRule type="containsText" dxfId="1509" priority="878" operator="containsText" text="fnd">
      <formula>NOT(ISERROR(SEARCH("fnd",Q45)))</formula>
    </cfRule>
  </conditionalFormatting>
  <conditionalFormatting sqref="Q53">
    <cfRule type="containsText" dxfId="1508" priority="2187" operator="containsText" text="Str">
      <formula>NOT(ISERROR(SEARCH("Str",Q53)))</formula>
    </cfRule>
    <cfRule type="containsText" dxfId="1507" priority="2188" operator="containsText" text="Ere">
      <formula>NOT(ISERROR(SEARCH("Ere",Q53)))</formula>
    </cfRule>
    <cfRule type="containsText" dxfId="1506" priority="2189" operator="containsText" text="Ear">
      <formula>NOT(ISERROR(SEARCH("Ear",Q53)))</formula>
    </cfRule>
    <cfRule type="containsText" dxfId="1505" priority="2190" operator="containsText" text="fnd">
      <formula>NOT(ISERROR(SEARCH("fnd",Q53)))</formula>
    </cfRule>
  </conditionalFormatting>
  <conditionalFormatting sqref="Q61">
    <cfRule type="containsText" dxfId="1504" priority="855" operator="containsText" text="Str">
      <formula>NOT(ISERROR(SEARCH("Str",Q61)))</formula>
    </cfRule>
    <cfRule type="containsText" dxfId="1503" priority="856" operator="containsText" text="Ere">
      <formula>NOT(ISERROR(SEARCH("Ere",Q61)))</formula>
    </cfRule>
    <cfRule type="containsText" dxfId="1502" priority="857" operator="containsText" text="Ear">
      <formula>NOT(ISERROR(SEARCH("Ear",Q61)))</formula>
    </cfRule>
    <cfRule type="containsText" dxfId="1501" priority="858" operator="containsText" text="fnd">
      <formula>NOT(ISERROR(SEARCH("fnd",Q61)))</formula>
    </cfRule>
  </conditionalFormatting>
  <conditionalFormatting sqref="Q77">
    <cfRule type="containsText" dxfId="1500" priority="827" operator="containsText" text="Str">
      <formula>NOT(ISERROR(SEARCH("Str",Q77)))</formula>
    </cfRule>
    <cfRule type="containsText" dxfId="1499" priority="828" operator="containsText" text="Ere">
      <formula>NOT(ISERROR(SEARCH("Ere",Q77)))</formula>
    </cfRule>
    <cfRule type="containsText" dxfId="1498" priority="829" operator="containsText" text="Ear">
      <formula>NOT(ISERROR(SEARCH("Ear",Q77)))</formula>
    </cfRule>
    <cfRule type="containsText" dxfId="1497" priority="830" operator="containsText" text="fnd">
      <formula>NOT(ISERROR(SEARCH("fnd",Q77)))</formula>
    </cfRule>
  </conditionalFormatting>
  <conditionalFormatting sqref="Q85">
    <cfRule type="containsText" dxfId="1496" priority="2167" operator="containsText" text="Str">
      <formula>NOT(ISERROR(SEARCH("Str",Q85)))</formula>
    </cfRule>
    <cfRule type="containsText" dxfId="1495" priority="2168" operator="containsText" text="Ere">
      <formula>NOT(ISERROR(SEARCH("Ere",Q85)))</formula>
    </cfRule>
    <cfRule type="containsText" dxfId="1494" priority="2169" operator="containsText" text="Ear">
      <formula>NOT(ISERROR(SEARCH("Ear",Q85)))</formula>
    </cfRule>
    <cfRule type="containsText" dxfId="1493" priority="2170" operator="containsText" text="fnd">
      <formula>NOT(ISERROR(SEARCH("fnd",Q85)))</formula>
    </cfRule>
  </conditionalFormatting>
  <conditionalFormatting sqref="Q93">
    <cfRule type="containsText" dxfId="1492" priority="1611" operator="containsText" text="Str">
      <formula>NOT(ISERROR(SEARCH("Str",Q93)))</formula>
    </cfRule>
    <cfRule type="containsText" dxfId="1491" priority="1612" operator="containsText" text="Ere">
      <formula>NOT(ISERROR(SEARCH("Ere",Q93)))</formula>
    </cfRule>
    <cfRule type="containsText" dxfId="1490" priority="1613" operator="containsText" text="Ear">
      <formula>NOT(ISERROR(SEARCH("Ear",Q93)))</formula>
    </cfRule>
    <cfRule type="containsText" dxfId="1489" priority="1614" operator="containsText" text="fnd">
      <formula>NOT(ISERROR(SEARCH("fnd",Q93)))</formula>
    </cfRule>
  </conditionalFormatting>
  <conditionalFormatting sqref="Q101">
    <cfRule type="containsText" dxfId="1488" priority="1575" operator="containsText" text="Str">
      <formula>NOT(ISERROR(SEARCH("Str",Q101)))</formula>
    </cfRule>
    <cfRule type="containsText" dxfId="1487" priority="1576" operator="containsText" text="Ere">
      <formula>NOT(ISERROR(SEARCH("Ere",Q101)))</formula>
    </cfRule>
    <cfRule type="containsText" dxfId="1486" priority="1577" operator="containsText" text="Ear">
      <formula>NOT(ISERROR(SEARCH("Ear",Q101)))</formula>
    </cfRule>
    <cfRule type="containsText" dxfId="1485" priority="1578" operator="containsText" text="fnd">
      <formula>NOT(ISERROR(SEARCH("fnd",Q101)))</formula>
    </cfRule>
  </conditionalFormatting>
  <conditionalFormatting sqref="Q109">
    <cfRule type="containsText" dxfId="1484" priority="1811" operator="containsText" text="Str">
      <formula>NOT(ISERROR(SEARCH("Str",Q109)))</formula>
    </cfRule>
    <cfRule type="containsText" dxfId="1483" priority="1812" operator="containsText" text="Ere">
      <formula>NOT(ISERROR(SEARCH("Ere",Q109)))</formula>
    </cfRule>
    <cfRule type="containsText" dxfId="1482" priority="1813" operator="containsText" text="Ear">
      <formula>NOT(ISERROR(SEARCH("Ear",Q109)))</formula>
    </cfRule>
    <cfRule type="containsText" dxfId="1481" priority="1814" operator="containsText" text="fnd">
      <formula>NOT(ISERROR(SEARCH("fnd",Q109)))</formula>
    </cfRule>
  </conditionalFormatting>
  <conditionalFormatting sqref="Q117">
    <cfRule type="containsText" dxfId="1480" priority="1435" operator="containsText" text="Str">
      <formula>NOT(ISERROR(SEARCH("Str",Q117)))</formula>
    </cfRule>
    <cfRule type="containsText" dxfId="1479" priority="1436" operator="containsText" text="Ere">
      <formula>NOT(ISERROR(SEARCH("Ere",Q117)))</formula>
    </cfRule>
    <cfRule type="containsText" dxfId="1478" priority="1437" operator="containsText" text="Ear">
      <formula>NOT(ISERROR(SEARCH("Ear",Q117)))</formula>
    </cfRule>
    <cfRule type="containsText" dxfId="1477" priority="1438" operator="containsText" text="fnd">
      <formula>NOT(ISERROR(SEARCH("fnd",Q117)))</formula>
    </cfRule>
  </conditionalFormatting>
  <conditionalFormatting sqref="Q125">
    <cfRule type="containsText" dxfId="1476" priority="549" operator="containsText" text="Str">
      <formula>NOT(ISERROR(SEARCH("Str",Q125)))</formula>
    </cfRule>
    <cfRule type="containsText" dxfId="1475" priority="550" operator="containsText" text="Ere">
      <formula>NOT(ISERROR(SEARCH("Ere",Q125)))</formula>
    </cfRule>
    <cfRule type="containsText" dxfId="1474" priority="551" operator="containsText" text="Ear">
      <formula>NOT(ISERROR(SEARCH("Ear",Q125)))</formula>
    </cfRule>
    <cfRule type="containsText" dxfId="1473" priority="552" operator="containsText" text="fnd">
      <formula>NOT(ISERROR(SEARCH("fnd",Q125)))</formula>
    </cfRule>
  </conditionalFormatting>
  <conditionalFormatting sqref="Q130 Q138 Q162 Q178">
    <cfRule type="containsText" dxfId="1472" priority="2083" operator="containsText" text="Str">
      <formula>NOT(ISERROR(SEARCH("Str",Q130)))</formula>
    </cfRule>
    <cfRule type="containsText" dxfId="1471" priority="2084" operator="containsText" text="Ere">
      <formula>NOT(ISERROR(SEARCH("Ere",Q130)))</formula>
    </cfRule>
    <cfRule type="containsText" dxfId="1470" priority="2085" operator="containsText" text="Ear">
      <formula>NOT(ISERROR(SEARCH("Ear",Q130)))</formula>
    </cfRule>
    <cfRule type="containsText" dxfId="1469" priority="2086" operator="containsText" text="fnd">
      <formula>NOT(ISERROR(SEARCH("fnd",Q130)))</formula>
    </cfRule>
  </conditionalFormatting>
  <conditionalFormatting sqref="Q133">
    <cfRule type="containsText" dxfId="1468" priority="37" operator="containsText" text="Str">
      <formula>NOT(ISERROR(SEARCH("Str",Q133)))</formula>
    </cfRule>
    <cfRule type="containsText" dxfId="1467" priority="38" operator="containsText" text="Ere">
      <formula>NOT(ISERROR(SEARCH("Ere",Q133)))</formula>
    </cfRule>
    <cfRule type="containsText" dxfId="1466" priority="39" operator="containsText" text="Ear">
      <formula>NOT(ISERROR(SEARCH("Ear",Q133)))</formula>
    </cfRule>
    <cfRule type="containsText" dxfId="1465" priority="40" operator="containsText" text="fnd">
      <formula>NOT(ISERROR(SEARCH("fnd",Q133)))</formula>
    </cfRule>
  </conditionalFormatting>
  <conditionalFormatting sqref="Q141">
    <cfRule type="containsText" dxfId="1464" priority="1295" operator="containsText" text="Str">
      <formula>NOT(ISERROR(SEARCH("Str",Q141)))</formula>
    </cfRule>
    <cfRule type="containsText" dxfId="1463" priority="1296" operator="containsText" text="Ere">
      <formula>NOT(ISERROR(SEARCH("Ere",Q141)))</formula>
    </cfRule>
    <cfRule type="containsText" dxfId="1462" priority="1297" operator="containsText" text="Ear">
      <formula>NOT(ISERROR(SEARCH("Ear",Q141)))</formula>
    </cfRule>
    <cfRule type="containsText" dxfId="1461" priority="1298" operator="containsText" text="fnd">
      <formula>NOT(ISERROR(SEARCH("fnd",Q141)))</formula>
    </cfRule>
  </conditionalFormatting>
  <conditionalFormatting sqref="Q149">
    <cfRule type="containsText" dxfId="1460" priority="1207" operator="containsText" text="Str">
      <formula>NOT(ISERROR(SEARCH("Str",Q149)))</formula>
    </cfRule>
    <cfRule type="containsText" dxfId="1459" priority="1208" operator="containsText" text="Ere">
      <formula>NOT(ISERROR(SEARCH("Ere",Q149)))</formula>
    </cfRule>
    <cfRule type="containsText" dxfId="1458" priority="1209" operator="containsText" text="Ear">
      <formula>NOT(ISERROR(SEARCH("Ear",Q149)))</formula>
    </cfRule>
    <cfRule type="containsText" dxfId="1457" priority="1210" operator="containsText" text="fnd">
      <formula>NOT(ISERROR(SEARCH("fnd",Q149)))</formula>
    </cfRule>
  </conditionalFormatting>
  <conditionalFormatting sqref="Q157">
    <cfRule type="containsText" dxfId="1456" priority="1147" operator="containsText" text="Str">
      <formula>NOT(ISERROR(SEARCH("Str",Q157)))</formula>
    </cfRule>
    <cfRule type="containsText" dxfId="1455" priority="1148" operator="containsText" text="Ere">
      <formula>NOT(ISERROR(SEARCH("Ere",Q157)))</formula>
    </cfRule>
    <cfRule type="containsText" dxfId="1454" priority="1149" operator="containsText" text="Ear">
      <formula>NOT(ISERROR(SEARCH("Ear",Q157)))</formula>
    </cfRule>
    <cfRule type="containsText" dxfId="1453" priority="1150" operator="containsText" text="fnd">
      <formula>NOT(ISERROR(SEARCH("fnd",Q157)))</formula>
    </cfRule>
  </conditionalFormatting>
  <conditionalFormatting sqref="Q165">
    <cfRule type="containsText" dxfId="1452" priority="1083" operator="containsText" text="Str">
      <formula>NOT(ISERROR(SEARCH("Str",Q165)))</formula>
    </cfRule>
    <cfRule type="containsText" dxfId="1451" priority="1084" operator="containsText" text="Ere">
      <formula>NOT(ISERROR(SEARCH("Ere",Q165)))</formula>
    </cfRule>
    <cfRule type="containsText" dxfId="1450" priority="1085" operator="containsText" text="Ear">
      <formula>NOT(ISERROR(SEARCH("Ear",Q165)))</formula>
    </cfRule>
    <cfRule type="containsText" dxfId="1449" priority="1086" operator="containsText" text="fnd">
      <formula>NOT(ISERROR(SEARCH("fnd",Q165)))</formula>
    </cfRule>
  </conditionalFormatting>
  <conditionalFormatting sqref="Q173">
    <cfRule type="containsText" dxfId="1448" priority="417" operator="containsText" text="Str">
      <formula>NOT(ISERROR(SEARCH("Str",Q173)))</formula>
    </cfRule>
    <cfRule type="containsText" dxfId="1447" priority="418" operator="containsText" text="Ere">
      <formula>NOT(ISERROR(SEARCH("Ere",Q173)))</formula>
    </cfRule>
    <cfRule type="containsText" dxfId="1446" priority="419" operator="containsText" text="Ear">
      <formula>NOT(ISERROR(SEARCH("Ear",Q173)))</formula>
    </cfRule>
    <cfRule type="containsText" dxfId="1445" priority="420" operator="containsText" text="fnd">
      <formula>NOT(ISERROR(SEARCH("fnd",Q173)))</formula>
    </cfRule>
  </conditionalFormatting>
  <conditionalFormatting sqref="Q181">
    <cfRule type="containsText" dxfId="1444" priority="137" operator="containsText" text="Str">
      <formula>NOT(ISERROR(SEARCH("Str",Q181)))</formula>
    </cfRule>
    <cfRule type="containsText" dxfId="1443" priority="138" operator="containsText" text="Ere">
      <formula>NOT(ISERROR(SEARCH("Ere",Q181)))</formula>
    </cfRule>
    <cfRule type="containsText" dxfId="1442" priority="139" operator="containsText" text="Ear">
      <formula>NOT(ISERROR(SEARCH("Ear",Q181)))</formula>
    </cfRule>
    <cfRule type="containsText" dxfId="1441" priority="140" operator="containsText" text="fnd">
      <formula>NOT(ISERROR(SEARCH("fnd",Q181)))</formula>
    </cfRule>
  </conditionalFormatting>
  <conditionalFormatting sqref="Q30:R30">
    <cfRule type="containsText" dxfId="1440" priority="691" operator="containsText" text="Str">
      <formula>NOT(ISERROR(SEARCH("Str",Q30)))</formula>
    </cfRule>
    <cfRule type="containsText" dxfId="1439" priority="692" operator="containsText" text="Ere">
      <formula>NOT(ISERROR(SEARCH("Ere",Q30)))</formula>
    </cfRule>
    <cfRule type="containsText" dxfId="1438" priority="693" operator="containsText" text="Ear">
      <formula>NOT(ISERROR(SEARCH("Ear",Q30)))</formula>
    </cfRule>
    <cfRule type="containsText" dxfId="1437" priority="694" operator="containsText" text="fnd">
      <formula>NOT(ISERROR(SEARCH("fnd",Q30)))</formula>
    </cfRule>
  </conditionalFormatting>
  <conditionalFormatting sqref="Q54:R54">
    <cfRule type="containsText" dxfId="1436" priority="2347" operator="containsText" text="Str">
      <formula>NOT(ISERROR(SEARCH("Str",Q54)))</formula>
    </cfRule>
    <cfRule type="containsText" dxfId="1435" priority="2348" operator="containsText" text="Ere">
      <formula>NOT(ISERROR(SEARCH("Ere",Q54)))</formula>
    </cfRule>
    <cfRule type="containsText" dxfId="1434" priority="2349" operator="containsText" text="Ear">
      <formula>NOT(ISERROR(SEARCH("Ear",Q54)))</formula>
    </cfRule>
    <cfRule type="containsText" dxfId="1433" priority="2350" operator="containsText" text="fnd">
      <formula>NOT(ISERROR(SEARCH("fnd",Q54)))</formula>
    </cfRule>
  </conditionalFormatting>
  <conditionalFormatting sqref="Q78:R78">
    <cfRule type="containsText" dxfId="1432" priority="831" operator="containsText" text="Str">
      <formula>NOT(ISERROR(SEARCH("Str",Q78)))</formula>
    </cfRule>
    <cfRule type="containsText" dxfId="1431" priority="832" operator="containsText" text="Ere">
      <formula>NOT(ISERROR(SEARCH("Ere",Q78)))</formula>
    </cfRule>
    <cfRule type="containsText" dxfId="1430" priority="833" operator="containsText" text="Ear">
      <formula>NOT(ISERROR(SEARCH("Ear",Q78)))</formula>
    </cfRule>
    <cfRule type="containsText" dxfId="1429" priority="834" operator="containsText" text="fnd">
      <formula>NOT(ISERROR(SEARCH("fnd",Q78)))</formula>
    </cfRule>
  </conditionalFormatting>
  <conditionalFormatting sqref="Q86:R86">
    <cfRule type="containsText" dxfId="1428" priority="2215" operator="containsText" text="Str">
      <formula>NOT(ISERROR(SEARCH("Str",Q86)))</formula>
    </cfRule>
    <cfRule type="containsText" dxfId="1427" priority="2216" operator="containsText" text="Ere">
      <formula>NOT(ISERROR(SEARCH("Ere",Q86)))</formula>
    </cfRule>
    <cfRule type="containsText" dxfId="1426" priority="2217" operator="containsText" text="Ear">
      <formula>NOT(ISERROR(SEARCH("Ear",Q86)))</formula>
    </cfRule>
    <cfRule type="containsText" dxfId="1425" priority="2218" operator="containsText" text="fnd">
      <formula>NOT(ISERROR(SEARCH("fnd",Q86)))</formula>
    </cfRule>
  </conditionalFormatting>
  <conditionalFormatting sqref="Q94:R94">
    <cfRule type="containsText" dxfId="1424" priority="1615" operator="containsText" text="Str">
      <formula>NOT(ISERROR(SEARCH("Str",Q94)))</formula>
    </cfRule>
    <cfRule type="containsText" dxfId="1423" priority="1616" operator="containsText" text="Ere">
      <formula>NOT(ISERROR(SEARCH("Ere",Q94)))</formula>
    </cfRule>
    <cfRule type="containsText" dxfId="1422" priority="1617" operator="containsText" text="Ear">
      <formula>NOT(ISERROR(SEARCH("Ear",Q94)))</formula>
    </cfRule>
    <cfRule type="containsText" dxfId="1421" priority="1618" operator="containsText" text="fnd">
      <formula>NOT(ISERROR(SEARCH("fnd",Q94)))</formula>
    </cfRule>
  </conditionalFormatting>
  <conditionalFormatting sqref="Q102:R102">
    <cfRule type="containsText" dxfId="1420" priority="1579" operator="containsText" text="Str">
      <formula>NOT(ISERROR(SEARCH("Str",Q102)))</formula>
    </cfRule>
    <cfRule type="containsText" dxfId="1419" priority="1580" operator="containsText" text="Ere">
      <formula>NOT(ISERROR(SEARCH("Ere",Q102)))</formula>
    </cfRule>
    <cfRule type="containsText" dxfId="1418" priority="1581" operator="containsText" text="Ear">
      <formula>NOT(ISERROR(SEARCH("Ear",Q102)))</formula>
    </cfRule>
    <cfRule type="containsText" dxfId="1417" priority="1582" operator="containsText" text="fnd">
      <formula>NOT(ISERROR(SEARCH("fnd",Q102)))</formula>
    </cfRule>
  </conditionalFormatting>
  <conditionalFormatting sqref="Q110:R110">
    <cfRule type="containsText" dxfId="1416" priority="1815" operator="containsText" text="Str">
      <formula>NOT(ISERROR(SEARCH("Str",Q110)))</formula>
    </cfRule>
    <cfRule type="containsText" dxfId="1415" priority="1816" operator="containsText" text="Ere">
      <formula>NOT(ISERROR(SEARCH("Ere",Q110)))</formula>
    </cfRule>
    <cfRule type="containsText" dxfId="1414" priority="1817" operator="containsText" text="Ear">
      <formula>NOT(ISERROR(SEARCH("Ear",Q110)))</formula>
    </cfRule>
    <cfRule type="containsText" dxfId="1413" priority="1818" operator="containsText" text="fnd">
      <formula>NOT(ISERROR(SEARCH("fnd",Q110)))</formula>
    </cfRule>
  </conditionalFormatting>
  <conditionalFormatting sqref="Q118:R118">
    <cfRule type="containsText" dxfId="1412" priority="1439" operator="containsText" text="Str">
      <formula>NOT(ISERROR(SEARCH("Str",Q118)))</formula>
    </cfRule>
    <cfRule type="containsText" dxfId="1411" priority="1440" operator="containsText" text="Ere">
      <formula>NOT(ISERROR(SEARCH("Ere",Q118)))</formula>
    </cfRule>
    <cfRule type="containsText" dxfId="1410" priority="1441" operator="containsText" text="Ear">
      <formula>NOT(ISERROR(SEARCH("Ear",Q118)))</formula>
    </cfRule>
    <cfRule type="containsText" dxfId="1409" priority="1442" operator="containsText" text="fnd">
      <formula>NOT(ISERROR(SEARCH("fnd",Q118)))</formula>
    </cfRule>
  </conditionalFormatting>
  <conditionalFormatting sqref="Q126:R126">
    <cfRule type="containsText" dxfId="1408" priority="553" operator="containsText" text="Str">
      <formula>NOT(ISERROR(SEARCH("Str",Q126)))</formula>
    </cfRule>
    <cfRule type="containsText" dxfId="1407" priority="554" operator="containsText" text="Ere">
      <formula>NOT(ISERROR(SEARCH("Ere",Q126)))</formula>
    </cfRule>
    <cfRule type="containsText" dxfId="1406" priority="555" operator="containsText" text="Ear">
      <formula>NOT(ISERROR(SEARCH("Ear",Q126)))</formula>
    </cfRule>
    <cfRule type="containsText" dxfId="1405" priority="556" operator="containsText" text="fnd">
      <formula>NOT(ISERROR(SEARCH("fnd",Q126)))</formula>
    </cfRule>
  </conditionalFormatting>
  <conditionalFormatting sqref="Q134:R134">
    <cfRule type="containsText" dxfId="1404" priority="41" operator="containsText" text="Str">
      <formula>NOT(ISERROR(SEARCH("Str",Q134)))</formula>
    </cfRule>
    <cfRule type="containsText" dxfId="1403" priority="42" operator="containsText" text="Ere">
      <formula>NOT(ISERROR(SEARCH("Ere",Q134)))</formula>
    </cfRule>
    <cfRule type="containsText" dxfId="1402" priority="43" operator="containsText" text="Ear">
      <formula>NOT(ISERROR(SEARCH("Ear",Q134)))</formula>
    </cfRule>
    <cfRule type="containsText" dxfId="1401" priority="44" operator="containsText" text="fnd">
      <formula>NOT(ISERROR(SEARCH("fnd",Q134)))</formula>
    </cfRule>
  </conditionalFormatting>
  <conditionalFormatting sqref="Q142:R142">
    <cfRule type="containsText" dxfId="1400" priority="1299" operator="containsText" text="Str">
      <formula>NOT(ISERROR(SEARCH("Str",Q142)))</formula>
    </cfRule>
    <cfRule type="containsText" dxfId="1399" priority="1300" operator="containsText" text="Ere">
      <formula>NOT(ISERROR(SEARCH("Ere",Q142)))</formula>
    </cfRule>
    <cfRule type="containsText" dxfId="1398" priority="1301" operator="containsText" text="Ear">
      <formula>NOT(ISERROR(SEARCH("Ear",Q142)))</formula>
    </cfRule>
    <cfRule type="containsText" dxfId="1397" priority="1302" operator="containsText" text="fnd">
      <formula>NOT(ISERROR(SEARCH("fnd",Q142)))</formula>
    </cfRule>
  </conditionalFormatting>
  <conditionalFormatting sqref="Q150:R150">
    <cfRule type="containsText" dxfId="1396" priority="1211" operator="containsText" text="Str">
      <formula>NOT(ISERROR(SEARCH("Str",Q150)))</formula>
    </cfRule>
    <cfRule type="containsText" dxfId="1395" priority="1212" operator="containsText" text="Ere">
      <formula>NOT(ISERROR(SEARCH("Ere",Q150)))</formula>
    </cfRule>
    <cfRule type="containsText" dxfId="1394" priority="1213" operator="containsText" text="Ear">
      <formula>NOT(ISERROR(SEARCH("Ear",Q150)))</formula>
    </cfRule>
    <cfRule type="containsText" dxfId="1393" priority="1214" operator="containsText" text="fnd">
      <formula>NOT(ISERROR(SEARCH("fnd",Q150)))</formula>
    </cfRule>
  </conditionalFormatting>
  <conditionalFormatting sqref="Q166:R166">
    <cfRule type="containsText" dxfId="1392" priority="1087" operator="containsText" text="Str">
      <formula>NOT(ISERROR(SEARCH("Str",Q166)))</formula>
    </cfRule>
    <cfRule type="containsText" dxfId="1391" priority="1088" operator="containsText" text="Ere">
      <formula>NOT(ISERROR(SEARCH("Ere",Q166)))</formula>
    </cfRule>
    <cfRule type="containsText" dxfId="1390" priority="1089" operator="containsText" text="Ear">
      <formula>NOT(ISERROR(SEARCH("Ear",Q166)))</formula>
    </cfRule>
    <cfRule type="containsText" dxfId="1389" priority="1090" operator="containsText" text="fnd">
      <formula>NOT(ISERROR(SEARCH("fnd",Q166)))</formula>
    </cfRule>
  </conditionalFormatting>
  <conditionalFormatting sqref="Q174:R174">
    <cfRule type="containsText" dxfId="1388" priority="421" operator="containsText" text="Str">
      <formula>NOT(ISERROR(SEARCH("Str",Q174)))</formula>
    </cfRule>
    <cfRule type="containsText" dxfId="1387" priority="422" operator="containsText" text="Ere">
      <formula>NOT(ISERROR(SEARCH("Ere",Q174)))</formula>
    </cfRule>
    <cfRule type="containsText" dxfId="1386" priority="423" operator="containsText" text="Ear">
      <formula>NOT(ISERROR(SEARCH("Ear",Q174)))</formula>
    </cfRule>
    <cfRule type="containsText" dxfId="1385" priority="424" operator="containsText" text="fnd">
      <formula>NOT(ISERROR(SEARCH("fnd",Q174)))</formula>
    </cfRule>
  </conditionalFormatting>
  <conditionalFormatting sqref="Q182:R182">
    <cfRule type="containsText" dxfId="1384" priority="141" operator="containsText" text="Str">
      <formula>NOT(ISERROR(SEARCH("Str",Q182)))</formula>
    </cfRule>
    <cfRule type="containsText" dxfId="1383" priority="142" operator="containsText" text="Ere">
      <formula>NOT(ISERROR(SEARCH("Ere",Q182)))</formula>
    </cfRule>
    <cfRule type="containsText" dxfId="1382" priority="143" operator="containsText" text="Ear">
      <formula>NOT(ISERROR(SEARCH("Ear",Q182)))</formula>
    </cfRule>
    <cfRule type="containsText" dxfId="1381" priority="144" operator="containsText" text="fnd">
      <formula>NOT(ISERROR(SEARCH("fnd",Q182)))</formula>
    </cfRule>
  </conditionalFormatting>
  <conditionalFormatting sqref="R6">
    <cfRule type="containsText" dxfId="1380" priority="221" operator="containsText" text="Str">
      <formula>NOT(ISERROR(SEARCH("Str",R6)))</formula>
    </cfRule>
    <cfRule type="containsText" dxfId="1379" priority="222" operator="containsText" text="Ere">
      <formula>NOT(ISERROR(SEARCH("Ere",R6)))</formula>
    </cfRule>
    <cfRule type="containsText" dxfId="1378" priority="223" operator="containsText" text="Ear">
      <formula>NOT(ISERROR(SEARCH("Ear",R6)))</formula>
    </cfRule>
    <cfRule type="containsText" dxfId="1377" priority="224" operator="containsText" text="fnd">
      <formula>NOT(ISERROR(SEARCH("fnd",R6)))</formula>
    </cfRule>
  </conditionalFormatting>
  <conditionalFormatting sqref="R14">
    <cfRule type="containsText" dxfId="1376" priority="1763" operator="containsText" text="Str">
      <formula>NOT(ISERROR(SEARCH("Str",R14)))</formula>
    </cfRule>
    <cfRule type="containsText" dxfId="1375" priority="1764" operator="containsText" text="Ere">
      <formula>NOT(ISERROR(SEARCH("Ere",R14)))</formula>
    </cfRule>
    <cfRule type="containsText" dxfId="1374" priority="1765" operator="containsText" text="Ear">
      <formula>NOT(ISERROR(SEARCH("Ear",R14)))</formula>
    </cfRule>
    <cfRule type="containsText" dxfId="1373" priority="1766" operator="containsText" text="fnd">
      <formula>NOT(ISERROR(SEARCH("fnd",R14)))</formula>
    </cfRule>
  </conditionalFormatting>
  <conditionalFormatting sqref="R22">
    <cfRule type="containsText" dxfId="1372" priority="1631" operator="containsText" text="Str">
      <formula>NOT(ISERROR(SEARCH("Str",R22)))</formula>
    </cfRule>
    <cfRule type="containsText" dxfId="1371" priority="1632" operator="containsText" text="Ere">
      <formula>NOT(ISERROR(SEARCH("Ere",R22)))</formula>
    </cfRule>
    <cfRule type="containsText" dxfId="1370" priority="1633" operator="containsText" text="Ear">
      <formula>NOT(ISERROR(SEARCH("Ear",R22)))</formula>
    </cfRule>
    <cfRule type="containsText" dxfId="1369" priority="1634" operator="containsText" text="fnd">
      <formula>NOT(ISERROR(SEARCH("fnd",R22)))</formula>
    </cfRule>
  </conditionalFormatting>
  <conditionalFormatting sqref="R38">
    <cfRule type="containsText" dxfId="1368" priority="2115" operator="containsText" text="Str">
      <formula>NOT(ISERROR(SEARCH("Str",R38)))</formula>
    </cfRule>
    <cfRule type="containsText" dxfId="1367" priority="2116" operator="containsText" text="Ere">
      <formula>NOT(ISERROR(SEARCH("Ere",R38)))</formula>
    </cfRule>
    <cfRule type="containsText" dxfId="1366" priority="2117" operator="containsText" text="Ear">
      <formula>NOT(ISERROR(SEARCH("Ear",R38)))</formula>
    </cfRule>
    <cfRule type="containsText" dxfId="1365" priority="2118" operator="containsText" text="fnd">
      <formula>NOT(ISERROR(SEARCH("fnd",R38)))</formula>
    </cfRule>
  </conditionalFormatting>
  <conditionalFormatting sqref="S122 T130 T138 T162 T170 T178">
    <cfRule type="containsText" dxfId="1364" priority="2067" operator="containsText" text="Str">
      <formula>NOT(ISERROR(SEARCH("Str",S122)))</formula>
    </cfRule>
    <cfRule type="containsText" dxfId="1363" priority="2068" operator="containsText" text="Ere">
      <formula>NOT(ISERROR(SEARCH("Ere",S122)))</formula>
    </cfRule>
    <cfRule type="containsText" dxfId="1362" priority="2069" operator="containsText" text="Ear">
      <formula>NOT(ISERROR(SEARCH("Ear",S122)))</formula>
    </cfRule>
    <cfRule type="containsText" dxfId="1361" priority="2070" operator="containsText" text="fnd">
      <formula>NOT(ISERROR(SEARCH("fnd",S122)))</formula>
    </cfRule>
  </conditionalFormatting>
  <conditionalFormatting sqref="T5">
    <cfRule type="containsText" dxfId="1360" priority="217" operator="containsText" text="Str">
      <formula>NOT(ISERROR(SEARCH("Str",T5)))</formula>
    </cfRule>
    <cfRule type="containsText" dxfId="1359" priority="218" operator="containsText" text="Ere">
      <formula>NOT(ISERROR(SEARCH("Ere",T5)))</formula>
    </cfRule>
    <cfRule type="containsText" dxfId="1358" priority="219" operator="containsText" text="Ear">
      <formula>NOT(ISERROR(SEARCH("Ear",T5)))</formula>
    </cfRule>
    <cfRule type="containsText" dxfId="1357" priority="220" operator="containsText" text="fnd">
      <formula>NOT(ISERROR(SEARCH("fnd",T5)))</formula>
    </cfRule>
  </conditionalFormatting>
  <conditionalFormatting sqref="T13:T14">
    <cfRule type="containsText" dxfId="1356" priority="445" operator="containsText" text="Str">
      <formula>NOT(ISERROR(SEARCH("Str",T13)))</formula>
    </cfRule>
    <cfRule type="containsText" dxfId="1355" priority="446" operator="containsText" text="Ere">
      <formula>NOT(ISERROR(SEARCH("Ere",T13)))</formula>
    </cfRule>
    <cfRule type="containsText" dxfId="1354" priority="447" operator="containsText" text="Ear">
      <formula>NOT(ISERROR(SEARCH("Ear",T13)))</formula>
    </cfRule>
    <cfRule type="containsText" dxfId="1353" priority="448" operator="containsText" text="fnd">
      <formula>NOT(ISERROR(SEARCH("fnd",T13)))</formula>
    </cfRule>
  </conditionalFormatting>
  <conditionalFormatting sqref="T21:T22">
    <cfRule type="containsText" dxfId="1352" priority="1543" operator="containsText" text="Str">
      <formula>NOT(ISERROR(SEARCH("Str",T21)))</formula>
    </cfRule>
    <cfRule type="containsText" dxfId="1351" priority="1544" operator="containsText" text="Ere">
      <formula>NOT(ISERROR(SEARCH("Ere",T21)))</formula>
    </cfRule>
    <cfRule type="containsText" dxfId="1350" priority="1545" operator="containsText" text="Ear">
      <formula>NOT(ISERROR(SEARCH("Ear",T21)))</formula>
    </cfRule>
    <cfRule type="containsText" dxfId="1349" priority="1546" operator="containsText" text="fnd">
      <formula>NOT(ISERROR(SEARCH("fnd",T21)))</formula>
    </cfRule>
  </conditionalFormatting>
  <conditionalFormatting sqref="T29">
    <cfRule type="containsText" dxfId="1348" priority="341" operator="containsText" text="Str">
      <formula>NOT(ISERROR(SEARCH("Str",T29)))</formula>
    </cfRule>
    <cfRule type="containsText" dxfId="1347" priority="342" operator="containsText" text="Ere">
      <formula>NOT(ISERROR(SEARCH("Ere",T29)))</formula>
    </cfRule>
    <cfRule type="containsText" dxfId="1346" priority="343" operator="containsText" text="Ear">
      <formula>NOT(ISERROR(SEARCH("Ear",T29)))</formula>
    </cfRule>
    <cfRule type="containsText" dxfId="1345" priority="344" operator="containsText" text="fnd">
      <formula>NOT(ISERROR(SEARCH("fnd",T29)))</formula>
    </cfRule>
  </conditionalFormatting>
  <conditionalFormatting sqref="T37">
    <cfRule type="containsText" dxfId="1344" priority="1711" operator="containsText" text="Str">
      <formula>NOT(ISERROR(SEARCH("Str",T37)))</formula>
    </cfRule>
    <cfRule type="containsText" dxfId="1343" priority="1712" operator="containsText" text="Ere">
      <formula>NOT(ISERROR(SEARCH("Ere",T37)))</formula>
    </cfRule>
    <cfRule type="containsText" dxfId="1342" priority="1713" operator="containsText" text="Ear">
      <formula>NOT(ISERROR(SEARCH("Ear",T37)))</formula>
    </cfRule>
    <cfRule type="containsText" dxfId="1341" priority="1714" operator="containsText" text="fnd">
      <formula>NOT(ISERROR(SEARCH("fnd",T37)))</formula>
    </cfRule>
  </conditionalFormatting>
  <conditionalFormatting sqref="T53">
    <cfRule type="containsText" dxfId="1340" priority="2171" operator="containsText" text="Str">
      <formula>NOT(ISERROR(SEARCH("Str",T53)))</formula>
    </cfRule>
    <cfRule type="containsText" dxfId="1339" priority="2172" operator="containsText" text="Ere">
      <formula>NOT(ISERROR(SEARCH("Ere",T53)))</formula>
    </cfRule>
    <cfRule type="containsText" dxfId="1338" priority="2173" operator="containsText" text="Ear">
      <formula>NOT(ISERROR(SEARCH("Ear",T53)))</formula>
    </cfRule>
    <cfRule type="containsText" dxfId="1337" priority="2174" operator="containsText" text="fnd">
      <formula>NOT(ISERROR(SEARCH("fnd",T53)))</formula>
    </cfRule>
  </conditionalFormatting>
  <conditionalFormatting sqref="T61">
    <cfRule type="containsText" dxfId="1336" priority="2095" operator="containsText" text="Str">
      <formula>NOT(ISERROR(SEARCH("Str",T61)))</formula>
    </cfRule>
    <cfRule type="containsText" dxfId="1335" priority="2096" operator="containsText" text="Ere">
      <formula>NOT(ISERROR(SEARCH("Ere",T61)))</formula>
    </cfRule>
    <cfRule type="containsText" dxfId="1334" priority="2097" operator="containsText" text="Ear">
      <formula>NOT(ISERROR(SEARCH("Ear",T61)))</formula>
    </cfRule>
    <cfRule type="containsText" dxfId="1333" priority="2098" operator="containsText" text="fnd">
      <formula>NOT(ISERROR(SEARCH("fnd",T61)))</formula>
    </cfRule>
  </conditionalFormatting>
  <conditionalFormatting sqref="T85">
    <cfRule type="containsText" dxfId="1332" priority="2163" operator="containsText" text="Str">
      <formula>NOT(ISERROR(SEARCH("Str",T85)))</formula>
    </cfRule>
    <cfRule type="containsText" dxfId="1331" priority="2164" operator="containsText" text="Ere">
      <formula>NOT(ISERROR(SEARCH("Ere",T85)))</formula>
    </cfRule>
    <cfRule type="containsText" dxfId="1330" priority="2165" operator="containsText" text="Ear">
      <formula>NOT(ISERROR(SEARCH("Ear",T85)))</formula>
    </cfRule>
    <cfRule type="containsText" dxfId="1329" priority="2166" operator="containsText" text="fnd">
      <formula>NOT(ISERROR(SEARCH("fnd",T85)))</formula>
    </cfRule>
  </conditionalFormatting>
  <conditionalFormatting sqref="T93">
    <cfRule type="containsText" dxfId="1328" priority="2259" operator="containsText" text="Str">
      <formula>NOT(ISERROR(SEARCH("Str",T93)))</formula>
    </cfRule>
    <cfRule type="containsText" dxfId="1327" priority="2260" operator="containsText" text="Ere">
      <formula>NOT(ISERROR(SEARCH("Ere",T93)))</formula>
    </cfRule>
    <cfRule type="containsText" dxfId="1326" priority="2261" operator="containsText" text="Ear">
      <formula>NOT(ISERROR(SEARCH("Ear",T93)))</formula>
    </cfRule>
    <cfRule type="containsText" dxfId="1325" priority="2262" operator="containsText" text="fnd">
      <formula>NOT(ISERROR(SEARCH("fnd",T93)))</formula>
    </cfRule>
  </conditionalFormatting>
  <conditionalFormatting sqref="T101">
    <cfRule type="containsText" dxfId="1324" priority="2235" operator="containsText" text="Str">
      <formula>NOT(ISERROR(SEARCH("Str",T101)))</formula>
    </cfRule>
    <cfRule type="containsText" dxfId="1323" priority="2236" operator="containsText" text="Ere">
      <formula>NOT(ISERROR(SEARCH("Ere",T101)))</formula>
    </cfRule>
    <cfRule type="containsText" dxfId="1322" priority="2237" operator="containsText" text="Ear">
      <formula>NOT(ISERROR(SEARCH("Ear",T101)))</formula>
    </cfRule>
    <cfRule type="containsText" dxfId="1321" priority="2238" operator="containsText" text="fnd">
      <formula>NOT(ISERROR(SEARCH("fnd",T101)))</formula>
    </cfRule>
  </conditionalFormatting>
  <conditionalFormatting sqref="T109">
    <cfRule type="containsText" dxfId="1320" priority="1795" operator="containsText" text="Str">
      <formula>NOT(ISERROR(SEARCH("Str",T109)))</formula>
    </cfRule>
    <cfRule type="containsText" dxfId="1319" priority="1796" operator="containsText" text="Ere">
      <formula>NOT(ISERROR(SEARCH("Ere",T109)))</formula>
    </cfRule>
    <cfRule type="containsText" dxfId="1318" priority="1797" operator="containsText" text="Ear">
      <formula>NOT(ISERROR(SEARCH("Ear",T109)))</formula>
    </cfRule>
    <cfRule type="containsText" dxfId="1317" priority="1798" operator="containsText" text="fnd">
      <formula>NOT(ISERROR(SEARCH("fnd",T109)))</formula>
    </cfRule>
  </conditionalFormatting>
  <conditionalFormatting sqref="T117">
    <cfRule type="containsText" dxfId="1316" priority="1427" operator="containsText" text="Str">
      <formula>NOT(ISERROR(SEARCH("Str",T117)))</formula>
    </cfRule>
    <cfRule type="containsText" dxfId="1315" priority="1428" operator="containsText" text="Ere">
      <formula>NOT(ISERROR(SEARCH("Ere",T117)))</formula>
    </cfRule>
    <cfRule type="containsText" dxfId="1314" priority="1429" operator="containsText" text="Ear">
      <formula>NOT(ISERROR(SEARCH("Ear",T117)))</formula>
    </cfRule>
    <cfRule type="containsText" dxfId="1313" priority="1430" operator="containsText" text="fnd">
      <formula>NOT(ISERROR(SEARCH("fnd",T117)))</formula>
    </cfRule>
  </conditionalFormatting>
  <conditionalFormatting sqref="T125">
    <cfRule type="containsText" dxfId="1312" priority="603" operator="containsText" text="Str">
      <formula>NOT(ISERROR(SEARCH("Str",T125)))</formula>
    </cfRule>
    <cfRule type="containsText" dxfId="1311" priority="604" operator="containsText" text="Ere">
      <formula>NOT(ISERROR(SEARCH("Ere",T125)))</formula>
    </cfRule>
    <cfRule type="containsText" dxfId="1310" priority="605" operator="containsText" text="Ear">
      <formula>NOT(ISERROR(SEARCH("Ear",T125)))</formula>
    </cfRule>
    <cfRule type="containsText" dxfId="1309" priority="606" operator="containsText" text="fnd">
      <formula>NOT(ISERROR(SEARCH("fnd",T125)))</formula>
    </cfRule>
  </conditionalFormatting>
  <conditionalFormatting sqref="T133">
    <cfRule type="containsText" dxfId="1308" priority="377" operator="containsText" text="Str">
      <formula>NOT(ISERROR(SEARCH("Str",T133)))</formula>
    </cfRule>
    <cfRule type="containsText" dxfId="1307" priority="378" operator="containsText" text="Ere">
      <formula>NOT(ISERROR(SEARCH("Ere",T133)))</formula>
    </cfRule>
    <cfRule type="containsText" dxfId="1306" priority="379" operator="containsText" text="Ear">
      <formula>NOT(ISERROR(SEARCH("Ear",T133)))</formula>
    </cfRule>
    <cfRule type="containsText" dxfId="1305" priority="380" operator="containsText" text="fnd">
      <formula>NOT(ISERROR(SEARCH("fnd",T133)))</formula>
    </cfRule>
  </conditionalFormatting>
  <conditionalFormatting sqref="T141">
    <cfRule type="containsText" dxfId="1304" priority="1287" operator="containsText" text="Str">
      <formula>NOT(ISERROR(SEARCH("Str",T141)))</formula>
    </cfRule>
    <cfRule type="containsText" dxfId="1303" priority="1288" operator="containsText" text="Ere">
      <formula>NOT(ISERROR(SEARCH("Ere",T141)))</formula>
    </cfRule>
    <cfRule type="containsText" dxfId="1302" priority="1289" operator="containsText" text="Ear">
      <formula>NOT(ISERROR(SEARCH("Ear",T141)))</formula>
    </cfRule>
    <cfRule type="containsText" dxfId="1301" priority="1290" operator="containsText" text="fnd">
      <formula>NOT(ISERROR(SEARCH("fnd",T141)))</formula>
    </cfRule>
  </conditionalFormatting>
  <conditionalFormatting sqref="T149">
    <cfRule type="containsText" dxfId="1300" priority="1199" operator="containsText" text="Str">
      <formula>NOT(ISERROR(SEARCH("Str",T149)))</formula>
    </cfRule>
    <cfRule type="containsText" dxfId="1299" priority="1200" operator="containsText" text="Ere">
      <formula>NOT(ISERROR(SEARCH("Ere",T149)))</formula>
    </cfRule>
    <cfRule type="containsText" dxfId="1298" priority="1201" operator="containsText" text="Ear">
      <formula>NOT(ISERROR(SEARCH("Ear",T149)))</formula>
    </cfRule>
    <cfRule type="containsText" dxfId="1297" priority="1202" operator="containsText" text="fnd">
      <formula>NOT(ISERROR(SEARCH("fnd",T149)))</formula>
    </cfRule>
  </conditionalFormatting>
  <conditionalFormatting sqref="T157">
    <cfRule type="containsText" dxfId="1296" priority="1139" operator="containsText" text="Str">
      <formula>NOT(ISERROR(SEARCH("Str",T157)))</formula>
    </cfRule>
    <cfRule type="containsText" dxfId="1295" priority="1140" operator="containsText" text="Ere">
      <formula>NOT(ISERROR(SEARCH("Ere",T157)))</formula>
    </cfRule>
    <cfRule type="containsText" dxfId="1294" priority="1141" operator="containsText" text="Ear">
      <formula>NOT(ISERROR(SEARCH("Ear",T157)))</formula>
    </cfRule>
    <cfRule type="containsText" dxfId="1293" priority="1142" operator="containsText" text="fnd">
      <formula>NOT(ISERROR(SEARCH("fnd",T157)))</formula>
    </cfRule>
  </conditionalFormatting>
  <conditionalFormatting sqref="T165">
    <cfRule type="containsText" dxfId="1292" priority="1075" operator="containsText" text="Str">
      <formula>NOT(ISERROR(SEARCH("Str",T165)))</formula>
    </cfRule>
    <cfRule type="containsText" dxfId="1291" priority="1076" operator="containsText" text="Ere">
      <formula>NOT(ISERROR(SEARCH("Ere",T165)))</formula>
    </cfRule>
    <cfRule type="containsText" dxfId="1290" priority="1077" operator="containsText" text="Ear">
      <formula>NOT(ISERROR(SEARCH("Ear",T165)))</formula>
    </cfRule>
    <cfRule type="containsText" dxfId="1289" priority="1078" operator="containsText" text="fnd">
      <formula>NOT(ISERROR(SEARCH("fnd",T165)))</formula>
    </cfRule>
  </conditionalFormatting>
  <conditionalFormatting sqref="T173">
    <cfRule type="containsText" dxfId="1288" priority="1019" operator="containsText" text="Str">
      <formula>NOT(ISERROR(SEARCH("Str",T173)))</formula>
    </cfRule>
    <cfRule type="containsText" dxfId="1287" priority="1020" operator="containsText" text="Ere">
      <formula>NOT(ISERROR(SEARCH("Ere",T173)))</formula>
    </cfRule>
    <cfRule type="containsText" dxfId="1286" priority="1021" operator="containsText" text="Ear">
      <formula>NOT(ISERROR(SEARCH("Ear",T173)))</formula>
    </cfRule>
    <cfRule type="containsText" dxfId="1285" priority="1022" operator="containsText" text="fnd">
      <formula>NOT(ISERROR(SEARCH("fnd",T173)))</formula>
    </cfRule>
  </conditionalFormatting>
  <conditionalFormatting sqref="T181">
    <cfRule type="containsText" dxfId="1284" priority="129" operator="containsText" text="Str">
      <formula>NOT(ISERROR(SEARCH("Str",T181)))</formula>
    </cfRule>
    <cfRule type="containsText" dxfId="1283" priority="130" operator="containsText" text="Ere">
      <formula>NOT(ISERROR(SEARCH("Ere",T181)))</formula>
    </cfRule>
    <cfRule type="containsText" dxfId="1282" priority="131" operator="containsText" text="Ear">
      <formula>NOT(ISERROR(SEARCH("Ear",T181)))</formula>
    </cfRule>
    <cfRule type="containsText" dxfId="1281" priority="132" operator="containsText" text="fnd">
      <formula>NOT(ISERROR(SEARCH("fnd",T181)))</formula>
    </cfRule>
  </conditionalFormatting>
  <conditionalFormatting sqref="T30:U30">
    <cfRule type="containsText" dxfId="1280" priority="345" operator="containsText" text="Str">
      <formula>NOT(ISERROR(SEARCH("Str",T30)))</formula>
    </cfRule>
    <cfRule type="containsText" dxfId="1279" priority="346" operator="containsText" text="Ere">
      <formula>NOT(ISERROR(SEARCH("Ere",T30)))</formula>
    </cfRule>
    <cfRule type="containsText" dxfId="1278" priority="347" operator="containsText" text="Ear">
      <formula>NOT(ISERROR(SEARCH("Ear",T30)))</formula>
    </cfRule>
    <cfRule type="containsText" dxfId="1277" priority="348" operator="containsText" text="fnd">
      <formula>NOT(ISERROR(SEARCH("fnd",T30)))</formula>
    </cfRule>
  </conditionalFormatting>
  <conditionalFormatting sqref="T38:U38">
    <cfRule type="containsText" dxfId="1276" priority="1715" operator="containsText" text="Str">
      <formula>NOT(ISERROR(SEARCH("Str",T38)))</formula>
    </cfRule>
    <cfRule type="containsText" dxfId="1275" priority="1716" operator="containsText" text="Ere">
      <formula>NOT(ISERROR(SEARCH("Ere",T38)))</formula>
    </cfRule>
    <cfRule type="containsText" dxfId="1274" priority="1717" operator="containsText" text="Ear">
      <formula>NOT(ISERROR(SEARCH("Ear",T38)))</formula>
    </cfRule>
    <cfRule type="containsText" dxfId="1273" priority="1718" operator="containsText" text="fnd">
      <formula>NOT(ISERROR(SEARCH("fnd",T38)))</formula>
    </cfRule>
  </conditionalFormatting>
  <conditionalFormatting sqref="T46:U46">
    <cfRule type="containsText" dxfId="1272" priority="1479" operator="containsText" text="Str">
      <formula>NOT(ISERROR(SEARCH("Str",T46)))</formula>
    </cfRule>
    <cfRule type="containsText" dxfId="1271" priority="1480" operator="containsText" text="Ere">
      <formula>NOT(ISERROR(SEARCH("Ere",T46)))</formula>
    </cfRule>
    <cfRule type="containsText" dxfId="1270" priority="1481" operator="containsText" text="Ear">
      <formula>NOT(ISERROR(SEARCH("Ear",T46)))</formula>
    </cfRule>
    <cfRule type="containsText" dxfId="1269" priority="1482" operator="containsText" text="fnd">
      <formula>NOT(ISERROR(SEARCH("fnd",T46)))</formula>
    </cfRule>
  </conditionalFormatting>
  <conditionalFormatting sqref="T54:U54">
    <cfRule type="containsText" dxfId="1268" priority="2343" operator="containsText" text="Str">
      <formula>NOT(ISERROR(SEARCH("Str",T54)))</formula>
    </cfRule>
    <cfRule type="containsText" dxfId="1267" priority="2344" operator="containsText" text="Ere">
      <formula>NOT(ISERROR(SEARCH("Ere",T54)))</formula>
    </cfRule>
    <cfRule type="containsText" dxfId="1266" priority="2345" operator="containsText" text="Ear">
      <formula>NOT(ISERROR(SEARCH("Ear",T54)))</formula>
    </cfRule>
    <cfRule type="containsText" dxfId="1265" priority="2346" operator="containsText" text="fnd">
      <formula>NOT(ISERROR(SEARCH("fnd",T54)))</formula>
    </cfRule>
  </conditionalFormatting>
  <conditionalFormatting sqref="T62:U62">
    <cfRule type="containsText" dxfId="1264" priority="2099" operator="containsText" text="Str">
      <formula>NOT(ISERROR(SEARCH("Str",T62)))</formula>
    </cfRule>
    <cfRule type="containsText" dxfId="1263" priority="2100" operator="containsText" text="Ere">
      <formula>NOT(ISERROR(SEARCH("Ere",T62)))</formula>
    </cfRule>
    <cfRule type="containsText" dxfId="1262" priority="2101" operator="containsText" text="Ear">
      <formula>NOT(ISERROR(SEARCH("Ear",T62)))</formula>
    </cfRule>
    <cfRule type="containsText" dxfId="1261" priority="2102" operator="containsText" text="fnd">
      <formula>NOT(ISERROR(SEARCH("fnd",T62)))</formula>
    </cfRule>
  </conditionalFormatting>
  <conditionalFormatting sqref="T70:U70">
    <cfRule type="containsText" dxfId="1260" priority="2203" operator="containsText" text="Str">
      <formula>NOT(ISERROR(SEARCH("Str",T70)))</formula>
    </cfRule>
    <cfRule type="containsText" dxfId="1259" priority="2204" operator="containsText" text="Ere">
      <formula>NOT(ISERROR(SEARCH("Ere",T70)))</formula>
    </cfRule>
    <cfRule type="containsText" dxfId="1258" priority="2205" operator="containsText" text="Ear">
      <formula>NOT(ISERROR(SEARCH("Ear",T70)))</formula>
    </cfRule>
    <cfRule type="containsText" dxfId="1257" priority="2206" operator="containsText" text="fnd">
      <formula>NOT(ISERROR(SEARCH("fnd",T70)))</formula>
    </cfRule>
  </conditionalFormatting>
  <conditionalFormatting sqref="T86:U86">
    <cfRule type="containsText" dxfId="1256" priority="2211" operator="containsText" text="Str">
      <formula>NOT(ISERROR(SEARCH("Str",T86)))</formula>
    </cfRule>
    <cfRule type="containsText" dxfId="1255" priority="2212" operator="containsText" text="Ere">
      <formula>NOT(ISERROR(SEARCH("Ere",T86)))</formula>
    </cfRule>
    <cfRule type="containsText" dxfId="1254" priority="2213" operator="containsText" text="Ear">
      <formula>NOT(ISERROR(SEARCH("Ear",T86)))</formula>
    </cfRule>
    <cfRule type="containsText" dxfId="1253" priority="2214" operator="containsText" text="fnd">
      <formula>NOT(ISERROR(SEARCH("fnd",T86)))</formula>
    </cfRule>
  </conditionalFormatting>
  <conditionalFormatting sqref="T94:U94">
    <cfRule type="containsText" dxfId="1252" priority="2275" operator="containsText" text="Str">
      <formula>NOT(ISERROR(SEARCH("Str",T94)))</formula>
    </cfRule>
    <cfRule type="containsText" dxfId="1251" priority="2276" operator="containsText" text="Ere">
      <formula>NOT(ISERROR(SEARCH("Ere",T94)))</formula>
    </cfRule>
    <cfRule type="containsText" dxfId="1250" priority="2277" operator="containsText" text="Ear">
      <formula>NOT(ISERROR(SEARCH("Ear",T94)))</formula>
    </cfRule>
    <cfRule type="containsText" dxfId="1249" priority="2278" operator="containsText" text="fnd">
      <formula>NOT(ISERROR(SEARCH("fnd",T94)))</formula>
    </cfRule>
  </conditionalFormatting>
  <conditionalFormatting sqref="T102:U102 W102:X102">
    <cfRule type="containsText" dxfId="1248" priority="2283" operator="containsText" text="Str">
      <formula>NOT(ISERROR(SEARCH("Str",T102)))</formula>
    </cfRule>
    <cfRule type="containsText" dxfId="1247" priority="2284" operator="containsText" text="Ere">
      <formula>NOT(ISERROR(SEARCH("Ere",T102)))</formula>
    </cfRule>
    <cfRule type="containsText" dxfId="1246" priority="2285" operator="containsText" text="Ear">
      <formula>NOT(ISERROR(SEARCH("Ear",T102)))</formula>
    </cfRule>
    <cfRule type="containsText" dxfId="1245" priority="2286" operator="containsText" text="fnd">
      <formula>NOT(ISERROR(SEARCH("fnd",T102)))</formula>
    </cfRule>
  </conditionalFormatting>
  <conditionalFormatting sqref="T110:U110">
    <cfRule type="containsText" dxfId="1244" priority="1799" operator="containsText" text="Str">
      <formula>NOT(ISERROR(SEARCH("Str",T110)))</formula>
    </cfRule>
    <cfRule type="containsText" dxfId="1243" priority="1800" operator="containsText" text="Ere">
      <formula>NOT(ISERROR(SEARCH("Ere",T110)))</formula>
    </cfRule>
    <cfRule type="containsText" dxfId="1242" priority="1801" operator="containsText" text="Ear">
      <formula>NOT(ISERROR(SEARCH("Ear",T110)))</formula>
    </cfRule>
    <cfRule type="containsText" dxfId="1241" priority="1802" operator="containsText" text="fnd">
      <formula>NOT(ISERROR(SEARCH("fnd",T110)))</formula>
    </cfRule>
  </conditionalFormatting>
  <conditionalFormatting sqref="T118:U118">
    <cfRule type="containsText" dxfId="1240" priority="1431" operator="containsText" text="Str">
      <formula>NOT(ISERROR(SEARCH("Str",T118)))</formula>
    </cfRule>
    <cfRule type="containsText" dxfId="1239" priority="1432" operator="containsText" text="Ere">
      <formula>NOT(ISERROR(SEARCH("Ere",T118)))</formula>
    </cfRule>
    <cfRule type="containsText" dxfId="1238" priority="1433" operator="containsText" text="Ear">
      <formula>NOT(ISERROR(SEARCH("Ear",T118)))</formula>
    </cfRule>
    <cfRule type="containsText" dxfId="1237" priority="1434" operator="containsText" text="fnd">
      <formula>NOT(ISERROR(SEARCH("fnd",T118)))</formula>
    </cfRule>
  </conditionalFormatting>
  <conditionalFormatting sqref="T126:U126">
    <cfRule type="containsText" dxfId="1236" priority="607" operator="containsText" text="Str">
      <formula>NOT(ISERROR(SEARCH("Str",T126)))</formula>
    </cfRule>
    <cfRule type="containsText" dxfId="1235" priority="608" operator="containsText" text="Ere">
      <formula>NOT(ISERROR(SEARCH("Ere",T126)))</formula>
    </cfRule>
    <cfRule type="containsText" dxfId="1234" priority="609" operator="containsText" text="Ear">
      <formula>NOT(ISERROR(SEARCH("Ear",T126)))</formula>
    </cfRule>
    <cfRule type="containsText" dxfId="1233" priority="610" operator="containsText" text="fnd">
      <formula>NOT(ISERROR(SEARCH("fnd",T126)))</formula>
    </cfRule>
  </conditionalFormatting>
  <conditionalFormatting sqref="T142:U142">
    <cfRule type="containsText" dxfId="1232" priority="1291" operator="containsText" text="Str">
      <formula>NOT(ISERROR(SEARCH("Str",T142)))</formula>
    </cfRule>
    <cfRule type="containsText" dxfId="1231" priority="1292" operator="containsText" text="Ere">
      <formula>NOT(ISERROR(SEARCH("Ere",T142)))</formula>
    </cfRule>
    <cfRule type="containsText" dxfId="1230" priority="1293" operator="containsText" text="Ear">
      <formula>NOT(ISERROR(SEARCH("Ear",T142)))</formula>
    </cfRule>
    <cfRule type="containsText" dxfId="1229" priority="1294" operator="containsText" text="fnd">
      <formula>NOT(ISERROR(SEARCH("fnd",T142)))</formula>
    </cfRule>
  </conditionalFormatting>
  <conditionalFormatting sqref="T150:U150">
    <cfRule type="containsText" dxfId="1228" priority="1203" operator="containsText" text="Str">
      <formula>NOT(ISERROR(SEARCH("Str",T150)))</formula>
    </cfRule>
    <cfRule type="containsText" dxfId="1227" priority="1204" operator="containsText" text="Ere">
      <formula>NOT(ISERROR(SEARCH("Ere",T150)))</formula>
    </cfRule>
    <cfRule type="containsText" dxfId="1226" priority="1205" operator="containsText" text="Ear">
      <formula>NOT(ISERROR(SEARCH("Ear",T150)))</formula>
    </cfRule>
    <cfRule type="containsText" dxfId="1225" priority="1206" operator="containsText" text="fnd">
      <formula>NOT(ISERROR(SEARCH("fnd",T150)))</formula>
    </cfRule>
  </conditionalFormatting>
  <conditionalFormatting sqref="T158:U158">
    <cfRule type="containsText" dxfId="1224" priority="1143" operator="containsText" text="Str">
      <formula>NOT(ISERROR(SEARCH("Str",T158)))</formula>
    </cfRule>
    <cfRule type="containsText" dxfId="1223" priority="1144" operator="containsText" text="Ere">
      <formula>NOT(ISERROR(SEARCH("Ere",T158)))</formula>
    </cfRule>
    <cfRule type="containsText" dxfId="1222" priority="1145" operator="containsText" text="Ear">
      <formula>NOT(ISERROR(SEARCH("Ear",T158)))</formula>
    </cfRule>
    <cfRule type="containsText" dxfId="1221" priority="1146" operator="containsText" text="fnd">
      <formula>NOT(ISERROR(SEARCH("fnd",T158)))</formula>
    </cfRule>
  </conditionalFormatting>
  <conditionalFormatting sqref="T166:U166">
    <cfRule type="containsText" dxfId="1220" priority="1079" operator="containsText" text="Str">
      <formula>NOT(ISERROR(SEARCH("Str",T166)))</formula>
    </cfRule>
    <cfRule type="containsText" dxfId="1219" priority="1080" operator="containsText" text="Ere">
      <formula>NOT(ISERROR(SEARCH("Ere",T166)))</formula>
    </cfRule>
    <cfRule type="containsText" dxfId="1218" priority="1081" operator="containsText" text="Ear">
      <formula>NOT(ISERROR(SEARCH("Ear",T166)))</formula>
    </cfRule>
    <cfRule type="containsText" dxfId="1217" priority="1082" operator="containsText" text="fnd">
      <formula>NOT(ISERROR(SEARCH("fnd",T166)))</formula>
    </cfRule>
  </conditionalFormatting>
  <conditionalFormatting sqref="T174:U174">
    <cfRule type="containsText" dxfId="1216" priority="1023" operator="containsText" text="Str">
      <formula>NOT(ISERROR(SEARCH("Str",T174)))</formula>
    </cfRule>
    <cfRule type="containsText" dxfId="1215" priority="1024" operator="containsText" text="Ere">
      <formula>NOT(ISERROR(SEARCH("Ere",T174)))</formula>
    </cfRule>
    <cfRule type="containsText" dxfId="1214" priority="1025" operator="containsText" text="Ear">
      <formula>NOT(ISERROR(SEARCH("Ear",T174)))</formula>
    </cfRule>
    <cfRule type="containsText" dxfId="1213" priority="1026" operator="containsText" text="fnd">
      <formula>NOT(ISERROR(SEARCH("fnd",T174)))</formula>
    </cfRule>
  </conditionalFormatting>
  <conditionalFormatting sqref="T182:U182">
    <cfRule type="containsText" dxfId="1212" priority="133" operator="containsText" text="Str">
      <formula>NOT(ISERROR(SEARCH("Str",T182)))</formula>
    </cfRule>
    <cfRule type="containsText" dxfId="1211" priority="134" operator="containsText" text="Ere">
      <formula>NOT(ISERROR(SEARCH("Ere",T182)))</formula>
    </cfRule>
    <cfRule type="containsText" dxfId="1210" priority="135" operator="containsText" text="Ear">
      <formula>NOT(ISERROR(SEARCH("Ear",T182)))</formula>
    </cfRule>
    <cfRule type="containsText" dxfId="1209" priority="136" operator="containsText" text="fnd">
      <formula>NOT(ISERROR(SEARCH("fnd",T182)))</formula>
    </cfRule>
  </conditionalFormatting>
  <conditionalFormatting sqref="U14">
    <cfRule type="containsText" dxfId="1208" priority="441" operator="containsText" text="Str">
      <formula>NOT(ISERROR(SEARCH("Str",U14)))</formula>
    </cfRule>
    <cfRule type="containsText" dxfId="1207" priority="442" operator="containsText" text="Ere">
      <formula>NOT(ISERROR(SEARCH("Ere",U14)))</formula>
    </cfRule>
    <cfRule type="containsText" dxfId="1206" priority="443" operator="containsText" text="Ear">
      <formula>NOT(ISERROR(SEARCH("Ear",U14)))</formula>
    </cfRule>
    <cfRule type="containsText" dxfId="1205" priority="444" operator="containsText" text="fnd">
      <formula>NOT(ISERROR(SEARCH("fnd",U14)))</formula>
    </cfRule>
  </conditionalFormatting>
  <conditionalFormatting sqref="U22">
    <cfRule type="containsText" dxfId="1204" priority="1539" operator="containsText" text="Str">
      <formula>NOT(ISERROR(SEARCH("Str",U22)))</formula>
    </cfRule>
    <cfRule type="containsText" dxfId="1203" priority="1540" operator="containsText" text="Ere">
      <formula>NOT(ISERROR(SEARCH("Ere",U22)))</formula>
    </cfRule>
    <cfRule type="containsText" dxfId="1202" priority="1541" operator="containsText" text="Ear">
      <formula>NOT(ISERROR(SEARCH("Ear",U22)))</formula>
    </cfRule>
    <cfRule type="containsText" dxfId="1201" priority="1542" operator="containsText" text="fnd">
      <formula>NOT(ISERROR(SEARCH("fnd",U22)))</formula>
    </cfRule>
  </conditionalFormatting>
  <conditionalFormatting sqref="U78">
    <cfRule type="containsText" dxfId="1200" priority="333" operator="containsText" text="Str">
      <formula>NOT(ISERROR(SEARCH("Str",U78)))</formula>
    </cfRule>
    <cfRule type="containsText" dxfId="1199" priority="334" operator="containsText" text="Ere">
      <formula>NOT(ISERROR(SEARCH("Ere",U78)))</formula>
    </cfRule>
    <cfRule type="containsText" dxfId="1198" priority="335" operator="containsText" text="Ear">
      <formula>NOT(ISERROR(SEARCH("Ear",U78)))</formula>
    </cfRule>
    <cfRule type="containsText" dxfId="1197" priority="336" operator="containsText" text="fnd">
      <formula>NOT(ISERROR(SEARCH("fnd",U78)))</formula>
    </cfRule>
  </conditionalFormatting>
  <conditionalFormatting sqref="W5">
    <cfRule type="containsText" dxfId="1196" priority="173" operator="containsText" text="Str">
      <formula>NOT(ISERROR(SEARCH("Str",W5)))</formula>
    </cfRule>
    <cfRule type="containsText" dxfId="1195" priority="174" operator="containsText" text="Ere">
      <formula>NOT(ISERROR(SEARCH("Ere",W5)))</formula>
    </cfRule>
    <cfRule type="containsText" dxfId="1194" priority="175" operator="containsText" text="Ear">
      <formula>NOT(ISERROR(SEARCH("Ear",W5)))</formula>
    </cfRule>
    <cfRule type="containsText" dxfId="1193" priority="176" operator="containsText" text="fnd">
      <formula>NOT(ISERROR(SEARCH("fnd",W5)))</formula>
    </cfRule>
  </conditionalFormatting>
  <conditionalFormatting sqref="W13:W14">
    <cfRule type="containsText" dxfId="1192" priority="1739" operator="containsText" text="Str">
      <formula>NOT(ISERROR(SEARCH("Str",W13)))</formula>
    </cfRule>
    <cfRule type="containsText" dxfId="1191" priority="1740" operator="containsText" text="Ere">
      <formula>NOT(ISERROR(SEARCH("Ere",W13)))</formula>
    </cfRule>
    <cfRule type="containsText" dxfId="1190" priority="1741" operator="containsText" text="Ear">
      <formula>NOT(ISERROR(SEARCH("Ear",W13)))</formula>
    </cfRule>
    <cfRule type="containsText" dxfId="1189" priority="1742" operator="containsText" text="fnd">
      <formula>NOT(ISERROR(SEARCH("fnd",W13)))</formula>
    </cfRule>
  </conditionalFormatting>
  <conditionalFormatting sqref="W21:W22">
    <cfRule type="containsText" dxfId="1188" priority="1807" operator="containsText" text="Str">
      <formula>NOT(ISERROR(SEARCH("Str",W21)))</formula>
    </cfRule>
    <cfRule type="containsText" dxfId="1187" priority="1808" operator="containsText" text="Ere">
      <formula>NOT(ISERROR(SEARCH("Ere",W21)))</formula>
    </cfRule>
    <cfRule type="containsText" dxfId="1186" priority="1809" operator="containsText" text="Ear">
      <formula>NOT(ISERROR(SEARCH("Ear",W21)))</formula>
    </cfRule>
    <cfRule type="containsText" dxfId="1185" priority="1810" operator="containsText" text="fnd">
      <formula>NOT(ISERROR(SEARCH("fnd",W21)))</formula>
    </cfRule>
  </conditionalFormatting>
  <conditionalFormatting sqref="W29">
    <cfRule type="containsText" dxfId="1184" priority="887" operator="containsText" text="Str">
      <formula>NOT(ISERROR(SEARCH("Str",W29)))</formula>
    </cfRule>
    <cfRule type="containsText" dxfId="1183" priority="888" operator="containsText" text="Ere">
      <formula>NOT(ISERROR(SEARCH("Ere",W29)))</formula>
    </cfRule>
    <cfRule type="containsText" dxfId="1182" priority="889" operator="containsText" text="Ear">
      <formula>NOT(ISERROR(SEARCH("Ear",W29)))</formula>
    </cfRule>
    <cfRule type="containsText" dxfId="1181" priority="890" operator="containsText" text="fnd">
      <formula>NOT(ISERROR(SEARCH("fnd",W29)))</formula>
    </cfRule>
  </conditionalFormatting>
  <conditionalFormatting sqref="W37">
    <cfRule type="containsText" dxfId="1180" priority="393" operator="containsText" text="Str">
      <formula>NOT(ISERROR(SEARCH("Str",W37)))</formula>
    </cfRule>
    <cfRule type="containsText" dxfId="1179" priority="394" operator="containsText" text="Ere">
      <formula>NOT(ISERROR(SEARCH("Ere",W37)))</formula>
    </cfRule>
    <cfRule type="containsText" dxfId="1178" priority="395" operator="containsText" text="Ear">
      <formula>NOT(ISERROR(SEARCH("Ear",W37)))</formula>
    </cfRule>
    <cfRule type="containsText" dxfId="1177" priority="396" operator="containsText" text="fnd">
      <formula>NOT(ISERROR(SEARCH("fnd",W37)))</formula>
    </cfRule>
  </conditionalFormatting>
  <conditionalFormatting sqref="W53">
    <cfRule type="containsText" dxfId="1176" priority="589" operator="containsText" text="Str">
      <formula>NOT(ISERROR(SEARCH("Str",W53)))</formula>
    </cfRule>
    <cfRule type="containsText" dxfId="1175" priority="590" operator="containsText" text="Ere">
      <formula>NOT(ISERROR(SEARCH("Ere",W53)))</formula>
    </cfRule>
    <cfRule type="containsText" dxfId="1174" priority="591" operator="containsText" text="Ear">
      <formula>NOT(ISERROR(SEARCH("Ear",W53)))</formula>
    </cfRule>
    <cfRule type="containsText" dxfId="1173" priority="592" operator="containsText" text="fnd">
      <formula>NOT(ISERROR(SEARCH("fnd",W53)))</formula>
    </cfRule>
  </conditionalFormatting>
  <conditionalFormatting sqref="W61">
    <cfRule type="containsText" dxfId="1172" priority="807" operator="containsText" text="Str">
      <formula>NOT(ISERROR(SEARCH("Str",W61)))</formula>
    </cfRule>
    <cfRule type="containsText" dxfId="1171" priority="808" operator="containsText" text="Ere">
      <formula>NOT(ISERROR(SEARCH("Ere",W61)))</formula>
    </cfRule>
    <cfRule type="containsText" dxfId="1170" priority="809" operator="containsText" text="Ear">
      <formula>NOT(ISERROR(SEARCH("Ear",W61)))</formula>
    </cfRule>
    <cfRule type="containsText" dxfId="1169" priority="810" operator="containsText" text="fnd">
      <formula>NOT(ISERROR(SEARCH("fnd",W61)))</formula>
    </cfRule>
  </conditionalFormatting>
  <conditionalFormatting sqref="W85">
    <cfRule type="containsText" dxfId="1168" priority="699" operator="containsText" text="Str">
      <formula>NOT(ISERROR(SEARCH("Str",W85)))</formula>
    </cfRule>
    <cfRule type="containsText" dxfId="1167" priority="700" operator="containsText" text="Ere">
      <formula>NOT(ISERROR(SEARCH("Ere",W85)))</formula>
    </cfRule>
    <cfRule type="containsText" dxfId="1166" priority="701" operator="containsText" text="Ear">
      <formula>NOT(ISERROR(SEARCH("Ear",W85)))</formula>
    </cfRule>
    <cfRule type="containsText" dxfId="1165" priority="702" operator="containsText" text="fnd">
      <formula>NOT(ISERROR(SEARCH("fnd",W85)))</formula>
    </cfRule>
  </conditionalFormatting>
  <conditionalFormatting sqref="W93">
    <cfRule type="containsText" dxfId="1164" priority="1531" operator="containsText" text="Str">
      <formula>NOT(ISERROR(SEARCH("Str",W93)))</formula>
    </cfRule>
    <cfRule type="containsText" dxfId="1163" priority="1532" operator="containsText" text="Ere">
      <formula>NOT(ISERROR(SEARCH("Ere",W93)))</formula>
    </cfRule>
    <cfRule type="containsText" dxfId="1162" priority="1533" operator="containsText" text="Ear">
      <formula>NOT(ISERROR(SEARCH("Ear",W93)))</formula>
    </cfRule>
    <cfRule type="containsText" dxfId="1161" priority="1534" operator="containsText" text="fnd">
      <formula>NOT(ISERROR(SEARCH("fnd",W93)))</formula>
    </cfRule>
  </conditionalFormatting>
  <conditionalFormatting sqref="W101">
    <cfRule type="containsText" dxfId="1160" priority="2239" operator="containsText" text="Str">
      <formula>NOT(ISERROR(SEARCH("Str",W101)))</formula>
    </cfRule>
    <cfRule type="containsText" dxfId="1159" priority="2240" operator="containsText" text="Ere">
      <formula>NOT(ISERROR(SEARCH("Ere",W101)))</formula>
    </cfRule>
    <cfRule type="containsText" dxfId="1158" priority="2241" operator="containsText" text="Ear">
      <formula>NOT(ISERROR(SEARCH("Ear",W101)))</formula>
    </cfRule>
    <cfRule type="containsText" dxfId="1157" priority="2242" operator="containsText" text="fnd">
      <formula>NOT(ISERROR(SEARCH("fnd",W101)))</formula>
    </cfRule>
  </conditionalFormatting>
  <conditionalFormatting sqref="W109">
    <cfRule type="containsText" dxfId="1156" priority="1771" operator="containsText" text="Str">
      <formula>NOT(ISERROR(SEARCH("Str",W109)))</formula>
    </cfRule>
    <cfRule type="containsText" dxfId="1155" priority="1772" operator="containsText" text="Ere">
      <formula>NOT(ISERROR(SEARCH("Ere",W109)))</formula>
    </cfRule>
    <cfRule type="containsText" dxfId="1154" priority="1773" operator="containsText" text="Ear">
      <formula>NOT(ISERROR(SEARCH("Ear",W109)))</formula>
    </cfRule>
    <cfRule type="containsText" dxfId="1153" priority="1774" operator="containsText" text="fnd">
      <formula>NOT(ISERROR(SEARCH("fnd",W109)))</formula>
    </cfRule>
  </conditionalFormatting>
  <conditionalFormatting sqref="W117">
    <cfRule type="containsText" dxfId="1152" priority="433" operator="containsText" text="Str">
      <formula>NOT(ISERROR(SEARCH("Str",W117)))</formula>
    </cfRule>
    <cfRule type="containsText" dxfId="1151" priority="434" operator="containsText" text="Ere">
      <formula>NOT(ISERROR(SEARCH("Ere",W117)))</formula>
    </cfRule>
    <cfRule type="containsText" dxfId="1150" priority="435" operator="containsText" text="Ear">
      <formula>NOT(ISERROR(SEARCH("Ear",W117)))</formula>
    </cfRule>
    <cfRule type="containsText" dxfId="1149" priority="436" operator="containsText" text="fnd">
      <formula>NOT(ISERROR(SEARCH("fnd",W117)))</formula>
    </cfRule>
  </conditionalFormatting>
  <conditionalFormatting sqref="W122 W130 W138 W154 W162 W178">
    <cfRule type="containsText" dxfId="1148" priority="2063" operator="containsText" text="Str">
      <formula>NOT(ISERROR(SEARCH("Str",W122)))</formula>
    </cfRule>
    <cfRule type="containsText" dxfId="1147" priority="2064" operator="containsText" text="Ere">
      <formula>NOT(ISERROR(SEARCH("Ere",W122)))</formula>
    </cfRule>
    <cfRule type="containsText" dxfId="1146" priority="2065" operator="containsText" text="Ear">
      <formula>NOT(ISERROR(SEARCH("Ear",W122)))</formula>
    </cfRule>
    <cfRule type="containsText" dxfId="1145" priority="2066" operator="containsText" text="fnd">
      <formula>NOT(ISERROR(SEARCH("fnd",W122)))</formula>
    </cfRule>
  </conditionalFormatting>
  <conditionalFormatting sqref="W133">
    <cfRule type="containsText" dxfId="1144" priority="1355" operator="containsText" text="Str">
      <formula>NOT(ISERROR(SEARCH("Str",W133)))</formula>
    </cfRule>
    <cfRule type="containsText" dxfId="1143" priority="1356" operator="containsText" text="Ere">
      <formula>NOT(ISERROR(SEARCH("Ere",W133)))</formula>
    </cfRule>
    <cfRule type="containsText" dxfId="1142" priority="1357" operator="containsText" text="Ear">
      <formula>NOT(ISERROR(SEARCH("Ear",W133)))</formula>
    </cfRule>
    <cfRule type="containsText" dxfId="1141" priority="1358" operator="containsText" text="fnd">
      <formula>NOT(ISERROR(SEARCH("fnd",W133)))</formula>
    </cfRule>
  </conditionalFormatting>
  <conditionalFormatting sqref="W141">
    <cfRule type="containsText" dxfId="1140" priority="1263" operator="containsText" text="Str">
      <formula>NOT(ISERROR(SEARCH("Str",W141)))</formula>
    </cfRule>
    <cfRule type="containsText" dxfId="1139" priority="1264" operator="containsText" text="Ere">
      <formula>NOT(ISERROR(SEARCH("Ere",W141)))</formula>
    </cfRule>
    <cfRule type="containsText" dxfId="1138" priority="1265" operator="containsText" text="Ear">
      <formula>NOT(ISERROR(SEARCH("Ear",W141)))</formula>
    </cfRule>
    <cfRule type="containsText" dxfId="1137" priority="1266" operator="containsText" text="fnd">
      <formula>NOT(ISERROR(SEARCH("fnd",W141)))</formula>
    </cfRule>
  </conditionalFormatting>
  <conditionalFormatting sqref="W149">
    <cfRule type="containsText" dxfId="1136" priority="325" operator="containsText" text="Str">
      <formula>NOT(ISERROR(SEARCH("Str",W149)))</formula>
    </cfRule>
    <cfRule type="containsText" dxfId="1135" priority="326" operator="containsText" text="Ere">
      <formula>NOT(ISERROR(SEARCH("Ere",W149)))</formula>
    </cfRule>
    <cfRule type="containsText" dxfId="1134" priority="327" operator="containsText" text="Ear">
      <formula>NOT(ISERROR(SEARCH("Ear",W149)))</formula>
    </cfRule>
    <cfRule type="containsText" dxfId="1133" priority="328" operator="containsText" text="fnd">
      <formula>NOT(ISERROR(SEARCH("fnd",W149)))</formula>
    </cfRule>
  </conditionalFormatting>
  <conditionalFormatting sqref="W157">
    <cfRule type="containsText" dxfId="1132" priority="779" operator="containsText" text="Str">
      <formula>NOT(ISERROR(SEARCH("Str",W157)))</formula>
    </cfRule>
    <cfRule type="containsText" dxfId="1131" priority="780" operator="containsText" text="Ere">
      <formula>NOT(ISERROR(SEARCH("Ere",W157)))</formula>
    </cfRule>
    <cfRule type="containsText" dxfId="1130" priority="781" operator="containsText" text="Ear">
      <formula>NOT(ISERROR(SEARCH("Ear",W157)))</formula>
    </cfRule>
    <cfRule type="containsText" dxfId="1129" priority="782" operator="containsText" text="fnd">
      <formula>NOT(ISERROR(SEARCH("fnd",W157)))</formula>
    </cfRule>
  </conditionalFormatting>
  <conditionalFormatting sqref="W165">
    <cfRule type="containsText" dxfId="1128" priority="477" operator="containsText" text="Str">
      <formula>NOT(ISERROR(SEARCH("Str",W165)))</formula>
    </cfRule>
    <cfRule type="containsText" dxfId="1127" priority="478" operator="containsText" text="Ere">
      <formula>NOT(ISERROR(SEARCH("Ere",W165)))</formula>
    </cfRule>
    <cfRule type="containsText" dxfId="1126" priority="479" operator="containsText" text="Ear">
      <formula>NOT(ISERROR(SEARCH("Ear",W165)))</formula>
    </cfRule>
    <cfRule type="containsText" dxfId="1125" priority="480" operator="containsText" text="fnd">
      <formula>NOT(ISERROR(SEARCH("fnd",W165)))</formula>
    </cfRule>
  </conditionalFormatting>
  <conditionalFormatting sqref="W173">
    <cfRule type="containsText" dxfId="1124" priority="449" operator="containsText" text="Str">
      <formula>NOT(ISERROR(SEARCH("Str",W173)))</formula>
    </cfRule>
    <cfRule type="containsText" dxfId="1123" priority="450" operator="containsText" text="Ere">
      <formula>NOT(ISERROR(SEARCH("Ere",W173)))</formula>
    </cfRule>
    <cfRule type="containsText" dxfId="1122" priority="451" operator="containsText" text="Ear">
      <formula>NOT(ISERROR(SEARCH("Ear",W173)))</formula>
    </cfRule>
    <cfRule type="containsText" dxfId="1121" priority="452" operator="containsText" text="fnd">
      <formula>NOT(ISERROR(SEARCH("fnd",W173)))</formula>
    </cfRule>
  </conditionalFormatting>
  <conditionalFormatting sqref="W181">
    <cfRule type="containsText" dxfId="1120" priority="121" operator="containsText" text="Str">
      <formula>NOT(ISERROR(SEARCH("Str",W181)))</formula>
    </cfRule>
    <cfRule type="containsText" dxfId="1119" priority="122" operator="containsText" text="Ere">
      <formula>NOT(ISERROR(SEARCH("Ere",W181)))</formula>
    </cfRule>
    <cfRule type="containsText" dxfId="1118" priority="123" operator="containsText" text="Ear">
      <formula>NOT(ISERROR(SEARCH("Ear",W181)))</formula>
    </cfRule>
    <cfRule type="containsText" dxfId="1117" priority="124" operator="containsText" text="fnd">
      <formula>NOT(ISERROR(SEARCH("fnd",W181)))</formula>
    </cfRule>
  </conditionalFormatting>
  <conditionalFormatting sqref="W38:X38">
    <cfRule type="containsText" dxfId="1116" priority="397" operator="containsText" text="Str">
      <formula>NOT(ISERROR(SEARCH("Str",W38)))</formula>
    </cfRule>
    <cfRule type="containsText" dxfId="1115" priority="398" operator="containsText" text="Ere">
      <formula>NOT(ISERROR(SEARCH("Ere",W38)))</formula>
    </cfRule>
    <cfRule type="containsText" dxfId="1114" priority="399" operator="containsText" text="Ear">
      <formula>NOT(ISERROR(SEARCH("Ear",W38)))</formula>
    </cfRule>
    <cfRule type="containsText" dxfId="1113" priority="400" operator="containsText" text="fnd">
      <formula>NOT(ISERROR(SEARCH("fnd",W38)))</formula>
    </cfRule>
  </conditionalFormatting>
  <conditionalFormatting sqref="W46:X46">
    <cfRule type="containsText" dxfId="1112" priority="1475" operator="containsText" text="Str">
      <formula>NOT(ISERROR(SEARCH("Str",W46)))</formula>
    </cfRule>
    <cfRule type="containsText" dxfId="1111" priority="1476" operator="containsText" text="Ere">
      <formula>NOT(ISERROR(SEARCH("Ere",W46)))</formula>
    </cfRule>
    <cfRule type="containsText" dxfId="1110" priority="1477" operator="containsText" text="Ear">
      <formula>NOT(ISERROR(SEARCH("Ear",W46)))</formula>
    </cfRule>
    <cfRule type="containsText" dxfId="1109" priority="1478" operator="containsText" text="fnd">
      <formula>NOT(ISERROR(SEARCH("fnd",W46)))</formula>
    </cfRule>
  </conditionalFormatting>
  <conditionalFormatting sqref="W54:X54">
    <cfRule type="containsText" dxfId="1108" priority="593" operator="containsText" text="Str">
      <formula>NOT(ISERROR(SEARCH("Str",W54)))</formula>
    </cfRule>
    <cfRule type="containsText" dxfId="1107" priority="594" operator="containsText" text="Ere">
      <formula>NOT(ISERROR(SEARCH("Ere",W54)))</formula>
    </cfRule>
    <cfRule type="containsText" dxfId="1106" priority="595" operator="containsText" text="Ear">
      <formula>NOT(ISERROR(SEARCH("Ear",W54)))</formula>
    </cfRule>
    <cfRule type="containsText" dxfId="1105" priority="596" operator="containsText" text="fnd">
      <formula>NOT(ISERROR(SEARCH("fnd",W54)))</formula>
    </cfRule>
  </conditionalFormatting>
  <conditionalFormatting sqref="W70:X70">
    <cfRule type="containsText" dxfId="1104" priority="301" operator="containsText" text="Str">
      <formula>NOT(ISERROR(SEARCH("Str",W70)))</formula>
    </cfRule>
    <cfRule type="containsText" dxfId="1103" priority="302" operator="containsText" text="Ere">
      <formula>NOT(ISERROR(SEARCH("Ere",W70)))</formula>
    </cfRule>
    <cfRule type="containsText" dxfId="1102" priority="303" operator="containsText" text="Ear">
      <formula>NOT(ISERROR(SEARCH("Ear",W70)))</formula>
    </cfRule>
    <cfRule type="containsText" dxfId="1101" priority="304" operator="containsText" text="fnd">
      <formula>NOT(ISERROR(SEARCH("fnd",W70)))</formula>
    </cfRule>
  </conditionalFormatting>
  <conditionalFormatting sqref="W77:X78">
    <cfRule type="containsText" dxfId="1100" priority="2179" operator="containsText" text="Str">
      <formula>NOT(ISERROR(SEARCH("Str",W77)))</formula>
    </cfRule>
    <cfRule type="containsText" dxfId="1099" priority="2180" operator="containsText" text="Ere">
      <formula>NOT(ISERROR(SEARCH("Ere",W77)))</formula>
    </cfRule>
    <cfRule type="containsText" dxfId="1098" priority="2181" operator="containsText" text="Ear">
      <formula>NOT(ISERROR(SEARCH("Ear",W77)))</formula>
    </cfRule>
    <cfRule type="containsText" dxfId="1097" priority="2182" operator="containsText" text="fnd">
      <formula>NOT(ISERROR(SEARCH("fnd",W77)))</formula>
    </cfRule>
  </conditionalFormatting>
  <conditionalFormatting sqref="W86:X86">
    <cfRule type="containsText" dxfId="1096" priority="703" operator="containsText" text="Str">
      <formula>NOT(ISERROR(SEARCH("Str",W86)))</formula>
    </cfRule>
    <cfRule type="containsText" dxfId="1095" priority="704" operator="containsText" text="Ere">
      <formula>NOT(ISERROR(SEARCH("Ere",W86)))</formula>
    </cfRule>
    <cfRule type="containsText" dxfId="1094" priority="705" operator="containsText" text="Ear">
      <formula>NOT(ISERROR(SEARCH("Ear",W86)))</formula>
    </cfRule>
    <cfRule type="containsText" dxfId="1093" priority="706" operator="containsText" text="fnd">
      <formula>NOT(ISERROR(SEARCH("fnd",W86)))</formula>
    </cfRule>
  </conditionalFormatting>
  <conditionalFormatting sqref="W94:X94">
    <cfRule type="containsText" dxfId="1092" priority="1535" operator="containsText" text="Str">
      <formula>NOT(ISERROR(SEARCH("Str",W94)))</formula>
    </cfRule>
    <cfRule type="containsText" dxfId="1091" priority="1536" operator="containsText" text="Ere">
      <formula>NOT(ISERROR(SEARCH("Ere",W94)))</formula>
    </cfRule>
    <cfRule type="containsText" dxfId="1090" priority="1537" operator="containsText" text="Ear">
      <formula>NOT(ISERROR(SEARCH("Ear",W94)))</formula>
    </cfRule>
    <cfRule type="containsText" dxfId="1089" priority="1538" operator="containsText" text="fnd">
      <formula>NOT(ISERROR(SEARCH("fnd",W94)))</formula>
    </cfRule>
  </conditionalFormatting>
  <conditionalFormatting sqref="W110:X110">
    <cfRule type="containsText" dxfId="1088" priority="1775" operator="containsText" text="Str">
      <formula>NOT(ISERROR(SEARCH("Str",W110)))</formula>
    </cfRule>
    <cfRule type="containsText" dxfId="1087" priority="1776" operator="containsText" text="Ere">
      <formula>NOT(ISERROR(SEARCH("Ere",W110)))</formula>
    </cfRule>
    <cfRule type="containsText" dxfId="1086" priority="1777" operator="containsText" text="Ear">
      <formula>NOT(ISERROR(SEARCH("Ear",W110)))</formula>
    </cfRule>
    <cfRule type="containsText" dxfId="1085" priority="1778" operator="containsText" text="fnd">
      <formula>NOT(ISERROR(SEARCH("fnd",W110)))</formula>
    </cfRule>
  </conditionalFormatting>
  <conditionalFormatting sqref="W118:X118">
    <cfRule type="containsText" dxfId="1084" priority="437" operator="containsText" text="Str">
      <formula>NOT(ISERROR(SEARCH("Str",W118)))</formula>
    </cfRule>
    <cfRule type="containsText" dxfId="1083" priority="438" operator="containsText" text="Ere">
      <formula>NOT(ISERROR(SEARCH("Ere",W118)))</formula>
    </cfRule>
    <cfRule type="containsText" dxfId="1082" priority="439" operator="containsText" text="Ear">
      <formula>NOT(ISERROR(SEARCH("Ear",W118)))</formula>
    </cfRule>
    <cfRule type="containsText" dxfId="1081" priority="440" operator="containsText" text="fnd">
      <formula>NOT(ISERROR(SEARCH("fnd",W118)))</formula>
    </cfRule>
  </conditionalFormatting>
  <conditionalFormatting sqref="W134:X134">
    <cfRule type="containsText" dxfId="1080" priority="1359" operator="containsText" text="Str">
      <formula>NOT(ISERROR(SEARCH("Str",W134)))</formula>
    </cfRule>
    <cfRule type="containsText" dxfId="1079" priority="1360" operator="containsText" text="Ere">
      <formula>NOT(ISERROR(SEARCH("Ere",W134)))</formula>
    </cfRule>
    <cfRule type="containsText" dxfId="1078" priority="1361" operator="containsText" text="Ear">
      <formula>NOT(ISERROR(SEARCH("Ear",W134)))</formula>
    </cfRule>
    <cfRule type="containsText" dxfId="1077" priority="1362" operator="containsText" text="fnd">
      <formula>NOT(ISERROR(SEARCH("fnd",W134)))</formula>
    </cfRule>
  </conditionalFormatting>
  <conditionalFormatting sqref="W142:X142">
    <cfRule type="containsText" dxfId="1076" priority="1267" operator="containsText" text="Str">
      <formula>NOT(ISERROR(SEARCH("Str",W142)))</formula>
    </cfRule>
    <cfRule type="containsText" dxfId="1075" priority="1268" operator="containsText" text="Ere">
      <formula>NOT(ISERROR(SEARCH("Ere",W142)))</formula>
    </cfRule>
    <cfRule type="containsText" dxfId="1074" priority="1269" operator="containsText" text="Ear">
      <formula>NOT(ISERROR(SEARCH("Ear",W142)))</formula>
    </cfRule>
    <cfRule type="containsText" dxfId="1073" priority="1270" operator="containsText" text="fnd">
      <formula>NOT(ISERROR(SEARCH("fnd",W142)))</formula>
    </cfRule>
  </conditionalFormatting>
  <conditionalFormatting sqref="W150:X150">
    <cfRule type="containsText" dxfId="1072" priority="329" operator="containsText" text="Str">
      <formula>NOT(ISERROR(SEARCH("Str",W150)))</formula>
    </cfRule>
    <cfRule type="containsText" dxfId="1071" priority="330" operator="containsText" text="Ere">
      <formula>NOT(ISERROR(SEARCH("Ere",W150)))</formula>
    </cfRule>
    <cfRule type="containsText" dxfId="1070" priority="331" operator="containsText" text="Ear">
      <formula>NOT(ISERROR(SEARCH("Ear",W150)))</formula>
    </cfRule>
    <cfRule type="containsText" dxfId="1069" priority="332" operator="containsText" text="fnd">
      <formula>NOT(ISERROR(SEARCH("fnd",W150)))</formula>
    </cfRule>
  </conditionalFormatting>
  <conditionalFormatting sqref="W174:X174">
    <cfRule type="containsText" dxfId="1068" priority="453" operator="containsText" text="Str">
      <formula>NOT(ISERROR(SEARCH("Str",W174)))</formula>
    </cfRule>
    <cfRule type="containsText" dxfId="1067" priority="454" operator="containsText" text="Ere">
      <formula>NOT(ISERROR(SEARCH("Ere",W174)))</formula>
    </cfRule>
    <cfRule type="containsText" dxfId="1066" priority="455" operator="containsText" text="Ear">
      <formula>NOT(ISERROR(SEARCH("Ear",W174)))</formula>
    </cfRule>
    <cfRule type="containsText" dxfId="1065" priority="456" operator="containsText" text="fnd">
      <formula>NOT(ISERROR(SEARCH("fnd",W174)))</formula>
    </cfRule>
  </conditionalFormatting>
  <conditionalFormatting sqref="W182:X182">
    <cfRule type="containsText" dxfId="1064" priority="125" operator="containsText" text="Str">
      <formula>NOT(ISERROR(SEARCH("Str",W182)))</formula>
    </cfRule>
    <cfRule type="containsText" dxfId="1063" priority="126" operator="containsText" text="Ere">
      <formula>NOT(ISERROR(SEARCH("Ere",W182)))</formula>
    </cfRule>
    <cfRule type="containsText" dxfId="1062" priority="127" operator="containsText" text="Ear">
      <formula>NOT(ISERROR(SEARCH("Ear",W182)))</formula>
    </cfRule>
    <cfRule type="containsText" dxfId="1061" priority="128" operator="containsText" text="fnd">
      <formula>NOT(ISERROR(SEARCH("fnd",W182)))</formula>
    </cfRule>
  </conditionalFormatting>
  <conditionalFormatting sqref="X14">
    <cfRule type="containsText" dxfId="1060" priority="1735" operator="containsText" text="Str">
      <formula>NOT(ISERROR(SEARCH("Str",X14)))</formula>
    </cfRule>
    <cfRule type="containsText" dxfId="1059" priority="1736" operator="containsText" text="Ere">
      <formula>NOT(ISERROR(SEARCH("Ere",X14)))</formula>
    </cfRule>
    <cfRule type="containsText" dxfId="1058" priority="1737" operator="containsText" text="Ear">
      <formula>NOT(ISERROR(SEARCH("Ear",X14)))</formula>
    </cfRule>
    <cfRule type="containsText" dxfId="1057" priority="1738" operator="containsText" text="fnd">
      <formula>NOT(ISERROR(SEARCH("fnd",X14)))</formula>
    </cfRule>
  </conditionalFormatting>
  <conditionalFormatting sqref="X22">
    <cfRule type="containsText" dxfId="1056" priority="1803" operator="containsText" text="Str">
      <formula>NOT(ISERROR(SEARCH("Str",X22)))</formula>
    </cfRule>
    <cfRule type="containsText" dxfId="1055" priority="1804" operator="containsText" text="Ere">
      <formula>NOT(ISERROR(SEARCH("Ere",X22)))</formula>
    </cfRule>
    <cfRule type="containsText" dxfId="1054" priority="1805" operator="containsText" text="Ear">
      <formula>NOT(ISERROR(SEARCH("Ear",X22)))</formula>
    </cfRule>
    <cfRule type="containsText" dxfId="1053" priority="1806" operator="containsText" text="fnd">
      <formula>NOT(ISERROR(SEARCH("fnd",X22)))</formula>
    </cfRule>
  </conditionalFormatting>
  <conditionalFormatting sqref="Z5:Z6">
    <cfRule type="containsText" dxfId="1052" priority="213" operator="containsText" text="Str">
      <formula>NOT(ISERROR(SEARCH("Str",Z5)))</formula>
    </cfRule>
    <cfRule type="containsText" dxfId="1051" priority="214" operator="containsText" text="Ere">
      <formula>NOT(ISERROR(SEARCH("Ere",Z5)))</formula>
    </cfRule>
    <cfRule type="containsText" dxfId="1050" priority="215" operator="containsText" text="Ear">
      <formula>NOT(ISERROR(SEARCH("Ear",Z5)))</formula>
    </cfRule>
    <cfRule type="containsText" dxfId="1049" priority="216" operator="containsText" text="fnd">
      <formula>NOT(ISERROR(SEARCH("fnd",Z5)))</formula>
    </cfRule>
  </conditionalFormatting>
  <conditionalFormatting sqref="Z13:Z14">
    <cfRule type="containsText" dxfId="1048" priority="413" operator="containsText" text="Str">
      <formula>NOT(ISERROR(SEARCH("Str",Z13)))</formula>
    </cfRule>
    <cfRule type="containsText" dxfId="1047" priority="414" operator="containsText" text="Ere">
      <formula>NOT(ISERROR(SEARCH("Ere",Z13)))</formula>
    </cfRule>
    <cfRule type="containsText" dxfId="1046" priority="415" operator="containsText" text="Ear">
      <formula>NOT(ISERROR(SEARCH("Ear",Z13)))</formula>
    </cfRule>
    <cfRule type="containsText" dxfId="1045" priority="416" operator="containsText" text="fnd">
      <formula>NOT(ISERROR(SEARCH("fnd",Z13)))</formula>
    </cfRule>
  </conditionalFormatting>
  <conditionalFormatting sqref="Z21:Z22">
    <cfRule type="containsText" dxfId="1044" priority="1955" operator="containsText" text="Str">
      <formula>NOT(ISERROR(SEARCH("Str",Z21)))</formula>
    </cfRule>
    <cfRule type="containsText" dxfId="1043" priority="1956" operator="containsText" text="Ere">
      <formula>NOT(ISERROR(SEARCH("Ere",Z21)))</formula>
    </cfRule>
    <cfRule type="containsText" dxfId="1042" priority="1957" operator="containsText" text="Ear">
      <formula>NOT(ISERROR(SEARCH("Ear",Z21)))</formula>
    </cfRule>
    <cfRule type="containsText" dxfId="1041" priority="1958" operator="containsText" text="fnd">
      <formula>NOT(ISERROR(SEARCH("fnd",Z21)))</formula>
    </cfRule>
  </conditionalFormatting>
  <conditionalFormatting sqref="Z29">
    <cfRule type="containsText" dxfId="1040" priority="1903" operator="containsText" text="Str">
      <formula>NOT(ISERROR(SEARCH("Str",Z29)))</formula>
    </cfRule>
    <cfRule type="containsText" dxfId="1039" priority="1904" operator="containsText" text="Ere">
      <formula>NOT(ISERROR(SEARCH("Ere",Z29)))</formula>
    </cfRule>
    <cfRule type="containsText" dxfId="1038" priority="1905" operator="containsText" text="Ear">
      <formula>NOT(ISERROR(SEARCH("Ear",Z29)))</formula>
    </cfRule>
    <cfRule type="containsText" dxfId="1037" priority="1906" operator="containsText" text="fnd">
      <formula>NOT(ISERROR(SEARCH("fnd",Z29)))</formula>
    </cfRule>
  </conditionalFormatting>
  <conditionalFormatting sqref="Z37">
    <cfRule type="containsText" dxfId="1036" priority="1523" operator="containsText" text="Str">
      <formula>NOT(ISERROR(SEARCH("Str",Z37)))</formula>
    </cfRule>
    <cfRule type="containsText" dxfId="1035" priority="1524" operator="containsText" text="Ere">
      <formula>NOT(ISERROR(SEARCH("Ere",Z37)))</formula>
    </cfRule>
    <cfRule type="containsText" dxfId="1034" priority="1525" operator="containsText" text="Ear">
      <formula>NOT(ISERROR(SEARCH("Ear",Z37)))</formula>
    </cfRule>
    <cfRule type="containsText" dxfId="1033" priority="1526" operator="containsText" text="fnd">
      <formula>NOT(ISERROR(SEARCH("fnd",Z37)))</formula>
    </cfRule>
  </conditionalFormatting>
  <conditionalFormatting sqref="Z45">
    <cfRule type="containsText" dxfId="1032" priority="2111" operator="containsText" text="Str">
      <formula>NOT(ISERROR(SEARCH("Str",Z45)))</formula>
    </cfRule>
    <cfRule type="containsText" dxfId="1031" priority="2112" operator="containsText" text="Ere">
      <formula>NOT(ISERROR(SEARCH("Ere",Z45)))</formula>
    </cfRule>
    <cfRule type="containsText" dxfId="1030" priority="2113" operator="containsText" text="Ear">
      <formula>NOT(ISERROR(SEARCH("Ear",Z45)))</formula>
    </cfRule>
    <cfRule type="containsText" dxfId="1029" priority="2114" operator="containsText" text="fnd">
      <formula>NOT(ISERROR(SEARCH("fnd",Z45)))</formula>
    </cfRule>
  </conditionalFormatting>
  <conditionalFormatting sqref="Z53">
    <cfRule type="containsText" dxfId="1028" priority="501" operator="containsText" text="Str">
      <formula>NOT(ISERROR(SEARCH("Str",Z53)))</formula>
    </cfRule>
    <cfRule type="containsText" dxfId="1027" priority="502" operator="containsText" text="Ere">
      <formula>NOT(ISERROR(SEARCH("Ere",Z53)))</formula>
    </cfRule>
    <cfRule type="containsText" dxfId="1026" priority="503" operator="containsText" text="Ear">
      <formula>NOT(ISERROR(SEARCH("Ear",Z53)))</formula>
    </cfRule>
    <cfRule type="containsText" dxfId="1025" priority="504" operator="containsText" text="fnd">
      <formula>NOT(ISERROR(SEARCH("fnd",Z53)))</formula>
    </cfRule>
  </conditionalFormatting>
  <conditionalFormatting sqref="Z61">
    <cfRule type="containsText" dxfId="1024" priority="2091" operator="containsText" text="Str">
      <formula>NOT(ISERROR(SEARCH("Str",Z61)))</formula>
    </cfRule>
    <cfRule type="containsText" dxfId="1023" priority="2092" operator="containsText" text="Ere">
      <formula>NOT(ISERROR(SEARCH("Ere",Z61)))</formula>
    </cfRule>
    <cfRule type="containsText" dxfId="1022" priority="2093" operator="containsText" text="Ear">
      <formula>NOT(ISERROR(SEARCH("Ear",Z61)))</formula>
    </cfRule>
    <cfRule type="containsText" dxfId="1021" priority="2094" operator="containsText" text="fnd">
      <formula>NOT(ISERROR(SEARCH("fnd",Z61)))</formula>
    </cfRule>
  </conditionalFormatting>
  <conditionalFormatting sqref="Z69">
    <cfRule type="containsText" dxfId="1020" priority="803" operator="containsText" text="Str">
      <formula>NOT(ISERROR(SEARCH("Str",Z69)))</formula>
    </cfRule>
    <cfRule type="containsText" dxfId="1019" priority="804" operator="containsText" text="Ere">
      <formula>NOT(ISERROR(SEARCH("Ere",Z69)))</formula>
    </cfRule>
    <cfRule type="containsText" dxfId="1018" priority="805" operator="containsText" text="Ear">
      <formula>NOT(ISERROR(SEARCH("Ear",Z69)))</formula>
    </cfRule>
    <cfRule type="containsText" dxfId="1017" priority="806" operator="containsText" text="fnd">
      <formula>NOT(ISERROR(SEARCH("fnd",Z69)))</formula>
    </cfRule>
  </conditionalFormatting>
  <conditionalFormatting sqref="Z85">
    <cfRule type="containsText" dxfId="1016" priority="715" operator="containsText" text="Str">
      <formula>NOT(ISERROR(SEARCH("Str",Z85)))</formula>
    </cfRule>
    <cfRule type="containsText" dxfId="1015" priority="716" operator="containsText" text="Ere">
      <formula>NOT(ISERROR(SEARCH("Ere",Z85)))</formula>
    </cfRule>
    <cfRule type="containsText" dxfId="1014" priority="717" operator="containsText" text="Ear">
      <formula>NOT(ISERROR(SEARCH("Ear",Z85)))</formula>
    </cfRule>
    <cfRule type="containsText" dxfId="1013" priority="718" operator="containsText" text="fnd">
      <formula>NOT(ISERROR(SEARCH("fnd",Z85)))</formula>
    </cfRule>
  </conditionalFormatting>
  <conditionalFormatting sqref="Z93">
    <cfRule type="containsText" dxfId="1012" priority="1919" operator="containsText" text="Str">
      <formula>NOT(ISERROR(SEARCH("Str",Z93)))</formula>
    </cfRule>
    <cfRule type="containsText" dxfId="1011" priority="1920" operator="containsText" text="Ere">
      <formula>NOT(ISERROR(SEARCH("Ere",Z93)))</formula>
    </cfRule>
    <cfRule type="containsText" dxfId="1010" priority="1921" operator="containsText" text="Ear">
      <formula>NOT(ISERROR(SEARCH("Ear",Z93)))</formula>
    </cfRule>
    <cfRule type="containsText" dxfId="1009" priority="1922" operator="containsText" text="fnd">
      <formula>NOT(ISERROR(SEARCH("fnd",Z93)))</formula>
    </cfRule>
  </conditionalFormatting>
  <conditionalFormatting sqref="Z101">
    <cfRule type="containsText" dxfId="1008" priority="2227" operator="containsText" text="Str">
      <formula>NOT(ISERROR(SEARCH("Str",Z101)))</formula>
    </cfRule>
    <cfRule type="containsText" dxfId="1007" priority="2228" operator="containsText" text="Ere">
      <formula>NOT(ISERROR(SEARCH("Ere",Z101)))</formula>
    </cfRule>
    <cfRule type="containsText" dxfId="1006" priority="2229" operator="containsText" text="Ear">
      <formula>NOT(ISERROR(SEARCH("Ear",Z101)))</formula>
    </cfRule>
    <cfRule type="containsText" dxfId="1005" priority="2230" operator="containsText" text="fnd">
      <formula>NOT(ISERROR(SEARCH("fnd",Z101)))</formula>
    </cfRule>
  </conditionalFormatting>
  <conditionalFormatting sqref="Z109">
    <cfRule type="containsText" dxfId="1004" priority="1827" operator="containsText" text="Str">
      <formula>NOT(ISERROR(SEARCH("Str",Z109)))</formula>
    </cfRule>
    <cfRule type="containsText" dxfId="1003" priority="1828" operator="containsText" text="Ere">
      <formula>NOT(ISERROR(SEARCH("Ere",Z109)))</formula>
    </cfRule>
    <cfRule type="containsText" dxfId="1002" priority="1829" operator="containsText" text="Ear">
      <formula>NOT(ISERROR(SEARCH("Ear",Z109)))</formula>
    </cfRule>
    <cfRule type="containsText" dxfId="1001" priority="1830" operator="containsText" text="fnd">
      <formula>NOT(ISERROR(SEARCH("fnd",Z109)))</formula>
    </cfRule>
  </conditionalFormatting>
  <conditionalFormatting sqref="Z117">
    <cfRule type="containsText" dxfId="1000" priority="743" operator="containsText" text="Str">
      <formula>NOT(ISERROR(SEARCH("Str",Z117)))</formula>
    </cfRule>
    <cfRule type="containsText" dxfId="999" priority="744" operator="containsText" text="Ere">
      <formula>NOT(ISERROR(SEARCH("Ere",Z117)))</formula>
    </cfRule>
    <cfRule type="containsText" dxfId="998" priority="745" operator="containsText" text="Ear">
      <formula>NOT(ISERROR(SEARCH("Ear",Z117)))</formula>
    </cfRule>
    <cfRule type="containsText" dxfId="997" priority="746" operator="containsText" text="fnd">
      <formula>NOT(ISERROR(SEARCH("fnd",Z117)))</formula>
    </cfRule>
  </conditionalFormatting>
  <conditionalFormatting sqref="Z122 Z130 Z170 Z178">
    <cfRule type="containsText" dxfId="996" priority="2055" operator="containsText" text="Str">
      <formula>NOT(ISERROR(SEARCH("Str",Z122)))</formula>
    </cfRule>
    <cfRule type="containsText" dxfId="995" priority="2056" operator="containsText" text="Ere">
      <formula>NOT(ISERROR(SEARCH("Ere",Z122)))</formula>
    </cfRule>
    <cfRule type="containsText" dxfId="994" priority="2057" operator="containsText" text="Ear">
      <formula>NOT(ISERROR(SEARCH("Ear",Z122)))</formula>
    </cfRule>
    <cfRule type="containsText" dxfId="993" priority="2058" operator="containsText" text="fnd">
      <formula>NOT(ISERROR(SEARCH("fnd",Z122)))</formula>
    </cfRule>
  </conditionalFormatting>
  <conditionalFormatting sqref="Z125">
    <cfRule type="containsText" dxfId="992" priority="525" operator="containsText" text="Str">
      <formula>NOT(ISERROR(SEARCH("Str",Z125)))</formula>
    </cfRule>
    <cfRule type="containsText" dxfId="991" priority="526" operator="containsText" text="Ere">
      <formula>NOT(ISERROR(SEARCH("Ere",Z125)))</formula>
    </cfRule>
    <cfRule type="containsText" dxfId="990" priority="527" operator="containsText" text="Ear">
      <formula>NOT(ISERROR(SEARCH("Ear",Z125)))</formula>
    </cfRule>
    <cfRule type="containsText" dxfId="989" priority="528" operator="containsText" text="fnd">
      <formula>NOT(ISERROR(SEARCH("fnd",Z125)))</formula>
    </cfRule>
  </conditionalFormatting>
  <conditionalFormatting sqref="Z133">
    <cfRule type="containsText" dxfId="988" priority="293" operator="containsText" text="Str">
      <formula>NOT(ISERROR(SEARCH("Str",Z133)))</formula>
    </cfRule>
    <cfRule type="containsText" dxfId="987" priority="294" operator="containsText" text="Ere">
      <formula>NOT(ISERROR(SEARCH("Ere",Z133)))</formula>
    </cfRule>
    <cfRule type="containsText" dxfId="986" priority="295" operator="containsText" text="Ear">
      <formula>NOT(ISERROR(SEARCH("Ear",Z133)))</formula>
    </cfRule>
    <cfRule type="containsText" dxfId="985" priority="296" operator="containsText" text="fnd">
      <formula>NOT(ISERROR(SEARCH("fnd",Z133)))</formula>
    </cfRule>
  </conditionalFormatting>
  <conditionalFormatting sqref="Z141">
    <cfRule type="containsText" dxfId="984" priority="783" operator="containsText" text="Str">
      <formula>NOT(ISERROR(SEARCH("Str",Z141)))</formula>
    </cfRule>
    <cfRule type="containsText" dxfId="983" priority="784" operator="containsText" text="Ere">
      <formula>NOT(ISERROR(SEARCH("Ere",Z141)))</formula>
    </cfRule>
    <cfRule type="containsText" dxfId="982" priority="785" operator="containsText" text="Ear">
      <formula>NOT(ISERROR(SEARCH("Ear",Z141)))</formula>
    </cfRule>
    <cfRule type="containsText" dxfId="981" priority="786" operator="containsText" text="fnd">
      <formula>NOT(ISERROR(SEARCH("fnd",Z141)))</formula>
    </cfRule>
  </conditionalFormatting>
  <conditionalFormatting sqref="Z149">
    <cfRule type="containsText" dxfId="980" priority="425" operator="containsText" text="Str">
      <formula>NOT(ISERROR(SEARCH("Str",Z149)))</formula>
    </cfRule>
    <cfRule type="containsText" dxfId="979" priority="426" operator="containsText" text="Ere">
      <formula>NOT(ISERROR(SEARCH("Ere",Z149)))</formula>
    </cfRule>
    <cfRule type="containsText" dxfId="978" priority="427" operator="containsText" text="Ear">
      <formula>NOT(ISERROR(SEARCH("Ear",Z149)))</formula>
    </cfRule>
    <cfRule type="containsText" dxfId="977" priority="428" operator="containsText" text="fnd">
      <formula>NOT(ISERROR(SEARCH("fnd",Z149)))</formula>
    </cfRule>
  </conditionalFormatting>
  <conditionalFormatting sqref="Z157">
    <cfRule type="containsText" dxfId="976" priority="1151" operator="containsText" text="Str">
      <formula>NOT(ISERROR(SEARCH("Str",Z157)))</formula>
    </cfRule>
    <cfRule type="containsText" dxfId="975" priority="1152" operator="containsText" text="Ere">
      <formula>NOT(ISERROR(SEARCH("Ere",Z157)))</formula>
    </cfRule>
    <cfRule type="containsText" dxfId="974" priority="1153" operator="containsText" text="Ear">
      <formula>NOT(ISERROR(SEARCH("Ear",Z157)))</formula>
    </cfRule>
    <cfRule type="containsText" dxfId="973" priority="1154" operator="containsText" text="fnd">
      <formula>NOT(ISERROR(SEARCH("fnd",Z157)))</formula>
    </cfRule>
  </conditionalFormatting>
  <conditionalFormatting sqref="Z165">
    <cfRule type="containsText" dxfId="972" priority="457" operator="containsText" text="Str">
      <formula>NOT(ISERROR(SEARCH("Str",Z165)))</formula>
    </cfRule>
    <cfRule type="containsText" dxfId="971" priority="458" operator="containsText" text="Ere">
      <formula>NOT(ISERROR(SEARCH("Ere",Z165)))</formula>
    </cfRule>
    <cfRule type="containsText" dxfId="970" priority="459" operator="containsText" text="Ear">
      <formula>NOT(ISERROR(SEARCH("Ear",Z165)))</formula>
    </cfRule>
    <cfRule type="containsText" dxfId="969" priority="460" operator="containsText" text="fnd">
      <formula>NOT(ISERROR(SEARCH("fnd",Z165)))</formula>
    </cfRule>
  </conditionalFormatting>
  <conditionalFormatting sqref="Z173">
    <cfRule type="containsText" dxfId="968" priority="1027" operator="containsText" text="Str">
      <formula>NOT(ISERROR(SEARCH("Str",Z173)))</formula>
    </cfRule>
    <cfRule type="containsText" dxfId="967" priority="1028" operator="containsText" text="Ere">
      <formula>NOT(ISERROR(SEARCH("Ere",Z173)))</formula>
    </cfRule>
    <cfRule type="containsText" dxfId="966" priority="1029" operator="containsText" text="Ear">
      <formula>NOT(ISERROR(SEARCH("Ear",Z173)))</formula>
    </cfRule>
    <cfRule type="containsText" dxfId="965" priority="1030" operator="containsText" text="fnd">
      <formula>NOT(ISERROR(SEARCH("fnd",Z173)))</formula>
    </cfRule>
  </conditionalFormatting>
  <conditionalFormatting sqref="Z181">
    <cfRule type="containsText" dxfId="964" priority="113" operator="containsText" text="Str">
      <formula>NOT(ISERROR(SEARCH("Str",Z181)))</formula>
    </cfRule>
    <cfRule type="containsText" dxfId="963" priority="114" operator="containsText" text="Ere">
      <formula>NOT(ISERROR(SEARCH("Ere",Z181)))</formula>
    </cfRule>
    <cfRule type="containsText" dxfId="962" priority="115" operator="containsText" text="Ear">
      <formula>NOT(ISERROR(SEARCH("Ear",Z181)))</formula>
    </cfRule>
    <cfRule type="containsText" dxfId="961" priority="116" operator="containsText" text="fnd">
      <formula>NOT(ISERROR(SEARCH("fnd",Z181)))</formula>
    </cfRule>
  </conditionalFormatting>
  <conditionalFormatting sqref="Z30:AA30">
    <cfRule type="containsText" dxfId="960" priority="1907" operator="containsText" text="Str">
      <formula>NOT(ISERROR(SEARCH("Str",Z30)))</formula>
    </cfRule>
    <cfRule type="containsText" dxfId="959" priority="1908" operator="containsText" text="Ere">
      <formula>NOT(ISERROR(SEARCH("Ere",Z30)))</formula>
    </cfRule>
    <cfRule type="containsText" dxfId="958" priority="1909" operator="containsText" text="Ear">
      <formula>NOT(ISERROR(SEARCH("Ear",Z30)))</formula>
    </cfRule>
    <cfRule type="containsText" dxfId="957" priority="1910" operator="containsText" text="fnd">
      <formula>NOT(ISERROR(SEARCH("fnd",Z30)))</formula>
    </cfRule>
  </conditionalFormatting>
  <conditionalFormatting sqref="Z38:AA38">
    <cfRule type="containsText" dxfId="956" priority="1527" operator="containsText" text="Str">
      <formula>NOT(ISERROR(SEARCH("Str",Z38)))</formula>
    </cfRule>
    <cfRule type="containsText" dxfId="955" priority="1528" operator="containsText" text="Ere">
      <formula>NOT(ISERROR(SEARCH("Ere",Z38)))</formula>
    </cfRule>
    <cfRule type="containsText" dxfId="954" priority="1529" operator="containsText" text="Ear">
      <formula>NOT(ISERROR(SEARCH("Ear",Z38)))</formula>
    </cfRule>
    <cfRule type="containsText" dxfId="953" priority="1530" operator="containsText" text="fnd">
      <formula>NOT(ISERROR(SEARCH("fnd",Z38)))</formula>
    </cfRule>
  </conditionalFormatting>
  <conditionalFormatting sqref="Z46:AA46">
    <cfRule type="containsText" dxfId="952" priority="2363" operator="containsText" text="Str">
      <formula>NOT(ISERROR(SEARCH("Str",Z46)))</formula>
    </cfRule>
    <cfRule type="containsText" dxfId="951" priority="2364" operator="containsText" text="Ere">
      <formula>NOT(ISERROR(SEARCH("Ere",Z46)))</formula>
    </cfRule>
    <cfRule type="containsText" dxfId="950" priority="2365" operator="containsText" text="Ear">
      <formula>NOT(ISERROR(SEARCH("Ear",Z46)))</formula>
    </cfRule>
    <cfRule type="containsText" dxfId="949" priority="2366" operator="containsText" text="fnd">
      <formula>NOT(ISERROR(SEARCH("fnd",Z46)))</formula>
    </cfRule>
  </conditionalFormatting>
  <conditionalFormatting sqref="Z54:AA54">
    <cfRule type="containsText" dxfId="948" priority="505" operator="containsText" text="Str">
      <formula>NOT(ISERROR(SEARCH("Str",Z54)))</formula>
    </cfRule>
    <cfRule type="containsText" dxfId="947" priority="506" operator="containsText" text="Ere">
      <formula>NOT(ISERROR(SEARCH("Ere",Z54)))</formula>
    </cfRule>
    <cfRule type="containsText" dxfId="946" priority="507" operator="containsText" text="Ear">
      <formula>NOT(ISERROR(SEARCH("Ear",Z54)))</formula>
    </cfRule>
    <cfRule type="containsText" dxfId="945" priority="508" operator="containsText" text="fnd">
      <formula>NOT(ISERROR(SEARCH("fnd",Z54)))</formula>
    </cfRule>
  </conditionalFormatting>
  <conditionalFormatting sqref="Z62:AA62 AM62">
    <cfRule type="containsText" dxfId="944" priority="2319" operator="containsText" text="Str">
      <formula>NOT(ISERROR(SEARCH("Str",Z62)))</formula>
    </cfRule>
    <cfRule type="containsText" dxfId="943" priority="2320" operator="containsText" text="Ere">
      <formula>NOT(ISERROR(SEARCH("Ere",Z62)))</formula>
    </cfRule>
    <cfRule type="containsText" dxfId="942" priority="2321" operator="containsText" text="Ear">
      <formula>NOT(ISERROR(SEARCH("Ear",Z62)))</formula>
    </cfRule>
    <cfRule type="containsText" dxfId="941" priority="2322" operator="containsText" text="fnd">
      <formula>NOT(ISERROR(SEARCH("fnd",Z62)))</formula>
    </cfRule>
  </conditionalFormatting>
  <conditionalFormatting sqref="Z77:AA78">
    <cfRule type="containsText" dxfId="940" priority="1959" operator="containsText" text="Str">
      <formula>NOT(ISERROR(SEARCH("Str",Z77)))</formula>
    </cfRule>
    <cfRule type="containsText" dxfId="939" priority="1960" operator="containsText" text="Ere">
      <formula>NOT(ISERROR(SEARCH("Ere",Z77)))</formula>
    </cfRule>
    <cfRule type="containsText" dxfId="938" priority="1961" operator="containsText" text="Ear">
      <formula>NOT(ISERROR(SEARCH("Ear",Z77)))</formula>
    </cfRule>
    <cfRule type="containsText" dxfId="937" priority="1962" operator="containsText" text="fnd">
      <formula>NOT(ISERROR(SEARCH("fnd",Z77)))</formula>
    </cfRule>
  </conditionalFormatting>
  <conditionalFormatting sqref="Z86:AA86">
    <cfRule type="containsText" dxfId="936" priority="719" operator="containsText" text="Str">
      <formula>NOT(ISERROR(SEARCH("Str",Z86)))</formula>
    </cfRule>
    <cfRule type="containsText" dxfId="935" priority="720" operator="containsText" text="Ere">
      <formula>NOT(ISERROR(SEARCH("Ere",Z86)))</formula>
    </cfRule>
    <cfRule type="containsText" dxfId="934" priority="721" operator="containsText" text="Ear">
      <formula>NOT(ISERROR(SEARCH("Ear",Z86)))</formula>
    </cfRule>
    <cfRule type="containsText" dxfId="933" priority="722" operator="containsText" text="fnd">
      <formula>NOT(ISERROR(SEARCH("fnd",Z86)))</formula>
    </cfRule>
  </conditionalFormatting>
  <conditionalFormatting sqref="Z94:AA94">
    <cfRule type="containsText" dxfId="932" priority="1923" operator="containsText" text="Str">
      <formula>NOT(ISERROR(SEARCH("Str",Z94)))</formula>
    </cfRule>
    <cfRule type="containsText" dxfId="931" priority="1924" operator="containsText" text="Ere">
      <formula>NOT(ISERROR(SEARCH("Ere",Z94)))</formula>
    </cfRule>
    <cfRule type="containsText" dxfId="930" priority="1925" operator="containsText" text="Ear">
      <formula>NOT(ISERROR(SEARCH("Ear",Z94)))</formula>
    </cfRule>
    <cfRule type="containsText" dxfId="929" priority="1926" operator="containsText" text="fnd">
      <formula>NOT(ISERROR(SEARCH("fnd",Z94)))</formula>
    </cfRule>
  </conditionalFormatting>
  <conditionalFormatting sqref="Z102:AA102">
    <cfRule type="containsText" dxfId="928" priority="2271" operator="containsText" text="Str">
      <formula>NOT(ISERROR(SEARCH("Str",Z102)))</formula>
    </cfRule>
    <cfRule type="containsText" dxfId="927" priority="2272" operator="containsText" text="Ere">
      <formula>NOT(ISERROR(SEARCH("Ere",Z102)))</formula>
    </cfRule>
    <cfRule type="containsText" dxfId="926" priority="2273" operator="containsText" text="Ear">
      <formula>NOT(ISERROR(SEARCH("Ear",Z102)))</formula>
    </cfRule>
    <cfRule type="containsText" dxfId="925" priority="2274" operator="containsText" text="fnd">
      <formula>NOT(ISERROR(SEARCH("fnd",Z102)))</formula>
    </cfRule>
  </conditionalFormatting>
  <conditionalFormatting sqref="Z110:AA110">
    <cfRule type="containsText" dxfId="924" priority="1831" operator="containsText" text="Str">
      <formula>NOT(ISERROR(SEARCH("Str",Z110)))</formula>
    </cfRule>
    <cfRule type="containsText" dxfId="923" priority="1832" operator="containsText" text="Ere">
      <formula>NOT(ISERROR(SEARCH("Ere",Z110)))</formula>
    </cfRule>
    <cfRule type="containsText" dxfId="922" priority="1833" operator="containsText" text="Ear">
      <formula>NOT(ISERROR(SEARCH("Ear",Z110)))</formula>
    </cfRule>
    <cfRule type="containsText" dxfId="921" priority="1834" operator="containsText" text="fnd">
      <formula>NOT(ISERROR(SEARCH("fnd",Z110)))</formula>
    </cfRule>
  </conditionalFormatting>
  <conditionalFormatting sqref="Z118:AA118">
    <cfRule type="containsText" dxfId="920" priority="747" operator="containsText" text="Str">
      <formula>NOT(ISERROR(SEARCH("Str",Z118)))</formula>
    </cfRule>
    <cfRule type="containsText" dxfId="919" priority="748" operator="containsText" text="Ere">
      <formula>NOT(ISERROR(SEARCH("Ere",Z118)))</formula>
    </cfRule>
    <cfRule type="containsText" dxfId="918" priority="749" operator="containsText" text="Ear">
      <formula>NOT(ISERROR(SEARCH("Ear",Z118)))</formula>
    </cfRule>
    <cfRule type="containsText" dxfId="917" priority="750" operator="containsText" text="fnd">
      <formula>NOT(ISERROR(SEARCH("fnd",Z118)))</formula>
    </cfRule>
  </conditionalFormatting>
  <conditionalFormatting sqref="Z126:AA126">
    <cfRule type="containsText" dxfId="916" priority="529" operator="containsText" text="Str">
      <formula>NOT(ISERROR(SEARCH("Str",Z126)))</formula>
    </cfRule>
    <cfRule type="containsText" dxfId="915" priority="530" operator="containsText" text="Ere">
      <formula>NOT(ISERROR(SEARCH("Ere",Z126)))</formula>
    </cfRule>
    <cfRule type="containsText" dxfId="914" priority="531" operator="containsText" text="Ear">
      <formula>NOT(ISERROR(SEARCH("Ear",Z126)))</formula>
    </cfRule>
    <cfRule type="containsText" dxfId="913" priority="532" operator="containsText" text="fnd">
      <formula>NOT(ISERROR(SEARCH("fnd",Z126)))</formula>
    </cfRule>
  </conditionalFormatting>
  <conditionalFormatting sqref="Z134:AA134">
    <cfRule type="containsText" dxfId="912" priority="297" operator="containsText" text="Str">
      <formula>NOT(ISERROR(SEARCH("Str",Z134)))</formula>
    </cfRule>
    <cfRule type="containsText" dxfId="911" priority="298" operator="containsText" text="Ere">
      <formula>NOT(ISERROR(SEARCH("Ere",Z134)))</formula>
    </cfRule>
    <cfRule type="containsText" dxfId="910" priority="299" operator="containsText" text="Ear">
      <formula>NOT(ISERROR(SEARCH("Ear",Z134)))</formula>
    </cfRule>
    <cfRule type="containsText" dxfId="909" priority="300" operator="containsText" text="fnd">
      <formula>NOT(ISERROR(SEARCH("fnd",Z134)))</formula>
    </cfRule>
  </conditionalFormatting>
  <conditionalFormatting sqref="Z150:AA150">
    <cfRule type="containsText" dxfId="908" priority="429" operator="containsText" text="Str">
      <formula>NOT(ISERROR(SEARCH("Str",Z150)))</formula>
    </cfRule>
    <cfRule type="containsText" dxfId="907" priority="430" operator="containsText" text="Ere">
      <formula>NOT(ISERROR(SEARCH("Ere",Z150)))</formula>
    </cfRule>
    <cfRule type="containsText" dxfId="906" priority="431" operator="containsText" text="Ear">
      <formula>NOT(ISERROR(SEARCH("Ear",Z150)))</formula>
    </cfRule>
    <cfRule type="containsText" dxfId="905" priority="432" operator="containsText" text="fnd">
      <formula>NOT(ISERROR(SEARCH("fnd",Z150)))</formula>
    </cfRule>
  </conditionalFormatting>
  <conditionalFormatting sqref="Z158:AA158">
    <cfRule type="containsText" dxfId="904" priority="1155" operator="containsText" text="Str">
      <formula>NOT(ISERROR(SEARCH("Str",Z158)))</formula>
    </cfRule>
    <cfRule type="containsText" dxfId="903" priority="1156" operator="containsText" text="Ere">
      <formula>NOT(ISERROR(SEARCH("Ere",Z158)))</formula>
    </cfRule>
    <cfRule type="containsText" dxfId="902" priority="1157" operator="containsText" text="Ear">
      <formula>NOT(ISERROR(SEARCH("Ear",Z158)))</formula>
    </cfRule>
    <cfRule type="containsText" dxfId="901" priority="1158" operator="containsText" text="fnd">
      <formula>NOT(ISERROR(SEARCH("fnd",Z158)))</formula>
    </cfRule>
  </conditionalFormatting>
  <conditionalFormatting sqref="Z166:AA166">
    <cfRule type="containsText" dxfId="900" priority="461" operator="containsText" text="Str">
      <formula>NOT(ISERROR(SEARCH("Str",Z166)))</formula>
    </cfRule>
    <cfRule type="containsText" dxfId="899" priority="462" operator="containsText" text="Ere">
      <formula>NOT(ISERROR(SEARCH("Ere",Z166)))</formula>
    </cfRule>
    <cfRule type="containsText" dxfId="898" priority="463" operator="containsText" text="Ear">
      <formula>NOT(ISERROR(SEARCH("Ear",Z166)))</formula>
    </cfRule>
    <cfRule type="containsText" dxfId="897" priority="464" operator="containsText" text="fnd">
      <formula>NOT(ISERROR(SEARCH("fnd",Z166)))</formula>
    </cfRule>
  </conditionalFormatting>
  <conditionalFormatting sqref="Z174:AA174">
    <cfRule type="containsText" dxfId="896" priority="1031" operator="containsText" text="Str">
      <formula>NOT(ISERROR(SEARCH("Str",Z174)))</formula>
    </cfRule>
    <cfRule type="containsText" dxfId="895" priority="1032" operator="containsText" text="Ere">
      <formula>NOT(ISERROR(SEARCH("Ere",Z174)))</formula>
    </cfRule>
    <cfRule type="containsText" dxfId="894" priority="1033" operator="containsText" text="Ear">
      <formula>NOT(ISERROR(SEARCH("Ear",Z174)))</formula>
    </cfRule>
    <cfRule type="containsText" dxfId="893" priority="1034" operator="containsText" text="fnd">
      <formula>NOT(ISERROR(SEARCH("fnd",Z174)))</formula>
    </cfRule>
  </conditionalFormatting>
  <conditionalFormatting sqref="Z182:AA182">
    <cfRule type="containsText" dxfId="892" priority="117" operator="containsText" text="Str">
      <formula>NOT(ISERROR(SEARCH("Str",Z182)))</formula>
    </cfRule>
    <cfRule type="containsText" dxfId="891" priority="118" operator="containsText" text="Ere">
      <formula>NOT(ISERROR(SEARCH("Ere",Z182)))</formula>
    </cfRule>
    <cfRule type="containsText" dxfId="890" priority="119" operator="containsText" text="Ear">
      <formula>NOT(ISERROR(SEARCH("Ear",Z182)))</formula>
    </cfRule>
    <cfRule type="containsText" dxfId="889" priority="120" operator="containsText" text="fnd">
      <formula>NOT(ISERROR(SEARCH("fnd",Z182)))</formula>
    </cfRule>
  </conditionalFormatting>
  <conditionalFormatting sqref="AA6">
    <cfRule type="containsText" dxfId="888" priority="209" operator="containsText" text="Str">
      <formula>NOT(ISERROR(SEARCH("Str",AA6)))</formula>
    </cfRule>
    <cfRule type="containsText" dxfId="887" priority="210" operator="containsText" text="Ere">
      <formula>NOT(ISERROR(SEARCH("Ere",AA6)))</formula>
    </cfRule>
    <cfRule type="containsText" dxfId="886" priority="211" operator="containsText" text="Ear">
      <formula>NOT(ISERROR(SEARCH("Ear",AA6)))</formula>
    </cfRule>
    <cfRule type="containsText" dxfId="885" priority="212" operator="containsText" text="fnd">
      <formula>NOT(ISERROR(SEARCH("fnd",AA6)))</formula>
    </cfRule>
  </conditionalFormatting>
  <conditionalFormatting sqref="AA14">
    <cfRule type="containsText" dxfId="884" priority="409" operator="containsText" text="Str">
      <formula>NOT(ISERROR(SEARCH("Str",AA14)))</formula>
    </cfRule>
    <cfRule type="containsText" dxfId="883" priority="410" operator="containsText" text="Ere">
      <formula>NOT(ISERROR(SEARCH("Ere",AA14)))</formula>
    </cfRule>
    <cfRule type="containsText" dxfId="882" priority="411" operator="containsText" text="Ear">
      <formula>NOT(ISERROR(SEARCH("Ear",AA14)))</formula>
    </cfRule>
    <cfRule type="containsText" dxfId="881" priority="412" operator="containsText" text="fnd">
      <formula>NOT(ISERROR(SEARCH("fnd",AA14)))</formula>
    </cfRule>
  </conditionalFormatting>
  <conditionalFormatting sqref="AA22">
    <cfRule type="containsText" dxfId="880" priority="1947" operator="containsText" text="Str">
      <formula>NOT(ISERROR(SEARCH("Str",AA22)))</formula>
    </cfRule>
    <cfRule type="containsText" dxfId="879" priority="1948" operator="containsText" text="Ere">
      <formula>NOT(ISERROR(SEARCH("Ere",AA22)))</formula>
    </cfRule>
    <cfRule type="containsText" dxfId="878" priority="1949" operator="containsText" text="Ear">
      <formula>NOT(ISERROR(SEARCH("Ear",AA22)))</formula>
    </cfRule>
    <cfRule type="containsText" dxfId="877" priority="1950" operator="containsText" text="fnd">
      <formula>NOT(ISERROR(SEARCH("fnd",AA22)))</formula>
    </cfRule>
  </conditionalFormatting>
  <conditionalFormatting sqref="AC5:AC6">
    <cfRule type="containsText" dxfId="876" priority="205" operator="containsText" text="Str">
      <formula>NOT(ISERROR(SEARCH("Str",AC5)))</formula>
    </cfRule>
    <cfRule type="containsText" dxfId="875" priority="206" operator="containsText" text="Ere">
      <formula>NOT(ISERROR(SEARCH("Ere",AC5)))</formula>
    </cfRule>
    <cfRule type="containsText" dxfId="874" priority="207" operator="containsText" text="Ear">
      <formula>NOT(ISERROR(SEARCH("Ear",AC5)))</formula>
    </cfRule>
    <cfRule type="containsText" dxfId="873" priority="208" operator="containsText" text="fnd">
      <formula>NOT(ISERROR(SEARCH("fnd",AC5)))</formula>
    </cfRule>
  </conditionalFormatting>
  <conditionalFormatting sqref="AC13:AC14">
    <cfRule type="containsText" dxfId="872" priority="967" operator="containsText" text="Str">
      <formula>NOT(ISERROR(SEARCH("Str",AC13)))</formula>
    </cfRule>
    <cfRule type="containsText" dxfId="871" priority="968" operator="containsText" text="Ere">
      <formula>NOT(ISERROR(SEARCH("Ere",AC13)))</formula>
    </cfRule>
    <cfRule type="containsText" dxfId="870" priority="969" operator="containsText" text="Ear">
      <formula>NOT(ISERROR(SEARCH("Ear",AC13)))</formula>
    </cfRule>
    <cfRule type="containsText" dxfId="869" priority="970" operator="containsText" text="fnd">
      <formula>NOT(ISERROR(SEARCH("fnd",AC13)))</formula>
    </cfRule>
  </conditionalFormatting>
  <conditionalFormatting sqref="AC21:AC22">
    <cfRule type="containsText" dxfId="868" priority="1951" operator="containsText" text="Str">
      <formula>NOT(ISERROR(SEARCH("Str",AC21)))</formula>
    </cfRule>
    <cfRule type="containsText" dxfId="867" priority="1952" operator="containsText" text="Ere">
      <formula>NOT(ISERROR(SEARCH("Ere",AC21)))</formula>
    </cfRule>
    <cfRule type="containsText" dxfId="866" priority="1953" operator="containsText" text="Ear">
      <formula>NOT(ISERROR(SEARCH("Ear",AC21)))</formula>
    </cfRule>
    <cfRule type="containsText" dxfId="865" priority="1954" operator="containsText" text="fnd">
      <formula>NOT(ISERROR(SEARCH("fnd",AC21)))</formula>
    </cfRule>
  </conditionalFormatting>
  <conditionalFormatting sqref="AC29">
    <cfRule type="containsText" dxfId="864" priority="1851" operator="containsText" text="Str">
      <formula>NOT(ISERROR(SEARCH("Str",AC29)))</formula>
    </cfRule>
    <cfRule type="containsText" dxfId="863" priority="1852" operator="containsText" text="Ere">
      <formula>NOT(ISERROR(SEARCH("Ere",AC29)))</formula>
    </cfRule>
    <cfRule type="containsText" dxfId="862" priority="1853" operator="containsText" text="Ear">
      <formula>NOT(ISERROR(SEARCH("Ear",AC29)))</formula>
    </cfRule>
    <cfRule type="containsText" dxfId="861" priority="1854" operator="containsText" text="fnd">
      <formula>NOT(ISERROR(SEARCH("fnd",AC29)))</formula>
    </cfRule>
  </conditionalFormatting>
  <conditionalFormatting sqref="AC37">
    <cfRule type="containsText" dxfId="860" priority="1515" operator="containsText" text="Str">
      <formula>NOT(ISERROR(SEARCH("Str",AC37)))</formula>
    </cfRule>
    <cfRule type="containsText" dxfId="859" priority="1516" operator="containsText" text="Ere">
      <formula>NOT(ISERROR(SEARCH("Ere",AC37)))</formula>
    </cfRule>
    <cfRule type="containsText" dxfId="858" priority="1517" operator="containsText" text="Ear">
      <formula>NOT(ISERROR(SEARCH("Ear",AC37)))</formula>
    </cfRule>
    <cfRule type="containsText" dxfId="857" priority="1518" operator="containsText" text="fnd">
      <formula>NOT(ISERROR(SEARCH("fnd",AC37)))</formula>
    </cfRule>
  </conditionalFormatting>
  <conditionalFormatting sqref="AC45">
    <cfRule type="containsText" dxfId="856" priority="635" operator="containsText" text="Str">
      <formula>NOT(ISERROR(SEARCH("Str",AC45)))</formula>
    </cfRule>
    <cfRule type="containsText" dxfId="855" priority="636" operator="containsText" text="Ere">
      <formula>NOT(ISERROR(SEARCH("Ere",AC45)))</formula>
    </cfRule>
    <cfRule type="containsText" dxfId="854" priority="637" operator="containsText" text="Ear">
      <formula>NOT(ISERROR(SEARCH("Ear",AC45)))</formula>
    </cfRule>
    <cfRule type="containsText" dxfId="853" priority="638" operator="containsText" text="fnd">
      <formula>NOT(ISERROR(SEARCH("fnd",AC45)))</formula>
    </cfRule>
  </conditionalFormatting>
  <conditionalFormatting sqref="AC53">
    <cfRule type="containsText" dxfId="852" priority="569" operator="containsText" text="Str">
      <formula>NOT(ISERROR(SEARCH("Str",AC53)))</formula>
    </cfRule>
    <cfRule type="containsText" dxfId="851" priority="570" operator="containsText" text="Ere">
      <formula>NOT(ISERROR(SEARCH("Ere",AC53)))</formula>
    </cfRule>
    <cfRule type="containsText" dxfId="850" priority="571" operator="containsText" text="Ear">
      <formula>NOT(ISERROR(SEARCH("Ear",AC53)))</formula>
    </cfRule>
    <cfRule type="containsText" dxfId="849" priority="572" operator="containsText" text="fnd">
      <formula>NOT(ISERROR(SEARCH("fnd",AC53)))</formula>
    </cfRule>
  </conditionalFormatting>
  <conditionalFormatting sqref="AC61">
    <cfRule type="containsText" dxfId="848" priority="851" operator="containsText" text="Str">
      <formula>NOT(ISERROR(SEARCH("Str",AC61)))</formula>
    </cfRule>
    <cfRule type="containsText" dxfId="847" priority="852" operator="containsText" text="Ere">
      <formula>NOT(ISERROR(SEARCH("Ere",AC61)))</formula>
    </cfRule>
    <cfRule type="containsText" dxfId="846" priority="853" operator="containsText" text="Ear">
      <formula>NOT(ISERROR(SEARCH("Ear",AC61)))</formula>
    </cfRule>
    <cfRule type="containsText" dxfId="845" priority="854" operator="containsText" text="fnd">
      <formula>NOT(ISERROR(SEARCH("fnd",AC61)))</formula>
    </cfRule>
  </conditionalFormatting>
  <conditionalFormatting sqref="AC70">
    <cfRule type="containsText" dxfId="844" priority="2191" operator="containsText" text="Str">
      <formula>NOT(ISERROR(SEARCH("Str",AC70)))</formula>
    </cfRule>
    <cfRule type="containsText" dxfId="843" priority="2192" operator="containsText" text="Ere">
      <formula>NOT(ISERROR(SEARCH("Ere",AC70)))</formula>
    </cfRule>
    <cfRule type="containsText" dxfId="842" priority="2193" operator="containsText" text="Ear">
      <formula>NOT(ISERROR(SEARCH("Ear",AC70)))</formula>
    </cfRule>
    <cfRule type="containsText" dxfId="841" priority="2194" operator="containsText" text="fnd">
      <formula>NOT(ISERROR(SEARCH("fnd",AC70)))</formula>
    </cfRule>
  </conditionalFormatting>
  <conditionalFormatting sqref="AC77">
    <cfRule type="containsText" dxfId="840" priority="791" operator="containsText" text="Str">
      <formula>NOT(ISERROR(SEARCH("Str",AC77)))</formula>
    </cfRule>
    <cfRule type="containsText" dxfId="839" priority="792" operator="containsText" text="Ere">
      <formula>NOT(ISERROR(SEARCH("Ere",AC77)))</formula>
    </cfRule>
    <cfRule type="containsText" dxfId="838" priority="793" operator="containsText" text="Ear">
      <formula>NOT(ISERROR(SEARCH("Ear",AC77)))</formula>
    </cfRule>
    <cfRule type="containsText" dxfId="837" priority="794" operator="containsText" text="fnd">
      <formula>NOT(ISERROR(SEARCH("fnd",AC77)))</formula>
    </cfRule>
  </conditionalFormatting>
  <conditionalFormatting sqref="AC85:AC86">
    <cfRule type="containsText" dxfId="836" priority="2183" operator="containsText" text="Str">
      <formula>NOT(ISERROR(SEARCH("Str",AC85)))</formula>
    </cfRule>
    <cfRule type="containsText" dxfId="835" priority="2184" operator="containsText" text="Ere">
      <formula>NOT(ISERROR(SEARCH("Ere",AC85)))</formula>
    </cfRule>
    <cfRule type="containsText" dxfId="834" priority="2185" operator="containsText" text="Ear">
      <formula>NOT(ISERROR(SEARCH("Ear",AC85)))</formula>
    </cfRule>
    <cfRule type="containsText" dxfId="833" priority="2186" operator="containsText" text="fnd">
      <formula>NOT(ISERROR(SEARCH("fnd",AC85)))</formula>
    </cfRule>
  </conditionalFormatting>
  <conditionalFormatting sqref="AC93">
    <cfRule type="containsText" dxfId="832" priority="269" operator="containsText" text="Str">
      <formula>NOT(ISERROR(SEARCH("Str",AC93)))</formula>
    </cfRule>
    <cfRule type="containsText" dxfId="831" priority="270" operator="containsText" text="Ere">
      <formula>NOT(ISERROR(SEARCH("Ere",AC93)))</formula>
    </cfRule>
    <cfRule type="containsText" dxfId="830" priority="271" operator="containsText" text="Ear">
      <formula>NOT(ISERROR(SEARCH("Ear",AC93)))</formula>
    </cfRule>
    <cfRule type="containsText" dxfId="829" priority="272" operator="containsText" text="fnd">
      <formula>NOT(ISERROR(SEARCH("fnd",AC93)))</formula>
    </cfRule>
  </conditionalFormatting>
  <conditionalFormatting sqref="AC101">
    <cfRule type="containsText" dxfId="828" priority="1467" operator="containsText" text="Str">
      <formula>NOT(ISERROR(SEARCH("Str",AC101)))</formula>
    </cfRule>
    <cfRule type="containsText" dxfId="827" priority="1468" operator="containsText" text="Ere">
      <formula>NOT(ISERROR(SEARCH("Ere",AC101)))</formula>
    </cfRule>
    <cfRule type="containsText" dxfId="826" priority="1469" operator="containsText" text="Ear">
      <formula>NOT(ISERROR(SEARCH("Ear",AC101)))</formula>
    </cfRule>
    <cfRule type="containsText" dxfId="825" priority="1470" operator="containsText" text="fnd">
      <formula>NOT(ISERROR(SEARCH("fnd",AC101)))</formula>
    </cfRule>
  </conditionalFormatting>
  <conditionalFormatting sqref="AC109">
    <cfRule type="containsText" dxfId="824" priority="759" operator="containsText" text="Str">
      <formula>NOT(ISERROR(SEARCH("Str",AC109)))</formula>
    </cfRule>
    <cfRule type="containsText" dxfId="823" priority="760" operator="containsText" text="Ere">
      <formula>NOT(ISERROR(SEARCH("Ere",AC109)))</formula>
    </cfRule>
    <cfRule type="containsText" dxfId="822" priority="761" operator="containsText" text="Ear">
      <formula>NOT(ISERROR(SEARCH("Ear",AC109)))</formula>
    </cfRule>
    <cfRule type="containsText" dxfId="821" priority="762" operator="containsText" text="fnd">
      <formula>NOT(ISERROR(SEARCH("fnd",AC109)))</formula>
    </cfRule>
  </conditionalFormatting>
  <conditionalFormatting sqref="AC117">
    <cfRule type="containsText" dxfId="820" priority="1411" operator="containsText" text="Str">
      <formula>NOT(ISERROR(SEARCH("Str",AC117)))</formula>
    </cfRule>
    <cfRule type="containsText" dxfId="819" priority="1412" operator="containsText" text="Ere">
      <formula>NOT(ISERROR(SEARCH("Ere",AC117)))</formula>
    </cfRule>
    <cfRule type="containsText" dxfId="818" priority="1413" operator="containsText" text="Ear">
      <formula>NOT(ISERROR(SEARCH("Ear",AC117)))</formula>
    </cfRule>
    <cfRule type="containsText" dxfId="817" priority="1414" operator="containsText" text="fnd">
      <formula>NOT(ISERROR(SEARCH("fnd",AC117)))</formula>
    </cfRule>
  </conditionalFormatting>
  <conditionalFormatting sqref="AC122 AC130 AC154 AC170 AC178">
    <cfRule type="containsText" dxfId="816" priority="2051" operator="containsText" text="Str">
      <formula>NOT(ISERROR(SEARCH("Str",AC122)))</formula>
    </cfRule>
    <cfRule type="containsText" dxfId="815" priority="2052" operator="containsText" text="Ere">
      <formula>NOT(ISERROR(SEARCH("Ere",AC122)))</formula>
    </cfRule>
    <cfRule type="containsText" dxfId="814" priority="2053" operator="containsText" text="Ear">
      <formula>NOT(ISERROR(SEARCH("Ear",AC122)))</formula>
    </cfRule>
    <cfRule type="containsText" dxfId="813" priority="2054" operator="containsText" text="fnd">
      <formula>NOT(ISERROR(SEARCH("fnd",AC122)))</formula>
    </cfRule>
  </conditionalFormatting>
  <conditionalFormatting sqref="AC125">
    <cfRule type="containsText" dxfId="812" priority="573" operator="containsText" text="Str">
      <formula>NOT(ISERROR(SEARCH("Str",AC125)))</formula>
    </cfRule>
    <cfRule type="containsText" dxfId="811" priority="574" operator="containsText" text="Ere">
      <formula>NOT(ISERROR(SEARCH("Ere",AC125)))</formula>
    </cfRule>
    <cfRule type="containsText" dxfId="810" priority="575" operator="containsText" text="Ear">
      <formula>NOT(ISERROR(SEARCH("Ear",AC125)))</formula>
    </cfRule>
    <cfRule type="containsText" dxfId="809" priority="576" operator="containsText" text="fnd">
      <formula>NOT(ISERROR(SEARCH("fnd",AC125)))</formula>
    </cfRule>
  </conditionalFormatting>
  <conditionalFormatting sqref="AC133">
    <cfRule type="containsText" dxfId="808" priority="349" operator="containsText" text="Str">
      <formula>NOT(ISERROR(SEARCH("Str",AC133)))</formula>
    </cfRule>
    <cfRule type="containsText" dxfId="807" priority="350" operator="containsText" text="Ere">
      <formula>NOT(ISERROR(SEARCH("Ere",AC133)))</formula>
    </cfRule>
    <cfRule type="containsText" dxfId="806" priority="351" operator="containsText" text="Ear">
      <formula>NOT(ISERROR(SEARCH("Ear",AC133)))</formula>
    </cfRule>
    <cfRule type="containsText" dxfId="805" priority="352" operator="containsText" text="fnd">
      <formula>NOT(ISERROR(SEARCH("fnd",AC133)))</formula>
    </cfRule>
  </conditionalFormatting>
  <conditionalFormatting sqref="AC141">
    <cfRule type="containsText" dxfId="804" priority="1271" operator="containsText" text="Str">
      <formula>NOT(ISERROR(SEARCH("Str",AC141)))</formula>
    </cfRule>
    <cfRule type="containsText" dxfId="803" priority="1272" operator="containsText" text="Ere">
      <formula>NOT(ISERROR(SEARCH("Ere",AC141)))</formula>
    </cfRule>
    <cfRule type="containsText" dxfId="802" priority="1273" operator="containsText" text="Ear">
      <formula>NOT(ISERROR(SEARCH("Ear",AC141)))</formula>
    </cfRule>
    <cfRule type="containsText" dxfId="801" priority="1274" operator="containsText" text="fnd">
      <formula>NOT(ISERROR(SEARCH("fnd",AC141)))</formula>
    </cfRule>
  </conditionalFormatting>
  <conditionalFormatting sqref="AC149">
    <cfRule type="containsText" dxfId="800" priority="1195" operator="containsText" text="Str">
      <formula>NOT(ISERROR(SEARCH("Str",AC149)))</formula>
    </cfRule>
    <cfRule type="containsText" dxfId="799" priority="1196" operator="containsText" text="Ere">
      <formula>NOT(ISERROR(SEARCH("Ere",AC149)))</formula>
    </cfRule>
    <cfRule type="containsText" dxfId="798" priority="1197" operator="containsText" text="Ear">
      <formula>NOT(ISERROR(SEARCH("Ear",AC149)))</formula>
    </cfRule>
    <cfRule type="containsText" dxfId="797" priority="1198" operator="containsText" text="fnd">
      <formula>NOT(ISERROR(SEARCH("fnd",AC149)))</formula>
    </cfRule>
  </conditionalFormatting>
  <conditionalFormatting sqref="AC157">
    <cfRule type="containsText" dxfId="796" priority="481" operator="containsText" text="Str">
      <formula>NOT(ISERROR(SEARCH("Str",AC157)))</formula>
    </cfRule>
    <cfRule type="containsText" dxfId="795" priority="482" operator="containsText" text="Ere">
      <formula>NOT(ISERROR(SEARCH("Ere",AC157)))</formula>
    </cfRule>
    <cfRule type="containsText" dxfId="794" priority="483" operator="containsText" text="Ear">
      <formula>NOT(ISERROR(SEARCH("Ear",AC157)))</formula>
    </cfRule>
    <cfRule type="containsText" dxfId="793" priority="484" operator="containsText" text="fnd">
      <formula>NOT(ISERROR(SEARCH("fnd",AC157)))</formula>
    </cfRule>
  </conditionalFormatting>
  <conditionalFormatting sqref="AC165">
    <cfRule type="containsText" dxfId="792" priority="473" operator="containsText" text="Str">
      <formula>NOT(ISERROR(SEARCH("Str",AC165)))</formula>
    </cfRule>
    <cfRule type="containsText" dxfId="791" priority="474" operator="containsText" text="Ere">
      <formula>NOT(ISERROR(SEARCH("Ere",AC165)))</formula>
    </cfRule>
    <cfRule type="containsText" dxfId="790" priority="475" operator="containsText" text="Ear">
      <formula>NOT(ISERROR(SEARCH("Ear",AC165)))</formula>
    </cfRule>
    <cfRule type="containsText" dxfId="789" priority="476" operator="containsText" text="fnd">
      <formula>NOT(ISERROR(SEARCH("fnd",AC165)))</formula>
    </cfRule>
  </conditionalFormatting>
  <conditionalFormatting sqref="AC173">
    <cfRule type="containsText" dxfId="788" priority="1011" operator="containsText" text="Str">
      <formula>NOT(ISERROR(SEARCH("Str",AC173)))</formula>
    </cfRule>
    <cfRule type="containsText" dxfId="787" priority="1012" operator="containsText" text="Ere">
      <formula>NOT(ISERROR(SEARCH("Ere",AC173)))</formula>
    </cfRule>
    <cfRule type="containsText" dxfId="786" priority="1013" operator="containsText" text="Ear">
      <formula>NOT(ISERROR(SEARCH("Ear",AC173)))</formula>
    </cfRule>
    <cfRule type="containsText" dxfId="785" priority="1014" operator="containsText" text="fnd">
      <formula>NOT(ISERROR(SEARCH("fnd",AC173)))</formula>
    </cfRule>
  </conditionalFormatting>
  <conditionalFormatting sqref="AC181">
    <cfRule type="containsText" dxfId="784" priority="105" operator="containsText" text="Str">
      <formula>NOT(ISERROR(SEARCH("Str",AC181)))</formula>
    </cfRule>
    <cfRule type="containsText" dxfId="783" priority="106" operator="containsText" text="Ere">
      <formula>NOT(ISERROR(SEARCH("Ere",AC181)))</formula>
    </cfRule>
    <cfRule type="containsText" dxfId="782" priority="107" operator="containsText" text="Ear">
      <formula>NOT(ISERROR(SEARCH("Ear",AC181)))</formula>
    </cfRule>
    <cfRule type="containsText" dxfId="781" priority="108" operator="containsText" text="fnd">
      <formula>NOT(ISERROR(SEARCH("fnd",AC181)))</formula>
    </cfRule>
  </conditionalFormatting>
  <conditionalFormatting sqref="AC30:AD30">
    <cfRule type="containsText" dxfId="780" priority="1855" operator="containsText" text="Str">
      <formula>NOT(ISERROR(SEARCH("Str",AC30)))</formula>
    </cfRule>
    <cfRule type="containsText" dxfId="779" priority="1856" operator="containsText" text="Ere">
      <formula>NOT(ISERROR(SEARCH("Ere",AC30)))</formula>
    </cfRule>
    <cfRule type="containsText" dxfId="778" priority="1857" operator="containsText" text="Ear">
      <formula>NOT(ISERROR(SEARCH("Ear",AC30)))</formula>
    </cfRule>
    <cfRule type="containsText" dxfId="777" priority="1858" operator="containsText" text="fnd">
      <formula>NOT(ISERROR(SEARCH("fnd",AC30)))</formula>
    </cfRule>
  </conditionalFormatting>
  <conditionalFormatting sqref="AC38:AD38">
    <cfRule type="containsText" dxfId="776" priority="1519" operator="containsText" text="Str">
      <formula>NOT(ISERROR(SEARCH("Str",AC38)))</formula>
    </cfRule>
    <cfRule type="containsText" dxfId="775" priority="1520" operator="containsText" text="Ere">
      <formula>NOT(ISERROR(SEARCH("Ere",AC38)))</formula>
    </cfRule>
    <cfRule type="containsText" dxfId="774" priority="1521" operator="containsText" text="Ear">
      <formula>NOT(ISERROR(SEARCH("Ear",AC38)))</formula>
    </cfRule>
    <cfRule type="containsText" dxfId="773" priority="1522" operator="containsText" text="fnd">
      <formula>NOT(ISERROR(SEARCH("fnd",AC38)))</formula>
    </cfRule>
  </conditionalFormatting>
  <conditionalFormatting sqref="AC54:AD54">
    <cfRule type="containsText" dxfId="772" priority="565" operator="containsText" text="Str">
      <formula>NOT(ISERROR(SEARCH("Str",AC54)))</formula>
    </cfRule>
    <cfRule type="containsText" dxfId="771" priority="566" operator="containsText" text="Ere">
      <formula>NOT(ISERROR(SEARCH("Ere",AC54)))</formula>
    </cfRule>
    <cfRule type="containsText" dxfId="770" priority="567" operator="containsText" text="Ear">
      <formula>NOT(ISERROR(SEARCH("Ear",AC54)))</formula>
    </cfRule>
    <cfRule type="containsText" dxfId="769" priority="568" operator="containsText" text="fnd">
      <formula>NOT(ISERROR(SEARCH("fnd",AC54)))</formula>
    </cfRule>
  </conditionalFormatting>
  <conditionalFormatting sqref="AC94:AD94">
    <cfRule type="containsText" dxfId="768" priority="273" operator="containsText" text="Str">
      <formula>NOT(ISERROR(SEARCH("Str",AC94)))</formula>
    </cfRule>
    <cfRule type="containsText" dxfId="767" priority="274" operator="containsText" text="Ere">
      <formula>NOT(ISERROR(SEARCH("Ere",AC94)))</formula>
    </cfRule>
    <cfRule type="containsText" dxfId="766" priority="275" operator="containsText" text="Ear">
      <formula>NOT(ISERROR(SEARCH("Ear",AC94)))</formula>
    </cfRule>
    <cfRule type="containsText" dxfId="765" priority="276" operator="containsText" text="fnd">
      <formula>NOT(ISERROR(SEARCH("fnd",AC94)))</formula>
    </cfRule>
  </conditionalFormatting>
  <conditionalFormatting sqref="AC102:AD102">
    <cfRule type="containsText" dxfId="764" priority="1471" operator="containsText" text="Str">
      <formula>NOT(ISERROR(SEARCH("Str",AC102)))</formula>
    </cfRule>
    <cfRule type="containsText" dxfId="763" priority="1472" operator="containsText" text="Ere">
      <formula>NOT(ISERROR(SEARCH("Ere",AC102)))</formula>
    </cfRule>
    <cfRule type="containsText" dxfId="762" priority="1473" operator="containsText" text="Ear">
      <formula>NOT(ISERROR(SEARCH("Ear",AC102)))</formula>
    </cfRule>
    <cfRule type="containsText" dxfId="761" priority="1474" operator="containsText" text="fnd">
      <formula>NOT(ISERROR(SEARCH("fnd",AC102)))</formula>
    </cfRule>
  </conditionalFormatting>
  <conditionalFormatting sqref="AC118:AD118">
    <cfRule type="containsText" dxfId="760" priority="1415" operator="containsText" text="Str">
      <formula>NOT(ISERROR(SEARCH("Str",AC118)))</formula>
    </cfRule>
    <cfRule type="containsText" dxfId="759" priority="1416" operator="containsText" text="Ere">
      <formula>NOT(ISERROR(SEARCH("Ere",AC118)))</formula>
    </cfRule>
    <cfRule type="containsText" dxfId="758" priority="1417" operator="containsText" text="Ear">
      <formula>NOT(ISERROR(SEARCH("Ear",AC118)))</formula>
    </cfRule>
    <cfRule type="containsText" dxfId="757" priority="1418" operator="containsText" text="fnd">
      <formula>NOT(ISERROR(SEARCH("fnd",AC118)))</formula>
    </cfRule>
  </conditionalFormatting>
  <conditionalFormatting sqref="AC126:AD126">
    <cfRule type="containsText" dxfId="756" priority="577" operator="containsText" text="Str">
      <formula>NOT(ISERROR(SEARCH("Str",AC126)))</formula>
    </cfRule>
    <cfRule type="containsText" dxfId="755" priority="578" operator="containsText" text="Ere">
      <formula>NOT(ISERROR(SEARCH("Ere",AC126)))</formula>
    </cfRule>
    <cfRule type="containsText" dxfId="754" priority="579" operator="containsText" text="Ear">
      <formula>NOT(ISERROR(SEARCH("Ear",AC126)))</formula>
    </cfRule>
    <cfRule type="containsText" dxfId="753" priority="580" operator="containsText" text="fnd">
      <formula>NOT(ISERROR(SEARCH("fnd",AC126)))</formula>
    </cfRule>
  </conditionalFormatting>
  <conditionalFormatting sqref="AC134:AD134">
    <cfRule type="containsText" dxfId="752" priority="353" operator="containsText" text="Str">
      <formula>NOT(ISERROR(SEARCH("Str",AC134)))</formula>
    </cfRule>
    <cfRule type="containsText" dxfId="751" priority="354" operator="containsText" text="Ere">
      <formula>NOT(ISERROR(SEARCH("Ere",AC134)))</formula>
    </cfRule>
    <cfRule type="containsText" dxfId="750" priority="355" operator="containsText" text="Ear">
      <formula>NOT(ISERROR(SEARCH("Ear",AC134)))</formula>
    </cfRule>
    <cfRule type="containsText" dxfId="749" priority="356" operator="containsText" text="fnd">
      <formula>NOT(ISERROR(SEARCH("fnd",AC134)))</formula>
    </cfRule>
  </conditionalFormatting>
  <conditionalFormatting sqref="AC142:AD142">
    <cfRule type="containsText" dxfId="748" priority="1275" operator="containsText" text="Str">
      <formula>NOT(ISERROR(SEARCH("Str",AC142)))</formula>
    </cfRule>
    <cfRule type="containsText" dxfId="747" priority="1276" operator="containsText" text="Ere">
      <formula>NOT(ISERROR(SEARCH("Ere",AC142)))</formula>
    </cfRule>
    <cfRule type="containsText" dxfId="746" priority="1277" operator="containsText" text="Ear">
      <formula>NOT(ISERROR(SEARCH("Ear",AC142)))</formula>
    </cfRule>
    <cfRule type="containsText" dxfId="745" priority="1278" operator="containsText" text="fnd">
      <formula>NOT(ISERROR(SEARCH("fnd",AC142)))</formula>
    </cfRule>
  </conditionalFormatting>
  <conditionalFormatting sqref="AC174:AD174">
    <cfRule type="containsText" dxfId="744" priority="1015" operator="containsText" text="Str">
      <formula>NOT(ISERROR(SEARCH("Str",AC174)))</formula>
    </cfRule>
    <cfRule type="containsText" dxfId="743" priority="1016" operator="containsText" text="Ere">
      <formula>NOT(ISERROR(SEARCH("Ere",AC174)))</formula>
    </cfRule>
    <cfRule type="containsText" dxfId="742" priority="1017" operator="containsText" text="Ear">
      <formula>NOT(ISERROR(SEARCH("Ear",AC174)))</formula>
    </cfRule>
    <cfRule type="containsText" dxfId="741" priority="1018" operator="containsText" text="fnd">
      <formula>NOT(ISERROR(SEARCH("fnd",AC174)))</formula>
    </cfRule>
  </conditionalFormatting>
  <conditionalFormatting sqref="AC182:AD182">
    <cfRule type="containsText" dxfId="740" priority="109" operator="containsText" text="Str">
      <formula>NOT(ISERROR(SEARCH("Str",AC182)))</formula>
    </cfRule>
    <cfRule type="containsText" dxfId="739" priority="110" operator="containsText" text="Ere">
      <formula>NOT(ISERROR(SEARCH("Ere",AC182)))</formula>
    </cfRule>
    <cfRule type="containsText" dxfId="738" priority="111" operator="containsText" text="Ear">
      <formula>NOT(ISERROR(SEARCH("Ear",AC182)))</formula>
    </cfRule>
    <cfRule type="containsText" dxfId="737" priority="112" operator="containsText" text="fnd">
      <formula>NOT(ISERROR(SEARCH("fnd",AC182)))</formula>
    </cfRule>
  </conditionalFormatting>
  <conditionalFormatting sqref="AD6">
    <cfRule type="containsText" dxfId="736" priority="201" operator="containsText" text="Str">
      <formula>NOT(ISERROR(SEARCH("Str",AD6)))</formula>
    </cfRule>
    <cfRule type="containsText" dxfId="735" priority="202" operator="containsText" text="Ere">
      <formula>NOT(ISERROR(SEARCH("Ere",AD6)))</formula>
    </cfRule>
    <cfRule type="containsText" dxfId="734" priority="203" operator="containsText" text="Ear">
      <formula>NOT(ISERROR(SEARCH("Ear",AD6)))</formula>
    </cfRule>
    <cfRule type="containsText" dxfId="733" priority="204" operator="containsText" text="fnd">
      <formula>NOT(ISERROR(SEARCH("fnd",AD6)))</formula>
    </cfRule>
  </conditionalFormatting>
  <conditionalFormatting sqref="AD14">
    <cfRule type="containsText" dxfId="732" priority="963" operator="containsText" text="Str">
      <formula>NOT(ISERROR(SEARCH("Str",AD14)))</formula>
    </cfRule>
    <cfRule type="containsText" dxfId="731" priority="964" operator="containsText" text="Ere">
      <formula>NOT(ISERROR(SEARCH("Ere",AD14)))</formula>
    </cfRule>
    <cfRule type="containsText" dxfId="730" priority="965" operator="containsText" text="Ear">
      <formula>NOT(ISERROR(SEARCH("Ear",AD14)))</formula>
    </cfRule>
    <cfRule type="containsText" dxfId="729" priority="966" operator="containsText" text="fnd">
      <formula>NOT(ISERROR(SEARCH("fnd",AD14)))</formula>
    </cfRule>
  </conditionalFormatting>
  <conditionalFormatting sqref="AD22">
    <cfRule type="containsText" dxfId="728" priority="1943" operator="containsText" text="Str">
      <formula>NOT(ISERROR(SEARCH("Str",AD22)))</formula>
    </cfRule>
    <cfRule type="containsText" dxfId="727" priority="1944" operator="containsText" text="Ere">
      <formula>NOT(ISERROR(SEARCH("Ere",AD22)))</formula>
    </cfRule>
    <cfRule type="containsText" dxfId="726" priority="1945" operator="containsText" text="Ear">
      <formula>NOT(ISERROR(SEARCH("Ear",AD22)))</formula>
    </cfRule>
    <cfRule type="containsText" dxfId="725" priority="1946" operator="containsText" text="fnd">
      <formula>NOT(ISERROR(SEARCH("fnd",AD22)))</formula>
    </cfRule>
  </conditionalFormatting>
  <conditionalFormatting sqref="AF5:AF6">
    <cfRule type="containsText" dxfId="724" priority="197" operator="containsText" text="Str">
      <formula>NOT(ISERROR(SEARCH("Str",AF5)))</formula>
    </cfRule>
    <cfRule type="containsText" dxfId="723" priority="198" operator="containsText" text="Ere">
      <formula>NOT(ISERROR(SEARCH("Ere",AF5)))</formula>
    </cfRule>
    <cfRule type="containsText" dxfId="722" priority="199" operator="containsText" text="Ear">
      <formula>NOT(ISERROR(SEARCH("Ear",AF5)))</formula>
    </cfRule>
    <cfRule type="containsText" dxfId="721" priority="200" operator="containsText" text="fnd">
      <formula>NOT(ISERROR(SEARCH("fnd",AF5)))</formula>
    </cfRule>
  </conditionalFormatting>
  <conditionalFormatting sqref="AF13:AF14">
    <cfRule type="containsText" dxfId="720" priority="775" operator="containsText" text="Str">
      <formula>NOT(ISERROR(SEARCH("Str",AF13)))</formula>
    </cfRule>
    <cfRule type="containsText" dxfId="719" priority="776" operator="containsText" text="Ere">
      <formula>NOT(ISERROR(SEARCH("Ere",AF13)))</formula>
    </cfRule>
    <cfRule type="containsText" dxfId="718" priority="777" operator="containsText" text="Ear">
      <formula>NOT(ISERROR(SEARCH("Ear",AF13)))</formula>
    </cfRule>
    <cfRule type="containsText" dxfId="717" priority="778" operator="containsText" text="fnd">
      <formula>NOT(ISERROR(SEARCH("fnd",AF13)))</formula>
    </cfRule>
  </conditionalFormatting>
  <conditionalFormatting sqref="AF21:AF22">
    <cfRule type="containsText" dxfId="716" priority="1839" operator="containsText" text="Str">
      <formula>NOT(ISERROR(SEARCH("Str",AF21)))</formula>
    </cfRule>
    <cfRule type="containsText" dxfId="715" priority="1840" operator="containsText" text="Ere">
      <formula>NOT(ISERROR(SEARCH("Ere",AF21)))</formula>
    </cfRule>
    <cfRule type="containsText" dxfId="714" priority="1841" operator="containsText" text="Ear">
      <formula>NOT(ISERROR(SEARCH("Ear",AF21)))</formula>
    </cfRule>
    <cfRule type="containsText" dxfId="713" priority="1842" operator="containsText" text="fnd">
      <formula>NOT(ISERROR(SEARCH("fnd",AF21)))</formula>
    </cfRule>
  </conditionalFormatting>
  <conditionalFormatting sqref="AF29">
    <cfRule type="containsText" dxfId="712" priority="1491" operator="containsText" text="Str">
      <formula>NOT(ISERROR(SEARCH("Str",AF29)))</formula>
    </cfRule>
    <cfRule type="containsText" dxfId="711" priority="1492" operator="containsText" text="Ere">
      <formula>NOT(ISERROR(SEARCH("Ere",AF29)))</formula>
    </cfRule>
    <cfRule type="containsText" dxfId="710" priority="1493" operator="containsText" text="Ear">
      <formula>NOT(ISERROR(SEARCH("Ear",AF29)))</formula>
    </cfRule>
    <cfRule type="containsText" dxfId="709" priority="1494" operator="containsText" text="fnd">
      <formula>NOT(ISERROR(SEARCH("fnd",AF29)))</formula>
    </cfRule>
  </conditionalFormatting>
  <conditionalFormatting sqref="AF37">
    <cfRule type="containsText" dxfId="708" priority="2255" operator="containsText" text="Str">
      <formula>NOT(ISERROR(SEARCH("Str",AF37)))</formula>
    </cfRule>
    <cfRule type="containsText" dxfId="707" priority="2256" operator="containsText" text="Ere">
      <formula>NOT(ISERROR(SEARCH("Ere",AF37)))</formula>
    </cfRule>
    <cfRule type="containsText" dxfId="706" priority="2257" operator="containsText" text="Ear">
      <formula>NOT(ISERROR(SEARCH("Ear",AF37)))</formula>
    </cfRule>
    <cfRule type="containsText" dxfId="705" priority="2258" operator="containsText" text="fnd">
      <formula>NOT(ISERROR(SEARCH("fnd",AF37)))</formula>
    </cfRule>
  </conditionalFormatting>
  <conditionalFormatting sqref="AF53">
    <cfRule type="containsText" dxfId="704" priority="795" operator="containsText" text="Str">
      <formula>NOT(ISERROR(SEARCH("Str",AF53)))</formula>
    </cfRule>
    <cfRule type="containsText" dxfId="703" priority="796" operator="containsText" text="Ere">
      <formula>NOT(ISERROR(SEARCH("Ere",AF53)))</formula>
    </cfRule>
    <cfRule type="containsText" dxfId="702" priority="797" operator="containsText" text="Ear">
      <formula>NOT(ISERROR(SEARCH("Ear",AF53)))</formula>
    </cfRule>
    <cfRule type="containsText" dxfId="701" priority="798" operator="containsText" text="fnd">
      <formula>NOT(ISERROR(SEARCH("fnd",AF53)))</formula>
    </cfRule>
  </conditionalFormatting>
  <conditionalFormatting sqref="AF61">
    <cfRule type="containsText" dxfId="700" priority="1927" operator="containsText" text="Str">
      <formula>NOT(ISERROR(SEARCH("Str",AF61)))</formula>
    </cfRule>
    <cfRule type="containsText" dxfId="699" priority="1928" operator="containsText" text="Ere">
      <formula>NOT(ISERROR(SEARCH("Ere",AF61)))</formula>
    </cfRule>
    <cfRule type="containsText" dxfId="698" priority="1929" operator="containsText" text="Ear">
      <formula>NOT(ISERROR(SEARCH("Ear",AF61)))</formula>
    </cfRule>
    <cfRule type="containsText" dxfId="697" priority="1930" operator="containsText" text="fnd">
      <formula>NOT(ISERROR(SEARCH("fnd",AF61)))</formula>
    </cfRule>
  </conditionalFormatting>
  <conditionalFormatting sqref="AF69">
    <cfRule type="containsText" dxfId="696" priority="2175" operator="containsText" text="Str">
      <formula>NOT(ISERROR(SEARCH("Str",AF69)))</formula>
    </cfRule>
    <cfRule type="containsText" dxfId="695" priority="2176" operator="containsText" text="Ere">
      <formula>NOT(ISERROR(SEARCH("Ere",AF69)))</formula>
    </cfRule>
    <cfRule type="containsText" dxfId="694" priority="2177" operator="containsText" text="Ear">
      <formula>NOT(ISERROR(SEARCH("Ear",AF69)))</formula>
    </cfRule>
    <cfRule type="containsText" dxfId="693" priority="2178" operator="containsText" text="fnd">
      <formula>NOT(ISERROR(SEARCH("fnd",AF69)))</formula>
    </cfRule>
  </conditionalFormatting>
  <conditionalFormatting sqref="AF85 AI85">
    <cfRule type="containsText" dxfId="692" priority="2267" operator="containsText" text="Str">
      <formula>NOT(ISERROR(SEARCH("Str",AF85)))</formula>
    </cfRule>
    <cfRule type="containsText" dxfId="691" priority="2268" operator="containsText" text="Ere">
      <formula>NOT(ISERROR(SEARCH("Ere",AF85)))</formula>
    </cfRule>
    <cfRule type="containsText" dxfId="690" priority="2269" operator="containsText" text="Ear">
      <formula>NOT(ISERROR(SEARCH("Ear",AF85)))</formula>
    </cfRule>
    <cfRule type="containsText" dxfId="689" priority="2270" operator="containsText" text="fnd">
      <formula>NOT(ISERROR(SEARCH("fnd",AF85)))</formula>
    </cfRule>
  </conditionalFormatting>
  <conditionalFormatting sqref="AF93:AF94">
    <cfRule type="containsText" dxfId="688" priority="2243" operator="containsText" text="Str">
      <formula>NOT(ISERROR(SEARCH("Str",AF93)))</formula>
    </cfRule>
    <cfRule type="containsText" dxfId="687" priority="2244" operator="containsText" text="Ere">
      <formula>NOT(ISERROR(SEARCH("Ere",AF93)))</formula>
    </cfRule>
    <cfRule type="containsText" dxfId="686" priority="2245" operator="containsText" text="Ear">
      <formula>NOT(ISERROR(SEARCH("Ear",AF93)))</formula>
    </cfRule>
    <cfRule type="containsText" dxfId="685" priority="2246" operator="containsText" text="fnd">
      <formula>NOT(ISERROR(SEARCH("fnd",AF93)))</formula>
    </cfRule>
  </conditionalFormatting>
  <conditionalFormatting sqref="AF109">
    <cfRule type="containsText" dxfId="684" priority="1743" operator="containsText" text="Str">
      <formula>NOT(ISERROR(SEARCH("Str",AF109)))</formula>
    </cfRule>
    <cfRule type="containsText" dxfId="683" priority="1744" operator="containsText" text="Ere">
      <formula>NOT(ISERROR(SEARCH("Ere",AF109)))</formula>
    </cfRule>
    <cfRule type="containsText" dxfId="682" priority="1745" operator="containsText" text="Ear">
      <formula>NOT(ISERROR(SEARCH("Ear",AF109)))</formula>
    </cfRule>
    <cfRule type="containsText" dxfId="681" priority="1746" operator="containsText" text="fnd">
      <formula>NOT(ISERROR(SEARCH("fnd",AF109)))</formula>
    </cfRule>
  </conditionalFormatting>
  <conditionalFormatting sqref="AF117">
    <cfRule type="containsText" dxfId="680" priority="707" operator="containsText" text="Str">
      <formula>NOT(ISERROR(SEARCH("Str",AF117)))</formula>
    </cfRule>
    <cfRule type="containsText" dxfId="679" priority="708" operator="containsText" text="Ere">
      <formula>NOT(ISERROR(SEARCH("Ere",AF117)))</formula>
    </cfRule>
    <cfRule type="containsText" dxfId="678" priority="709" operator="containsText" text="Ear">
      <formula>NOT(ISERROR(SEARCH("Ear",AF117)))</formula>
    </cfRule>
    <cfRule type="containsText" dxfId="677" priority="710" operator="containsText" text="fnd">
      <formula>NOT(ISERROR(SEARCH("fnd",AF117)))</formula>
    </cfRule>
  </conditionalFormatting>
  <conditionalFormatting sqref="AF122 AF130 AF138 AF162 AF170 AF178">
    <cfRule type="containsText" dxfId="676" priority="2047" operator="containsText" text="Str">
      <formula>NOT(ISERROR(SEARCH("Str",AF122)))</formula>
    </cfRule>
    <cfRule type="containsText" dxfId="675" priority="2048" operator="containsText" text="Ere">
      <formula>NOT(ISERROR(SEARCH("Ere",AF122)))</formula>
    </cfRule>
    <cfRule type="containsText" dxfId="674" priority="2049" operator="containsText" text="Ear">
      <formula>NOT(ISERROR(SEARCH("Ear",AF122)))</formula>
    </cfRule>
    <cfRule type="containsText" dxfId="673" priority="2050" operator="containsText" text="fnd">
      <formula>NOT(ISERROR(SEARCH("fnd",AF122)))</formula>
    </cfRule>
  </conditionalFormatting>
  <conditionalFormatting sqref="AF125">
    <cfRule type="containsText" dxfId="672" priority="509" operator="containsText" text="Str">
      <formula>NOT(ISERROR(SEARCH("Str",AF125)))</formula>
    </cfRule>
    <cfRule type="containsText" dxfId="671" priority="510" operator="containsText" text="Ere">
      <formula>NOT(ISERROR(SEARCH("Ere",AF125)))</formula>
    </cfRule>
    <cfRule type="containsText" dxfId="670" priority="511" operator="containsText" text="Ear">
      <formula>NOT(ISERROR(SEARCH("Ear",AF125)))</formula>
    </cfRule>
    <cfRule type="containsText" dxfId="669" priority="512" operator="containsText" text="fnd">
      <formula>NOT(ISERROR(SEARCH("fnd",AF125)))</formula>
    </cfRule>
  </conditionalFormatting>
  <conditionalFormatting sqref="AF133">
    <cfRule type="containsText" dxfId="668" priority="253" operator="containsText" text="Str">
      <formula>NOT(ISERROR(SEARCH("Str",AF133)))</formula>
    </cfRule>
    <cfRule type="containsText" dxfId="667" priority="254" operator="containsText" text="Ere">
      <formula>NOT(ISERROR(SEARCH("Ere",AF133)))</formula>
    </cfRule>
    <cfRule type="containsText" dxfId="666" priority="255" operator="containsText" text="Ear">
      <formula>NOT(ISERROR(SEARCH("Ear",AF133)))</formula>
    </cfRule>
    <cfRule type="containsText" dxfId="665" priority="256" operator="containsText" text="fnd">
      <formula>NOT(ISERROR(SEARCH("fnd",AF133)))</formula>
    </cfRule>
  </conditionalFormatting>
  <conditionalFormatting sqref="AF141">
    <cfRule type="containsText" dxfId="664" priority="1255" operator="containsText" text="Str">
      <formula>NOT(ISERROR(SEARCH("Str",AF141)))</formula>
    </cfRule>
    <cfRule type="containsText" dxfId="663" priority="1256" operator="containsText" text="Ere">
      <formula>NOT(ISERROR(SEARCH("Ere",AF141)))</formula>
    </cfRule>
    <cfRule type="containsText" dxfId="662" priority="1257" operator="containsText" text="Ear">
      <formula>NOT(ISERROR(SEARCH("Ear",AF141)))</formula>
    </cfRule>
    <cfRule type="containsText" dxfId="661" priority="1258" operator="containsText" text="fnd">
      <formula>NOT(ISERROR(SEARCH("fnd",AF141)))</formula>
    </cfRule>
  </conditionalFormatting>
  <conditionalFormatting sqref="AF149">
    <cfRule type="containsText" dxfId="660" priority="1191" operator="containsText" text="Str">
      <formula>NOT(ISERROR(SEARCH("Str",AF149)))</formula>
    </cfRule>
    <cfRule type="containsText" dxfId="659" priority="1192" operator="containsText" text="Ere">
      <formula>NOT(ISERROR(SEARCH("Ere",AF149)))</formula>
    </cfRule>
    <cfRule type="containsText" dxfId="658" priority="1193" operator="containsText" text="Ear">
      <formula>NOT(ISERROR(SEARCH("Ear",AF149)))</formula>
    </cfRule>
    <cfRule type="containsText" dxfId="657" priority="1194" operator="containsText" text="fnd">
      <formula>NOT(ISERROR(SEARCH("fnd",AF149)))</formula>
    </cfRule>
  </conditionalFormatting>
  <conditionalFormatting sqref="AF157">
    <cfRule type="containsText" dxfId="656" priority="1123" operator="containsText" text="Str">
      <formula>NOT(ISERROR(SEARCH("Str",AF157)))</formula>
    </cfRule>
    <cfRule type="containsText" dxfId="655" priority="1124" operator="containsText" text="Ere">
      <formula>NOT(ISERROR(SEARCH("Ere",AF157)))</formula>
    </cfRule>
    <cfRule type="containsText" dxfId="654" priority="1125" operator="containsText" text="Ear">
      <formula>NOT(ISERROR(SEARCH("Ear",AF157)))</formula>
    </cfRule>
    <cfRule type="containsText" dxfId="653" priority="1126" operator="containsText" text="fnd">
      <formula>NOT(ISERROR(SEARCH("fnd",AF157)))</formula>
    </cfRule>
  </conditionalFormatting>
  <conditionalFormatting sqref="AF165">
    <cfRule type="containsText" dxfId="652" priority="1059" operator="containsText" text="Str">
      <formula>NOT(ISERROR(SEARCH("Str",AF165)))</formula>
    </cfRule>
    <cfRule type="containsText" dxfId="651" priority="1060" operator="containsText" text="Ere">
      <formula>NOT(ISERROR(SEARCH("Ere",AF165)))</formula>
    </cfRule>
    <cfRule type="containsText" dxfId="650" priority="1061" operator="containsText" text="Ear">
      <formula>NOT(ISERROR(SEARCH("Ear",AF165)))</formula>
    </cfRule>
    <cfRule type="containsText" dxfId="649" priority="1062" operator="containsText" text="fnd">
      <formula>NOT(ISERROR(SEARCH("fnd",AF165)))</formula>
    </cfRule>
  </conditionalFormatting>
  <conditionalFormatting sqref="AF173">
    <cfRule type="containsText" dxfId="648" priority="369" operator="containsText" text="Str">
      <formula>NOT(ISERROR(SEARCH("Str",AF173)))</formula>
    </cfRule>
    <cfRule type="containsText" dxfId="647" priority="370" operator="containsText" text="Ere">
      <formula>NOT(ISERROR(SEARCH("Ere",AF173)))</formula>
    </cfRule>
    <cfRule type="containsText" dxfId="646" priority="371" operator="containsText" text="Ear">
      <formula>NOT(ISERROR(SEARCH("Ear",AF173)))</formula>
    </cfRule>
    <cfRule type="containsText" dxfId="645" priority="372" operator="containsText" text="fnd">
      <formula>NOT(ISERROR(SEARCH("fnd",AF173)))</formula>
    </cfRule>
  </conditionalFormatting>
  <conditionalFormatting sqref="AF181">
    <cfRule type="containsText" dxfId="644" priority="97" operator="containsText" text="Str">
      <formula>NOT(ISERROR(SEARCH("Str",AF181)))</formula>
    </cfRule>
    <cfRule type="containsText" dxfId="643" priority="98" operator="containsText" text="Ere">
      <formula>NOT(ISERROR(SEARCH("Ere",AF181)))</formula>
    </cfRule>
    <cfRule type="containsText" dxfId="642" priority="99" operator="containsText" text="Ear">
      <formula>NOT(ISERROR(SEARCH("Ear",AF181)))</formula>
    </cfRule>
    <cfRule type="containsText" dxfId="641" priority="100" operator="containsText" text="fnd">
      <formula>NOT(ISERROR(SEARCH("fnd",AF181)))</formula>
    </cfRule>
  </conditionalFormatting>
  <conditionalFormatting sqref="AF30:AG30">
    <cfRule type="containsText" dxfId="640" priority="1495" operator="containsText" text="Str">
      <formula>NOT(ISERROR(SEARCH("Str",AF30)))</formula>
    </cfRule>
    <cfRule type="containsText" dxfId="639" priority="1496" operator="containsText" text="Ere">
      <formula>NOT(ISERROR(SEARCH("Ere",AF30)))</formula>
    </cfRule>
    <cfRule type="containsText" dxfId="638" priority="1497" operator="containsText" text="Ear">
      <formula>NOT(ISERROR(SEARCH("Ear",AF30)))</formula>
    </cfRule>
    <cfRule type="containsText" dxfId="637" priority="1498" operator="containsText" text="fnd">
      <formula>NOT(ISERROR(SEARCH("fnd",AF30)))</formula>
    </cfRule>
  </conditionalFormatting>
  <conditionalFormatting sqref="AF38:AG38">
    <cfRule type="containsText" dxfId="636" priority="2367" operator="containsText" text="Str">
      <formula>NOT(ISERROR(SEARCH("Str",AF38)))</formula>
    </cfRule>
    <cfRule type="containsText" dxfId="635" priority="2368" operator="containsText" text="Ere">
      <formula>NOT(ISERROR(SEARCH("Ere",AF38)))</formula>
    </cfRule>
    <cfRule type="containsText" dxfId="634" priority="2369" operator="containsText" text="Ear">
      <formula>NOT(ISERROR(SEARCH("Ear",AF38)))</formula>
    </cfRule>
    <cfRule type="containsText" dxfId="633" priority="2370" operator="containsText" text="fnd">
      <formula>NOT(ISERROR(SEARCH("fnd",AF38)))</formula>
    </cfRule>
  </conditionalFormatting>
  <conditionalFormatting sqref="AF45:AG46 K53 H53:H54">
    <cfRule type="containsText" dxfId="632" priority="2323" operator="containsText" text="Str">
      <formula>NOT(ISERROR(SEARCH("Str",H45)))</formula>
    </cfRule>
    <cfRule type="containsText" dxfId="631" priority="2324" operator="containsText" text="Ere">
      <formula>NOT(ISERROR(SEARCH("Ere",H45)))</formula>
    </cfRule>
    <cfRule type="containsText" dxfId="630" priority="2325" operator="containsText" text="Ear">
      <formula>NOT(ISERROR(SEARCH("Ear",H45)))</formula>
    </cfRule>
    <cfRule type="containsText" dxfId="629" priority="2326" operator="containsText" text="fnd">
      <formula>NOT(ISERROR(SEARCH("fnd",H45)))</formula>
    </cfRule>
  </conditionalFormatting>
  <conditionalFormatting sqref="AF62:AG62">
    <cfRule type="containsText" dxfId="628" priority="1931" operator="containsText" text="Str">
      <formula>NOT(ISERROR(SEARCH("Str",AF62)))</formula>
    </cfRule>
    <cfRule type="containsText" dxfId="627" priority="1932" operator="containsText" text="Ere">
      <formula>NOT(ISERROR(SEARCH("Ere",AF62)))</formula>
    </cfRule>
    <cfRule type="containsText" dxfId="626" priority="1933" operator="containsText" text="Ear">
      <formula>NOT(ISERROR(SEARCH("Ear",AF62)))</formula>
    </cfRule>
    <cfRule type="containsText" dxfId="625" priority="1934" operator="containsText" text="fnd">
      <formula>NOT(ISERROR(SEARCH("fnd",AF62)))</formula>
    </cfRule>
  </conditionalFormatting>
  <conditionalFormatting sqref="AF70:AG70">
    <cfRule type="containsText" dxfId="624" priority="2199" operator="containsText" text="Str">
      <formula>NOT(ISERROR(SEARCH("Str",AF70)))</formula>
    </cfRule>
    <cfRule type="containsText" dxfId="623" priority="2200" operator="containsText" text="Ere">
      <formula>NOT(ISERROR(SEARCH("Ere",AF70)))</formula>
    </cfRule>
    <cfRule type="containsText" dxfId="622" priority="2201" operator="containsText" text="Ear">
      <formula>NOT(ISERROR(SEARCH("Ear",AF70)))</formula>
    </cfRule>
    <cfRule type="containsText" dxfId="621" priority="2202" operator="containsText" text="fnd">
      <formula>NOT(ISERROR(SEARCH("fnd",AF70)))</formula>
    </cfRule>
  </conditionalFormatting>
  <conditionalFormatting sqref="AF86:AG86">
    <cfRule type="containsText" dxfId="620" priority="2295" operator="containsText" text="Str">
      <formula>NOT(ISERROR(SEARCH("Str",AF86)))</formula>
    </cfRule>
    <cfRule type="containsText" dxfId="619" priority="2296" operator="containsText" text="Ere">
      <formula>NOT(ISERROR(SEARCH("Ere",AF86)))</formula>
    </cfRule>
    <cfRule type="containsText" dxfId="618" priority="2297" operator="containsText" text="Ear">
      <formula>NOT(ISERROR(SEARCH("Ear",AF86)))</formula>
    </cfRule>
    <cfRule type="containsText" dxfId="617" priority="2298" operator="containsText" text="fnd">
      <formula>NOT(ISERROR(SEARCH("fnd",AF86)))</formula>
    </cfRule>
  </conditionalFormatting>
  <conditionalFormatting sqref="AF110:AG110">
    <cfRule type="containsText" dxfId="616" priority="1747" operator="containsText" text="Str">
      <formula>NOT(ISERROR(SEARCH("Str",AF110)))</formula>
    </cfRule>
    <cfRule type="containsText" dxfId="615" priority="1748" operator="containsText" text="Ere">
      <formula>NOT(ISERROR(SEARCH("Ere",AF110)))</formula>
    </cfRule>
    <cfRule type="containsText" dxfId="614" priority="1749" operator="containsText" text="Ear">
      <formula>NOT(ISERROR(SEARCH("Ear",AF110)))</formula>
    </cfRule>
    <cfRule type="containsText" dxfId="613" priority="1750" operator="containsText" text="fnd">
      <formula>NOT(ISERROR(SEARCH("fnd",AF110)))</formula>
    </cfRule>
  </conditionalFormatting>
  <conditionalFormatting sqref="AF118:AG118">
    <cfRule type="containsText" dxfId="612" priority="711" operator="containsText" text="Str">
      <formula>NOT(ISERROR(SEARCH("Str",AF118)))</formula>
    </cfRule>
    <cfRule type="containsText" dxfId="611" priority="712" operator="containsText" text="Ere">
      <formula>NOT(ISERROR(SEARCH("Ere",AF118)))</formula>
    </cfRule>
    <cfRule type="containsText" dxfId="610" priority="713" operator="containsText" text="Ear">
      <formula>NOT(ISERROR(SEARCH("Ear",AF118)))</formula>
    </cfRule>
    <cfRule type="containsText" dxfId="609" priority="714" operator="containsText" text="fnd">
      <formula>NOT(ISERROR(SEARCH("fnd",AF118)))</formula>
    </cfRule>
  </conditionalFormatting>
  <conditionalFormatting sqref="AF126:AG126">
    <cfRule type="containsText" dxfId="608" priority="513" operator="containsText" text="Str">
      <formula>NOT(ISERROR(SEARCH("Str",AF126)))</formula>
    </cfRule>
    <cfRule type="containsText" dxfId="607" priority="514" operator="containsText" text="Ere">
      <formula>NOT(ISERROR(SEARCH("Ere",AF126)))</formula>
    </cfRule>
    <cfRule type="containsText" dxfId="606" priority="515" operator="containsText" text="Ear">
      <formula>NOT(ISERROR(SEARCH("Ear",AF126)))</formula>
    </cfRule>
    <cfRule type="containsText" dxfId="605" priority="516" operator="containsText" text="fnd">
      <formula>NOT(ISERROR(SEARCH("fnd",AF126)))</formula>
    </cfRule>
  </conditionalFormatting>
  <conditionalFormatting sqref="AF134:AG134">
    <cfRule type="containsText" dxfId="604" priority="257" operator="containsText" text="Str">
      <formula>NOT(ISERROR(SEARCH("Str",AF134)))</formula>
    </cfRule>
    <cfRule type="containsText" dxfId="603" priority="258" operator="containsText" text="Ere">
      <formula>NOT(ISERROR(SEARCH("Ere",AF134)))</formula>
    </cfRule>
    <cfRule type="containsText" dxfId="602" priority="259" operator="containsText" text="Ear">
      <formula>NOT(ISERROR(SEARCH("Ear",AF134)))</formula>
    </cfRule>
    <cfRule type="containsText" dxfId="601" priority="260" operator="containsText" text="fnd">
      <formula>NOT(ISERROR(SEARCH("fnd",AF134)))</formula>
    </cfRule>
  </conditionalFormatting>
  <conditionalFormatting sqref="AF142:AG142">
    <cfRule type="containsText" dxfId="600" priority="1259" operator="containsText" text="Str">
      <formula>NOT(ISERROR(SEARCH("Str",AF142)))</formula>
    </cfRule>
    <cfRule type="containsText" dxfId="599" priority="1260" operator="containsText" text="Ere">
      <formula>NOT(ISERROR(SEARCH("Ere",AF142)))</formula>
    </cfRule>
    <cfRule type="containsText" dxfId="598" priority="1261" operator="containsText" text="Ear">
      <formula>NOT(ISERROR(SEARCH("Ear",AF142)))</formula>
    </cfRule>
    <cfRule type="containsText" dxfId="597" priority="1262" operator="containsText" text="fnd">
      <formula>NOT(ISERROR(SEARCH("fnd",AF142)))</formula>
    </cfRule>
  </conditionalFormatting>
  <conditionalFormatting sqref="AF158:AG158">
    <cfRule type="containsText" dxfId="596" priority="1127" operator="containsText" text="Str">
      <formula>NOT(ISERROR(SEARCH("Str",AF158)))</formula>
    </cfRule>
    <cfRule type="containsText" dxfId="595" priority="1128" operator="containsText" text="Ere">
      <formula>NOT(ISERROR(SEARCH("Ere",AF158)))</formula>
    </cfRule>
    <cfRule type="containsText" dxfId="594" priority="1129" operator="containsText" text="Ear">
      <formula>NOT(ISERROR(SEARCH("Ear",AF158)))</formula>
    </cfRule>
    <cfRule type="containsText" dxfId="593" priority="1130" operator="containsText" text="fnd">
      <formula>NOT(ISERROR(SEARCH("fnd",AF158)))</formula>
    </cfRule>
  </conditionalFormatting>
  <conditionalFormatting sqref="AF166:AG166">
    <cfRule type="containsText" dxfId="592" priority="1063" operator="containsText" text="Str">
      <formula>NOT(ISERROR(SEARCH("Str",AF166)))</formula>
    </cfRule>
    <cfRule type="containsText" dxfId="591" priority="1064" operator="containsText" text="Ere">
      <formula>NOT(ISERROR(SEARCH("Ere",AF166)))</formula>
    </cfRule>
    <cfRule type="containsText" dxfId="590" priority="1065" operator="containsText" text="Ear">
      <formula>NOT(ISERROR(SEARCH("Ear",AF166)))</formula>
    </cfRule>
    <cfRule type="containsText" dxfId="589" priority="1066" operator="containsText" text="fnd">
      <formula>NOT(ISERROR(SEARCH("fnd",AF166)))</formula>
    </cfRule>
  </conditionalFormatting>
  <conditionalFormatting sqref="AF174:AG174">
    <cfRule type="containsText" dxfId="588" priority="373" operator="containsText" text="Str">
      <formula>NOT(ISERROR(SEARCH("Str",AF174)))</formula>
    </cfRule>
    <cfRule type="containsText" dxfId="587" priority="374" operator="containsText" text="Ere">
      <formula>NOT(ISERROR(SEARCH("Ere",AF174)))</formula>
    </cfRule>
    <cfRule type="containsText" dxfId="586" priority="375" operator="containsText" text="Ear">
      <formula>NOT(ISERROR(SEARCH("Ear",AF174)))</formula>
    </cfRule>
    <cfRule type="containsText" dxfId="585" priority="376" operator="containsText" text="fnd">
      <formula>NOT(ISERROR(SEARCH("fnd",AF174)))</formula>
    </cfRule>
  </conditionalFormatting>
  <conditionalFormatting sqref="AF182:AG182">
    <cfRule type="containsText" dxfId="584" priority="101" operator="containsText" text="Str">
      <formula>NOT(ISERROR(SEARCH("Str",AF182)))</formula>
    </cfRule>
    <cfRule type="containsText" dxfId="583" priority="102" operator="containsText" text="Ere">
      <formula>NOT(ISERROR(SEARCH("Ere",AF182)))</formula>
    </cfRule>
    <cfRule type="containsText" dxfId="582" priority="103" operator="containsText" text="Ear">
      <formula>NOT(ISERROR(SEARCH("Ear",AF182)))</formula>
    </cfRule>
    <cfRule type="containsText" dxfId="581" priority="104" operator="containsText" text="fnd">
      <formula>NOT(ISERROR(SEARCH("fnd",AF182)))</formula>
    </cfRule>
  </conditionalFormatting>
  <conditionalFormatting sqref="AG6">
    <cfRule type="containsText" dxfId="580" priority="193" operator="containsText" text="Str">
      <formula>NOT(ISERROR(SEARCH("Str",AG6)))</formula>
    </cfRule>
    <cfRule type="containsText" dxfId="579" priority="194" operator="containsText" text="Ere">
      <formula>NOT(ISERROR(SEARCH("Ere",AG6)))</formula>
    </cfRule>
    <cfRule type="containsText" dxfId="578" priority="195" operator="containsText" text="Ear">
      <formula>NOT(ISERROR(SEARCH("Ear",AG6)))</formula>
    </cfRule>
    <cfRule type="containsText" dxfId="577" priority="196" operator="containsText" text="fnd">
      <formula>NOT(ISERROR(SEARCH("fnd",AG6)))</formula>
    </cfRule>
  </conditionalFormatting>
  <conditionalFormatting sqref="AG14">
    <cfRule type="containsText" dxfId="576" priority="771" operator="containsText" text="Str">
      <formula>NOT(ISERROR(SEARCH("Str",AG14)))</formula>
    </cfRule>
    <cfRule type="containsText" dxfId="575" priority="772" operator="containsText" text="Ere">
      <formula>NOT(ISERROR(SEARCH("Ere",AG14)))</formula>
    </cfRule>
    <cfRule type="containsText" dxfId="574" priority="773" operator="containsText" text="Ear">
      <formula>NOT(ISERROR(SEARCH("Ear",AG14)))</formula>
    </cfRule>
    <cfRule type="containsText" dxfId="573" priority="774" operator="containsText" text="fnd">
      <formula>NOT(ISERROR(SEARCH("fnd",AG14)))</formula>
    </cfRule>
  </conditionalFormatting>
  <conditionalFormatting sqref="AG22">
    <cfRule type="containsText" dxfId="572" priority="1835" operator="containsText" text="Str">
      <formula>NOT(ISERROR(SEARCH("Str",AG22)))</formula>
    </cfRule>
    <cfRule type="containsText" dxfId="571" priority="1836" operator="containsText" text="Ere">
      <formula>NOT(ISERROR(SEARCH("Ere",AG22)))</formula>
    </cfRule>
    <cfRule type="containsText" dxfId="570" priority="1837" operator="containsText" text="Ear">
      <formula>NOT(ISERROR(SEARCH("Ear",AG22)))</formula>
    </cfRule>
    <cfRule type="containsText" dxfId="569" priority="1838" operator="containsText" text="fnd">
      <formula>NOT(ISERROR(SEARCH("fnd",AG22)))</formula>
    </cfRule>
  </conditionalFormatting>
  <conditionalFormatting sqref="AG78">
    <cfRule type="containsText" dxfId="568" priority="2311" operator="containsText" text="Str">
      <formula>NOT(ISERROR(SEARCH("Str",AG78)))</formula>
    </cfRule>
    <cfRule type="containsText" dxfId="567" priority="2312" operator="containsText" text="Ere">
      <formula>NOT(ISERROR(SEARCH("Ere",AG78)))</formula>
    </cfRule>
    <cfRule type="containsText" dxfId="566" priority="2313" operator="containsText" text="Ear">
      <formula>NOT(ISERROR(SEARCH("Ear",AG78)))</formula>
    </cfRule>
    <cfRule type="containsText" dxfId="565" priority="2314" operator="containsText" text="fnd">
      <formula>NOT(ISERROR(SEARCH("fnd",AG78)))</formula>
    </cfRule>
  </conditionalFormatting>
  <conditionalFormatting sqref="AI5:AI6">
    <cfRule type="containsText" dxfId="564" priority="189" operator="containsText" text="Str">
      <formula>NOT(ISERROR(SEARCH("Str",AI5)))</formula>
    </cfRule>
    <cfRule type="containsText" dxfId="563" priority="190" operator="containsText" text="Ere">
      <formula>NOT(ISERROR(SEARCH("Ere",AI5)))</formula>
    </cfRule>
    <cfRule type="containsText" dxfId="562" priority="191" operator="containsText" text="Ear">
      <formula>NOT(ISERROR(SEARCH("Ear",AI5)))</formula>
    </cfRule>
    <cfRule type="containsText" dxfId="561" priority="192" operator="containsText" text="fnd">
      <formula>NOT(ISERROR(SEARCH("fnd",AI5)))</formula>
    </cfRule>
  </conditionalFormatting>
  <conditionalFormatting sqref="AI13:AI14">
    <cfRule type="containsText" dxfId="560" priority="1687" operator="containsText" text="Str">
      <formula>NOT(ISERROR(SEARCH("Str",AI13)))</formula>
    </cfRule>
    <cfRule type="containsText" dxfId="559" priority="1688" operator="containsText" text="Ere">
      <formula>NOT(ISERROR(SEARCH("Ere",AI13)))</formula>
    </cfRule>
    <cfRule type="containsText" dxfId="558" priority="1689" operator="containsText" text="Ear">
      <formula>NOT(ISERROR(SEARCH("Ear",AI13)))</formula>
    </cfRule>
    <cfRule type="containsText" dxfId="557" priority="1690" operator="containsText" text="fnd">
      <formula>NOT(ISERROR(SEARCH("fnd",AI13)))</formula>
    </cfRule>
  </conditionalFormatting>
  <conditionalFormatting sqref="AI21:AI22">
    <cfRule type="containsText" dxfId="556" priority="959" operator="containsText" text="Str">
      <formula>NOT(ISERROR(SEARCH("Str",AI21)))</formula>
    </cfRule>
    <cfRule type="containsText" dxfId="555" priority="960" operator="containsText" text="Ere">
      <formula>NOT(ISERROR(SEARCH("Ere",AI21)))</formula>
    </cfRule>
    <cfRule type="containsText" dxfId="554" priority="961" operator="containsText" text="Ear">
      <formula>NOT(ISERROR(SEARCH("Ear",AI21)))</formula>
    </cfRule>
    <cfRule type="containsText" dxfId="553" priority="962" operator="containsText" text="fnd">
      <formula>NOT(ISERROR(SEARCH("fnd",AI21)))</formula>
    </cfRule>
  </conditionalFormatting>
  <conditionalFormatting sqref="AI29">
    <cfRule type="containsText" dxfId="552" priority="1751" operator="containsText" text="Str">
      <formula>NOT(ISERROR(SEARCH("Str",AI29)))</formula>
    </cfRule>
    <cfRule type="containsText" dxfId="551" priority="1752" operator="containsText" text="Ere">
      <formula>NOT(ISERROR(SEARCH("Ere",AI29)))</formula>
    </cfRule>
    <cfRule type="containsText" dxfId="550" priority="1753" operator="containsText" text="Ear">
      <formula>NOT(ISERROR(SEARCH("Ear",AI29)))</formula>
    </cfRule>
    <cfRule type="containsText" dxfId="549" priority="1754" operator="containsText" text="fnd">
      <formula>NOT(ISERROR(SEARCH("fnd",AI29)))</formula>
    </cfRule>
  </conditionalFormatting>
  <conditionalFormatting sqref="AI37">
    <cfRule type="containsText" dxfId="548" priority="879" operator="containsText" text="Str">
      <formula>NOT(ISERROR(SEARCH("Str",AI37)))</formula>
    </cfRule>
    <cfRule type="containsText" dxfId="547" priority="880" operator="containsText" text="Ere">
      <formula>NOT(ISERROR(SEARCH("Ere",AI37)))</formula>
    </cfRule>
    <cfRule type="containsText" dxfId="546" priority="881" operator="containsText" text="Ear">
      <formula>NOT(ISERROR(SEARCH("Ear",AI37)))</formula>
    </cfRule>
    <cfRule type="containsText" dxfId="545" priority="882" operator="containsText" text="fnd">
      <formula>NOT(ISERROR(SEARCH("fnd",AI37)))</formula>
    </cfRule>
  </conditionalFormatting>
  <conditionalFormatting sqref="AI53">
    <cfRule type="containsText" dxfId="544" priority="799" operator="containsText" text="Str">
      <formula>NOT(ISERROR(SEARCH("Str",AI53)))</formula>
    </cfRule>
    <cfRule type="containsText" dxfId="543" priority="800" operator="containsText" text="Ere">
      <formula>NOT(ISERROR(SEARCH("Ere",AI53)))</formula>
    </cfRule>
    <cfRule type="containsText" dxfId="542" priority="801" operator="containsText" text="Ear">
      <formula>NOT(ISERROR(SEARCH("Ear",AI53)))</formula>
    </cfRule>
    <cfRule type="containsText" dxfId="541" priority="802" operator="containsText" text="fnd">
      <formula>NOT(ISERROR(SEARCH("fnd",AI53)))</formula>
    </cfRule>
  </conditionalFormatting>
  <conditionalFormatting sqref="AI61">
    <cfRule type="containsText" dxfId="540" priority="2011" operator="containsText" text="Str">
      <formula>NOT(ISERROR(SEARCH("Str",AI61)))</formula>
    </cfRule>
    <cfRule type="containsText" dxfId="539" priority="2012" operator="containsText" text="Ere">
      <formula>NOT(ISERROR(SEARCH("Ere",AI61)))</formula>
    </cfRule>
    <cfRule type="containsText" dxfId="538" priority="2013" operator="containsText" text="Ear">
      <formula>NOT(ISERROR(SEARCH("Ear",AI61)))</formula>
    </cfRule>
    <cfRule type="containsText" dxfId="537" priority="2014" operator="containsText" text="fnd">
      <formula>NOT(ISERROR(SEARCH("fnd",AI61)))</formula>
    </cfRule>
  </conditionalFormatting>
  <conditionalFormatting sqref="AI69">
    <cfRule type="containsText" dxfId="536" priority="1935" operator="containsText" text="Str">
      <formula>NOT(ISERROR(SEARCH("Str",AI69)))</formula>
    </cfRule>
    <cfRule type="containsText" dxfId="535" priority="1936" operator="containsText" text="Ere">
      <formula>NOT(ISERROR(SEARCH("Ere",AI69)))</formula>
    </cfRule>
    <cfRule type="containsText" dxfId="534" priority="1937" operator="containsText" text="Ear">
      <formula>NOT(ISERROR(SEARCH("Ear",AI69)))</formula>
    </cfRule>
    <cfRule type="containsText" dxfId="533" priority="1938" operator="containsText" text="fnd">
      <formula>NOT(ISERROR(SEARCH("fnd",AI69)))</formula>
    </cfRule>
  </conditionalFormatting>
  <conditionalFormatting sqref="AI77:AI78">
    <cfRule type="containsText" dxfId="532" priority="277" operator="containsText" text="Str">
      <formula>NOT(ISERROR(SEARCH("Str",AI77)))</formula>
    </cfRule>
    <cfRule type="containsText" dxfId="531" priority="278" operator="containsText" text="Ere">
      <formula>NOT(ISERROR(SEARCH("Ere",AI77)))</formula>
    </cfRule>
    <cfRule type="containsText" dxfId="530" priority="279" operator="containsText" text="Ear">
      <formula>NOT(ISERROR(SEARCH("Ear",AI77)))</formula>
    </cfRule>
    <cfRule type="containsText" dxfId="529" priority="280" operator="containsText" text="fnd">
      <formula>NOT(ISERROR(SEARCH("fnd",AI77)))</formula>
    </cfRule>
  </conditionalFormatting>
  <conditionalFormatting sqref="AI93:AI94">
    <cfRule type="containsText" dxfId="528" priority="1671" operator="containsText" text="Str">
      <formula>NOT(ISERROR(SEARCH("Str",AI93)))</formula>
    </cfRule>
    <cfRule type="containsText" dxfId="527" priority="1672" operator="containsText" text="Ere">
      <formula>NOT(ISERROR(SEARCH("Ere",AI93)))</formula>
    </cfRule>
    <cfRule type="containsText" dxfId="526" priority="1673" operator="containsText" text="Ear">
      <formula>NOT(ISERROR(SEARCH("Ear",AI93)))</formula>
    </cfRule>
    <cfRule type="containsText" dxfId="525" priority="1674" operator="containsText" text="fnd">
      <formula>NOT(ISERROR(SEARCH("fnd",AI93)))</formula>
    </cfRule>
  </conditionalFormatting>
  <conditionalFormatting sqref="AI101">
    <cfRule type="containsText" dxfId="524" priority="2223" operator="containsText" text="Str">
      <formula>NOT(ISERROR(SEARCH("Str",AI101)))</formula>
    </cfRule>
    <cfRule type="containsText" dxfId="523" priority="2224" operator="containsText" text="Ere">
      <formula>NOT(ISERROR(SEARCH("Ere",AI101)))</formula>
    </cfRule>
    <cfRule type="containsText" dxfId="522" priority="2225" operator="containsText" text="Ear">
      <formula>NOT(ISERROR(SEARCH("Ear",AI101)))</formula>
    </cfRule>
    <cfRule type="containsText" dxfId="521" priority="2226" operator="containsText" text="fnd">
      <formula>NOT(ISERROR(SEARCH("fnd",AI101)))</formula>
    </cfRule>
  </conditionalFormatting>
  <conditionalFormatting sqref="AI109">
    <cfRule type="containsText" dxfId="520" priority="1703" operator="containsText" text="Str">
      <formula>NOT(ISERROR(SEARCH("Str",AI109)))</formula>
    </cfRule>
    <cfRule type="containsText" dxfId="519" priority="1704" operator="containsText" text="Ere">
      <formula>NOT(ISERROR(SEARCH("Ere",AI109)))</formula>
    </cfRule>
    <cfRule type="containsText" dxfId="518" priority="1705" operator="containsText" text="Ear">
      <formula>NOT(ISERROR(SEARCH("Ear",AI109)))</formula>
    </cfRule>
    <cfRule type="containsText" dxfId="517" priority="1706" operator="containsText" text="fnd">
      <formula>NOT(ISERROR(SEARCH("fnd",AI109)))</formula>
    </cfRule>
  </conditionalFormatting>
  <conditionalFormatting sqref="AI117">
    <cfRule type="containsText" dxfId="516" priority="611" operator="containsText" text="Str">
      <formula>NOT(ISERROR(SEARCH("Str",AI117)))</formula>
    </cfRule>
    <cfRule type="containsText" dxfId="515" priority="612" operator="containsText" text="Ere">
      <formula>NOT(ISERROR(SEARCH("Ere",AI117)))</formula>
    </cfRule>
    <cfRule type="containsText" dxfId="514" priority="613" operator="containsText" text="Ear">
      <formula>NOT(ISERROR(SEARCH("Ear",AI117)))</formula>
    </cfRule>
    <cfRule type="containsText" dxfId="513" priority="614" operator="containsText" text="fnd">
      <formula>NOT(ISERROR(SEARCH("fnd",AI117)))</formula>
    </cfRule>
  </conditionalFormatting>
  <conditionalFormatting sqref="AI122 AI130 AI138 AI170 AI178">
    <cfRule type="containsText" dxfId="512" priority="2043" operator="containsText" text="Str">
      <formula>NOT(ISERROR(SEARCH("Str",AI122)))</formula>
    </cfRule>
    <cfRule type="containsText" dxfId="511" priority="2044" operator="containsText" text="Ere">
      <formula>NOT(ISERROR(SEARCH("Ere",AI122)))</formula>
    </cfRule>
    <cfRule type="containsText" dxfId="510" priority="2045" operator="containsText" text="Ear">
      <formula>NOT(ISERROR(SEARCH("Ear",AI122)))</formula>
    </cfRule>
    <cfRule type="containsText" dxfId="509" priority="2046" operator="containsText" text="fnd">
      <formula>NOT(ISERROR(SEARCH("fnd",AI122)))</formula>
    </cfRule>
  </conditionalFormatting>
  <conditionalFormatting sqref="AI125">
    <cfRule type="containsText" dxfId="508" priority="1387" operator="containsText" text="Str">
      <formula>NOT(ISERROR(SEARCH("Str",AI125)))</formula>
    </cfRule>
    <cfRule type="containsText" dxfId="507" priority="1388" operator="containsText" text="Ere">
      <formula>NOT(ISERROR(SEARCH("Ere",AI125)))</formula>
    </cfRule>
    <cfRule type="containsText" dxfId="506" priority="1389" operator="containsText" text="Ear">
      <formula>NOT(ISERROR(SEARCH("Ear",AI125)))</formula>
    </cfRule>
    <cfRule type="containsText" dxfId="505" priority="1390" operator="containsText" text="fnd">
      <formula>NOT(ISERROR(SEARCH("fnd",AI125)))</formula>
    </cfRule>
  </conditionalFormatting>
  <conditionalFormatting sqref="AI133">
    <cfRule type="containsText" dxfId="504" priority="1335" operator="containsText" text="Str">
      <formula>NOT(ISERROR(SEARCH("Str",AI133)))</formula>
    </cfRule>
    <cfRule type="containsText" dxfId="503" priority="1336" operator="containsText" text="Ere">
      <formula>NOT(ISERROR(SEARCH("Ere",AI133)))</formula>
    </cfRule>
    <cfRule type="containsText" dxfId="502" priority="1337" operator="containsText" text="Ear">
      <formula>NOT(ISERROR(SEARCH("Ear",AI133)))</formula>
    </cfRule>
    <cfRule type="containsText" dxfId="501" priority="1338" operator="containsText" text="fnd">
      <formula>NOT(ISERROR(SEARCH("fnd",AI133)))</formula>
    </cfRule>
  </conditionalFormatting>
  <conditionalFormatting sqref="AI141">
    <cfRule type="containsText" dxfId="500" priority="1231" operator="containsText" text="Str">
      <formula>NOT(ISERROR(SEARCH("Str",AI141)))</formula>
    </cfRule>
    <cfRule type="containsText" dxfId="499" priority="1232" operator="containsText" text="Ere">
      <formula>NOT(ISERROR(SEARCH("Ere",AI141)))</formula>
    </cfRule>
    <cfRule type="containsText" dxfId="498" priority="1233" operator="containsText" text="Ear">
      <formula>NOT(ISERROR(SEARCH("Ear",AI141)))</formula>
    </cfRule>
    <cfRule type="containsText" dxfId="497" priority="1234" operator="containsText" text="fnd">
      <formula>NOT(ISERROR(SEARCH("fnd",AI141)))</formula>
    </cfRule>
  </conditionalFormatting>
  <conditionalFormatting sqref="AI149">
    <cfRule type="containsText" dxfId="496" priority="317" operator="containsText" text="Str">
      <formula>NOT(ISERROR(SEARCH("Str",AI149)))</formula>
    </cfRule>
    <cfRule type="containsText" dxfId="495" priority="318" operator="containsText" text="Ere">
      <formula>NOT(ISERROR(SEARCH("Ere",AI149)))</formula>
    </cfRule>
    <cfRule type="containsText" dxfId="494" priority="319" operator="containsText" text="Ear">
      <formula>NOT(ISERROR(SEARCH("Ear",AI149)))</formula>
    </cfRule>
    <cfRule type="containsText" dxfId="493" priority="320" operator="containsText" text="fnd">
      <formula>NOT(ISERROR(SEARCH("fnd",AI149)))</formula>
    </cfRule>
  </conditionalFormatting>
  <conditionalFormatting sqref="AI157">
    <cfRule type="containsText" dxfId="492" priority="1099" operator="containsText" text="Str">
      <formula>NOT(ISERROR(SEARCH("Str",AI157)))</formula>
    </cfRule>
    <cfRule type="containsText" dxfId="491" priority="1100" operator="containsText" text="Ere">
      <formula>NOT(ISERROR(SEARCH("Ere",AI157)))</formula>
    </cfRule>
    <cfRule type="containsText" dxfId="490" priority="1101" operator="containsText" text="Ear">
      <formula>NOT(ISERROR(SEARCH("Ear",AI157)))</formula>
    </cfRule>
    <cfRule type="containsText" dxfId="489" priority="1102" operator="containsText" text="fnd">
      <formula>NOT(ISERROR(SEARCH("fnd",AI157)))</formula>
    </cfRule>
  </conditionalFormatting>
  <conditionalFormatting sqref="AI165">
    <cfRule type="containsText" dxfId="488" priority="517" operator="containsText" text="Str">
      <formula>NOT(ISERROR(SEARCH("Str",AI165)))</formula>
    </cfRule>
    <cfRule type="containsText" dxfId="487" priority="518" operator="containsText" text="Ere">
      <formula>NOT(ISERROR(SEARCH("Ere",AI165)))</formula>
    </cfRule>
    <cfRule type="containsText" dxfId="486" priority="519" operator="containsText" text="Ear">
      <formula>NOT(ISERROR(SEARCH("Ear",AI165)))</formula>
    </cfRule>
    <cfRule type="containsText" dxfId="485" priority="520" operator="containsText" text="fnd">
      <formula>NOT(ISERROR(SEARCH("fnd",AI165)))</formula>
    </cfRule>
  </conditionalFormatting>
  <conditionalFormatting sqref="AI173">
    <cfRule type="containsText" dxfId="484" priority="995" operator="containsText" text="Str">
      <formula>NOT(ISERROR(SEARCH("Str",AI173)))</formula>
    </cfRule>
    <cfRule type="containsText" dxfId="483" priority="996" operator="containsText" text="Ere">
      <formula>NOT(ISERROR(SEARCH("Ere",AI173)))</formula>
    </cfRule>
    <cfRule type="containsText" dxfId="482" priority="997" operator="containsText" text="Ear">
      <formula>NOT(ISERROR(SEARCH("Ear",AI173)))</formula>
    </cfRule>
    <cfRule type="containsText" dxfId="481" priority="998" operator="containsText" text="fnd">
      <formula>NOT(ISERROR(SEARCH("fnd",AI173)))</formula>
    </cfRule>
  </conditionalFormatting>
  <conditionalFormatting sqref="AI181">
    <cfRule type="containsText" dxfId="480" priority="89" operator="containsText" text="Str">
      <formula>NOT(ISERROR(SEARCH("Str",AI181)))</formula>
    </cfRule>
    <cfRule type="containsText" dxfId="479" priority="90" operator="containsText" text="Ere">
      <formula>NOT(ISERROR(SEARCH("Ere",AI181)))</formula>
    </cfRule>
    <cfRule type="containsText" dxfId="478" priority="91" operator="containsText" text="Ear">
      <formula>NOT(ISERROR(SEARCH("Ear",AI181)))</formula>
    </cfRule>
    <cfRule type="containsText" dxfId="477" priority="92" operator="containsText" text="fnd">
      <formula>NOT(ISERROR(SEARCH("fnd",AI181)))</formula>
    </cfRule>
  </conditionalFormatting>
  <conditionalFormatting sqref="AI30:AJ30">
    <cfRule type="containsText" dxfId="476" priority="1755" operator="containsText" text="Str">
      <formula>NOT(ISERROR(SEARCH("Str",AI30)))</formula>
    </cfRule>
    <cfRule type="containsText" dxfId="475" priority="1756" operator="containsText" text="Ere">
      <formula>NOT(ISERROR(SEARCH("Ere",AI30)))</formula>
    </cfRule>
    <cfRule type="containsText" dxfId="474" priority="1757" operator="containsText" text="Ear">
      <formula>NOT(ISERROR(SEARCH("Ear",AI30)))</formula>
    </cfRule>
    <cfRule type="containsText" dxfId="473" priority="1758" operator="containsText" text="fnd">
      <formula>NOT(ISERROR(SEARCH("fnd",AI30)))</formula>
    </cfRule>
  </conditionalFormatting>
  <conditionalFormatting sqref="AI38:AJ38">
    <cfRule type="containsText" dxfId="472" priority="883" operator="containsText" text="Str">
      <formula>NOT(ISERROR(SEARCH("Str",AI38)))</formula>
    </cfRule>
    <cfRule type="containsText" dxfId="471" priority="884" operator="containsText" text="Ere">
      <formula>NOT(ISERROR(SEARCH("Ere",AI38)))</formula>
    </cfRule>
    <cfRule type="containsText" dxfId="470" priority="885" operator="containsText" text="Ear">
      <formula>NOT(ISERROR(SEARCH("Ear",AI38)))</formula>
    </cfRule>
    <cfRule type="containsText" dxfId="469" priority="886" operator="containsText" text="fnd">
      <formula>NOT(ISERROR(SEARCH("fnd",AI38)))</formula>
    </cfRule>
  </conditionalFormatting>
  <conditionalFormatting sqref="AI46:AJ46">
    <cfRule type="containsText" dxfId="468" priority="2359" operator="containsText" text="Str">
      <formula>NOT(ISERROR(SEARCH("Str",AI46)))</formula>
    </cfRule>
    <cfRule type="containsText" dxfId="467" priority="2360" operator="containsText" text="Ere">
      <formula>NOT(ISERROR(SEARCH("Ere",AI46)))</formula>
    </cfRule>
    <cfRule type="containsText" dxfId="466" priority="2361" operator="containsText" text="Ear">
      <formula>NOT(ISERROR(SEARCH("Ear",AI46)))</formula>
    </cfRule>
    <cfRule type="containsText" dxfId="465" priority="2362" operator="containsText" text="fnd">
      <formula>NOT(ISERROR(SEARCH("fnd",AI46)))</formula>
    </cfRule>
  </conditionalFormatting>
  <conditionalFormatting sqref="AI62:AJ62">
    <cfRule type="containsText" dxfId="464" priority="2015" operator="containsText" text="Str">
      <formula>NOT(ISERROR(SEARCH("Str",AI62)))</formula>
    </cfRule>
    <cfRule type="containsText" dxfId="463" priority="2016" operator="containsText" text="Ere">
      <formula>NOT(ISERROR(SEARCH("Ere",AI62)))</formula>
    </cfRule>
    <cfRule type="containsText" dxfId="462" priority="2017" operator="containsText" text="Ear">
      <formula>NOT(ISERROR(SEARCH("Ear",AI62)))</formula>
    </cfRule>
    <cfRule type="containsText" dxfId="461" priority="2018" operator="containsText" text="fnd">
      <formula>NOT(ISERROR(SEARCH("fnd",AI62)))</formula>
    </cfRule>
  </conditionalFormatting>
  <conditionalFormatting sqref="AI70:AJ70">
    <cfRule type="containsText" dxfId="460" priority="1939" operator="containsText" text="Str">
      <formula>NOT(ISERROR(SEARCH("Str",AI70)))</formula>
    </cfRule>
    <cfRule type="containsText" dxfId="459" priority="1940" operator="containsText" text="Ere">
      <formula>NOT(ISERROR(SEARCH("Ere",AI70)))</formula>
    </cfRule>
    <cfRule type="containsText" dxfId="458" priority="1941" operator="containsText" text="Ear">
      <formula>NOT(ISERROR(SEARCH("Ear",AI70)))</formula>
    </cfRule>
    <cfRule type="containsText" dxfId="457" priority="1942" operator="containsText" text="fnd">
      <formula>NOT(ISERROR(SEARCH("fnd",AI70)))</formula>
    </cfRule>
  </conditionalFormatting>
  <conditionalFormatting sqref="AI86:AJ86">
    <cfRule type="containsText" dxfId="456" priority="2291" operator="containsText" text="Str">
      <formula>NOT(ISERROR(SEARCH("Str",AI86)))</formula>
    </cfRule>
    <cfRule type="containsText" dxfId="455" priority="2292" operator="containsText" text="Ere">
      <formula>NOT(ISERROR(SEARCH("Ere",AI86)))</formula>
    </cfRule>
    <cfRule type="containsText" dxfId="454" priority="2293" operator="containsText" text="Ear">
      <formula>NOT(ISERROR(SEARCH("Ear",AI86)))</formula>
    </cfRule>
    <cfRule type="containsText" dxfId="453" priority="2294" operator="containsText" text="fnd">
      <formula>NOT(ISERROR(SEARCH("fnd",AI86)))</formula>
    </cfRule>
  </conditionalFormatting>
  <conditionalFormatting sqref="AI102:AJ102">
    <cfRule type="containsText" dxfId="452" priority="2287" operator="containsText" text="Str">
      <formula>NOT(ISERROR(SEARCH("Str",AI102)))</formula>
    </cfRule>
    <cfRule type="containsText" dxfId="451" priority="2288" operator="containsText" text="Ere">
      <formula>NOT(ISERROR(SEARCH("Ere",AI102)))</formula>
    </cfRule>
    <cfRule type="containsText" dxfId="450" priority="2289" operator="containsText" text="Ear">
      <formula>NOT(ISERROR(SEARCH("Ear",AI102)))</formula>
    </cfRule>
    <cfRule type="containsText" dxfId="449" priority="2290" operator="containsText" text="fnd">
      <formula>NOT(ISERROR(SEARCH("fnd",AI102)))</formula>
    </cfRule>
  </conditionalFormatting>
  <conditionalFormatting sqref="AI110:AJ110">
    <cfRule type="containsText" dxfId="448" priority="1707" operator="containsText" text="Str">
      <formula>NOT(ISERROR(SEARCH("Str",AI110)))</formula>
    </cfRule>
    <cfRule type="containsText" dxfId="447" priority="1708" operator="containsText" text="Ere">
      <formula>NOT(ISERROR(SEARCH("Ere",AI110)))</formula>
    </cfRule>
    <cfRule type="containsText" dxfId="446" priority="1709" operator="containsText" text="Ear">
      <formula>NOT(ISERROR(SEARCH("Ear",AI110)))</formula>
    </cfRule>
    <cfRule type="containsText" dxfId="445" priority="1710" operator="containsText" text="fnd">
      <formula>NOT(ISERROR(SEARCH("fnd",AI110)))</formula>
    </cfRule>
  </conditionalFormatting>
  <conditionalFormatting sqref="AI118:AJ118">
    <cfRule type="containsText" dxfId="444" priority="615" operator="containsText" text="Str">
      <formula>NOT(ISERROR(SEARCH("Str",AI118)))</formula>
    </cfRule>
    <cfRule type="containsText" dxfId="443" priority="616" operator="containsText" text="Ere">
      <formula>NOT(ISERROR(SEARCH("Ere",AI118)))</formula>
    </cfRule>
    <cfRule type="containsText" dxfId="442" priority="617" operator="containsText" text="Ear">
      <formula>NOT(ISERROR(SEARCH("Ear",AI118)))</formula>
    </cfRule>
    <cfRule type="containsText" dxfId="441" priority="618" operator="containsText" text="fnd">
      <formula>NOT(ISERROR(SEARCH("fnd",AI118)))</formula>
    </cfRule>
  </conditionalFormatting>
  <conditionalFormatting sqref="AI126:AJ126">
    <cfRule type="containsText" dxfId="440" priority="1391" operator="containsText" text="Str">
      <formula>NOT(ISERROR(SEARCH("Str",AI126)))</formula>
    </cfRule>
    <cfRule type="containsText" dxfId="439" priority="1392" operator="containsText" text="Ere">
      <formula>NOT(ISERROR(SEARCH("Ere",AI126)))</formula>
    </cfRule>
    <cfRule type="containsText" dxfId="438" priority="1393" operator="containsText" text="Ear">
      <formula>NOT(ISERROR(SEARCH("Ear",AI126)))</formula>
    </cfRule>
    <cfRule type="containsText" dxfId="437" priority="1394" operator="containsText" text="fnd">
      <formula>NOT(ISERROR(SEARCH("fnd",AI126)))</formula>
    </cfRule>
  </conditionalFormatting>
  <conditionalFormatting sqref="AI134:AJ134">
    <cfRule type="containsText" dxfId="436" priority="1339" operator="containsText" text="Str">
      <formula>NOT(ISERROR(SEARCH("Str",AI134)))</formula>
    </cfRule>
    <cfRule type="containsText" dxfId="435" priority="1340" operator="containsText" text="Ere">
      <formula>NOT(ISERROR(SEARCH("Ere",AI134)))</formula>
    </cfRule>
    <cfRule type="containsText" dxfId="434" priority="1341" operator="containsText" text="Ear">
      <formula>NOT(ISERROR(SEARCH("Ear",AI134)))</formula>
    </cfRule>
    <cfRule type="containsText" dxfId="433" priority="1342" operator="containsText" text="fnd">
      <formula>NOT(ISERROR(SEARCH("fnd",AI134)))</formula>
    </cfRule>
  </conditionalFormatting>
  <conditionalFormatting sqref="AI142:AJ142">
    <cfRule type="containsText" dxfId="432" priority="1235" operator="containsText" text="Str">
      <formula>NOT(ISERROR(SEARCH("Str",AI142)))</formula>
    </cfRule>
    <cfRule type="containsText" dxfId="431" priority="1236" operator="containsText" text="Ere">
      <formula>NOT(ISERROR(SEARCH("Ere",AI142)))</formula>
    </cfRule>
    <cfRule type="containsText" dxfId="430" priority="1237" operator="containsText" text="Ear">
      <formula>NOT(ISERROR(SEARCH("Ear",AI142)))</formula>
    </cfRule>
    <cfRule type="containsText" dxfId="429" priority="1238" operator="containsText" text="fnd">
      <formula>NOT(ISERROR(SEARCH("fnd",AI142)))</formula>
    </cfRule>
  </conditionalFormatting>
  <conditionalFormatting sqref="AI150:AJ150">
    <cfRule type="containsText" dxfId="428" priority="321" operator="containsText" text="Str">
      <formula>NOT(ISERROR(SEARCH("Str",AI150)))</formula>
    </cfRule>
    <cfRule type="containsText" dxfId="427" priority="322" operator="containsText" text="Ere">
      <formula>NOT(ISERROR(SEARCH("Ere",AI150)))</formula>
    </cfRule>
    <cfRule type="containsText" dxfId="426" priority="323" operator="containsText" text="Ear">
      <formula>NOT(ISERROR(SEARCH("Ear",AI150)))</formula>
    </cfRule>
    <cfRule type="containsText" dxfId="425" priority="324" operator="containsText" text="fnd">
      <formula>NOT(ISERROR(SEARCH("fnd",AI150)))</formula>
    </cfRule>
  </conditionalFormatting>
  <conditionalFormatting sqref="AI158:AJ158">
    <cfRule type="containsText" dxfId="424" priority="1103" operator="containsText" text="Str">
      <formula>NOT(ISERROR(SEARCH("Str",AI158)))</formula>
    </cfRule>
    <cfRule type="containsText" dxfId="423" priority="1104" operator="containsText" text="Ere">
      <formula>NOT(ISERROR(SEARCH("Ere",AI158)))</formula>
    </cfRule>
    <cfRule type="containsText" dxfId="422" priority="1105" operator="containsText" text="Ear">
      <formula>NOT(ISERROR(SEARCH("Ear",AI158)))</formula>
    </cfRule>
    <cfRule type="containsText" dxfId="421" priority="1106" operator="containsText" text="fnd">
      <formula>NOT(ISERROR(SEARCH("fnd",AI158)))</formula>
    </cfRule>
  </conditionalFormatting>
  <conditionalFormatting sqref="AI166:AJ166">
    <cfRule type="containsText" dxfId="420" priority="521" operator="containsText" text="Str">
      <formula>NOT(ISERROR(SEARCH("Str",AI166)))</formula>
    </cfRule>
    <cfRule type="containsText" dxfId="419" priority="522" operator="containsText" text="Ere">
      <formula>NOT(ISERROR(SEARCH("Ere",AI166)))</formula>
    </cfRule>
    <cfRule type="containsText" dxfId="418" priority="523" operator="containsText" text="Ear">
      <formula>NOT(ISERROR(SEARCH("Ear",AI166)))</formula>
    </cfRule>
    <cfRule type="containsText" dxfId="417" priority="524" operator="containsText" text="fnd">
      <formula>NOT(ISERROR(SEARCH("fnd",AI166)))</formula>
    </cfRule>
  </conditionalFormatting>
  <conditionalFormatting sqref="AI174:AJ174">
    <cfRule type="containsText" dxfId="416" priority="999" operator="containsText" text="Str">
      <formula>NOT(ISERROR(SEARCH("Str",AI174)))</formula>
    </cfRule>
    <cfRule type="containsText" dxfId="415" priority="1000" operator="containsText" text="Ere">
      <formula>NOT(ISERROR(SEARCH("Ere",AI174)))</formula>
    </cfRule>
    <cfRule type="containsText" dxfId="414" priority="1001" operator="containsText" text="Ear">
      <formula>NOT(ISERROR(SEARCH("Ear",AI174)))</formula>
    </cfRule>
    <cfRule type="containsText" dxfId="413" priority="1002" operator="containsText" text="fnd">
      <formula>NOT(ISERROR(SEARCH("fnd",AI174)))</formula>
    </cfRule>
  </conditionalFormatting>
  <conditionalFormatting sqref="AI182:AJ182">
    <cfRule type="containsText" dxfId="412" priority="93" operator="containsText" text="Str">
      <formula>NOT(ISERROR(SEARCH("Str",AI182)))</formula>
    </cfRule>
    <cfRule type="containsText" dxfId="411" priority="94" operator="containsText" text="Ere">
      <formula>NOT(ISERROR(SEARCH("Ere",AI182)))</formula>
    </cfRule>
    <cfRule type="containsText" dxfId="410" priority="95" operator="containsText" text="Ear">
      <formula>NOT(ISERROR(SEARCH("Ear",AI182)))</formula>
    </cfRule>
    <cfRule type="containsText" dxfId="409" priority="96" operator="containsText" text="fnd">
      <formula>NOT(ISERROR(SEARCH("fnd",AI182)))</formula>
    </cfRule>
  </conditionalFormatting>
  <conditionalFormatting sqref="AJ6">
    <cfRule type="containsText" dxfId="408" priority="185" operator="containsText" text="Str">
      <formula>NOT(ISERROR(SEARCH("Str",AJ6)))</formula>
    </cfRule>
    <cfRule type="containsText" dxfId="407" priority="186" operator="containsText" text="Ere">
      <formula>NOT(ISERROR(SEARCH("Ere",AJ6)))</formula>
    </cfRule>
    <cfRule type="containsText" dxfId="406" priority="187" operator="containsText" text="Ear">
      <formula>NOT(ISERROR(SEARCH("Ear",AJ6)))</formula>
    </cfRule>
    <cfRule type="containsText" dxfId="405" priority="188" operator="containsText" text="fnd">
      <formula>NOT(ISERROR(SEARCH("fnd",AJ6)))</formula>
    </cfRule>
  </conditionalFormatting>
  <conditionalFormatting sqref="AJ14">
    <cfRule type="containsText" dxfId="404" priority="1683" operator="containsText" text="Str">
      <formula>NOT(ISERROR(SEARCH("Str",AJ14)))</formula>
    </cfRule>
    <cfRule type="containsText" dxfId="403" priority="1684" operator="containsText" text="Ere">
      <formula>NOT(ISERROR(SEARCH("Ere",AJ14)))</formula>
    </cfRule>
    <cfRule type="containsText" dxfId="402" priority="1685" operator="containsText" text="Ear">
      <formula>NOT(ISERROR(SEARCH("Ear",AJ14)))</formula>
    </cfRule>
    <cfRule type="containsText" dxfId="401" priority="1686" operator="containsText" text="fnd">
      <formula>NOT(ISERROR(SEARCH("fnd",AJ14)))</formula>
    </cfRule>
  </conditionalFormatting>
  <conditionalFormatting sqref="AJ22">
    <cfRule type="containsText" dxfId="400" priority="955" operator="containsText" text="Str">
      <formula>NOT(ISERROR(SEARCH("Str",AJ22)))</formula>
    </cfRule>
    <cfRule type="containsText" dxfId="399" priority="956" operator="containsText" text="Ere">
      <formula>NOT(ISERROR(SEARCH("Ere",AJ22)))</formula>
    </cfRule>
    <cfRule type="containsText" dxfId="398" priority="957" operator="containsText" text="Ear">
      <formula>NOT(ISERROR(SEARCH("Ear",AJ22)))</formula>
    </cfRule>
    <cfRule type="containsText" dxfId="397" priority="958" operator="containsText" text="fnd">
      <formula>NOT(ISERROR(SEARCH("fnd",AJ22)))</formula>
    </cfRule>
  </conditionalFormatting>
  <conditionalFormatting sqref="AJ78">
    <cfRule type="containsText" dxfId="396" priority="281" operator="containsText" text="Str">
      <formula>NOT(ISERROR(SEARCH("Str",AJ78)))</formula>
    </cfRule>
    <cfRule type="containsText" dxfId="395" priority="282" operator="containsText" text="Ere">
      <formula>NOT(ISERROR(SEARCH("Ere",AJ78)))</formula>
    </cfRule>
    <cfRule type="containsText" dxfId="394" priority="283" operator="containsText" text="Ear">
      <formula>NOT(ISERROR(SEARCH("Ear",AJ78)))</formula>
    </cfRule>
    <cfRule type="containsText" dxfId="393" priority="284" operator="containsText" text="fnd">
      <formula>NOT(ISERROR(SEARCH("fnd",AJ78)))</formula>
    </cfRule>
  </conditionalFormatting>
  <conditionalFormatting sqref="AL5:AL6">
    <cfRule type="containsText" dxfId="392" priority="181" operator="containsText" text="Str">
      <formula>NOT(ISERROR(SEARCH("Str",AL5)))</formula>
    </cfRule>
    <cfRule type="containsText" dxfId="391" priority="182" operator="containsText" text="Ere">
      <formula>NOT(ISERROR(SEARCH("Ere",AL5)))</formula>
    </cfRule>
    <cfRule type="containsText" dxfId="390" priority="183" operator="containsText" text="Ear">
      <formula>NOT(ISERROR(SEARCH("Ear",AL5)))</formula>
    </cfRule>
    <cfRule type="containsText" dxfId="389" priority="184" operator="containsText" text="fnd">
      <formula>NOT(ISERROR(SEARCH("fnd",AL5)))</formula>
    </cfRule>
  </conditionalFormatting>
  <conditionalFormatting sqref="AL13:AL14">
    <cfRule type="containsText" dxfId="388" priority="1655" operator="containsText" text="Str">
      <formula>NOT(ISERROR(SEARCH("Str",AL13)))</formula>
    </cfRule>
    <cfRule type="containsText" dxfId="387" priority="1656" operator="containsText" text="Ere">
      <formula>NOT(ISERROR(SEARCH("Ere",AL13)))</formula>
    </cfRule>
    <cfRule type="containsText" dxfId="386" priority="1657" operator="containsText" text="Ear">
      <formula>NOT(ISERROR(SEARCH("Ear",AL13)))</formula>
    </cfRule>
    <cfRule type="containsText" dxfId="385" priority="1658" operator="containsText" text="fnd">
      <formula>NOT(ISERROR(SEARCH("fnd",AL13)))</formula>
    </cfRule>
  </conditionalFormatting>
  <conditionalFormatting sqref="AL21">
    <cfRule type="containsText" dxfId="384" priority="2371" operator="containsText" text="Str">
      <formula>NOT(ISERROR(SEARCH("Str",AL21)))</formula>
    </cfRule>
    <cfRule type="containsText" dxfId="383" priority="2372" operator="containsText" text="Ere">
      <formula>NOT(ISERROR(SEARCH("Ere",AL21)))</formula>
    </cfRule>
    <cfRule type="containsText" dxfId="382" priority="2373" operator="containsText" text="Ear">
      <formula>NOT(ISERROR(SEARCH("Ear",AL21)))</formula>
    </cfRule>
    <cfRule type="containsText" dxfId="381" priority="2374" operator="containsText" text="fnd">
      <formula>NOT(ISERROR(SEARCH("fnd",AL21)))</formula>
    </cfRule>
  </conditionalFormatting>
  <conditionalFormatting sqref="AL29">
    <cfRule type="containsText" dxfId="380" priority="931" operator="containsText" text="Str">
      <formula>NOT(ISERROR(SEARCH("Str",AL29)))</formula>
    </cfRule>
    <cfRule type="containsText" dxfId="379" priority="932" operator="containsText" text="Ere">
      <formula>NOT(ISERROR(SEARCH("Ere",AL29)))</formula>
    </cfRule>
    <cfRule type="containsText" dxfId="378" priority="933" operator="containsText" text="Ear">
      <formula>NOT(ISERROR(SEARCH("Ear",AL29)))</formula>
    </cfRule>
    <cfRule type="containsText" dxfId="377" priority="934" operator="containsText" text="fnd">
      <formula>NOT(ISERROR(SEARCH("fnd",AL29)))</formula>
    </cfRule>
  </conditionalFormatting>
  <conditionalFormatting sqref="AL37">
    <cfRule type="containsText" dxfId="376" priority="671" operator="containsText" text="Str">
      <formula>NOT(ISERROR(SEARCH("Str",AL37)))</formula>
    </cfRule>
    <cfRule type="containsText" dxfId="375" priority="672" operator="containsText" text="Ere">
      <formula>NOT(ISERROR(SEARCH("Ere",AL37)))</formula>
    </cfRule>
    <cfRule type="containsText" dxfId="374" priority="673" operator="containsText" text="Ear">
      <formula>NOT(ISERROR(SEARCH("Ear",AL37)))</formula>
    </cfRule>
    <cfRule type="containsText" dxfId="373" priority="674" operator="containsText" text="fnd">
      <formula>NOT(ISERROR(SEARCH("fnd",AL37)))</formula>
    </cfRule>
  </conditionalFormatting>
  <conditionalFormatting sqref="AL61:AL62">
    <cfRule type="containsText" dxfId="372" priority="2023" operator="containsText" text="Str">
      <formula>NOT(ISERROR(SEARCH("Str",AL61)))</formula>
    </cfRule>
    <cfRule type="containsText" dxfId="371" priority="2024" operator="containsText" text="Ere">
      <formula>NOT(ISERROR(SEARCH("Ere",AL61)))</formula>
    </cfRule>
    <cfRule type="containsText" dxfId="370" priority="2025" operator="containsText" text="Ear">
      <formula>NOT(ISERROR(SEARCH("Ear",AL61)))</formula>
    </cfRule>
    <cfRule type="containsText" dxfId="369" priority="2026" operator="containsText" text="fnd">
      <formula>NOT(ISERROR(SEARCH("fnd",AL61)))</formula>
    </cfRule>
  </conditionalFormatting>
  <conditionalFormatting sqref="AL69">
    <cfRule type="containsText" dxfId="368" priority="2195" operator="containsText" text="Str">
      <formula>NOT(ISERROR(SEARCH("Str",AL69)))</formula>
    </cfRule>
    <cfRule type="containsText" dxfId="367" priority="2196" operator="containsText" text="Ere">
      <formula>NOT(ISERROR(SEARCH("Ere",AL69)))</formula>
    </cfRule>
    <cfRule type="containsText" dxfId="366" priority="2197" operator="containsText" text="Ear">
      <formula>NOT(ISERROR(SEARCH("Ear",AL69)))</formula>
    </cfRule>
    <cfRule type="containsText" dxfId="365" priority="2198" operator="containsText" text="fnd">
      <formula>NOT(ISERROR(SEARCH("fnd",AL69)))</formula>
    </cfRule>
  </conditionalFormatting>
  <conditionalFormatting sqref="AL77">
    <cfRule type="containsText" dxfId="364" priority="819" operator="containsText" text="Str">
      <formula>NOT(ISERROR(SEARCH("Str",AL77)))</formula>
    </cfRule>
    <cfRule type="containsText" dxfId="363" priority="820" operator="containsText" text="Ere">
      <formula>NOT(ISERROR(SEARCH("Ere",AL77)))</formula>
    </cfRule>
    <cfRule type="containsText" dxfId="362" priority="821" operator="containsText" text="Ear">
      <formula>NOT(ISERROR(SEARCH("Ear",AL77)))</formula>
    </cfRule>
    <cfRule type="containsText" dxfId="361" priority="822" operator="containsText" text="fnd">
      <formula>NOT(ISERROR(SEARCH("fnd",AL77)))</formula>
    </cfRule>
  </conditionalFormatting>
  <conditionalFormatting sqref="AL85">
    <cfRule type="containsText" dxfId="360" priority="787" operator="containsText" text="Str">
      <formula>NOT(ISERROR(SEARCH("Str",AL85)))</formula>
    </cfRule>
    <cfRule type="containsText" dxfId="359" priority="788" operator="containsText" text="Ere">
      <formula>NOT(ISERROR(SEARCH("Ere",AL85)))</formula>
    </cfRule>
    <cfRule type="containsText" dxfId="358" priority="789" operator="containsText" text="Ear">
      <formula>NOT(ISERROR(SEARCH("Ear",AL85)))</formula>
    </cfRule>
    <cfRule type="containsText" dxfId="357" priority="790" operator="containsText" text="fnd">
      <formula>NOT(ISERROR(SEARCH("fnd",AL85)))</formula>
    </cfRule>
  </conditionalFormatting>
  <conditionalFormatting sqref="AL93:AL94">
    <cfRule type="containsText" dxfId="356" priority="1647" operator="containsText" text="Str">
      <formula>NOT(ISERROR(SEARCH("Str",AL93)))</formula>
    </cfRule>
    <cfRule type="containsText" dxfId="355" priority="1648" operator="containsText" text="Ere">
      <formula>NOT(ISERROR(SEARCH("Ere",AL93)))</formula>
    </cfRule>
    <cfRule type="containsText" dxfId="354" priority="1649" operator="containsText" text="Ear">
      <formula>NOT(ISERROR(SEARCH("Ear",AL93)))</formula>
    </cfRule>
    <cfRule type="containsText" dxfId="353" priority="1650" operator="containsText" text="fnd">
      <formula>NOT(ISERROR(SEARCH("fnd",AL93)))</formula>
    </cfRule>
  </conditionalFormatting>
  <conditionalFormatting sqref="AL101">
    <cfRule type="containsText" dxfId="352" priority="1875" operator="containsText" text="Str">
      <formula>NOT(ISERROR(SEARCH("Str",AL101)))</formula>
    </cfRule>
    <cfRule type="containsText" dxfId="351" priority="1876" operator="containsText" text="Ere">
      <formula>NOT(ISERROR(SEARCH("Ere",AL101)))</formula>
    </cfRule>
    <cfRule type="containsText" dxfId="350" priority="1877" operator="containsText" text="Ear">
      <formula>NOT(ISERROR(SEARCH("Ear",AL101)))</formula>
    </cfRule>
    <cfRule type="containsText" dxfId="349" priority="1878" operator="containsText" text="fnd">
      <formula>NOT(ISERROR(SEARCH("fnd",AL101)))</formula>
    </cfRule>
  </conditionalFormatting>
  <conditionalFormatting sqref="AL109">
    <cfRule type="containsText" dxfId="348" priority="755" operator="containsText" text="Str">
      <formula>NOT(ISERROR(SEARCH("Str",AL109)))</formula>
    </cfRule>
    <cfRule type="containsText" dxfId="347" priority="756" operator="containsText" text="Ere">
      <formula>NOT(ISERROR(SEARCH("Ere",AL109)))</formula>
    </cfRule>
    <cfRule type="containsText" dxfId="346" priority="757" operator="containsText" text="Ear">
      <formula>NOT(ISERROR(SEARCH("Ear",AL109)))</formula>
    </cfRule>
    <cfRule type="containsText" dxfId="345" priority="758" operator="containsText" text="fnd">
      <formula>NOT(ISERROR(SEARCH("fnd",AL109)))</formula>
    </cfRule>
  </conditionalFormatting>
  <conditionalFormatting sqref="AL117">
    <cfRule type="containsText" dxfId="344" priority="541" operator="containsText" text="Str">
      <formula>NOT(ISERROR(SEARCH("Str",AL117)))</formula>
    </cfRule>
    <cfRule type="containsText" dxfId="343" priority="542" operator="containsText" text="Ere">
      <formula>NOT(ISERROR(SEARCH("Ere",AL117)))</formula>
    </cfRule>
    <cfRule type="containsText" dxfId="342" priority="543" operator="containsText" text="Ear">
      <formula>NOT(ISERROR(SEARCH("Ear",AL117)))</formula>
    </cfRule>
    <cfRule type="containsText" dxfId="341" priority="544" operator="containsText" text="fnd">
      <formula>NOT(ISERROR(SEARCH("fnd",AL117)))</formula>
    </cfRule>
  </conditionalFormatting>
  <conditionalFormatting sqref="AL122 AL130 AL138 AL154 AL162 AL170 AL178">
    <cfRule type="containsText" dxfId="340" priority="2039" operator="containsText" text="Str">
      <formula>NOT(ISERROR(SEARCH("Str",AL122)))</formula>
    </cfRule>
    <cfRule type="containsText" dxfId="339" priority="2040" operator="containsText" text="Ere">
      <formula>NOT(ISERROR(SEARCH("Ere",AL122)))</formula>
    </cfRule>
    <cfRule type="containsText" dxfId="338" priority="2041" operator="containsText" text="Ear">
      <formula>NOT(ISERROR(SEARCH("Ear",AL122)))</formula>
    </cfRule>
    <cfRule type="containsText" dxfId="337" priority="2042" operator="containsText" text="fnd">
      <formula>NOT(ISERROR(SEARCH("fnd",AL122)))</formula>
    </cfRule>
  </conditionalFormatting>
  <conditionalFormatting sqref="AL133">
    <cfRule type="containsText" dxfId="336" priority="1343" operator="containsText" text="Str">
      <formula>NOT(ISERROR(SEARCH("Str",AL133)))</formula>
    </cfRule>
    <cfRule type="containsText" dxfId="335" priority="1344" operator="containsText" text="Ere">
      <formula>NOT(ISERROR(SEARCH("Ere",AL133)))</formula>
    </cfRule>
    <cfRule type="containsText" dxfId="334" priority="1345" operator="containsText" text="Ear">
      <formula>NOT(ISERROR(SEARCH("Ear",AL133)))</formula>
    </cfRule>
    <cfRule type="containsText" dxfId="333" priority="1346" operator="containsText" text="fnd">
      <formula>NOT(ISERROR(SEARCH("fnd",AL133)))</formula>
    </cfRule>
  </conditionalFormatting>
  <conditionalFormatting sqref="AL141">
    <cfRule type="containsText" dxfId="332" priority="1239" operator="containsText" text="Str">
      <formula>NOT(ISERROR(SEARCH("Str",AL141)))</formula>
    </cfRule>
    <cfRule type="containsText" dxfId="331" priority="1240" operator="containsText" text="Ere">
      <formula>NOT(ISERROR(SEARCH("Ere",AL141)))</formula>
    </cfRule>
    <cfRule type="containsText" dxfId="330" priority="1241" operator="containsText" text="Ear">
      <formula>NOT(ISERROR(SEARCH("Ear",AL141)))</formula>
    </cfRule>
    <cfRule type="containsText" dxfId="329" priority="1242" operator="containsText" text="fnd">
      <formula>NOT(ISERROR(SEARCH("fnd",AL141)))</formula>
    </cfRule>
  </conditionalFormatting>
  <conditionalFormatting sqref="AL149">
    <cfRule type="containsText" dxfId="328" priority="1187" operator="containsText" text="Str">
      <formula>NOT(ISERROR(SEARCH("Str",AL149)))</formula>
    </cfRule>
    <cfRule type="containsText" dxfId="327" priority="1188" operator="containsText" text="Ere">
      <formula>NOT(ISERROR(SEARCH("Ere",AL149)))</formula>
    </cfRule>
    <cfRule type="containsText" dxfId="326" priority="1189" operator="containsText" text="Ear">
      <formula>NOT(ISERROR(SEARCH("Ear",AL149)))</formula>
    </cfRule>
    <cfRule type="containsText" dxfId="325" priority="1190" operator="containsText" text="fnd">
      <formula>NOT(ISERROR(SEARCH("fnd",AL149)))</formula>
    </cfRule>
  </conditionalFormatting>
  <conditionalFormatting sqref="AL157">
    <cfRule type="containsText" dxfId="324" priority="1107" operator="containsText" text="Str">
      <formula>NOT(ISERROR(SEARCH("Str",AL157)))</formula>
    </cfRule>
    <cfRule type="containsText" dxfId="323" priority="1108" operator="containsText" text="Ere">
      <formula>NOT(ISERROR(SEARCH("Ere",AL157)))</formula>
    </cfRule>
    <cfRule type="containsText" dxfId="322" priority="1109" operator="containsText" text="Ear">
      <formula>NOT(ISERROR(SEARCH("Ear",AL157)))</formula>
    </cfRule>
    <cfRule type="containsText" dxfId="321" priority="1110" operator="containsText" text="fnd">
      <formula>NOT(ISERROR(SEARCH("fnd",AL157)))</formula>
    </cfRule>
  </conditionalFormatting>
  <conditionalFormatting sqref="AL165">
    <cfRule type="containsText" dxfId="320" priority="1051" operator="containsText" text="Str">
      <formula>NOT(ISERROR(SEARCH("Str",AL165)))</formula>
    </cfRule>
    <cfRule type="containsText" dxfId="319" priority="1052" operator="containsText" text="Ere">
      <formula>NOT(ISERROR(SEARCH("Ere",AL165)))</formula>
    </cfRule>
    <cfRule type="containsText" dxfId="318" priority="1053" operator="containsText" text="Ear">
      <formula>NOT(ISERROR(SEARCH("Ear",AL165)))</formula>
    </cfRule>
    <cfRule type="containsText" dxfId="317" priority="1054" operator="containsText" text="fnd">
      <formula>NOT(ISERROR(SEARCH("fnd",AL165)))</formula>
    </cfRule>
  </conditionalFormatting>
  <conditionalFormatting sqref="AL173">
    <cfRule type="containsText" dxfId="316" priority="1003" operator="containsText" text="Str">
      <formula>NOT(ISERROR(SEARCH("Str",AL173)))</formula>
    </cfRule>
    <cfRule type="containsText" dxfId="315" priority="1004" operator="containsText" text="Ere">
      <formula>NOT(ISERROR(SEARCH("Ere",AL173)))</formula>
    </cfRule>
    <cfRule type="containsText" dxfId="314" priority="1005" operator="containsText" text="Ear">
      <formula>NOT(ISERROR(SEARCH("Ear",AL173)))</formula>
    </cfRule>
    <cfRule type="containsText" dxfId="313" priority="1006" operator="containsText" text="fnd">
      <formula>NOT(ISERROR(SEARCH("fnd",AL173)))</formula>
    </cfRule>
  </conditionalFormatting>
  <conditionalFormatting sqref="AL181">
    <cfRule type="containsText" dxfId="312" priority="81" operator="containsText" text="Str">
      <formula>NOT(ISERROR(SEARCH("Str",AL181)))</formula>
    </cfRule>
    <cfRule type="containsText" dxfId="311" priority="82" operator="containsText" text="Ere">
      <formula>NOT(ISERROR(SEARCH("Ere",AL181)))</formula>
    </cfRule>
    <cfRule type="containsText" dxfId="310" priority="83" operator="containsText" text="Ear">
      <formula>NOT(ISERROR(SEARCH("Ear",AL181)))</formula>
    </cfRule>
    <cfRule type="containsText" dxfId="309" priority="84" operator="containsText" text="fnd">
      <formula>NOT(ISERROR(SEARCH("fnd",AL181)))</formula>
    </cfRule>
  </conditionalFormatting>
  <conditionalFormatting sqref="AL30:AM30">
    <cfRule type="containsText" dxfId="308" priority="935" operator="containsText" text="Str">
      <formula>NOT(ISERROR(SEARCH("Str",AL30)))</formula>
    </cfRule>
    <cfRule type="containsText" dxfId="307" priority="936" operator="containsText" text="Ere">
      <formula>NOT(ISERROR(SEARCH("Ere",AL30)))</formula>
    </cfRule>
    <cfRule type="containsText" dxfId="306" priority="937" operator="containsText" text="Ear">
      <formula>NOT(ISERROR(SEARCH("Ear",AL30)))</formula>
    </cfRule>
    <cfRule type="containsText" dxfId="305" priority="938" operator="containsText" text="fnd">
      <formula>NOT(ISERROR(SEARCH("fnd",AL30)))</formula>
    </cfRule>
  </conditionalFormatting>
  <conditionalFormatting sqref="AL38:AM38">
    <cfRule type="containsText" dxfId="304" priority="675" operator="containsText" text="Str">
      <formula>NOT(ISERROR(SEARCH("Str",AL38)))</formula>
    </cfRule>
    <cfRule type="containsText" dxfId="303" priority="676" operator="containsText" text="Ere">
      <formula>NOT(ISERROR(SEARCH("Ere",AL38)))</formula>
    </cfRule>
    <cfRule type="containsText" dxfId="302" priority="677" operator="containsText" text="Ear">
      <formula>NOT(ISERROR(SEARCH("Ear",AL38)))</formula>
    </cfRule>
    <cfRule type="containsText" dxfId="301" priority="678" operator="containsText" text="fnd">
      <formula>NOT(ISERROR(SEARCH("fnd",AL38)))</formula>
    </cfRule>
  </conditionalFormatting>
  <conditionalFormatting sqref="AL53:AM54">
    <cfRule type="containsText" dxfId="300" priority="871" operator="containsText" text="Str">
      <formula>NOT(ISERROR(SEARCH("Str",AL53)))</formula>
    </cfRule>
    <cfRule type="containsText" dxfId="299" priority="872" operator="containsText" text="Ere">
      <formula>NOT(ISERROR(SEARCH("Ere",AL53)))</formula>
    </cfRule>
    <cfRule type="containsText" dxfId="298" priority="873" operator="containsText" text="Ear">
      <formula>NOT(ISERROR(SEARCH("Ear",AL53)))</formula>
    </cfRule>
    <cfRule type="containsText" dxfId="297" priority="874" operator="containsText" text="fnd">
      <formula>NOT(ISERROR(SEARCH("fnd",AL53)))</formula>
    </cfRule>
  </conditionalFormatting>
  <conditionalFormatting sqref="AL70:AM70">
    <cfRule type="containsText" dxfId="296" priority="2207" operator="containsText" text="Str">
      <formula>NOT(ISERROR(SEARCH("Str",AL70)))</formula>
    </cfRule>
    <cfRule type="containsText" dxfId="295" priority="2208" operator="containsText" text="Ere">
      <formula>NOT(ISERROR(SEARCH("Ere",AL70)))</formula>
    </cfRule>
    <cfRule type="containsText" dxfId="294" priority="2209" operator="containsText" text="Ear">
      <formula>NOT(ISERROR(SEARCH("Ear",AL70)))</formula>
    </cfRule>
    <cfRule type="containsText" dxfId="293" priority="2210" operator="containsText" text="fnd">
      <formula>NOT(ISERROR(SEARCH("fnd",AL70)))</formula>
    </cfRule>
  </conditionalFormatting>
  <conditionalFormatting sqref="AL78:AM78">
    <cfRule type="containsText" dxfId="292" priority="823" operator="containsText" text="Str">
      <formula>NOT(ISERROR(SEARCH("Str",AL78)))</formula>
    </cfRule>
    <cfRule type="containsText" dxfId="291" priority="824" operator="containsText" text="Ere">
      <formula>NOT(ISERROR(SEARCH("Ere",AL78)))</formula>
    </cfRule>
    <cfRule type="containsText" dxfId="290" priority="825" operator="containsText" text="Ear">
      <formula>NOT(ISERROR(SEARCH("Ear",AL78)))</formula>
    </cfRule>
    <cfRule type="containsText" dxfId="289" priority="826" operator="containsText" text="fnd">
      <formula>NOT(ISERROR(SEARCH("fnd",AL78)))</formula>
    </cfRule>
  </conditionalFormatting>
  <conditionalFormatting sqref="AL102:AM102">
    <cfRule type="containsText" dxfId="288" priority="1879" operator="containsText" text="Str">
      <formula>NOT(ISERROR(SEARCH("Str",AL102)))</formula>
    </cfRule>
    <cfRule type="containsText" dxfId="287" priority="1880" operator="containsText" text="Ere">
      <formula>NOT(ISERROR(SEARCH("Ere",AL102)))</formula>
    </cfRule>
    <cfRule type="containsText" dxfId="286" priority="1881" operator="containsText" text="Ear">
      <formula>NOT(ISERROR(SEARCH("Ear",AL102)))</formula>
    </cfRule>
    <cfRule type="containsText" dxfId="285" priority="1882" operator="containsText" text="fnd">
      <formula>NOT(ISERROR(SEARCH("fnd",AL102)))</formula>
    </cfRule>
  </conditionalFormatting>
  <conditionalFormatting sqref="AL118:AM118">
    <cfRule type="containsText" dxfId="284" priority="545" operator="containsText" text="Str">
      <formula>NOT(ISERROR(SEARCH("Str",AL118)))</formula>
    </cfRule>
    <cfRule type="containsText" dxfId="283" priority="546" operator="containsText" text="Ere">
      <formula>NOT(ISERROR(SEARCH("Ere",AL118)))</formula>
    </cfRule>
    <cfRule type="containsText" dxfId="282" priority="547" operator="containsText" text="Ear">
      <formula>NOT(ISERROR(SEARCH("Ear",AL118)))</formula>
    </cfRule>
    <cfRule type="containsText" dxfId="281" priority="548" operator="containsText" text="fnd">
      <formula>NOT(ISERROR(SEARCH("fnd",AL118)))</formula>
    </cfRule>
  </conditionalFormatting>
  <conditionalFormatting sqref="AL142:AM142">
    <cfRule type="containsText" dxfId="280" priority="1243" operator="containsText" text="Str">
      <formula>NOT(ISERROR(SEARCH("Str",AL142)))</formula>
    </cfRule>
    <cfRule type="containsText" dxfId="279" priority="1244" operator="containsText" text="Ere">
      <formula>NOT(ISERROR(SEARCH("Ere",AL142)))</formula>
    </cfRule>
    <cfRule type="containsText" dxfId="278" priority="1245" operator="containsText" text="Ear">
      <formula>NOT(ISERROR(SEARCH("Ear",AL142)))</formula>
    </cfRule>
    <cfRule type="containsText" dxfId="277" priority="1246" operator="containsText" text="fnd">
      <formula>NOT(ISERROR(SEARCH("fnd",AL142)))</formula>
    </cfRule>
  </conditionalFormatting>
  <conditionalFormatting sqref="AL158:AM158">
    <cfRule type="containsText" dxfId="276" priority="1111" operator="containsText" text="Str">
      <formula>NOT(ISERROR(SEARCH("Str",AL158)))</formula>
    </cfRule>
    <cfRule type="containsText" dxfId="275" priority="1112" operator="containsText" text="Ere">
      <formula>NOT(ISERROR(SEARCH("Ere",AL158)))</formula>
    </cfRule>
    <cfRule type="containsText" dxfId="274" priority="1113" operator="containsText" text="Ear">
      <formula>NOT(ISERROR(SEARCH("Ear",AL158)))</formula>
    </cfRule>
    <cfRule type="containsText" dxfId="273" priority="1114" operator="containsText" text="fnd">
      <formula>NOT(ISERROR(SEARCH("fnd",AL158)))</formula>
    </cfRule>
  </conditionalFormatting>
  <conditionalFormatting sqref="AL166:AM166">
    <cfRule type="containsText" dxfId="272" priority="1055" operator="containsText" text="Str">
      <formula>NOT(ISERROR(SEARCH("Str",AL166)))</formula>
    </cfRule>
    <cfRule type="containsText" dxfId="271" priority="1056" operator="containsText" text="Ere">
      <formula>NOT(ISERROR(SEARCH("Ere",AL166)))</formula>
    </cfRule>
    <cfRule type="containsText" dxfId="270" priority="1057" operator="containsText" text="Ear">
      <formula>NOT(ISERROR(SEARCH("Ear",AL166)))</formula>
    </cfRule>
    <cfRule type="containsText" dxfId="269" priority="1058" operator="containsText" text="fnd">
      <formula>NOT(ISERROR(SEARCH("fnd",AL166)))</formula>
    </cfRule>
  </conditionalFormatting>
  <conditionalFormatting sqref="AL174:AM174">
    <cfRule type="containsText" dxfId="268" priority="1007" operator="containsText" text="Str">
      <formula>NOT(ISERROR(SEARCH("Str",AL174)))</formula>
    </cfRule>
    <cfRule type="containsText" dxfId="267" priority="1008" operator="containsText" text="Ere">
      <formula>NOT(ISERROR(SEARCH("Ere",AL174)))</formula>
    </cfRule>
    <cfRule type="containsText" dxfId="266" priority="1009" operator="containsText" text="Ear">
      <formula>NOT(ISERROR(SEARCH("Ear",AL174)))</formula>
    </cfRule>
    <cfRule type="containsText" dxfId="265" priority="1010" operator="containsText" text="fnd">
      <formula>NOT(ISERROR(SEARCH("fnd",AL174)))</formula>
    </cfRule>
  </conditionalFormatting>
  <conditionalFormatting sqref="AL182:AM182">
    <cfRule type="containsText" dxfId="264" priority="85" operator="containsText" text="Str">
      <formula>NOT(ISERROR(SEARCH("Str",AL182)))</formula>
    </cfRule>
    <cfRule type="containsText" dxfId="263" priority="86" operator="containsText" text="Ere">
      <formula>NOT(ISERROR(SEARCH("Ere",AL182)))</formula>
    </cfRule>
    <cfRule type="containsText" dxfId="262" priority="87" operator="containsText" text="Ear">
      <formula>NOT(ISERROR(SEARCH("Ear",AL182)))</formula>
    </cfRule>
    <cfRule type="containsText" dxfId="261" priority="88" operator="containsText" text="fnd">
      <formula>NOT(ISERROR(SEARCH("fnd",AL182)))</formula>
    </cfRule>
  </conditionalFormatting>
  <conditionalFormatting sqref="AM6">
    <cfRule type="containsText" dxfId="260" priority="177" operator="containsText" text="Str">
      <formula>NOT(ISERROR(SEARCH("Str",AM6)))</formula>
    </cfRule>
    <cfRule type="containsText" dxfId="259" priority="178" operator="containsText" text="Ere">
      <formula>NOT(ISERROR(SEARCH("Ere",AM6)))</formula>
    </cfRule>
    <cfRule type="containsText" dxfId="258" priority="179" operator="containsText" text="Ear">
      <formula>NOT(ISERROR(SEARCH("Ear",AM6)))</formula>
    </cfRule>
    <cfRule type="containsText" dxfId="257" priority="180" operator="containsText" text="fnd">
      <formula>NOT(ISERROR(SEARCH("fnd",AM6)))</formula>
    </cfRule>
  </conditionalFormatting>
  <conditionalFormatting sqref="AM14">
    <cfRule type="containsText" dxfId="256" priority="1651" operator="containsText" text="Str">
      <formula>NOT(ISERROR(SEARCH("Str",AM14)))</formula>
    </cfRule>
    <cfRule type="containsText" dxfId="255" priority="1652" operator="containsText" text="Ere">
      <formula>NOT(ISERROR(SEARCH("Ere",AM14)))</formula>
    </cfRule>
    <cfRule type="containsText" dxfId="254" priority="1653" operator="containsText" text="Ear">
      <formula>NOT(ISERROR(SEARCH("Ear",AM14)))</formula>
    </cfRule>
    <cfRule type="containsText" dxfId="253" priority="1654" operator="containsText" text="fnd">
      <formula>NOT(ISERROR(SEARCH("fnd",AM14)))</formula>
    </cfRule>
  </conditionalFormatting>
  <conditionalFormatting sqref="AO5:AO6">
    <cfRule type="containsText" dxfId="252" priority="169" operator="containsText" text="Str">
      <formula>NOT(ISERROR(SEARCH("Str",AO5)))</formula>
    </cfRule>
    <cfRule type="containsText" dxfId="251" priority="170" operator="containsText" text="Ere">
      <formula>NOT(ISERROR(SEARCH("Ere",AO5)))</formula>
    </cfRule>
    <cfRule type="containsText" dxfId="250" priority="171" operator="containsText" text="Ear">
      <formula>NOT(ISERROR(SEARCH("Ear",AO5)))</formula>
    </cfRule>
    <cfRule type="containsText" dxfId="249" priority="172" operator="containsText" text="fnd">
      <formula>NOT(ISERROR(SEARCH("fnd",AO5)))</formula>
    </cfRule>
  </conditionalFormatting>
  <conditionalFormatting sqref="AO13:AO14">
    <cfRule type="containsText" dxfId="248" priority="1783" operator="containsText" text="Str">
      <formula>NOT(ISERROR(SEARCH("Str",AO13)))</formula>
    </cfRule>
    <cfRule type="containsText" dxfId="247" priority="1784" operator="containsText" text="Ere">
      <formula>NOT(ISERROR(SEARCH("Ere",AO13)))</formula>
    </cfRule>
    <cfRule type="containsText" dxfId="246" priority="1785" operator="containsText" text="Ear">
      <formula>NOT(ISERROR(SEARCH("Ear",AO13)))</formula>
    </cfRule>
    <cfRule type="containsText" dxfId="245" priority="1786" operator="containsText" text="fnd">
      <formula>NOT(ISERROR(SEARCH("fnd",AO13)))</formula>
    </cfRule>
  </conditionalFormatting>
  <conditionalFormatting sqref="AO21:AO22">
    <cfRule type="containsText" dxfId="244" priority="951" operator="containsText" text="Str">
      <formula>NOT(ISERROR(SEARCH("Str",AO21)))</formula>
    </cfRule>
    <cfRule type="containsText" dxfId="243" priority="952" operator="containsText" text="Ere">
      <formula>NOT(ISERROR(SEARCH("Ere",AO21)))</formula>
    </cfRule>
    <cfRule type="containsText" dxfId="242" priority="953" operator="containsText" text="Ear">
      <formula>NOT(ISERROR(SEARCH("Ear",AO21)))</formula>
    </cfRule>
    <cfRule type="containsText" dxfId="241" priority="954" operator="containsText" text="fnd">
      <formula>NOT(ISERROR(SEARCH("fnd",AO21)))</formula>
    </cfRule>
  </conditionalFormatting>
  <conditionalFormatting sqref="AO29">
    <cfRule type="containsText" dxfId="240" priority="923" operator="containsText" text="Str">
      <formula>NOT(ISERROR(SEARCH("Str",AO29)))</formula>
    </cfRule>
    <cfRule type="containsText" dxfId="239" priority="924" operator="containsText" text="Ere">
      <formula>NOT(ISERROR(SEARCH("Ere",AO29)))</formula>
    </cfRule>
    <cfRule type="containsText" dxfId="238" priority="925" operator="containsText" text="Ear">
      <formula>NOT(ISERROR(SEARCH("Ear",AO29)))</formula>
    </cfRule>
    <cfRule type="containsText" dxfId="237" priority="926" operator="containsText" text="fnd">
      <formula>NOT(ISERROR(SEARCH("fnd",AO29)))</formula>
    </cfRule>
  </conditionalFormatting>
  <conditionalFormatting sqref="AO37">
    <cfRule type="containsText" dxfId="236" priority="731" operator="containsText" text="Str">
      <formula>NOT(ISERROR(SEARCH("Str",AO37)))</formula>
    </cfRule>
    <cfRule type="containsText" dxfId="235" priority="732" operator="containsText" text="Ere">
      <formula>NOT(ISERROR(SEARCH("Ere",AO37)))</formula>
    </cfRule>
    <cfRule type="containsText" dxfId="234" priority="733" operator="containsText" text="Ear">
      <formula>NOT(ISERROR(SEARCH("Ear",AO37)))</formula>
    </cfRule>
    <cfRule type="containsText" dxfId="233" priority="734" operator="containsText" text="fnd">
      <formula>NOT(ISERROR(SEARCH("fnd",AO37)))</formula>
    </cfRule>
  </conditionalFormatting>
  <conditionalFormatting sqref="AO61:AO62">
    <cfRule type="containsText" dxfId="232" priority="2003" operator="containsText" text="Str">
      <formula>NOT(ISERROR(SEARCH("Str",AO61)))</formula>
    </cfRule>
    <cfRule type="containsText" dxfId="231" priority="2004" operator="containsText" text="Ere">
      <formula>NOT(ISERROR(SEARCH("Ere",AO61)))</formula>
    </cfRule>
    <cfRule type="containsText" dxfId="230" priority="2005" operator="containsText" text="Ear">
      <formula>NOT(ISERROR(SEARCH("Ear",AO61)))</formula>
    </cfRule>
    <cfRule type="containsText" dxfId="229" priority="2006" operator="containsText" text="fnd">
      <formula>NOT(ISERROR(SEARCH("fnd",AO61)))</formula>
    </cfRule>
  </conditionalFormatting>
  <conditionalFormatting sqref="AO69">
    <cfRule type="containsText" dxfId="228" priority="843" operator="containsText" text="Str">
      <formula>NOT(ISERROR(SEARCH("Str",AO69)))</formula>
    </cfRule>
    <cfRule type="containsText" dxfId="227" priority="844" operator="containsText" text="Ere">
      <formula>NOT(ISERROR(SEARCH("Ere",AO69)))</formula>
    </cfRule>
    <cfRule type="containsText" dxfId="226" priority="845" operator="containsText" text="Ear">
      <formula>NOT(ISERROR(SEARCH("Ear",AO69)))</formula>
    </cfRule>
    <cfRule type="containsText" dxfId="225" priority="846" operator="containsText" text="fnd">
      <formula>NOT(ISERROR(SEARCH("fnd",AO69)))</formula>
    </cfRule>
  </conditionalFormatting>
  <conditionalFormatting sqref="AO77">
    <cfRule type="containsText" dxfId="224" priority="695" operator="containsText" text="Str">
      <formula>NOT(ISERROR(SEARCH("Str",AO77)))</formula>
    </cfRule>
    <cfRule type="containsText" dxfId="223" priority="696" operator="containsText" text="Ere">
      <formula>NOT(ISERROR(SEARCH("Ere",AO77)))</formula>
    </cfRule>
    <cfRule type="containsText" dxfId="222" priority="697" operator="containsText" text="Ear">
      <formula>NOT(ISERROR(SEARCH("Ear",AO77)))</formula>
    </cfRule>
    <cfRule type="containsText" dxfId="221" priority="698" operator="containsText" text="fnd">
      <formula>NOT(ISERROR(SEARCH("fnd",AO77)))</formula>
    </cfRule>
  </conditionalFormatting>
  <conditionalFormatting sqref="AO85">
    <cfRule type="containsText" dxfId="220" priority="811" operator="containsText" text="Str">
      <formula>NOT(ISERROR(SEARCH("Str",AO85)))</formula>
    </cfRule>
    <cfRule type="containsText" dxfId="219" priority="812" operator="containsText" text="Ere">
      <formula>NOT(ISERROR(SEARCH("Ere",AO85)))</formula>
    </cfRule>
    <cfRule type="containsText" dxfId="218" priority="813" operator="containsText" text="Ear">
      <formula>NOT(ISERROR(SEARCH("Ear",AO85)))</formula>
    </cfRule>
    <cfRule type="containsText" dxfId="217" priority="814" operator="containsText" text="fnd">
      <formula>NOT(ISERROR(SEARCH("fnd",AO85)))</formula>
    </cfRule>
  </conditionalFormatting>
  <conditionalFormatting sqref="AO93:AO94">
    <cfRule type="containsText" dxfId="216" priority="1883" operator="containsText" text="Str">
      <formula>NOT(ISERROR(SEARCH("Str",AO93)))</formula>
    </cfRule>
    <cfRule type="containsText" dxfId="215" priority="1884" operator="containsText" text="Ere">
      <formula>NOT(ISERROR(SEARCH("Ere",AO93)))</formula>
    </cfRule>
    <cfRule type="containsText" dxfId="214" priority="1885" operator="containsText" text="Ear">
      <formula>NOT(ISERROR(SEARCH("Ear",AO93)))</formula>
    </cfRule>
    <cfRule type="containsText" dxfId="213" priority="1886" operator="containsText" text="fnd">
      <formula>NOT(ISERROR(SEARCH("fnd",AO93)))</formula>
    </cfRule>
  </conditionalFormatting>
  <conditionalFormatting sqref="AO101:AO102">
    <cfRule type="containsText" dxfId="212" priority="49" operator="containsText" text="Str">
      <formula>NOT(ISERROR(SEARCH("Str",AO101)))</formula>
    </cfRule>
    <cfRule type="containsText" dxfId="211" priority="50" operator="containsText" text="Ere">
      <formula>NOT(ISERROR(SEARCH("Ere",AO101)))</formula>
    </cfRule>
    <cfRule type="containsText" dxfId="210" priority="51" operator="containsText" text="Ear">
      <formula>NOT(ISERROR(SEARCH("Ear",AO101)))</formula>
    </cfRule>
    <cfRule type="containsText" dxfId="209" priority="52" operator="containsText" text="fnd">
      <formula>NOT(ISERROR(SEARCH("fnd",AO101)))</formula>
    </cfRule>
  </conditionalFormatting>
  <conditionalFormatting sqref="AO109">
    <cfRule type="containsText" dxfId="208" priority="751" operator="containsText" text="Str">
      <formula>NOT(ISERROR(SEARCH("Str",AO109)))</formula>
    </cfRule>
    <cfRule type="containsText" dxfId="207" priority="752" operator="containsText" text="Ere">
      <formula>NOT(ISERROR(SEARCH("Ere",AO109)))</formula>
    </cfRule>
    <cfRule type="containsText" dxfId="206" priority="753" operator="containsText" text="Ear">
      <formula>NOT(ISERROR(SEARCH("Ear",AO109)))</formula>
    </cfRule>
    <cfRule type="containsText" dxfId="205" priority="754" operator="containsText" text="fnd">
      <formula>NOT(ISERROR(SEARCH("fnd",AO109)))</formula>
    </cfRule>
  </conditionalFormatting>
  <conditionalFormatting sqref="AO117">
    <cfRule type="containsText" dxfId="204" priority="1407" operator="containsText" text="Str">
      <formula>NOT(ISERROR(SEARCH("Str",AO117)))</formula>
    </cfRule>
    <cfRule type="containsText" dxfId="203" priority="1408" operator="containsText" text="Ere">
      <formula>NOT(ISERROR(SEARCH("Ere",AO117)))</formula>
    </cfRule>
    <cfRule type="containsText" dxfId="202" priority="1409" operator="containsText" text="Ear">
      <formula>NOT(ISERROR(SEARCH("Ear",AO117)))</formula>
    </cfRule>
    <cfRule type="containsText" dxfId="201" priority="1410" operator="containsText" text="fnd">
      <formula>NOT(ISERROR(SEARCH("fnd",AO117)))</formula>
    </cfRule>
  </conditionalFormatting>
  <conditionalFormatting sqref="AO122 AO130 AO138 AO154 AO162 AO170 AO178">
    <cfRule type="containsText" dxfId="200" priority="2035" operator="containsText" text="Str">
      <formula>NOT(ISERROR(SEARCH("Str",AO122)))</formula>
    </cfRule>
    <cfRule type="containsText" dxfId="199" priority="2036" operator="containsText" text="Ere">
      <formula>NOT(ISERROR(SEARCH("Ere",AO122)))</formula>
    </cfRule>
    <cfRule type="containsText" dxfId="198" priority="2037" operator="containsText" text="Ear">
      <formula>NOT(ISERROR(SEARCH("Ear",AO122)))</formula>
    </cfRule>
    <cfRule type="containsText" dxfId="197" priority="2038" operator="containsText" text="fnd">
      <formula>NOT(ISERROR(SEARCH("fnd",AO122)))</formula>
    </cfRule>
  </conditionalFormatting>
  <conditionalFormatting sqref="AO125">
    <cfRule type="containsText" dxfId="196" priority="1379" operator="containsText" text="Str">
      <formula>NOT(ISERROR(SEARCH("Str",AO125)))</formula>
    </cfRule>
    <cfRule type="containsText" dxfId="195" priority="1380" operator="containsText" text="Ere">
      <formula>NOT(ISERROR(SEARCH("Ere",AO125)))</formula>
    </cfRule>
    <cfRule type="containsText" dxfId="194" priority="1381" operator="containsText" text="Ear">
      <formula>NOT(ISERROR(SEARCH("Ear",AO125)))</formula>
    </cfRule>
    <cfRule type="containsText" dxfId="193" priority="1382" operator="containsText" text="fnd">
      <formula>NOT(ISERROR(SEARCH("fnd",AO125)))</formula>
    </cfRule>
  </conditionalFormatting>
  <conditionalFormatting sqref="AO133">
    <cfRule type="containsText" dxfId="192" priority="1327" operator="containsText" text="Str">
      <formula>NOT(ISERROR(SEARCH("Str",AO133)))</formula>
    </cfRule>
    <cfRule type="containsText" dxfId="191" priority="1328" operator="containsText" text="Ere">
      <formula>NOT(ISERROR(SEARCH("Ere",AO133)))</formula>
    </cfRule>
    <cfRule type="containsText" dxfId="190" priority="1329" operator="containsText" text="Ear">
      <formula>NOT(ISERROR(SEARCH("Ear",AO133)))</formula>
    </cfRule>
    <cfRule type="containsText" dxfId="189" priority="1330" operator="containsText" text="fnd">
      <formula>NOT(ISERROR(SEARCH("fnd",AO133)))</formula>
    </cfRule>
  </conditionalFormatting>
  <conditionalFormatting sqref="AO141">
    <cfRule type="containsText" dxfId="188" priority="261" operator="containsText" text="Str">
      <formula>NOT(ISERROR(SEARCH("Str",AO141)))</formula>
    </cfRule>
    <cfRule type="containsText" dxfId="187" priority="262" operator="containsText" text="Ere">
      <formula>NOT(ISERROR(SEARCH("Ere",AO141)))</formula>
    </cfRule>
    <cfRule type="containsText" dxfId="186" priority="263" operator="containsText" text="Ear">
      <formula>NOT(ISERROR(SEARCH("Ear",AO141)))</formula>
    </cfRule>
    <cfRule type="containsText" dxfId="185" priority="264" operator="containsText" text="fnd">
      <formula>NOT(ISERROR(SEARCH("fnd",AO141)))</formula>
    </cfRule>
  </conditionalFormatting>
  <conditionalFormatting sqref="AO149">
    <cfRule type="containsText" dxfId="184" priority="1183" operator="containsText" text="Str">
      <formula>NOT(ISERROR(SEARCH("Str",AO149)))</formula>
    </cfRule>
    <cfRule type="containsText" dxfId="183" priority="1184" operator="containsText" text="Ere">
      <formula>NOT(ISERROR(SEARCH("Ere",AO149)))</formula>
    </cfRule>
    <cfRule type="containsText" dxfId="182" priority="1185" operator="containsText" text="Ear">
      <formula>NOT(ISERROR(SEARCH("Ear",AO149)))</formula>
    </cfRule>
    <cfRule type="containsText" dxfId="181" priority="1186" operator="containsText" text="fnd">
      <formula>NOT(ISERROR(SEARCH("fnd",AO149)))</formula>
    </cfRule>
  </conditionalFormatting>
  <conditionalFormatting sqref="AO157">
    <cfRule type="containsText" dxfId="180" priority="1091" operator="containsText" text="Str">
      <formula>NOT(ISERROR(SEARCH("Str",AO157)))</formula>
    </cfRule>
    <cfRule type="containsText" dxfId="179" priority="1092" operator="containsText" text="Ere">
      <formula>NOT(ISERROR(SEARCH("Ere",AO157)))</formula>
    </cfRule>
    <cfRule type="containsText" dxfId="178" priority="1093" operator="containsText" text="Ear">
      <formula>NOT(ISERROR(SEARCH("Ear",AO157)))</formula>
    </cfRule>
    <cfRule type="containsText" dxfId="177" priority="1094" operator="containsText" text="fnd">
      <formula>NOT(ISERROR(SEARCH("fnd",AO157)))</formula>
    </cfRule>
  </conditionalFormatting>
  <conditionalFormatting sqref="AO165">
    <cfRule type="containsText" dxfId="176" priority="1047" operator="containsText" text="Str">
      <formula>NOT(ISERROR(SEARCH("Str",AO165)))</formula>
    </cfRule>
    <cfRule type="containsText" dxfId="175" priority="1048" operator="containsText" text="Ere">
      <formula>NOT(ISERROR(SEARCH("Ere",AO165)))</formula>
    </cfRule>
    <cfRule type="containsText" dxfId="174" priority="1049" operator="containsText" text="Ear">
      <formula>NOT(ISERROR(SEARCH("Ear",AO165)))</formula>
    </cfRule>
    <cfRule type="containsText" dxfId="173" priority="1050" operator="containsText" text="fnd">
      <formula>NOT(ISERROR(SEARCH("fnd",AO165)))</formula>
    </cfRule>
  </conditionalFormatting>
  <conditionalFormatting sqref="AO173">
    <cfRule type="containsText" dxfId="172" priority="991" operator="containsText" text="Str">
      <formula>NOT(ISERROR(SEARCH("Str",AO173)))</formula>
    </cfRule>
    <cfRule type="containsText" dxfId="171" priority="992" operator="containsText" text="Ere">
      <formula>NOT(ISERROR(SEARCH("Ere",AO173)))</formula>
    </cfRule>
    <cfRule type="containsText" dxfId="170" priority="993" operator="containsText" text="Ear">
      <formula>NOT(ISERROR(SEARCH("Ear",AO173)))</formula>
    </cfRule>
    <cfRule type="containsText" dxfId="169" priority="994" operator="containsText" text="fnd">
      <formula>NOT(ISERROR(SEARCH("fnd",AO173)))</formula>
    </cfRule>
  </conditionalFormatting>
  <conditionalFormatting sqref="AO181">
    <cfRule type="containsText" dxfId="168" priority="975" operator="containsText" text="Str">
      <formula>NOT(ISERROR(SEARCH("Str",AO181)))</formula>
    </cfRule>
    <cfRule type="containsText" dxfId="167" priority="976" operator="containsText" text="Ere">
      <formula>NOT(ISERROR(SEARCH("Ere",AO181)))</formula>
    </cfRule>
    <cfRule type="containsText" dxfId="166" priority="977" operator="containsText" text="Ear">
      <formula>NOT(ISERROR(SEARCH("Ear",AO181)))</formula>
    </cfRule>
    <cfRule type="containsText" dxfId="165" priority="978" operator="containsText" text="fnd">
      <formula>NOT(ISERROR(SEARCH("fnd",AO181)))</formula>
    </cfRule>
  </conditionalFormatting>
  <conditionalFormatting sqref="AO30:AR30">
    <cfRule type="containsText" dxfId="164" priority="927" operator="containsText" text="Str">
      <formula>NOT(ISERROR(SEARCH("Str",AO30)))</formula>
    </cfRule>
    <cfRule type="containsText" dxfId="163" priority="928" operator="containsText" text="Ere">
      <formula>NOT(ISERROR(SEARCH("Ere",AO30)))</formula>
    </cfRule>
    <cfRule type="containsText" dxfId="162" priority="929" operator="containsText" text="Ear">
      <formula>NOT(ISERROR(SEARCH("Ear",AO30)))</formula>
    </cfRule>
    <cfRule type="containsText" dxfId="161" priority="930" operator="containsText" text="fnd">
      <formula>NOT(ISERROR(SEARCH("fnd",AO30)))</formula>
    </cfRule>
  </conditionalFormatting>
  <conditionalFormatting sqref="AO38:AR38">
    <cfRule type="containsText" dxfId="160" priority="735" operator="containsText" text="Str">
      <formula>NOT(ISERROR(SEARCH("Str",AO38)))</formula>
    </cfRule>
    <cfRule type="containsText" dxfId="159" priority="736" operator="containsText" text="Ere">
      <formula>NOT(ISERROR(SEARCH("Ere",AO38)))</formula>
    </cfRule>
    <cfRule type="containsText" dxfId="158" priority="737" operator="containsText" text="Ear">
      <formula>NOT(ISERROR(SEARCH("Ear",AO38)))</formula>
    </cfRule>
    <cfRule type="containsText" dxfId="157" priority="738" operator="containsText" text="fnd">
      <formula>NOT(ISERROR(SEARCH("fnd",AO38)))</formula>
    </cfRule>
  </conditionalFormatting>
  <conditionalFormatting sqref="AO53:AR54">
    <cfRule type="containsText" dxfId="156" priority="867" operator="containsText" text="Str">
      <formula>NOT(ISERROR(SEARCH("Str",AO53)))</formula>
    </cfRule>
    <cfRule type="containsText" dxfId="155" priority="868" operator="containsText" text="Ere">
      <formula>NOT(ISERROR(SEARCH("Ere",AO53)))</formula>
    </cfRule>
    <cfRule type="containsText" dxfId="154" priority="869" operator="containsText" text="Ear">
      <formula>NOT(ISERROR(SEARCH("Ear",AO53)))</formula>
    </cfRule>
    <cfRule type="containsText" dxfId="153" priority="870" operator="containsText" text="fnd">
      <formula>NOT(ISERROR(SEARCH("fnd",AO53)))</formula>
    </cfRule>
  </conditionalFormatting>
  <conditionalFormatting sqref="AO70:AR70">
    <cfRule type="containsText" dxfId="152" priority="847" operator="containsText" text="Str">
      <formula>NOT(ISERROR(SEARCH("Str",AO70)))</formula>
    </cfRule>
    <cfRule type="containsText" dxfId="151" priority="848" operator="containsText" text="Ere">
      <formula>NOT(ISERROR(SEARCH("Ere",AO70)))</formula>
    </cfRule>
    <cfRule type="containsText" dxfId="150" priority="849" operator="containsText" text="Ear">
      <formula>NOT(ISERROR(SEARCH("Ear",AO70)))</formula>
    </cfRule>
    <cfRule type="containsText" dxfId="149" priority="850" operator="containsText" text="fnd">
      <formula>NOT(ISERROR(SEARCH("fnd",AO70)))</formula>
    </cfRule>
  </conditionalFormatting>
  <conditionalFormatting sqref="AO86:AR86">
    <cfRule type="containsText" dxfId="148" priority="815" operator="containsText" text="Str">
      <formula>NOT(ISERROR(SEARCH("Str",AO86)))</formula>
    </cfRule>
    <cfRule type="containsText" dxfId="147" priority="816" operator="containsText" text="Ere">
      <formula>NOT(ISERROR(SEARCH("Ere",AO86)))</formula>
    </cfRule>
    <cfRule type="containsText" dxfId="146" priority="817" operator="containsText" text="Ear">
      <formula>NOT(ISERROR(SEARCH("Ear",AO86)))</formula>
    </cfRule>
    <cfRule type="containsText" dxfId="145" priority="818" operator="containsText" text="fnd">
      <formula>NOT(ISERROR(SEARCH("fnd",AO86)))</formula>
    </cfRule>
  </conditionalFormatting>
  <conditionalFormatting sqref="AO126:AR126">
    <cfRule type="containsText" dxfId="144" priority="1383" operator="containsText" text="Str">
      <formula>NOT(ISERROR(SEARCH("Str",AO126)))</formula>
    </cfRule>
    <cfRule type="containsText" dxfId="143" priority="1384" operator="containsText" text="Ere">
      <formula>NOT(ISERROR(SEARCH("Ere",AO126)))</formula>
    </cfRule>
    <cfRule type="containsText" dxfId="142" priority="1385" operator="containsText" text="Ear">
      <formula>NOT(ISERROR(SEARCH("Ear",AO126)))</formula>
    </cfRule>
    <cfRule type="containsText" dxfId="141" priority="1386" operator="containsText" text="fnd">
      <formula>NOT(ISERROR(SEARCH("fnd",AO126)))</formula>
    </cfRule>
  </conditionalFormatting>
  <conditionalFormatting sqref="AO134:AR134">
    <cfRule type="containsText" dxfId="140" priority="1331" operator="containsText" text="Str">
      <formula>NOT(ISERROR(SEARCH("Str",AO134)))</formula>
    </cfRule>
    <cfRule type="containsText" dxfId="139" priority="1332" operator="containsText" text="Ere">
      <formula>NOT(ISERROR(SEARCH("Ere",AO134)))</formula>
    </cfRule>
    <cfRule type="containsText" dxfId="138" priority="1333" operator="containsText" text="Ear">
      <formula>NOT(ISERROR(SEARCH("Ear",AO134)))</formula>
    </cfRule>
    <cfRule type="containsText" dxfId="137" priority="1334" operator="containsText" text="fnd">
      <formula>NOT(ISERROR(SEARCH("fnd",AO134)))</formula>
    </cfRule>
  </conditionalFormatting>
  <conditionalFormatting sqref="AO142:AR142">
    <cfRule type="containsText" dxfId="136" priority="265" operator="containsText" text="Str">
      <formula>NOT(ISERROR(SEARCH("Str",AO142)))</formula>
    </cfRule>
    <cfRule type="containsText" dxfId="135" priority="266" operator="containsText" text="Ere">
      <formula>NOT(ISERROR(SEARCH("Ere",AO142)))</formula>
    </cfRule>
    <cfRule type="containsText" dxfId="134" priority="267" operator="containsText" text="Ear">
      <formula>NOT(ISERROR(SEARCH("Ear",AO142)))</formula>
    </cfRule>
    <cfRule type="containsText" dxfId="133" priority="268" operator="containsText" text="fnd">
      <formula>NOT(ISERROR(SEARCH("fnd",AO142)))</formula>
    </cfRule>
  </conditionalFormatting>
  <conditionalFormatting sqref="AO158:AR158">
    <cfRule type="containsText" dxfId="132" priority="1095" operator="containsText" text="Str">
      <formula>NOT(ISERROR(SEARCH("Str",AO158)))</formula>
    </cfRule>
    <cfRule type="containsText" dxfId="131" priority="1096" operator="containsText" text="Ere">
      <formula>NOT(ISERROR(SEARCH("Ere",AO158)))</formula>
    </cfRule>
    <cfRule type="containsText" dxfId="130" priority="1097" operator="containsText" text="Ear">
      <formula>NOT(ISERROR(SEARCH("Ear",AO158)))</formula>
    </cfRule>
    <cfRule type="containsText" dxfId="129" priority="1098" operator="containsText" text="fnd">
      <formula>NOT(ISERROR(SEARCH("fnd",AO158)))</formula>
    </cfRule>
  </conditionalFormatting>
  <conditionalFormatting sqref="AO182:AR182">
    <cfRule type="containsText" dxfId="128" priority="979" operator="containsText" text="Str">
      <formula>NOT(ISERROR(SEARCH("Str",AO182)))</formula>
    </cfRule>
    <cfRule type="containsText" dxfId="127" priority="980" operator="containsText" text="Ere">
      <formula>NOT(ISERROR(SEARCH("Ere",AO182)))</formula>
    </cfRule>
    <cfRule type="containsText" dxfId="126" priority="981" operator="containsText" text="Ear">
      <formula>NOT(ISERROR(SEARCH("Ear",AO182)))</formula>
    </cfRule>
    <cfRule type="containsText" dxfId="125" priority="982" operator="containsText" text="fnd">
      <formula>NOT(ISERROR(SEARCH("fnd",AO182)))</formula>
    </cfRule>
  </conditionalFormatting>
  <conditionalFormatting sqref="AP102">
    <cfRule type="containsText" dxfId="124" priority="45" operator="containsText" text="Str">
      <formula>NOT(ISERROR(SEARCH("Str",AP102)))</formula>
    </cfRule>
    <cfRule type="containsText" dxfId="123" priority="46" operator="containsText" text="Ere">
      <formula>NOT(ISERROR(SEARCH("Ere",AP102)))</formula>
    </cfRule>
    <cfRule type="containsText" dxfId="122" priority="47" operator="containsText" text="Ear">
      <formula>NOT(ISERROR(SEARCH("Ear",AP102)))</formula>
    </cfRule>
    <cfRule type="containsText" dxfId="121" priority="48" operator="containsText" text="fnd">
      <formula>NOT(ISERROR(SEARCH("fnd",AP102)))</formula>
    </cfRule>
  </conditionalFormatting>
  <conditionalFormatting sqref="AP14:AR14">
    <cfRule type="containsText" dxfId="120" priority="1779" operator="containsText" text="Str">
      <formula>NOT(ISERROR(SEARCH("Str",AP14)))</formula>
    </cfRule>
    <cfRule type="containsText" dxfId="119" priority="1780" operator="containsText" text="Ere">
      <formula>NOT(ISERROR(SEARCH("Ere",AP14)))</formula>
    </cfRule>
    <cfRule type="containsText" dxfId="118" priority="1781" operator="containsText" text="Ear">
      <formula>NOT(ISERROR(SEARCH("Ear",AP14)))</formula>
    </cfRule>
    <cfRule type="containsText" dxfId="117" priority="1782" operator="containsText" text="fnd">
      <formula>NOT(ISERROR(SEARCH("fnd",AP14)))</formula>
    </cfRule>
  </conditionalFormatting>
  <conditionalFormatting sqref="AP22:AR22">
    <cfRule type="containsText" dxfId="116" priority="947" operator="containsText" text="Str">
      <formula>NOT(ISERROR(SEARCH("Str",AP22)))</formula>
    </cfRule>
    <cfRule type="containsText" dxfId="115" priority="948" operator="containsText" text="Ere">
      <formula>NOT(ISERROR(SEARCH("Ere",AP22)))</formula>
    </cfRule>
    <cfRule type="containsText" dxfId="114" priority="949" operator="containsText" text="Ear">
      <formula>NOT(ISERROR(SEARCH("Ear",AP22)))</formula>
    </cfRule>
    <cfRule type="containsText" dxfId="113" priority="950" operator="containsText" text="fnd">
      <formula>NOT(ISERROR(SEARCH("fnd",AP22)))</formula>
    </cfRule>
  </conditionalFormatting>
  <conditionalFormatting sqref="AP62:AR62">
    <cfRule type="containsText" dxfId="112" priority="2007" operator="containsText" text="Str">
      <formula>NOT(ISERROR(SEARCH("Str",AP62)))</formula>
    </cfRule>
    <cfRule type="containsText" dxfId="111" priority="2008" operator="containsText" text="Ere">
      <formula>NOT(ISERROR(SEARCH("Ere",AP62)))</formula>
    </cfRule>
    <cfRule type="containsText" dxfId="110" priority="2009" operator="containsText" text="Ear">
      <formula>NOT(ISERROR(SEARCH("Ear",AP62)))</formula>
    </cfRule>
    <cfRule type="containsText" dxfId="109" priority="2010" operator="containsText" text="fnd">
      <formula>NOT(ISERROR(SEARCH("fnd",AP62)))</formula>
    </cfRule>
  </conditionalFormatting>
  <conditionalFormatting sqref="AQ6">
    <cfRule type="containsText" dxfId="108" priority="601" operator="containsText" text="Str">
      <formula>NOT(ISERROR(SEARCH("Str",AQ6)))</formula>
    </cfRule>
    <cfRule type="containsText" dxfId="107" priority="602" operator="containsText" text="Ere">
      <formula>NOT(ISERROR(SEARCH("Ere",AQ6)))</formula>
    </cfRule>
  </conditionalFormatting>
  <conditionalFormatting sqref="AR5:AR6">
    <cfRule type="containsText" dxfId="106" priority="971" operator="containsText" text="Str">
      <formula>NOT(ISERROR(SEARCH("Str",AR5)))</formula>
    </cfRule>
    <cfRule type="containsText" dxfId="105" priority="972" operator="containsText" text="Ere">
      <formula>NOT(ISERROR(SEARCH("Ere",AR5)))</formula>
    </cfRule>
    <cfRule type="containsText" dxfId="104" priority="973" operator="containsText" text="Ear">
      <formula>NOT(ISERROR(SEARCH("Ear",AR5)))</formula>
    </cfRule>
    <cfRule type="containsText" dxfId="103" priority="974" operator="containsText" text="fnd">
      <formula>NOT(ISERROR(SEARCH("fnd",AR5)))</formula>
    </cfRule>
  </conditionalFormatting>
  <conditionalFormatting sqref="AV2 BA2">
    <cfRule type="containsText" dxfId="102" priority="25" operator="containsText" text="Str">
      <formula>NOT(ISERROR(SEARCH("Str",AV2)))</formula>
    </cfRule>
    <cfRule type="containsText" dxfId="101" priority="26" operator="containsText" text="Ere">
      <formula>NOT(ISERROR(SEARCH("Ere",AV2)))</formula>
    </cfRule>
    <cfRule type="containsText" dxfId="100" priority="27" operator="containsText" text="Ear">
      <formula>NOT(ISERROR(SEARCH("Ear",AV2)))</formula>
    </cfRule>
    <cfRule type="containsText" dxfId="99" priority="28" operator="containsText" text="fnd">
      <formula>NOT(ISERROR(SEARCH("fnd",AV2)))</formula>
    </cfRule>
  </conditionalFormatting>
  <conditionalFormatting sqref="AV3:BA3">
    <cfRule type="containsText" dxfId="98" priority="73" operator="containsText" text="Str">
      <formula>NOT(ISERROR(SEARCH("Str",AV3)))</formula>
    </cfRule>
    <cfRule type="containsText" dxfId="97" priority="74" operator="containsText" text="Ere">
      <formula>NOT(ISERROR(SEARCH("Ere",AV3)))</formula>
    </cfRule>
    <cfRule type="containsText" dxfId="96" priority="75" operator="containsText" text="Ear">
      <formula>NOT(ISERROR(SEARCH("Ear",AV3)))</formula>
    </cfRule>
    <cfRule type="containsText" dxfId="95" priority="76" operator="containsText" text="fnd">
      <formula>NOT(ISERROR(SEARCH("fnd",AV3)))</formula>
    </cfRule>
  </conditionalFormatting>
  <conditionalFormatting sqref="AW27:AZ27">
    <cfRule type="containsText" dxfId="94" priority="2375" operator="containsText" text="Str">
      <formula>NOT(ISERROR(SEARCH("Str",AW27)))</formula>
    </cfRule>
    <cfRule type="containsText" dxfId="93" priority="2376" operator="containsText" text="Ere">
      <formula>NOT(ISERROR(SEARCH("Ere",AW27)))</formula>
    </cfRule>
    <cfRule type="containsText" dxfId="92" priority="2377" operator="containsText" text="Ear">
      <formula>NOT(ISERROR(SEARCH("Ear",AW27)))</formula>
    </cfRule>
    <cfRule type="containsText" dxfId="91" priority="2378" operator="containsText" text="fnd">
      <formula>NOT(ISERROR(SEARCH("fnd",AW27)))</formula>
    </cfRule>
  </conditionalFormatting>
  <conditionalFormatting sqref="W125">
    <cfRule type="containsText" dxfId="90" priority="17" operator="containsText" text="Str">
      <formula>NOT(ISERROR(SEARCH("Str",W125)))</formula>
    </cfRule>
    <cfRule type="containsText" dxfId="89" priority="18" operator="containsText" text="Ere">
      <formula>NOT(ISERROR(SEARCH("Ere",W125)))</formula>
    </cfRule>
    <cfRule type="containsText" dxfId="88" priority="19" operator="containsText" text="Ear">
      <formula>NOT(ISERROR(SEARCH("Ear",W125)))</formula>
    </cfRule>
    <cfRule type="containsText" dxfId="87" priority="20" operator="containsText" text="fnd">
      <formula>NOT(ISERROR(SEARCH("fnd",W125)))</formula>
    </cfRule>
  </conditionalFormatting>
  <conditionalFormatting sqref="W126:X126">
    <cfRule type="containsText" dxfId="86" priority="21" operator="containsText" text="Str">
      <formula>NOT(ISERROR(SEARCH("Str",W126)))</formula>
    </cfRule>
    <cfRule type="containsText" dxfId="85" priority="22" operator="containsText" text="Ere">
      <formula>NOT(ISERROR(SEARCH("Ere",W126)))</formula>
    </cfRule>
    <cfRule type="containsText" dxfId="84" priority="23" operator="containsText" text="Ear">
      <formula>NOT(ISERROR(SEARCH("Ear",W126)))</formula>
    </cfRule>
    <cfRule type="containsText" dxfId="83" priority="24" operator="containsText" text="fnd">
      <formula>NOT(ISERROR(SEARCH("fnd",W126)))</formula>
    </cfRule>
  </conditionalFormatting>
  <conditionalFormatting sqref="AL125">
    <cfRule type="containsText" dxfId="82" priority="9" operator="containsText" text="Str">
      <formula>NOT(ISERROR(SEARCH("Str",AL125)))</formula>
    </cfRule>
    <cfRule type="containsText" dxfId="81" priority="10" operator="containsText" text="Ere">
      <formula>NOT(ISERROR(SEARCH("Ere",AL125)))</formula>
    </cfRule>
    <cfRule type="containsText" dxfId="80" priority="11" operator="containsText" text="Ear">
      <formula>NOT(ISERROR(SEARCH("Ear",AL125)))</formula>
    </cfRule>
    <cfRule type="containsText" dxfId="79" priority="12" operator="containsText" text="fnd">
      <formula>NOT(ISERROR(SEARCH("fnd",AL125)))</formula>
    </cfRule>
  </conditionalFormatting>
  <conditionalFormatting sqref="AL126:AM126">
    <cfRule type="containsText" dxfId="78" priority="13" operator="containsText" text="Str">
      <formula>NOT(ISERROR(SEARCH("Str",AL126)))</formula>
    </cfRule>
    <cfRule type="containsText" dxfId="77" priority="14" operator="containsText" text="Ere">
      <formula>NOT(ISERROR(SEARCH("Ere",AL126)))</formula>
    </cfRule>
    <cfRule type="containsText" dxfId="76" priority="15" operator="containsText" text="Ear">
      <formula>NOT(ISERROR(SEARCH("Ear",AL126)))</formula>
    </cfRule>
    <cfRule type="containsText" dxfId="75" priority="16" operator="containsText" text="fnd">
      <formula>NOT(ISERROR(SEARCH("fnd",AL126)))</formula>
    </cfRule>
  </conditionalFormatting>
  <conditionalFormatting sqref="AF101">
    <cfRule type="containsText" dxfId="74" priority="1" operator="containsText" text="Str">
      <formula>NOT(ISERROR(SEARCH("Str",AF101)))</formula>
    </cfRule>
    <cfRule type="containsText" dxfId="73" priority="2" operator="containsText" text="Ere">
      <formula>NOT(ISERROR(SEARCH("Ere",AF101)))</formula>
    </cfRule>
    <cfRule type="containsText" dxfId="72" priority="3" operator="containsText" text="Ear">
      <formula>NOT(ISERROR(SEARCH("Ear",AF101)))</formula>
    </cfRule>
    <cfRule type="containsText" dxfId="71" priority="4" operator="containsText" text="fnd">
      <formula>NOT(ISERROR(SEARCH("fnd",AF101)))</formula>
    </cfRule>
  </conditionalFormatting>
  <conditionalFormatting sqref="AF102:AG102">
    <cfRule type="containsText" dxfId="70" priority="5" operator="containsText" text="Str">
      <formula>NOT(ISERROR(SEARCH("Str",AF102)))</formula>
    </cfRule>
    <cfRule type="containsText" dxfId="69" priority="6" operator="containsText" text="Ere">
      <formula>NOT(ISERROR(SEARCH("Ere",AF102)))</formula>
    </cfRule>
    <cfRule type="containsText" dxfId="68" priority="7" operator="containsText" text="Ear">
      <formula>NOT(ISERROR(SEARCH("Ear",AF102)))</formula>
    </cfRule>
    <cfRule type="containsText" dxfId="67" priority="8" operator="containsText" text="fnd">
      <formula>NOT(ISERROR(SEARCH("fnd",AF102)))</formula>
    </cfRule>
  </conditionalFormatting>
  <pageMargins left="0.14000000000000001" right="0.11" top="0.2" bottom="0.19" header="0.16" footer="0.05"/>
  <pageSetup scale="6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BE78-2BEA-41BB-B8D4-F55D113CFFA2}">
  <sheetPr>
    <pageSetUpPr fitToPage="1"/>
  </sheetPr>
  <dimension ref="A1:Q40"/>
  <sheetViews>
    <sheetView tabSelected="1" zoomScale="85" zoomScaleNormal="85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N10" sqref="N10"/>
    </sheetView>
  </sheetViews>
  <sheetFormatPr defaultColWidth="9" defaultRowHeight="14.5" x14ac:dyDescent="0.35"/>
  <cols>
    <col min="1" max="1" width="13.08984375" style="602" bestFit="1" customWidth="1"/>
    <col min="2" max="2" width="14.54296875" style="602" bestFit="1" customWidth="1"/>
    <col min="3" max="3" width="13.1796875" style="602" customWidth="1"/>
    <col min="4" max="4" width="11" style="572" customWidth="1"/>
    <col min="5" max="5" width="13" style="572" customWidth="1"/>
    <col min="6" max="6" width="11.54296875" style="602" customWidth="1"/>
    <col min="7" max="7" width="11.453125" style="572" customWidth="1"/>
    <col min="8" max="8" width="8.81640625" style="572" customWidth="1"/>
    <col min="9" max="9" width="9.54296875" style="572" customWidth="1"/>
    <col min="10" max="10" width="11.54296875" style="601" customWidth="1"/>
    <col min="11" max="11" width="13.6328125" style="572" customWidth="1"/>
    <col min="12" max="12" width="9.54296875" style="572" customWidth="1"/>
    <col min="13" max="13" width="30.1796875" style="572" customWidth="1"/>
    <col min="14" max="14" width="45.81640625" style="572" bestFit="1" customWidth="1"/>
    <col min="15" max="15" width="6.1796875" style="564" bestFit="1" customWidth="1"/>
    <col min="16" max="16" width="1.453125" style="565" customWidth="1"/>
    <col min="17" max="17" width="29.453125" style="590" hidden="1" customWidth="1"/>
    <col min="18" max="16384" width="9" style="565"/>
  </cols>
  <sheetData>
    <row r="1" spans="1:17" ht="30" customHeight="1" x14ac:dyDescent="0.35">
      <c r="A1" s="840"/>
      <c r="B1" s="559" t="s">
        <v>2159</v>
      </c>
      <c r="C1" s="664" t="s">
        <v>655</v>
      </c>
      <c r="D1" s="560" t="s">
        <v>351</v>
      </c>
      <c r="E1" s="843">
        <f ca="1">TODAY()-1</f>
        <v>46195</v>
      </c>
      <c r="F1" s="844"/>
      <c r="G1" s="561" t="s">
        <v>2160</v>
      </c>
      <c r="H1" s="845" t="s">
        <v>2161</v>
      </c>
      <c r="I1" s="845"/>
      <c r="J1" s="561" t="s">
        <v>2162</v>
      </c>
      <c r="K1" s="562" t="s">
        <v>2223</v>
      </c>
      <c r="L1" s="563"/>
      <c r="M1" s="846"/>
      <c r="N1" s="847"/>
      <c r="Q1" s="566" t="s">
        <v>2163</v>
      </c>
    </row>
    <row r="2" spans="1:17" ht="30" customHeight="1" x14ac:dyDescent="0.35">
      <c r="A2" s="841"/>
      <c r="B2" s="567" t="s">
        <v>2164</v>
      </c>
      <c r="C2" s="848" t="s">
        <v>2165</v>
      </c>
      <c r="D2" s="849"/>
      <c r="E2" s="849"/>
      <c r="F2" s="850"/>
      <c r="G2" s="561" t="s">
        <v>2166</v>
      </c>
      <c r="H2" s="846" t="s">
        <v>2224</v>
      </c>
      <c r="I2" s="851"/>
      <c r="J2" s="851"/>
      <c r="K2" s="847"/>
      <c r="L2" s="561" t="s">
        <v>2167</v>
      </c>
      <c r="M2" s="846" t="s">
        <v>2168</v>
      </c>
      <c r="N2" s="847"/>
      <c r="Q2" s="568" t="s">
        <v>2169</v>
      </c>
    </row>
    <row r="3" spans="1:17" ht="29" x14ac:dyDescent="0.35">
      <c r="A3" s="842"/>
      <c r="B3" s="567" t="s">
        <v>2170</v>
      </c>
      <c r="C3" s="848" t="s">
        <v>2171</v>
      </c>
      <c r="D3" s="849"/>
      <c r="E3" s="849"/>
      <c r="F3" s="850"/>
      <c r="G3" s="561" t="s">
        <v>2172</v>
      </c>
      <c r="H3" s="852" t="s">
        <v>2220</v>
      </c>
      <c r="I3" s="853"/>
      <c r="J3" s="561" t="s">
        <v>2173</v>
      </c>
      <c r="K3" s="605" t="s">
        <v>2221</v>
      </c>
      <c r="L3" s="567" t="s">
        <v>2174</v>
      </c>
      <c r="M3" s="854" t="s">
        <v>2222</v>
      </c>
      <c r="N3" s="854"/>
      <c r="Q3" s="569" t="s">
        <v>2175</v>
      </c>
    </row>
    <row r="4" spans="1:17" s="571" customFormat="1" ht="58" x14ac:dyDescent="0.35">
      <c r="A4" s="570" t="s">
        <v>834</v>
      </c>
      <c r="B4" s="570" t="s">
        <v>366</v>
      </c>
      <c r="C4" s="570" t="s">
        <v>2176</v>
      </c>
      <c r="D4" s="570" t="s">
        <v>2177</v>
      </c>
      <c r="E4" s="570" t="s">
        <v>2178</v>
      </c>
      <c r="F4" s="570" t="s">
        <v>2179</v>
      </c>
      <c r="G4" s="570" t="s">
        <v>2180</v>
      </c>
      <c r="H4" s="570" t="s">
        <v>2181</v>
      </c>
      <c r="I4" s="570" t="s">
        <v>2182</v>
      </c>
      <c r="J4" s="570" t="s">
        <v>2183</v>
      </c>
      <c r="K4" s="570" t="s">
        <v>370</v>
      </c>
      <c r="L4" s="570" t="s">
        <v>2184</v>
      </c>
      <c r="M4" s="570" t="s">
        <v>371</v>
      </c>
      <c r="N4" s="570" t="s">
        <v>2185</v>
      </c>
      <c r="O4" s="603" t="s">
        <v>2186</v>
      </c>
      <c r="Q4" s="569" t="s">
        <v>2187</v>
      </c>
    </row>
    <row r="5" spans="1:17" s="572" customFormat="1" ht="29" x14ac:dyDescent="0.35">
      <c r="A5" s="611">
        <v>1</v>
      </c>
      <c r="B5" s="620" t="s">
        <v>2188</v>
      </c>
      <c r="C5" s="606">
        <v>118.39700000000001</v>
      </c>
      <c r="D5" s="608">
        <v>118.39700000000001</v>
      </c>
      <c r="E5" s="608">
        <f t="shared" ref="E5:E14" si="0">C5-D5</f>
        <v>0</v>
      </c>
      <c r="F5" s="606">
        <f>E5</f>
        <v>0</v>
      </c>
      <c r="G5" s="606"/>
      <c r="H5" s="607"/>
      <c r="I5" s="608"/>
      <c r="J5" s="606">
        <f t="shared" ref="J5:J14" si="1">D5+H5</f>
        <v>118.39700000000001</v>
      </c>
      <c r="K5" s="606">
        <f t="shared" ref="K5:K10" si="2">C5-J5</f>
        <v>0</v>
      </c>
      <c r="L5" s="606" t="s">
        <v>617</v>
      </c>
      <c r="M5" s="609"/>
      <c r="N5" s="610"/>
      <c r="O5" s="604">
        <f t="shared" ref="O5:O14" si="3">(J5/C5)</f>
        <v>1</v>
      </c>
      <c r="Q5" s="569" t="s">
        <v>2189</v>
      </c>
    </row>
    <row r="6" spans="1:17" s="572" customFormat="1" ht="29" x14ac:dyDescent="0.35">
      <c r="A6" s="611">
        <v>2</v>
      </c>
      <c r="B6" s="621" t="s">
        <v>2190</v>
      </c>
      <c r="C6" s="611">
        <v>306</v>
      </c>
      <c r="D6" s="611">
        <f>SUMMARY!G7</f>
        <v>268</v>
      </c>
      <c r="E6" s="611">
        <f t="shared" si="0"/>
        <v>38</v>
      </c>
      <c r="F6" s="611">
        <v>13</v>
      </c>
      <c r="G6" s="611"/>
      <c r="H6" s="611">
        <f>SUMMARY!K7</f>
        <v>5</v>
      </c>
      <c r="I6" s="611">
        <v>3</v>
      </c>
      <c r="J6" s="611">
        <f t="shared" si="1"/>
        <v>273</v>
      </c>
      <c r="K6" s="611">
        <f t="shared" si="2"/>
        <v>33</v>
      </c>
      <c r="L6" s="611">
        <f>SUMMARY!P7</f>
        <v>2</v>
      </c>
      <c r="M6" s="612" t="s">
        <v>2292</v>
      </c>
      <c r="N6" s="613" t="s">
        <v>2288</v>
      </c>
      <c r="O6" s="604">
        <f t="shared" si="3"/>
        <v>0.89215686274509809</v>
      </c>
      <c r="P6" s="573"/>
      <c r="Q6" s="569" t="s">
        <v>2191</v>
      </c>
    </row>
    <row r="7" spans="1:17" s="572" customFormat="1" ht="29" x14ac:dyDescent="0.35">
      <c r="A7" s="611">
        <v>3</v>
      </c>
      <c r="B7" s="621" t="s">
        <v>2192</v>
      </c>
      <c r="C7" s="611">
        <v>306</v>
      </c>
      <c r="D7" s="611">
        <f>SUMMARY!G8</f>
        <v>247</v>
      </c>
      <c r="E7" s="611">
        <f t="shared" si="0"/>
        <v>59</v>
      </c>
      <c r="F7" s="611">
        <v>20</v>
      </c>
      <c r="G7" s="611"/>
      <c r="H7" s="611">
        <f>SUMMARY!K8</f>
        <v>2</v>
      </c>
      <c r="I7" s="611">
        <v>0</v>
      </c>
      <c r="J7" s="611">
        <f t="shared" si="1"/>
        <v>249</v>
      </c>
      <c r="K7" s="611">
        <f t="shared" si="2"/>
        <v>57</v>
      </c>
      <c r="L7" s="611"/>
      <c r="M7" s="612" t="s">
        <v>2284</v>
      </c>
      <c r="N7" s="614"/>
      <c r="O7" s="604">
        <f t="shared" si="3"/>
        <v>0.81372549019607843</v>
      </c>
      <c r="Q7" s="569" t="s">
        <v>2193</v>
      </c>
    </row>
    <row r="8" spans="1:17" s="572" customFormat="1" ht="29" x14ac:dyDescent="0.35">
      <c r="A8" s="611">
        <v>4</v>
      </c>
      <c r="B8" s="621" t="s">
        <v>2194</v>
      </c>
      <c r="C8" s="611">
        <v>290</v>
      </c>
      <c r="D8" s="611">
        <f>SUMMARY!G9</f>
        <v>208</v>
      </c>
      <c r="E8" s="611">
        <f t="shared" si="0"/>
        <v>82</v>
      </c>
      <c r="F8" s="611">
        <v>30</v>
      </c>
      <c r="G8" s="611"/>
      <c r="H8" s="611">
        <f>SUMMARY!K9</f>
        <v>10</v>
      </c>
      <c r="I8" s="611">
        <v>5</v>
      </c>
      <c r="J8" s="611">
        <f t="shared" si="1"/>
        <v>218</v>
      </c>
      <c r="K8" s="611">
        <f t="shared" si="2"/>
        <v>72</v>
      </c>
      <c r="L8" s="611">
        <f>SUMMARY!P9</f>
        <v>3</v>
      </c>
      <c r="M8" s="612" t="s">
        <v>2301</v>
      </c>
      <c r="N8" s="615"/>
      <c r="O8" s="604">
        <f t="shared" si="3"/>
        <v>0.75172413793103443</v>
      </c>
      <c r="Q8" s="569" t="s">
        <v>2195</v>
      </c>
    </row>
    <row r="9" spans="1:17" s="572" customFormat="1" ht="43.5" x14ac:dyDescent="0.35">
      <c r="A9" s="611">
        <v>5</v>
      </c>
      <c r="B9" s="621" t="s">
        <v>2252</v>
      </c>
      <c r="C9" s="611">
        <v>96</v>
      </c>
      <c r="D9" s="611">
        <v>1</v>
      </c>
      <c r="E9" s="611">
        <f t="shared" si="0"/>
        <v>95</v>
      </c>
      <c r="F9" s="611">
        <v>48</v>
      </c>
      <c r="G9" s="611"/>
      <c r="H9" s="611">
        <v>41</v>
      </c>
      <c r="I9" s="611">
        <v>45</v>
      </c>
      <c r="J9" s="611">
        <f t="shared" si="1"/>
        <v>42</v>
      </c>
      <c r="K9" s="611">
        <f t="shared" si="2"/>
        <v>54</v>
      </c>
      <c r="L9" s="611">
        <v>5</v>
      </c>
      <c r="M9" s="612" t="s">
        <v>2295</v>
      </c>
      <c r="N9" s="615"/>
      <c r="O9" s="604">
        <f t="shared" si="3"/>
        <v>0.4375</v>
      </c>
      <c r="Q9" s="569"/>
    </row>
    <row r="10" spans="1:17" s="572" customFormat="1" ht="43.5" x14ac:dyDescent="0.35">
      <c r="A10" s="611">
        <v>6</v>
      </c>
      <c r="B10" s="621" t="s">
        <v>2281</v>
      </c>
      <c r="C10" s="611">
        <v>96</v>
      </c>
      <c r="D10" s="611">
        <v>2</v>
      </c>
      <c r="E10" s="611">
        <f t="shared" si="0"/>
        <v>94</v>
      </c>
      <c r="F10" s="611">
        <v>48</v>
      </c>
      <c r="G10" s="611"/>
      <c r="H10" s="611">
        <f>17+1+2</f>
        <v>20</v>
      </c>
      <c r="I10" s="611">
        <v>2</v>
      </c>
      <c r="J10" s="611">
        <f t="shared" si="1"/>
        <v>22</v>
      </c>
      <c r="K10" s="611">
        <f t="shared" si="2"/>
        <v>74</v>
      </c>
      <c r="L10" s="611">
        <v>2</v>
      </c>
      <c r="M10" s="612" t="s">
        <v>2302</v>
      </c>
      <c r="N10" s="615"/>
      <c r="O10" s="604"/>
      <c r="Q10" s="569"/>
    </row>
    <row r="11" spans="1:17" s="572" customFormat="1" ht="43.5" x14ac:dyDescent="0.35">
      <c r="A11" s="611">
        <v>7</v>
      </c>
      <c r="B11" s="621" t="s">
        <v>2197</v>
      </c>
      <c r="C11" s="611">
        <v>40</v>
      </c>
      <c r="D11" s="611"/>
      <c r="E11" s="611">
        <f t="shared" si="0"/>
        <v>40</v>
      </c>
      <c r="F11" s="622">
        <v>12.364000000000001</v>
      </c>
      <c r="G11" s="616"/>
      <c r="H11" s="686">
        <f>1.555+1.906</f>
        <v>3.4609999999999999</v>
      </c>
      <c r="I11" s="663"/>
      <c r="J11" s="686">
        <f t="shared" si="1"/>
        <v>3.4609999999999999</v>
      </c>
      <c r="K11" s="616">
        <f>+E11-H11</f>
        <v>36.539000000000001</v>
      </c>
      <c r="L11" s="611">
        <v>1</v>
      </c>
      <c r="M11" s="612" t="s">
        <v>2291</v>
      </c>
      <c r="N11" s="617"/>
      <c r="O11" s="604">
        <f t="shared" si="3"/>
        <v>8.6524999999999991E-2</v>
      </c>
      <c r="Q11" s="569" t="s">
        <v>2198</v>
      </c>
    </row>
    <row r="12" spans="1:17" s="572" customFormat="1" ht="29" customHeight="1" x14ac:dyDescent="0.35">
      <c r="A12" s="611">
        <v>8</v>
      </c>
      <c r="B12" s="621" t="s">
        <v>2296</v>
      </c>
      <c r="C12" s="611">
        <v>40</v>
      </c>
      <c r="D12" s="611"/>
      <c r="E12" s="611">
        <f t="shared" si="0"/>
        <v>40</v>
      </c>
      <c r="F12" s="622">
        <v>12.364000000000001</v>
      </c>
      <c r="G12" s="616"/>
      <c r="H12" s="686">
        <v>1.5549999999999999</v>
      </c>
      <c r="I12" s="663">
        <v>1.9059999999999999</v>
      </c>
      <c r="J12" s="686">
        <f t="shared" si="1"/>
        <v>1.5549999999999999</v>
      </c>
      <c r="K12" s="616">
        <f>+E12-H12</f>
        <v>38.445</v>
      </c>
      <c r="L12" s="611">
        <v>1</v>
      </c>
      <c r="M12" s="612" t="s">
        <v>2300</v>
      </c>
      <c r="N12" s="617"/>
      <c r="O12" s="604"/>
      <c r="Q12" s="569"/>
    </row>
    <row r="13" spans="1:17" s="572" customFormat="1" ht="29" x14ac:dyDescent="0.35">
      <c r="A13" s="611">
        <v>9</v>
      </c>
      <c r="B13" s="621" t="s">
        <v>2199</v>
      </c>
      <c r="C13" s="611">
        <f>C11</f>
        <v>40</v>
      </c>
      <c r="D13" s="611"/>
      <c r="E13" s="611">
        <f t="shared" si="0"/>
        <v>40</v>
      </c>
      <c r="F13" s="622">
        <v>12.364000000000001</v>
      </c>
      <c r="G13" s="616"/>
      <c r="H13" s="616"/>
      <c r="I13" s="616"/>
      <c r="J13" s="611">
        <f t="shared" si="1"/>
        <v>0</v>
      </c>
      <c r="K13" s="616">
        <f t="shared" ref="K13:K14" si="4">+E13-H13</f>
        <v>40</v>
      </c>
      <c r="L13" s="623"/>
      <c r="M13" s="612" t="s">
        <v>2196</v>
      </c>
      <c r="N13" s="618"/>
      <c r="O13" s="604">
        <f t="shared" si="3"/>
        <v>0</v>
      </c>
      <c r="Q13" s="569" t="s">
        <v>2200</v>
      </c>
    </row>
    <row r="14" spans="1:17" s="572" customFormat="1" ht="29" x14ac:dyDescent="0.35">
      <c r="A14" s="611">
        <v>10</v>
      </c>
      <c r="B14" s="621" t="s">
        <v>2201</v>
      </c>
      <c r="C14" s="611">
        <f>C13</f>
        <v>40</v>
      </c>
      <c r="D14" s="611"/>
      <c r="E14" s="611">
        <f t="shared" si="0"/>
        <v>40</v>
      </c>
      <c r="F14" s="611"/>
      <c r="G14" s="619"/>
      <c r="H14" s="619"/>
      <c r="I14" s="619"/>
      <c r="J14" s="616">
        <f t="shared" si="1"/>
        <v>0</v>
      </c>
      <c r="K14" s="616">
        <f t="shared" si="4"/>
        <v>40</v>
      </c>
      <c r="L14" s="611"/>
      <c r="M14" s="612" t="s">
        <v>2202</v>
      </c>
      <c r="N14" s="614"/>
      <c r="O14" s="604">
        <f t="shared" si="3"/>
        <v>0</v>
      </c>
      <c r="Q14" s="569" t="s">
        <v>2203</v>
      </c>
    </row>
    <row r="15" spans="1:17" x14ac:dyDescent="0.35">
      <c r="A15" s="856"/>
      <c r="B15" s="856"/>
      <c r="C15" s="856"/>
      <c r="D15" s="856"/>
      <c r="E15" s="856"/>
      <c r="F15" s="856"/>
      <c r="G15" s="856"/>
      <c r="H15" s="856"/>
      <c r="I15" s="856"/>
      <c r="J15" s="856"/>
      <c r="K15" s="856"/>
      <c r="L15" s="856"/>
      <c r="M15" s="856"/>
      <c r="N15" s="856"/>
      <c r="Q15" s="569" t="s">
        <v>2204</v>
      </c>
    </row>
    <row r="16" spans="1:17" hidden="1" x14ac:dyDescent="0.35">
      <c r="A16" s="857" t="s">
        <v>2205</v>
      </c>
      <c r="B16" s="857"/>
      <c r="C16" s="857"/>
      <c r="D16" s="857"/>
      <c r="E16" s="857"/>
      <c r="F16" s="857"/>
      <c r="G16" s="857"/>
      <c r="H16" s="574"/>
      <c r="I16" s="575"/>
      <c r="J16" s="565"/>
      <c r="K16" s="565"/>
      <c r="L16" s="565"/>
      <c r="M16" s="565"/>
      <c r="N16" s="565"/>
      <c r="Q16" s="569" t="s">
        <v>2206</v>
      </c>
    </row>
    <row r="17" spans="1:17" hidden="1" x14ac:dyDescent="0.35">
      <c r="A17" s="858"/>
      <c r="B17" s="859"/>
      <c r="C17" s="859"/>
      <c r="D17" s="859"/>
      <c r="E17" s="859"/>
      <c r="F17" s="859"/>
      <c r="G17" s="860"/>
      <c r="H17" s="565"/>
      <c r="I17" s="565"/>
      <c r="J17" s="565"/>
      <c r="K17" s="576"/>
      <c r="L17" s="565"/>
      <c r="M17" s="575"/>
      <c r="N17" s="565"/>
      <c r="Q17" s="569" t="s">
        <v>2207</v>
      </c>
    </row>
    <row r="18" spans="1:17" hidden="1" x14ac:dyDescent="0.35">
      <c r="A18" s="861" t="s">
        <v>2208</v>
      </c>
      <c r="B18" s="861"/>
      <c r="C18" s="861"/>
      <c r="D18" s="861"/>
      <c r="E18" s="861"/>
      <c r="F18" s="861"/>
      <c r="G18" s="861"/>
      <c r="H18" s="565"/>
      <c r="I18" s="577"/>
      <c r="J18" s="565"/>
      <c r="K18" s="565"/>
      <c r="L18" s="565"/>
      <c r="M18" s="565"/>
      <c r="N18" s="565"/>
      <c r="Q18" s="578" t="s">
        <v>2209</v>
      </c>
    </row>
    <row r="19" spans="1:17" ht="46.5" hidden="1" customHeight="1" x14ac:dyDescent="0.35">
      <c r="A19" s="579" t="s">
        <v>2210</v>
      </c>
      <c r="B19" s="579" t="s">
        <v>2211</v>
      </c>
      <c r="C19" s="580" t="s">
        <v>2212</v>
      </c>
      <c r="D19" s="581" t="s">
        <v>2213</v>
      </c>
      <c r="E19" s="582" t="s">
        <v>396</v>
      </c>
      <c r="F19" s="583" t="s">
        <v>371</v>
      </c>
      <c r="G19" s="582"/>
      <c r="H19" s="565"/>
      <c r="I19" s="565"/>
      <c r="J19" s="565"/>
      <c r="K19" s="565"/>
      <c r="L19" s="565"/>
      <c r="M19" s="565"/>
      <c r="N19" s="565"/>
      <c r="Q19" s="569"/>
    </row>
    <row r="20" spans="1:17" hidden="1" x14ac:dyDescent="0.35">
      <c r="A20" s="584">
        <f>E6</f>
        <v>38</v>
      </c>
      <c r="B20" s="584">
        <f>H6</f>
        <v>5</v>
      </c>
      <c r="C20" s="585">
        <f>I6</f>
        <v>3</v>
      </c>
      <c r="D20" s="585"/>
      <c r="E20" s="586">
        <f>A20-B20-C20-D20</f>
        <v>30</v>
      </c>
      <c r="F20" s="587"/>
      <c r="G20" s="588"/>
      <c r="H20" s="565"/>
      <c r="I20" s="565"/>
      <c r="J20" s="565"/>
      <c r="K20" s="565"/>
      <c r="L20" s="565"/>
      <c r="M20" s="565"/>
      <c r="N20" s="565"/>
      <c r="Q20" s="569"/>
    </row>
    <row r="21" spans="1:17" hidden="1" x14ac:dyDescent="0.35">
      <c r="A21" s="584"/>
      <c r="B21" s="584"/>
      <c r="C21" s="585"/>
      <c r="D21" s="589"/>
      <c r="E21" s="586"/>
      <c r="F21" s="587"/>
      <c r="G21" s="588"/>
      <c r="H21" s="565"/>
      <c r="I21" s="565"/>
      <c r="J21" s="565"/>
      <c r="K21" s="565"/>
      <c r="L21" s="565"/>
      <c r="M21" s="565"/>
      <c r="N21" s="565"/>
      <c r="Q21" s="569"/>
    </row>
    <row r="22" spans="1:17" hidden="1" x14ac:dyDescent="0.35">
      <c r="A22" s="861" t="s">
        <v>2214</v>
      </c>
      <c r="B22" s="861"/>
      <c r="C22" s="861"/>
      <c r="D22" s="861"/>
      <c r="E22" s="861"/>
      <c r="F22" s="861"/>
      <c r="G22" s="861"/>
      <c r="H22" s="565"/>
      <c r="I22" s="565"/>
      <c r="J22" s="565"/>
      <c r="K22" s="565"/>
      <c r="L22" s="565"/>
      <c r="M22" s="565"/>
      <c r="N22" s="565"/>
    </row>
    <row r="23" spans="1:17" ht="45.75" hidden="1" customHeight="1" x14ac:dyDescent="0.35">
      <c r="A23" s="579" t="s">
        <v>2210</v>
      </c>
      <c r="B23" s="579" t="s">
        <v>2211</v>
      </c>
      <c r="C23" s="580" t="s">
        <v>2212</v>
      </c>
      <c r="D23" s="581" t="s">
        <v>2213</v>
      </c>
      <c r="E23" s="582" t="s">
        <v>396</v>
      </c>
      <c r="F23" s="583" t="s">
        <v>2215</v>
      </c>
      <c r="G23" s="583" t="s">
        <v>371</v>
      </c>
      <c r="H23" s="565"/>
      <c r="I23" s="565"/>
      <c r="J23" s="565"/>
      <c r="K23" s="565"/>
      <c r="L23" s="565"/>
      <c r="M23" s="565"/>
      <c r="N23" s="565"/>
    </row>
    <row r="24" spans="1:17" hidden="1" x14ac:dyDescent="0.35">
      <c r="A24" s="584">
        <f>E8</f>
        <v>82</v>
      </c>
      <c r="B24" s="584">
        <f>H8</f>
        <v>10</v>
      </c>
      <c r="C24" s="586">
        <f>I8</f>
        <v>5</v>
      </c>
      <c r="D24" s="586"/>
      <c r="E24" s="586">
        <f>'[3]Page Chart'!X4</f>
        <v>5</v>
      </c>
      <c r="F24" s="591">
        <f>E20</f>
        <v>30</v>
      </c>
      <c r="G24" s="587"/>
      <c r="H24" s="565"/>
      <c r="I24" s="565"/>
      <c r="J24" s="565"/>
      <c r="K24" s="565"/>
      <c r="L24" s="565"/>
      <c r="M24" s="565"/>
      <c r="N24" s="565"/>
    </row>
    <row r="25" spans="1:17" hidden="1" x14ac:dyDescent="0.35">
      <c r="A25" s="584"/>
      <c r="B25" s="584"/>
      <c r="C25" s="586"/>
      <c r="D25" s="586"/>
      <c r="E25" s="586"/>
      <c r="F25" s="591"/>
      <c r="G25" s="587"/>
      <c r="H25" s="565"/>
      <c r="I25" s="565"/>
      <c r="J25" s="565"/>
      <c r="K25" s="565"/>
      <c r="L25" s="565"/>
      <c r="M25" s="565"/>
      <c r="N25" s="565"/>
    </row>
    <row r="26" spans="1:17" hidden="1" x14ac:dyDescent="0.35">
      <c r="A26" s="855" t="s">
        <v>2216</v>
      </c>
      <c r="B26" s="855"/>
      <c r="C26" s="855"/>
      <c r="D26" s="855"/>
      <c r="E26" s="855"/>
      <c r="F26" s="855"/>
      <c r="G26" s="855"/>
      <c r="H26" s="565"/>
      <c r="I26" s="565"/>
      <c r="J26" s="565"/>
      <c r="K26" s="565"/>
      <c r="L26" s="565"/>
      <c r="M26" s="565"/>
      <c r="N26" s="565"/>
    </row>
    <row r="27" spans="1:17" ht="72.5" hidden="1" x14ac:dyDescent="0.35">
      <c r="A27" s="592" t="s">
        <v>2217</v>
      </c>
      <c r="B27" s="592" t="s">
        <v>2211</v>
      </c>
      <c r="C27" s="593" t="s">
        <v>2212</v>
      </c>
      <c r="D27" s="581" t="s">
        <v>2213</v>
      </c>
      <c r="E27" s="582" t="s">
        <v>396</v>
      </c>
      <c r="F27" s="594" t="s">
        <v>2218</v>
      </c>
      <c r="G27" s="583" t="s">
        <v>2219</v>
      </c>
      <c r="H27" s="565"/>
      <c r="I27" s="565"/>
      <c r="J27" s="565"/>
      <c r="K27" s="565"/>
      <c r="L27" s="565"/>
      <c r="M27" s="565"/>
      <c r="N27" s="565"/>
    </row>
    <row r="28" spans="1:17" hidden="1" x14ac:dyDescent="0.35">
      <c r="A28" s="595">
        <f>E11</f>
        <v>40</v>
      </c>
      <c r="B28" s="595">
        <f>H11</f>
        <v>3.4609999999999999</v>
      </c>
      <c r="C28" s="596">
        <f>I11</f>
        <v>0</v>
      </c>
      <c r="D28" s="597"/>
      <c r="E28" s="598"/>
      <c r="F28" s="599"/>
      <c r="G28" s="600"/>
      <c r="H28" s="565"/>
      <c r="I28" s="565"/>
      <c r="J28" s="565"/>
      <c r="K28" s="565"/>
      <c r="L28" s="565"/>
      <c r="M28" s="565"/>
      <c r="N28" s="565"/>
    </row>
    <row r="29" spans="1:17" hidden="1" x14ac:dyDescent="0.35">
      <c r="A29" s="572"/>
      <c r="B29" s="601"/>
      <c r="C29" s="572"/>
      <c r="F29" s="565"/>
      <c r="G29" s="565"/>
      <c r="H29" s="565"/>
      <c r="I29" s="565"/>
      <c r="J29" s="565"/>
      <c r="K29" s="565"/>
      <c r="L29" s="565"/>
      <c r="M29" s="565"/>
      <c r="N29" s="565"/>
    </row>
    <row r="30" spans="1:17" hidden="1" x14ac:dyDescent="0.35">
      <c r="A30" s="572"/>
      <c r="B30" s="601"/>
      <c r="C30" s="572"/>
      <c r="F30" s="565"/>
      <c r="G30" s="565"/>
      <c r="H30" s="565"/>
      <c r="I30" s="565"/>
      <c r="J30" s="565"/>
      <c r="K30" s="565"/>
      <c r="L30" s="565"/>
      <c r="M30" s="565"/>
      <c r="N30" s="565"/>
    </row>
    <row r="31" spans="1:17" x14ac:dyDescent="0.35">
      <c r="A31" s="572"/>
      <c r="B31" s="601"/>
      <c r="C31" s="572"/>
      <c r="F31" s="565"/>
      <c r="G31" s="565"/>
      <c r="H31" s="565"/>
      <c r="I31" s="565"/>
      <c r="J31" s="565"/>
      <c r="K31" s="565"/>
      <c r="L31" s="565"/>
      <c r="M31" s="565"/>
      <c r="N31" s="565"/>
    </row>
    <row r="32" spans="1:17" ht="19.5" hidden="1" customHeight="1" x14ac:dyDescent="0.35">
      <c r="A32" s="638" t="s">
        <v>2225</v>
      </c>
      <c r="B32" s="629" t="s">
        <v>2226</v>
      </c>
      <c r="C32" s="630" t="s">
        <v>2227</v>
      </c>
      <c r="D32" s="630" t="s">
        <v>2230</v>
      </c>
      <c r="E32" s="631" t="s">
        <v>2228</v>
      </c>
      <c r="F32" s="645" t="s">
        <v>2238</v>
      </c>
      <c r="G32" s="639" t="s">
        <v>2240</v>
      </c>
      <c r="H32" s="640" t="s">
        <v>2241</v>
      </c>
      <c r="I32" s="641" t="s">
        <v>2242</v>
      </c>
      <c r="J32" s="641" t="s">
        <v>2243</v>
      </c>
      <c r="K32" s="642" t="s">
        <v>371</v>
      </c>
      <c r="L32" s="565"/>
      <c r="M32" s="565"/>
      <c r="N32" s="565"/>
    </row>
    <row r="33" spans="1:14" ht="24" hidden="1" x14ac:dyDescent="0.3">
      <c r="A33" s="632" t="s">
        <v>11</v>
      </c>
      <c r="B33" s="624" t="s">
        <v>2229</v>
      </c>
      <c r="C33" s="627" t="s">
        <v>2231</v>
      </c>
      <c r="D33" s="627" t="s">
        <v>2231</v>
      </c>
      <c r="E33" s="633" t="s">
        <v>2232</v>
      </c>
      <c r="F33" s="643" t="s">
        <v>2158</v>
      </c>
      <c r="G33" s="649">
        <v>15</v>
      </c>
      <c r="H33" s="646">
        <v>7863971676</v>
      </c>
      <c r="I33" s="647">
        <v>46149</v>
      </c>
      <c r="J33" s="647">
        <v>46333</v>
      </c>
      <c r="K33" s="642"/>
      <c r="L33" s="565"/>
      <c r="M33" s="565"/>
      <c r="N33" s="565"/>
    </row>
    <row r="34" spans="1:14" hidden="1" x14ac:dyDescent="0.3">
      <c r="A34" s="632" t="s">
        <v>264</v>
      </c>
      <c r="B34" s="627" t="s">
        <v>2233</v>
      </c>
      <c r="C34" s="628" t="s">
        <v>2233</v>
      </c>
      <c r="D34" s="628" t="s">
        <v>2233</v>
      </c>
      <c r="E34" s="633" t="s">
        <v>2233</v>
      </c>
      <c r="F34" s="644" t="s">
        <v>425</v>
      </c>
      <c r="G34" s="642"/>
      <c r="H34" s="642"/>
      <c r="I34" s="642"/>
      <c r="J34" s="642"/>
      <c r="K34" s="642"/>
      <c r="L34" s="565"/>
      <c r="M34" s="565"/>
      <c r="N34" s="565"/>
    </row>
    <row r="35" spans="1:14" ht="15" hidden="1" thickBot="1" x14ac:dyDescent="0.4">
      <c r="A35" s="634" t="s">
        <v>2234</v>
      </c>
      <c r="B35" s="635" t="s">
        <v>2233</v>
      </c>
      <c r="C35" s="636" t="s">
        <v>2233</v>
      </c>
      <c r="D35" s="636" t="s">
        <v>2233</v>
      </c>
      <c r="E35" s="637" t="s">
        <v>2233</v>
      </c>
      <c r="F35" s="643" t="s">
        <v>2239</v>
      </c>
      <c r="G35" s="625"/>
      <c r="H35" s="625"/>
      <c r="I35" s="625"/>
      <c r="J35" s="626"/>
      <c r="K35" s="625"/>
    </row>
    <row r="36" spans="1:14" hidden="1" x14ac:dyDescent="0.35">
      <c r="I36" s="648"/>
    </row>
    <row r="37" spans="1:14" ht="22" hidden="1" customHeight="1" x14ac:dyDescent="0.35">
      <c r="A37" s="655" t="s">
        <v>2235</v>
      </c>
      <c r="B37" s="650" t="s">
        <v>2248</v>
      </c>
      <c r="C37" s="650" t="s">
        <v>592</v>
      </c>
      <c r="D37" s="650" t="s">
        <v>2245</v>
      </c>
      <c r="E37" s="628" t="s">
        <v>2240</v>
      </c>
      <c r="F37" s="652" t="s">
        <v>2241</v>
      </c>
      <c r="G37" s="653" t="s">
        <v>2242</v>
      </c>
      <c r="H37" s="653" t="s">
        <v>2243</v>
      </c>
      <c r="I37" s="624" t="s">
        <v>2246</v>
      </c>
      <c r="J37" s="624" t="s">
        <v>2247</v>
      </c>
      <c r="K37" s="625" t="s">
        <v>371</v>
      </c>
    </row>
    <row r="38" spans="1:14" ht="18.5" hidden="1" customHeight="1" x14ac:dyDescent="0.35">
      <c r="A38" s="654" t="s">
        <v>125</v>
      </c>
      <c r="B38" s="658">
        <v>36.159756000000002</v>
      </c>
      <c r="C38" s="656" t="s">
        <v>2236</v>
      </c>
      <c r="D38" s="657" t="s">
        <v>2128</v>
      </c>
      <c r="E38" s="651">
        <v>25</v>
      </c>
      <c r="F38" s="625"/>
      <c r="G38" s="654"/>
      <c r="H38" s="625"/>
      <c r="I38" s="625"/>
      <c r="J38" s="625"/>
      <c r="K38" s="625" t="s">
        <v>2237</v>
      </c>
    </row>
    <row r="39" spans="1:14" hidden="1" x14ac:dyDescent="0.35">
      <c r="A39" s="654" t="s">
        <v>163</v>
      </c>
      <c r="B39" s="658">
        <v>125.84959600000001</v>
      </c>
      <c r="C39" s="654" t="s">
        <v>2244</v>
      </c>
      <c r="D39" s="654"/>
      <c r="E39" s="651">
        <v>25</v>
      </c>
      <c r="F39" s="625"/>
      <c r="G39" s="654"/>
      <c r="H39" s="625"/>
      <c r="I39" s="625"/>
      <c r="J39" s="659">
        <f>67243.564/1000</f>
        <v>67.243563999999992</v>
      </c>
      <c r="K39" s="625"/>
    </row>
    <row r="40" spans="1:14" x14ac:dyDescent="0.35">
      <c r="D40" s="602"/>
      <c r="F40" s="572"/>
      <c r="G40" s="602"/>
      <c r="J40" s="572"/>
    </row>
  </sheetData>
  <dataConsolidate/>
  <mergeCells count="16">
    <mergeCell ref="A26:G26"/>
    <mergeCell ref="A15:N15"/>
    <mergeCell ref="A16:G16"/>
    <mergeCell ref="A17:G17"/>
    <mergeCell ref="A18:G18"/>
    <mergeCell ref="A22:G22"/>
    <mergeCell ref="A1:A3"/>
    <mergeCell ref="E1:F1"/>
    <mergeCell ref="H1:I1"/>
    <mergeCell ref="M1:N1"/>
    <mergeCell ref="C2:F2"/>
    <mergeCell ref="H2:K2"/>
    <mergeCell ref="M2:N2"/>
    <mergeCell ref="C3:F3"/>
    <mergeCell ref="H3:I3"/>
    <mergeCell ref="M3:N3"/>
  </mergeCells>
  <hyperlinks>
    <hyperlink ref="Q3" location="'X-ing Status'!A1" display="'X-ing Status'!A1" xr:uid="{28721598-6EDD-433A-BD6F-85A95679AC7E}"/>
    <hyperlink ref="Q4" location="'L2 Schedule'!A1" display="'L2 Schedule'!A1" xr:uid="{5074EC8F-0263-4536-97CD-FEAC1D34404D}"/>
    <hyperlink ref="Q5" location="'Hindrance Register (Row)'!A1" display="'Hindrance Register (Row)'!A1" xr:uid="{EF7E48EC-B3F2-4BF0-A261-B1F05A4BDCED}"/>
    <hyperlink ref="Q6" location="Survey!A1" display="Survey!A1" xr:uid="{48B52259-A2B1-4813-999D-0EF02DE36E62}"/>
    <hyperlink ref="Q7" location="Foundation!A1" display="Foundation!A1" xr:uid="{5811901A-7939-4D29-87FE-0F8F704BB663}"/>
    <hyperlink ref="Q8" location="Earthing!A1" display="Earthing!A1" xr:uid="{18B56C76-FC1C-474E-933C-545D6C5DAB60}"/>
    <hyperlink ref="Q11" location="Tackwelding!A1" display="Tackwelding!A1" xr:uid="{17CC04A3-B65C-4BE2-B417-9A2360AB79AF}"/>
    <hyperlink ref="Q13" location="Stringing!A1" display="Stringing!A1" xr:uid="{53840C5F-0359-42F6-9222-3B3DF7FE1DA6}"/>
    <hyperlink ref="Q14" location="'Stringing associated works'!A1" display="'Stringing associated works'!A1" xr:uid="{4D9292F2-0FA9-49DC-ABAB-60096699CCB7}"/>
    <hyperlink ref="Q15" location="OPGW!A1" display="OPGW!A1" xr:uid="{12B5ED45-B47E-4B78-9EE2-B48FAA58967B}"/>
    <hyperlink ref="Q16" location="'Visual chart'!A1" display="'Visual chart'!A1" xr:uid="{8EB9DF72-4A94-4706-A3A6-E0B78E45977A}"/>
    <hyperlink ref="Q17" location="'Page Chart'!A1" display="'Page Chart'!A1" xr:uid="{B12AD0FB-F462-4E39-8A71-6ECE51916C55}"/>
    <hyperlink ref="Q18" location="'Benching F'!A1" display="'Benching F'!A1" xr:uid="{2BD77CA6-EDFE-4B96-B0A9-41021F014926}"/>
  </hyperlinks>
  <printOptions horizontalCentered="1"/>
  <pageMargins left="0.196850393700787" right="0.196850393700787" top="0.27559055118110198" bottom="0.35433070866141703" header="0.31496062992126" footer="0.27559055118110198"/>
  <pageSetup paperSize="9" scale="6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0425-8C64-46C6-A67C-B5A6002AAE6A}">
  <dimension ref="A4:G9"/>
  <sheetViews>
    <sheetView zoomScale="85" zoomScaleNormal="85" workbookViewId="0">
      <selection activeCell="E7" sqref="E7"/>
    </sheetView>
  </sheetViews>
  <sheetFormatPr defaultRowHeight="14.5" x14ac:dyDescent="0.35"/>
  <cols>
    <col min="1" max="2" width="15.81640625" bestFit="1" customWidth="1"/>
    <col min="3" max="3" width="12.1796875" bestFit="1" customWidth="1"/>
    <col min="4" max="4" width="26.36328125" bestFit="1" customWidth="1"/>
    <col min="5" max="5" width="5.36328125" bestFit="1" customWidth="1"/>
    <col min="6" max="6" width="13.453125" bestFit="1" customWidth="1"/>
    <col min="7" max="9" width="10.81640625" bestFit="1" customWidth="1"/>
  </cols>
  <sheetData>
    <row r="4" spans="1:7" x14ac:dyDescent="0.35">
      <c r="A4" s="443" t="s">
        <v>2137</v>
      </c>
      <c r="B4" s="443" t="s">
        <v>2136</v>
      </c>
    </row>
    <row r="5" spans="1:7" x14ac:dyDescent="0.35">
      <c r="A5" s="443" t="s">
        <v>2134</v>
      </c>
      <c r="B5" t="s">
        <v>421</v>
      </c>
      <c r="C5" t="s">
        <v>492</v>
      </c>
      <c r="D5" t="s">
        <v>896</v>
      </c>
      <c r="E5" t="s">
        <v>396</v>
      </c>
      <c r="F5" t="s">
        <v>2280</v>
      </c>
      <c r="G5" t="s">
        <v>2135</v>
      </c>
    </row>
    <row r="6" spans="1:7" x14ac:dyDescent="0.35">
      <c r="A6" s="444" t="s">
        <v>2133</v>
      </c>
      <c r="B6">
        <v>26</v>
      </c>
      <c r="C6">
        <v>34</v>
      </c>
      <c r="D6">
        <v>1</v>
      </c>
      <c r="F6">
        <v>1</v>
      </c>
      <c r="G6">
        <v>62</v>
      </c>
    </row>
    <row r="7" spans="1:7" x14ac:dyDescent="0.35">
      <c r="A7" s="444" t="s">
        <v>2132</v>
      </c>
      <c r="B7">
        <v>22</v>
      </c>
      <c r="C7">
        <v>25</v>
      </c>
      <c r="E7">
        <v>1</v>
      </c>
      <c r="G7">
        <v>48</v>
      </c>
    </row>
    <row r="8" spans="1:7" x14ac:dyDescent="0.35">
      <c r="A8" s="444" t="s">
        <v>2131</v>
      </c>
      <c r="B8">
        <v>117</v>
      </c>
      <c r="C8">
        <v>46</v>
      </c>
      <c r="F8">
        <v>1</v>
      </c>
      <c r="G8">
        <v>164</v>
      </c>
    </row>
    <row r="9" spans="1:7" x14ac:dyDescent="0.35">
      <c r="A9" s="444" t="s">
        <v>2135</v>
      </c>
      <c r="B9">
        <v>165</v>
      </c>
      <c r="C9">
        <v>105</v>
      </c>
      <c r="D9">
        <v>1</v>
      </c>
      <c r="E9">
        <v>1</v>
      </c>
      <c r="F9">
        <v>2</v>
      </c>
      <c r="G9">
        <v>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F1B4-FECE-403D-84DB-82F6C2BE1DA2}">
  <dimension ref="A3:F8"/>
  <sheetViews>
    <sheetView zoomScale="85" zoomScaleNormal="85" workbookViewId="0">
      <selection activeCell="E6" sqref="E6"/>
    </sheetView>
  </sheetViews>
  <sheetFormatPr defaultRowHeight="14.5" x14ac:dyDescent="0.35"/>
  <cols>
    <col min="1" max="2" width="15.81640625" bestFit="1" customWidth="1"/>
    <col min="3" max="3" width="12.1796875" bestFit="1" customWidth="1"/>
    <col min="4" max="4" width="13.6328125" bestFit="1" customWidth="1"/>
    <col min="5" max="5" width="15.7265625" bestFit="1" customWidth="1"/>
    <col min="6" max="7" width="10.81640625" bestFit="1" customWidth="1"/>
    <col min="8" max="8" width="15.36328125" bestFit="1" customWidth="1"/>
    <col min="9" max="9" width="10.81640625" bestFit="1" customWidth="1"/>
    <col min="10" max="10" width="10.90625" bestFit="1" customWidth="1"/>
    <col min="11" max="11" width="13.36328125" bestFit="1" customWidth="1"/>
    <col min="12" max="12" width="10.81640625" bestFit="1" customWidth="1"/>
  </cols>
  <sheetData>
    <row r="3" spans="1:6" x14ac:dyDescent="0.35">
      <c r="A3" s="443" t="s">
        <v>2137</v>
      </c>
      <c r="B3" s="443" t="s">
        <v>2136</v>
      </c>
    </row>
    <row r="4" spans="1:6" x14ac:dyDescent="0.35">
      <c r="A4" s="443" t="s">
        <v>2134</v>
      </c>
      <c r="B4" t="s">
        <v>424</v>
      </c>
      <c r="C4" t="s">
        <v>492</v>
      </c>
      <c r="D4" t="s">
        <v>2270</v>
      </c>
      <c r="E4" t="s">
        <v>2271</v>
      </c>
      <c r="F4" t="s">
        <v>2135</v>
      </c>
    </row>
    <row r="5" spans="1:6" x14ac:dyDescent="0.35">
      <c r="A5" s="444" t="s">
        <v>2133</v>
      </c>
      <c r="B5">
        <v>39</v>
      </c>
      <c r="E5">
        <v>1</v>
      </c>
      <c r="F5">
        <v>40</v>
      </c>
    </row>
    <row r="6" spans="1:6" x14ac:dyDescent="0.35">
      <c r="A6" s="444" t="s">
        <v>2132</v>
      </c>
      <c r="B6">
        <v>23</v>
      </c>
      <c r="D6">
        <v>1</v>
      </c>
      <c r="F6">
        <v>24</v>
      </c>
    </row>
    <row r="7" spans="1:6" x14ac:dyDescent="0.35">
      <c r="A7" s="444" t="s">
        <v>2131</v>
      </c>
      <c r="B7">
        <v>144</v>
      </c>
      <c r="C7">
        <v>1</v>
      </c>
      <c r="D7">
        <v>1</v>
      </c>
      <c r="F7">
        <v>146</v>
      </c>
    </row>
    <row r="8" spans="1:6" x14ac:dyDescent="0.35">
      <c r="A8" s="444" t="s">
        <v>2135</v>
      </c>
      <c r="B8">
        <v>206</v>
      </c>
      <c r="C8">
        <v>1</v>
      </c>
      <c r="D8">
        <v>2</v>
      </c>
      <c r="E8">
        <v>1</v>
      </c>
      <c r="F8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topLeftCell="B1" zoomScale="85" zoomScaleNormal="85" workbookViewId="0">
      <selection activeCell="H14" sqref="H14"/>
    </sheetView>
  </sheetViews>
  <sheetFormatPr defaultRowHeight="22.5" customHeight="1" x14ac:dyDescent="0.35"/>
  <cols>
    <col min="3" max="3" width="11.81640625" customWidth="1"/>
    <col min="4" max="4" width="10.1796875" bestFit="1" customWidth="1"/>
    <col min="7" max="7" width="13" customWidth="1"/>
    <col min="10" max="10" width="10.81640625" customWidth="1"/>
    <col min="11" max="11" width="10" customWidth="1"/>
    <col min="12" max="12" width="12.1796875" customWidth="1"/>
    <col min="13" max="13" width="11.81640625" customWidth="1"/>
    <col min="15" max="15" width="20" customWidth="1"/>
    <col min="17" max="17" width="20.81640625" hidden="1" customWidth="1"/>
    <col min="18" max="19" width="16.54296875" customWidth="1"/>
  </cols>
  <sheetData>
    <row r="1" spans="1:19" ht="22.5" customHeight="1" thickBot="1" x14ac:dyDescent="0.4">
      <c r="A1" s="890" t="s">
        <v>638</v>
      </c>
      <c r="B1" s="891"/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1"/>
      <c r="N1" s="891"/>
      <c r="O1" s="891"/>
      <c r="P1" s="891"/>
      <c r="Q1" s="891"/>
      <c r="R1" s="892"/>
    </row>
    <row r="2" spans="1:19" ht="22.5" customHeight="1" thickBot="1" x14ac:dyDescent="0.4">
      <c r="A2" s="893" t="s">
        <v>531</v>
      </c>
      <c r="B2" s="894"/>
      <c r="C2" s="894"/>
      <c r="D2" s="894"/>
      <c r="E2" s="894"/>
      <c r="F2" s="894"/>
      <c r="G2" s="894"/>
      <c r="H2" s="894"/>
      <c r="I2" s="894"/>
      <c r="J2" s="894"/>
      <c r="K2" s="894"/>
      <c r="L2" s="894"/>
      <c r="M2" s="894"/>
      <c r="N2" s="894"/>
      <c r="O2" s="894"/>
      <c r="P2" s="894"/>
      <c r="Q2" s="894"/>
      <c r="R2" s="895"/>
    </row>
    <row r="3" spans="1:19" ht="22.5" customHeight="1" thickBot="1" x14ac:dyDescent="0.4">
      <c r="A3" s="896" t="s">
        <v>532</v>
      </c>
      <c r="B3" s="897"/>
      <c r="C3" s="897"/>
      <c r="D3" s="897"/>
      <c r="E3" s="897"/>
      <c r="F3" s="897"/>
      <c r="G3" s="897"/>
      <c r="H3" s="897"/>
      <c r="I3" s="897"/>
      <c r="J3" s="897"/>
      <c r="K3" s="897"/>
      <c r="L3" s="897"/>
      <c r="M3" s="897"/>
      <c r="N3" s="897"/>
      <c r="O3" s="897"/>
      <c r="P3" s="897"/>
      <c r="Q3" s="897"/>
      <c r="R3" s="898"/>
    </row>
    <row r="4" spans="1:19" ht="22.5" customHeight="1" thickBot="1" x14ac:dyDescent="0.4">
      <c r="A4" s="711"/>
      <c r="B4" s="711"/>
      <c r="C4" s="711"/>
      <c r="D4" s="711"/>
      <c r="E4" s="711"/>
      <c r="F4" s="711"/>
      <c r="G4" s="711"/>
      <c r="H4" s="711"/>
      <c r="I4" s="711"/>
      <c r="J4" s="711"/>
      <c r="K4" s="711"/>
      <c r="L4" s="711"/>
      <c r="M4" s="711"/>
      <c r="N4" s="48" t="s">
        <v>533</v>
      </c>
      <c r="O4" s="899">
        <f ca="1">TODAY()-1</f>
        <v>46195</v>
      </c>
      <c r="P4" s="900"/>
      <c r="Q4" s="900">
        <f ca="1">TODAY()-1</f>
        <v>46195</v>
      </c>
      <c r="R4" s="901"/>
    </row>
    <row r="5" spans="1:19" ht="22.5" customHeight="1" x14ac:dyDescent="0.35">
      <c r="A5" s="880" t="s">
        <v>366</v>
      </c>
      <c r="B5" s="881"/>
      <c r="C5" s="882"/>
      <c r="D5" s="886" t="s">
        <v>534</v>
      </c>
      <c r="E5" s="888" t="s">
        <v>535</v>
      </c>
      <c r="F5" s="886" t="s">
        <v>536</v>
      </c>
      <c r="G5" s="872" t="s">
        <v>537</v>
      </c>
      <c r="H5" s="870" t="s">
        <v>538</v>
      </c>
      <c r="I5" s="872" t="s">
        <v>539</v>
      </c>
      <c r="J5" s="876" t="s">
        <v>540</v>
      </c>
      <c r="K5" s="878" t="s">
        <v>541</v>
      </c>
      <c r="L5" s="876" t="s">
        <v>542</v>
      </c>
      <c r="M5" s="878" t="s">
        <v>543</v>
      </c>
      <c r="N5" s="870" t="s">
        <v>544</v>
      </c>
      <c r="O5" s="870" t="s">
        <v>545</v>
      </c>
      <c r="P5" s="870" t="s">
        <v>546</v>
      </c>
      <c r="Q5" s="872" t="s">
        <v>547</v>
      </c>
      <c r="R5" s="870" t="s">
        <v>371</v>
      </c>
    </row>
    <row r="6" spans="1:19" ht="25.5" customHeight="1" thickBot="1" x14ac:dyDescent="0.4">
      <c r="A6" s="883"/>
      <c r="B6" s="884"/>
      <c r="C6" s="885"/>
      <c r="D6" s="887"/>
      <c r="E6" s="889"/>
      <c r="F6" s="887"/>
      <c r="G6" s="873"/>
      <c r="H6" s="871"/>
      <c r="I6" s="873"/>
      <c r="J6" s="877"/>
      <c r="K6" s="879"/>
      <c r="L6" s="877"/>
      <c r="M6" s="879"/>
      <c r="N6" s="871"/>
      <c r="O6" s="871"/>
      <c r="P6" s="871"/>
      <c r="Q6" s="873"/>
      <c r="R6" s="871"/>
    </row>
    <row r="7" spans="1:19" ht="88.5" customHeight="1" thickBot="1" x14ac:dyDescent="0.4">
      <c r="A7" s="874" t="s">
        <v>548</v>
      </c>
      <c r="B7" s="874"/>
      <c r="C7" s="875"/>
      <c r="D7" s="57">
        <v>309</v>
      </c>
      <c r="E7" s="222">
        <v>309</v>
      </c>
      <c r="F7" s="49">
        <v>306</v>
      </c>
      <c r="G7" s="51">
        <v>268</v>
      </c>
      <c r="H7" s="49">
        <v>0</v>
      </c>
      <c r="I7" s="50">
        <v>13</v>
      </c>
      <c r="J7" s="52"/>
      <c r="K7" s="53">
        <f>M7-G7</f>
        <v>5</v>
      </c>
      <c r="L7" s="54">
        <f>F7+H7</f>
        <v>306</v>
      </c>
      <c r="M7" s="61">
        <f>'Visual Chart'!AV3</f>
        <v>273</v>
      </c>
      <c r="N7" s="55">
        <f>E7-M7</f>
        <v>36</v>
      </c>
      <c r="O7" s="122" t="s">
        <v>2293</v>
      </c>
      <c r="P7" s="206">
        <v>2</v>
      </c>
      <c r="Q7" s="56"/>
      <c r="R7" s="122"/>
      <c r="S7" s="6"/>
    </row>
    <row r="8" spans="1:19" ht="35.25" customHeight="1" thickBot="1" x14ac:dyDescent="0.4">
      <c r="A8" s="862" t="s">
        <v>549</v>
      </c>
      <c r="B8" s="863"/>
      <c r="C8" s="864"/>
      <c r="D8" s="57">
        <v>309</v>
      </c>
      <c r="E8" s="222">
        <v>309</v>
      </c>
      <c r="F8" s="57">
        <v>262</v>
      </c>
      <c r="G8" s="59">
        <v>247</v>
      </c>
      <c r="H8" s="57">
        <v>20</v>
      </c>
      <c r="I8" s="58">
        <v>20</v>
      </c>
      <c r="J8" s="60"/>
      <c r="K8" s="60">
        <f>M8-G8</f>
        <v>2</v>
      </c>
      <c r="L8" s="62">
        <f>F8+H8</f>
        <v>282</v>
      </c>
      <c r="M8" s="61">
        <f>'Visual Chart'!AW3</f>
        <v>249</v>
      </c>
      <c r="N8" s="63">
        <f>D8-M8</f>
        <v>60</v>
      </c>
      <c r="O8" s="451"/>
      <c r="P8" s="206"/>
      <c r="Q8" s="64"/>
      <c r="R8" s="65"/>
      <c r="S8" s="80"/>
    </row>
    <row r="9" spans="1:19" ht="51" customHeight="1" thickBot="1" x14ac:dyDescent="0.4">
      <c r="A9" s="862" t="s">
        <v>550</v>
      </c>
      <c r="B9" s="863"/>
      <c r="C9" s="865"/>
      <c r="D9" s="57">
        <v>309</v>
      </c>
      <c r="E9" s="450">
        <v>309</v>
      </c>
      <c r="F9" s="57">
        <v>270</v>
      </c>
      <c r="G9" s="57">
        <v>208</v>
      </c>
      <c r="H9" s="57">
        <v>16</v>
      </c>
      <c r="I9" s="450">
        <v>30</v>
      </c>
      <c r="J9" s="60"/>
      <c r="K9" s="60">
        <f>M9-G9</f>
        <v>10</v>
      </c>
      <c r="L9" s="62">
        <f>F9+H9</f>
        <v>286</v>
      </c>
      <c r="M9" s="60">
        <f>'Visual Chart'!AX3</f>
        <v>218</v>
      </c>
      <c r="N9" s="63">
        <f>E9-M9</f>
        <v>91</v>
      </c>
      <c r="O9" s="451" t="s">
        <v>2294</v>
      </c>
      <c r="P9" s="60">
        <v>3</v>
      </c>
      <c r="Q9" s="452"/>
      <c r="R9" s="449"/>
      <c r="S9" s="80"/>
    </row>
    <row r="10" spans="1:19" ht="32.25" customHeight="1" thickBot="1" x14ac:dyDescent="0.4">
      <c r="A10" s="866" t="s">
        <v>551</v>
      </c>
      <c r="B10" s="867"/>
      <c r="C10" s="66" t="s">
        <v>552</v>
      </c>
      <c r="D10" s="67">
        <v>118.39700000000001</v>
      </c>
      <c r="E10" s="68">
        <v>119.178</v>
      </c>
      <c r="F10" s="680">
        <v>30</v>
      </c>
      <c r="G10" s="68"/>
      <c r="H10" s="70">
        <v>0</v>
      </c>
      <c r="I10" s="71"/>
      <c r="J10" s="72"/>
      <c r="K10" s="73"/>
      <c r="L10" s="74">
        <f>F10+H10</f>
        <v>30</v>
      </c>
      <c r="M10" s="75">
        <f>K10+G10</f>
        <v>0</v>
      </c>
      <c r="N10" s="76">
        <f>E10-M10</f>
        <v>119.178</v>
      </c>
      <c r="O10" s="679" t="str">
        <f>R10</f>
        <v>Loc-7/0 to 8/0
Top Left &amp; Right side
Rough Sag Complete 
            And 
Middle left side 
Conductor paying out u/p</v>
      </c>
      <c r="P10" s="78">
        <v>1</v>
      </c>
      <c r="Q10" s="25"/>
      <c r="R10" s="685" t="s">
        <v>2299</v>
      </c>
      <c r="S10" s="80"/>
    </row>
    <row r="11" spans="1:19" ht="33" customHeight="1" thickBot="1" x14ac:dyDescent="0.4">
      <c r="A11" s="868"/>
      <c r="B11" s="869"/>
      <c r="C11" s="66" t="s">
        <v>553</v>
      </c>
      <c r="D11" s="67">
        <f>D10</f>
        <v>118.39700000000001</v>
      </c>
      <c r="E11" s="68">
        <f>E10</f>
        <v>119.178</v>
      </c>
      <c r="F11" s="69"/>
      <c r="G11" s="68"/>
      <c r="H11" s="70">
        <v>0</v>
      </c>
      <c r="I11" s="71"/>
      <c r="J11" s="72"/>
      <c r="K11" s="73"/>
      <c r="L11" s="74">
        <f>L10</f>
        <v>30</v>
      </c>
      <c r="M11" s="75">
        <f>K11+G11</f>
        <v>0</v>
      </c>
      <c r="N11" s="76">
        <f>E11-M11</f>
        <v>119.178</v>
      </c>
      <c r="O11" s="77"/>
      <c r="P11" s="78">
        <v>0</v>
      </c>
      <c r="Q11" s="25"/>
      <c r="R11" s="79"/>
      <c r="S11" s="80"/>
    </row>
    <row r="12" spans="1:19" ht="22.5" customHeight="1" thickBot="1" x14ac:dyDescent="0.4">
      <c r="S12" s="80"/>
    </row>
    <row r="13" spans="1:19" ht="60.75" customHeight="1" x14ac:dyDescent="0.35">
      <c r="B13" s="169" t="s">
        <v>660</v>
      </c>
      <c r="C13" s="170" t="s">
        <v>681</v>
      </c>
      <c r="D13" s="170" t="s">
        <v>663</v>
      </c>
      <c r="E13" s="170" t="s">
        <v>814</v>
      </c>
      <c r="F13" s="170" t="s">
        <v>369</v>
      </c>
      <c r="G13" s="171" t="s">
        <v>370</v>
      </c>
      <c r="H13" s="681" t="s">
        <v>371</v>
      </c>
      <c r="M13" s="80"/>
      <c r="S13" s="80"/>
    </row>
    <row r="14" spans="1:19" ht="106" x14ac:dyDescent="0.35">
      <c r="B14" s="172">
        <v>1</v>
      </c>
      <c r="C14" s="165" t="s">
        <v>372</v>
      </c>
      <c r="D14" s="268">
        <v>119.178</v>
      </c>
      <c r="E14" s="268">
        <v>118.39700000000001</v>
      </c>
      <c r="F14" s="268">
        <v>119.178</v>
      </c>
      <c r="G14" s="173">
        <f>D14-F14</f>
        <v>0</v>
      </c>
      <c r="H14" s="682" t="s">
        <v>2283</v>
      </c>
      <c r="M14" s="6"/>
      <c r="S14" s="6"/>
    </row>
    <row r="15" spans="1:19" ht="45" customHeight="1" thickBot="1" x14ac:dyDescent="0.4">
      <c r="B15" s="174">
        <v>2</v>
      </c>
      <c r="C15" s="175" t="s">
        <v>375</v>
      </c>
      <c r="D15" s="176">
        <v>119.178</v>
      </c>
      <c r="E15" s="269">
        <v>118.39700000000001</v>
      </c>
      <c r="F15" s="269">
        <f>D15-3.854-6.465</f>
        <v>108.85899999999999</v>
      </c>
      <c r="G15" s="177">
        <f>D15-F15</f>
        <v>10.319000000000003</v>
      </c>
      <c r="M15" s="80"/>
    </row>
    <row r="16" spans="1:19" ht="22.5" customHeight="1" x14ac:dyDescent="0.35">
      <c r="M16" s="6"/>
      <c r="O16" s="80"/>
    </row>
    <row r="17" spans="6:15" ht="22.5" customHeight="1" x14ac:dyDescent="0.35">
      <c r="F17" s="683"/>
      <c r="M17" s="80"/>
      <c r="O17" s="80"/>
    </row>
    <row r="18" spans="6:15" ht="22.5" customHeight="1" x14ac:dyDescent="0.35">
      <c r="M18" s="80"/>
      <c r="O18" s="81"/>
    </row>
    <row r="19" spans="6:15" ht="22.5" customHeight="1" x14ac:dyDescent="0.35">
      <c r="M19" s="80"/>
      <c r="O19" s="81"/>
    </row>
    <row r="20" spans="6:15" ht="22.5" customHeight="1" x14ac:dyDescent="0.35">
      <c r="M20" s="80"/>
      <c r="O20" s="81"/>
    </row>
    <row r="21" spans="6:15" ht="22.5" customHeight="1" x14ac:dyDescent="0.35">
      <c r="M21" s="80"/>
      <c r="O21" s="81"/>
    </row>
    <row r="22" spans="6:15" ht="22.5" customHeight="1" x14ac:dyDescent="0.35">
      <c r="M22" s="80"/>
    </row>
    <row r="23" spans="6:15" ht="22.5" customHeight="1" x14ac:dyDescent="0.35">
      <c r="M23" s="80"/>
    </row>
    <row r="24" spans="6:15" ht="22.5" customHeight="1" x14ac:dyDescent="0.35">
      <c r="M24" s="80"/>
    </row>
    <row r="25" spans="6:15" ht="22.5" customHeight="1" x14ac:dyDescent="0.35">
      <c r="M25" s="80"/>
    </row>
    <row r="26" spans="6:15" ht="22.5" customHeight="1" x14ac:dyDescent="0.35">
      <c r="M26" s="80"/>
    </row>
    <row r="27" spans="6:15" ht="22.5" customHeight="1" x14ac:dyDescent="0.35">
      <c r="M27" s="80"/>
    </row>
  </sheetData>
  <mergeCells count="25">
    <mergeCell ref="A1:R1"/>
    <mergeCell ref="A2:R2"/>
    <mergeCell ref="A3:R3"/>
    <mergeCell ref="A4:M4"/>
    <mergeCell ref="O4:R4"/>
    <mergeCell ref="P5:P6"/>
    <mergeCell ref="Q5:Q6"/>
    <mergeCell ref="R5:R6"/>
    <mergeCell ref="A7:C7"/>
    <mergeCell ref="H5:H6"/>
    <mergeCell ref="I5:I6"/>
    <mergeCell ref="J5:J6"/>
    <mergeCell ref="K5:K6"/>
    <mergeCell ref="L5:L6"/>
    <mergeCell ref="M5:M6"/>
    <mergeCell ref="A5:C6"/>
    <mergeCell ref="D5:D6"/>
    <mergeCell ref="E5:E6"/>
    <mergeCell ref="F5:F6"/>
    <mergeCell ref="G5:G6"/>
    <mergeCell ref="A8:C8"/>
    <mergeCell ref="A9:C9"/>
    <mergeCell ref="A10:B11"/>
    <mergeCell ref="N5:N6"/>
    <mergeCell ref="O5:O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D814-5CAE-43D3-811D-FE8A14FC671E}">
  <dimension ref="A1:Q279"/>
  <sheetViews>
    <sheetView zoomScale="85" zoomScaleNormal="85" workbookViewId="0">
      <pane xSplit="4" ySplit="2" topLeftCell="E268" activePane="bottomRight" state="frozen"/>
      <selection pane="topRight" activeCell="E1" sqref="E1"/>
      <selection pane="bottomLeft" activeCell="A3" sqref="A3"/>
      <selection pane="bottomRight" activeCell="I280" sqref="I280"/>
    </sheetView>
  </sheetViews>
  <sheetFormatPr defaultColWidth="9.1796875" defaultRowHeight="14.5" x14ac:dyDescent="0.35"/>
  <cols>
    <col min="1" max="2" width="9.1796875" style="6"/>
    <col min="3" max="3" width="15.453125" style="6" bestFit="1" customWidth="1"/>
    <col min="4" max="4" width="11.90625" style="6" customWidth="1"/>
    <col min="5" max="5" width="14.36328125" style="6" customWidth="1"/>
    <col min="6" max="8" width="14.36328125" style="6" hidden="1" customWidth="1"/>
    <col min="9" max="9" width="22.26953125" style="20" customWidth="1"/>
    <col min="10" max="10" width="17" style="6" customWidth="1"/>
    <col min="11" max="11" width="12.90625" style="6" customWidth="1"/>
    <col min="12" max="12" width="19.453125" style="6" customWidth="1"/>
    <col min="13" max="13" width="17.81640625" style="6" customWidth="1"/>
    <col min="14" max="14" width="27.1796875" style="6" bestFit="1" customWidth="1"/>
    <col min="15" max="15" width="18.54296875" style="6" hidden="1" customWidth="1"/>
    <col min="16" max="16" width="18.81640625" style="6" hidden="1" customWidth="1"/>
    <col min="17" max="17" width="17.54296875" style="6" hidden="1" customWidth="1"/>
    <col min="18" max="16384" width="9.1796875" style="6"/>
  </cols>
  <sheetData>
    <row r="1" spans="1:17" ht="21" customHeight="1" x14ac:dyDescent="0.35">
      <c r="A1" s="445" t="s">
        <v>410</v>
      </c>
      <c r="B1" s="445"/>
      <c r="C1" s="445"/>
      <c r="D1" s="445"/>
      <c r="E1" s="445"/>
      <c r="F1" s="445"/>
      <c r="G1" s="676">
        <f>SUBTOTAL(9,G3:G299)</f>
        <v>193.03990240831999</v>
      </c>
      <c r="H1" s="677">
        <f>SUBTOTAL(9,H3:H273)</f>
        <v>0</v>
      </c>
      <c r="I1" s="447"/>
      <c r="J1" s="445"/>
      <c r="K1" s="445"/>
      <c r="L1" s="445"/>
      <c r="M1" s="445"/>
      <c r="N1" s="445"/>
      <c r="O1" s="675"/>
      <c r="P1" s="445"/>
      <c r="Q1" s="445"/>
    </row>
    <row r="2" spans="1:17" x14ac:dyDescent="0.35">
      <c r="A2" s="33" t="s">
        <v>411</v>
      </c>
      <c r="B2" s="33" t="s">
        <v>412</v>
      </c>
      <c r="C2" s="558" t="s">
        <v>2153</v>
      </c>
      <c r="D2" s="33" t="s">
        <v>413</v>
      </c>
      <c r="E2" s="33" t="s">
        <v>414</v>
      </c>
      <c r="F2" s="33" t="s">
        <v>2263</v>
      </c>
      <c r="G2" s="33" t="s">
        <v>2262</v>
      </c>
      <c r="H2" s="33" t="s">
        <v>2248</v>
      </c>
      <c r="I2" s="446" t="s">
        <v>415</v>
      </c>
      <c r="J2" s="33" t="s">
        <v>416</v>
      </c>
      <c r="K2" s="33" t="s">
        <v>417</v>
      </c>
      <c r="L2" s="33" t="s">
        <v>2148</v>
      </c>
      <c r="M2" s="446" t="s">
        <v>2147</v>
      </c>
      <c r="N2" s="33" t="s">
        <v>2155</v>
      </c>
      <c r="O2" s="495" t="s">
        <v>418</v>
      </c>
      <c r="P2" s="33" t="s">
        <v>419</v>
      </c>
      <c r="Q2" s="33" t="s">
        <v>420</v>
      </c>
    </row>
    <row r="3" spans="1:17" ht="14.5" customHeight="1" x14ac:dyDescent="0.35">
      <c r="A3" s="34">
        <v>1</v>
      </c>
      <c r="B3" s="34" t="s">
        <v>50</v>
      </c>
      <c r="C3" s="34" t="s">
        <v>2131</v>
      </c>
      <c r="D3" s="34" t="s">
        <v>31</v>
      </c>
      <c r="E3" s="34" t="s">
        <v>347</v>
      </c>
      <c r="F3" s="34"/>
      <c r="G3" s="34"/>
      <c r="H3" s="34"/>
      <c r="I3" s="448" t="s">
        <v>421</v>
      </c>
      <c r="J3" s="2"/>
      <c r="K3" s="554">
        <v>45658</v>
      </c>
      <c r="L3" s="554"/>
      <c r="M3" s="554" t="s">
        <v>2253</v>
      </c>
      <c r="N3" s="34" t="s">
        <v>422</v>
      </c>
      <c r="O3" s="272" t="s">
        <v>423</v>
      </c>
      <c r="P3" s="35" t="s">
        <v>424</v>
      </c>
      <c r="Q3" s="2"/>
    </row>
    <row r="4" spans="1:17" ht="14.5" customHeight="1" x14ac:dyDescent="0.35">
      <c r="A4" s="34">
        <v>2</v>
      </c>
      <c r="B4" s="34" t="s">
        <v>52</v>
      </c>
      <c r="C4" s="34" t="s">
        <v>2131</v>
      </c>
      <c r="D4" s="34" t="s">
        <v>33</v>
      </c>
      <c r="E4" s="34" t="s">
        <v>347</v>
      </c>
      <c r="F4" s="34"/>
      <c r="G4" s="34"/>
      <c r="H4" s="34"/>
      <c r="I4" s="448" t="s">
        <v>421</v>
      </c>
      <c r="J4" s="2"/>
      <c r="K4" s="554">
        <v>45658</v>
      </c>
      <c r="L4" s="554"/>
      <c r="M4" s="554" t="s">
        <v>2253</v>
      </c>
      <c r="N4" s="34" t="s">
        <v>422</v>
      </c>
      <c r="O4" s="272" t="s">
        <v>423</v>
      </c>
      <c r="P4" s="35" t="s">
        <v>424</v>
      </c>
      <c r="Q4" s="2"/>
    </row>
    <row r="5" spans="1:17" ht="14.5" customHeight="1" x14ac:dyDescent="0.35">
      <c r="A5" s="34">
        <v>3</v>
      </c>
      <c r="B5" s="34" t="s">
        <v>53</v>
      </c>
      <c r="C5" s="34" t="s">
        <v>2131</v>
      </c>
      <c r="D5" s="34" t="s">
        <v>33</v>
      </c>
      <c r="E5" s="34" t="s">
        <v>347</v>
      </c>
      <c r="F5" s="34"/>
      <c r="G5" s="34"/>
      <c r="H5" s="34"/>
      <c r="I5" s="448" t="s">
        <v>421</v>
      </c>
      <c r="J5" s="2"/>
      <c r="K5" s="554">
        <v>45658</v>
      </c>
      <c r="L5" s="554"/>
      <c r="M5" s="554" t="s">
        <v>2253</v>
      </c>
      <c r="N5" s="34" t="s">
        <v>422</v>
      </c>
      <c r="O5" s="272" t="s">
        <v>423</v>
      </c>
      <c r="P5" s="35" t="s">
        <v>424</v>
      </c>
      <c r="Q5" s="2"/>
    </row>
    <row r="6" spans="1:17" ht="14.5" customHeight="1" x14ac:dyDescent="0.35">
      <c r="A6" s="34">
        <v>4</v>
      </c>
      <c r="B6" s="34" t="s">
        <v>55</v>
      </c>
      <c r="C6" s="34" t="s">
        <v>2131</v>
      </c>
      <c r="D6" s="34" t="s">
        <v>31</v>
      </c>
      <c r="E6" s="34" t="s">
        <v>347</v>
      </c>
      <c r="F6" s="34"/>
      <c r="G6" s="34"/>
      <c r="H6" s="34"/>
      <c r="I6" s="448" t="s">
        <v>421</v>
      </c>
      <c r="J6" s="2"/>
      <c r="K6" s="554">
        <v>45658</v>
      </c>
      <c r="L6" s="554"/>
      <c r="M6" s="554" t="s">
        <v>2253</v>
      </c>
      <c r="N6" s="34" t="s">
        <v>425</v>
      </c>
      <c r="O6" s="272" t="s">
        <v>423</v>
      </c>
      <c r="P6" s="35" t="s">
        <v>424</v>
      </c>
      <c r="Q6" s="2"/>
    </row>
    <row r="7" spans="1:17" ht="14.5" customHeight="1" x14ac:dyDescent="0.35">
      <c r="A7" s="34">
        <v>5</v>
      </c>
      <c r="B7" s="34" t="s">
        <v>104</v>
      </c>
      <c r="C7" s="34" t="s">
        <v>2131</v>
      </c>
      <c r="D7" s="34" t="s">
        <v>31</v>
      </c>
      <c r="E7" s="34" t="s">
        <v>347</v>
      </c>
      <c r="F7" s="34"/>
      <c r="G7" s="34"/>
      <c r="H7" s="34"/>
      <c r="I7" s="448" t="s">
        <v>421</v>
      </c>
      <c r="J7" s="2"/>
      <c r="K7" s="554">
        <v>45658</v>
      </c>
      <c r="L7" s="554"/>
      <c r="M7" s="554" t="s">
        <v>2253</v>
      </c>
      <c r="N7" s="34" t="s">
        <v>422</v>
      </c>
      <c r="O7" s="272" t="s">
        <v>423</v>
      </c>
      <c r="P7" s="36"/>
      <c r="Q7" s="2"/>
    </row>
    <row r="8" spans="1:17" ht="14.5" customHeight="1" x14ac:dyDescent="0.35">
      <c r="A8" s="34">
        <v>6</v>
      </c>
      <c r="B8" s="262" t="s">
        <v>54</v>
      </c>
      <c r="C8" s="34" t="s">
        <v>2131</v>
      </c>
      <c r="D8" s="34" t="s">
        <v>31</v>
      </c>
      <c r="E8" s="34" t="s">
        <v>347</v>
      </c>
      <c r="F8" s="34"/>
      <c r="G8" s="34"/>
      <c r="H8" s="34"/>
      <c r="I8" s="448" t="s">
        <v>421</v>
      </c>
      <c r="J8" s="2"/>
      <c r="K8" s="554">
        <v>45689</v>
      </c>
      <c r="L8" s="554"/>
      <c r="M8" s="554" t="s">
        <v>2254</v>
      </c>
      <c r="N8" s="34" t="s">
        <v>422</v>
      </c>
      <c r="O8" s="272" t="s">
        <v>423</v>
      </c>
      <c r="P8" s="35" t="s">
        <v>424</v>
      </c>
      <c r="Q8" s="2"/>
    </row>
    <row r="9" spans="1:17" ht="14.5" customHeight="1" x14ac:dyDescent="0.35">
      <c r="A9" s="34">
        <v>7</v>
      </c>
      <c r="B9" s="262" t="s">
        <v>56</v>
      </c>
      <c r="C9" s="34" t="s">
        <v>2131</v>
      </c>
      <c r="D9" s="34" t="s">
        <v>31</v>
      </c>
      <c r="E9" s="34" t="s">
        <v>348</v>
      </c>
      <c r="F9" s="34"/>
      <c r="G9" s="34"/>
      <c r="H9" s="34"/>
      <c r="I9" s="448" t="s">
        <v>421</v>
      </c>
      <c r="J9" s="2"/>
      <c r="K9" s="554">
        <v>45689</v>
      </c>
      <c r="L9" s="554"/>
      <c r="M9" s="554" t="s">
        <v>2254</v>
      </c>
      <c r="N9" s="34" t="s">
        <v>425</v>
      </c>
      <c r="O9" s="272" t="s">
        <v>423</v>
      </c>
      <c r="P9" s="35" t="s">
        <v>424</v>
      </c>
      <c r="Q9" s="2"/>
    </row>
    <row r="10" spans="1:17" ht="14.5" customHeight="1" x14ac:dyDescent="0.35">
      <c r="A10" s="34">
        <v>8</v>
      </c>
      <c r="B10" s="262" t="s">
        <v>57</v>
      </c>
      <c r="C10" s="34" t="s">
        <v>2131</v>
      </c>
      <c r="D10" s="34" t="s">
        <v>33</v>
      </c>
      <c r="E10" s="34" t="s">
        <v>348</v>
      </c>
      <c r="F10" s="34"/>
      <c r="G10" s="34"/>
      <c r="H10" s="34"/>
      <c r="I10" s="448" t="s">
        <v>421</v>
      </c>
      <c r="J10" s="2"/>
      <c r="K10" s="554">
        <v>45689</v>
      </c>
      <c r="L10" s="554"/>
      <c r="M10" s="554" t="s">
        <v>2254</v>
      </c>
      <c r="N10" s="34" t="s">
        <v>425</v>
      </c>
      <c r="O10" s="272" t="s">
        <v>423</v>
      </c>
      <c r="P10" s="35" t="s">
        <v>424</v>
      </c>
      <c r="Q10" s="2"/>
    </row>
    <row r="11" spans="1:17" ht="14.5" customHeight="1" x14ac:dyDescent="0.35">
      <c r="A11" s="34">
        <v>9</v>
      </c>
      <c r="B11" s="34" t="s">
        <v>51</v>
      </c>
      <c r="C11" s="34" t="s">
        <v>2131</v>
      </c>
      <c r="D11" s="34" t="s">
        <v>33</v>
      </c>
      <c r="E11" s="34" t="s">
        <v>347</v>
      </c>
      <c r="F11" s="34"/>
      <c r="G11" s="34"/>
      <c r="H11" s="34"/>
      <c r="I11" s="448" t="s">
        <v>421</v>
      </c>
      <c r="J11" s="2"/>
      <c r="K11" s="554">
        <v>45689</v>
      </c>
      <c r="L11" s="554"/>
      <c r="M11" s="554" t="s">
        <v>2254</v>
      </c>
      <c r="N11" s="34" t="s">
        <v>422</v>
      </c>
      <c r="O11" s="272" t="s">
        <v>423</v>
      </c>
      <c r="P11" s="35" t="s">
        <v>424</v>
      </c>
      <c r="Q11" s="2"/>
    </row>
    <row r="12" spans="1:17" ht="14.5" customHeight="1" x14ac:dyDescent="0.35">
      <c r="A12" s="34">
        <v>10</v>
      </c>
      <c r="B12" s="263" t="s">
        <v>101</v>
      </c>
      <c r="C12" s="34" t="s">
        <v>2131</v>
      </c>
      <c r="D12" s="37" t="s">
        <v>31</v>
      </c>
      <c r="E12" s="34" t="s">
        <v>347</v>
      </c>
      <c r="F12" s="34"/>
      <c r="G12" s="34"/>
      <c r="H12" s="34"/>
      <c r="I12" s="448" t="s">
        <v>421</v>
      </c>
      <c r="J12" s="2"/>
      <c r="K12" s="554">
        <v>45689</v>
      </c>
      <c r="L12" s="554"/>
      <c r="M12" s="554" t="s">
        <v>2254</v>
      </c>
      <c r="N12" s="34" t="s">
        <v>426</v>
      </c>
      <c r="O12" s="272" t="s">
        <v>423</v>
      </c>
      <c r="P12" s="35" t="s">
        <v>424</v>
      </c>
      <c r="Q12" s="2"/>
    </row>
    <row r="13" spans="1:17" ht="14.5" customHeight="1" x14ac:dyDescent="0.35">
      <c r="A13" s="34">
        <v>11</v>
      </c>
      <c r="B13" s="263" t="s">
        <v>97</v>
      </c>
      <c r="C13" s="34" t="s">
        <v>2131</v>
      </c>
      <c r="D13" s="37" t="s">
        <v>31</v>
      </c>
      <c r="E13" s="34" t="s">
        <v>347</v>
      </c>
      <c r="F13" s="34"/>
      <c r="G13" s="34"/>
      <c r="H13" s="34"/>
      <c r="I13" s="448" t="s">
        <v>421</v>
      </c>
      <c r="J13" s="2"/>
      <c r="K13" s="554">
        <v>45689</v>
      </c>
      <c r="L13" s="554"/>
      <c r="M13" s="554" t="s">
        <v>2254</v>
      </c>
      <c r="N13" s="34" t="s">
        <v>426</v>
      </c>
      <c r="O13" s="272" t="s">
        <v>423</v>
      </c>
      <c r="P13" s="35" t="s">
        <v>424</v>
      </c>
      <c r="Q13" s="2"/>
    </row>
    <row r="14" spans="1:17" ht="14.5" customHeight="1" x14ac:dyDescent="0.35">
      <c r="A14" s="34">
        <v>12</v>
      </c>
      <c r="B14" s="263" t="s">
        <v>47</v>
      </c>
      <c r="C14" s="34" t="s">
        <v>2131</v>
      </c>
      <c r="D14" s="37" t="s">
        <v>31</v>
      </c>
      <c r="E14" s="34" t="s">
        <v>347</v>
      </c>
      <c r="F14" s="34"/>
      <c r="G14" s="34"/>
      <c r="H14" s="34"/>
      <c r="I14" s="448" t="s">
        <v>421</v>
      </c>
      <c r="J14" s="2"/>
      <c r="K14" s="554">
        <v>45689</v>
      </c>
      <c r="L14" s="554"/>
      <c r="M14" s="554" t="s">
        <v>2254</v>
      </c>
      <c r="N14" s="34" t="s">
        <v>425</v>
      </c>
      <c r="O14" s="272" t="s">
        <v>423</v>
      </c>
      <c r="P14" s="35" t="s">
        <v>424</v>
      </c>
      <c r="Q14" s="2"/>
    </row>
    <row r="15" spans="1:17" ht="14.5" customHeight="1" x14ac:dyDescent="0.35">
      <c r="A15" s="34">
        <v>13</v>
      </c>
      <c r="B15" s="263" t="s">
        <v>64</v>
      </c>
      <c r="C15" s="34" t="s">
        <v>2131</v>
      </c>
      <c r="D15" s="37" t="s">
        <v>16</v>
      </c>
      <c r="E15" s="37" t="s">
        <v>347</v>
      </c>
      <c r="F15" s="37"/>
      <c r="G15" s="37"/>
      <c r="H15" s="37"/>
      <c r="I15" s="448" t="s">
        <v>421</v>
      </c>
      <c r="J15" s="2"/>
      <c r="K15" s="554">
        <v>45689</v>
      </c>
      <c r="L15" s="554"/>
      <c r="M15" s="554" t="s">
        <v>2254</v>
      </c>
      <c r="N15" s="34" t="s">
        <v>422</v>
      </c>
      <c r="O15" s="272" t="s">
        <v>423</v>
      </c>
      <c r="P15" s="36"/>
      <c r="Q15" s="2"/>
    </row>
    <row r="16" spans="1:17" ht="14.5" customHeight="1" x14ac:dyDescent="0.35">
      <c r="A16" s="34">
        <v>14</v>
      </c>
      <c r="B16" s="263" t="s">
        <v>98</v>
      </c>
      <c r="C16" s="34" t="s">
        <v>2131</v>
      </c>
      <c r="D16" s="37" t="s">
        <v>31</v>
      </c>
      <c r="E16" s="34" t="s">
        <v>347</v>
      </c>
      <c r="F16" s="34"/>
      <c r="G16" s="34"/>
      <c r="H16" s="34"/>
      <c r="I16" s="448" t="s">
        <v>421</v>
      </c>
      <c r="J16" s="2"/>
      <c r="K16" s="554">
        <v>45689</v>
      </c>
      <c r="L16" s="554"/>
      <c r="M16" s="554" t="s">
        <v>2254</v>
      </c>
      <c r="N16" s="34" t="s">
        <v>426</v>
      </c>
      <c r="O16" s="272" t="s">
        <v>423</v>
      </c>
      <c r="P16" s="35" t="s">
        <v>424</v>
      </c>
      <c r="Q16" s="2"/>
    </row>
    <row r="17" spans="1:17" ht="14.5" customHeight="1" x14ac:dyDescent="0.35">
      <c r="A17" s="34">
        <v>15</v>
      </c>
      <c r="B17" s="263" t="s">
        <v>79</v>
      </c>
      <c r="C17" s="34" t="s">
        <v>2131</v>
      </c>
      <c r="D17" s="37" t="s">
        <v>427</v>
      </c>
      <c r="E17" s="37" t="s">
        <v>347</v>
      </c>
      <c r="F17" s="37"/>
      <c r="G17" s="37"/>
      <c r="H17" s="37"/>
      <c r="I17" s="448" t="s">
        <v>421</v>
      </c>
      <c r="J17" s="2"/>
      <c r="K17" s="554">
        <v>45689</v>
      </c>
      <c r="L17" s="554"/>
      <c r="M17" s="554" t="s">
        <v>2254</v>
      </c>
      <c r="N17" s="34" t="s">
        <v>428</v>
      </c>
      <c r="O17" s="272" t="s">
        <v>423</v>
      </c>
      <c r="P17" s="35" t="s">
        <v>424</v>
      </c>
      <c r="Q17" s="2"/>
    </row>
    <row r="18" spans="1:17" ht="14.5" customHeight="1" x14ac:dyDescent="0.35">
      <c r="A18" s="34">
        <v>16</v>
      </c>
      <c r="B18" s="34" t="s">
        <v>92</v>
      </c>
      <c r="C18" s="34" t="s">
        <v>2131</v>
      </c>
      <c r="D18" s="37" t="s">
        <v>33</v>
      </c>
      <c r="E18" s="37" t="s">
        <v>347</v>
      </c>
      <c r="F18" s="37"/>
      <c r="G18" s="37"/>
      <c r="H18" s="37"/>
      <c r="I18" s="448" t="s">
        <v>421</v>
      </c>
      <c r="J18" s="2"/>
      <c r="K18" s="554">
        <v>45689</v>
      </c>
      <c r="L18" s="554"/>
      <c r="M18" s="554" t="s">
        <v>2254</v>
      </c>
      <c r="N18" s="34" t="s">
        <v>429</v>
      </c>
      <c r="O18" s="272" t="s">
        <v>423</v>
      </c>
      <c r="P18" s="35" t="s">
        <v>424</v>
      </c>
      <c r="Q18" s="2"/>
    </row>
    <row r="19" spans="1:17" ht="14.5" customHeight="1" x14ac:dyDescent="0.35">
      <c r="A19" s="34">
        <v>17</v>
      </c>
      <c r="B19" s="34" t="s">
        <v>99</v>
      </c>
      <c r="C19" s="34" t="s">
        <v>2131</v>
      </c>
      <c r="D19" s="34" t="s">
        <v>33</v>
      </c>
      <c r="E19" s="37" t="s">
        <v>347</v>
      </c>
      <c r="F19" s="37"/>
      <c r="G19" s="37"/>
      <c r="H19" s="37"/>
      <c r="I19" s="448" t="s">
        <v>421</v>
      </c>
      <c r="J19" s="2"/>
      <c r="K19" s="554">
        <v>45689</v>
      </c>
      <c r="L19" s="554"/>
      <c r="M19" s="554" t="s">
        <v>2254</v>
      </c>
      <c r="N19" s="34" t="s">
        <v>426</v>
      </c>
      <c r="O19" s="272" t="s">
        <v>423</v>
      </c>
      <c r="P19" s="35" t="s">
        <v>424</v>
      </c>
      <c r="Q19" s="2"/>
    </row>
    <row r="20" spans="1:17" ht="14.5" customHeight="1" x14ac:dyDescent="0.35">
      <c r="A20" s="34">
        <v>18</v>
      </c>
      <c r="B20" s="34" t="s">
        <v>63</v>
      </c>
      <c r="C20" s="34" t="s">
        <v>2131</v>
      </c>
      <c r="D20" s="34" t="s">
        <v>31</v>
      </c>
      <c r="E20" s="34" t="s">
        <v>347</v>
      </c>
      <c r="F20" s="34"/>
      <c r="G20" s="34"/>
      <c r="H20" s="34"/>
      <c r="I20" s="448" t="s">
        <v>421</v>
      </c>
      <c r="J20" s="2"/>
      <c r="K20" s="554">
        <v>45689</v>
      </c>
      <c r="L20" s="554"/>
      <c r="M20" s="554" t="s">
        <v>2254</v>
      </c>
      <c r="N20" s="34" t="s">
        <v>422</v>
      </c>
      <c r="O20" s="272" t="s">
        <v>423</v>
      </c>
      <c r="P20" s="35" t="s">
        <v>424</v>
      </c>
      <c r="Q20" s="2"/>
    </row>
    <row r="21" spans="1:17" ht="14.5" customHeight="1" x14ac:dyDescent="0.35">
      <c r="A21" s="34">
        <v>19</v>
      </c>
      <c r="B21" s="34" t="s">
        <v>80</v>
      </c>
      <c r="C21" s="34" t="s">
        <v>2131</v>
      </c>
      <c r="D21" s="34" t="s">
        <v>31</v>
      </c>
      <c r="E21" s="34" t="s">
        <v>347</v>
      </c>
      <c r="F21" s="34"/>
      <c r="G21" s="34"/>
      <c r="H21" s="34"/>
      <c r="I21" s="448" t="s">
        <v>421</v>
      </c>
      <c r="J21" s="2"/>
      <c r="K21" s="554">
        <v>45689</v>
      </c>
      <c r="L21" s="554"/>
      <c r="M21" s="554" t="s">
        <v>2254</v>
      </c>
      <c r="N21" s="34" t="s">
        <v>428</v>
      </c>
      <c r="O21" s="272" t="s">
        <v>423</v>
      </c>
      <c r="P21" s="35" t="s">
        <v>424</v>
      </c>
      <c r="Q21" s="2"/>
    </row>
    <row r="22" spans="1:17" ht="14.5" customHeight="1" x14ac:dyDescent="0.35">
      <c r="A22" s="34">
        <v>20</v>
      </c>
      <c r="B22" s="34" t="s">
        <v>48</v>
      </c>
      <c r="C22" s="34" t="s">
        <v>2131</v>
      </c>
      <c r="D22" s="34" t="s">
        <v>31</v>
      </c>
      <c r="E22" s="34" t="s">
        <v>347</v>
      </c>
      <c r="F22" s="34"/>
      <c r="G22" s="34"/>
      <c r="H22" s="34"/>
      <c r="I22" s="448" t="s">
        <v>421</v>
      </c>
      <c r="J22" s="2"/>
      <c r="K22" s="554">
        <v>45717</v>
      </c>
      <c r="L22" s="554"/>
      <c r="M22" s="554" t="s">
        <v>2255</v>
      </c>
      <c r="N22" s="34" t="s">
        <v>425</v>
      </c>
      <c r="O22" s="272" t="s">
        <v>423</v>
      </c>
      <c r="P22" s="35" t="s">
        <v>424</v>
      </c>
      <c r="Q22" s="2"/>
    </row>
    <row r="23" spans="1:17" ht="14.5" customHeight="1" x14ac:dyDescent="0.35">
      <c r="A23" s="34">
        <v>21</v>
      </c>
      <c r="B23" s="34" t="s">
        <v>94</v>
      </c>
      <c r="C23" s="34" t="s">
        <v>2131</v>
      </c>
      <c r="D23" s="34" t="s">
        <v>16</v>
      </c>
      <c r="E23" s="37" t="s">
        <v>347</v>
      </c>
      <c r="F23" s="37"/>
      <c r="G23" s="37"/>
      <c r="H23" s="37"/>
      <c r="I23" s="448" t="s">
        <v>421</v>
      </c>
      <c r="J23" s="2"/>
      <c r="K23" s="554">
        <v>45717</v>
      </c>
      <c r="L23" s="554"/>
      <c r="M23" s="554" t="s">
        <v>2255</v>
      </c>
      <c r="N23" s="34" t="s">
        <v>429</v>
      </c>
      <c r="O23" s="272" t="s">
        <v>423</v>
      </c>
      <c r="P23" s="35" t="s">
        <v>424</v>
      </c>
      <c r="Q23" s="2"/>
    </row>
    <row r="24" spans="1:17" ht="14.5" customHeight="1" x14ac:dyDescent="0.35">
      <c r="A24" s="34">
        <v>22</v>
      </c>
      <c r="B24" s="34" t="s">
        <v>102</v>
      </c>
      <c r="C24" s="34" t="s">
        <v>2131</v>
      </c>
      <c r="D24" s="34" t="s">
        <v>389</v>
      </c>
      <c r="E24" s="37" t="s">
        <v>349</v>
      </c>
      <c r="F24" s="37"/>
      <c r="G24" s="37"/>
      <c r="H24" s="37"/>
      <c r="I24" s="448" t="s">
        <v>421</v>
      </c>
      <c r="J24" s="2"/>
      <c r="K24" s="554">
        <v>45717</v>
      </c>
      <c r="L24" s="554"/>
      <c r="M24" s="554" t="s">
        <v>2255</v>
      </c>
      <c r="N24" s="34" t="s">
        <v>426</v>
      </c>
      <c r="O24" s="272" t="s">
        <v>423</v>
      </c>
      <c r="P24" s="35" t="s">
        <v>424</v>
      </c>
      <c r="Q24" s="2"/>
    </row>
    <row r="25" spans="1:17" ht="14.5" customHeight="1" x14ac:dyDescent="0.35">
      <c r="A25" s="34">
        <v>23</v>
      </c>
      <c r="B25" s="34" t="s">
        <v>82</v>
      </c>
      <c r="C25" s="34" t="s">
        <v>2131</v>
      </c>
      <c r="D25" s="34" t="s">
        <v>389</v>
      </c>
      <c r="E25" s="37" t="s">
        <v>347</v>
      </c>
      <c r="F25" s="37"/>
      <c r="G25" s="37"/>
      <c r="H25" s="37"/>
      <c r="I25" s="448" t="s">
        <v>421</v>
      </c>
      <c r="J25" s="2"/>
      <c r="K25" s="554">
        <v>45717</v>
      </c>
      <c r="L25" s="554"/>
      <c r="M25" s="554" t="s">
        <v>2255</v>
      </c>
      <c r="N25" s="34" t="s">
        <v>428</v>
      </c>
      <c r="O25" s="272" t="s">
        <v>423</v>
      </c>
      <c r="P25" s="36"/>
      <c r="Q25" s="2"/>
    </row>
    <row r="26" spans="1:17" ht="14.5" customHeight="1" x14ac:dyDescent="0.35">
      <c r="A26" s="34">
        <v>24</v>
      </c>
      <c r="B26" s="34" t="s">
        <v>108</v>
      </c>
      <c r="C26" s="34" t="s">
        <v>2131</v>
      </c>
      <c r="D26" s="34" t="s">
        <v>389</v>
      </c>
      <c r="E26" s="37" t="s">
        <v>347</v>
      </c>
      <c r="F26" s="37"/>
      <c r="G26" s="37"/>
      <c r="H26" s="37"/>
      <c r="I26" s="448" t="s">
        <v>421</v>
      </c>
      <c r="J26" s="2"/>
      <c r="K26" s="554">
        <v>45717</v>
      </c>
      <c r="L26" s="554"/>
      <c r="M26" s="554" t="s">
        <v>2255</v>
      </c>
      <c r="N26" s="34" t="s">
        <v>426</v>
      </c>
      <c r="O26" s="272" t="s">
        <v>423</v>
      </c>
      <c r="P26" s="35" t="s">
        <v>424</v>
      </c>
      <c r="Q26" s="2"/>
    </row>
    <row r="27" spans="1:17" ht="14.5" customHeight="1" x14ac:dyDescent="0.35">
      <c r="A27" s="34">
        <v>25</v>
      </c>
      <c r="B27" s="34" t="s">
        <v>46</v>
      </c>
      <c r="C27" s="34" t="s">
        <v>2131</v>
      </c>
      <c r="D27" s="34" t="s">
        <v>31</v>
      </c>
      <c r="E27" s="34" t="s">
        <v>347</v>
      </c>
      <c r="F27" s="34"/>
      <c r="G27" s="34"/>
      <c r="H27" s="34"/>
      <c r="I27" s="448" t="s">
        <v>421</v>
      </c>
      <c r="J27" s="2"/>
      <c r="K27" s="554">
        <v>45717</v>
      </c>
      <c r="L27" s="554"/>
      <c r="M27" s="554" t="s">
        <v>2255</v>
      </c>
      <c r="N27" s="34" t="s">
        <v>425</v>
      </c>
      <c r="O27" s="272" t="s">
        <v>423</v>
      </c>
      <c r="P27" s="35" t="s">
        <v>424</v>
      </c>
      <c r="Q27" s="2"/>
    </row>
    <row r="28" spans="1:17" ht="14.5" customHeight="1" x14ac:dyDescent="0.35">
      <c r="A28" s="34">
        <v>26</v>
      </c>
      <c r="B28" s="34" t="s">
        <v>81</v>
      </c>
      <c r="C28" s="34" t="s">
        <v>2131</v>
      </c>
      <c r="D28" s="34" t="s">
        <v>31</v>
      </c>
      <c r="E28" s="34" t="s">
        <v>347</v>
      </c>
      <c r="F28" s="34"/>
      <c r="G28" s="34"/>
      <c r="H28" s="34"/>
      <c r="I28" s="448" t="s">
        <v>421</v>
      </c>
      <c r="J28" s="2"/>
      <c r="K28" s="554">
        <v>45717</v>
      </c>
      <c r="L28" s="554"/>
      <c r="M28" s="554" t="s">
        <v>2255</v>
      </c>
      <c r="N28" s="34" t="s">
        <v>428</v>
      </c>
      <c r="O28" s="272" t="s">
        <v>423</v>
      </c>
      <c r="P28" s="36"/>
      <c r="Q28" s="2"/>
    </row>
    <row r="29" spans="1:17" ht="14.5" customHeight="1" x14ac:dyDescent="0.35">
      <c r="A29" s="34">
        <v>27</v>
      </c>
      <c r="B29" s="34" t="s">
        <v>67</v>
      </c>
      <c r="C29" s="34" t="s">
        <v>2131</v>
      </c>
      <c r="D29" s="34" t="s">
        <v>23</v>
      </c>
      <c r="E29" s="34" t="s">
        <v>347</v>
      </c>
      <c r="F29" s="34"/>
      <c r="G29" s="34"/>
      <c r="H29" s="34"/>
      <c r="I29" s="448" t="s">
        <v>421</v>
      </c>
      <c r="J29" s="2"/>
      <c r="K29" s="554">
        <v>45717</v>
      </c>
      <c r="L29" s="554"/>
      <c r="M29" s="554" t="s">
        <v>2255</v>
      </c>
      <c r="N29" s="34" t="s">
        <v>422</v>
      </c>
      <c r="O29" s="272" t="s">
        <v>423</v>
      </c>
      <c r="P29" s="36"/>
      <c r="Q29" s="2"/>
    </row>
    <row r="30" spans="1:17" ht="14.5" customHeight="1" x14ac:dyDescent="0.35">
      <c r="A30" s="34">
        <v>28</v>
      </c>
      <c r="B30" s="34" t="s">
        <v>91</v>
      </c>
      <c r="C30" s="34" t="s">
        <v>2131</v>
      </c>
      <c r="D30" s="34" t="s">
        <v>31</v>
      </c>
      <c r="E30" s="37" t="s">
        <v>349</v>
      </c>
      <c r="F30" s="37"/>
      <c r="G30" s="37"/>
      <c r="H30" s="37"/>
      <c r="I30" s="448" t="s">
        <v>421</v>
      </c>
      <c r="J30" s="2"/>
      <c r="K30" s="554">
        <v>45717</v>
      </c>
      <c r="L30" s="554"/>
      <c r="M30" s="554" t="s">
        <v>2255</v>
      </c>
      <c r="N30" s="34" t="s">
        <v>429</v>
      </c>
      <c r="O30" s="272" t="s">
        <v>423</v>
      </c>
      <c r="P30" s="36"/>
      <c r="Q30" s="2"/>
    </row>
    <row r="31" spans="1:17" ht="14.5" customHeight="1" x14ac:dyDescent="0.35">
      <c r="A31" s="34">
        <v>29</v>
      </c>
      <c r="B31" s="34" t="s">
        <v>95</v>
      </c>
      <c r="C31" s="34" t="s">
        <v>2131</v>
      </c>
      <c r="D31" s="34" t="s">
        <v>23</v>
      </c>
      <c r="E31" s="37" t="s">
        <v>349</v>
      </c>
      <c r="F31" s="37"/>
      <c r="G31" s="37"/>
      <c r="H31" s="37"/>
      <c r="I31" s="448" t="s">
        <v>421</v>
      </c>
      <c r="J31" s="2"/>
      <c r="K31" s="554">
        <v>45717</v>
      </c>
      <c r="L31" s="554"/>
      <c r="M31" s="554" t="s">
        <v>2255</v>
      </c>
      <c r="N31" s="34" t="s">
        <v>426</v>
      </c>
      <c r="O31" s="272" t="s">
        <v>423</v>
      </c>
      <c r="P31" s="35" t="s">
        <v>424</v>
      </c>
      <c r="Q31" s="2"/>
    </row>
    <row r="32" spans="1:17" ht="14.5" customHeight="1" x14ac:dyDescent="0.35">
      <c r="A32" s="34">
        <v>30</v>
      </c>
      <c r="B32" s="34" t="s">
        <v>83</v>
      </c>
      <c r="C32" s="34" t="s">
        <v>2131</v>
      </c>
      <c r="D32" s="34" t="s">
        <v>31</v>
      </c>
      <c r="E32" s="34" t="s">
        <v>347</v>
      </c>
      <c r="F32" s="34"/>
      <c r="G32" s="34"/>
      <c r="H32" s="34"/>
      <c r="I32" s="448" t="s">
        <v>421</v>
      </c>
      <c r="J32" s="2"/>
      <c r="K32" s="554">
        <v>45717</v>
      </c>
      <c r="L32" s="554"/>
      <c r="M32" s="554" t="s">
        <v>2255</v>
      </c>
      <c r="N32" s="34" t="s">
        <v>428</v>
      </c>
      <c r="O32" s="272" t="s">
        <v>423</v>
      </c>
      <c r="P32" s="36"/>
      <c r="Q32" s="2"/>
    </row>
    <row r="33" spans="1:17" ht="14.5" customHeight="1" x14ac:dyDescent="0.35">
      <c r="A33" s="34">
        <v>31</v>
      </c>
      <c r="B33" s="34" t="s">
        <v>66</v>
      </c>
      <c r="C33" s="34" t="s">
        <v>2131</v>
      </c>
      <c r="D33" s="34" t="s">
        <v>31</v>
      </c>
      <c r="E33" s="34" t="s">
        <v>347</v>
      </c>
      <c r="F33" s="34"/>
      <c r="G33" s="34"/>
      <c r="H33" s="34"/>
      <c r="I33" s="448" t="s">
        <v>421</v>
      </c>
      <c r="J33" s="2"/>
      <c r="K33" s="554">
        <v>45717</v>
      </c>
      <c r="L33" s="554"/>
      <c r="M33" s="554" t="s">
        <v>2255</v>
      </c>
      <c r="N33" s="34" t="s">
        <v>422</v>
      </c>
      <c r="O33" s="272" t="s">
        <v>423</v>
      </c>
      <c r="P33" s="36"/>
      <c r="Q33" s="2"/>
    </row>
    <row r="34" spans="1:17" ht="14.5" customHeight="1" x14ac:dyDescent="0.35">
      <c r="A34" s="34">
        <v>32</v>
      </c>
      <c r="B34" s="34" t="s">
        <v>103</v>
      </c>
      <c r="C34" s="34" t="s">
        <v>2131</v>
      </c>
      <c r="D34" s="34" t="s">
        <v>20</v>
      </c>
      <c r="E34" s="34" t="s">
        <v>349</v>
      </c>
      <c r="F34" s="34"/>
      <c r="G34" s="34"/>
      <c r="H34" s="34"/>
      <c r="I34" s="448" t="s">
        <v>421</v>
      </c>
      <c r="J34" s="2"/>
      <c r="K34" s="554">
        <v>45717</v>
      </c>
      <c r="L34" s="554"/>
      <c r="M34" s="554" t="s">
        <v>2255</v>
      </c>
      <c r="N34" s="34" t="s">
        <v>426</v>
      </c>
      <c r="O34" s="272" t="s">
        <v>423</v>
      </c>
      <c r="P34" s="35" t="s">
        <v>424</v>
      </c>
      <c r="Q34" s="2"/>
    </row>
    <row r="35" spans="1:17" ht="14.5" customHeight="1" x14ac:dyDescent="0.35">
      <c r="A35" s="34">
        <v>33</v>
      </c>
      <c r="B35" s="34" t="s">
        <v>93</v>
      </c>
      <c r="C35" s="34" t="s">
        <v>2131</v>
      </c>
      <c r="D35" s="34" t="s">
        <v>31</v>
      </c>
      <c r="E35" s="34" t="s">
        <v>347</v>
      </c>
      <c r="F35" s="34"/>
      <c r="G35" s="34"/>
      <c r="H35" s="34"/>
      <c r="I35" s="448" t="s">
        <v>421</v>
      </c>
      <c r="J35" s="2"/>
      <c r="K35" s="554">
        <v>45717</v>
      </c>
      <c r="L35" s="554"/>
      <c r="M35" s="554" t="s">
        <v>2255</v>
      </c>
      <c r="N35" s="34" t="s">
        <v>429</v>
      </c>
      <c r="O35" s="272" t="s">
        <v>423</v>
      </c>
      <c r="P35" s="35" t="s">
        <v>424</v>
      </c>
      <c r="Q35" s="2"/>
    </row>
    <row r="36" spans="1:17" ht="14.5" customHeight="1" x14ac:dyDescent="0.35">
      <c r="A36" s="34">
        <v>34</v>
      </c>
      <c r="B36" s="34" t="s">
        <v>85</v>
      </c>
      <c r="C36" s="34" t="s">
        <v>2131</v>
      </c>
      <c r="D36" s="34" t="s">
        <v>31</v>
      </c>
      <c r="E36" s="34" t="s">
        <v>347</v>
      </c>
      <c r="F36" s="34"/>
      <c r="G36" s="34"/>
      <c r="H36" s="34"/>
      <c r="I36" s="448" t="s">
        <v>421</v>
      </c>
      <c r="J36" s="2"/>
      <c r="K36" s="554">
        <v>45717</v>
      </c>
      <c r="L36" s="554"/>
      <c r="M36" s="554" t="s">
        <v>2255</v>
      </c>
      <c r="N36" s="34" t="s">
        <v>428</v>
      </c>
      <c r="O36" s="272" t="s">
        <v>423</v>
      </c>
      <c r="P36" s="36"/>
      <c r="Q36" s="2"/>
    </row>
    <row r="37" spans="1:17" ht="14.5" customHeight="1" x14ac:dyDescent="0.35">
      <c r="A37" s="34">
        <v>35</v>
      </c>
      <c r="B37" s="34" t="s">
        <v>107</v>
      </c>
      <c r="C37" s="34" t="s">
        <v>2131</v>
      </c>
      <c r="D37" s="34" t="s">
        <v>31</v>
      </c>
      <c r="E37" s="34" t="s">
        <v>347</v>
      </c>
      <c r="F37" s="34"/>
      <c r="G37" s="34"/>
      <c r="H37" s="34"/>
      <c r="I37" s="448" t="s">
        <v>421</v>
      </c>
      <c r="J37" s="2"/>
      <c r="K37" s="554">
        <v>45717</v>
      </c>
      <c r="L37" s="554"/>
      <c r="M37" s="554" t="s">
        <v>2255</v>
      </c>
      <c r="N37" s="34" t="s">
        <v>426</v>
      </c>
      <c r="O37" s="272" t="s">
        <v>423</v>
      </c>
      <c r="P37" s="35" t="s">
        <v>424</v>
      </c>
      <c r="Q37" s="2"/>
    </row>
    <row r="38" spans="1:17" ht="14.5" customHeight="1" x14ac:dyDescent="0.35">
      <c r="A38" s="34">
        <v>36</v>
      </c>
      <c r="B38" s="34" t="s">
        <v>72</v>
      </c>
      <c r="C38" s="34" t="s">
        <v>2131</v>
      </c>
      <c r="D38" s="34" t="s">
        <v>389</v>
      </c>
      <c r="E38" s="37" t="s">
        <v>347</v>
      </c>
      <c r="F38" s="37"/>
      <c r="G38" s="37"/>
      <c r="H38" s="37"/>
      <c r="I38" s="448" t="s">
        <v>421</v>
      </c>
      <c r="J38" s="2"/>
      <c r="K38" s="554">
        <v>45717</v>
      </c>
      <c r="L38" s="554"/>
      <c r="M38" s="554" t="s">
        <v>2255</v>
      </c>
      <c r="N38" s="34" t="s">
        <v>425</v>
      </c>
      <c r="O38" s="272" t="s">
        <v>423</v>
      </c>
      <c r="P38" s="35" t="s">
        <v>424</v>
      </c>
      <c r="Q38" s="2"/>
    </row>
    <row r="39" spans="1:17" ht="14.5" customHeight="1" x14ac:dyDescent="0.35">
      <c r="A39" s="34">
        <v>37</v>
      </c>
      <c r="B39" s="34" t="s">
        <v>87</v>
      </c>
      <c r="C39" s="34" t="s">
        <v>2131</v>
      </c>
      <c r="D39" s="34" t="s">
        <v>23</v>
      </c>
      <c r="E39" s="34" t="s">
        <v>347</v>
      </c>
      <c r="F39" s="34"/>
      <c r="G39" s="34"/>
      <c r="H39" s="34"/>
      <c r="I39" s="448" t="s">
        <v>421</v>
      </c>
      <c r="J39" s="2"/>
      <c r="K39" s="554">
        <v>45717</v>
      </c>
      <c r="L39" s="554"/>
      <c r="M39" s="554" t="s">
        <v>2255</v>
      </c>
      <c r="N39" s="34" t="s">
        <v>428</v>
      </c>
      <c r="O39" s="272" t="s">
        <v>423</v>
      </c>
      <c r="P39" s="36"/>
      <c r="Q39" s="2"/>
    </row>
    <row r="40" spans="1:17" ht="14.5" customHeight="1" x14ac:dyDescent="0.35">
      <c r="A40" s="34">
        <v>38</v>
      </c>
      <c r="B40" s="34" t="s">
        <v>75</v>
      </c>
      <c r="C40" s="34" t="s">
        <v>2131</v>
      </c>
      <c r="D40" s="34" t="s">
        <v>35</v>
      </c>
      <c r="E40" s="37" t="s">
        <v>347</v>
      </c>
      <c r="F40" s="37"/>
      <c r="G40" s="37"/>
      <c r="H40" s="37"/>
      <c r="I40" s="448" t="s">
        <v>421</v>
      </c>
      <c r="J40" s="2"/>
      <c r="K40" s="554">
        <v>45717</v>
      </c>
      <c r="L40" s="554"/>
      <c r="M40" s="554" t="s">
        <v>2255</v>
      </c>
      <c r="N40" s="34" t="s">
        <v>429</v>
      </c>
      <c r="O40" s="272" t="s">
        <v>423</v>
      </c>
      <c r="P40" s="36"/>
      <c r="Q40" s="2"/>
    </row>
    <row r="41" spans="1:17" ht="14.5" customHeight="1" x14ac:dyDescent="0.35">
      <c r="A41" s="34">
        <v>39</v>
      </c>
      <c r="B41" s="34" t="s">
        <v>88</v>
      </c>
      <c r="C41" s="34" t="s">
        <v>2131</v>
      </c>
      <c r="D41" s="34" t="s">
        <v>33</v>
      </c>
      <c r="E41" s="37" t="s">
        <v>347</v>
      </c>
      <c r="F41" s="37"/>
      <c r="G41" s="37"/>
      <c r="H41" s="37"/>
      <c r="I41" s="448" t="s">
        <v>421</v>
      </c>
      <c r="J41" s="2"/>
      <c r="K41" s="554">
        <v>45717</v>
      </c>
      <c r="L41" s="554"/>
      <c r="M41" s="554" t="s">
        <v>2255</v>
      </c>
      <c r="N41" s="34" t="s">
        <v>428</v>
      </c>
      <c r="O41" s="272" t="s">
        <v>423</v>
      </c>
      <c r="P41" s="36"/>
      <c r="Q41" s="2"/>
    </row>
    <row r="42" spans="1:17" ht="14.5" customHeight="1" x14ac:dyDescent="0.35">
      <c r="A42" s="34">
        <v>40</v>
      </c>
      <c r="B42" s="34" t="s">
        <v>106</v>
      </c>
      <c r="C42" s="34" t="s">
        <v>2131</v>
      </c>
      <c r="D42" s="34" t="s">
        <v>389</v>
      </c>
      <c r="E42" s="37" t="s">
        <v>347</v>
      </c>
      <c r="F42" s="37"/>
      <c r="G42" s="37"/>
      <c r="H42" s="37"/>
      <c r="I42" s="448" t="s">
        <v>421</v>
      </c>
      <c r="J42" s="2"/>
      <c r="K42" s="554">
        <v>45717</v>
      </c>
      <c r="L42" s="554"/>
      <c r="M42" s="554" t="s">
        <v>2255</v>
      </c>
      <c r="N42" s="34" t="s">
        <v>426</v>
      </c>
      <c r="O42" s="272" t="s">
        <v>423</v>
      </c>
      <c r="P42" s="35" t="s">
        <v>424</v>
      </c>
      <c r="Q42" s="2"/>
    </row>
    <row r="43" spans="1:17" ht="14.5" customHeight="1" x14ac:dyDescent="0.35">
      <c r="A43" s="34">
        <v>41</v>
      </c>
      <c r="B43" s="34" t="s">
        <v>71</v>
      </c>
      <c r="C43" s="34" t="s">
        <v>2131</v>
      </c>
      <c r="D43" s="34" t="s">
        <v>33</v>
      </c>
      <c r="E43" s="37" t="s">
        <v>347</v>
      </c>
      <c r="F43" s="37"/>
      <c r="G43" s="37"/>
      <c r="H43" s="37"/>
      <c r="I43" s="448" t="s">
        <v>421</v>
      </c>
      <c r="J43" s="2"/>
      <c r="K43" s="554">
        <v>45717</v>
      </c>
      <c r="L43" s="554"/>
      <c r="M43" s="554" t="s">
        <v>2255</v>
      </c>
      <c r="N43" s="34" t="s">
        <v>425</v>
      </c>
      <c r="O43" s="272" t="s">
        <v>423</v>
      </c>
      <c r="P43" s="35" t="s">
        <v>424</v>
      </c>
      <c r="Q43" s="2"/>
    </row>
    <row r="44" spans="1:17" ht="14.5" customHeight="1" x14ac:dyDescent="0.35">
      <c r="A44" s="34">
        <v>42</v>
      </c>
      <c r="B44" s="34" t="s">
        <v>76</v>
      </c>
      <c r="C44" s="34" t="s">
        <v>2131</v>
      </c>
      <c r="D44" s="34" t="s">
        <v>31</v>
      </c>
      <c r="E44" s="34" t="s">
        <v>347</v>
      </c>
      <c r="F44" s="34"/>
      <c r="G44" s="34"/>
      <c r="H44" s="34"/>
      <c r="I44" s="448" t="s">
        <v>421</v>
      </c>
      <c r="J44" s="2"/>
      <c r="K44" s="554">
        <v>45717</v>
      </c>
      <c r="L44" s="554"/>
      <c r="M44" s="554" t="s">
        <v>2255</v>
      </c>
      <c r="N44" s="34" t="s">
        <v>429</v>
      </c>
      <c r="O44" s="272" t="s">
        <v>423</v>
      </c>
      <c r="P44" s="36"/>
      <c r="Q44" s="2"/>
    </row>
    <row r="45" spans="1:17" ht="14.5" customHeight="1" x14ac:dyDescent="0.35">
      <c r="A45" s="34">
        <v>43</v>
      </c>
      <c r="B45" s="34" t="s">
        <v>86</v>
      </c>
      <c r="C45" s="34" t="s">
        <v>2131</v>
      </c>
      <c r="D45" s="34" t="s">
        <v>31</v>
      </c>
      <c r="E45" s="34" t="s">
        <v>347</v>
      </c>
      <c r="F45" s="34"/>
      <c r="G45" s="34"/>
      <c r="H45" s="34"/>
      <c r="I45" s="448" t="s">
        <v>421</v>
      </c>
      <c r="J45" s="2"/>
      <c r="K45" s="554">
        <v>45717</v>
      </c>
      <c r="L45" s="554"/>
      <c r="M45" s="554" t="s">
        <v>2255</v>
      </c>
      <c r="N45" s="34" t="s">
        <v>428</v>
      </c>
      <c r="O45" s="272" t="s">
        <v>423</v>
      </c>
      <c r="P45" s="36"/>
      <c r="Q45" s="2"/>
    </row>
    <row r="46" spans="1:17" ht="14.5" customHeight="1" x14ac:dyDescent="0.35">
      <c r="A46" s="34">
        <v>44</v>
      </c>
      <c r="B46" s="34" t="s">
        <v>109</v>
      </c>
      <c r="C46" s="34" t="s">
        <v>2131</v>
      </c>
      <c r="D46" s="34" t="s">
        <v>31</v>
      </c>
      <c r="E46" s="34" t="s">
        <v>347</v>
      </c>
      <c r="F46" s="34"/>
      <c r="G46" s="34"/>
      <c r="H46" s="34"/>
      <c r="I46" s="448" t="s">
        <v>421</v>
      </c>
      <c r="J46" s="2"/>
      <c r="K46" s="554">
        <v>45717</v>
      </c>
      <c r="L46" s="554"/>
      <c r="M46" s="554" t="s">
        <v>2255</v>
      </c>
      <c r="N46" s="34" t="s">
        <v>426</v>
      </c>
      <c r="O46" s="272" t="s">
        <v>423</v>
      </c>
      <c r="P46" s="35" t="s">
        <v>424</v>
      </c>
      <c r="Q46" s="2"/>
    </row>
    <row r="47" spans="1:17" ht="14.5" customHeight="1" x14ac:dyDescent="0.35">
      <c r="A47" s="34">
        <v>45</v>
      </c>
      <c r="B47" s="34" t="s">
        <v>105</v>
      </c>
      <c r="C47" s="34" t="s">
        <v>2131</v>
      </c>
      <c r="D47" s="34" t="s">
        <v>16</v>
      </c>
      <c r="E47" s="37" t="s">
        <v>347</v>
      </c>
      <c r="F47" s="37"/>
      <c r="G47" s="37"/>
      <c r="H47" s="37"/>
      <c r="I47" s="448" t="s">
        <v>421</v>
      </c>
      <c r="J47" s="2"/>
      <c r="K47" s="554">
        <v>45717</v>
      </c>
      <c r="L47" s="554"/>
      <c r="M47" s="554" t="s">
        <v>2255</v>
      </c>
      <c r="N47" s="34" t="s">
        <v>426</v>
      </c>
      <c r="O47" s="272" t="s">
        <v>423</v>
      </c>
      <c r="P47" s="35" t="s">
        <v>424</v>
      </c>
      <c r="Q47" s="2"/>
    </row>
    <row r="48" spans="1:17" ht="14.5" customHeight="1" x14ac:dyDescent="0.35">
      <c r="A48" s="34">
        <v>46</v>
      </c>
      <c r="B48" s="34" t="s">
        <v>73</v>
      </c>
      <c r="C48" s="34" t="s">
        <v>2131</v>
      </c>
      <c r="D48" s="34" t="s">
        <v>23</v>
      </c>
      <c r="E48" s="34" t="s">
        <v>347</v>
      </c>
      <c r="F48" s="34"/>
      <c r="G48" s="34"/>
      <c r="H48" s="34"/>
      <c r="I48" s="448" t="s">
        <v>421</v>
      </c>
      <c r="J48" s="2"/>
      <c r="K48" s="554">
        <v>45717</v>
      </c>
      <c r="L48" s="554"/>
      <c r="M48" s="554" t="s">
        <v>2255</v>
      </c>
      <c r="N48" s="34" t="s">
        <v>425</v>
      </c>
      <c r="O48" s="272" t="s">
        <v>423</v>
      </c>
      <c r="P48" s="35" t="s">
        <v>424</v>
      </c>
      <c r="Q48" s="2"/>
    </row>
    <row r="49" spans="1:17" ht="14.5" customHeight="1" x14ac:dyDescent="0.35">
      <c r="A49" s="34">
        <v>47</v>
      </c>
      <c r="B49" s="34" t="s">
        <v>74</v>
      </c>
      <c r="C49" s="34" t="s">
        <v>2131</v>
      </c>
      <c r="D49" s="34" t="s">
        <v>31</v>
      </c>
      <c r="E49" s="34" t="s">
        <v>347</v>
      </c>
      <c r="F49" s="34"/>
      <c r="G49" s="34"/>
      <c r="H49" s="34"/>
      <c r="I49" s="448" t="s">
        <v>421</v>
      </c>
      <c r="J49" s="2"/>
      <c r="K49" s="554">
        <v>45717</v>
      </c>
      <c r="L49" s="554"/>
      <c r="M49" s="554" t="s">
        <v>2255</v>
      </c>
      <c r="N49" s="34" t="s">
        <v>429</v>
      </c>
      <c r="O49" s="272" t="s">
        <v>423</v>
      </c>
      <c r="P49" s="36"/>
      <c r="Q49" s="2"/>
    </row>
    <row r="50" spans="1:17" ht="14.5" customHeight="1" x14ac:dyDescent="0.35">
      <c r="A50" s="34">
        <v>48</v>
      </c>
      <c r="B50" s="34" t="s">
        <v>111</v>
      </c>
      <c r="C50" s="34" t="s">
        <v>2131</v>
      </c>
      <c r="D50" s="34" t="s">
        <v>31</v>
      </c>
      <c r="E50" s="34" t="s">
        <v>347</v>
      </c>
      <c r="F50" s="34"/>
      <c r="G50" s="34"/>
      <c r="H50" s="34"/>
      <c r="I50" s="448" t="s">
        <v>421</v>
      </c>
      <c r="J50" s="2"/>
      <c r="K50" s="554">
        <v>45717</v>
      </c>
      <c r="L50" s="554"/>
      <c r="M50" s="554" t="s">
        <v>2255</v>
      </c>
      <c r="N50" s="34" t="s">
        <v>426</v>
      </c>
      <c r="O50" s="272" t="s">
        <v>423</v>
      </c>
      <c r="P50" s="35" t="s">
        <v>424</v>
      </c>
      <c r="Q50" s="2"/>
    </row>
    <row r="51" spans="1:17" ht="14.5" customHeight="1" x14ac:dyDescent="0.35">
      <c r="A51" s="34">
        <v>49</v>
      </c>
      <c r="B51" s="34" t="s">
        <v>110</v>
      </c>
      <c r="C51" s="34" t="s">
        <v>2131</v>
      </c>
      <c r="D51" s="34" t="s">
        <v>16</v>
      </c>
      <c r="E51" s="34" t="s">
        <v>349</v>
      </c>
      <c r="F51" s="34"/>
      <c r="G51" s="34"/>
      <c r="H51" s="34"/>
      <c r="I51" s="448" t="s">
        <v>421</v>
      </c>
      <c r="J51" s="2"/>
      <c r="K51" s="554">
        <v>45717</v>
      </c>
      <c r="L51" s="554"/>
      <c r="M51" s="554" t="s">
        <v>2255</v>
      </c>
      <c r="N51" s="34" t="s">
        <v>426</v>
      </c>
      <c r="O51" s="272" t="s">
        <v>423</v>
      </c>
      <c r="P51" s="35" t="s">
        <v>424</v>
      </c>
      <c r="Q51" s="2"/>
    </row>
    <row r="52" spans="1:17" ht="14.5" customHeight="1" x14ac:dyDescent="0.35">
      <c r="A52" s="34">
        <v>50</v>
      </c>
      <c r="B52" s="34" t="s">
        <v>136</v>
      </c>
      <c r="C52" s="34" t="s">
        <v>2131</v>
      </c>
      <c r="D52" s="34" t="s">
        <v>16</v>
      </c>
      <c r="E52" s="37" t="s">
        <v>347</v>
      </c>
      <c r="F52" s="37"/>
      <c r="G52" s="37"/>
      <c r="H52" s="37"/>
      <c r="I52" s="448" t="s">
        <v>421</v>
      </c>
      <c r="J52" s="2"/>
      <c r="K52" s="554">
        <v>45717</v>
      </c>
      <c r="L52" s="554"/>
      <c r="M52" s="554" t="s">
        <v>2255</v>
      </c>
      <c r="N52" s="34" t="s">
        <v>426</v>
      </c>
      <c r="O52" s="272" t="s">
        <v>423</v>
      </c>
      <c r="P52" s="35" t="s">
        <v>424</v>
      </c>
      <c r="Q52" s="2"/>
    </row>
    <row r="53" spans="1:17" ht="14.5" customHeight="1" x14ac:dyDescent="0.35">
      <c r="A53" s="34">
        <v>51</v>
      </c>
      <c r="B53" s="34" t="s">
        <v>134</v>
      </c>
      <c r="C53" s="34" t="s">
        <v>2131</v>
      </c>
      <c r="D53" s="34" t="s">
        <v>31</v>
      </c>
      <c r="E53" s="34" t="s">
        <v>347</v>
      </c>
      <c r="F53" s="34"/>
      <c r="G53" s="34"/>
      <c r="H53" s="34"/>
      <c r="I53" s="448" t="s">
        <v>421</v>
      </c>
      <c r="J53" s="2"/>
      <c r="K53" s="554">
        <v>45717</v>
      </c>
      <c r="L53" s="554"/>
      <c r="M53" s="554" t="s">
        <v>2255</v>
      </c>
      <c r="N53" s="34" t="s">
        <v>426</v>
      </c>
      <c r="O53" s="272" t="s">
        <v>423</v>
      </c>
      <c r="P53" s="35" t="s">
        <v>424</v>
      </c>
      <c r="Q53" s="2"/>
    </row>
    <row r="54" spans="1:17" ht="14.5" customHeight="1" x14ac:dyDescent="0.35">
      <c r="A54" s="34">
        <v>52</v>
      </c>
      <c r="B54" s="34" t="s">
        <v>211</v>
      </c>
      <c r="C54" s="34" t="s">
        <v>2132</v>
      </c>
      <c r="D54" s="34" t="s">
        <v>31</v>
      </c>
      <c r="E54" s="34" t="s">
        <v>347</v>
      </c>
      <c r="F54" s="34"/>
      <c r="G54" s="34"/>
      <c r="H54" s="34"/>
      <c r="I54" s="448" t="s">
        <v>421</v>
      </c>
      <c r="J54" s="2"/>
      <c r="K54" s="554">
        <v>45717</v>
      </c>
      <c r="L54" s="554"/>
      <c r="M54" s="554" t="s">
        <v>2255</v>
      </c>
      <c r="N54" s="34" t="s">
        <v>429</v>
      </c>
      <c r="O54" s="272" t="s">
        <v>423</v>
      </c>
      <c r="P54" s="35" t="s">
        <v>424</v>
      </c>
      <c r="Q54" s="2"/>
    </row>
    <row r="55" spans="1:17" ht="14.5" customHeight="1" x14ac:dyDescent="0.35">
      <c r="A55" s="34">
        <v>53</v>
      </c>
      <c r="B55" s="34" t="s">
        <v>214</v>
      </c>
      <c r="C55" s="34" t="s">
        <v>2132</v>
      </c>
      <c r="D55" s="34" t="s">
        <v>31</v>
      </c>
      <c r="E55" s="34" t="s">
        <v>347</v>
      </c>
      <c r="F55" s="34"/>
      <c r="G55" s="34"/>
      <c r="H55" s="34"/>
      <c r="I55" s="448" t="s">
        <v>421</v>
      </c>
      <c r="J55" s="2"/>
      <c r="K55" s="554">
        <v>45748</v>
      </c>
      <c r="L55" s="554"/>
      <c r="M55" s="554" t="s">
        <v>2256</v>
      </c>
      <c r="N55" s="34" t="s">
        <v>425</v>
      </c>
      <c r="O55" s="272" t="s">
        <v>423</v>
      </c>
      <c r="P55" s="35" t="s">
        <v>424</v>
      </c>
      <c r="Q55" s="2"/>
    </row>
    <row r="56" spans="1:17" ht="14.5" customHeight="1" x14ac:dyDescent="0.35">
      <c r="A56" s="34">
        <v>54</v>
      </c>
      <c r="B56" s="34" t="s">
        <v>139</v>
      </c>
      <c r="C56" s="34" t="s">
        <v>2131</v>
      </c>
      <c r="D56" s="34" t="s">
        <v>33</v>
      </c>
      <c r="E56" s="37" t="s">
        <v>347</v>
      </c>
      <c r="F56" s="37"/>
      <c r="G56" s="37"/>
      <c r="H56" s="37"/>
      <c r="I56" s="448" t="s">
        <v>421</v>
      </c>
      <c r="J56" s="2"/>
      <c r="K56" s="554">
        <v>45748</v>
      </c>
      <c r="L56" s="554"/>
      <c r="M56" s="554" t="s">
        <v>2256</v>
      </c>
      <c r="N56" s="34" t="s">
        <v>426</v>
      </c>
      <c r="O56" s="272" t="s">
        <v>423</v>
      </c>
      <c r="P56" s="35" t="s">
        <v>424</v>
      </c>
      <c r="Q56" s="2"/>
    </row>
    <row r="57" spans="1:17" ht="14.5" customHeight="1" x14ac:dyDescent="0.35">
      <c r="A57" s="34">
        <v>55</v>
      </c>
      <c r="B57" s="34" t="s">
        <v>135</v>
      </c>
      <c r="C57" s="34" t="s">
        <v>2131</v>
      </c>
      <c r="D57" s="34" t="s">
        <v>31</v>
      </c>
      <c r="E57" s="34" t="s">
        <v>347</v>
      </c>
      <c r="F57" s="34"/>
      <c r="G57" s="34"/>
      <c r="H57" s="34"/>
      <c r="I57" s="448" t="s">
        <v>421</v>
      </c>
      <c r="J57" s="2"/>
      <c r="K57" s="554">
        <v>45748</v>
      </c>
      <c r="L57" s="554"/>
      <c r="M57" s="554" t="s">
        <v>2256</v>
      </c>
      <c r="N57" s="34" t="s">
        <v>426</v>
      </c>
      <c r="O57" s="272" t="s">
        <v>423</v>
      </c>
      <c r="P57" s="35" t="s">
        <v>424</v>
      </c>
      <c r="Q57" s="2"/>
    </row>
    <row r="58" spans="1:17" ht="14.5" customHeight="1" x14ac:dyDescent="0.35">
      <c r="A58" s="34">
        <v>56</v>
      </c>
      <c r="B58" s="34" t="s">
        <v>209</v>
      </c>
      <c r="C58" s="34" t="s">
        <v>2132</v>
      </c>
      <c r="D58" s="34" t="s">
        <v>31</v>
      </c>
      <c r="E58" s="34" t="s">
        <v>347</v>
      </c>
      <c r="F58" s="34"/>
      <c r="G58" s="34"/>
      <c r="H58" s="34"/>
      <c r="I58" s="448" t="s">
        <v>421</v>
      </c>
      <c r="J58" s="2"/>
      <c r="K58" s="554">
        <v>45748</v>
      </c>
      <c r="L58" s="554"/>
      <c r="M58" s="554" t="s">
        <v>2256</v>
      </c>
      <c r="N58" s="34" t="s">
        <v>429</v>
      </c>
      <c r="O58" s="272" t="s">
        <v>423</v>
      </c>
      <c r="P58" s="35" t="s">
        <v>424</v>
      </c>
      <c r="Q58" s="2"/>
    </row>
    <row r="59" spans="1:17" ht="14.5" customHeight="1" x14ac:dyDescent="0.35">
      <c r="A59" s="34">
        <v>57</v>
      </c>
      <c r="B59" s="34" t="s">
        <v>210</v>
      </c>
      <c r="C59" s="34" t="s">
        <v>2132</v>
      </c>
      <c r="D59" s="34" t="s">
        <v>31</v>
      </c>
      <c r="E59" s="34" t="s">
        <v>347</v>
      </c>
      <c r="F59" s="34"/>
      <c r="G59" s="34"/>
      <c r="H59" s="34"/>
      <c r="I59" s="448" t="s">
        <v>421</v>
      </c>
      <c r="J59" s="2"/>
      <c r="K59" s="554">
        <v>45748</v>
      </c>
      <c r="L59" s="554"/>
      <c r="M59" s="554" t="s">
        <v>2256</v>
      </c>
      <c r="N59" s="34" t="s">
        <v>429</v>
      </c>
      <c r="O59" s="272" t="s">
        <v>423</v>
      </c>
      <c r="P59" s="35" t="s">
        <v>424</v>
      </c>
      <c r="Q59" s="2"/>
    </row>
    <row r="60" spans="1:17" ht="14.5" customHeight="1" x14ac:dyDescent="0.35">
      <c r="A60" s="34">
        <v>58</v>
      </c>
      <c r="B60" s="34" t="s">
        <v>212</v>
      </c>
      <c r="C60" s="34" t="s">
        <v>2132</v>
      </c>
      <c r="D60" s="34" t="s">
        <v>31</v>
      </c>
      <c r="E60" s="34" t="s">
        <v>347</v>
      </c>
      <c r="F60" s="34"/>
      <c r="G60" s="34"/>
      <c r="H60" s="34"/>
      <c r="I60" s="448" t="s">
        <v>421</v>
      </c>
      <c r="J60" s="2"/>
      <c r="K60" s="554">
        <v>45748</v>
      </c>
      <c r="L60" s="554"/>
      <c r="M60" s="554" t="s">
        <v>2256</v>
      </c>
      <c r="N60" s="34" t="s">
        <v>425</v>
      </c>
      <c r="O60" s="272" t="s">
        <v>423</v>
      </c>
      <c r="P60" s="35" t="s">
        <v>424</v>
      </c>
      <c r="Q60" s="2"/>
    </row>
    <row r="61" spans="1:17" ht="14.5" customHeight="1" x14ac:dyDescent="0.35">
      <c r="A61" s="34">
        <v>59</v>
      </c>
      <c r="B61" s="34" t="s">
        <v>142</v>
      </c>
      <c r="C61" s="34" t="s">
        <v>2131</v>
      </c>
      <c r="D61" s="34" t="s">
        <v>14</v>
      </c>
      <c r="E61" s="34" t="s">
        <v>347</v>
      </c>
      <c r="F61" s="34"/>
      <c r="G61" s="34"/>
      <c r="H61" s="34"/>
      <c r="I61" s="448" t="s">
        <v>421</v>
      </c>
      <c r="J61" s="2"/>
      <c r="K61" s="554">
        <v>45748</v>
      </c>
      <c r="L61" s="554"/>
      <c r="M61" s="554" t="s">
        <v>2256</v>
      </c>
      <c r="N61" s="34" t="s">
        <v>426</v>
      </c>
      <c r="O61" s="272" t="s">
        <v>423</v>
      </c>
      <c r="P61" s="35" t="s">
        <v>424</v>
      </c>
      <c r="Q61" s="2"/>
    </row>
    <row r="62" spans="1:17" ht="14.5" customHeight="1" x14ac:dyDescent="0.35">
      <c r="A62" s="34">
        <v>60</v>
      </c>
      <c r="B62" s="262" t="s">
        <v>140</v>
      </c>
      <c r="C62" s="34" t="s">
        <v>2131</v>
      </c>
      <c r="D62" s="34" t="s">
        <v>31</v>
      </c>
      <c r="E62" s="34" t="s">
        <v>347</v>
      </c>
      <c r="F62" s="34"/>
      <c r="G62" s="34"/>
      <c r="H62" s="34"/>
      <c r="I62" s="448" t="s">
        <v>421</v>
      </c>
      <c r="J62" s="2"/>
      <c r="K62" s="554">
        <v>45748</v>
      </c>
      <c r="L62" s="554"/>
      <c r="M62" s="554" t="s">
        <v>2256</v>
      </c>
      <c r="N62" s="34" t="s">
        <v>426</v>
      </c>
      <c r="O62" s="272" t="s">
        <v>423</v>
      </c>
      <c r="P62" s="36"/>
      <c r="Q62" s="2"/>
    </row>
    <row r="63" spans="1:17" ht="14.5" customHeight="1" x14ac:dyDescent="0.35">
      <c r="A63" s="34">
        <v>61</v>
      </c>
      <c r="B63" s="263" t="s">
        <v>124</v>
      </c>
      <c r="C63" s="34" t="s">
        <v>2131</v>
      </c>
      <c r="D63" s="34" t="s">
        <v>23</v>
      </c>
      <c r="E63" s="34" t="s">
        <v>348</v>
      </c>
      <c r="F63" s="34"/>
      <c r="G63" s="34"/>
      <c r="H63" s="34"/>
      <c r="I63" s="448" t="s">
        <v>421</v>
      </c>
      <c r="J63" s="2"/>
      <c r="K63" s="554">
        <v>45748</v>
      </c>
      <c r="L63" s="554"/>
      <c r="M63" s="554" t="s">
        <v>2256</v>
      </c>
      <c r="N63" s="34" t="s">
        <v>430</v>
      </c>
      <c r="O63" s="272" t="s">
        <v>423</v>
      </c>
      <c r="P63" s="36"/>
      <c r="Q63" s="2"/>
    </row>
    <row r="64" spans="1:17" ht="14.5" customHeight="1" x14ac:dyDescent="0.35">
      <c r="A64" s="34">
        <v>62</v>
      </c>
      <c r="B64" s="262" t="s">
        <v>141</v>
      </c>
      <c r="C64" s="34" t="s">
        <v>2131</v>
      </c>
      <c r="D64" s="34" t="s">
        <v>16</v>
      </c>
      <c r="E64" s="34" t="s">
        <v>347</v>
      </c>
      <c r="F64" s="34"/>
      <c r="G64" s="34"/>
      <c r="H64" s="34"/>
      <c r="I64" s="448" t="s">
        <v>421</v>
      </c>
      <c r="J64" s="2"/>
      <c r="K64" s="554">
        <v>45748</v>
      </c>
      <c r="L64" s="554"/>
      <c r="M64" s="554" t="s">
        <v>2256</v>
      </c>
      <c r="N64" s="34" t="s">
        <v>426</v>
      </c>
      <c r="O64" s="272" t="s">
        <v>423</v>
      </c>
      <c r="P64" s="35" t="s">
        <v>424</v>
      </c>
      <c r="Q64" s="2"/>
    </row>
    <row r="65" spans="1:17" ht="14.5" customHeight="1" x14ac:dyDescent="0.35">
      <c r="A65" s="34">
        <v>63</v>
      </c>
      <c r="B65" s="34" t="s">
        <v>208</v>
      </c>
      <c r="C65" s="34" t="s">
        <v>2132</v>
      </c>
      <c r="D65" s="34" t="s">
        <v>33</v>
      </c>
      <c r="E65" s="34" t="s">
        <v>348</v>
      </c>
      <c r="F65" s="34"/>
      <c r="G65" s="34"/>
      <c r="H65" s="34"/>
      <c r="I65" s="448" t="s">
        <v>421</v>
      </c>
      <c r="J65" s="2"/>
      <c r="K65" s="554">
        <v>45748</v>
      </c>
      <c r="L65" s="554"/>
      <c r="M65" s="554" t="s">
        <v>2256</v>
      </c>
      <c r="N65" s="34" t="s">
        <v>429</v>
      </c>
      <c r="O65" s="272" t="s">
        <v>423</v>
      </c>
      <c r="P65" s="35" t="s">
        <v>424</v>
      </c>
      <c r="Q65" s="2"/>
    </row>
    <row r="66" spans="1:17" ht="14.5" customHeight="1" x14ac:dyDescent="0.35">
      <c r="A66" s="34">
        <v>64</v>
      </c>
      <c r="B66" s="262" t="s">
        <v>143</v>
      </c>
      <c r="C66" s="34" t="s">
        <v>2131</v>
      </c>
      <c r="D66" s="34" t="s">
        <v>35</v>
      </c>
      <c r="E66" s="34" t="s">
        <v>347</v>
      </c>
      <c r="F66" s="34"/>
      <c r="G66" s="34"/>
      <c r="H66" s="34"/>
      <c r="I66" s="448" t="s">
        <v>421</v>
      </c>
      <c r="J66" s="2"/>
      <c r="K66" s="554">
        <v>45748</v>
      </c>
      <c r="L66" s="554"/>
      <c r="M66" s="554" t="s">
        <v>2256</v>
      </c>
      <c r="N66" s="34" t="s">
        <v>426</v>
      </c>
      <c r="O66" s="272" t="s">
        <v>423</v>
      </c>
      <c r="P66" s="35" t="s">
        <v>424</v>
      </c>
      <c r="Q66" s="2"/>
    </row>
    <row r="67" spans="1:17" ht="14.5" customHeight="1" x14ac:dyDescent="0.35">
      <c r="A67" s="34">
        <v>65</v>
      </c>
      <c r="B67" s="34" t="s">
        <v>220</v>
      </c>
      <c r="C67" s="34" t="s">
        <v>2132</v>
      </c>
      <c r="D67" s="34" t="s">
        <v>33</v>
      </c>
      <c r="E67" s="34" t="s">
        <v>347</v>
      </c>
      <c r="F67" s="34"/>
      <c r="G67" s="34"/>
      <c r="H67" s="34"/>
      <c r="I67" s="448" t="s">
        <v>421</v>
      </c>
      <c r="J67" s="2"/>
      <c r="K67" s="554">
        <v>45748</v>
      </c>
      <c r="L67" s="554"/>
      <c r="M67" s="554" t="s">
        <v>2256</v>
      </c>
      <c r="N67" s="34" t="s">
        <v>425</v>
      </c>
      <c r="O67" s="272" t="s">
        <v>423</v>
      </c>
      <c r="P67" s="35" t="s">
        <v>424</v>
      </c>
      <c r="Q67" s="2"/>
    </row>
    <row r="68" spans="1:17" ht="14.5" customHeight="1" x14ac:dyDescent="0.35">
      <c r="A68" s="34">
        <v>66</v>
      </c>
      <c r="B68" s="262" t="s">
        <v>144</v>
      </c>
      <c r="C68" s="34" t="s">
        <v>2131</v>
      </c>
      <c r="D68" s="34" t="s">
        <v>31</v>
      </c>
      <c r="E68" s="34" t="s">
        <v>347</v>
      </c>
      <c r="F68" s="34"/>
      <c r="G68" s="34"/>
      <c r="H68" s="34"/>
      <c r="I68" s="448" t="s">
        <v>421</v>
      </c>
      <c r="J68" s="2"/>
      <c r="K68" s="554">
        <v>45748</v>
      </c>
      <c r="L68" s="554"/>
      <c r="M68" s="554" t="s">
        <v>2256</v>
      </c>
      <c r="N68" s="34" t="s">
        <v>426</v>
      </c>
      <c r="O68" s="272" t="s">
        <v>423</v>
      </c>
      <c r="P68" s="35" t="s">
        <v>424</v>
      </c>
      <c r="Q68" s="2"/>
    </row>
    <row r="69" spans="1:17" ht="14.5" customHeight="1" x14ac:dyDescent="0.35">
      <c r="A69" s="34">
        <v>67</v>
      </c>
      <c r="B69" s="262" t="s">
        <v>138</v>
      </c>
      <c r="C69" s="34" t="s">
        <v>2131</v>
      </c>
      <c r="D69" s="34" t="s">
        <v>23</v>
      </c>
      <c r="E69" s="34" t="s">
        <v>347</v>
      </c>
      <c r="F69" s="34"/>
      <c r="G69" s="34"/>
      <c r="H69" s="34"/>
      <c r="I69" s="448" t="s">
        <v>421</v>
      </c>
      <c r="J69" s="2"/>
      <c r="K69" s="554">
        <v>45748</v>
      </c>
      <c r="L69" s="554"/>
      <c r="M69" s="554" t="s">
        <v>2256</v>
      </c>
      <c r="N69" s="34" t="s">
        <v>426</v>
      </c>
      <c r="O69" s="272" t="s">
        <v>423</v>
      </c>
      <c r="P69" s="35" t="s">
        <v>424</v>
      </c>
      <c r="Q69" s="2"/>
    </row>
    <row r="70" spans="1:17" ht="14.5" customHeight="1" x14ac:dyDescent="0.35">
      <c r="A70" s="34">
        <v>68</v>
      </c>
      <c r="B70" s="262" t="s">
        <v>125</v>
      </c>
      <c r="C70" s="34" t="s">
        <v>2131</v>
      </c>
      <c r="D70" s="34" t="s">
        <v>31</v>
      </c>
      <c r="E70" s="34" t="s">
        <v>348</v>
      </c>
      <c r="F70" s="34"/>
      <c r="G70" s="34"/>
      <c r="H70" s="34"/>
      <c r="I70" s="448" t="s">
        <v>421</v>
      </c>
      <c r="J70" s="2"/>
      <c r="K70" s="554">
        <v>45748</v>
      </c>
      <c r="L70" s="554"/>
      <c r="M70" s="554" t="s">
        <v>2256</v>
      </c>
      <c r="N70" s="34" t="s">
        <v>430</v>
      </c>
      <c r="O70" s="272" t="s">
        <v>423</v>
      </c>
      <c r="P70" s="36"/>
      <c r="Q70" s="2"/>
    </row>
    <row r="71" spans="1:17" ht="14.5" customHeight="1" x14ac:dyDescent="0.35">
      <c r="A71" s="34">
        <v>69</v>
      </c>
      <c r="B71" s="263" t="s">
        <v>224</v>
      </c>
      <c r="C71" s="34" t="s">
        <v>2132</v>
      </c>
      <c r="D71" s="34" t="s">
        <v>16</v>
      </c>
      <c r="E71" s="34" t="s">
        <v>347</v>
      </c>
      <c r="F71" s="34"/>
      <c r="G71" s="34"/>
      <c r="H71" s="34"/>
      <c r="I71" s="448" t="s">
        <v>421</v>
      </c>
      <c r="J71" s="2"/>
      <c r="K71" s="554">
        <v>45748</v>
      </c>
      <c r="L71" s="554"/>
      <c r="M71" s="554" t="s">
        <v>2256</v>
      </c>
      <c r="N71" s="34" t="s">
        <v>429</v>
      </c>
      <c r="O71" s="272" t="s">
        <v>423</v>
      </c>
      <c r="P71" s="35" t="s">
        <v>424</v>
      </c>
      <c r="Q71" s="2"/>
    </row>
    <row r="72" spans="1:17" ht="14.5" customHeight="1" x14ac:dyDescent="0.35">
      <c r="A72" s="34">
        <v>70</v>
      </c>
      <c r="B72" s="34" t="s">
        <v>137</v>
      </c>
      <c r="C72" s="34" t="s">
        <v>2131</v>
      </c>
      <c r="D72" s="34" t="s">
        <v>23</v>
      </c>
      <c r="E72" s="34" t="s">
        <v>347</v>
      </c>
      <c r="F72" s="34"/>
      <c r="G72" s="34"/>
      <c r="H72" s="34"/>
      <c r="I72" s="448" t="s">
        <v>421</v>
      </c>
      <c r="J72" s="2"/>
      <c r="K72" s="554">
        <v>45748</v>
      </c>
      <c r="L72" s="554"/>
      <c r="M72" s="554" t="s">
        <v>2256</v>
      </c>
      <c r="N72" s="34" t="s">
        <v>426</v>
      </c>
      <c r="O72" s="272" t="s">
        <v>423</v>
      </c>
      <c r="P72" s="35" t="s">
        <v>424</v>
      </c>
      <c r="Q72" s="2"/>
    </row>
    <row r="73" spans="1:17" ht="14.5" customHeight="1" x14ac:dyDescent="0.35">
      <c r="A73" s="34">
        <v>71</v>
      </c>
      <c r="B73" s="34" t="s">
        <v>239</v>
      </c>
      <c r="C73" s="34" t="s">
        <v>2132</v>
      </c>
      <c r="D73" s="34" t="s">
        <v>33</v>
      </c>
      <c r="E73" s="34" t="s">
        <v>347</v>
      </c>
      <c r="F73" s="34"/>
      <c r="G73" s="34"/>
      <c r="H73" s="34"/>
      <c r="I73" s="448" t="s">
        <v>421</v>
      </c>
      <c r="J73" s="2"/>
      <c r="K73" s="554">
        <v>45748</v>
      </c>
      <c r="L73" s="554"/>
      <c r="M73" s="554" t="s">
        <v>2256</v>
      </c>
      <c r="N73" s="34" t="s">
        <v>428</v>
      </c>
      <c r="O73" s="272" t="s">
        <v>423</v>
      </c>
      <c r="P73" s="35" t="s">
        <v>424</v>
      </c>
      <c r="Q73" s="2"/>
    </row>
    <row r="74" spans="1:17" ht="14.5" customHeight="1" x14ac:dyDescent="0.35">
      <c r="A74" s="34">
        <v>72</v>
      </c>
      <c r="B74" s="34" t="s">
        <v>221</v>
      </c>
      <c r="C74" s="34" t="s">
        <v>2132</v>
      </c>
      <c r="D74" s="34" t="s">
        <v>31</v>
      </c>
      <c r="E74" s="34" t="s">
        <v>347</v>
      </c>
      <c r="F74" s="34"/>
      <c r="G74" s="34"/>
      <c r="H74" s="34"/>
      <c r="I74" s="448" t="s">
        <v>421</v>
      </c>
      <c r="J74" s="2"/>
      <c r="K74" s="554">
        <v>45748</v>
      </c>
      <c r="L74" s="554"/>
      <c r="M74" s="554" t="s">
        <v>2256</v>
      </c>
      <c r="N74" s="34" t="s">
        <v>425</v>
      </c>
      <c r="O74" s="272" t="s">
        <v>423</v>
      </c>
      <c r="P74" s="35" t="s">
        <v>424</v>
      </c>
      <c r="Q74" s="2"/>
    </row>
    <row r="75" spans="1:17" ht="14.5" customHeight="1" x14ac:dyDescent="0.35">
      <c r="A75" s="34">
        <v>73</v>
      </c>
      <c r="B75" s="262" t="s">
        <v>149</v>
      </c>
      <c r="C75" s="34" t="s">
        <v>2131</v>
      </c>
      <c r="D75" s="34" t="s">
        <v>35</v>
      </c>
      <c r="E75" s="34" t="s">
        <v>347</v>
      </c>
      <c r="F75" s="34"/>
      <c r="G75" s="34"/>
      <c r="H75" s="34"/>
      <c r="I75" s="448" t="s">
        <v>421</v>
      </c>
      <c r="J75" s="2"/>
      <c r="K75" s="554">
        <v>45748</v>
      </c>
      <c r="L75" s="554"/>
      <c r="M75" s="554" t="s">
        <v>2256</v>
      </c>
      <c r="N75" s="34" t="s">
        <v>426</v>
      </c>
      <c r="O75" s="272" t="s">
        <v>423</v>
      </c>
      <c r="P75" s="35" t="s">
        <v>424</v>
      </c>
      <c r="Q75" s="2"/>
    </row>
    <row r="76" spans="1:17" ht="14.5" customHeight="1" x14ac:dyDescent="0.35">
      <c r="A76" s="34">
        <v>74</v>
      </c>
      <c r="B76" s="263" t="s">
        <v>58</v>
      </c>
      <c r="C76" s="34" t="s">
        <v>2131</v>
      </c>
      <c r="D76" s="34" t="s">
        <v>389</v>
      </c>
      <c r="E76" s="34" t="s">
        <v>348</v>
      </c>
      <c r="F76" s="34"/>
      <c r="G76" s="34"/>
      <c r="H76" s="34"/>
      <c r="I76" s="448" t="s">
        <v>421</v>
      </c>
      <c r="J76" s="2"/>
      <c r="K76" s="554">
        <v>45748</v>
      </c>
      <c r="L76" s="554"/>
      <c r="M76" s="554" t="s">
        <v>2256</v>
      </c>
      <c r="N76" s="34" t="s">
        <v>422</v>
      </c>
      <c r="O76" s="272" t="s">
        <v>423</v>
      </c>
      <c r="P76" s="36"/>
      <c r="Q76" s="2"/>
    </row>
    <row r="77" spans="1:17" ht="14.5" customHeight="1" x14ac:dyDescent="0.35">
      <c r="A77" s="34">
        <v>75</v>
      </c>
      <c r="B77" s="262" t="s">
        <v>150</v>
      </c>
      <c r="C77" s="34" t="s">
        <v>2131</v>
      </c>
      <c r="D77" s="34" t="s">
        <v>16</v>
      </c>
      <c r="E77" s="34" t="s">
        <v>347</v>
      </c>
      <c r="F77" s="34"/>
      <c r="G77" s="34"/>
      <c r="H77" s="34"/>
      <c r="I77" s="448" t="s">
        <v>421</v>
      </c>
      <c r="J77" s="2"/>
      <c r="K77" s="554">
        <v>45748</v>
      </c>
      <c r="L77" s="554"/>
      <c r="M77" s="554" t="s">
        <v>2256</v>
      </c>
      <c r="N77" s="34" t="s">
        <v>426</v>
      </c>
      <c r="O77" s="272" t="s">
        <v>423</v>
      </c>
      <c r="P77" s="35" t="s">
        <v>424</v>
      </c>
      <c r="Q77" s="2"/>
    </row>
    <row r="78" spans="1:17" ht="14.5" customHeight="1" x14ac:dyDescent="0.35">
      <c r="A78" s="34">
        <v>76</v>
      </c>
      <c r="B78" s="263" t="s">
        <v>240</v>
      </c>
      <c r="C78" s="34" t="s">
        <v>2132</v>
      </c>
      <c r="D78" s="34" t="s">
        <v>31</v>
      </c>
      <c r="E78" s="34" t="s">
        <v>347</v>
      </c>
      <c r="F78" s="34"/>
      <c r="G78" s="34"/>
      <c r="H78" s="34"/>
      <c r="I78" s="448" t="s">
        <v>421</v>
      </c>
      <c r="J78" s="2"/>
      <c r="K78" s="554">
        <v>45748</v>
      </c>
      <c r="L78" s="554"/>
      <c r="M78" s="554" t="s">
        <v>2256</v>
      </c>
      <c r="N78" s="34" t="s">
        <v>428</v>
      </c>
      <c r="O78" s="272" t="s">
        <v>423</v>
      </c>
      <c r="P78" s="35" t="s">
        <v>424</v>
      </c>
      <c r="Q78" s="2"/>
    </row>
    <row r="79" spans="1:17" ht="14.5" customHeight="1" x14ac:dyDescent="0.35">
      <c r="A79" s="34">
        <v>77</v>
      </c>
      <c r="B79" s="263" t="s">
        <v>225</v>
      </c>
      <c r="C79" s="34" t="s">
        <v>2132</v>
      </c>
      <c r="D79" s="34" t="s">
        <v>14</v>
      </c>
      <c r="E79" s="34" t="s">
        <v>347</v>
      </c>
      <c r="F79" s="34"/>
      <c r="G79" s="34"/>
      <c r="H79" s="34"/>
      <c r="I79" s="448" t="s">
        <v>421</v>
      </c>
      <c r="J79" s="2"/>
      <c r="K79" s="554">
        <v>45748</v>
      </c>
      <c r="L79" s="554"/>
      <c r="M79" s="554" t="s">
        <v>2256</v>
      </c>
      <c r="N79" s="34" t="s">
        <v>429</v>
      </c>
      <c r="O79" s="272" t="s">
        <v>423</v>
      </c>
      <c r="P79" s="35" t="s">
        <v>424</v>
      </c>
      <c r="Q79" s="2"/>
    </row>
    <row r="80" spans="1:17" ht="14.5" customHeight="1" x14ac:dyDescent="0.35">
      <c r="A80" s="34">
        <v>78</v>
      </c>
      <c r="B80" s="263" t="s">
        <v>222</v>
      </c>
      <c r="C80" s="34" t="s">
        <v>2132</v>
      </c>
      <c r="D80" s="34" t="s">
        <v>31</v>
      </c>
      <c r="E80" s="34" t="s">
        <v>347</v>
      </c>
      <c r="F80" s="34"/>
      <c r="G80" s="34"/>
      <c r="H80" s="34"/>
      <c r="I80" s="448" t="s">
        <v>421</v>
      </c>
      <c r="J80" s="2"/>
      <c r="K80" s="554">
        <v>45748</v>
      </c>
      <c r="L80" s="554"/>
      <c r="M80" s="554" t="s">
        <v>2256</v>
      </c>
      <c r="N80" s="34" t="s">
        <v>425</v>
      </c>
      <c r="O80" s="272" t="s">
        <v>423</v>
      </c>
      <c r="P80" s="35" t="s">
        <v>424</v>
      </c>
      <c r="Q80" s="2"/>
    </row>
    <row r="81" spans="1:17" ht="14.5" customHeight="1" x14ac:dyDescent="0.35">
      <c r="A81" s="34">
        <v>79</v>
      </c>
      <c r="B81" s="263" t="s">
        <v>126</v>
      </c>
      <c r="C81" s="34" t="s">
        <v>2131</v>
      </c>
      <c r="D81" s="34" t="s">
        <v>31</v>
      </c>
      <c r="E81" s="34" t="s">
        <v>347</v>
      </c>
      <c r="F81" s="34"/>
      <c r="G81" s="34"/>
      <c r="H81" s="34"/>
      <c r="I81" s="448" t="s">
        <v>421</v>
      </c>
      <c r="J81" s="2"/>
      <c r="K81" s="554">
        <v>45748</v>
      </c>
      <c r="L81" s="554"/>
      <c r="M81" s="554" t="s">
        <v>2256</v>
      </c>
      <c r="N81" s="34" t="s">
        <v>430</v>
      </c>
      <c r="O81" s="272" t="s">
        <v>423</v>
      </c>
      <c r="P81" s="36"/>
      <c r="Q81" s="2"/>
    </row>
    <row r="82" spans="1:17" ht="14.5" customHeight="1" x14ac:dyDescent="0.35">
      <c r="A82" s="34">
        <v>80</v>
      </c>
      <c r="B82" s="262" t="s">
        <v>62</v>
      </c>
      <c r="C82" s="34" t="s">
        <v>2131</v>
      </c>
      <c r="D82" s="34" t="s">
        <v>33</v>
      </c>
      <c r="E82" s="34" t="s">
        <v>347</v>
      </c>
      <c r="F82" s="34"/>
      <c r="G82" s="34"/>
      <c r="H82" s="34"/>
      <c r="I82" s="448" t="s">
        <v>421</v>
      </c>
      <c r="J82" s="2"/>
      <c r="K82" s="554">
        <v>45748</v>
      </c>
      <c r="L82" s="554"/>
      <c r="M82" s="554" t="s">
        <v>2256</v>
      </c>
      <c r="N82" s="34" t="s">
        <v>431</v>
      </c>
      <c r="O82" s="272" t="s">
        <v>423</v>
      </c>
      <c r="P82" s="36"/>
      <c r="Q82" s="2"/>
    </row>
    <row r="83" spans="1:17" ht="14.5" customHeight="1" x14ac:dyDescent="0.35">
      <c r="A83" s="34">
        <v>81</v>
      </c>
      <c r="B83" s="262" t="s">
        <v>151</v>
      </c>
      <c r="C83" s="34" t="s">
        <v>2131</v>
      </c>
      <c r="D83" s="34" t="s">
        <v>16</v>
      </c>
      <c r="E83" s="34" t="s">
        <v>349</v>
      </c>
      <c r="F83" s="34"/>
      <c r="G83" s="34"/>
      <c r="H83" s="34"/>
      <c r="I83" s="448" t="s">
        <v>421</v>
      </c>
      <c r="J83" s="2"/>
      <c r="K83" s="554">
        <v>45748</v>
      </c>
      <c r="L83" s="554"/>
      <c r="M83" s="554" t="s">
        <v>2256</v>
      </c>
      <c r="N83" s="34" t="s">
        <v>426</v>
      </c>
      <c r="O83" s="272" t="s">
        <v>423</v>
      </c>
      <c r="P83" s="35" t="s">
        <v>424</v>
      </c>
      <c r="Q83" s="2"/>
    </row>
    <row r="84" spans="1:17" ht="14.5" customHeight="1" x14ac:dyDescent="0.35">
      <c r="A84" s="34">
        <v>82</v>
      </c>
      <c r="B84" s="263" t="s">
        <v>152</v>
      </c>
      <c r="C84" s="34" t="s">
        <v>2131</v>
      </c>
      <c r="D84" s="34" t="s">
        <v>23</v>
      </c>
      <c r="E84" s="34" t="s">
        <v>347</v>
      </c>
      <c r="F84" s="34"/>
      <c r="G84" s="34"/>
      <c r="H84" s="34"/>
      <c r="I84" s="448" t="s">
        <v>421</v>
      </c>
      <c r="J84" s="2"/>
      <c r="K84" s="554">
        <v>45748</v>
      </c>
      <c r="L84" s="554"/>
      <c r="M84" s="554" t="s">
        <v>2256</v>
      </c>
      <c r="N84" s="34" t="s">
        <v>426</v>
      </c>
      <c r="O84" s="272" t="s">
        <v>423</v>
      </c>
      <c r="P84" s="35" t="s">
        <v>424</v>
      </c>
      <c r="Q84" s="2"/>
    </row>
    <row r="85" spans="1:17" ht="14.5" customHeight="1" x14ac:dyDescent="0.35">
      <c r="A85" s="34">
        <v>83</v>
      </c>
      <c r="B85" s="262" t="s">
        <v>157</v>
      </c>
      <c r="C85" s="34" t="s">
        <v>2131</v>
      </c>
      <c r="D85" s="34" t="s">
        <v>31</v>
      </c>
      <c r="E85" s="34" t="s">
        <v>349</v>
      </c>
      <c r="F85" s="34"/>
      <c r="G85" s="34"/>
      <c r="H85" s="34"/>
      <c r="I85" s="448" t="s">
        <v>421</v>
      </c>
      <c r="J85" s="2"/>
      <c r="K85" s="554">
        <v>45748</v>
      </c>
      <c r="L85" s="554"/>
      <c r="M85" s="554" t="s">
        <v>2256</v>
      </c>
      <c r="N85" s="34" t="s">
        <v>426</v>
      </c>
      <c r="O85" s="272" t="s">
        <v>423</v>
      </c>
      <c r="P85" s="35" t="s">
        <v>424</v>
      </c>
      <c r="Q85" s="2"/>
    </row>
    <row r="86" spans="1:17" ht="14.5" customHeight="1" x14ac:dyDescent="0.35">
      <c r="A86" s="34">
        <v>84</v>
      </c>
      <c r="B86" s="263" t="s">
        <v>160</v>
      </c>
      <c r="C86" s="34" t="s">
        <v>2131</v>
      </c>
      <c r="D86" s="34" t="s">
        <v>14</v>
      </c>
      <c r="E86" s="34" t="s">
        <v>347</v>
      </c>
      <c r="F86" s="34"/>
      <c r="G86" s="34"/>
      <c r="H86" s="34"/>
      <c r="I86" s="448" t="s">
        <v>421</v>
      </c>
      <c r="J86" s="2"/>
      <c r="K86" s="554">
        <v>45748</v>
      </c>
      <c r="L86" s="554"/>
      <c r="M86" s="554" t="s">
        <v>2256</v>
      </c>
      <c r="N86" s="34" t="s">
        <v>426</v>
      </c>
      <c r="O86" s="272" t="s">
        <v>423</v>
      </c>
      <c r="P86" s="35" t="s">
        <v>424</v>
      </c>
      <c r="Q86" s="2"/>
    </row>
    <row r="87" spans="1:17" ht="14.5" customHeight="1" x14ac:dyDescent="0.35">
      <c r="A87" s="34">
        <v>85</v>
      </c>
      <c r="B87" s="263" t="s">
        <v>59</v>
      </c>
      <c r="C87" s="263" t="s">
        <v>2131</v>
      </c>
      <c r="D87" s="34" t="s">
        <v>31</v>
      </c>
      <c r="E87" s="34" t="s">
        <v>348</v>
      </c>
      <c r="F87" s="34"/>
      <c r="G87" s="34"/>
      <c r="H87" s="34"/>
      <c r="I87" s="448" t="s">
        <v>421</v>
      </c>
      <c r="J87" s="2"/>
      <c r="K87" s="554">
        <v>45748</v>
      </c>
      <c r="L87" s="554"/>
      <c r="M87" s="554" t="s">
        <v>2256</v>
      </c>
      <c r="N87" s="34" t="s">
        <v>422</v>
      </c>
      <c r="O87" s="272" t="s">
        <v>423</v>
      </c>
      <c r="P87" s="36"/>
      <c r="Q87" s="2"/>
    </row>
    <row r="88" spans="1:17" ht="14.5" customHeight="1" x14ac:dyDescent="0.35">
      <c r="A88" s="34">
        <v>86</v>
      </c>
      <c r="B88" s="263" t="s">
        <v>228</v>
      </c>
      <c r="C88" s="34" t="s">
        <v>2132</v>
      </c>
      <c r="D88" s="34" t="s">
        <v>31</v>
      </c>
      <c r="E88" s="34" t="s">
        <v>347</v>
      </c>
      <c r="F88" s="34"/>
      <c r="G88" s="34"/>
      <c r="H88" s="34"/>
      <c r="I88" s="448" t="s">
        <v>421</v>
      </c>
      <c r="J88" s="2"/>
      <c r="K88" s="554">
        <v>45748</v>
      </c>
      <c r="L88" s="554"/>
      <c r="M88" s="554" t="s">
        <v>2256</v>
      </c>
      <c r="N88" s="34" t="s">
        <v>429</v>
      </c>
      <c r="O88" s="272" t="s">
        <v>423</v>
      </c>
      <c r="P88" s="35" t="s">
        <v>424</v>
      </c>
      <c r="Q88" s="2"/>
    </row>
    <row r="89" spans="1:17" ht="14.5" customHeight="1" x14ac:dyDescent="0.35">
      <c r="A89" s="34">
        <v>87</v>
      </c>
      <c r="B89" s="263" t="s">
        <v>215</v>
      </c>
      <c r="C89" s="34" t="s">
        <v>2132</v>
      </c>
      <c r="D89" s="34" t="s">
        <v>33</v>
      </c>
      <c r="E89" s="34" t="s">
        <v>347</v>
      </c>
      <c r="F89" s="34"/>
      <c r="G89" s="34"/>
      <c r="H89" s="34"/>
      <c r="I89" s="448" t="s">
        <v>421</v>
      </c>
      <c r="J89" s="2"/>
      <c r="K89" s="554">
        <v>45748</v>
      </c>
      <c r="L89" s="554"/>
      <c r="M89" s="554" t="s">
        <v>2256</v>
      </c>
      <c r="N89" s="34" t="s">
        <v>425</v>
      </c>
      <c r="O89" s="272" t="s">
        <v>423</v>
      </c>
      <c r="P89" s="35" t="s">
        <v>424</v>
      </c>
      <c r="Q89" s="2"/>
    </row>
    <row r="90" spans="1:17" ht="14.5" customHeight="1" x14ac:dyDescent="0.35">
      <c r="A90" s="34">
        <v>88</v>
      </c>
      <c r="B90" s="263" t="s">
        <v>195</v>
      </c>
      <c r="C90" s="34" t="s">
        <v>2131</v>
      </c>
      <c r="D90" s="34" t="s">
        <v>31</v>
      </c>
      <c r="E90" s="34" t="s">
        <v>349</v>
      </c>
      <c r="F90" s="34"/>
      <c r="G90" s="34"/>
      <c r="H90" s="34"/>
      <c r="I90" s="448" t="s">
        <v>421</v>
      </c>
      <c r="J90" s="2"/>
      <c r="K90" s="554">
        <v>45748</v>
      </c>
      <c r="L90" s="554"/>
      <c r="M90" s="554" t="s">
        <v>2256</v>
      </c>
      <c r="N90" s="34" t="s">
        <v>428</v>
      </c>
      <c r="O90" s="272" t="s">
        <v>423</v>
      </c>
      <c r="P90" s="35" t="s">
        <v>424</v>
      </c>
      <c r="Q90" s="2"/>
    </row>
    <row r="91" spans="1:17" ht="14.5" customHeight="1" x14ac:dyDescent="0.35">
      <c r="A91" s="34">
        <v>89</v>
      </c>
      <c r="B91" s="263" t="s">
        <v>159</v>
      </c>
      <c r="C91" s="34" t="s">
        <v>2131</v>
      </c>
      <c r="D91" s="34" t="s">
        <v>23</v>
      </c>
      <c r="E91" s="34" t="s">
        <v>347</v>
      </c>
      <c r="F91" s="34"/>
      <c r="G91" s="34"/>
      <c r="H91" s="34"/>
      <c r="I91" s="448" t="s">
        <v>421</v>
      </c>
      <c r="J91" s="2"/>
      <c r="K91" s="554">
        <v>45748</v>
      </c>
      <c r="L91" s="554"/>
      <c r="M91" s="554" t="s">
        <v>2256</v>
      </c>
      <c r="N91" s="34" t="s">
        <v>426</v>
      </c>
      <c r="O91" s="272" t="s">
        <v>423</v>
      </c>
      <c r="P91" s="35" t="s">
        <v>424</v>
      </c>
      <c r="Q91" s="2"/>
    </row>
    <row r="92" spans="1:17" ht="14.5" customHeight="1" x14ac:dyDescent="0.35">
      <c r="A92" s="34">
        <v>90</v>
      </c>
      <c r="B92" s="263" t="s">
        <v>127</v>
      </c>
      <c r="C92" s="34" t="s">
        <v>2131</v>
      </c>
      <c r="D92" s="34" t="s">
        <v>33</v>
      </c>
      <c r="E92" s="34" t="s">
        <v>347</v>
      </c>
      <c r="F92" s="34"/>
      <c r="G92" s="34"/>
      <c r="H92" s="34"/>
      <c r="I92" s="448" t="s">
        <v>421</v>
      </c>
      <c r="J92" s="2"/>
      <c r="K92" s="554">
        <v>45748</v>
      </c>
      <c r="L92" s="554"/>
      <c r="M92" s="554" t="s">
        <v>2256</v>
      </c>
      <c r="N92" s="34" t="s">
        <v>430</v>
      </c>
      <c r="O92" s="272" t="s">
        <v>423</v>
      </c>
      <c r="P92" s="36"/>
      <c r="Q92" s="2"/>
    </row>
    <row r="93" spans="1:17" ht="14.5" customHeight="1" x14ac:dyDescent="0.35">
      <c r="A93" s="34">
        <v>91</v>
      </c>
      <c r="B93" s="263" t="s">
        <v>194</v>
      </c>
      <c r="C93" s="34" t="s">
        <v>2131</v>
      </c>
      <c r="D93" s="34" t="s">
        <v>33</v>
      </c>
      <c r="E93" s="34" t="s">
        <v>347</v>
      </c>
      <c r="F93" s="34"/>
      <c r="G93" s="34"/>
      <c r="H93" s="34"/>
      <c r="I93" s="448" t="s">
        <v>421</v>
      </c>
      <c r="J93" s="2"/>
      <c r="K93" s="554">
        <v>45748</v>
      </c>
      <c r="L93" s="554"/>
      <c r="M93" s="554" t="s">
        <v>2256</v>
      </c>
      <c r="N93" s="34" t="s">
        <v>428</v>
      </c>
      <c r="O93" s="272" t="s">
        <v>423</v>
      </c>
      <c r="P93" s="35" t="s">
        <v>424</v>
      </c>
      <c r="Q93" s="2"/>
    </row>
    <row r="94" spans="1:17" ht="14.5" customHeight="1" x14ac:dyDescent="0.35">
      <c r="A94" s="34">
        <v>92</v>
      </c>
      <c r="B94" s="263" t="s">
        <v>231</v>
      </c>
      <c r="C94" s="34" t="s">
        <v>2132</v>
      </c>
      <c r="D94" s="34" t="s">
        <v>33</v>
      </c>
      <c r="E94" s="34" t="s">
        <v>347</v>
      </c>
      <c r="F94" s="34"/>
      <c r="G94" s="34"/>
      <c r="H94" s="34"/>
      <c r="I94" s="448" t="s">
        <v>421</v>
      </c>
      <c r="J94" s="2"/>
      <c r="K94" s="554">
        <v>45748</v>
      </c>
      <c r="L94" s="554"/>
      <c r="M94" s="554" t="s">
        <v>2256</v>
      </c>
      <c r="N94" s="34" t="s">
        <v>432</v>
      </c>
      <c r="O94" s="272" t="s">
        <v>423</v>
      </c>
      <c r="P94" s="35" t="s">
        <v>424</v>
      </c>
      <c r="Q94" s="2"/>
    </row>
    <row r="95" spans="1:17" ht="14.5" customHeight="1" x14ac:dyDescent="0.35">
      <c r="A95" s="34">
        <v>93</v>
      </c>
      <c r="B95" s="263" t="s">
        <v>30</v>
      </c>
      <c r="C95" s="263" t="s">
        <v>2131</v>
      </c>
      <c r="D95" s="34" t="s">
        <v>31</v>
      </c>
      <c r="E95" s="34" t="s">
        <v>348</v>
      </c>
      <c r="F95" s="34"/>
      <c r="G95" s="34"/>
      <c r="H95" s="34"/>
      <c r="I95" s="448" t="s">
        <v>421</v>
      </c>
      <c r="J95" s="2"/>
      <c r="K95" s="554">
        <v>45748</v>
      </c>
      <c r="L95" s="554"/>
      <c r="M95" s="554" t="s">
        <v>2256</v>
      </c>
      <c r="N95" s="34" t="s">
        <v>431</v>
      </c>
      <c r="O95" s="272" t="s">
        <v>423</v>
      </c>
      <c r="P95" s="35" t="s">
        <v>424</v>
      </c>
      <c r="Q95" s="2"/>
    </row>
    <row r="96" spans="1:17" ht="14.5" customHeight="1" x14ac:dyDescent="0.35">
      <c r="A96" s="34">
        <v>94</v>
      </c>
      <c r="B96" s="263" t="s">
        <v>165</v>
      </c>
      <c r="C96" s="34" t="s">
        <v>2131</v>
      </c>
      <c r="D96" s="34" t="s">
        <v>35</v>
      </c>
      <c r="E96" s="34" t="s">
        <v>347</v>
      </c>
      <c r="F96" s="34"/>
      <c r="G96" s="34"/>
      <c r="H96" s="34"/>
      <c r="I96" s="448" t="s">
        <v>421</v>
      </c>
      <c r="J96" s="2"/>
      <c r="K96" s="554">
        <v>45748</v>
      </c>
      <c r="L96" s="554"/>
      <c r="M96" s="554" t="s">
        <v>2256</v>
      </c>
      <c r="N96" s="34" t="s">
        <v>426</v>
      </c>
      <c r="O96" s="272" t="s">
        <v>423</v>
      </c>
      <c r="P96" s="36"/>
      <c r="Q96" s="2"/>
    </row>
    <row r="97" spans="1:17" ht="14.5" customHeight="1" x14ac:dyDescent="0.35">
      <c r="A97" s="34">
        <v>95</v>
      </c>
      <c r="B97" s="262" t="s">
        <v>129</v>
      </c>
      <c r="C97" s="34" t="s">
        <v>2131</v>
      </c>
      <c r="D97" s="34" t="s">
        <v>16</v>
      </c>
      <c r="E97" s="34" t="s">
        <v>347</v>
      </c>
      <c r="F97" s="34"/>
      <c r="G97" s="34"/>
      <c r="H97" s="34"/>
      <c r="I97" s="448" t="s">
        <v>421</v>
      </c>
      <c r="J97" s="2"/>
      <c r="K97" s="554">
        <v>45748</v>
      </c>
      <c r="L97" s="554"/>
      <c r="M97" s="554" t="s">
        <v>2256</v>
      </c>
      <c r="N97" s="34" t="s">
        <v>430</v>
      </c>
      <c r="O97" s="272" t="s">
        <v>423</v>
      </c>
      <c r="P97" s="36"/>
      <c r="Q97" s="2"/>
    </row>
    <row r="98" spans="1:17" x14ac:dyDescent="0.35">
      <c r="A98" s="34">
        <v>96</v>
      </c>
      <c r="B98" s="263" t="s">
        <v>45</v>
      </c>
      <c r="C98" s="263" t="s">
        <v>2131</v>
      </c>
      <c r="D98" s="34" t="s">
        <v>31</v>
      </c>
      <c r="E98" s="34" t="s">
        <v>347</v>
      </c>
      <c r="F98" s="34"/>
      <c r="G98" s="34"/>
      <c r="H98" s="34"/>
      <c r="I98" s="448" t="s">
        <v>421</v>
      </c>
      <c r="J98" s="2"/>
      <c r="K98" s="554">
        <v>45748</v>
      </c>
      <c r="L98" s="554"/>
      <c r="M98" s="554" t="s">
        <v>2256</v>
      </c>
      <c r="N98" s="34" t="s">
        <v>422</v>
      </c>
      <c r="O98" s="272" t="s">
        <v>423</v>
      </c>
      <c r="P98" s="35" t="s">
        <v>424</v>
      </c>
      <c r="Q98" s="2"/>
    </row>
    <row r="99" spans="1:17" x14ac:dyDescent="0.35">
      <c r="A99" s="34">
        <v>97</v>
      </c>
      <c r="B99" s="263" t="s">
        <v>189</v>
      </c>
      <c r="C99" s="34" t="s">
        <v>2131</v>
      </c>
      <c r="D99" s="34" t="s">
        <v>31</v>
      </c>
      <c r="E99" s="34" t="s">
        <v>347</v>
      </c>
      <c r="F99" s="34"/>
      <c r="G99" s="34"/>
      <c r="H99" s="34"/>
      <c r="I99" s="448" t="s">
        <v>421</v>
      </c>
      <c r="J99" s="2"/>
      <c r="K99" s="554">
        <v>45748</v>
      </c>
      <c r="L99" s="554"/>
      <c r="M99" s="554" t="s">
        <v>2256</v>
      </c>
      <c r="N99" s="34" t="s">
        <v>425</v>
      </c>
      <c r="O99" s="272" t="s">
        <v>423</v>
      </c>
      <c r="P99" s="35" t="s">
        <v>424</v>
      </c>
      <c r="Q99" s="2"/>
    </row>
    <row r="100" spans="1:17" x14ac:dyDescent="0.35">
      <c r="A100" s="34">
        <v>98</v>
      </c>
      <c r="B100" s="263" t="s">
        <v>193</v>
      </c>
      <c r="C100" s="34" t="s">
        <v>2131</v>
      </c>
      <c r="D100" s="34" t="s">
        <v>14</v>
      </c>
      <c r="E100" s="34" t="s">
        <v>347</v>
      </c>
      <c r="F100" s="34"/>
      <c r="G100" s="34"/>
      <c r="H100" s="34"/>
      <c r="I100" s="448" t="s">
        <v>421</v>
      </c>
      <c r="J100" s="2"/>
      <c r="K100" s="554">
        <v>45748</v>
      </c>
      <c r="L100" s="554"/>
      <c r="M100" s="554" t="s">
        <v>2256</v>
      </c>
      <c r="N100" s="34" t="s">
        <v>428</v>
      </c>
      <c r="O100" s="272" t="s">
        <v>423</v>
      </c>
      <c r="P100" s="35" t="s">
        <v>424</v>
      </c>
      <c r="Q100" s="2"/>
    </row>
    <row r="101" spans="1:17" x14ac:dyDescent="0.35">
      <c r="A101" s="34">
        <v>99</v>
      </c>
      <c r="B101" s="263" t="s">
        <v>184</v>
      </c>
      <c r="C101" s="34" t="s">
        <v>2131</v>
      </c>
      <c r="D101" s="34" t="s">
        <v>23</v>
      </c>
      <c r="E101" s="34" t="s">
        <v>348</v>
      </c>
      <c r="F101" s="34"/>
      <c r="G101" s="34"/>
      <c r="H101" s="34"/>
      <c r="I101" s="448" t="s">
        <v>421</v>
      </c>
      <c r="J101" s="2"/>
      <c r="K101" s="554">
        <v>45748</v>
      </c>
      <c r="L101" s="554"/>
      <c r="M101" s="554" t="s">
        <v>2256</v>
      </c>
      <c r="N101" s="34" t="s">
        <v>432</v>
      </c>
      <c r="O101" s="272" t="s">
        <v>423</v>
      </c>
      <c r="P101" s="36"/>
      <c r="Q101" s="2"/>
    </row>
    <row r="102" spans="1:17" x14ac:dyDescent="0.35">
      <c r="A102" s="34">
        <v>100</v>
      </c>
      <c r="B102" s="263" t="s">
        <v>166</v>
      </c>
      <c r="C102" s="34" t="s">
        <v>2131</v>
      </c>
      <c r="D102" s="34" t="s">
        <v>35</v>
      </c>
      <c r="E102" s="34" t="s">
        <v>347</v>
      </c>
      <c r="F102" s="34"/>
      <c r="G102" s="34"/>
      <c r="H102" s="34"/>
      <c r="I102" s="448" t="s">
        <v>421</v>
      </c>
      <c r="J102" s="2"/>
      <c r="K102" s="554">
        <v>45748</v>
      </c>
      <c r="L102" s="554"/>
      <c r="M102" s="554" t="s">
        <v>2256</v>
      </c>
      <c r="N102" s="34" t="s">
        <v>426</v>
      </c>
      <c r="O102" s="272" t="s">
        <v>423</v>
      </c>
      <c r="P102" s="36"/>
      <c r="Q102" s="2"/>
    </row>
    <row r="103" spans="1:17" x14ac:dyDescent="0.35">
      <c r="A103" s="34">
        <v>101</v>
      </c>
      <c r="B103" s="2" t="s">
        <v>190</v>
      </c>
      <c r="C103" s="34" t="s">
        <v>2131</v>
      </c>
      <c r="D103" s="2" t="s">
        <v>31</v>
      </c>
      <c r="E103" s="2" t="s">
        <v>347</v>
      </c>
      <c r="F103" s="2"/>
      <c r="G103" s="2"/>
      <c r="H103" s="2"/>
      <c r="I103" s="448" t="s">
        <v>421</v>
      </c>
      <c r="J103" s="2" t="s">
        <v>433</v>
      </c>
      <c r="K103" s="555" t="s">
        <v>434</v>
      </c>
      <c r="L103" s="39" t="s">
        <v>2256</v>
      </c>
      <c r="M103" s="39" t="s">
        <v>2257</v>
      </c>
      <c r="N103" s="2" t="s">
        <v>435</v>
      </c>
      <c r="O103" s="272" t="s">
        <v>423</v>
      </c>
      <c r="P103" s="36"/>
      <c r="Q103" s="2"/>
    </row>
    <row r="104" spans="1:17" x14ac:dyDescent="0.35">
      <c r="A104" s="34">
        <v>102</v>
      </c>
      <c r="B104" s="38" t="s">
        <v>29</v>
      </c>
      <c r="C104" s="263" t="s">
        <v>2131</v>
      </c>
      <c r="D104" s="2" t="s">
        <v>23</v>
      </c>
      <c r="E104" s="2" t="s">
        <v>347</v>
      </c>
      <c r="F104" s="2"/>
      <c r="G104" s="2"/>
      <c r="H104" s="2"/>
      <c r="I104" s="448" t="s">
        <v>421</v>
      </c>
      <c r="J104" s="2" t="s">
        <v>436</v>
      </c>
      <c r="K104" s="39">
        <v>45721</v>
      </c>
      <c r="L104" s="39" t="s">
        <v>2256</v>
      </c>
      <c r="M104" s="39" t="s">
        <v>2257</v>
      </c>
      <c r="N104" s="2" t="s">
        <v>437</v>
      </c>
      <c r="O104" s="272" t="s">
        <v>423</v>
      </c>
      <c r="P104" s="35" t="s">
        <v>424</v>
      </c>
      <c r="Q104" s="2"/>
    </row>
    <row r="105" spans="1:17" x14ac:dyDescent="0.35">
      <c r="A105" s="34">
        <v>103</v>
      </c>
      <c r="B105" s="38" t="s">
        <v>158</v>
      </c>
      <c r="C105" s="34" t="s">
        <v>2131</v>
      </c>
      <c r="D105" s="2" t="s">
        <v>35</v>
      </c>
      <c r="E105" s="2" t="s">
        <v>347</v>
      </c>
      <c r="F105" s="2"/>
      <c r="G105" s="2"/>
      <c r="H105" s="2"/>
      <c r="I105" s="448" t="s">
        <v>421</v>
      </c>
      <c r="J105" s="2" t="s">
        <v>436</v>
      </c>
      <c r="K105" s="39">
        <v>45721</v>
      </c>
      <c r="L105" s="39" t="s">
        <v>2256</v>
      </c>
      <c r="M105" s="39" t="s">
        <v>2257</v>
      </c>
      <c r="N105" s="2" t="s">
        <v>438</v>
      </c>
      <c r="O105" s="272" t="s">
        <v>423</v>
      </c>
      <c r="P105" s="35" t="s">
        <v>424</v>
      </c>
      <c r="Q105" s="2"/>
    </row>
    <row r="106" spans="1:17" x14ac:dyDescent="0.35">
      <c r="A106" s="34">
        <v>104</v>
      </c>
      <c r="B106" s="38" t="s">
        <v>131</v>
      </c>
      <c r="C106" s="34" t="s">
        <v>2131</v>
      </c>
      <c r="D106" s="2" t="s">
        <v>33</v>
      </c>
      <c r="E106" s="2" t="s">
        <v>347</v>
      </c>
      <c r="F106" s="2"/>
      <c r="G106" s="2"/>
      <c r="H106" s="2"/>
      <c r="I106" s="448" t="s">
        <v>421</v>
      </c>
      <c r="J106" s="40" t="s">
        <v>439</v>
      </c>
      <c r="K106" s="39">
        <v>45752</v>
      </c>
      <c r="L106" s="39" t="s">
        <v>2257</v>
      </c>
      <c r="M106" s="39" t="s">
        <v>2257</v>
      </c>
      <c r="N106" s="34" t="s">
        <v>430</v>
      </c>
      <c r="O106" s="272" t="s">
        <v>423</v>
      </c>
      <c r="P106" s="36"/>
      <c r="Q106" s="2"/>
    </row>
    <row r="107" spans="1:17" x14ac:dyDescent="0.35">
      <c r="A107" s="34">
        <v>105</v>
      </c>
      <c r="B107" s="38" t="s">
        <v>168</v>
      </c>
      <c r="C107" s="34" t="s">
        <v>2131</v>
      </c>
      <c r="D107" s="2" t="s">
        <v>35</v>
      </c>
      <c r="E107" s="2" t="s">
        <v>347</v>
      </c>
      <c r="F107" s="2"/>
      <c r="G107" s="2"/>
      <c r="H107" s="2"/>
      <c r="I107" s="448" t="s">
        <v>421</v>
      </c>
      <c r="J107" s="40" t="s">
        <v>440</v>
      </c>
      <c r="K107" s="39">
        <v>45782</v>
      </c>
      <c r="L107" s="39" t="s">
        <v>2257</v>
      </c>
      <c r="M107" s="39" t="s">
        <v>2257</v>
      </c>
      <c r="N107" s="2" t="s">
        <v>438</v>
      </c>
      <c r="O107" s="272" t="s">
        <v>423</v>
      </c>
      <c r="P107" s="35" t="s">
        <v>424</v>
      </c>
      <c r="Q107" s="2"/>
    </row>
    <row r="108" spans="1:17" x14ac:dyDescent="0.35">
      <c r="A108" s="34">
        <v>106</v>
      </c>
      <c r="B108" s="2" t="s">
        <v>183</v>
      </c>
      <c r="C108" s="34" t="s">
        <v>2131</v>
      </c>
      <c r="D108" s="2" t="s">
        <v>33</v>
      </c>
      <c r="E108" s="2" t="s">
        <v>349</v>
      </c>
      <c r="F108" s="2"/>
      <c r="G108" s="2"/>
      <c r="H108" s="2"/>
      <c r="I108" s="448" t="s">
        <v>421</v>
      </c>
      <c r="J108" s="39" t="s">
        <v>441</v>
      </c>
      <c r="K108" s="39">
        <v>45782</v>
      </c>
      <c r="L108" s="39" t="s">
        <v>2256</v>
      </c>
      <c r="M108" s="39" t="s">
        <v>2257</v>
      </c>
      <c r="N108" s="2" t="s">
        <v>442</v>
      </c>
      <c r="O108" s="272" t="s">
        <v>423</v>
      </c>
      <c r="P108" s="35" t="s">
        <v>424</v>
      </c>
      <c r="Q108" s="2"/>
    </row>
    <row r="109" spans="1:17" x14ac:dyDescent="0.35">
      <c r="A109" s="34">
        <v>107</v>
      </c>
      <c r="B109" s="2" t="s">
        <v>191</v>
      </c>
      <c r="C109" s="34" t="s">
        <v>2131</v>
      </c>
      <c r="D109" s="2" t="s">
        <v>33</v>
      </c>
      <c r="E109" s="2" t="s">
        <v>347</v>
      </c>
      <c r="F109" s="2"/>
      <c r="G109" s="2"/>
      <c r="H109" s="2"/>
      <c r="I109" s="448" t="s">
        <v>421</v>
      </c>
      <c r="J109" s="2" t="s">
        <v>433</v>
      </c>
      <c r="K109" s="39">
        <v>45782</v>
      </c>
      <c r="L109" s="39" t="s">
        <v>2256</v>
      </c>
      <c r="M109" s="39" t="s">
        <v>2257</v>
      </c>
      <c r="N109" s="2" t="s">
        <v>435</v>
      </c>
      <c r="O109" s="272" t="s">
        <v>423</v>
      </c>
      <c r="P109" s="36"/>
      <c r="Q109" s="2"/>
    </row>
    <row r="110" spans="1:17" x14ac:dyDescent="0.35">
      <c r="A110" s="34">
        <v>108</v>
      </c>
      <c r="B110" s="2" t="s">
        <v>192</v>
      </c>
      <c r="C110" s="34" t="s">
        <v>2131</v>
      </c>
      <c r="D110" s="2" t="s">
        <v>16</v>
      </c>
      <c r="E110" s="2" t="s">
        <v>348</v>
      </c>
      <c r="F110" s="2"/>
      <c r="G110" s="2"/>
      <c r="H110" s="2"/>
      <c r="I110" s="448" t="s">
        <v>421</v>
      </c>
      <c r="J110" s="2" t="s">
        <v>443</v>
      </c>
      <c r="K110" s="39">
        <v>45782</v>
      </c>
      <c r="L110" s="39" t="s">
        <v>2256</v>
      </c>
      <c r="M110" s="39" t="s">
        <v>2257</v>
      </c>
      <c r="N110" s="2" t="s">
        <v>444</v>
      </c>
      <c r="O110" s="272" t="s">
        <v>423</v>
      </c>
      <c r="P110" s="35" t="s">
        <v>424</v>
      </c>
      <c r="Q110" s="2"/>
    </row>
    <row r="111" spans="1:17" x14ac:dyDescent="0.35">
      <c r="A111" s="34">
        <v>109</v>
      </c>
      <c r="B111" s="38" t="s">
        <v>36</v>
      </c>
      <c r="C111" s="263" t="s">
        <v>2131</v>
      </c>
      <c r="D111" s="2" t="s">
        <v>31</v>
      </c>
      <c r="E111" s="2" t="s">
        <v>348</v>
      </c>
      <c r="F111" s="2"/>
      <c r="G111" s="2"/>
      <c r="H111" s="2"/>
      <c r="I111" s="448" t="s">
        <v>421</v>
      </c>
      <c r="J111" s="2"/>
      <c r="K111" s="39">
        <v>45783</v>
      </c>
      <c r="L111" s="39"/>
      <c r="M111" s="39" t="s">
        <v>2257</v>
      </c>
      <c r="N111" s="2" t="s">
        <v>437</v>
      </c>
      <c r="O111" s="272" t="s">
        <v>423</v>
      </c>
      <c r="P111" s="36"/>
      <c r="Q111" s="2"/>
    </row>
    <row r="112" spans="1:17" x14ac:dyDescent="0.35">
      <c r="A112" s="34">
        <v>110</v>
      </c>
      <c r="B112" s="38" t="s">
        <v>43</v>
      </c>
      <c r="C112" s="263" t="s">
        <v>2131</v>
      </c>
      <c r="D112" s="2" t="s">
        <v>35</v>
      </c>
      <c r="E112" s="2" t="s">
        <v>347</v>
      </c>
      <c r="F112" s="2"/>
      <c r="G112" s="2"/>
      <c r="H112" s="2"/>
      <c r="I112" s="448" t="s">
        <v>421</v>
      </c>
      <c r="J112" s="2"/>
      <c r="K112" s="39">
        <v>45784</v>
      </c>
      <c r="L112" s="39"/>
      <c r="M112" s="39" t="s">
        <v>2257</v>
      </c>
      <c r="N112" s="34" t="s">
        <v>422</v>
      </c>
      <c r="O112" s="272" t="s">
        <v>423</v>
      </c>
      <c r="P112" s="36"/>
      <c r="Q112" s="2"/>
    </row>
    <row r="113" spans="1:17" x14ac:dyDescent="0.35">
      <c r="A113" s="34">
        <v>111</v>
      </c>
      <c r="B113" s="38" t="s">
        <v>121</v>
      </c>
      <c r="C113" s="34" t="s">
        <v>2131</v>
      </c>
      <c r="D113" s="2" t="s">
        <v>23</v>
      </c>
      <c r="E113" s="2" t="s">
        <v>347</v>
      </c>
      <c r="F113" s="2"/>
      <c r="G113" s="2"/>
      <c r="H113" s="2"/>
      <c r="I113" s="448" t="s">
        <v>421</v>
      </c>
      <c r="J113" s="2"/>
      <c r="K113" s="39">
        <v>45785</v>
      </c>
      <c r="L113" s="39"/>
      <c r="M113" s="39" t="s">
        <v>2257</v>
      </c>
      <c r="N113" s="34" t="s">
        <v>430</v>
      </c>
      <c r="O113" s="272" t="s">
        <v>423</v>
      </c>
      <c r="P113" s="35" t="s">
        <v>424</v>
      </c>
      <c r="Q113" s="2"/>
    </row>
    <row r="114" spans="1:17" x14ac:dyDescent="0.35">
      <c r="A114" s="34">
        <v>112</v>
      </c>
      <c r="B114" s="2" t="s">
        <v>185</v>
      </c>
      <c r="C114" s="34" t="s">
        <v>2131</v>
      </c>
      <c r="D114" s="2" t="s">
        <v>16</v>
      </c>
      <c r="E114" s="2" t="s">
        <v>349</v>
      </c>
      <c r="F114" s="2"/>
      <c r="G114" s="2"/>
      <c r="H114" s="2"/>
      <c r="I114" s="448" t="s">
        <v>421</v>
      </c>
      <c r="J114" s="2"/>
      <c r="K114" s="39">
        <v>45785</v>
      </c>
      <c r="L114" s="39"/>
      <c r="M114" s="39" t="s">
        <v>2257</v>
      </c>
      <c r="N114" s="34" t="s">
        <v>432</v>
      </c>
      <c r="O114" s="272" t="s">
        <v>423</v>
      </c>
      <c r="P114" s="35" t="s">
        <v>424</v>
      </c>
      <c r="Q114" s="2"/>
    </row>
    <row r="115" spans="1:17" x14ac:dyDescent="0.35">
      <c r="A115" s="34">
        <v>113</v>
      </c>
      <c r="B115" s="38" t="s">
        <v>175</v>
      </c>
      <c r="C115" s="34" t="s">
        <v>2131</v>
      </c>
      <c r="D115" s="2" t="s">
        <v>35</v>
      </c>
      <c r="E115" s="2" t="s">
        <v>347</v>
      </c>
      <c r="F115" s="2"/>
      <c r="G115" s="2"/>
      <c r="H115" s="2"/>
      <c r="I115" s="448" t="s">
        <v>421</v>
      </c>
      <c r="J115" s="2"/>
      <c r="K115" s="39">
        <v>45785</v>
      </c>
      <c r="L115" s="39"/>
      <c r="M115" s="39" t="s">
        <v>2257</v>
      </c>
      <c r="N115" s="2" t="s">
        <v>438</v>
      </c>
      <c r="O115" s="272" t="s">
        <v>423</v>
      </c>
      <c r="P115" s="35" t="s">
        <v>424</v>
      </c>
      <c r="Q115" s="2"/>
    </row>
    <row r="116" spans="1:17" x14ac:dyDescent="0.35">
      <c r="A116" s="34">
        <v>114</v>
      </c>
      <c r="B116" s="2" t="s">
        <v>188</v>
      </c>
      <c r="C116" s="34" t="s">
        <v>2131</v>
      </c>
      <c r="D116" s="2" t="s">
        <v>31</v>
      </c>
      <c r="E116" s="2" t="s">
        <v>347</v>
      </c>
      <c r="F116" s="2"/>
      <c r="G116" s="2"/>
      <c r="H116" s="2"/>
      <c r="I116" s="448" t="s">
        <v>421</v>
      </c>
      <c r="J116" s="2"/>
      <c r="K116" s="39">
        <v>45786</v>
      </c>
      <c r="L116" s="39"/>
      <c r="M116" s="39" t="s">
        <v>2257</v>
      </c>
      <c r="N116" s="2" t="s">
        <v>444</v>
      </c>
      <c r="O116" s="272" t="s">
        <v>423</v>
      </c>
      <c r="P116" s="35" t="s">
        <v>424</v>
      </c>
      <c r="Q116" s="2"/>
    </row>
    <row r="117" spans="1:17" x14ac:dyDescent="0.35">
      <c r="A117" s="34">
        <v>115</v>
      </c>
      <c r="B117" s="38" t="s">
        <v>32</v>
      </c>
      <c r="C117" s="263" t="s">
        <v>2131</v>
      </c>
      <c r="D117" s="2" t="s">
        <v>33</v>
      </c>
      <c r="E117" s="2" t="s">
        <v>348</v>
      </c>
      <c r="F117" s="2"/>
      <c r="G117" s="2"/>
      <c r="H117" s="2"/>
      <c r="I117" s="448" t="s">
        <v>421</v>
      </c>
      <c r="J117" s="2"/>
      <c r="K117" s="39">
        <v>45786</v>
      </c>
      <c r="L117" s="39"/>
      <c r="M117" s="39" t="s">
        <v>2257</v>
      </c>
      <c r="N117" s="2" t="s">
        <v>437</v>
      </c>
      <c r="O117" s="272" t="s">
        <v>423</v>
      </c>
      <c r="P117" s="35" t="s">
        <v>424</v>
      </c>
      <c r="Q117" s="2"/>
    </row>
    <row r="118" spans="1:17" x14ac:dyDescent="0.35">
      <c r="A118" s="34">
        <v>116</v>
      </c>
      <c r="B118" s="2" t="s">
        <v>176</v>
      </c>
      <c r="C118" s="34" t="s">
        <v>2131</v>
      </c>
      <c r="D118" s="2" t="s">
        <v>31</v>
      </c>
      <c r="E118" s="2" t="s">
        <v>347</v>
      </c>
      <c r="F118" s="2"/>
      <c r="G118" s="2"/>
      <c r="H118" s="2"/>
      <c r="I118" s="448" t="s">
        <v>421</v>
      </c>
      <c r="J118" s="2"/>
      <c r="K118" s="39">
        <v>45787</v>
      </c>
      <c r="L118" s="39"/>
      <c r="M118" s="39" t="s">
        <v>2257</v>
      </c>
      <c r="N118" s="2" t="s">
        <v>438</v>
      </c>
      <c r="O118" s="272" t="s">
        <v>423</v>
      </c>
      <c r="P118" s="35" t="s">
        <v>424</v>
      </c>
      <c r="Q118" s="2"/>
    </row>
    <row r="119" spans="1:17" x14ac:dyDescent="0.35">
      <c r="A119" s="34">
        <v>117</v>
      </c>
      <c r="B119" s="2" t="s">
        <v>202</v>
      </c>
      <c r="C119" s="34" t="s">
        <v>2131</v>
      </c>
      <c r="D119" s="2" t="s">
        <v>33</v>
      </c>
      <c r="E119" s="2" t="s">
        <v>347</v>
      </c>
      <c r="F119" s="2"/>
      <c r="G119" s="2"/>
      <c r="H119" s="2"/>
      <c r="I119" s="448" t="s">
        <v>421</v>
      </c>
      <c r="J119" s="2"/>
      <c r="K119" s="39">
        <v>45788</v>
      </c>
      <c r="L119" s="39"/>
      <c r="M119" s="39" t="s">
        <v>2257</v>
      </c>
      <c r="N119" s="2" t="s">
        <v>435</v>
      </c>
      <c r="O119" s="272" t="s">
        <v>423</v>
      </c>
      <c r="P119" s="35" t="s">
        <v>424</v>
      </c>
      <c r="Q119" s="2"/>
    </row>
    <row r="120" spans="1:17" x14ac:dyDescent="0.35">
      <c r="A120" s="34">
        <v>118</v>
      </c>
      <c r="B120" s="38" t="s">
        <v>122</v>
      </c>
      <c r="C120" s="34" t="s">
        <v>2131</v>
      </c>
      <c r="D120" s="2" t="s">
        <v>23</v>
      </c>
      <c r="E120" s="2" t="s">
        <v>347</v>
      </c>
      <c r="F120" s="2"/>
      <c r="G120" s="2"/>
      <c r="H120" s="2"/>
      <c r="I120" s="448" t="s">
        <v>421</v>
      </c>
      <c r="J120" s="2"/>
      <c r="K120" s="39">
        <v>45789</v>
      </c>
      <c r="L120" s="39"/>
      <c r="M120" s="39" t="s">
        <v>2257</v>
      </c>
      <c r="N120" s="2" t="s">
        <v>445</v>
      </c>
      <c r="O120" s="272" t="s">
        <v>423</v>
      </c>
      <c r="P120" s="35" t="s">
        <v>424</v>
      </c>
      <c r="Q120" s="2"/>
    </row>
    <row r="121" spans="1:17" x14ac:dyDescent="0.35">
      <c r="A121" s="34">
        <v>119</v>
      </c>
      <c r="B121" s="38" t="s">
        <v>34</v>
      </c>
      <c r="C121" s="263" t="s">
        <v>2131</v>
      </c>
      <c r="D121" s="2" t="s">
        <v>35</v>
      </c>
      <c r="E121" s="2" t="s">
        <v>348</v>
      </c>
      <c r="F121" s="2"/>
      <c r="G121" s="2"/>
      <c r="H121" s="2"/>
      <c r="I121" s="448" t="s">
        <v>421</v>
      </c>
      <c r="J121" s="2"/>
      <c r="K121" s="39">
        <v>45790</v>
      </c>
      <c r="L121" s="39"/>
      <c r="M121" s="39" t="s">
        <v>2257</v>
      </c>
      <c r="N121" s="2" t="s">
        <v>437</v>
      </c>
      <c r="O121" s="272" t="s">
        <v>423</v>
      </c>
      <c r="P121" s="35" t="s">
        <v>424</v>
      </c>
      <c r="Q121" s="2"/>
    </row>
    <row r="122" spans="1:17" x14ac:dyDescent="0.35">
      <c r="A122" s="34">
        <v>120</v>
      </c>
      <c r="B122" s="2" t="s">
        <v>201</v>
      </c>
      <c r="C122" s="34" t="s">
        <v>2131</v>
      </c>
      <c r="D122" s="2" t="s">
        <v>23</v>
      </c>
      <c r="E122" s="2" t="s">
        <v>347</v>
      </c>
      <c r="F122" s="2"/>
      <c r="G122" s="2"/>
      <c r="H122" s="2"/>
      <c r="I122" s="448" t="s">
        <v>421</v>
      </c>
      <c r="J122" s="2"/>
      <c r="K122" s="39">
        <v>45790</v>
      </c>
      <c r="L122" s="39"/>
      <c r="M122" s="39" t="s">
        <v>2257</v>
      </c>
      <c r="N122" s="2" t="s">
        <v>435</v>
      </c>
      <c r="O122" s="272" t="s">
        <v>423</v>
      </c>
      <c r="P122" s="35" t="s">
        <v>424</v>
      </c>
      <c r="Q122" s="2"/>
    </row>
    <row r="123" spans="1:17" x14ac:dyDescent="0.35">
      <c r="A123" s="34">
        <v>121</v>
      </c>
      <c r="B123" s="2" t="s">
        <v>177</v>
      </c>
      <c r="C123" s="34" t="s">
        <v>2131</v>
      </c>
      <c r="D123" s="2" t="s">
        <v>35</v>
      </c>
      <c r="E123" s="2" t="s">
        <v>347</v>
      </c>
      <c r="F123" s="2"/>
      <c r="G123" s="2"/>
      <c r="H123" s="2"/>
      <c r="I123" s="448" t="s">
        <v>421</v>
      </c>
      <c r="J123" s="2"/>
      <c r="K123" s="39">
        <v>45792</v>
      </c>
      <c r="L123" s="39"/>
      <c r="M123" s="39" t="s">
        <v>2257</v>
      </c>
      <c r="N123" s="2" t="s">
        <v>438</v>
      </c>
      <c r="O123" s="272" t="s">
        <v>423</v>
      </c>
      <c r="P123" s="35" t="s">
        <v>424</v>
      </c>
      <c r="Q123" s="2"/>
    </row>
    <row r="124" spans="1:17" x14ac:dyDescent="0.35">
      <c r="A124" s="34">
        <v>122</v>
      </c>
      <c r="B124" s="38" t="s">
        <v>41</v>
      </c>
      <c r="C124" s="263" t="s">
        <v>2131</v>
      </c>
      <c r="D124" s="2" t="s">
        <v>14</v>
      </c>
      <c r="E124" s="2" t="s">
        <v>347</v>
      </c>
      <c r="F124" s="2"/>
      <c r="G124" s="2"/>
      <c r="H124" s="2"/>
      <c r="I124" s="448" t="s">
        <v>421</v>
      </c>
      <c r="J124" s="39">
        <v>45792</v>
      </c>
      <c r="K124" s="39">
        <v>45793</v>
      </c>
      <c r="L124" s="39" t="s">
        <v>2257</v>
      </c>
      <c r="M124" s="39" t="s">
        <v>2257</v>
      </c>
      <c r="N124" s="34" t="s">
        <v>422</v>
      </c>
      <c r="O124" s="272" t="s">
        <v>423</v>
      </c>
      <c r="P124" s="35" t="s">
        <v>424</v>
      </c>
      <c r="Q124" s="2"/>
    </row>
    <row r="125" spans="1:17" x14ac:dyDescent="0.35">
      <c r="A125" s="34">
        <v>123</v>
      </c>
      <c r="B125" s="2" t="s">
        <v>199</v>
      </c>
      <c r="C125" s="34" t="s">
        <v>2131</v>
      </c>
      <c r="D125" s="2" t="s">
        <v>23</v>
      </c>
      <c r="E125" s="2" t="s">
        <v>347</v>
      </c>
      <c r="F125" s="2"/>
      <c r="G125" s="2"/>
      <c r="H125" s="2"/>
      <c r="I125" s="448" t="s">
        <v>421</v>
      </c>
      <c r="J125" s="2"/>
      <c r="K125" s="39">
        <v>45794</v>
      </c>
      <c r="L125" s="39"/>
      <c r="M125" s="39" t="s">
        <v>2257</v>
      </c>
      <c r="N125" s="2" t="s">
        <v>435</v>
      </c>
      <c r="O125" s="272" t="s">
        <v>423</v>
      </c>
      <c r="P125" s="35" t="s">
        <v>424</v>
      </c>
      <c r="Q125" s="2"/>
    </row>
    <row r="126" spans="1:17" x14ac:dyDescent="0.35">
      <c r="A126" s="34">
        <v>124</v>
      </c>
      <c r="B126" s="2" t="s">
        <v>205</v>
      </c>
      <c r="C126" s="34" t="s">
        <v>2131</v>
      </c>
      <c r="D126" s="2" t="s">
        <v>31</v>
      </c>
      <c r="E126" s="2" t="s">
        <v>348</v>
      </c>
      <c r="F126" s="2"/>
      <c r="G126" s="2"/>
      <c r="H126" s="2"/>
      <c r="I126" s="448" t="s">
        <v>421</v>
      </c>
      <c r="J126" s="39">
        <v>45791</v>
      </c>
      <c r="K126" s="39">
        <v>45796</v>
      </c>
      <c r="L126" s="39" t="s">
        <v>2257</v>
      </c>
      <c r="M126" s="39" t="s">
        <v>2257</v>
      </c>
      <c r="N126" s="2" t="s">
        <v>444</v>
      </c>
      <c r="O126" s="272" t="s">
        <v>423</v>
      </c>
      <c r="P126" s="35" t="s">
        <v>424</v>
      </c>
      <c r="Q126" s="2"/>
    </row>
    <row r="127" spans="1:17" x14ac:dyDescent="0.35">
      <c r="A127" s="34">
        <v>125</v>
      </c>
      <c r="B127" s="38" t="s">
        <v>263</v>
      </c>
      <c r="C127" s="34" t="s">
        <v>2132</v>
      </c>
      <c r="D127" s="2" t="s">
        <v>31</v>
      </c>
      <c r="E127" s="2" t="s">
        <v>347</v>
      </c>
      <c r="F127" s="2"/>
      <c r="G127" s="2"/>
      <c r="H127" s="2"/>
      <c r="I127" s="448" t="s">
        <v>421</v>
      </c>
      <c r="J127" s="2" t="s">
        <v>446</v>
      </c>
      <c r="K127" s="2" t="s">
        <v>447</v>
      </c>
      <c r="L127" s="39" t="s">
        <v>2257</v>
      </c>
      <c r="M127" s="39" t="s">
        <v>2257</v>
      </c>
      <c r="N127" s="34" t="s">
        <v>432</v>
      </c>
      <c r="O127" s="272" t="s">
        <v>423</v>
      </c>
      <c r="P127" s="35" t="s">
        <v>424</v>
      </c>
      <c r="Q127" s="2"/>
    </row>
    <row r="128" spans="1:17" x14ac:dyDescent="0.35">
      <c r="A128" s="34">
        <v>126</v>
      </c>
      <c r="B128" s="38" t="s">
        <v>278</v>
      </c>
      <c r="C128" s="38" t="s">
        <v>2133</v>
      </c>
      <c r="D128" s="2" t="s">
        <v>16</v>
      </c>
      <c r="E128" s="2" t="s">
        <v>347</v>
      </c>
      <c r="F128" s="2"/>
      <c r="G128" s="2"/>
      <c r="H128" s="2"/>
      <c r="I128" s="448" t="s">
        <v>421</v>
      </c>
      <c r="J128" s="39" t="s">
        <v>448</v>
      </c>
      <c r="K128" s="2" t="s">
        <v>447</v>
      </c>
      <c r="L128" s="39" t="s">
        <v>2257</v>
      </c>
      <c r="M128" s="39" t="s">
        <v>2257</v>
      </c>
      <c r="N128" s="2" t="s">
        <v>437</v>
      </c>
      <c r="O128" s="272" t="s">
        <v>423</v>
      </c>
      <c r="P128" s="35" t="s">
        <v>424</v>
      </c>
      <c r="Q128" s="2"/>
    </row>
    <row r="129" spans="1:17" x14ac:dyDescent="0.35">
      <c r="A129" s="34">
        <v>127</v>
      </c>
      <c r="B129" s="38" t="s">
        <v>179</v>
      </c>
      <c r="C129" s="34" t="s">
        <v>2131</v>
      </c>
      <c r="D129" s="2" t="s">
        <v>449</v>
      </c>
      <c r="E129" s="2" t="s">
        <v>347</v>
      </c>
      <c r="F129" s="2"/>
      <c r="G129" s="2"/>
      <c r="H129" s="2"/>
      <c r="I129" s="448" t="s">
        <v>421</v>
      </c>
      <c r="J129" s="556" t="s">
        <v>450</v>
      </c>
      <c r="K129" s="39" t="s">
        <v>451</v>
      </c>
      <c r="L129" s="39" t="s">
        <v>2257</v>
      </c>
      <c r="M129" s="39" t="s">
        <v>2257</v>
      </c>
      <c r="N129" s="2" t="s">
        <v>438</v>
      </c>
      <c r="O129" s="272" t="s">
        <v>423</v>
      </c>
      <c r="P129" s="35" t="s">
        <v>424</v>
      </c>
      <c r="Q129" s="2"/>
    </row>
    <row r="130" spans="1:17" x14ac:dyDescent="0.35">
      <c r="A130" s="34">
        <v>128</v>
      </c>
      <c r="B130" s="2" t="s">
        <v>178</v>
      </c>
      <c r="C130" s="34" t="s">
        <v>2131</v>
      </c>
      <c r="D130" s="2" t="s">
        <v>31</v>
      </c>
      <c r="E130" s="2" t="s">
        <v>347</v>
      </c>
      <c r="F130" s="2"/>
      <c r="G130" s="2"/>
      <c r="H130" s="2"/>
      <c r="I130" s="448" t="s">
        <v>421</v>
      </c>
      <c r="J130" s="2" t="s">
        <v>452</v>
      </c>
      <c r="K130" s="2" t="s">
        <v>453</v>
      </c>
      <c r="L130" s="39" t="s">
        <v>2257</v>
      </c>
      <c r="M130" s="39" t="s">
        <v>2257</v>
      </c>
      <c r="N130" s="2" t="s">
        <v>438</v>
      </c>
      <c r="O130" s="272" t="s">
        <v>423</v>
      </c>
      <c r="P130" s="35" t="s">
        <v>424</v>
      </c>
      <c r="Q130" s="2"/>
    </row>
    <row r="131" spans="1:17" x14ac:dyDescent="0.35">
      <c r="A131" s="34">
        <v>129</v>
      </c>
      <c r="B131" s="2" t="s">
        <v>287</v>
      </c>
      <c r="C131" s="38" t="s">
        <v>2133</v>
      </c>
      <c r="D131" s="2" t="s">
        <v>23</v>
      </c>
      <c r="E131" s="2" t="s">
        <v>347</v>
      </c>
      <c r="F131" s="2"/>
      <c r="G131" s="2"/>
      <c r="H131" s="2"/>
      <c r="I131" s="448" t="s">
        <v>421</v>
      </c>
      <c r="J131" s="2" t="s">
        <v>446</v>
      </c>
      <c r="K131" s="2" t="s">
        <v>454</v>
      </c>
      <c r="L131" s="39" t="s">
        <v>2257</v>
      </c>
      <c r="M131" s="39" t="s">
        <v>2257</v>
      </c>
      <c r="N131" s="2" t="s">
        <v>445</v>
      </c>
      <c r="O131" s="272" t="s">
        <v>423</v>
      </c>
      <c r="P131" s="35" t="s">
        <v>424</v>
      </c>
      <c r="Q131" s="2"/>
    </row>
    <row r="132" spans="1:17" x14ac:dyDescent="0.35">
      <c r="A132" s="34">
        <v>130</v>
      </c>
      <c r="B132" s="2" t="s">
        <v>266</v>
      </c>
      <c r="C132" s="38" t="s">
        <v>2133</v>
      </c>
      <c r="D132" s="2" t="s">
        <v>16</v>
      </c>
      <c r="E132" s="2" t="s">
        <v>347</v>
      </c>
      <c r="F132" s="2"/>
      <c r="G132" s="2"/>
      <c r="H132" s="2"/>
      <c r="I132" s="448" t="s">
        <v>421</v>
      </c>
      <c r="J132" s="2" t="s">
        <v>447</v>
      </c>
      <c r="K132" s="39" t="s">
        <v>455</v>
      </c>
      <c r="L132" s="39" t="s">
        <v>2257</v>
      </c>
      <c r="M132" s="39" t="s">
        <v>2257</v>
      </c>
      <c r="N132" s="34" t="s">
        <v>432</v>
      </c>
      <c r="O132" s="272" t="s">
        <v>423</v>
      </c>
      <c r="P132" s="35" t="s">
        <v>424</v>
      </c>
      <c r="Q132" s="2"/>
    </row>
    <row r="133" spans="1:17" x14ac:dyDescent="0.35">
      <c r="A133" s="34">
        <v>131</v>
      </c>
      <c r="B133" s="38" t="s">
        <v>38</v>
      </c>
      <c r="C133" s="263" t="s">
        <v>2131</v>
      </c>
      <c r="D133" s="2" t="s">
        <v>23</v>
      </c>
      <c r="E133" s="2" t="s">
        <v>348</v>
      </c>
      <c r="F133" s="2"/>
      <c r="G133" s="2"/>
      <c r="H133" s="2"/>
      <c r="I133" s="448" t="s">
        <v>421</v>
      </c>
      <c r="J133" s="2" t="s">
        <v>447</v>
      </c>
      <c r="K133" s="39" t="s">
        <v>455</v>
      </c>
      <c r="L133" s="39" t="s">
        <v>2257</v>
      </c>
      <c r="M133" s="39" t="s">
        <v>2257</v>
      </c>
      <c r="N133" s="2" t="s">
        <v>435</v>
      </c>
      <c r="O133" s="272" t="s">
        <v>423</v>
      </c>
      <c r="P133" s="36"/>
      <c r="Q133" s="2"/>
    </row>
    <row r="134" spans="1:17" x14ac:dyDescent="0.35">
      <c r="A134" s="34">
        <v>132</v>
      </c>
      <c r="B134" s="2" t="s">
        <v>204</v>
      </c>
      <c r="C134" s="34" t="s">
        <v>2131</v>
      </c>
      <c r="D134" s="2" t="s">
        <v>23</v>
      </c>
      <c r="E134" s="2" t="s">
        <v>347</v>
      </c>
      <c r="F134" s="2"/>
      <c r="G134" s="2"/>
      <c r="H134" s="2"/>
      <c r="I134" s="448" t="s">
        <v>421</v>
      </c>
      <c r="J134" s="2" t="s">
        <v>456</v>
      </c>
      <c r="K134" s="2" t="s">
        <v>457</v>
      </c>
      <c r="L134" s="39" t="s">
        <v>2257</v>
      </c>
      <c r="M134" s="39" t="s">
        <v>2257</v>
      </c>
      <c r="N134" s="2" t="s">
        <v>444</v>
      </c>
      <c r="O134" s="272" t="s">
        <v>423</v>
      </c>
      <c r="P134" s="35" t="s">
        <v>424</v>
      </c>
      <c r="Q134" s="2"/>
    </row>
    <row r="135" spans="1:17" x14ac:dyDescent="0.35">
      <c r="A135" s="34">
        <v>133</v>
      </c>
      <c r="B135" s="2" t="s">
        <v>280</v>
      </c>
      <c r="C135" s="38" t="s">
        <v>2133</v>
      </c>
      <c r="D135" s="2" t="s">
        <v>33</v>
      </c>
      <c r="E135" s="2" t="s">
        <v>348</v>
      </c>
      <c r="F135" s="2"/>
      <c r="G135" s="2"/>
      <c r="H135" s="2"/>
      <c r="I135" s="448" t="s">
        <v>421</v>
      </c>
      <c r="J135" s="2" t="s">
        <v>456</v>
      </c>
      <c r="K135" s="2" t="s">
        <v>457</v>
      </c>
      <c r="L135" s="39" t="s">
        <v>2257</v>
      </c>
      <c r="M135" s="39" t="s">
        <v>2257</v>
      </c>
      <c r="N135" s="2" t="s">
        <v>437</v>
      </c>
      <c r="O135" s="272" t="s">
        <v>423</v>
      </c>
      <c r="P135" s="35" t="s">
        <v>424</v>
      </c>
      <c r="Q135" s="2"/>
    </row>
    <row r="136" spans="1:17" x14ac:dyDescent="0.35">
      <c r="A136" s="34">
        <v>134</v>
      </c>
      <c r="B136" s="2" t="s">
        <v>286</v>
      </c>
      <c r="C136" s="38" t="s">
        <v>2133</v>
      </c>
      <c r="D136" s="2" t="s">
        <v>31</v>
      </c>
      <c r="E136" s="2" t="s">
        <v>347</v>
      </c>
      <c r="F136" s="2"/>
      <c r="G136" s="2"/>
      <c r="H136" s="2"/>
      <c r="I136" s="448" t="s">
        <v>421</v>
      </c>
      <c r="J136" s="2" t="s">
        <v>458</v>
      </c>
      <c r="K136" s="2" t="s">
        <v>459</v>
      </c>
      <c r="L136" s="39" t="s">
        <v>2257</v>
      </c>
      <c r="M136" s="39" t="s">
        <v>2257</v>
      </c>
      <c r="N136" s="2" t="s">
        <v>445</v>
      </c>
      <c r="O136" s="272" t="s">
        <v>423</v>
      </c>
      <c r="P136" s="35" t="s">
        <v>424</v>
      </c>
      <c r="Q136" s="2"/>
    </row>
    <row r="137" spans="1:17" x14ac:dyDescent="0.35">
      <c r="A137" s="34">
        <v>135</v>
      </c>
      <c r="B137" s="2" t="s">
        <v>174</v>
      </c>
      <c r="C137" s="34" t="s">
        <v>2131</v>
      </c>
      <c r="D137" s="2" t="s">
        <v>460</v>
      </c>
      <c r="E137" s="2" t="s">
        <v>347</v>
      </c>
      <c r="F137" s="2"/>
      <c r="G137" s="2"/>
      <c r="H137" s="2"/>
      <c r="I137" s="448" t="s">
        <v>421</v>
      </c>
      <c r="J137" s="2" t="s">
        <v>461</v>
      </c>
      <c r="K137" s="2" t="s">
        <v>462</v>
      </c>
      <c r="L137" s="39" t="s">
        <v>2257</v>
      </c>
      <c r="M137" s="39" t="s">
        <v>2257</v>
      </c>
      <c r="N137" s="2" t="s">
        <v>438</v>
      </c>
      <c r="O137" s="272" t="s">
        <v>423</v>
      </c>
      <c r="P137" s="35" t="s">
        <v>424</v>
      </c>
      <c r="Q137" s="2"/>
    </row>
    <row r="138" spans="1:17" x14ac:dyDescent="0.35">
      <c r="A138" s="34">
        <v>136</v>
      </c>
      <c r="B138" s="38" t="s">
        <v>37</v>
      </c>
      <c r="C138" s="263" t="s">
        <v>2131</v>
      </c>
      <c r="D138" s="2" t="s">
        <v>463</v>
      </c>
      <c r="E138" s="2" t="s">
        <v>348</v>
      </c>
      <c r="F138" s="2"/>
      <c r="G138" s="2"/>
      <c r="H138" s="2"/>
      <c r="I138" s="448" t="s">
        <v>421</v>
      </c>
      <c r="J138" s="2" t="s">
        <v>461</v>
      </c>
      <c r="K138" s="2" t="s">
        <v>462</v>
      </c>
      <c r="L138" s="39" t="s">
        <v>2257</v>
      </c>
      <c r="M138" s="39" t="s">
        <v>2257</v>
      </c>
      <c r="N138" s="2" t="s">
        <v>435</v>
      </c>
      <c r="O138" s="272" t="s">
        <v>423</v>
      </c>
      <c r="P138" s="36"/>
      <c r="Q138" s="2"/>
    </row>
    <row r="139" spans="1:17" x14ac:dyDescent="0.35">
      <c r="A139" s="34">
        <v>137</v>
      </c>
      <c r="B139" s="38" t="s">
        <v>279</v>
      </c>
      <c r="C139" s="38" t="s">
        <v>2133</v>
      </c>
      <c r="D139" s="2" t="s">
        <v>31</v>
      </c>
      <c r="E139" s="2" t="s">
        <v>347</v>
      </c>
      <c r="F139" s="2"/>
      <c r="G139" s="2"/>
      <c r="H139" s="2"/>
      <c r="I139" s="448" t="s">
        <v>421</v>
      </c>
      <c r="J139" s="2"/>
      <c r="K139" s="39">
        <v>45803</v>
      </c>
      <c r="L139" s="39"/>
      <c r="M139" s="39" t="s">
        <v>2257</v>
      </c>
      <c r="N139" s="2" t="s">
        <v>437</v>
      </c>
      <c r="O139" s="272" t="s">
        <v>423</v>
      </c>
      <c r="P139" s="35" t="s">
        <v>424</v>
      </c>
      <c r="Q139" s="2"/>
    </row>
    <row r="140" spans="1:17" x14ac:dyDescent="0.35">
      <c r="A140" s="34">
        <v>138</v>
      </c>
      <c r="B140" s="2" t="s">
        <v>259</v>
      </c>
      <c r="C140" s="34" t="s">
        <v>2132</v>
      </c>
      <c r="D140" s="2" t="s">
        <v>464</v>
      </c>
      <c r="E140" s="2" t="s">
        <v>347</v>
      </c>
      <c r="F140" s="2"/>
      <c r="G140" s="2"/>
      <c r="H140" s="2"/>
      <c r="I140" s="448" t="s">
        <v>421</v>
      </c>
      <c r="J140" s="2" t="s">
        <v>461</v>
      </c>
      <c r="K140" s="2" t="s">
        <v>465</v>
      </c>
      <c r="L140" s="39" t="s">
        <v>2257</v>
      </c>
      <c r="M140" s="39" t="s">
        <v>2257</v>
      </c>
      <c r="N140" s="34" t="s">
        <v>432</v>
      </c>
      <c r="O140" s="272" t="s">
        <v>423</v>
      </c>
      <c r="P140" s="35" t="s">
        <v>424</v>
      </c>
      <c r="Q140" s="2"/>
    </row>
    <row r="141" spans="1:17" x14ac:dyDescent="0.35">
      <c r="A141" s="34">
        <v>139</v>
      </c>
      <c r="B141" s="38" t="s">
        <v>288</v>
      </c>
      <c r="C141" s="38" t="s">
        <v>2133</v>
      </c>
      <c r="D141" s="2" t="s">
        <v>23</v>
      </c>
      <c r="E141" s="2" t="s">
        <v>347</v>
      </c>
      <c r="F141" s="2"/>
      <c r="G141" s="2"/>
      <c r="H141" s="2"/>
      <c r="I141" s="448" t="s">
        <v>421</v>
      </c>
      <c r="J141" s="2"/>
      <c r="K141" s="2" t="s">
        <v>469</v>
      </c>
      <c r="L141" s="2"/>
      <c r="M141" s="39" t="s">
        <v>2257</v>
      </c>
      <c r="N141" s="2" t="s">
        <v>445</v>
      </c>
      <c r="O141" s="272" t="s">
        <v>423</v>
      </c>
      <c r="P141" s="35" t="s">
        <v>424</v>
      </c>
      <c r="Q141" s="2"/>
    </row>
    <row r="142" spans="1:17" x14ac:dyDescent="0.35">
      <c r="A142" s="34">
        <v>140</v>
      </c>
      <c r="B142" s="38" t="s">
        <v>78</v>
      </c>
      <c r="C142" s="34" t="s">
        <v>2131</v>
      </c>
      <c r="D142" s="2" t="s">
        <v>61</v>
      </c>
      <c r="E142" s="2" t="s">
        <v>347</v>
      </c>
      <c r="F142" s="2"/>
      <c r="G142" s="2"/>
      <c r="H142" s="2"/>
      <c r="I142" s="448" t="s">
        <v>421</v>
      </c>
      <c r="J142" s="2"/>
      <c r="K142" s="2" t="s">
        <v>887</v>
      </c>
      <c r="L142" s="2"/>
      <c r="M142" s="39" t="s">
        <v>2257</v>
      </c>
      <c r="N142" s="2" t="s">
        <v>435</v>
      </c>
      <c r="O142" s="272" t="s">
        <v>423</v>
      </c>
      <c r="P142" s="35" t="s">
        <v>424</v>
      </c>
      <c r="Q142" s="2"/>
    </row>
    <row r="143" spans="1:17" x14ac:dyDescent="0.35">
      <c r="A143" s="34">
        <v>141</v>
      </c>
      <c r="B143" s="38" t="s">
        <v>206</v>
      </c>
      <c r="C143" s="34" t="s">
        <v>2131</v>
      </c>
      <c r="D143" s="2" t="s">
        <v>16</v>
      </c>
      <c r="E143" s="2" t="s">
        <v>348</v>
      </c>
      <c r="F143" s="2"/>
      <c r="G143" s="2"/>
      <c r="H143" s="2"/>
      <c r="I143" s="448" t="s">
        <v>421</v>
      </c>
      <c r="J143" s="2"/>
      <c r="K143" s="39">
        <v>45806</v>
      </c>
      <c r="L143" s="39"/>
      <c r="M143" s="39" t="s">
        <v>2257</v>
      </c>
      <c r="N143" s="2" t="s">
        <v>444</v>
      </c>
      <c r="O143" s="272" t="s">
        <v>423</v>
      </c>
      <c r="P143" s="35" t="s">
        <v>424</v>
      </c>
      <c r="Q143" s="2"/>
    </row>
    <row r="144" spans="1:17" x14ac:dyDescent="0.35">
      <c r="A144" s="34">
        <v>142</v>
      </c>
      <c r="B144" s="2" t="s">
        <v>269</v>
      </c>
      <c r="C144" s="38" t="s">
        <v>2133</v>
      </c>
      <c r="D144" s="2" t="s">
        <v>14</v>
      </c>
      <c r="E144" s="2" t="s">
        <v>350</v>
      </c>
      <c r="F144" s="2"/>
      <c r="G144" s="2"/>
      <c r="H144" s="2"/>
      <c r="I144" s="448" t="s">
        <v>421</v>
      </c>
      <c r="J144" s="2"/>
      <c r="K144" s="39">
        <v>45806</v>
      </c>
      <c r="L144" s="39"/>
      <c r="M144" s="39" t="s">
        <v>2257</v>
      </c>
      <c r="N144" s="34" t="s">
        <v>432</v>
      </c>
      <c r="O144" s="272" t="s">
        <v>423</v>
      </c>
      <c r="P144" s="35" t="s">
        <v>424</v>
      </c>
      <c r="Q144" s="2"/>
    </row>
    <row r="145" spans="1:17" x14ac:dyDescent="0.35">
      <c r="A145" s="34">
        <v>143</v>
      </c>
      <c r="B145" s="2" t="s">
        <v>344</v>
      </c>
      <c r="C145" s="38" t="s">
        <v>2133</v>
      </c>
      <c r="D145" s="2" t="s">
        <v>23</v>
      </c>
      <c r="E145" s="2" t="s">
        <v>348</v>
      </c>
      <c r="F145" s="2"/>
      <c r="G145" s="2"/>
      <c r="H145" s="2"/>
      <c r="I145" s="448" t="s">
        <v>421</v>
      </c>
      <c r="J145" s="2" t="s">
        <v>466</v>
      </c>
      <c r="K145" s="2" t="s">
        <v>467</v>
      </c>
      <c r="L145" s="39" t="s">
        <v>2257</v>
      </c>
      <c r="M145" s="39" t="s">
        <v>2257</v>
      </c>
      <c r="N145" s="2" t="s">
        <v>468</v>
      </c>
      <c r="O145" s="272" t="s">
        <v>423</v>
      </c>
      <c r="P145" s="36"/>
      <c r="Q145" s="2"/>
    </row>
    <row r="146" spans="1:17" x14ac:dyDescent="0.35">
      <c r="A146" s="34">
        <v>144</v>
      </c>
      <c r="B146" s="34" t="s">
        <v>273</v>
      </c>
      <c r="C146" s="38" t="s">
        <v>2133</v>
      </c>
      <c r="D146" s="34" t="s">
        <v>33</v>
      </c>
      <c r="E146" s="34" t="s">
        <v>347</v>
      </c>
      <c r="F146" s="34"/>
      <c r="G146" s="34"/>
      <c r="H146" s="34"/>
      <c r="I146" s="448" t="s">
        <v>421</v>
      </c>
      <c r="J146" s="2" t="s">
        <v>469</v>
      </c>
      <c r="K146" s="2" t="s">
        <v>470</v>
      </c>
      <c r="L146" s="39" t="s">
        <v>2257</v>
      </c>
      <c r="M146" s="39" t="s">
        <v>2258</v>
      </c>
      <c r="N146" s="2" t="s">
        <v>471</v>
      </c>
      <c r="O146" s="272" t="s">
        <v>472</v>
      </c>
      <c r="P146" s="35" t="s">
        <v>424</v>
      </c>
      <c r="Q146" s="2"/>
    </row>
    <row r="147" spans="1:17" x14ac:dyDescent="0.35">
      <c r="A147" s="34">
        <v>145</v>
      </c>
      <c r="B147" s="34" t="s">
        <v>281</v>
      </c>
      <c r="C147" s="38" t="s">
        <v>2133</v>
      </c>
      <c r="D147" s="34" t="s">
        <v>31</v>
      </c>
      <c r="E147" s="34" t="s">
        <v>348</v>
      </c>
      <c r="F147" s="34"/>
      <c r="G147" s="34"/>
      <c r="H147" s="34"/>
      <c r="I147" s="448" t="s">
        <v>421</v>
      </c>
      <c r="J147" s="2" t="s">
        <v>473</v>
      </c>
      <c r="K147" s="2" t="s">
        <v>470</v>
      </c>
      <c r="L147" s="39" t="s">
        <v>2257</v>
      </c>
      <c r="M147" s="39" t="s">
        <v>2258</v>
      </c>
      <c r="N147" s="2" t="s">
        <v>445</v>
      </c>
      <c r="O147" s="272" t="s">
        <v>472</v>
      </c>
      <c r="P147" s="2"/>
      <c r="Q147" s="2"/>
    </row>
    <row r="148" spans="1:17" x14ac:dyDescent="0.35">
      <c r="A148" s="34">
        <v>146</v>
      </c>
      <c r="B148" s="262" t="s">
        <v>200</v>
      </c>
      <c r="C148" s="34" t="s">
        <v>2131</v>
      </c>
      <c r="D148" s="34" t="s">
        <v>31</v>
      </c>
      <c r="E148" s="34" t="s">
        <v>347</v>
      </c>
      <c r="F148" s="34"/>
      <c r="G148" s="34"/>
      <c r="H148" s="34"/>
      <c r="I148" s="448" t="s">
        <v>421</v>
      </c>
      <c r="J148" s="2" t="s">
        <v>473</v>
      </c>
      <c r="K148" s="2" t="s">
        <v>474</v>
      </c>
      <c r="L148" s="39" t="s">
        <v>2257</v>
      </c>
      <c r="M148" s="39" t="s">
        <v>2258</v>
      </c>
      <c r="N148" s="2" t="s">
        <v>444</v>
      </c>
      <c r="O148" s="272" t="s">
        <v>472</v>
      </c>
      <c r="P148" s="35" t="s">
        <v>424</v>
      </c>
      <c r="Q148" s="2"/>
    </row>
    <row r="149" spans="1:17" x14ac:dyDescent="0.35">
      <c r="A149" s="34">
        <v>147</v>
      </c>
      <c r="B149" s="38" t="s">
        <v>261</v>
      </c>
      <c r="C149" s="34" t="s">
        <v>2132</v>
      </c>
      <c r="D149" s="34" t="s">
        <v>33</v>
      </c>
      <c r="E149" s="34" t="s">
        <v>347</v>
      </c>
      <c r="F149" s="34"/>
      <c r="G149" s="34"/>
      <c r="H149" s="34"/>
      <c r="I149" s="448" t="s">
        <v>421</v>
      </c>
      <c r="J149" s="2" t="s">
        <v>470</v>
      </c>
      <c r="K149" s="39" t="s">
        <v>475</v>
      </c>
      <c r="L149" s="39" t="s">
        <v>2258</v>
      </c>
      <c r="M149" s="39" t="s">
        <v>2258</v>
      </c>
      <c r="N149" s="34" t="s">
        <v>432</v>
      </c>
      <c r="O149" s="272" t="s">
        <v>472</v>
      </c>
      <c r="P149" s="35" t="s">
        <v>424</v>
      </c>
      <c r="Q149" s="2"/>
    </row>
    <row r="150" spans="1:17" x14ac:dyDescent="0.35">
      <c r="A150" s="34">
        <v>148</v>
      </c>
      <c r="B150" s="2" t="s">
        <v>275</v>
      </c>
      <c r="C150" s="38" t="s">
        <v>2133</v>
      </c>
      <c r="D150" s="2" t="s">
        <v>31</v>
      </c>
      <c r="E150" s="34" t="s">
        <v>347</v>
      </c>
      <c r="F150" s="34"/>
      <c r="G150" s="34"/>
      <c r="H150" s="34"/>
      <c r="I150" s="448" t="s">
        <v>421</v>
      </c>
      <c r="J150" s="2" t="s">
        <v>470</v>
      </c>
      <c r="K150" s="39" t="s">
        <v>476</v>
      </c>
      <c r="L150" s="39" t="s">
        <v>2258</v>
      </c>
      <c r="M150" s="39" t="s">
        <v>2258</v>
      </c>
      <c r="N150" s="2" t="s">
        <v>477</v>
      </c>
      <c r="O150" s="272" t="s">
        <v>472</v>
      </c>
      <c r="P150" s="2"/>
      <c r="Q150" s="2"/>
    </row>
    <row r="151" spans="1:17" x14ac:dyDescent="0.35">
      <c r="A151" s="34">
        <v>149</v>
      </c>
      <c r="B151" s="2" t="s">
        <v>282</v>
      </c>
      <c r="C151" s="38" t="s">
        <v>2133</v>
      </c>
      <c r="D151" s="2" t="s">
        <v>31</v>
      </c>
      <c r="E151" s="2" t="s">
        <v>348</v>
      </c>
      <c r="F151" s="2"/>
      <c r="G151" s="2"/>
      <c r="H151" s="2"/>
      <c r="I151" s="448" t="s">
        <v>421</v>
      </c>
      <c r="J151" s="2" t="s">
        <v>474</v>
      </c>
      <c r="K151" s="39">
        <v>45814</v>
      </c>
      <c r="L151" s="39" t="s">
        <v>2258</v>
      </c>
      <c r="M151" s="39" t="s">
        <v>2258</v>
      </c>
      <c r="N151" s="2" t="s">
        <v>445</v>
      </c>
      <c r="O151" s="272" t="s">
        <v>472</v>
      </c>
      <c r="P151" s="2"/>
      <c r="Q151" s="2"/>
    </row>
    <row r="152" spans="1:17" x14ac:dyDescent="0.35">
      <c r="A152" s="34">
        <v>150</v>
      </c>
      <c r="B152" s="2" t="s">
        <v>343</v>
      </c>
      <c r="C152" s="38" t="s">
        <v>2133</v>
      </c>
      <c r="D152" s="2" t="s">
        <v>23</v>
      </c>
      <c r="E152" s="2" t="s">
        <v>347</v>
      </c>
      <c r="F152" s="2"/>
      <c r="G152" s="2"/>
      <c r="H152" s="2"/>
      <c r="I152" s="448" t="s">
        <v>421</v>
      </c>
      <c r="J152" s="2" t="s">
        <v>474</v>
      </c>
      <c r="K152" s="39">
        <v>45844</v>
      </c>
      <c r="L152" s="39" t="s">
        <v>2258</v>
      </c>
      <c r="M152" s="39" t="s">
        <v>2259</v>
      </c>
      <c r="N152" s="2" t="s">
        <v>468</v>
      </c>
      <c r="O152" s="272" t="s">
        <v>472</v>
      </c>
      <c r="P152" s="2"/>
      <c r="Q152" s="2"/>
    </row>
    <row r="153" spans="1:17" x14ac:dyDescent="0.35">
      <c r="A153" s="34">
        <v>151</v>
      </c>
      <c r="B153" s="2" t="s">
        <v>227</v>
      </c>
      <c r="C153" s="34" t="s">
        <v>2132</v>
      </c>
      <c r="D153" s="2" t="s">
        <v>33</v>
      </c>
      <c r="E153" s="2" t="s">
        <v>347</v>
      </c>
      <c r="F153" s="2"/>
      <c r="G153" s="2"/>
      <c r="H153" s="2"/>
      <c r="I153" s="448" t="s">
        <v>421</v>
      </c>
      <c r="J153" s="2" t="s">
        <v>474</v>
      </c>
      <c r="K153" s="39">
        <v>45875</v>
      </c>
      <c r="L153" s="39" t="s">
        <v>2258</v>
      </c>
      <c r="M153" s="39" t="s">
        <v>2249</v>
      </c>
      <c r="N153" s="34" t="s">
        <v>432</v>
      </c>
      <c r="O153" s="272" t="s">
        <v>472</v>
      </c>
      <c r="P153" s="35" t="s">
        <v>424</v>
      </c>
      <c r="Q153" s="2"/>
    </row>
    <row r="154" spans="1:17" x14ac:dyDescent="0.35">
      <c r="A154" s="34">
        <v>152</v>
      </c>
      <c r="B154" s="2" t="s">
        <v>276</v>
      </c>
      <c r="C154" s="38" t="s">
        <v>2133</v>
      </c>
      <c r="D154" s="2" t="s">
        <v>33</v>
      </c>
      <c r="E154" s="2" t="s">
        <v>348</v>
      </c>
      <c r="F154" s="2"/>
      <c r="G154" s="2"/>
      <c r="H154" s="2"/>
      <c r="I154" s="448" t="s">
        <v>421</v>
      </c>
      <c r="J154" s="2" t="s">
        <v>475</v>
      </c>
      <c r="K154" s="39">
        <v>45818</v>
      </c>
      <c r="L154" s="39" t="s">
        <v>2258</v>
      </c>
      <c r="M154" s="39" t="s">
        <v>2258</v>
      </c>
      <c r="N154" s="2" t="s">
        <v>437</v>
      </c>
      <c r="O154" s="272" t="s">
        <v>472</v>
      </c>
      <c r="P154" s="2"/>
      <c r="Q154" s="2"/>
    </row>
    <row r="155" spans="1:17" x14ac:dyDescent="0.35">
      <c r="A155" s="34">
        <v>153</v>
      </c>
      <c r="B155" s="2" t="s">
        <v>262</v>
      </c>
      <c r="C155" s="34" t="s">
        <v>2132</v>
      </c>
      <c r="D155" s="2" t="s">
        <v>31</v>
      </c>
      <c r="E155" s="2" t="s">
        <v>350</v>
      </c>
      <c r="F155" s="2"/>
      <c r="G155" s="2"/>
      <c r="H155" s="2"/>
      <c r="I155" s="448" t="s">
        <v>421</v>
      </c>
      <c r="J155" s="2" t="s">
        <v>478</v>
      </c>
      <c r="K155" s="39">
        <v>45967</v>
      </c>
      <c r="L155" s="39" t="s">
        <v>2258</v>
      </c>
      <c r="M155" s="39" t="s">
        <v>2258</v>
      </c>
      <c r="N155" s="34" t="s">
        <v>432</v>
      </c>
      <c r="O155" s="272" t="s">
        <v>472</v>
      </c>
      <c r="P155" s="35" t="s">
        <v>424</v>
      </c>
      <c r="Q155" s="2"/>
    </row>
    <row r="156" spans="1:17" x14ac:dyDescent="0.35">
      <c r="A156" s="34">
        <v>154</v>
      </c>
      <c r="B156" s="2" t="s">
        <v>341</v>
      </c>
      <c r="C156" s="38" t="s">
        <v>2133</v>
      </c>
      <c r="D156" s="2" t="s">
        <v>23</v>
      </c>
      <c r="E156" s="2" t="s">
        <v>347</v>
      </c>
      <c r="F156" s="2"/>
      <c r="G156" s="2"/>
      <c r="H156" s="2"/>
      <c r="I156" s="448" t="s">
        <v>421</v>
      </c>
      <c r="J156" s="2" t="s">
        <v>470</v>
      </c>
      <c r="K156" s="39">
        <v>45967</v>
      </c>
      <c r="L156" s="39" t="s">
        <v>2258</v>
      </c>
      <c r="M156" s="39" t="s">
        <v>2258</v>
      </c>
      <c r="N156" s="2" t="s">
        <v>468</v>
      </c>
      <c r="O156" s="272" t="s">
        <v>472</v>
      </c>
      <c r="P156" s="35" t="s">
        <v>424</v>
      </c>
      <c r="Q156" s="2"/>
    </row>
    <row r="157" spans="1:17" x14ac:dyDescent="0.35">
      <c r="A157" s="34">
        <v>155</v>
      </c>
      <c r="B157" s="2" t="s">
        <v>283</v>
      </c>
      <c r="C157" s="38" t="s">
        <v>2133</v>
      </c>
      <c r="D157" s="2" t="s">
        <v>479</v>
      </c>
      <c r="E157" s="2" t="s">
        <v>347</v>
      </c>
      <c r="F157" s="2"/>
      <c r="G157" s="2"/>
      <c r="H157" s="2"/>
      <c r="I157" s="448" t="s">
        <v>421</v>
      </c>
      <c r="J157" s="2" t="s">
        <v>480</v>
      </c>
      <c r="K157" s="39" t="s">
        <v>481</v>
      </c>
      <c r="L157" s="39" t="s">
        <v>2258</v>
      </c>
      <c r="M157" s="39" t="s">
        <v>2258</v>
      </c>
      <c r="N157" s="2" t="s">
        <v>445</v>
      </c>
      <c r="O157" s="272" t="s">
        <v>472</v>
      </c>
      <c r="P157" s="35" t="s">
        <v>424</v>
      </c>
      <c r="Q157" s="2"/>
    </row>
    <row r="158" spans="1:17" x14ac:dyDescent="0.35">
      <c r="A158" s="34">
        <v>156</v>
      </c>
      <c r="B158" s="2" t="s">
        <v>277</v>
      </c>
      <c r="C158" s="38" t="s">
        <v>2133</v>
      </c>
      <c r="D158" s="2" t="s">
        <v>28</v>
      </c>
      <c r="E158" s="2" t="s">
        <v>347</v>
      </c>
      <c r="F158" s="2"/>
      <c r="G158" s="2"/>
      <c r="H158" s="2"/>
      <c r="I158" s="448" t="s">
        <v>421</v>
      </c>
      <c r="J158" s="39">
        <v>45936</v>
      </c>
      <c r="K158" s="39" t="s">
        <v>482</v>
      </c>
      <c r="L158" s="39" t="s">
        <v>2258</v>
      </c>
      <c r="M158" s="39" t="s">
        <v>2258</v>
      </c>
      <c r="N158" s="2" t="s">
        <v>477</v>
      </c>
      <c r="O158" s="272" t="s">
        <v>472</v>
      </c>
      <c r="P158" s="2"/>
      <c r="Q158" s="2"/>
    </row>
    <row r="159" spans="1:17" x14ac:dyDescent="0.35">
      <c r="A159" s="34">
        <v>157</v>
      </c>
      <c r="B159" s="2" t="s">
        <v>338</v>
      </c>
      <c r="C159" s="38" t="s">
        <v>2133</v>
      </c>
      <c r="D159" s="2" t="s">
        <v>33</v>
      </c>
      <c r="E159" s="2" t="s">
        <v>347</v>
      </c>
      <c r="F159" s="2"/>
      <c r="G159" s="2"/>
      <c r="H159" s="2"/>
      <c r="I159" s="448" t="s">
        <v>421</v>
      </c>
      <c r="J159" s="2"/>
      <c r="K159" s="2" t="s">
        <v>522</v>
      </c>
      <c r="L159" s="39" t="s">
        <v>2258</v>
      </c>
      <c r="M159" s="39" t="s">
        <v>2258</v>
      </c>
      <c r="N159" s="2" t="s">
        <v>468</v>
      </c>
      <c r="O159" s="272"/>
      <c r="P159" s="2"/>
      <c r="Q159" s="2"/>
    </row>
    <row r="160" spans="1:17" x14ac:dyDescent="0.35">
      <c r="A160" s="34">
        <v>158</v>
      </c>
      <c r="B160" s="2" t="s">
        <v>322</v>
      </c>
      <c r="C160" s="38" t="s">
        <v>2133</v>
      </c>
      <c r="D160" s="2" t="s">
        <v>14</v>
      </c>
      <c r="E160" s="38" t="s">
        <v>347</v>
      </c>
      <c r="F160" s="38"/>
      <c r="G160" s="38"/>
      <c r="H160" s="38"/>
      <c r="I160" s="448" t="s">
        <v>421</v>
      </c>
      <c r="J160" s="2" t="s">
        <v>483</v>
      </c>
      <c r="K160" s="39" t="s">
        <v>484</v>
      </c>
      <c r="L160" s="39" t="s">
        <v>2258</v>
      </c>
      <c r="M160" s="39" t="s">
        <v>2258</v>
      </c>
      <c r="N160" s="2" t="s">
        <v>444</v>
      </c>
      <c r="O160" s="272" t="s">
        <v>472</v>
      </c>
      <c r="P160" s="2"/>
      <c r="Q160" s="2"/>
    </row>
    <row r="161" spans="1:17" x14ac:dyDescent="0.35">
      <c r="A161" s="34">
        <v>159</v>
      </c>
      <c r="B161" s="38" t="s">
        <v>223</v>
      </c>
      <c r="C161" s="34" t="s">
        <v>2132</v>
      </c>
      <c r="D161" s="2" t="s">
        <v>115</v>
      </c>
      <c r="E161" s="2" t="s">
        <v>347</v>
      </c>
      <c r="F161" s="2"/>
      <c r="G161" s="2"/>
      <c r="H161" s="2"/>
      <c r="I161" s="448" t="s">
        <v>421</v>
      </c>
      <c r="J161" s="2" t="s">
        <v>485</v>
      </c>
      <c r="K161" s="39" t="s">
        <v>486</v>
      </c>
      <c r="L161" s="39" t="s">
        <v>2258</v>
      </c>
      <c r="M161" s="39" t="s">
        <v>2258</v>
      </c>
      <c r="N161" s="34" t="s">
        <v>432</v>
      </c>
      <c r="O161" s="272" t="s">
        <v>472</v>
      </c>
      <c r="P161" s="2"/>
      <c r="Q161" s="2"/>
    </row>
    <row r="162" spans="1:17" x14ac:dyDescent="0.35">
      <c r="A162" s="34">
        <v>160</v>
      </c>
      <c r="B162" s="2" t="s">
        <v>323</v>
      </c>
      <c r="C162" s="38" t="s">
        <v>2133</v>
      </c>
      <c r="D162" s="2" t="s">
        <v>31</v>
      </c>
      <c r="E162" s="2" t="s">
        <v>347</v>
      </c>
      <c r="F162" s="2"/>
      <c r="G162" s="2"/>
      <c r="H162" s="2"/>
      <c r="I162" s="448" t="s">
        <v>421</v>
      </c>
      <c r="J162" s="39" t="s">
        <v>487</v>
      </c>
      <c r="K162" s="39">
        <v>45831</v>
      </c>
      <c r="L162" s="39" t="s">
        <v>2258</v>
      </c>
      <c r="M162" s="39" t="s">
        <v>2258</v>
      </c>
      <c r="N162" s="2" t="s">
        <v>444</v>
      </c>
      <c r="O162" s="272" t="s">
        <v>488</v>
      </c>
      <c r="P162" s="2"/>
      <c r="Q162" s="2"/>
    </row>
    <row r="163" spans="1:17" x14ac:dyDescent="0.35">
      <c r="A163" s="34">
        <v>161</v>
      </c>
      <c r="B163" s="2" t="s">
        <v>340</v>
      </c>
      <c r="C163" s="38" t="s">
        <v>2133</v>
      </c>
      <c r="D163" s="2" t="s">
        <v>16</v>
      </c>
      <c r="E163" s="2" t="s">
        <v>347</v>
      </c>
      <c r="F163" s="2"/>
      <c r="G163" s="2"/>
      <c r="H163" s="2"/>
      <c r="I163" s="448" t="s">
        <v>421</v>
      </c>
      <c r="J163" s="2" t="s">
        <v>483</v>
      </c>
      <c r="K163" s="39" t="s">
        <v>489</v>
      </c>
      <c r="L163" s="39" t="s">
        <v>2258</v>
      </c>
      <c r="M163" s="39" t="s">
        <v>2258</v>
      </c>
      <c r="N163" s="2" t="s">
        <v>468</v>
      </c>
      <c r="O163" s="272" t="s">
        <v>488</v>
      </c>
      <c r="P163" s="2"/>
      <c r="Q163" s="2"/>
    </row>
    <row r="164" spans="1:17" x14ac:dyDescent="0.35">
      <c r="A164" s="34">
        <v>162</v>
      </c>
      <c r="B164" s="2" t="s">
        <v>324</v>
      </c>
      <c r="C164" s="38" t="s">
        <v>2133</v>
      </c>
      <c r="D164" s="2" t="s">
        <v>31</v>
      </c>
      <c r="E164" s="2" t="s">
        <v>347</v>
      </c>
      <c r="F164" s="2"/>
      <c r="G164" s="2"/>
      <c r="H164" s="2"/>
      <c r="I164" s="448" t="s">
        <v>421</v>
      </c>
      <c r="J164" s="39" t="s">
        <v>482</v>
      </c>
      <c r="K164" s="2" t="s">
        <v>490</v>
      </c>
      <c r="L164" s="39" t="s">
        <v>2258</v>
      </c>
      <c r="M164" s="39" t="s">
        <v>2258</v>
      </c>
      <c r="N164" s="2" t="s">
        <v>444</v>
      </c>
      <c r="O164" s="272" t="s">
        <v>488</v>
      </c>
      <c r="P164" s="2"/>
      <c r="Q164" s="2"/>
    </row>
    <row r="165" spans="1:17" x14ac:dyDescent="0.35">
      <c r="A165" s="34">
        <v>163</v>
      </c>
      <c r="B165" s="2" t="s">
        <v>330</v>
      </c>
      <c r="C165" s="38" t="s">
        <v>2133</v>
      </c>
      <c r="D165" s="2" t="s">
        <v>23</v>
      </c>
      <c r="E165" s="2" t="s">
        <v>347</v>
      </c>
      <c r="F165" s="2"/>
      <c r="G165" s="2"/>
      <c r="H165" s="2"/>
      <c r="I165" s="448" t="s">
        <v>421</v>
      </c>
      <c r="J165" s="2"/>
      <c r="K165" s="39">
        <v>45845</v>
      </c>
      <c r="L165" s="39"/>
      <c r="M165" s="39" t="s">
        <v>2259</v>
      </c>
      <c r="N165" s="2" t="s">
        <v>468</v>
      </c>
      <c r="O165" s="272"/>
      <c r="P165" s="2"/>
      <c r="Q165" s="2"/>
    </row>
    <row r="166" spans="1:17" ht="18" customHeight="1" x14ac:dyDescent="0.35">
      <c r="A166" s="34">
        <v>164</v>
      </c>
      <c r="B166" s="2" t="s">
        <v>328</v>
      </c>
      <c r="C166" s="38" t="s">
        <v>2133</v>
      </c>
      <c r="D166" s="2" t="s">
        <v>23</v>
      </c>
      <c r="E166" s="2" t="s">
        <v>347</v>
      </c>
      <c r="F166" s="2"/>
      <c r="G166" s="2"/>
      <c r="H166" s="2"/>
      <c r="I166" s="448" t="s">
        <v>421</v>
      </c>
      <c r="J166" s="2"/>
      <c r="K166" s="2" t="s">
        <v>491</v>
      </c>
      <c r="L166" s="2"/>
      <c r="M166" s="2"/>
      <c r="N166" s="2" t="s">
        <v>468</v>
      </c>
      <c r="O166" s="272"/>
      <c r="P166" s="2"/>
      <c r="Q166" s="2"/>
    </row>
    <row r="167" spans="1:17" x14ac:dyDescent="0.35">
      <c r="A167" s="34">
        <v>165</v>
      </c>
      <c r="B167" s="2" t="s">
        <v>316</v>
      </c>
      <c r="C167" s="38" t="s">
        <v>2133</v>
      </c>
      <c r="D167" s="2" t="s">
        <v>23</v>
      </c>
      <c r="E167" s="2" t="s">
        <v>350</v>
      </c>
      <c r="F167" s="2"/>
      <c r="G167" s="2"/>
      <c r="H167" s="2"/>
      <c r="I167" s="448" t="s">
        <v>492</v>
      </c>
      <c r="J167" s="2" t="s">
        <v>493</v>
      </c>
      <c r="K167" s="2" t="s">
        <v>494</v>
      </c>
      <c r="L167" s="2" t="s">
        <v>2258</v>
      </c>
      <c r="M167" s="2" t="s">
        <v>2259</v>
      </c>
      <c r="N167" s="36" t="s">
        <v>444</v>
      </c>
      <c r="O167" s="272"/>
      <c r="P167" s="2"/>
      <c r="Q167" s="2"/>
    </row>
    <row r="168" spans="1:17" x14ac:dyDescent="0.35">
      <c r="A168" s="34">
        <v>166</v>
      </c>
      <c r="B168" s="2" t="s">
        <v>317</v>
      </c>
      <c r="C168" s="38" t="s">
        <v>2133</v>
      </c>
      <c r="D168" s="2" t="s">
        <v>23</v>
      </c>
      <c r="E168" s="2" t="s">
        <v>350</v>
      </c>
      <c r="F168" s="2"/>
      <c r="G168" s="2"/>
      <c r="H168" s="2"/>
      <c r="I168" s="448" t="s">
        <v>492</v>
      </c>
      <c r="J168" s="39" t="s">
        <v>495</v>
      </c>
      <c r="K168" s="2" t="s">
        <v>496</v>
      </c>
      <c r="L168" s="2" t="s">
        <v>2259</v>
      </c>
      <c r="M168" s="2" t="s">
        <v>2259</v>
      </c>
      <c r="N168" s="36" t="s">
        <v>444</v>
      </c>
      <c r="O168" s="272"/>
      <c r="P168" s="2"/>
      <c r="Q168" s="2"/>
    </row>
    <row r="169" spans="1:17" x14ac:dyDescent="0.35">
      <c r="A169" s="34">
        <v>167</v>
      </c>
      <c r="B169" s="2" t="s">
        <v>332</v>
      </c>
      <c r="C169" s="38" t="s">
        <v>2133</v>
      </c>
      <c r="D169" s="2" t="s">
        <v>16</v>
      </c>
      <c r="E169" s="2" t="s">
        <v>350</v>
      </c>
      <c r="F169" s="2"/>
      <c r="G169" s="2"/>
      <c r="H169" s="2"/>
      <c r="I169" s="448" t="s">
        <v>492</v>
      </c>
      <c r="J169" s="2"/>
      <c r="K169" s="2" t="s">
        <v>497</v>
      </c>
      <c r="L169" s="2"/>
      <c r="M169" s="2" t="s">
        <v>2259</v>
      </c>
      <c r="N169" s="2" t="s">
        <v>468</v>
      </c>
      <c r="O169" s="272"/>
      <c r="P169" s="2"/>
      <c r="Q169" s="2"/>
    </row>
    <row r="170" spans="1:17" x14ac:dyDescent="0.35">
      <c r="A170" s="34">
        <v>168</v>
      </c>
      <c r="B170" s="38" t="s">
        <v>44</v>
      </c>
      <c r="C170" s="263" t="s">
        <v>2131</v>
      </c>
      <c r="D170" s="2" t="s">
        <v>498</v>
      </c>
      <c r="E170" s="2" t="s">
        <v>348</v>
      </c>
      <c r="F170" s="2"/>
      <c r="G170" s="2"/>
      <c r="H170" s="2"/>
      <c r="I170" s="448" t="s">
        <v>492</v>
      </c>
      <c r="J170" s="2" t="s">
        <v>496</v>
      </c>
      <c r="K170" s="2" t="s">
        <v>634</v>
      </c>
      <c r="L170" s="2" t="s">
        <v>2259</v>
      </c>
      <c r="M170" s="2" t="s">
        <v>2249</v>
      </c>
      <c r="N170" s="2" t="s">
        <v>444</v>
      </c>
      <c r="O170" s="272"/>
      <c r="P170" s="2"/>
      <c r="Q170" s="2"/>
    </row>
    <row r="171" spans="1:17" x14ac:dyDescent="0.35">
      <c r="A171" s="34">
        <v>169</v>
      </c>
      <c r="B171" s="38" t="s">
        <v>123</v>
      </c>
      <c r="C171" s="34" t="s">
        <v>2131</v>
      </c>
      <c r="D171" s="2" t="s">
        <v>498</v>
      </c>
      <c r="E171" s="2" t="s">
        <v>349</v>
      </c>
      <c r="F171" s="2"/>
      <c r="G171" s="2"/>
      <c r="H171" s="2"/>
      <c r="I171" s="448" t="s">
        <v>492</v>
      </c>
      <c r="J171" s="2" t="s">
        <v>499</v>
      </c>
      <c r="K171" s="2" t="s">
        <v>500</v>
      </c>
      <c r="L171" s="2" t="s">
        <v>2249</v>
      </c>
      <c r="M171" s="2" t="s">
        <v>2249</v>
      </c>
      <c r="N171" s="2" t="s">
        <v>637</v>
      </c>
      <c r="O171" s="272"/>
      <c r="P171" s="2"/>
      <c r="Q171" s="2"/>
    </row>
    <row r="172" spans="1:17" ht="15.75" customHeight="1" x14ac:dyDescent="0.35">
      <c r="A172" s="34">
        <v>170</v>
      </c>
      <c r="B172" s="2" t="s">
        <v>248</v>
      </c>
      <c r="C172" s="34" t="s">
        <v>2132</v>
      </c>
      <c r="D172" s="2" t="s">
        <v>115</v>
      </c>
      <c r="E172" s="2" t="s">
        <v>347</v>
      </c>
      <c r="F172" s="2"/>
      <c r="G172" s="2"/>
      <c r="H172" s="2"/>
      <c r="I172" s="448" t="s">
        <v>492</v>
      </c>
      <c r="J172" s="2" t="s">
        <v>502</v>
      </c>
      <c r="K172" s="2" t="s">
        <v>500</v>
      </c>
      <c r="L172" s="2" t="s">
        <v>2259</v>
      </c>
      <c r="M172" s="2" t="s">
        <v>2249</v>
      </c>
      <c r="N172" s="2" t="s">
        <v>468</v>
      </c>
      <c r="O172" s="272"/>
      <c r="P172" s="2"/>
      <c r="Q172" s="2"/>
    </row>
    <row r="173" spans="1:17" x14ac:dyDescent="0.35">
      <c r="A173" s="34">
        <v>171</v>
      </c>
      <c r="B173" s="38" t="s">
        <v>242</v>
      </c>
      <c r="C173" s="34" t="s">
        <v>2132</v>
      </c>
      <c r="D173" s="2" t="s">
        <v>31</v>
      </c>
      <c r="E173" s="2" t="s">
        <v>350</v>
      </c>
      <c r="F173" s="2"/>
      <c r="G173" s="2"/>
      <c r="H173" s="2"/>
      <c r="I173" s="448" t="s">
        <v>492</v>
      </c>
      <c r="J173" s="2" t="s">
        <v>503</v>
      </c>
      <c r="K173" s="2" t="s">
        <v>635</v>
      </c>
      <c r="L173" s="2" t="s">
        <v>2249</v>
      </c>
      <c r="M173" s="2" t="s">
        <v>2249</v>
      </c>
      <c r="N173" s="2" t="s">
        <v>504</v>
      </c>
      <c r="O173" s="272"/>
      <c r="P173" s="2"/>
      <c r="Q173" s="2"/>
    </row>
    <row r="174" spans="1:17" x14ac:dyDescent="0.35">
      <c r="A174" s="34">
        <v>172</v>
      </c>
      <c r="B174" s="38" t="s">
        <v>90</v>
      </c>
      <c r="C174" s="34" t="s">
        <v>2131</v>
      </c>
      <c r="D174" s="2" t="s">
        <v>61</v>
      </c>
      <c r="E174" s="2" t="s">
        <v>349</v>
      </c>
      <c r="F174" s="2"/>
      <c r="G174" s="2"/>
      <c r="H174" s="2"/>
      <c r="I174" s="448" t="s">
        <v>492</v>
      </c>
      <c r="J174" s="2" t="s">
        <v>505</v>
      </c>
      <c r="K174" s="2" t="s">
        <v>631</v>
      </c>
      <c r="L174" s="2" t="s">
        <v>2249</v>
      </c>
      <c r="M174" s="2" t="s">
        <v>2249</v>
      </c>
      <c r="N174" s="2" t="s">
        <v>501</v>
      </c>
      <c r="O174" s="272"/>
      <c r="P174" s="2"/>
      <c r="Q174" s="2"/>
    </row>
    <row r="175" spans="1:17" x14ac:dyDescent="0.35">
      <c r="A175" s="34">
        <v>173</v>
      </c>
      <c r="B175" s="2" t="s">
        <v>251</v>
      </c>
      <c r="C175" s="34" t="s">
        <v>2132</v>
      </c>
      <c r="D175" s="2" t="s">
        <v>506</v>
      </c>
      <c r="E175" s="2" t="s">
        <v>632</v>
      </c>
      <c r="F175" s="2"/>
      <c r="G175" s="2"/>
      <c r="H175" s="2"/>
      <c r="I175" s="448" t="s">
        <v>492</v>
      </c>
      <c r="J175" s="2" t="s">
        <v>500</v>
      </c>
      <c r="K175" s="2" t="s">
        <v>683</v>
      </c>
      <c r="L175" s="2" t="s">
        <v>2249</v>
      </c>
      <c r="M175" s="2" t="s">
        <v>2250</v>
      </c>
      <c r="N175" s="2" t="s">
        <v>468</v>
      </c>
      <c r="O175" s="272"/>
      <c r="P175" s="2"/>
      <c r="Q175" s="2"/>
    </row>
    <row r="176" spans="1:17" x14ac:dyDescent="0.35">
      <c r="A176" s="34">
        <v>174</v>
      </c>
      <c r="B176" s="2" t="s">
        <v>244</v>
      </c>
      <c r="C176" s="34" t="s">
        <v>2132</v>
      </c>
      <c r="D176" s="2" t="s">
        <v>31</v>
      </c>
      <c r="E176" s="2" t="s">
        <v>347</v>
      </c>
      <c r="F176" s="2"/>
      <c r="G176" s="2"/>
      <c r="H176" s="2"/>
      <c r="I176" s="448" t="s">
        <v>492</v>
      </c>
      <c r="J176" s="2" t="s">
        <v>636</v>
      </c>
      <c r="K176" s="2" t="s">
        <v>754</v>
      </c>
      <c r="L176" s="2" t="s">
        <v>2249</v>
      </c>
      <c r="M176" s="2" t="s">
        <v>2250</v>
      </c>
      <c r="N176" s="2" t="s">
        <v>504</v>
      </c>
      <c r="O176" s="272"/>
      <c r="P176" s="2"/>
      <c r="Q176" s="2"/>
    </row>
    <row r="177" spans="1:17" x14ac:dyDescent="0.35">
      <c r="A177" s="34">
        <v>175</v>
      </c>
      <c r="B177" s="2" t="s">
        <v>180</v>
      </c>
      <c r="C177" s="34" t="s">
        <v>2131</v>
      </c>
      <c r="D177" s="2" t="s">
        <v>115</v>
      </c>
      <c r="E177" s="2" t="s">
        <v>349</v>
      </c>
      <c r="F177" s="2"/>
      <c r="G177" s="2"/>
      <c r="H177" s="2"/>
      <c r="I177" s="448" t="s">
        <v>492</v>
      </c>
      <c r="J177" s="2" t="s">
        <v>633</v>
      </c>
      <c r="K177" s="2" t="s">
        <v>763</v>
      </c>
      <c r="L177" s="2" t="s">
        <v>2249</v>
      </c>
      <c r="M177" s="2" t="s">
        <v>2250</v>
      </c>
      <c r="N177" s="2" t="s">
        <v>501</v>
      </c>
      <c r="O177" s="272"/>
      <c r="P177" s="2"/>
      <c r="Q177" s="2"/>
    </row>
    <row r="178" spans="1:17" x14ac:dyDescent="0.35">
      <c r="A178" s="34">
        <v>176</v>
      </c>
      <c r="B178" s="264" t="s">
        <v>65</v>
      </c>
      <c r="C178" s="34" t="s">
        <v>2131</v>
      </c>
      <c r="D178" s="2" t="s">
        <v>28</v>
      </c>
      <c r="E178" s="2" t="s">
        <v>349</v>
      </c>
      <c r="F178" s="2"/>
      <c r="G178" s="2"/>
      <c r="H178" s="2"/>
      <c r="I178" s="448" t="s">
        <v>492</v>
      </c>
      <c r="J178" s="2" t="s">
        <v>633</v>
      </c>
      <c r="K178" s="2" t="s">
        <v>780</v>
      </c>
      <c r="L178" s="2" t="s">
        <v>2249</v>
      </c>
      <c r="M178" s="2" t="s">
        <v>2251</v>
      </c>
      <c r="N178" s="2" t="s">
        <v>444</v>
      </c>
      <c r="O178" s="272"/>
      <c r="P178" s="2"/>
      <c r="Q178" s="2"/>
    </row>
    <row r="179" spans="1:17" x14ac:dyDescent="0.35">
      <c r="A179" s="34">
        <v>177</v>
      </c>
      <c r="B179" s="2" t="s">
        <v>181</v>
      </c>
      <c r="C179" s="34" t="s">
        <v>2131</v>
      </c>
      <c r="D179" s="2" t="s">
        <v>182</v>
      </c>
      <c r="E179" s="1" t="s">
        <v>349</v>
      </c>
      <c r="F179" s="1"/>
      <c r="G179" s="1"/>
      <c r="H179" s="1"/>
      <c r="I179" s="448" t="s">
        <v>492</v>
      </c>
      <c r="J179" s="2" t="s">
        <v>643</v>
      </c>
      <c r="K179" s="2" t="s">
        <v>683</v>
      </c>
      <c r="L179" s="2" t="s">
        <v>2249</v>
      </c>
      <c r="M179" s="2" t="s">
        <v>2250</v>
      </c>
      <c r="N179" s="2" t="s">
        <v>637</v>
      </c>
      <c r="O179" s="272"/>
      <c r="P179" s="2"/>
      <c r="Q179" s="2"/>
    </row>
    <row r="180" spans="1:17" x14ac:dyDescent="0.35">
      <c r="A180" s="34">
        <v>178</v>
      </c>
      <c r="B180" s="38" t="s">
        <v>245</v>
      </c>
      <c r="C180" s="34" t="s">
        <v>2132</v>
      </c>
      <c r="D180" s="2" t="s">
        <v>35</v>
      </c>
      <c r="E180" s="1" t="s">
        <v>349</v>
      </c>
      <c r="F180" s="1"/>
      <c r="G180" s="1"/>
      <c r="H180" s="1"/>
      <c r="I180" s="448" t="s">
        <v>492</v>
      </c>
      <c r="J180" s="2" t="s">
        <v>763</v>
      </c>
      <c r="K180" s="2" t="s">
        <v>770</v>
      </c>
      <c r="L180" s="2" t="s">
        <v>2250</v>
      </c>
      <c r="M180" s="2" t="s">
        <v>2250</v>
      </c>
      <c r="N180" s="2" t="s">
        <v>504</v>
      </c>
      <c r="O180" s="272"/>
      <c r="P180" s="2"/>
      <c r="Q180" s="2"/>
    </row>
    <row r="181" spans="1:17" x14ac:dyDescent="0.35">
      <c r="A181" s="34">
        <v>179</v>
      </c>
      <c r="B181" s="38" t="s">
        <v>250</v>
      </c>
      <c r="C181" s="34" t="s">
        <v>2132</v>
      </c>
      <c r="D181" s="2" t="s">
        <v>33</v>
      </c>
      <c r="E181" s="2" t="s">
        <v>349</v>
      </c>
      <c r="F181" s="2"/>
      <c r="G181" s="2"/>
      <c r="H181" s="2"/>
      <c r="I181" s="448" t="s">
        <v>492</v>
      </c>
      <c r="J181" s="2" t="s">
        <v>761</v>
      </c>
      <c r="K181" s="2" t="s">
        <v>780</v>
      </c>
      <c r="L181" s="2" t="s">
        <v>2250</v>
      </c>
      <c r="M181" s="2" t="s">
        <v>2251</v>
      </c>
      <c r="N181" s="2" t="s">
        <v>2024</v>
      </c>
      <c r="O181" s="272"/>
      <c r="P181" s="2"/>
      <c r="Q181" s="2"/>
    </row>
    <row r="182" spans="1:17" x14ac:dyDescent="0.35">
      <c r="A182" s="34">
        <v>180</v>
      </c>
      <c r="B182" s="2" t="s">
        <v>252</v>
      </c>
      <c r="C182" s="34" t="s">
        <v>2132</v>
      </c>
      <c r="D182" s="2" t="s">
        <v>33</v>
      </c>
      <c r="E182" s="2" t="s">
        <v>347</v>
      </c>
      <c r="F182" s="2"/>
      <c r="G182" s="2"/>
      <c r="H182" s="2"/>
      <c r="I182" s="448" t="s">
        <v>492</v>
      </c>
      <c r="J182" s="2" t="s">
        <v>763</v>
      </c>
      <c r="K182" s="2" t="s">
        <v>779</v>
      </c>
      <c r="L182" s="2" t="s">
        <v>2250</v>
      </c>
      <c r="M182" s="2" t="s">
        <v>2251</v>
      </c>
      <c r="N182" s="2" t="s">
        <v>758</v>
      </c>
      <c r="O182" s="272"/>
      <c r="P182" s="2"/>
      <c r="Q182" s="2"/>
    </row>
    <row r="183" spans="1:17" x14ac:dyDescent="0.35">
      <c r="A183" s="34">
        <v>181</v>
      </c>
      <c r="B183" s="38" t="s">
        <v>77</v>
      </c>
      <c r="C183" s="34" t="s">
        <v>2131</v>
      </c>
      <c r="D183" s="2" t="s">
        <v>31</v>
      </c>
      <c r="E183" s="2" t="s">
        <v>349</v>
      </c>
      <c r="F183" s="2"/>
      <c r="G183" s="2"/>
      <c r="H183" s="2"/>
      <c r="I183" s="448" t="s">
        <v>492</v>
      </c>
      <c r="J183" s="2" t="s">
        <v>763</v>
      </c>
      <c r="K183" s="2" t="s">
        <v>769</v>
      </c>
      <c r="L183" s="2" t="s">
        <v>2250</v>
      </c>
      <c r="M183" s="2" t="s">
        <v>2250</v>
      </c>
      <c r="N183" s="2" t="s">
        <v>637</v>
      </c>
      <c r="O183" s="272"/>
      <c r="P183" s="2"/>
      <c r="Q183" s="2"/>
    </row>
    <row r="184" spans="1:17" x14ac:dyDescent="0.35">
      <c r="A184" s="34">
        <v>182</v>
      </c>
      <c r="B184" s="38" t="s">
        <v>68</v>
      </c>
      <c r="C184" s="34" t="s">
        <v>2131</v>
      </c>
      <c r="D184" s="2" t="s">
        <v>33</v>
      </c>
      <c r="E184" s="2" t="s">
        <v>349</v>
      </c>
      <c r="F184" s="2"/>
      <c r="G184" s="2"/>
      <c r="H184" s="2"/>
      <c r="I184" s="448" t="s">
        <v>492</v>
      </c>
      <c r="J184" s="2" t="s">
        <v>768</v>
      </c>
      <c r="K184" s="2" t="s">
        <v>771</v>
      </c>
      <c r="L184" s="2" t="s">
        <v>2250</v>
      </c>
      <c r="M184" s="2" t="s">
        <v>2251</v>
      </c>
      <c r="N184" s="2" t="s">
        <v>637</v>
      </c>
      <c r="O184" s="272"/>
      <c r="P184" s="2"/>
      <c r="Q184" s="2"/>
    </row>
    <row r="185" spans="1:17" x14ac:dyDescent="0.35">
      <c r="A185" s="34">
        <v>183</v>
      </c>
      <c r="B185" s="38" t="s">
        <v>89</v>
      </c>
      <c r="C185" s="34" t="s">
        <v>2131</v>
      </c>
      <c r="D185" s="2" t="s">
        <v>31</v>
      </c>
      <c r="E185" s="2" t="s">
        <v>349</v>
      </c>
      <c r="F185" s="2"/>
      <c r="G185" s="2"/>
      <c r="H185" s="2"/>
      <c r="I185" s="448" t="s">
        <v>492</v>
      </c>
      <c r="J185" s="2" t="s">
        <v>771</v>
      </c>
      <c r="K185" s="2" t="s">
        <v>773</v>
      </c>
      <c r="L185" s="2" t="s">
        <v>2251</v>
      </c>
      <c r="M185" s="2" t="s">
        <v>2251</v>
      </c>
      <c r="N185" s="2" t="s">
        <v>788</v>
      </c>
      <c r="O185" s="272"/>
      <c r="P185" s="2"/>
      <c r="Q185" s="2"/>
    </row>
    <row r="186" spans="1:17" x14ac:dyDescent="0.35">
      <c r="A186" s="34">
        <v>184</v>
      </c>
      <c r="B186" s="38" t="s">
        <v>49</v>
      </c>
      <c r="C186" s="263" t="s">
        <v>2131</v>
      </c>
      <c r="D186" s="38" t="s">
        <v>28</v>
      </c>
      <c r="E186" s="2" t="s">
        <v>349</v>
      </c>
      <c r="F186" s="2"/>
      <c r="G186" s="2"/>
      <c r="H186" s="2"/>
      <c r="I186" s="448" t="s">
        <v>492</v>
      </c>
      <c r="J186" s="2" t="s">
        <v>782</v>
      </c>
      <c r="K186" s="2" t="s">
        <v>784</v>
      </c>
      <c r="L186" s="2" t="s">
        <v>2251</v>
      </c>
      <c r="M186" s="2" t="s">
        <v>2251</v>
      </c>
      <c r="N186" s="2" t="s">
        <v>788</v>
      </c>
      <c r="O186" s="272"/>
      <c r="P186" s="2"/>
      <c r="Q186" s="2"/>
    </row>
    <row r="187" spans="1:17" x14ac:dyDescent="0.35">
      <c r="A187" s="34">
        <v>185</v>
      </c>
      <c r="B187" s="38" t="s">
        <v>60</v>
      </c>
      <c r="C187" s="263" t="s">
        <v>2131</v>
      </c>
      <c r="D187" s="2" t="s">
        <v>61</v>
      </c>
      <c r="E187" s="2" t="s">
        <v>347</v>
      </c>
      <c r="F187" s="2"/>
      <c r="G187" s="2"/>
      <c r="H187" s="2"/>
      <c r="I187" s="448" t="s">
        <v>492</v>
      </c>
      <c r="J187" s="2" t="s">
        <v>784</v>
      </c>
      <c r="K187" s="2" t="s">
        <v>789</v>
      </c>
      <c r="L187" s="2" t="s">
        <v>2251</v>
      </c>
      <c r="M187" s="2" t="s">
        <v>2251</v>
      </c>
      <c r="N187" s="2" t="s">
        <v>788</v>
      </c>
      <c r="O187" s="272"/>
      <c r="P187" s="2"/>
      <c r="Q187" s="2"/>
    </row>
    <row r="188" spans="1:17" x14ac:dyDescent="0.35">
      <c r="A188" s="34">
        <v>186</v>
      </c>
      <c r="B188" s="38" t="s">
        <v>246</v>
      </c>
      <c r="C188" s="34" t="s">
        <v>2132</v>
      </c>
      <c r="D188" s="2" t="s">
        <v>498</v>
      </c>
      <c r="E188" s="2" t="s">
        <v>347</v>
      </c>
      <c r="F188" s="2"/>
      <c r="G188" s="2"/>
      <c r="H188" s="2"/>
      <c r="I188" s="448" t="s">
        <v>492</v>
      </c>
      <c r="J188" s="2" t="s">
        <v>781</v>
      </c>
      <c r="K188" s="2" t="s">
        <v>815</v>
      </c>
      <c r="L188" s="2" t="s">
        <v>2250</v>
      </c>
      <c r="M188" s="2" t="s">
        <v>2149</v>
      </c>
      <c r="N188" s="2" t="s">
        <v>504</v>
      </c>
      <c r="O188" s="272"/>
      <c r="P188" s="2"/>
      <c r="Q188" s="2"/>
    </row>
    <row r="189" spans="1:17" x14ac:dyDescent="0.35">
      <c r="A189" s="34">
        <v>187</v>
      </c>
      <c r="B189" s="2" t="s">
        <v>253</v>
      </c>
      <c r="C189" s="34" t="s">
        <v>2132</v>
      </c>
      <c r="D189" s="38" t="s">
        <v>23</v>
      </c>
      <c r="E189" s="2" t="s">
        <v>349</v>
      </c>
      <c r="F189" s="2"/>
      <c r="G189" s="2"/>
      <c r="H189" s="2"/>
      <c r="I189" s="448" t="s">
        <v>492</v>
      </c>
      <c r="J189" s="2" t="s">
        <v>774</v>
      </c>
      <c r="K189" s="2" t="s">
        <v>813</v>
      </c>
      <c r="L189" s="2" t="s">
        <v>2251</v>
      </c>
      <c r="M189" s="2" t="s">
        <v>2149</v>
      </c>
      <c r="N189" s="2" t="s">
        <v>758</v>
      </c>
      <c r="O189" s="272"/>
      <c r="P189" s="2"/>
      <c r="Q189" s="2"/>
    </row>
    <row r="190" spans="1:17" x14ac:dyDescent="0.35">
      <c r="A190" s="34">
        <v>188</v>
      </c>
      <c r="B190" s="38" t="s">
        <v>333</v>
      </c>
      <c r="C190" s="38" t="s">
        <v>2133</v>
      </c>
      <c r="D190" s="38" t="s">
        <v>28</v>
      </c>
      <c r="E190" s="2" t="s">
        <v>348</v>
      </c>
      <c r="F190" s="2"/>
      <c r="G190" s="2"/>
      <c r="H190" s="2"/>
      <c r="I190" s="448" t="s">
        <v>492</v>
      </c>
      <c r="J190" s="2" t="s">
        <v>774</v>
      </c>
      <c r="K190" s="2" t="s">
        <v>806</v>
      </c>
      <c r="L190" s="2" t="s">
        <v>2251</v>
      </c>
      <c r="M190" s="2" t="s">
        <v>2149</v>
      </c>
      <c r="N190" s="2" t="s">
        <v>778</v>
      </c>
      <c r="O190" s="272"/>
      <c r="P190" s="2"/>
      <c r="Q190" s="2"/>
    </row>
    <row r="191" spans="1:17" x14ac:dyDescent="0.35">
      <c r="A191" s="34">
        <v>189</v>
      </c>
      <c r="B191" s="2" t="s">
        <v>254</v>
      </c>
      <c r="C191" s="34" t="s">
        <v>2132</v>
      </c>
      <c r="D191" s="38" t="s">
        <v>23</v>
      </c>
      <c r="E191" s="2" t="s">
        <v>349</v>
      </c>
      <c r="F191" s="2"/>
      <c r="G191" s="2"/>
      <c r="H191" s="2"/>
      <c r="I191" s="448" t="s">
        <v>492</v>
      </c>
      <c r="J191" s="2" t="s">
        <v>779</v>
      </c>
      <c r="K191" s="2" t="s">
        <v>792</v>
      </c>
      <c r="L191" s="2" t="s">
        <v>2251</v>
      </c>
      <c r="M191" s="2" t="s">
        <v>2251</v>
      </c>
      <c r="N191" s="2" t="s">
        <v>2024</v>
      </c>
      <c r="O191" s="272"/>
      <c r="P191" s="2"/>
      <c r="Q191" s="2"/>
    </row>
    <row r="192" spans="1:17" x14ac:dyDescent="0.35">
      <c r="A192" s="34">
        <v>190</v>
      </c>
      <c r="B192" s="38" t="s">
        <v>256</v>
      </c>
      <c r="C192" s="34" t="s">
        <v>2132</v>
      </c>
      <c r="D192" s="2" t="s">
        <v>31</v>
      </c>
      <c r="E192" s="2" t="s">
        <v>349</v>
      </c>
      <c r="F192" s="2"/>
      <c r="G192" s="2"/>
      <c r="H192" s="2"/>
      <c r="I192" s="448" t="s">
        <v>492</v>
      </c>
      <c r="J192" s="2" t="s">
        <v>784</v>
      </c>
      <c r="K192" s="2" t="s">
        <v>816</v>
      </c>
      <c r="L192" s="2" t="s">
        <v>2251</v>
      </c>
      <c r="M192" s="2" t="s">
        <v>2149</v>
      </c>
      <c r="N192" s="2" t="s">
        <v>2024</v>
      </c>
      <c r="O192" s="272"/>
      <c r="P192" s="2"/>
      <c r="Q192" s="2"/>
    </row>
    <row r="193" spans="1:17" x14ac:dyDescent="0.35">
      <c r="A193" s="34">
        <v>191</v>
      </c>
      <c r="B193" s="38" t="s">
        <v>257</v>
      </c>
      <c r="C193" s="34" t="s">
        <v>2132</v>
      </c>
      <c r="D193" s="2" t="s">
        <v>16</v>
      </c>
      <c r="E193" s="2" t="s">
        <v>349</v>
      </c>
      <c r="F193" s="2"/>
      <c r="G193" s="2"/>
      <c r="H193" s="2"/>
      <c r="I193" s="448" t="s">
        <v>492</v>
      </c>
      <c r="J193" s="2" t="s">
        <v>784</v>
      </c>
      <c r="K193" s="2" t="s">
        <v>811</v>
      </c>
      <c r="L193" s="2" t="s">
        <v>2251</v>
      </c>
      <c r="M193" s="2" t="s">
        <v>2149</v>
      </c>
      <c r="N193" s="2" t="s">
        <v>758</v>
      </c>
      <c r="O193" s="272"/>
      <c r="P193" s="2"/>
      <c r="Q193" s="2"/>
    </row>
    <row r="194" spans="1:17" x14ac:dyDescent="0.35">
      <c r="A194" s="34">
        <v>192</v>
      </c>
      <c r="B194" s="38" t="s">
        <v>335</v>
      </c>
      <c r="C194" s="38" t="s">
        <v>2133</v>
      </c>
      <c r="D194" s="2" t="s">
        <v>31</v>
      </c>
      <c r="E194" s="2" t="s">
        <v>349</v>
      </c>
      <c r="F194" s="2"/>
      <c r="G194" s="2"/>
      <c r="H194" s="2"/>
      <c r="I194" s="448" t="s">
        <v>492</v>
      </c>
      <c r="J194" s="2" t="s">
        <v>784</v>
      </c>
      <c r="K194" s="2" t="s">
        <v>811</v>
      </c>
      <c r="L194" s="2" t="s">
        <v>2251</v>
      </c>
      <c r="M194" s="2" t="s">
        <v>2149</v>
      </c>
      <c r="N194" s="2" t="s">
        <v>785</v>
      </c>
      <c r="O194" s="272"/>
      <c r="P194" s="2"/>
      <c r="Q194" s="2"/>
    </row>
    <row r="195" spans="1:17" x14ac:dyDescent="0.35">
      <c r="A195" s="34">
        <v>193</v>
      </c>
      <c r="B195" s="38" t="s">
        <v>258</v>
      </c>
      <c r="C195" s="34" t="s">
        <v>2132</v>
      </c>
      <c r="D195" s="2" t="s">
        <v>31</v>
      </c>
      <c r="E195" s="2" t="s">
        <v>349</v>
      </c>
      <c r="F195" s="2"/>
      <c r="G195" s="2"/>
      <c r="H195" s="2"/>
      <c r="I195" s="448" t="s">
        <v>492</v>
      </c>
      <c r="J195" s="2" t="s">
        <v>787</v>
      </c>
      <c r="K195" s="2" t="s">
        <v>820</v>
      </c>
      <c r="L195" s="2" t="s">
        <v>2251</v>
      </c>
      <c r="M195" s="2" t="s">
        <v>2149</v>
      </c>
      <c r="N195" s="2" t="s">
        <v>504</v>
      </c>
      <c r="O195" s="272"/>
      <c r="P195" s="2"/>
      <c r="Q195" s="2"/>
    </row>
    <row r="196" spans="1:17" x14ac:dyDescent="0.35">
      <c r="A196" s="34">
        <v>194</v>
      </c>
      <c r="B196" s="38" t="s">
        <v>100</v>
      </c>
      <c r="C196" s="34" t="s">
        <v>2131</v>
      </c>
      <c r="D196" s="2" t="s">
        <v>28</v>
      </c>
      <c r="E196" s="2" t="s">
        <v>347</v>
      </c>
      <c r="F196" s="2"/>
      <c r="G196" s="2"/>
      <c r="H196" s="2"/>
      <c r="I196" s="448" t="s">
        <v>492</v>
      </c>
      <c r="J196" s="2" t="s">
        <v>796</v>
      </c>
      <c r="K196" s="2" t="s">
        <v>812</v>
      </c>
      <c r="L196" s="2" t="s">
        <v>2251</v>
      </c>
      <c r="M196" s="2" t="s">
        <v>2251</v>
      </c>
      <c r="N196" s="2" t="s">
        <v>788</v>
      </c>
      <c r="O196" s="272"/>
      <c r="P196" s="2"/>
      <c r="Q196" s="2"/>
    </row>
    <row r="197" spans="1:17" x14ac:dyDescent="0.35">
      <c r="A197" s="34">
        <v>195</v>
      </c>
      <c r="B197" s="38" t="s">
        <v>116</v>
      </c>
      <c r="C197" s="34" t="s">
        <v>2131</v>
      </c>
      <c r="D197" s="2" t="s">
        <v>16</v>
      </c>
      <c r="E197" s="2" t="s">
        <v>802</v>
      </c>
      <c r="F197" s="2"/>
      <c r="G197" s="2"/>
      <c r="H197" s="2"/>
      <c r="I197" s="448" t="s">
        <v>492</v>
      </c>
      <c r="J197" s="2" t="s">
        <v>807</v>
      </c>
      <c r="K197" s="2" t="s">
        <v>811</v>
      </c>
      <c r="L197" s="2" t="s">
        <v>2251</v>
      </c>
      <c r="M197" s="2" t="s">
        <v>2149</v>
      </c>
      <c r="N197" s="2" t="s">
        <v>788</v>
      </c>
      <c r="O197" s="272"/>
      <c r="P197" s="2"/>
      <c r="Q197" s="2"/>
    </row>
    <row r="198" spans="1:17" x14ac:dyDescent="0.35">
      <c r="A198" s="34">
        <v>196</v>
      </c>
      <c r="B198" s="38" t="s">
        <v>329</v>
      </c>
      <c r="C198" s="38" t="s">
        <v>2133</v>
      </c>
      <c r="D198" s="2" t="s">
        <v>35</v>
      </c>
      <c r="E198" s="2" t="s">
        <v>347</v>
      </c>
      <c r="F198" s="2"/>
      <c r="G198" s="2"/>
      <c r="H198" s="2"/>
      <c r="I198" s="448" t="s">
        <v>492</v>
      </c>
      <c r="J198" s="2" t="s">
        <v>809</v>
      </c>
      <c r="K198" s="2" t="s">
        <v>820</v>
      </c>
      <c r="L198" s="2" t="s">
        <v>2251</v>
      </c>
      <c r="M198" s="2" t="s">
        <v>2149</v>
      </c>
      <c r="N198" s="2" t="s">
        <v>444</v>
      </c>
      <c r="O198" s="272"/>
      <c r="P198" s="2"/>
      <c r="Q198" s="2"/>
    </row>
    <row r="199" spans="1:17" x14ac:dyDescent="0.35">
      <c r="A199" s="34">
        <v>197</v>
      </c>
      <c r="B199" s="38" t="s">
        <v>339</v>
      </c>
      <c r="C199" s="38" t="s">
        <v>2133</v>
      </c>
      <c r="D199" s="38" t="s">
        <v>14</v>
      </c>
      <c r="E199" s="2" t="s">
        <v>349</v>
      </c>
      <c r="F199" s="2"/>
      <c r="G199" s="2"/>
      <c r="H199" s="2"/>
      <c r="I199" s="448" t="s">
        <v>492</v>
      </c>
      <c r="J199" s="2" t="s">
        <v>806</v>
      </c>
      <c r="K199" s="2" t="s">
        <v>881</v>
      </c>
      <c r="L199" s="2" t="s">
        <v>2149</v>
      </c>
      <c r="M199" s="2" t="s">
        <v>2149</v>
      </c>
      <c r="N199" s="2" t="s">
        <v>962</v>
      </c>
      <c r="O199" s="272"/>
      <c r="P199" s="2"/>
      <c r="Q199" s="2"/>
    </row>
    <row r="200" spans="1:17" x14ac:dyDescent="0.35">
      <c r="A200" s="34">
        <v>198</v>
      </c>
      <c r="B200" s="38" t="s">
        <v>312</v>
      </c>
      <c r="C200" s="38" t="s">
        <v>2133</v>
      </c>
      <c r="D200" s="38" t="s">
        <v>16</v>
      </c>
      <c r="E200" s="2"/>
      <c r="F200" s="2"/>
      <c r="G200" s="2"/>
      <c r="H200" s="2"/>
      <c r="I200" s="456" t="s">
        <v>896</v>
      </c>
      <c r="J200" s="2" t="s">
        <v>808</v>
      </c>
      <c r="K200" s="2"/>
      <c r="L200" s="2"/>
      <c r="M200" s="2"/>
      <c r="N200" s="2" t="s">
        <v>2024</v>
      </c>
      <c r="O200" s="272"/>
      <c r="P200" s="2"/>
      <c r="Q200" s="2"/>
    </row>
    <row r="201" spans="1:17" x14ac:dyDescent="0.35">
      <c r="A201" s="34">
        <v>199</v>
      </c>
      <c r="B201" s="38" t="s">
        <v>319</v>
      </c>
      <c r="C201" s="38" t="s">
        <v>2133</v>
      </c>
      <c r="D201" s="38" t="s">
        <v>115</v>
      </c>
      <c r="E201" s="2" t="s">
        <v>347</v>
      </c>
      <c r="F201" s="2"/>
      <c r="G201" s="2"/>
      <c r="H201" s="2"/>
      <c r="I201" s="448" t="s">
        <v>492</v>
      </c>
      <c r="J201" s="2" t="s">
        <v>798</v>
      </c>
      <c r="K201" s="2" t="s">
        <v>790</v>
      </c>
      <c r="L201" s="2" t="s">
        <v>2259</v>
      </c>
      <c r="M201" s="2" t="s">
        <v>2251</v>
      </c>
      <c r="N201" s="2" t="s">
        <v>444</v>
      </c>
      <c r="O201" s="272"/>
      <c r="P201" s="2"/>
      <c r="Q201" s="2"/>
    </row>
    <row r="202" spans="1:17" x14ac:dyDescent="0.35">
      <c r="A202" s="34">
        <v>200</v>
      </c>
      <c r="B202" s="38" t="s">
        <v>320</v>
      </c>
      <c r="C202" s="38" t="s">
        <v>2133</v>
      </c>
      <c r="D202" s="2" t="s">
        <v>16</v>
      </c>
      <c r="E202" s="2" t="s">
        <v>349</v>
      </c>
      <c r="F202" s="2"/>
      <c r="G202" s="2"/>
      <c r="H202" s="2"/>
      <c r="I202" s="448" t="s">
        <v>492</v>
      </c>
      <c r="J202" s="2" t="s">
        <v>797</v>
      </c>
      <c r="K202" s="2" t="s">
        <v>795</v>
      </c>
      <c r="L202" s="2" t="s">
        <v>2259</v>
      </c>
      <c r="M202" s="2" t="s">
        <v>2251</v>
      </c>
      <c r="N202" s="2" t="s">
        <v>444</v>
      </c>
      <c r="O202" s="272"/>
      <c r="P202" s="2"/>
      <c r="Q202" s="2"/>
    </row>
    <row r="203" spans="1:17" x14ac:dyDescent="0.35">
      <c r="A203" s="34">
        <v>201</v>
      </c>
      <c r="B203" s="2" t="s">
        <v>112</v>
      </c>
      <c r="C203" s="34" t="s">
        <v>2131</v>
      </c>
      <c r="D203" s="2" t="s">
        <v>113</v>
      </c>
      <c r="E203" s="2" t="s">
        <v>347</v>
      </c>
      <c r="F203" s="2"/>
      <c r="G203" s="2"/>
      <c r="H203" s="2"/>
      <c r="I203" s="448" t="s">
        <v>492</v>
      </c>
      <c r="J203" s="2" t="s">
        <v>795</v>
      </c>
      <c r="K203" s="2" t="s">
        <v>806</v>
      </c>
      <c r="L203" s="2" t="s">
        <v>2251</v>
      </c>
      <c r="M203" s="2" t="s">
        <v>2149</v>
      </c>
      <c r="N203" s="2" t="s">
        <v>788</v>
      </c>
      <c r="O203" s="272"/>
      <c r="P203" s="2"/>
      <c r="Q203" s="2"/>
    </row>
    <row r="204" spans="1:17" x14ac:dyDescent="0.35">
      <c r="A204" s="34">
        <v>202</v>
      </c>
      <c r="B204" s="38" t="s">
        <v>318</v>
      </c>
      <c r="C204" s="38" t="s">
        <v>2133</v>
      </c>
      <c r="D204" s="2" t="s">
        <v>23</v>
      </c>
      <c r="E204" s="2" t="s">
        <v>347</v>
      </c>
      <c r="F204" s="2"/>
      <c r="G204" s="2"/>
      <c r="H204" s="2"/>
      <c r="I204" s="448" t="s">
        <v>492</v>
      </c>
      <c r="J204" s="2" t="s">
        <v>795</v>
      </c>
      <c r="K204" s="2" t="s">
        <v>816</v>
      </c>
      <c r="L204" s="2" t="s">
        <v>2251</v>
      </c>
      <c r="M204" s="2" t="s">
        <v>2149</v>
      </c>
      <c r="N204" s="2" t="s">
        <v>444</v>
      </c>
      <c r="O204" s="272"/>
      <c r="P204" s="2"/>
      <c r="Q204" s="2"/>
    </row>
    <row r="205" spans="1:17" x14ac:dyDescent="0.35">
      <c r="A205" s="34">
        <v>203</v>
      </c>
      <c r="B205" s="38" t="s">
        <v>114</v>
      </c>
      <c r="C205" s="34" t="s">
        <v>2131</v>
      </c>
      <c r="D205" s="2" t="s">
        <v>16</v>
      </c>
      <c r="E205" s="2" t="s">
        <v>349</v>
      </c>
      <c r="F205" s="2"/>
      <c r="G205" s="2"/>
      <c r="H205" s="2"/>
      <c r="I205" s="448" t="s">
        <v>492</v>
      </c>
      <c r="J205" s="2" t="s">
        <v>806</v>
      </c>
      <c r="K205" s="2" t="s">
        <v>823</v>
      </c>
      <c r="L205" s="2" t="s">
        <v>2149</v>
      </c>
      <c r="M205" s="2" t="s">
        <v>2149</v>
      </c>
      <c r="N205" s="2" t="s">
        <v>788</v>
      </c>
      <c r="O205" s="272"/>
      <c r="P205" s="2"/>
      <c r="Q205" s="2"/>
    </row>
    <row r="206" spans="1:17" x14ac:dyDescent="0.35">
      <c r="A206" s="34">
        <v>204</v>
      </c>
      <c r="B206" s="38" t="s">
        <v>326</v>
      </c>
      <c r="C206" s="38" t="s">
        <v>2133</v>
      </c>
      <c r="D206" s="2" t="s">
        <v>23</v>
      </c>
      <c r="E206" s="2" t="s">
        <v>347</v>
      </c>
      <c r="F206" s="2"/>
      <c r="G206" s="2"/>
      <c r="H206" s="2"/>
      <c r="I206" s="448" t="s">
        <v>492</v>
      </c>
      <c r="J206" s="2" t="s">
        <v>807</v>
      </c>
      <c r="K206" s="2" t="s">
        <v>879</v>
      </c>
      <c r="L206" s="2" t="s">
        <v>2251</v>
      </c>
      <c r="M206" s="2" t="s">
        <v>2149</v>
      </c>
      <c r="N206" s="2" t="s">
        <v>810</v>
      </c>
      <c r="O206" s="272"/>
      <c r="P206" s="2"/>
      <c r="Q206" s="2"/>
    </row>
    <row r="207" spans="1:17" x14ac:dyDescent="0.35">
      <c r="A207" s="34">
        <v>205</v>
      </c>
      <c r="B207" s="2" t="s">
        <v>336</v>
      </c>
      <c r="C207" s="38" t="s">
        <v>2133</v>
      </c>
      <c r="D207" s="2" t="s">
        <v>16</v>
      </c>
      <c r="E207" s="2" t="s">
        <v>349</v>
      </c>
      <c r="F207" s="2"/>
      <c r="G207" s="2"/>
      <c r="H207" s="2"/>
      <c r="I207" s="448" t="s">
        <v>492</v>
      </c>
      <c r="J207" s="2" t="s">
        <v>815</v>
      </c>
      <c r="K207" s="2" t="s">
        <v>831</v>
      </c>
      <c r="L207" s="2" t="s">
        <v>2149</v>
      </c>
      <c r="M207" s="2" t="s">
        <v>2149</v>
      </c>
      <c r="N207" s="2" t="s">
        <v>901</v>
      </c>
      <c r="O207" s="272"/>
      <c r="P207" s="2"/>
      <c r="Q207" s="2"/>
    </row>
    <row r="208" spans="1:17" x14ac:dyDescent="0.35">
      <c r="A208" s="34">
        <v>206</v>
      </c>
      <c r="B208" s="2" t="s">
        <v>337</v>
      </c>
      <c r="C208" s="38" t="s">
        <v>2133</v>
      </c>
      <c r="D208" s="2" t="s">
        <v>23</v>
      </c>
      <c r="E208" s="2" t="s">
        <v>349</v>
      </c>
      <c r="F208" s="2"/>
      <c r="G208" s="2"/>
      <c r="H208" s="2"/>
      <c r="I208" s="448" t="s">
        <v>492</v>
      </c>
      <c r="J208" s="2" t="s">
        <v>816</v>
      </c>
      <c r="K208" s="2" t="s">
        <v>883</v>
      </c>
      <c r="L208" s="2" t="s">
        <v>2149</v>
      </c>
      <c r="M208" s="2" t="s">
        <v>2149</v>
      </c>
      <c r="N208" s="2" t="s">
        <v>778</v>
      </c>
      <c r="O208" s="272"/>
      <c r="P208" s="2"/>
      <c r="Q208" s="2"/>
    </row>
    <row r="209" spans="1:17" x14ac:dyDescent="0.35">
      <c r="A209" s="34">
        <v>207</v>
      </c>
      <c r="B209" s="2" t="s">
        <v>321</v>
      </c>
      <c r="C209" s="38" t="s">
        <v>2133</v>
      </c>
      <c r="D209" s="2" t="s">
        <v>498</v>
      </c>
      <c r="E209" s="2" t="s">
        <v>347</v>
      </c>
      <c r="F209" s="2"/>
      <c r="G209" s="2"/>
      <c r="H209" s="2"/>
      <c r="I209" s="448" t="s">
        <v>492</v>
      </c>
      <c r="J209" s="2" t="s">
        <v>820</v>
      </c>
      <c r="K209" s="2" t="s">
        <v>893</v>
      </c>
      <c r="L209" s="2" t="s">
        <v>2149</v>
      </c>
      <c r="M209" s="2" t="s">
        <v>2146</v>
      </c>
      <c r="N209" s="2" t="s">
        <v>444</v>
      </c>
      <c r="O209" s="272"/>
      <c r="P209" s="2"/>
      <c r="Q209" s="2"/>
    </row>
    <row r="210" spans="1:17" x14ac:dyDescent="0.35">
      <c r="A210" s="34">
        <v>208</v>
      </c>
      <c r="B210" s="2" t="s">
        <v>241</v>
      </c>
      <c r="C210" s="34" t="s">
        <v>2132</v>
      </c>
      <c r="D210" s="2" t="s">
        <v>506</v>
      </c>
      <c r="E210" s="2" t="s">
        <v>347</v>
      </c>
      <c r="F210" s="2"/>
      <c r="G210" s="2"/>
      <c r="H210" s="2"/>
      <c r="I210" s="448" t="s">
        <v>492</v>
      </c>
      <c r="J210" s="2" t="s">
        <v>821</v>
      </c>
      <c r="K210" s="2" t="s">
        <v>882</v>
      </c>
      <c r="L210" s="2" t="s">
        <v>2149</v>
      </c>
      <c r="M210" s="2" t="s">
        <v>2149</v>
      </c>
      <c r="N210" s="2" t="s">
        <v>758</v>
      </c>
      <c r="O210" s="272"/>
      <c r="P210" s="2"/>
      <c r="Q210" s="2"/>
    </row>
    <row r="211" spans="1:17" x14ac:dyDescent="0.35">
      <c r="A211" s="34">
        <v>209</v>
      </c>
      <c r="B211" s="2" t="s">
        <v>342</v>
      </c>
      <c r="C211" s="38" t="s">
        <v>2133</v>
      </c>
      <c r="D211" s="2" t="s">
        <v>236</v>
      </c>
      <c r="E211" s="2" t="s">
        <v>347</v>
      </c>
      <c r="F211" s="2"/>
      <c r="G211" s="2"/>
      <c r="H211" s="2"/>
      <c r="I211" s="448" t="s">
        <v>492</v>
      </c>
      <c r="J211" s="2" t="s">
        <v>820</v>
      </c>
      <c r="K211" s="2" t="s">
        <v>895</v>
      </c>
      <c r="L211" s="2" t="s">
        <v>2149</v>
      </c>
      <c r="M211" s="2" t="s">
        <v>2146</v>
      </c>
      <c r="N211" s="2" t="s">
        <v>2024</v>
      </c>
      <c r="O211" s="272"/>
      <c r="P211" s="2"/>
      <c r="Q211" s="2"/>
    </row>
    <row r="212" spans="1:17" x14ac:dyDescent="0.35">
      <c r="A212" s="34">
        <v>210</v>
      </c>
      <c r="B212" s="2" t="s">
        <v>219</v>
      </c>
      <c r="C212" s="34" t="s">
        <v>2132</v>
      </c>
      <c r="D212" s="2" t="s">
        <v>506</v>
      </c>
      <c r="E212" s="2" t="s">
        <v>802</v>
      </c>
      <c r="F212" s="2"/>
      <c r="G212" s="2"/>
      <c r="H212" s="2"/>
      <c r="I212" s="448" t="s">
        <v>492</v>
      </c>
      <c r="J212" s="2" t="s">
        <v>822</v>
      </c>
      <c r="K212" s="2" t="s">
        <v>903</v>
      </c>
      <c r="L212" s="2" t="s">
        <v>2149</v>
      </c>
      <c r="M212" s="2" t="s">
        <v>2146</v>
      </c>
      <c r="N212" s="2" t="s">
        <v>504</v>
      </c>
      <c r="O212" s="272"/>
      <c r="P212" s="2"/>
      <c r="Q212" s="2"/>
    </row>
    <row r="213" spans="1:17" x14ac:dyDescent="0.35">
      <c r="A213" s="34">
        <v>211</v>
      </c>
      <c r="B213" s="38" t="s">
        <v>39</v>
      </c>
      <c r="C213" s="263" t="s">
        <v>2131</v>
      </c>
      <c r="D213" s="2" t="s">
        <v>498</v>
      </c>
      <c r="E213" s="2" t="s">
        <v>802</v>
      </c>
      <c r="F213" s="2"/>
      <c r="G213" s="2"/>
      <c r="H213" s="2"/>
      <c r="I213" s="448" t="s">
        <v>492</v>
      </c>
      <c r="J213" s="2" t="s">
        <v>820</v>
      </c>
      <c r="K213" s="2" t="s">
        <v>882</v>
      </c>
      <c r="L213" s="2" t="s">
        <v>2149</v>
      </c>
      <c r="M213" s="2" t="s">
        <v>2149</v>
      </c>
      <c r="N213" s="2" t="s">
        <v>788</v>
      </c>
      <c r="O213" s="272"/>
      <c r="P213" s="2"/>
      <c r="Q213" s="2"/>
    </row>
    <row r="214" spans="1:17" x14ac:dyDescent="0.35">
      <c r="A214" s="34">
        <v>212</v>
      </c>
      <c r="B214" s="2" t="s">
        <v>130</v>
      </c>
      <c r="C214" s="34" t="s">
        <v>2131</v>
      </c>
      <c r="D214" s="2" t="s">
        <v>12</v>
      </c>
      <c r="E214" s="2" t="s">
        <v>347</v>
      </c>
      <c r="F214" s="2"/>
      <c r="G214" s="2"/>
      <c r="H214" s="2"/>
      <c r="I214" s="448" t="s">
        <v>492</v>
      </c>
      <c r="J214" s="2" t="s">
        <v>823</v>
      </c>
      <c r="K214" s="2" t="s">
        <v>890</v>
      </c>
      <c r="L214" s="2" t="s">
        <v>2149</v>
      </c>
      <c r="M214" s="2" t="s">
        <v>2149</v>
      </c>
      <c r="N214" s="2" t="s">
        <v>788</v>
      </c>
      <c r="O214" s="272"/>
      <c r="P214" s="2"/>
      <c r="Q214" s="2"/>
    </row>
    <row r="215" spans="1:17" x14ac:dyDescent="0.35">
      <c r="A215" s="34">
        <v>213</v>
      </c>
      <c r="B215" s="2" t="s">
        <v>296</v>
      </c>
      <c r="C215" s="38" t="s">
        <v>2133</v>
      </c>
      <c r="D215" s="2" t="s">
        <v>33</v>
      </c>
      <c r="E215" s="2" t="s">
        <v>347</v>
      </c>
      <c r="F215" s="2"/>
      <c r="G215" s="2"/>
      <c r="H215" s="2"/>
      <c r="I215" s="448" t="s">
        <v>492</v>
      </c>
      <c r="J215" s="2" t="s">
        <v>825</v>
      </c>
      <c r="K215" s="2" t="s">
        <v>883</v>
      </c>
      <c r="L215" s="2" t="s">
        <v>2149</v>
      </c>
      <c r="M215" s="2" t="s">
        <v>2149</v>
      </c>
      <c r="N215" s="2" t="s">
        <v>824</v>
      </c>
      <c r="O215" s="272"/>
      <c r="P215" s="2"/>
      <c r="Q215" s="2"/>
    </row>
    <row r="216" spans="1:17" x14ac:dyDescent="0.35">
      <c r="A216" s="34">
        <v>214</v>
      </c>
      <c r="B216" s="38" t="s">
        <v>42</v>
      </c>
      <c r="C216" s="263" t="s">
        <v>2131</v>
      </c>
      <c r="D216" s="2" t="s">
        <v>35</v>
      </c>
      <c r="E216" s="2" t="s">
        <v>349</v>
      </c>
      <c r="F216" s="2"/>
      <c r="G216" s="2"/>
      <c r="H216" s="2"/>
      <c r="I216" s="448" t="s">
        <v>492</v>
      </c>
      <c r="J216" s="2" t="s">
        <v>826</v>
      </c>
      <c r="K216" s="2" t="s">
        <v>808</v>
      </c>
      <c r="L216" s="2" t="s">
        <v>2149</v>
      </c>
      <c r="M216" s="2" t="s">
        <v>2149</v>
      </c>
      <c r="N216" s="2" t="s">
        <v>788</v>
      </c>
      <c r="O216" s="272"/>
      <c r="P216" s="2"/>
      <c r="Q216" s="2"/>
    </row>
    <row r="217" spans="1:17" x14ac:dyDescent="0.35">
      <c r="A217" s="34">
        <v>215</v>
      </c>
      <c r="B217" s="38" t="s">
        <v>295</v>
      </c>
      <c r="C217" s="38" t="s">
        <v>2133</v>
      </c>
      <c r="D217" s="2" t="s">
        <v>16</v>
      </c>
      <c r="E217" s="2" t="s">
        <v>349</v>
      </c>
      <c r="F217" s="2"/>
      <c r="G217" s="2"/>
      <c r="H217" s="2"/>
      <c r="I217" s="448" t="s">
        <v>492</v>
      </c>
      <c r="J217" s="2" t="s">
        <v>895</v>
      </c>
      <c r="K217" s="2" t="s">
        <v>913</v>
      </c>
      <c r="L217" s="2" t="s">
        <v>2146</v>
      </c>
      <c r="M217" s="2" t="s">
        <v>2146</v>
      </c>
      <c r="N217" s="2" t="s">
        <v>824</v>
      </c>
      <c r="O217" s="272"/>
      <c r="P217" s="2"/>
      <c r="Q217" s="2"/>
    </row>
    <row r="218" spans="1:17" x14ac:dyDescent="0.35">
      <c r="A218" s="34">
        <v>216</v>
      </c>
      <c r="B218" s="38" t="s">
        <v>84</v>
      </c>
      <c r="C218" s="34" t="s">
        <v>2131</v>
      </c>
      <c r="D218" s="2" t="s">
        <v>18</v>
      </c>
      <c r="E218" s="2" t="s">
        <v>347</v>
      </c>
      <c r="F218" s="2"/>
      <c r="G218" s="2"/>
      <c r="H218" s="2"/>
      <c r="I218" s="448" t="s">
        <v>492</v>
      </c>
      <c r="J218" s="2" t="s">
        <v>884</v>
      </c>
      <c r="K218" s="2" t="s">
        <v>891</v>
      </c>
      <c r="L218" s="2" t="s">
        <v>2149</v>
      </c>
      <c r="M218" s="2" t="s">
        <v>2146</v>
      </c>
      <c r="N218" s="2" t="s">
        <v>788</v>
      </c>
      <c r="O218" s="272"/>
      <c r="P218" s="2"/>
      <c r="Q218" s="2"/>
    </row>
    <row r="219" spans="1:17" x14ac:dyDescent="0.35">
      <c r="A219" s="34">
        <v>217</v>
      </c>
      <c r="B219" s="2" t="s">
        <v>290</v>
      </c>
      <c r="C219" s="38" t="s">
        <v>2133</v>
      </c>
      <c r="D219" s="2" t="s">
        <v>35</v>
      </c>
      <c r="E219" s="2" t="s">
        <v>347</v>
      </c>
      <c r="F219" s="2"/>
      <c r="G219" s="2"/>
      <c r="H219" s="2"/>
      <c r="I219" s="448" t="s">
        <v>492</v>
      </c>
      <c r="J219" s="2" t="s">
        <v>879</v>
      </c>
      <c r="K219" s="2" t="s">
        <v>894</v>
      </c>
      <c r="L219" s="2" t="s">
        <v>2149</v>
      </c>
      <c r="M219" s="2" t="s">
        <v>2146</v>
      </c>
      <c r="N219" s="2" t="s">
        <v>824</v>
      </c>
      <c r="O219" s="272"/>
      <c r="P219" s="2"/>
      <c r="Q219" s="2"/>
    </row>
    <row r="220" spans="1:17" x14ac:dyDescent="0.35">
      <c r="A220" s="34">
        <v>218</v>
      </c>
      <c r="B220" s="38" t="s">
        <v>291</v>
      </c>
      <c r="C220" s="38" t="s">
        <v>2133</v>
      </c>
      <c r="D220" s="2" t="s">
        <v>113</v>
      </c>
      <c r="E220" s="2" t="s">
        <v>347</v>
      </c>
      <c r="F220" s="2"/>
      <c r="G220" s="2"/>
      <c r="H220" s="2"/>
      <c r="I220" s="448" t="s">
        <v>492</v>
      </c>
      <c r="J220" s="2" t="s">
        <v>888</v>
      </c>
      <c r="K220" s="2" t="s">
        <v>910</v>
      </c>
      <c r="L220" s="2" t="s">
        <v>2149</v>
      </c>
      <c r="M220" s="2" t="s">
        <v>2146</v>
      </c>
      <c r="N220" s="2" t="s">
        <v>444</v>
      </c>
      <c r="O220" s="272"/>
      <c r="P220" s="2"/>
      <c r="Q220" s="2"/>
    </row>
    <row r="221" spans="1:17" x14ac:dyDescent="0.35">
      <c r="A221" s="34">
        <v>219</v>
      </c>
      <c r="B221" s="38" t="s">
        <v>346</v>
      </c>
      <c r="C221" s="38" t="s">
        <v>2133</v>
      </c>
      <c r="D221" s="2" t="s">
        <v>236</v>
      </c>
      <c r="E221" s="2" t="s">
        <v>348</v>
      </c>
      <c r="F221" s="2"/>
      <c r="G221" s="2"/>
      <c r="H221" s="2"/>
      <c r="I221" s="448" t="s">
        <v>492</v>
      </c>
      <c r="J221" s="2" t="s">
        <v>888</v>
      </c>
      <c r="K221" s="2" t="s">
        <v>923</v>
      </c>
      <c r="L221" s="2" t="s">
        <v>2149</v>
      </c>
      <c r="M221" s="2" t="s">
        <v>2146</v>
      </c>
      <c r="N221" s="2" t="s">
        <v>758</v>
      </c>
      <c r="O221" s="272"/>
      <c r="P221" s="2"/>
      <c r="Q221" s="2"/>
    </row>
    <row r="222" spans="1:17" x14ac:dyDescent="0.35">
      <c r="A222" s="34">
        <v>220</v>
      </c>
      <c r="B222" s="38" t="s">
        <v>173</v>
      </c>
      <c r="C222" s="34" t="s">
        <v>2131</v>
      </c>
      <c r="D222" s="2" t="s">
        <v>156</v>
      </c>
      <c r="E222" s="2" t="s">
        <v>349</v>
      </c>
      <c r="F222" s="2"/>
      <c r="G222" s="2"/>
      <c r="H222" s="2"/>
      <c r="I222" s="448" t="s">
        <v>492</v>
      </c>
      <c r="J222" s="2" t="s">
        <v>890</v>
      </c>
      <c r="K222" s="2" t="s">
        <v>903</v>
      </c>
      <c r="L222" s="2" t="s">
        <v>2149</v>
      </c>
      <c r="M222" s="2" t="s">
        <v>2146</v>
      </c>
      <c r="N222" s="2" t="s">
        <v>788</v>
      </c>
      <c r="O222" s="272"/>
      <c r="P222" s="2"/>
      <c r="Q222" s="2"/>
    </row>
    <row r="223" spans="1:17" x14ac:dyDescent="0.35">
      <c r="A223" s="34">
        <v>221</v>
      </c>
      <c r="B223" s="38" t="s">
        <v>271</v>
      </c>
      <c r="C223" s="38" t="s">
        <v>2133</v>
      </c>
      <c r="D223" s="2" t="s">
        <v>14</v>
      </c>
      <c r="E223" s="2" t="s">
        <v>347</v>
      </c>
      <c r="F223" s="2"/>
      <c r="G223" s="2"/>
      <c r="H223" s="2"/>
      <c r="I223" s="448" t="s">
        <v>492</v>
      </c>
      <c r="J223" s="2" t="s">
        <v>890</v>
      </c>
      <c r="K223" s="2" t="s">
        <v>902</v>
      </c>
      <c r="L223" s="2" t="s">
        <v>2149</v>
      </c>
      <c r="M223" s="2" t="s">
        <v>2146</v>
      </c>
      <c r="N223" s="2" t="s">
        <v>758</v>
      </c>
      <c r="O223" s="272"/>
      <c r="P223" s="2"/>
      <c r="Q223" s="2"/>
    </row>
    <row r="224" spans="1:17" x14ac:dyDescent="0.35">
      <c r="A224" s="34">
        <v>222</v>
      </c>
      <c r="B224" s="38" t="s">
        <v>69</v>
      </c>
      <c r="C224" s="34" t="s">
        <v>2131</v>
      </c>
      <c r="D224" s="2" t="s">
        <v>70</v>
      </c>
      <c r="E224" s="2" t="s">
        <v>349</v>
      </c>
      <c r="F224" s="2"/>
      <c r="G224" s="2"/>
      <c r="H224" s="2"/>
      <c r="I224" s="448" t="s">
        <v>492</v>
      </c>
      <c r="J224" s="2" t="s">
        <v>891</v>
      </c>
      <c r="K224" s="2" t="s">
        <v>902</v>
      </c>
      <c r="L224" s="2" t="s">
        <v>2146</v>
      </c>
      <c r="M224" s="2" t="s">
        <v>2146</v>
      </c>
      <c r="N224" s="2" t="s">
        <v>899</v>
      </c>
      <c r="O224" s="272"/>
      <c r="P224" s="2"/>
      <c r="Q224" s="2"/>
    </row>
    <row r="225" spans="1:17" x14ac:dyDescent="0.35">
      <c r="A225" s="34">
        <v>223</v>
      </c>
      <c r="B225" s="2" t="s">
        <v>300</v>
      </c>
      <c r="C225" s="38" t="s">
        <v>2133</v>
      </c>
      <c r="D225" s="2" t="s">
        <v>390</v>
      </c>
      <c r="E225" s="2" t="s">
        <v>349</v>
      </c>
      <c r="F225" s="2"/>
      <c r="G225" s="2"/>
      <c r="H225" s="2"/>
      <c r="I225" s="448" t="s">
        <v>492</v>
      </c>
      <c r="J225" s="2" t="s">
        <v>898</v>
      </c>
      <c r="K225" s="2" t="s">
        <v>916</v>
      </c>
      <c r="L225" s="2" t="s">
        <v>2146</v>
      </c>
      <c r="M225" s="2" t="s">
        <v>2146</v>
      </c>
      <c r="N225" s="2" t="s">
        <v>2024</v>
      </c>
      <c r="O225" s="272"/>
      <c r="P225" s="2"/>
      <c r="Q225" s="2"/>
    </row>
    <row r="226" spans="1:17" x14ac:dyDescent="0.35">
      <c r="A226" s="34">
        <v>224</v>
      </c>
      <c r="B226" s="2" t="s">
        <v>207</v>
      </c>
      <c r="C226" s="34" t="s">
        <v>2131</v>
      </c>
      <c r="D226" s="2" t="s">
        <v>18</v>
      </c>
      <c r="E226" s="2" t="s">
        <v>348</v>
      </c>
      <c r="F226" s="2"/>
      <c r="G226" s="2"/>
      <c r="H226" s="2"/>
      <c r="I226" s="448" t="s">
        <v>492</v>
      </c>
      <c r="J226" s="2" t="s">
        <v>900</v>
      </c>
      <c r="K226" s="2" t="s">
        <v>918</v>
      </c>
      <c r="L226" s="2" t="s">
        <v>2146</v>
      </c>
      <c r="M226" s="2" t="s">
        <v>2146</v>
      </c>
      <c r="N226" s="2" t="s">
        <v>901</v>
      </c>
      <c r="O226" s="272"/>
      <c r="P226" s="2"/>
      <c r="Q226" s="2"/>
    </row>
    <row r="227" spans="1:17" x14ac:dyDescent="0.35">
      <c r="A227" s="34">
        <v>225</v>
      </c>
      <c r="B227" s="2" t="s">
        <v>392</v>
      </c>
      <c r="C227" s="38" t="s">
        <v>2133</v>
      </c>
      <c r="D227" s="2" t="s">
        <v>33</v>
      </c>
      <c r="E227" s="2" t="s">
        <v>347</v>
      </c>
      <c r="F227" s="2"/>
      <c r="G227" s="2"/>
      <c r="H227" s="2"/>
      <c r="I227" s="448" t="s">
        <v>492</v>
      </c>
      <c r="J227" s="2" t="s">
        <v>904</v>
      </c>
      <c r="K227" s="2" t="s">
        <v>919</v>
      </c>
      <c r="L227" s="2" t="s">
        <v>2146</v>
      </c>
      <c r="M227" s="2" t="s">
        <v>2146</v>
      </c>
      <c r="N227" s="2" t="s">
        <v>914</v>
      </c>
      <c r="O227" s="272"/>
      <c r="P227" s="2"/>
      <c r="Q227" s="2"/>
    </row>
    <row r="228" spans="1:17" x14ac:dyDescent="0.35">
      <c r="A228" s="34">
        <v>226</v>
      </c>
      <c r="B228" s="2" t="s">
        <v>289</v>
      </c>
      <c r="C228" s="38" t="s">
        <v>2133</v>
      </c>
      <c r="D228" s="2" t="s">
        <v>40</v>
      </c>
      <c r="E228" s="2" t="s">
        <v>347</v>
      </c>
      <c r="F228" s="2"/>
      <c r="G228" s="2"/>
      <c r="H228" s="2"/>
      <c r="I228" s="448" t="s">
        <v>492</v>
      </c>
      <c r="J228" s="2" t="s">
        <v>911</v>
      </c>
      <c r="K228" s="2" t="s">
        <v>937</v>
      </c>
      <c r="L228" s="2" t="s">
        <v>2146</v>
      </c>
      <c r="M228" s="2" t="s">
        <v>2145</v>
      </c>
      <c r="N228" s="2" t="s">
        <v>444</v>
      </c>
      <c r="O228" s="272"/>
      <c r="P228" s="2"/>
      <c r="Q228" s="2"/>
    </row>
    <row r="229" spans="1:17" x14ac:dyDescent="0.35">
      <c r="A229" s="34">
        <v>227</v>
      </c>
      <c r="B229" s="38" t="s">
        <v>163</v>
      </c>
      <c r="C229" s="34" t="s">
        <v>2131</v>
      </c>
      <c r="D229" s="2" t="s">
        <v>164</v>
      </c>
      <c r="E229" s="2" t="s">
        <v>347</v>
      </c>
      <c r="F229" s="2"/>
      <c r="G229" s="2"/>
      <c r="H229" s="2"/>
      <c r="I229" s="448" t="s">
        <v>492</v>
      </c>
      <c r="J229" s="2" t="s">
        <v>904</v>
      </c>
      <c r="K229" s="2" t="s">
        <v>913</v>
      </c>
      <c r="L229" s="2" t="s">
        <v>2146</v>
      </c>
      <c r="M229" s="2" t="s">
        <v>2146</v>
      </c>
      <c r="N229" s="2" t="s">
        <v>906</v>
      </c>
      <c r="O229" s="272"/>
      <c r="P229" s="2"/>
      <c r="Q229" s="2"/>
    </row>
    <row r="230" spans="1:17" x14ac:dyDescent="0.35">
      <c r="A230" s="34">
        <v>228</v>
      </c>
      <c r="B230" s="38" t="s">
        <v>145</v>
      </c>
      <c r="C230" s="34" t="s">
        <v>2131</v>
      </c>
      <c r="D230" s="2" t="s">
        <v>146</v>
      </c>
      <c r="E230" s="2" t="s">
        <v>349</v>
      </c>
      <c r="F230" s="2"/>
      <c r="G230" s="2"/>
      <c r="H230" s="2"/>
      <c r="I230" s="448" t="s">
        <v>492</v>
      </c>
      <c r="J230" s="2" t="s">
        <v>904</v>
      </c>
      <c r="K230" s="2" t="s">
        <v>920</v>
      </c>
      <c r="L230" s="2" t="s">
        <v>2146</v>
      </c>
      <c r="M230" s="2" t="s">
        <v>2146</v>
      </c>
      <c r="N230" s="2" t="s">
        <v>899</v>
      </c>
      <c r="O230" s="272"/>
      <c r="P230" s="2"/>
      <c r="Q230" s="2"/>
    </row>
    <row r="231" spans="1:17" x14ac:dyDescent="0.35">
      <c r="A231" s="34">
        <v>229</v>
      </c>
      <c r="B231" s="2" t="s">
        <v>198</v>
      </c>
      <c r="C231" s="34" t="s">
        <v>2131</v>
      </c>
      <c r="D231" s="2" t="s">
        <v>118</v>
      </c>
      <c r="E231" s="2" t="s">
        <v>347</v>
      </c>
      <c r="F231" s="2"/>
      <c r="G231" s="2"/>
      <c r="H231" s="2"/>
      <c r="I231" s="448" t="s">
        <v>492</v>
      </c>
      <c r="J231" s="2" t="s">
        <v>913</v>
      </c>
      <c r="K231" s="2" t="s">
        <v>936</v>
      </c>
      <c r="L231" s="2" t="s">
        <v>2146</v>
      </c>
      <c r="M231" s="2" t="s">
        <v>2146</v>
      </c>
      <c r="N231" s="2" t="s">
        <v>2024</v>
      </c>
      <c r="O231" s="272"/>
      <c r="P231" s="2"/>
      <c r="Q231" s="2"/>
    </row>
    <row r="232" spans="1:17" x14ac:dyDescent="0.35">
      <c r="A232" s="34">
        <v>230</v>
      </c>
      <c r="B232" s="38" t="s">
        <v>153</v>
      </c>
      <c r="C232" s="34" t="s">
        <v>2131</v>
      </c>
      <c r="D232" s="2" t="s">
        <v>154</v>
      </c>
      <c r="E232" s="2" t="s">
        <v>349</v>
      </c>
      <c r="F232" s="2"/>
      <c r="G232" s="2"/>
      <c r="H232" s="2"/>
      <c r="I232" s="448" t="s">
        <v>492</v>
      </c>
      <c r="J232" s="2" t="s">
        <v>915</v>
      </c>
      <c r="K232" s="2" t="s">
        <v>928</v>
      </c>
      <c r="L232" s="2" t="s">
        <v>2146</v>
      </c>
      <c r="M232" s="2" t="s">
        <v>2146</v>
      </c>
      <c r="N232" s="2" t="s">
        <v>906</v>
      </c>
      <c r="O232" s="272"/>
      <c r="P232" s="2"/>
      <c r="Q232" s="2"/>
    </row>
    <row r="233" spans="1:17" x14ac:dyDescent="0.35">
      <c r="A233" s="34">
        <v>231</v>
      </c>
      <c r="B233" s="38" t="s">
        <v>169</v>
      </c>
      <c r="C233" s="34" t="s">
        <v>2131</v>
      </c>
      <c r="D233" s="2" t="s">
        <v>31</v>
      </c>
      <c r="E233" s="2" t="s">
        <v>349</v>
      </c>
      <c r="F233" s="2"/>
      <c r="G233" s="2"/>
      <c r="H233" s="2"/>
      <c r="I233" s="448" t="s">
        <v>492</v>
      </c>
      <c r="J233" s="2" t="s">
        <v>921</v>
      </c>
      <c r="K233" s="2" t="s">
        <v>924</v>
      </c>
      <c r="L233" s="2" t="s">
        <v>2146</v>
      </c>
      <c r="M233" s="2" t="s">
        <v>2146</v>
      </c>
      <c r="N233" s="2" t="s">
        <v>906</v>
      </c>
      <c r="O233" s="272"/>
      <c r="P233" s="2"/>
      <c r="Q233" s="2"/>
    </row>
    <row r="234" spans="1:17" x14ac:dyDescent="0.35">
      <c r="A234" s="34">
        <v>232</v>
      </c>
      <c r="B234" s="38" t="s">
        <v>187</v>
      </c>
      <c r="C234" s="34" t="s">
        <v>2131</v>
      </c>
      <c r="D234" s="2" t="s">
        <v>40</v>
      </c>
      <c r="E234" s="2" t="s">
        <v>348</v>
      </c>
      <c r="F234" s="2"/>
      <c r="G234" s="2"/>
      <c r="H234" s="2"/>
      <c r="I234" s="448" t="s">
        <v>492</v>
      </c>
      <c r="J234" s="2" t="s">
        <v>937</v>
      </c>
      <c r="K234" s="2" t="s">
        <v>948</v>
      </c>
      <c r="L234" s="2" t="s">
        <v>2145</v>
      </c>
      <c r="M234" s="2" t="s">
        <v>2145</v>
      </c>
      <c r="N234" s="2" t="s">
        <v>906</v>
      </c>
      <c r="O234" s="272"/>
      <c r="P234" s="2"/>
      <c r="Q234" s="2"/>
    </row>
    <row r="235" spans="1:17" x14ac:dyDescent="0.35">
      <c r="A235" s="34">
        <v>233</v>
      </c>
      <c r="B235" s="38" t="s">
        <v>270</v>
      </c>
      <c r="C235" s="38" t="s">
        <v>2133</v>
      </c>
      <c r="D235" s="2" t="s">
        <v>33</v>
      </c>
      <c r="E235" s="2" t="s">
        <v>348</v>
      </c>
      <c r="F235" s="2"/>
      <c r="G235" s="2"/>
      <c r="H235" s="2"/>
      <c r="I235" s="448" t="s">
        <v>492</v>
      </c>
      <c r="J235" s="2" t="s">
        <v>923</v>
      </c>
      <c r="K235" s="2" t="s">
        <v>933</v>
      </c>
      <c r="L235" s="2" t="s">
        <v>2146</v>
      </c>
      <c r="M235" s="2" t="s">
        <v>2145</v>
      </c>
      <c r="N235" s="2" t="s">
        <v>901</v>
      </c>
      <c r="O235" s="272"/>
      <c r="P235" s="2"/>
      <c r="Q235" s="2"/>
    </row>
    <row r="236" spans="1:17" x14ac:dyDescent="0.35">
      <c r="A236" s="34">
        <v>234</v>
      </c>
      <c r="B236" s="38" t="s">
        <v>167</v>
      </c>
      <c r="C236" s="34" t="s">
        <v>2131</v>
      </c>
      <c r="D236" s="2" t="s">
        <v>18</v>
      </c>
      <c r="E236" s="2" t="s">
        <v>347</v>
      </c>
      <c r="F236" s="2"/>
      <c r="G236" s="2"/>
      <c r="H236" s="2"/>
      <c r="I236" s="448" t="s">
        <v>492</v>
      </c>
      <c r="J236" s="2" t="s">
        <v>955</v>
      </c>
      <c r="K236" s="2" t="s">
        <v>954</v>
      </c>
      <c r="L236" s="2" t="s">
        <v>2145</v>
      </c>
      <c r="M236" s="2" t="s">
        <v>2145</v>
      </c>
      <c r="N236" s="2" t="s">
        <v>906</v>
      </c>
      <c r="O236" s="272"/>
      <c r="P236" s="2"/>
      <c r="Q236" s="2"/>
    </row>
    <row r="237" spans="1:17" x14ac:dyDescent="0.35">
      <c r="A237" s="34">
        <v>235</v>
      </c>
      <c r="B237" s="38" t="s">
        <v>268</v>
      </c>
      <c r="C237" s="38" t="s">
        <v>2133</v>
      </c>
      <c r="D237" s="2" t="s">
        <v>31</v>
      </c>
      <c r="E237" s="2" t="s">
        <v>347</v>
      </c>
      <c r="F237" s="2"/>
      <c r="G237" s="2"/>
      <c r="H237" s="2"/>
      <c r="I237" s="448" t="s">
        <v>492</v>
      </c>
      <c r="J237" s="2" t="s">
        <v>942</v>
      </c>
      <c r="K237" s="2" t="s">
        <v>950</v>
      </c>
      <c r="L237" s="2" t="s">
        <v>2145</v>
      </c>
      <c r="M237" s="2" t="s">
        <v>2145</v>
      </c>
      <c r="N237" s="2" t="s">
        <v>901</v>
      </c>
      <c r="O237" s="272"/>
      <c r="P237" s="2"/>
      <c r="Q237" s="2"/>
    </row>
    <row r="238" spans="1:17" x14ac:dyDescent="0.35">
      <c r="A238" s="34">
        <v>236</v>
      </c>
      <c r="B238" s="38" t="s">
        <v>272</v>
      </c>
      <c r="C238" s="38" t="s">
        <v>2133</v>
      </c>
      <c r="D238" s="2" t="s">
        <v>31</v>
      </c>
      <c r="E238" s="2" t="s">
        <v>347</v>
      </c>
      <c r="F238" s="2"/>
      <c r="G238" s="2"/>
      <c r="H238" s="2"/>
      <c r="I238" s="448" t="s">
        <v>492</v>
      </c>
      <c r="J238" s="2" t="s">
        <v>950</v>
      </c>
      <c r="K238" s="2" t="s">
        <v>958</v>
      </c>
      <c r="L238" s="2" t="s">
        <v>2145</v>
      </c>
      <c r="M238" s="2" t="s">
        <v>2144</v>
      </c>
      <c r="N238" s="2" t="s">
        <v>901</v>
      </c>
      <c r="O238" s="272"/>
      <c r="P238" s="2"/>
      <c r="Q238" s="2"/>
    </row>
    <row r="239" spans="1:17" x14ac:dyDescent="0.35">
      <c r="A239" s="34">
        <v>237</v>
      </c>
      <c r="B239" s="2" t="s">
        <v>147</v>
      </c>
      <c r="C239" s="34" t="s">
        <v>2131</v>
      </c>
      <c r="D239" s="2" t="s">
        <v>148</v>
      </c>
      <c r="E239" s="2" t="s">
        <v>347</v>
      </c>
      <c r="F239" s="2"/>
      <c r="G239" s="2"/>
      <c r="H239" s="2"/>
      <c r="I239" s="448" t="s">
        <v>492</v>
      </c>
      <c r="J239" s="2" t="s">
        <v>953</v>
      </c>
      <c r="K239" s="2" t="s">
        <v>959</v>
      </c>
      <c r="L239" s="2" t="s">
        <v>2145</v>
      </c>
      <c r="M239" s="2" t="s">
        <v>2144</v>
      </c>
      <c r="N239" s="2" t="s">
        <v>906</v>
      </c>
      <c r="O239" s="272"/>
      <c r="P239" s="2"/>
      <c r="Q239" s="2"/>
    </row>
    <row r="240" spans="1:17" x14ac:dyDescent="0.35">
      <c r="A240" s="34">
        <v>238</v>
      </c>
      <c r="B240" s="38" t="s">
        <v>155</v>
      </c>
      <c r="C240" s="34" t="s">
        <v>2131</v>
      </c>
      <c r="D240" s="2" t="s">
        <v>156</v>
      </c>
      <c r="E240" s="2" t="s">
        <v>349</v>
      </c>
      <c r="F240" s="2"/>
      <c r="G240" s="2"/>
      <c r="H240" s="2"/>
      <c r="I240" s="448" t="s">
        <v>492</v>
      </c>
      <c r="J240" s="2" t="s">
        <v>959</v>
      </c>
      <c r="K240" s="2" t="s">
        <v>961</v>
      </c>
      <c r="L240" s="2" t="s">
        <v>2144</v>
      </c>
      <c r="M240" s="2" t="s">
        <v>2144</v>
      </c>
      <c r="N240" s="2" t="s">
        <v>906</v>
      </c>
      <c r="O240" s="272"/>
      <c r="P240" s="2"/>
      <c r="Q240" s="2"/>
    </row>
    <row r="241" spans="1:17" x14ac:dyDescent="0.35">
      <c r="A241" s="34">
        <v>239</v>
      </c>
      <c r="B241" s="38" t="s">
        <v>196</v>
      </c>
      <c r="C241" s="34" t="s">
        <v>2131</v>
      </c>
      <c r="D241" s="2" t="s">
        <v>197</v>
      </c>
      <c r="E241" s="2" t="s">
        <v>347</v>
      </c>
      <c r="F241" s="2"/>
      <c r="G241" s="2"/>
      <c r="H241" s="2"/>
      <c r="I241" s="448" t="s">
        <v>492</v>
      </c>
      <c r="J241" s="2" t="s">
        <v>960</v>
      </c>
      <c r="K241" s="2" t="s">
        <v>965</v>
      </c>
      <c r="L241" s="2" t="s">
        <v>2144</v>
      </c>
      <c r="M241" s="2" t="s">
        <v>2144</v>
      </c>
      <c r="N241" s="2" t="s">
        <v>962</v>
      </c>
      <c r="O241" s="272"/>
      <c r="P241" s="2"/>
      <c r="Q241" s="2"/>
    </row>
    <row r="242" spans="1:17" x14ac:dyDescent="0.35">
      <c r="A242" s="34">
        <v>240</v>
      </c>
      <c r="B242" s="38" t="s">
        <v>170</v>
      </c>
      <c r="C242" s="34" t="s">
        <v>2131</v>
      </c>
      <c r="D242" s="2" t="s">
        <v>9</v>
      </c>
      <c r="E242" s="2" t="s">
        <v>349</v>
      </c>
      <c r="F242" s="2"/>
      <c r="G242" s="2"/>
      <c r="H242" s="2"/>
      <c r="I242" s="448" t="s">
        <v>492</v>
      </c>
      <c r="J242" s="2" t="s">
        <v>961</v>
      </c>
      <c r="K242" s="2" t="s">
        <v>964</v>
      </c>
      <c r="L242" s="2" t="s">
        <v>2144</v>
      </c>
      <c r="M242" s="2" t="s">
        <v>2144</v>
      </c>
      <c r="N242" s="2" t="s">
        <v>906</v>
      </c>
      <c r="O242" s="272"/>
      <c r="P242" s="2"/>
      <c r="Q242" s="2"/>
    </row>
    <row r="243" spans="1:17" x14ac:dyDescent="0.35">
      <c r="A243" s="34">
        <v>241</v>
      </c>
      <c r="B243" s="38" t="s">
        <v>171</v>
      </c>
      <c r="C243" s="34" t="s">
        <v>2131</v>
      </c>
      <c r="D243" s="2" t="s">
        <v>40</v>
      </c>
      <c r="E243" s="2" t="s">
        <v>347</v>
      </c>
      <c r="F243" s="2"/>
      <c r="G243" s="2"/>
      <c r="H243" s="2"/>
      <c r="I243" s="448" t="s">
        <v>492</v>
      </c>
      <c r="J243" s="2" t="s">
        <v>963</v>
      </c>
      <c r="K243" s="2" t="s">
        <v>988</v>
      </c>
      <c r="L243" s="2" t="s">
        <v>2144</v>
      </c>
      <c r="M243" s="2" t="s">
        <v>2144</v>
      </c>
      <c r="N243" s="2" t="s">
        <v>906</v>
      </c>
      <c r="O243" s="272"/>
      <c r="P243" s="2"/>
      <c r="Q243" s="2"/>
    </row>
    <row r="244" spans="1:17" x14ac:dyDescent="0.35">
      <c r="A244" s="34">
        <v>242</v>
      </c>
      <c r="B244" s="38" t="s">
        <v>292</v>
      </c>
      <c r="C244" s="38" t="s">
        <v>2133</v>
      </c>
      <c r="D244" s="2" t="s">
        <v>803</v>
      </c>
      <c r="E244" s="2" t="s">
        <v>347</v>
      </c>
      <c r="F244" s="2"/>
      <c r="G244" s="2"/>
      <c r="H244" s="2"/>
      <c r="I244" s="448" t="s">
        <v>492</v>
      </c>
      <c r="J244" s="2" t="s">
        <v>988</v>
      </c>
      <c r="K244" s="2" t="s">
        <v>1986</v>
      </c>
      <c r="L244" s="2" t="s">
        <v>2144</v>
      </c>
      <c r="M244" s="2" t="s">
        <v>2143</v>
      </c>
      <c r="N244" s="2" t="s">
        <v>962</v>
      </c>
      <c r="O244" s="272"/>
      <c r="P244" s="2"/>
      <c r="Q244" s="2"/>
    </row>
    <row r="245" spans="1:17" x14ac:dyDescent="0.35">
      <c r="A245" s="34">
        <v>243</v>
      </c>
      <c r="B245" s="38" t="s">
        <v>213</v>
      </c>
      <c r="C245" s="34" t="s">
        <v>2132</v>
      </c>
      <c r="D245" s="2" t="s">
        <v>40</v>
      </c>
      <c r="E245" s="2" t="s">
        <v>347</v>
      </c>
      <c r="F245" s="2"/>
      <c r="G245" s="2"/>
      <c r="H245" s="2"/>
      <c r="I245" s="448" t="s">
        <v>492</v>
      </c>
      <c r="J245" s="2" t="s">
        <v>966</v>
      </c>
      <c r="K245" s="2" t="s">
        <v>1987</v>
      </c>
      <c r="L245" s="2" t="s">
        <v>2144</v>
      </c>
      <c r="M245" s="2" t="s">
        <v>2143</v>
      </c>
      <c r="N245" s="2" t="s">
        <v>444</v>
      </c>
      <c r="O245" s="272"/>
      <c r="P245" s="2"/>
      <c r="Q245" s="2"/>
    </row>
    <row r="246" spans="1:17" ht="14.25" customHeight="1" x14ac:dyDescent="0.35">
      <c r="A246" s="34">
        <v>244</v>
      </c>
      <c r="B246" s="2" t="s">
        <v>230</v>
      </c>
      <c r="C246" s="34" t="s">
        <v>2132</v>
      </c>
      <c r="D246" s="2" t="s">
        <v>16</v>
      </c>
      <c r="E246" s="2" t="s">
        <v>347</v>
      </c>
      <c r="F246" s="2"/>
      <c r="G246" s="2"/>
      <c r="H246" s="2"/>
      <c r="I246" s="448" t="s">
        <v>492</v>
      </c>
      <c r="J246" s="2" t="s">
        <v>1983</v>
      </c>
      <c r="K246" s="2" t="s">
        <v>2020</v>
      </c>
      <c r="L246" s="2" t="s">
        <v>2143</v>
      </c>
      <c r="M246" s="2" t="s">
        <v>2143</v>
      </c>
      <c r="N246" s="2" t="s">
        <v>991</v>
      </c>
      <c r="O246" s="272"/>
      <c r="P246" s="2"/>
      <c r="Q246" s="2"/>
    </row>
    <row r="247" spans="1:17" x14ac:dyDescent="0.35">
      <c r="A247" s="34">
        <v>245</v>
      </c>
      <c r="B247" s="2" t="s">
        <v>391</v>
      </c>
      <c r="C247" s="38" t="s">
        <v>2133</v>
      </c>
      <c r="D247" s="285" t="s">
        <v>804</v>
      </c>
      <c r="E247" s="2" t="s">
        <v>347</v>
      </c>
      <c r="F247" s="2"/>
      <c r="G247" s="2"/>
      <c r="H247" s="2"/>
      <c r="I247" s="448" t="s">
        <v>492</v>
      </c>
      <c r="J247" s="2" t="s">
        <v>1989</v>
      </c>
      <c r="K247" s="2" t="s">
        <v>2025</v>
      </c>
      <c r="L247" s="2" t="s">
        <v>2143</v>
      </c>
      <c r="M247" s="2" t="s">
        <v>2143</v>
      </c>
      <c r="N247" s="2" t="s">
        <v>962</v>
      </c>
      <c r="O247" s="272"/>
      <c r="P247" s="2"/>
      <c r="Q247" s="2"/>
    </row>
    <row r="248" spans="1:17" ht="15.75" customHeight="1" x14ac:dyDescent="0.35">
      <c r="A248" s="34">
        <v>246</v>
      </c>
      <c r="B248" s="2" t="s">
        <v>267</v>
      </c>
      <c r="C248" s="38" t="s">
        <v>2133</v>
      </c>
      <c r="D248" s="286" t="s">
        <v>28</v>
      </c>
      <c r="E248" s="2" t="s">
        <v>802</v>
      </c>
      <c r="F248" s="2"/>
      <c r="G248" s="2"/>
      <c r="H248" s="2"/>
      <c r="I248" s="448" t="s">
        <v>492</v>
      </c>
      <c r="J248" s="2" t="s">
        <v>1988</v>
      </c>
      <c r="K248" s="2" t="s">
        <v>2031</v>
      </c>
      <c r="L248" s="2" t="s">
        <v>2143</v>
      </c>
      <c r="M248" s="2" t="s">
        <v>2138</v>
      </c>
      <c r="N248" s="2" t="s">
        <v>901</v>
      </c>
      <c r="O248" s="272"/>
      <c r="P248" s="2"/>
      <c r="Q248" s="2"/>
    </row>
    <row r="249" spans="1:17" x14ac:dyDescent="0.35">
      <c r="A249" s="34">
        <v>247</v>
      </c>
      <c r="B249" s="2" t="s">
        <v>226</v>
      </c>
      <c r="C249" s="34" t="s">
        <v>2132</v>
      </c>
      <c r="D249" s="287" t="s">
        <v>35</v>
      </c>
      <c r="E249" s="2" t="s">
        <v>348</v>
      </c>
      <c r="F249" s="2"/>
      <c r="G249" s="2"/>
      <c r="H249" s="2"/>
      <c r="I249" s="448" t="s">
        <v>492</v>
      </c>
      <c r="J249" s="2" t="s">
        <v>1990</v>
      </c>
      <c r="K249" s="39">
        <v>46122</v>
      </c>
      <c r="L249" s="2" t="s">
        <v>2143</v>
      </c>
      <c r="M249" s="2" t="s">
        <v>2138</v>
      </c>
      <c r="N249" s="2" t="s">
        <v>991</v>
      </c>
      <c r="O249" s="272"/>
      <c r="P249" s="2"/>
      <c r="Q249" s="2"/>
    </row>
    <row r="250" spans="1:17" x14ac:dyDescent="0.35">
      <c r="A250" s="34">
        <v>248</v>
      </c>
      <c r="B250" s="2" t="s">
        <v>325</v>
      </c>
      <c r="C250" s="38" t="s">
        <v>2133</v>
      </c>
      <c r="D250" s="286" t="s">
        <v>14</v>
      </c>
      <c r="E250" s="2" t="s">
        <v>347</v>
      </c>
      <c r="F250" s="2"/>
      <c r="G250" s="2"/>
      <c r="H250" s="2"/>
      <c r="I250" s="448" t="s">
        <v>492</v>
      </c>
      <c r="J250" s="2" t="s">
        <v>1990</v>
      </c>
      <c r="K250" s="2" t="s">
        <v>2031</v>
      </c>
      <c r="L250" s="2" t="s">
        <v>2143</v>
      </c>
      <c r="M250" s="2" t="s">
        <v>2138</v>
      </c>
      <c r="N250" s="2" t="s">
        <v>2024</v>
      </c>
      <c r="O250" s="272"/>
      <c r="P250" s="2"/>
      <c r="Q250" s="2"/>
    </row>
    <row r="251" spans="1:17" x14ac:dyDescent="0.35">
      <c r="A251" s="34">
        <v>249</v>
      </c>
      <c r="B251" s="2" t="s">
        <v>217</v>
      </c>
      <c r="C251" s="34" t="s">
        <v>2132</v>
      </c>
      <c r="D251" s="287" t="s">
        <v>31</v>
      </c>
      <c r="E251" s="2" t="s">
        <v>347</v>
      </c>
      <c r="F251" s="2"/>
      <c r="G251" s="2"/>
      <c r="H251" s="2"/>
      <c r="I251" s="448" t="s">
        <v>492</v>
      </c>
      <c r="J251" s="2" t="s">
        <v>1991</v>
      </c>
      <c r="K251" s="2" t="s">
        <v>2026</v>
      </c>
      <c r="L251" s="2" t="s">
        <v>2143</v>
      </c>
      <c r="M251" s="2" t="s">
        <v>2143</v>
      </c>
      <c r="N251" s="2" t="s">
        <v>444</v>
      </c>
      <c r="O251" s="272"/>
      <c r="P251" s="2"/>
      <c r="Q251" s="2"/>
    </row>
    <row r="252" spans="1:17" x14ac:dyDescent="0.35">
      <c r="A252" s="34">
        <v>250</v>
      </c>
      <c r="B252" s="2" t="s">
        <v>218</v>
      </c>
      <c r="C252" s="34" t="s">
        <v>2132</v>
      </c>
      <c r="D252" s="287" t="s">
        <v>33</v>
      </c>
      <c r="E252" s="2" t="s">
        <v>348</v>
      </c>
      <c r="F252" s="2"/>
      <c r="G252" s="2"/>
      <c r="H252" s="2"/>
      <c r="I252" s="448" t="s">
        <v>492</v>
      </c>
      <c r="J252" s="2" t="s">
        <v>2020</v>
      </c>
      <c r="K252" s="39">
        <v>46120</v>
      </c>
      <c r="L252" s="2" t="s">
        <v>2143</v>
      </c>
      <c r="M252" s="2" t="s">
        <v>2138</v>
      </c>
      <c r="N252" s="2" t="s">
        <v>444</v>
      </c>
      <c r="O252" s="272"/>
      <c r="P252" s="2"/>
      <c r="Q252" s="2"/>
    </row>
    <row r="253" spans="1:17" x14ac:dyDescent="0.35">
      <c r="A253" s="34">
        <v>251</v>
      </c>
      <c r="B253" s="38" t="s">
        <v>161</v>
      </c>
      <c r="C253" s="34" t="s">
        <v>2131</v>
      </c>
      <c r="D253" s="286" t="s">
        <v>162</v>
      </c>
      <c r="E253" s="2" t="s">
        <v>347</v>
      </c>
      <c r="F253" s="2"/>
      <c r="G253" s="2"/>
      <c r="H253" s="2"/>
      <c r="I253" s="448" t="s">
        <v>492</v>
      </c>
      <c r="J253" s="2" t="s">
        <v>2021</v>
      </c>
      <c r="K253" s="2" t="s">
        <v>2030</v>
      </c>
      <c r="L253" s="2" t="s">
        <v>2143</v>
      </c>
      <c r="M253" s="2" t="s">
        <v>2138</v>
      </c>
      <c r="N253" s="2" t="s">
        <v>906</v>
      </c>
      <c r="O253" s="272"/>
      <c r="P253" s="2"/>
      <c r="Q253" s="2"/>
    </row>
    <row r="254" spans="1:17" x14ac:dyDescent="0.35">
      <c r="A254" s="34">
        <v>252</v>
      </c>
      <c r="B254" s="2" t="s">
        <v>293</v>
      </c>
      <c r="C254" s="38" t="s">
        <v>2133</v>
      </c>
      <c r="D254" s="294" t="s">
        <v>146</v>
      </c>
      <c r="E254" s="2" t="s">
        <v>347</v>
      </c>
      <c r="F254" s="2"/>
      <c r="G254" s="2"/>
      <c r="H254" s="2"/>
      <c r="I254" s="448" t="s">
        <v>492</v>
      </c>
      <c r="J254" s="2" t="s">
        <v>2026</v>
      </c>
      <c r="K254" s="39">
        <v>46130</v>
      </c>
      <c r="L254" s="2" t="s">
        <v>2138</v>
      </c>
      <c r="M254" s="2" t="s">
        <v>2138</v>
      </c>
      <c r="N254" s="2" t="s">
        <v>962</v>
      </c>
      <c r="O254" s="272"/>
      <c r="P254" s="2"/>
      <c r="Q254" s="2"/>
    </row>
    <row r="255" spans="1:17" x14ac:dyDescent="0.35">
      <c r="A255" s="34">
        <v>253</v>
      </c>
      <c r="B255" s="2" t="s">
        <v>186</v>
      </c>
      <c r="C255" s="34" t="s">
        <v>2131</v>
      </c>
      <c r="D255" s="294" t="s">
        <v>113</v>
      </c>
      <c r="E255" s="2" t="s">
        <v>802</v>
      </c>
      <c r="F255" s="2"/>
      <c r="G255" s="2"/>
      <c r="H255" s="2"/>
      <c r="I255" s="448" t="s">
        <v>492</v>
      </c>
      <c r="J255" s="557" t="s">
        <v>2027</v>
      </c>
      <c r="K255" s="39">
        <v>46121</v>
      </c>
      <c r="L255" s="2" t="s">
        <v>2138</v>
      </c>
      <c r="M255" s="2" t="s">
        <v>2138</v>
      </c>
      <c r="N255" s="2" t="s">
        <v>906</v>
      </c>
      <c r="O255" s="272"/>
      <c r="P255" s="2"/>
      <c r="Q255" s="2"/>
    </row>
    <row r="256" spans="1:17" x14ac:dyDescent="0.35">
      <c r="A256" s="34">
        <v>254</v>
      </c>
      <c r="B256" s="2" t="s">
        <v>265</v>
      </c>
      <c r="C256" s="38" t="s">
        <v>2132</v>
      </c>
      <c r="D256" s="286" t="s">
        <v>33</v>
      </c>
      <c r="E256" s="2" t="s">
        <v>348</v>
      </c>
      <c r="F256" s="2" t="s">
        <v>2266</v>
      </c>
      <c r="G256" s="667">
        <f>657444/100000</f>
        <v>6.5744400000000001</v>
      </c>
      <c r="H256" s="2"/>
      <c r="I256" s="448" t="s">
        <v>492</v>
      </c>
      <c r="J256" s="557">
        <v>46126</v>
      </c>
      <c r="K256" s="39">
        <v>46164</v>
      </c>
      <c r="L256" s="2" t="s">
        <v>2138</v>
      </c>
      <c r="M256" s="2" t="s">
        <v>2154</v>
      </c>
      <c r="N256" s="2" t="s">
        <v>2282</v>
      </c>
      <c r="O256" s="272"/>
      <c r="P256" s="2"/>
      <c r="Q256" s="2"/>
    </row>
    <row r="257" spans="1:17" x14ac:dyDescent="0.35">
      <c r="A257" s="34">
        <v>255</v>
      </c>
      <c r="B257" s="2" t="s">
        <v>27</v>
      </c>
      <c r="C257" s="263" t="s">
        <v>2131</v>
      </c>
      <c r="D257" s="286" t="s">
        <v>28</v>
      </c>
      <c r="E257" s="2" t="s">
        <v>348</v>
      </c>
      <c r="F257" s="2"/>
      <c r="G257" s="2"/>
      <c r="H257" s="2"/>
      <c r="I257" s="448" t="s">
        <v>492</v>
      </c>
      <c r="J257" s="39">
        <v>46122</v>
      </c>
      <c r="K257" s="39">
        <v>46126</v>
      </c>
      <c r="L257" s="2" t="s">
        <v>2138</v>
      </c>
      <c r="M257" s="2" t="s">
        <v>2138</v>
      </c>
      <c r="N257" s="2" t="s">
        <v>906</v>
      </c>
      <c r="O257" s="272"/>
      <c r="P257" s="2"/>
      <c r="Q257" s="2"/>
    </row>
    <row r="258" spans="1:17" x14ac:dyDescent="0.35">
      <c r="A258" s="34">
        <v>256</v>
      </c>
      <c r="B258" s="2" t="s">
        <v>284</v>
      </c>
      <c r="C258" s="38" t="s">
        <v>2133</v>
      </c>
      <c r="D258" s="286" t="s">
        <v>146</v>
      </c>
      <c r="E258" s="2" t="s">
        <v>347</v>
      </c>
      <c r="F258" s="2" t="s">
        <v>2264</v>
      </c>
      <c r="G258" s="668">
        <f>2243525.104/100000</f>
        <v>22.435251039999997</v>
      </c>
      <c r="H258" s="2"/>
      <c r="I258" s="448" t="s">
        <v>492</v>
      </c>
      <c r="J258" s="39">
        <v>46122</v>
      </c>
      <c r="K258" s="39">
        <v>46147</v>
      </c>
      <c r="L258" s="2" t="s">
        <v>2138</v>
      </c>
      <c r="M258" s="2" t="s">
        <v>2154</v>
      </c>
      <c r="N258" s="2" t="s">
        <v>901</v>
      </c>
      <c r="O258" s="272"/>
      <c r="P258" s="2"/>
      <c r="Q258" s="2"/>
    </row>
    <row r="259" spans="1:17" x14ac:dyDescent="0.35">
      <c r="A259" s="34">
        <v>257</v>
      </c>
      <c r="B259" s="2" t="s">
        <v>216</v>
      </c>
      <c r="C259" s="2" t="s">
        <v>2132</v>
      </c>
      <c r="D259" s="286" t="s">
        <v>33</v>
      </c>
      <c r="E259" s="2" t="s">
        <v>347</v>
      </c>
      <c r="F259" s="2"/>
      <c r="G259" s="2"/>
      <c r="H259" s="2"/>
      <c r="I259" s="448" t="s">
        <v>492</v>
      </c>
      <c r="J259" s="39">
        <v>46122</v>
      </c>
      <c r="K259" s="39">
        <v>46137</v>
      </c>
      <c r="L259" s="2" t="s">
        <v>2138</v>
      </c>
      <c r="M259" s="2" t="s">
        <v>2138</v>
      </c>
      <c r="N259" s="2" t="s">
        <v>444</v>
      </c>
      <c r="O259" s="272"/>
      <c r="P259" s="2"/>
      <c r="Q259" s="2"/>
    </row>
    <row r="260" spans="1:17" x14ac:dyDescent="0.35">
      <c r="A260" s="34">
        <v>258</v>
      </c>
      <c r="B260" s="2" t="s">
        <v>243</v>
      </c>
      <c r="C260" s="38" t="s">
        <v>2132</v>
      </c>
      <c r="D260" s="286" t="s">
        <v>31</v>
      </c>
      <c r="E260" s="2" t="s">
        <v>347</v>
      </c>
      <c r="F260" s="2" t="s">
        <v>2264</v>
      </c>
      <c r="G260" s="667">
        <f>637072/100000</f>
        <v>6.3707200000000004</v>
      </c>
      <c r="H260" s="2"/>
      <c r="I260" s="448" t="s">
        <v>492</v>
      </c>
      <c r="J260" s="557">
        <v>46126</v>
      </c>
      <c r="K260" s="39">
        <v>46146</v>
      </c>
      <c r="L260" s="2" t="s">
        <v>2138</v>
      </c>
      <c r="M260" s="2" t="s">
        <v>2154</v>
      </c>
      <c r="N260" s="2" t="s">
        <v>444</v>
      </c>
      <c r="O260" s="272"/>
      <c r="P260" s="2"/>
      <c r="Q260" s="2"/>
    </row>
    <row r="261" spans="1:17" x14ac:dyDescent="0.35">
      <c r="A261" s="34">
        <v>259</v>
      </c>
      <c r="B261" s="40" t="s">
        <v>26</v>
      </c>
      <c r="C261" s="263" t="s">
        <v>2131</v>
      </c>
      <c r="D261" s="286" t="s">
        <v>16</v>
      </c>
      <c r="E261" s="2" t="s">
        <v>347</v>
      </c>
      <c r="F261" s="2"/>
      <c r="G261" s="2"/>
      <c r="H261" s="2"/>
      <c r="I261" s="448" t="s">
        <v>492</v>
      </c>
      <c r="J261" s="39">
        <v>46122</v>
      </c>
      <c r="K261" s="39">
        <v>46128</v>
      </c>
      <c r="L261" s="2" t="s">
        <v>2138</v>
      </c>
      <c r="M261" s="2" t="s">
        <v>2138</v>
      </c>
      <c r="N261" s="2" t="s">
        <v>906</v>
      </c>
      <c r="O261" s="272"/>
      <c r="P261" s="2"/>
      <c r="Q261" s="2"/>
    </row>
    <row r="262" spans="1:17" x14ac:dyDescent="0.35">
      <c r="A262" s="34">
        <v>260</v>
      </c>
      <c r="B262" s="2" t="s">
        <v>264</v>
      </c>
      <c r="C262" s="38" t="s">
        <v>2132</v>
      </c>
      <c r="D262" s="286" t="s">
        <v>31</v>
      </c>
      <c r="E262" s="2" t="s">
        <v>348</v>
      </c>
      <c r="F262" s="2" t="s">
        <v>2265</v>
      </c>
      <c r="G262" s="667">
        <f>549599.371832/100000</f>
        <v>5.4959937183199994</v>
      </c>
      <c r="H262" s="2"/>
      <c r="I262" s="448" t="s">
        <v>492</v>
      </c>
      <c r="J262" s="39">
        <v>46147</v>
      </c>
      <c r="K262" s="39">
        <v>46156</v>
      </c>
      <c r="L262" s="2" t="s">
        <v>2154</v>
      </c>
      <c r="M262" s="2" t="s">
        <v>2154</v>
      </c>
      <c r="N262" s="2" t="s">
        <v>444</v>
      </c>
      <c r="O262" s="272"/>
      <c r="P262" s="2"/>
      <c r="Q262" s="2"/>
    </row>
    <row r="263" spans="1:17" x14ac:dyDescent="0.35">
      <c r="A263" s="2">
        <v>261</v>
      </c>
      <c r="B263" s="40" t="s">
        <v>22</v>
      </c>
      <c r="C263" s="263" t="s">
        <v>2131</v>
      </c>
      <c r="D263" s="2" t="s">
        <v>23</v>
      </c>
      <c r="E263" s="2" t="s">
        <v>347</v>
      </c>
      <c r="F263" s="2"/>
      <c r="G263" s="2"/>
      <c r="H263" s="2"/>
      <c r="I263" s="448" t="s">
        <v>492</v>
      </c>
      <c r="J263" s="39">
        <v>46128</v>
      </c>
      <c r="K263" s="39">
        <v>46132</v>
      </c>
      <c r="L263" s="2" t="s">
        <v>2138</v>
      </c>
      <c r="M263" s="2" t="s">
        <v>2138</v>
      </c>
      <c r="N263" s="2" t="s">
        <v>906</v>
      </c>
      <c r="O263" s="272"/>
      <c r="P263" s="2"/>
      <c r="Q263" s="2"/>
    </row>
    <row r="264" spans="1:17" x14ac:dyDescent="0.35">
      <c r="A264" s="2">
        <v>262</v>
      </c>
      <c r="B264" s="40" t="s">
        <v>24</v>
      </c>
      <c r="C264" s="263" t="s">
        <v>2131</v>
      </c>
      <c r="D264" s="2" t="s">
        <v>16</v>
      </c>
      <c r="E264" s="2" t="s">
        <v>347</v>
      </c>
      <c r="F264" s="2"/>
      <c r="G264" s="2"/>
      <c r="H264" s="2"/>
      <c r="I264" s="448" t="s">
        <v>492</v>
      </c>
      <c r="J264" s="39">
        <v>46128</v>
      </c>
      <c r="K264" s="39">
        <v>46130</v>
      </c>
      <c r="L264" s="2" t="s">
        <v>2138</v>
      </c>
      <c r="M264" s="2" t="s">
        <v>2138</v>
      </c>
      <c r="N264" s="2" t="s">
        <v>906</v>
      </c>
      <c r="O264" s="272"/>
      <c r="P264" s="2"/>
      <c r="Q264" s="2"/>
    </row>
    <row r="265" spans="1:17" x14ac:dyDescent="0.35">
      <c r="A265" s="2">
        <v>263</v>
      </c>
      <c r="B265" s="40" t="s">
        <v>13</v>
      </c>
      <c r="C265" s="263" t="s">
        <v>2131</v>
      </c>
      <c r="D265" s="2" t="s">
        <v>14</v>
      </c>
      <c r="E265" s="2" t="s">
        <v>350</v>
      </c>
      <c r="F265" s="2"/>
      <c r="G265" s="2"/>
      <c r="H265" s="2"/>
      <c r="I265" s="448" t="s">
        <v>492</v>
      </c>
      <c r="J265" s="39">
        <v>46139</v>
      </c>
      <c r="K265" s="39">
        <v>46141</v>
      </c>
      <c r="L265" s="2" t="s">
        <v>2138</v>
      </c>
      <c r="M265" s="2" t="s">
        <v>2138</v>
      </c>
      <c r="N265" s="2" t="s">
        <v>906</v>
      </c>
      <c r="O265" s="272"/>
      <c r="P265" s="2"/>
      <c r="Q265" s="2"/>
    </row>
    <row r="266" spans="1:17" x14ac:dyDescent="0.35">
      <c r="A266" s="2">
        <v>264</v>
      </c>
      <c r="B266" s="264" t="s">
        <v>17</v>
      </c>
      <c r="C266" s="263" t="s">
        <v>2131</v>
      </c>
      <c r="D266" s="2" t="s">
        <v>18</v>
      </c>
      <c r="E266" s="2" t="s">
        <v>350</v>
      </c>
      <c r="F266" s="2" t="s">
        <v>2264</v>
      </c>
      <c r="G266" s="668">
        <f>1693827/100000</f>
        <v>16.938269999999999</v>
      </c>
      <c r="H266" s="2"/>
      <c r="I266" s="448" t="s">
        <v>492</v>
      </c>
      <c r="J266" s="39">
        <v>46143</v>
      </c>
      <c r="K266" s="39">
        <v>46148</v>
      </c>
      <c r="L266" s="2" t="s">
        <v>2154</v>
      </c>
      <c r="M266" s="2" t="s">
        <v>2154</v>
      </c>
      <c r="N266" s="2" t="s">
        <v>906</v>
      </c>
    </row>
    <row r="267" spans="1:17" x14ac:dyDescent="0.35">
      <c r="A267" s="2">
        <v>265</v>
      </c>
      <c r="B267" s="40" t="s">
        <v>25</v>
      </c>
      <c r="C267" s="263" t="s">
        <v>2131</v>
      </c>
      <c r="D267" s="2" t="s">
        <v>23</v>
      </c>
      <c r="E267" s="2" t="s">
        <v>350</v>
      </c>
      <c r="F267" s="2" t="s">
        <v>2264</v>
      </c>
      <c r="G267" s="2">
        <f>623195/100000</f>
        <v>6.2319500000000003</v>
      </c>
      <c r="H267" s="2"/>
      <c r="I267" s="448" t="s">
        <v>492</v>
      </c>
      <c r="J267" s="39">
        <v>46140</v>
      </c>
      <c r="K267" s="39">
        <v>46144</v>
      </c>
      <c r="L267" s="2" t="s">
        <v>2138</v>
      </c>
      <c r="M267" s="2" t="s">
        <v>2154</v>
      </c>
      <c r="N267" s="2" t="s">
        <v>906</v>
      </c>
    </row>
    <row r="268" spans="1:17" x14ac:dyDescent="0.35">
      <c r="A268" s="2">
        <v>266</v>
      </c>
      <c r="B268" s="41" t="s">
        <v>285</v>
      </c>
      <c r="C268" s="38" t="s">
        <v>2133</v>
      </c>
      <c r="D268" s="2" t="s">
        <v>118</v>
      </c>
      <c r="E268" s="2" t="s">
        <v>347</v>
      </c>
      <c r="F268" s="2" t="s">
        <v>2267</v>
      </c>
      <c r="G268" s="668">
        <f>2674564.66/100000</f>
        <v>26.745646600000001</v>
      </c>
      <c r="H268" s="2"/>
      <c r="I268" s="448" t="s">
        <v>421</v>
      </c>
      <c r="J268" s="39">
        <v>46150</v>
      </c>
      <c r="K268" s="39">
        <v>46173</v>
      </c>
      <c r="L268" s="2" t="s">
        <v>2154</v>
      </c>
      <c r="M268" s="2" t="s">
        <v>2154</v>
      </c>
      <c r="N268" s="2" t="s">
        <v>2157</v>
      </c>
    </row>
    <row r="269" spans="1:17" x14ac:dyDescent="0.35">
      <c r="A269" s="2">
        <v>267</v>
      </c>
      <c r="B269" s="264" t="s">
        <v>11</v>
      </c>
      <c r="C269" s="263" t="s">
        <v>2131</v>
      </c>
      <c r="D269" s="2" t="s">
        <v>12</v>
      </c>
      <c r="E269" s="2" t="s">
        <v>347</v>
      </c>
      <c r="F269" s="2" t="s">
        <v>2265</v>
      </c>
      <c r="G269" s="668">
        <f>2674462.69/100000</f>
        <v>26.7446269</v>
      </c>
      <c r="H269" s="2"/>
      <c r="I269" s="448" t="s">
        <v>492</v>
      </c>
      <c r="J269" s="39">
        <v>46149</v>
      </c>
      <c r="K269" s="39">
        <v>46154</v>
      </c>
      <c r="L269" s="2" t="s">
        <v>2154</v>
      </c>
      <c r="M269" s="2" t="s">
        <v>2154</v>
      </c>
      <c r="N269" s="2" t="s">
        <v>2158</v>
      </c>
    </row>
    <row r="270" spans="1:17" ht="84.65" customHeight="1" x14ac:dyDescent="0.35">
      <c r="A270" s="2">
        <v>268</v>
      </c>
      <c r="B270" s="38" t="s">
        <v>10</v>
      </c>
      <c r="C270" s="263" t="s">
        <v>2131</v>
      </c>
      <c r="D270" s="2" t="s">
        <v>9</v>
      </c>
      <c r="E270" s="2" t="s">
        <v>347</v>
      </c>
      <c r="F270" s="2" t="s">
        <v>2266</v>
      </c>
      <c r="G270" s="668">
        <f>(3288171.571/100000)-1.2</f>
        <v>31.681715710000002</v>
      </c>
      <c r="H270" s="2"/>
      <c r="I270" s="448" t="s">
        <v>492</v>
      </c>
      <c r="J270" s="39">
        <v>46155</v>
      </c>
      <c r="K270" s="39">
        <v>46161</v>
      </c>
      <c r="L270" s="2" t="s">
        <v>2154</v>
      </c>
      <c r="M270" s="2" t="s">
        <v>2154</v>
      </c>
      <c r="N270" s="2" t="s">
        <v>2158</v>
      </c>
    </row>
    <row r="271" spans="1:17" x14ac:dyDescent="0.35">
      <c r="A271" s="2">
        <v>269</v>
      </c>
      <c r="B271" s="41" t="s">
        <v>315</v>
      </c>
      <c r="C271" s="38" t="s">
        <v>2133</v>
      </c>
      <c r="D271" s="286" t="s">
        <v>148</v>
      </c>
      <c r="E271" s="2" t="s">
        <v>347</v>
      </c>
      <c r="F271" s="2" t="s">
        <v>2267</v>
      </c>
      <c r="G271" s="668">
        <f>1931312.149/100000</f>
        <v>19.31312149</v>
      </c>
      <c r="H271" s="2"/>
      <c r="I271" s="448" t="s">
        <v>492</v>
      </c>
      <c r="J271" s="39">
        <v>46154</v>
      </c>
      <c r="K271" s="39">
        <v>46180</v>
      </c>
      <c r="L271" s="2" t="s">
        <v>2154</v>
      </c>
      <c r="M271" s="2" t="s">
        <v>2273</v>
      </c>
      <c r="N271" s="2" t="s">
        <v>962</v>
      </c>
    </row>
    <row r="272" spans="1:17" x14ac:dyDescent="0.35">
      <c r="A272" s="2">
        <v>270</v>
      </c>
      <c r="B272" s="41" t="s">
        <v>255</v>
      </c>
      <c r="C272" s="38" t="s">
        <v>2132</v>
      </c>
      <c r="D272" s="286" t="s">
        <v>182</v>
      </c>
      <c r="E272" s="2" t="s">
        <v>347</v>
      </c>
      <c r="F272" s="2" t="s">
        <v>2267</v>
      </c>
      <c r="G272" s="669">
        <f>1727099.695/100000</f>
        <v>17.270996950000001</v>
      </c>
      <c r="H272" s="2"/>
      <c r="I272" s="448" t="s">
        <v>492</v>
      </c>
      <c r="J272" s="39">
        <v>46158</v>
      </c>
      <c r="K272" s="39">
        <v>46179</v>
      </c>
      <c r="L272" s="2" t="s">
        <v>2154</v>
      </c>
      <c r="M272" s="2" t="s">
        <v>2273</v>
      </c>
      <c r="N272" s="2" t="s">
        <v>991</v>
      </c>
    </row>
    <row r="273" spans="1:14" x14ac:dyDescent="0.35">
      <c r="A273" s="2">
        <v>271</v>
      </c>
      <c r="B273" s="38" t="s">
        <v>15</v>
      </c>
      <c r="C273" s="263" t="s">
        <v>2131</v>
      </c>
      <c r="D273" s="286" t="s">
        <v>16</v>
      </c>
      <c r="E273" s="2" t="s">
        <v>347</v>
      </c>
      <c r="F273" s="2" t="s">
        <v>2266</v>
      </c>
      <c r="G273" s="668">
        <f>723717/100000</f>
        <v>7.2371699999999999</v>
      </c>
      <c r="H273" s="2"/>
      <c r="I273" s="448" t="s">
        <v>492</v>
      </c>
      <c r="J273" s="39">
        <v>46158</v>
      </c>
      <c r="K273" s="39">
        <v>46162</v>
      </c>
      <c r="L273" s="2" t="s">
        <v>2154</v>
      </c>
      <c r="M273" s="2" t="s">
        <v>2154</v>
      </c>
      <c r="N273" s="2" t="s">
        <v>2158</v>
      </c>
    </row>
    <row r="274" spans="1:14" x14ac:dyDescent="0.35">
      <c r="A274" s="2">
        <v>272</v>
      </c>
      <c r="B274" s="41" t="s">
        <v>260</v>
      </c>
      <c r="C274" s="38" t="s">
        <v>2132</v>
      </c>
      <c r="D274" s="286" t="s">
        <v>33</v>
      </c>
      <c r="E274" s="2"/>
      <c r="F274" s="2"/>
      <c r="G274" s="2"/>
      <c r="H274" s="2"/>
      <c r="I274" s="454" t="s">
        <v>424</v>
      </c>
      <c r="J274" s="39">
        <v>46188</v>
      </c>
      <c r="K274" s="39">
        <v>46193</v>
      </c>
      <c r="L274" s="2" t="s">
        <v>2275</v>
      </c>
      <c r="M274" s="2" t="s">
        <v>2273</v>
      </c>
      <c r="N274" s="2" t="s">
        <v>2285</v>
      </c>
    </row>
    <row r="275" spans="1:14" x14ac:dyDescent="0.35">
      <c r="A275" s="2">
        <v>273</v>
      </c>
      <c r="B275" s="264" t="s">
        <v>8</v>
      </c>
      <c r="C275" s="263" t="s">
        <v>2131</v>
      </c>
      <c r="D275" s="2" t="s">
        <v>9</v>
      </c>
      <c r="E275" s="2" t="s">
        <v>347</v>
      </c>
      <c r="F275" s="2"/>
      <c r="G275" s="2"/>
      <c r="H275" s="2"/>
      <c r="I275" s="448" t="s">
        <v>492</v>
      </c>
      <c r="J275" s="39">
        <v>46179</v>
      </c>
      <c r="K275" s="39">
        <v>46188</v>
      </c>
      <c r="L275" s="2" t="s">
        <v>2275</v>
      </c>
      <c r="M275" s="2" t="s">
        <v>2273</v>
      </c>
      <c r="N275" s="2" t="s">
        <v>2158</v>
      </c>
    </row>
    <row r="276" spans="1:14" x14ac:dyDescent="0.35">
      <c r="A276" s="2">
        <v>274</v>
      </c>
      <c r="B276" s="2" t="s">
        <v>313</v>
      </c>
      <c r="C276" s="38" t="s">
        <v>2133</v>
      </c>
      <c r="D276" s="2" t="s">
        <v>314</v>
      </c>
      <c r="E276" s="2" t="s">
        <v>347</v>
      </c>
      <c r="F276" s="2"/>
      <c r="G276" s="2"/>
      <c r="H276" s="2"/>
      <c r="I276" s="448" t="s">
        <v>492</v>
      </c>
      <c r="J276" s="39">
        <v>46180</v>
      </c>
      <c r="K276" s="39">
        <v>46187</v>
      </c>
      <c r="L276" s="2" t="s">
        <v>2275</v>
      </c>
      <c r="M276" s="2" t="s">
        <v>2273</v>
      </c>
      <c r="N276" s="2" t="s">
        <v>2282</v>
      </c>
    </row>
    <row r="277" spans="1:14" ht="58" x14ac:dyDescent="0.35">
      <c r="A277" s="2">
        <v>275</v>
      </c>
      <c r="B277" s="2" t="s">
        <v>309</v>
      </c>
      <c r="C277" s="38" t="s">
        <v>2133</v>
      </c>
      <c r="D277" s="2" t="s">
        <v>20</v>
      </c>
      <c r="E277" s="2"/>
      <c r="F277" s="2"/>
      <c r="G277" s="2"/>
      <c r="H277" s="2"/>
      <c r="I277" s="688" t="s">
        <v>2297</v>
      </c>
      <c r="J277" s="39">
        <v>46188</v>
      </c>
      <c r="K277" s="39"/>
      <c r="L277" s="2" t="s">
        <v>2275</v>
      </c>
      <c r="M277" s="2"/>
      <c r="N277" s="2" t="s">
        <v>2282</v>
      </c>
    </row>
    <row r="278" spans="1:14" x14ac:dyDescent="0.35">
      <c r="A278" s="2">
        <v>276</v>
      </c>
      <c r="B278" s="2" t="s">
        <v>310</v>
      </c>
      <c r="C278" s="38" t="s">
        <v>2133</v>
      </c>
      <c r="D278" s="2" t="s">
        <v>2013</v>
      </c>
      <c r="E278" s="2"/>
      <c r="F278" s="2"/>
      <c r="G278" s="2"/>
      <c r="H278" s="2"/>
      <c r="I278" s="440" t="s">
        <v>2280</v>
      </c>
      <c r="J278" s="39">
        <v>46188</v>
      </c>
      <c r="K278" s="2"/>
      <c r="L278" s="2" t="s">
        <v>2275</v>
      </c>
      <c r="M278" s="2"/>
      <c r="N278" s="2" t="s">
        <v>2290</v>
      </c>
    </row>
    <row r="279" spans="1:14" x14ac:dyDescent="0.35">
      <c r="A279" s="2">
        <v>277</v>
      </c>
      <c r="B279" s="2" t="s">
        <v>311</v>
      </c>
      <c r="C279" s="38" t="s">
        <v>2133</v>
      </c>
      <c r="D279" s="2" t="s">
        <v>156</v>
      </c>
      <c r="E279" s="2"/>
      <c r="F279" s="2"/>
      <c r="G279" s="2"/>
      <c r="H279" s="2"/>
      <c r="I279" s="440" t="s">
        <v>2287</v>
      </c>
      <c r="J279" s="39"/>
      <c r="K279" s="2"/>
      <c r="L279" s="2"/>
      <c r="M279" s="2"/>
      <c r="N279" s="2"/>
    </row>
  </sheetData>
  <autoFilter ref="A2:Q276" xr:uid="{00000000-0009-0000-0000-000002000000}"/>
  <phoneticPr fontId="33" type="noConversion"/>
  <conditionalFormatting sqref="G1:H1">
    <cfRule type="duplicateValues" dxfId="66" priority="4"/>
    <cfRule type="duplicateValues" dxfId="65" priority="5"/>
  </conditionalFormatting>
  <conditionalFormatting sqref="G1:H1">
    <cfRule type="duplicateValues" dxfId="64" priority="2"/>
    <cfRule type="duplicateValues" dxfId="63" priority="3"/>
  </conditionalFormatting>
  <conditionalFormatting sqref="G1:H1">
    <cfRule type="duplicateValues" dxfId="62" priority="6"/>
    <cfRule type="duplicateValues" dxfId="61" priority="7"/>
  </conditionalFormatting>
  <conditionalFormatting sqref="B1:B1048576">
    <cfRule type="duplicateValues" dxfId="60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23"/>
  <sheetViews>
    <sheetView zoomScale="85" zoomScaleNormal="85" workbookViewId="0">
      <pane xSplit="8" ySplit="2" topLeftCell="I212" activePane="bottomRight" state="frozen"/>
      <selection pane="topRight" activeCell="D1" sqref="D1"/>
      <selection pane="bottomLeft" activeCell="A3" sqref="A3"/>
      <selection pane="bottomRight" activeCell="J219" sqref="J219"/>
    </sheetView>
  </sheetViews>
  <sheetFormatPr defaultColWidth="9.1796875" defaultRowHeight="14.5" x14ac:dyDescent="0.35"/>
  <cols>
    <col min="1" max="1" width="7.36328125" style="6" customWidth="1"/>
    <col min="2" max="2" width="8.453125" style="6" customWidth="1"/>
    <col min="3" max="3" width="10.453125" style="6" customWidth="1"/>
    <col min="4" max="4" width="9.1796875" style="6" hidden="1" customWidth="1"/>
    <col min="5" max="6" width="10.453125" style="6" hidden="1" customWidth="1"/>
    <col min="7" max="7" width="14.36328125" style="6" bestFit="1" customWidth="1"/>
    <col min="8" max="8" width="20.1796875" bestFit="1" customWidth="1"/>
    <col min="9" max="9" width="15.1796875" style="490" customWidth="1"/>
    <col min="10" max="12" width="15.1796875" style="6" customWidth="1"/>
    <col min="13" max="13" width="29.1796875" style="6" bestFit="1" customWidth="1"/>
    <col min="14" max="14" width="15.1796875" style="6" hidden="1" customWidth="1"/>
    <col min="15" max="16384" width="9.1796875" style="6"/>
  </cols>
  <sheetData>
    <row r="1" spans="1:14" ht="22.5" customHeight="1" x14ac:dyDescent="0.35">
      <c r="A1" s="445" t="s">
        <v>682</v>
      </c>
      <c r="B1" s="677"/>
      <c r="C1" s="677"/>
      <c r="D1" s="2"/>
      <c r="E1" s="677">
        <f>SUBTOTAL(9,E3:E211)</f>
        <v>141.49611320000005</v>
      </c>
      <c r="F1" s="677">
        <f>SUBTOTAL(9,F3:F211)</f>
        <v>3255.9121999999993</v>
      </c>
      <c r="G1" s="677"/>
      <c r="H1" s="684"/>
      <c r="I1" s="687"/>
      <c r="J1" s="677"/>
      <c r="K1" s="677"/>
      <c r="L1" s="677"/>
      <c r="M1" s="677"/>
      <c r="N1" s="494"/>
    </row>
    <row r="2" spans="1:14" x14ac:dyDescent="0.35">
      <c r="A2" s="33" t="s">
        <v>411</v>
      </c>
      <c r="B2" s="2" t="s">
        <v>412</v>
      </c>
      <c r="C2" s="2" t="s">
        <v>5</v>
      </c>
      <c r="D2" s="2" t="s">
        <v>2272</v>
      </c>
      <c r="E2" s="2" t="s">
        <v>2262</v>
      </c>
      <c r="F2" s="2" t="s">
        <v>2248</v>
      </c>
      <c r="G2" s="493" t="s">
        <v>2153</v>
      </c>
      <c r="H2" s="453" t="s">
        <v>415</v>
      </c>
      <c r="I2" s="491" t="s">
        <v>416</v>
      </c>
      <c r="J2" s="33" t="s">
        <v>417</v>
      </c>
      <c r="K2" s="446" t="s">
        <v>2151</v>
      </c>
      <c r="L2" s="446" t="s">
        <v>2150</v>
      </c>
      <c r="M2" s="33" t="s">
        <v>2155</v>
      </c>
      <c r="N2" s="495" t="s">
        <v>418</v>
      </c>
    </row>
    <row r="3" spans="1:14" ht="17.25" customHeight="1" x14ac:dyDescent="0.35">
      <c r="A3" s="2">
        <v>1</v>
      </c>
      <c r="B3" s="38" t="s">
        <v>104</v>
      </c>
      <c r="C3" s="38" t="str">
        <f>VLOOKUP(B3,'CST Gantry To AP 68 Common Poin'!C:D,2,0)</f>
        <v>DA+0</v>
      </c>
      <c r="D3" s="2"/>
      <c r="E3" s="38"/>
      <c r="F3" s="38"/>
      <c r="G3" s="38" t="s">
        <v>2131</v>
      </c>
      <c r="H3" s="454" t="s">
        <v>424</v>
      </c>
      <c r="I3" s="39" t="s">
        <v>639</v>
      </c>
      <c r="J3" s="442">
        <v>45903</v>
      </c>
      <c r="K3" s="442" t="s">
        <v>2249</v>
      </c>
      <c r="L3" s="442" t="s">
        <v>2250</v>
      </c>
      <c r="M3" s="2" t="s">
        <v>644</v>
      </c>
      <c r="N3" s="272"/>
    </row>
    <row r="4" spans="1:14" x14ac:dyDescent="0.35">
      <c r="A4" s="2">
        <v>2</v>
      </c>
      <c r="B4" s="38" t="s">
        <v>80</v>
      </c>
      <c r="C4" s="38" t="str">
        <f>VLOOKUP(B4,'CST Gantry To AP 68 Common Poin'!C:D,2,0)</f>
        <v>DA+0</v>
      </c>
      <c r="D4" s="2"/>
      <c r="E4" s="38"/>
      <c r="F4" s="38"/>
      <c r="G4" s="38" t="s">
        <v>2131</v>
      </c>
      <c r="H4" s="454" t="s">
        <v>424</v>
      </c>
      <c r="I4" s="39" t="s">
        <v>639</v>
      </c>
      <c r="J4" s="2" t="s">
        <v>753</v>
      </c>
      <c r="K4" s="442" t="s">
        <v>2249</v>
      </c>
      <c r="L4" s="442" t="s">
        <v>2250</v>
      </c>
      <c r="M4" s="2" t="s">
        <v>640</v>
      </c>
      <c r="N4" s="272"/>
    </row>
    <row r="5" spans="1:14" x14ac:dyDescent="0.35">
      <c r="A5" s="2">
        <v>3</v>
      </c>
      <c r="B5" s="38" t="s">
        <v>54</v>
      </c>
      <c r="C5" s="38" t="str">
        <f>VLOOKUP(B5,'CST Gantry To AP 68 Common Poin'!C:D,2,0)</f>
        <v>DA+0</v>
      </c>
      <c r="D5" s="2"/>
      <c r="E5" s="38"/>
      <c r="F5" s="38"/>
      <c r="G5" s="38" t="s">
        <v>2131</v>
      </c>
      <c r="H5" s="454" t="s">
        <v>424</v>
      </c>
      <c r="I5" s="39" t="s">
        <v>642</v>
      </c>
      <c r="J5" s="2" t="s">
        <v>755</v>
      </c>
      <c r="K5" s="2" t="s">
        <v>2249</v>
      </c>
      <c r="L5" s="2" t="s">
        <v>2250</v>
      </c>
      <c r="M5" s="2" t="s">
        <v>2278</v>
      </c>
      <c r="N5" s="272"/>
    </row>
    <row r="6" spans="1:14" x14ac:dyDescent="0.35">
      <c r="A6" s="2">
        <v>4</v>
      </c>
      <c r="B6" s="38" t="s">
        <v>76</v>
      </c>
      <c r="C6" s="38" t="str">
        <f>VLOOKUP(B6,'CST Gantry To AP 68 Common Poin'!C:D,2,0)</f>
        <v>DA+0</v>
      </c>
      <c r="D6" s="2"/>
      <c r="E6" s="38"/>
      <c r="F6" s="38"/>
      <c r="G6" s="38" t="s">
        <v>2131</v>
      </c>
      <c r="H6" s="454" t="s">
        <v>424</v>
      </c>
      <c r="I6" s="39" t="s">
        <v>642</v>
      </c>
      <c r="J6" s="2" t="s">
        <v>760</v>
      </c>
      <c r="K6" s="2" t="s">
        <v>2249</v>
      </c>
      <c r="L6" s="2" t="s">
        <v>2250</v>
      </c>
      <c r="M6" s="2" t="s">
        <v>641</v>
      </c>
      <c r="N6" s="272"/>
    </row>
    <row r="7" spans="1:14" x14ac:dyDescent="0.35">
      <c r="A7" s="2">
        <v>5</v>
      </c>
      <c r="B7" s="38" t="s">
        <v>71</v>
      </c>
      <c r="C7" s="38" t="str">
        <f>VLOOKUP(B7,'CST Gantry To AP 68 Common Poin'!C:D,2,0)</f>
        <v>DA+3</v>
      </c>
      <c r="D7" s="2"/>
      <c r="E7" s="38"/>
      <c r="F7" s="38"/>
      <c r="G7" s="38" t="s">
        <v>2131</v>
      </c>
      <c r="H7" s="454" t="s">
        <v>424</v>
      </c>
      <c r="I7" s="39" t="s">
        <v>748</v>
      </c>
      <c r="J7" s="2" t="s">
        <v>764</v>
      </c>
      <c r="K7" s="2" t="s">
        <v>2250</v>
      </c>
      <c r="L7" s="2" t="s">
        <v>2250</v>
      </c>
      <c r="M7" s="2" t="s">
        <v>684</v>
      </c>
      <c r="N7" s="272"/>
    </row>
    <row r="8" spans="1:14" x14ac:dyDescent="0.35">
      <c r="A8" s="2">
        <v>6</v>
      </c>
      <c r="B8" s="38" t="s">
        <v>92</v>
      </c>
      <c r="C8" s="38" t="str">
        <f>VLOOKUP(B8,'CST Gantry To AP 68 Common Poin'!C:D,2,0)</f>
        <v>DA+3</v>
      </c>
      <c r="D8" s="2"/>
      <c r="E8" s="38"/>
      <c r="F8" s="38"/>
      <c r="G8" s="38" t="s">
        <v>2131</v>
      </c>
      <c r="H8" s="454" t="s">
        <v>424</v>
      </c>
      <c r="I8" s="39" t="s">
        <v>748</v>
      </c>
      <c r="J8" s="2" t="s">
        <v>752</v>
      </c>
      <c r="K8" s="2" t="s">
        <v>2250</v>
      </c>
      <c r="L8" s="2" t="s">
        <v>2250</v>
      </c>
      <c r="M8" s="2" t="s">
        <v>756</v>
      </c>
      <c r="N8" s="272"/>
    </row>
    <row r="9" spans="1:14" x14ac:dyDescent="0.35">
      <c r="A9" s="2">
        <v>7</v>
      </c>
      <c r="B9" s="38" t="s">
        <v>121</v>
      </c>
      <c r="C9" s="38" t="str">
        <f>VLOOKUP(B9,'CST Gantry To AP 68 Common Poin'!C:D,2,0)</f>
        <v>DA(-)3</v>
      </c>
      <c r="D9" s="2"/>
      <c r="E9" s="38"/>
      <c r="F9" s="38"/>
      <c r="G9" s="38" t="s">
        <v>2131</v>
      </c>
      <c r="H9" s="454" t="s">
        <v>424</v>
      </c>
      <c r="I9" s="39" t="s">
        <v>749</v>
      </c>
      <c r="J9" s="2" t="s">
        <v>683</v>
      </c>
      <c r="K9" s="2" t="s">
        <v>2250</v>
      </c>
      <c r="L9" s="2" t="s">
        <v>2250</v>
      </c>
      <c r="M9" s="2" t="s">
        <v>644</v>
      </c>
      <c r="N9" s="272"/>
    </row>
    <row r="10" spans="1:14" x14ac:dyDescent="0.35">
      <c r="A10" s="2">
        <v>8</v>
      </c>
      <c r="B10" s="38" t="s">
        <v>101</v>
      </c>
      <c r="C10" s="38" t="str">
        <f>VLOOKUP(B10,'CST Gantry To AP 68 Common Poin'!C:D,2,0)</f>
        <v>DA+0</v>
      </c>
      <c r="D10" s="2"/>
      <c r="E10" s="38"/>
      <c r="F10" s="38"/>
      <c r="G10" s="38" t="s">
        <v>2131</v>
      </c>
      <c r="H10" s="454" t="s">
        <v>424</v>
      </c>
      <c r="I10" s="39" t="s">
        <v>749</v>
      </c>
      <c r="J10" s="2" t="s">
        <v>752</v>
      </c>
      <c r="K10" s="2" t="s">
        <v>2250</v>
      </c>
      <c r="L10" s="2" t="s">
        <v>2250</v>
      </c>
      <c r="M10" s="2" t="s">
        <v>645</v>
      </c>
      <c r="N10" s="272"/>
    </row>
    <row r="11" spans="1:14" x14ac:dyDescent="0.35">
      <c r="A11" s="2">
        <v>9</v>
      </c>
      <c r="B11" s="40" t="s">
        <v>55</v>
      </c>
      <c r="C11" s="38" t="str">
        <f>VLOOKUP(B11,'CST Gantry To AP 68 Common Poin'!C:D,2,0)</f>
        <v>DA+0</v>
      </c>
      <c r="D11" s="2"/>
      <c r="E11" s="38"/>
      <c r="F11" s="38"/>
      <c r="G11" s="38" t="s">
        <v>2131</v>
      </c>
      <c r="H11" s="454" t="s">
        <v>424</v>
      </c>
      <c r="I11" s="39" t="s">
        <v>642</v>
      </c>
      <c r="J11" s="39" t="s">
        <v>683</v>
      </c>
      <c r="K11" s="2" t="s">
        <v>2249</v>
      </c>
      <c r="L11" s="2" t="s">
        <v>2250</v>
      </c>
      <c r="M11" s="2" t="s">
        <v>2278</v>
      </c>
      <c r="N11" s="272"/>
    </row>
    <row r="12" spans="1:14" x14ac:dyDescent="0.35">
      <c r="A12" s="2">
        <v>10</v>
      </c>
      <c r="B12" s="38" t="s">
        <v>82</v>
      </c>
      <c r="C12" s="38" t="str">
        <f>VLOOKUP(B12,'CST Gantry To AP 68 Common Poin'!C:D,2,0)</f>
        <v>DA(-)3</v>
      </c>
      <c r="D12" s="2"/>
      <c r="E12" s="38"/>
      <c r="F12" s="38"/>
      <c r="G12" s="38" t="s">
        <v>2131</v>
      </c>
      <c r="H12" s="454" t="s">
        <v>424</v>
      </c>
      <c r="I12" s="39" t="s">
        <v>750</v>
      </c>
      <c r="J12" s="2" t="s">
        <v>768</v>
      </c>
      <c r="K12" s="2" t="s">
        <v>2250</v>
      </c>
      <c r="L12" s="2" t="s">
        <v>2250</v>
      </c>
      <c r="M12" s="2" t="s">
        <v>640</v>
      </c>
      <c r="N12" s="272"/>
    </row>
    <row r="13" spans="1:14" x14ac:dyDescent="0.35">
      <c r="A13" s="2">
        <v>11</v>
      </c>
      <c r="B13" s="40" t="s">
        <v>95</v>
      </c>
      <c r="C13" s="38" t="str">
        <f>VLOOKUP(B13,'CST Gantry To AP 68 Common Poin'!C:D,2,0)</f>
        <v>DA(-)3</v>
      </c>
      <c r="D13" s="2"/>
      <c r="E13" s="38"/>
      <c r="F13" s="38"/>
      <c r="G13" s="38" t="s">
        <v>2131</v>
      </c>
      <c r="H13" s="454" t="s">
        <v>424</v>
      </c>
      <c r="I13" s="39" t="s">
        <v>751</v>
      </c>
      <c r="J13" s="39" t="s">
        <v>761</v>
      </c>
      <c r="K13" s="2" t="s">
        <v>2250</v>
      </c>
      <c r="L13" s="2" t="s">
        <v>2250</v>
      </c>
      <c r="M13" s="2" t="s">
        <v>756</v>
      </c>
      <c r="N13" s="272"/>
    </row>
    <row r="14" spans="1:14" x14ac:dyDescent="0.35">
      <c r="A14" s="2">
        <v>12</v>
      </c>
      <c r="B14" s="38" t="s">
        <v>108</v>
      </c>
      <c r="C14" s="38" t="str">
        <f>VLOOKUP(B14,'CST Gantry To AP 68 Common Poin'!C:D,2,0)</f>
        <v>DA(-)3</v>
      </c>
      <c r="D14" s="2"/>
      <c r="E14" s="38"/>
      <c r="F14" s="38"/>
      <c r="G14" s="38" t="s">
        <v>2131</v>
      </c>
      <c r="H14" s="454" t="s">
        <v>424</v>
      </c>
      <c r="I14" s="39" t="s">
        <v>750</v>
      </c>
      <c r="J14" s="39" t="s">
        <v>761</v>
      </c>
      <c r="K14" s="2" t="s">
        <v>2250</v>
      </c>
      <c r="L14" s="2" t="s">
        <v>2250</v>
      </c>
      <c r="M14" s="2" t="s">
        <v>644</v>
      </c>
      <c r="N14" s="272"/>
    </row>
    <row r="15" spans="1:14" x14ac:dyDescent="0.35">
      <c r="A15" s="2">
        <v>13</v>
      </c>
      <c r="B15" s="40" t="s">
        <v>56</v>
      </c>
      <c r="C15" s="38" t="str">
        <f>VLOOKUP(B15,'CST Gantry To AP 68 Common Poin'!C:D,2,0)</f>
        <v>DA+0</v>
      </c>
      <c r="D15" s="2"/>
      <c r="E15" s="38"/>
      <c r="F15" s="38"/>
      <c r="G15" s="38" t="s">
        <v>2131</v>
      </c>
      <c r="H15" s="454" t="s">
        <v>424</v>
      </c>
      <c r="I15" s="39" t="s">
        <v>683</v>
      </c>
      <c r="J15" s="2" t="s">
        <v>762</v>
      </c>
      <c r="K15" s="2" t="s">
        <v>2250</v>
      </c>
      <c r="L15" s="2" t="s">
        <v>2250</v>
      </c>
      <c r="M15" s="2" t="s">
        <v>2278</v>
      </c>
      <c r="N15" s="272"/>
    </row>
    <row r="16" spans="1:14" x14ac:dyDescent="0.35">
      <c r="A16" s="2">
        <v>14</v>
      </c>
      <c r="B16" s="40" t="s">
        <v>129</v>
      </c>
      <c r="C16" s="38" t="str">
        <f>VLOOKUP(B16,'CST Gantry To AP 68 Common Poin'!C:D,2,0)</f>
        <v>DA+6</v>
      </c>
      <c r="D16" s="2"/>
      <c r="E16" s="38"/>
      <c r="F16" s="38"/>
      <c r="G16" s="38" t="s">
        <v>2131</v>
      </c>
      <c r="H16" s="454" t="s">
        <v>424</v>
      </c>
      <c r="I16" s="39" t="s">
        <v>753</v>
      </c>
      <c r="J16" s="2" t="s">
        <v>764</v>
      </c>
      <c r="K16" s="2" t="s">
        <v>2250</v>
      </c>
      <c r="L16" s="2" t="s">
        <v>2250</v>
      </c>
      <c r="M16" s="2" t="s">
        <v>645</v>
      </c>
      <c r="N16" s="272"/>
    </row>
    <row r="17" spans="1:14" x14ac:dyDescent="0.35">
      <c r="A17" s="2">
        <v>15</v>
      </c>
      <c r="B17" s="40" t="s">
        <v>72</v>
      </c>
      <c r="C17" s="38" t="str">
        <f>VLOOKUP(B17,'CST Gantry To AP 68 Common Poin'!C:D,2,0)</f>
        <v>DA(-)3</v>
      </c>
      <c r="D17" s="2"/>
      <c r="E17" s="38"/>
      <c r="F17" s="38"/>
      <c r="G17" s="38" t="s">
        <v>2131</v>
      </c>
      <c r="H17" s="454" t="s">
        <v>424</v>
      </c>
      <c r="I17" s="39" t="s">
        <v>766</v>
      </c>
      <c r="J17" s="2" t="s">
        <v>776</v>
      </c>
      <c r="K17" s="2" t="s">
        <v>2250</v>
      </c>
      <c r="L17" s="2" t="s">
        <v>2251</v>
      </c>
      <c r="M17" s="2" t="s">
        <v>684</v>
      </c>
      <c r="N17" s="272"/>
    </row>
    <row r="18" spans="1:14" x14ac:dyDescent="0.35">
      <c r="A18" s="2">
        <v>16</v>
      </c>
      <c r="B18" s="40" t="s">
        <v>85</v>
      </c>
      <c r="C18" s="38" t="str">
        <f>VLOOKUP(B18,'CST Gantry To AP 68 Common Poin'!C:D,2,0)</f>
        <v>DA+0</v>
      </c>
      <c r="D18" s="2"/>
      <c r="E18" s="38"/>
      <c r="F18" s="38"/>
      <c r="G18" s="38" t="s">
        <v>2131</v>
      </c>
      <c r="H18" s="454" t="s">
        <v>424</v>
      </c>
      <c r="I18" s="39" t="s">
        <v>754</v>
      </c>
      <c r="J18" s="2" t="s">
        <v>765</v>
      </c>
      <c r="K18" s="2" t="s">
        <v>2250</v>
      </c>
      <c r="L18" s="2" t="s">
        <v>2250</v>
      </c>
      <c r="M18" s="2" t="s">
        <v>757</v>
      </c>
      <c r="N18" s="272"/>
    </row>
    <row r="19" spans="1:14" x14ac:dyDescent="0.35">
      <c r="A19" s="2">
        <v>17</v>
      </c>
      <c r="B19" s="40" t="s">
        <v>109</v>
      </c>
      <c r="C19" s="38" t="str">
        <f>VLOOKUP(B19,'CST Gantry To AP 68 Common Poin'!C:D,2,0)</f>
        <v>DA+0</v>
      </c>
      <c r="D19" s="2"/>
      <c r="E19" s="38"/>
      <c r="F19" s="38"/>
      <c r="G19" s="38" t="s">
        <v>2131</v>
      </c>
      <c r="H19" s="454" t="s">
        <v>424</v>
      </c>
      <c r="I19" s="39" t="s">
        <v>761</v>
      </c>
      <c r="J19" s="2" t="s">
        <v>766</v>
      </c>
      <c r="K19" s="2" t="s">
        <v>2250</v>
      </c>
      <c r="L19" s="2" t="s">
        <v>2250</v>
      </c>
      <c r="M19" s="2" t="s">
        <v>644</v>
      </c>
      <c r="N19" s="272"/>
    </row>
    <row r="20" spans="1:14" x14ac:dyDescent="0.35">
      <c r="A20" s="2">
        <v>18</v>
      </c>
      <c r="B20" s="38" t="s">
        <v>62</v>
      </c>
      <c r="C20" s="38" t="str">
        <f>VLOOKUP(B20,'CST Gantry To AP 68 Common Poin'!C:D,2,0)</f>
        <v>DA+3</v>
      </c>
      <c r="D20" s="2"/>
      <c r="E20" s="38"/>
      <c r="F20" s="38"/>
      <c r="G20" s="38" t="s">
        <v>2131</v>
      </c>
      <c r="H20" s="454" t="s">
        <v>424</v>
      </c>
      <c r="I20" s="39" t="s">
        <v>762</v>
      </c>
      <c r="J20" s="2" t="s">
        <v>767</v>
      </c>
      <c r="K20" s="2" t="s">
        <v>2250</v>
      </c>
      <c r="L20" s="2" t="s">
        <v>2250</v>
      </c>
      <c r="M20" s="2" t="s">
        <v>2278</v>
      </c>
      <c r="N20" s="272"/>
    </row>
    <row r="21" spans="1:14" x14ac:dyDescent="0.35">
      <c r="A21" s="2">
        <v>19</v>
      </c>
      <c r="B21" s="38" t="s">
        <v>122</v>
      </c>
      <c r="C21" s="38" t="str">
        <f>VLOOKUP(B21,'CST Gantry To AP 68 Common Poin'!C:D,2,0)</f>
        <v>DA(-)3</v>
      </c>
      <c r="D21" s="2"/>
      <c r="E21" s="38"/>
      <c r="F21" s="38"/>
      <c r="G21" s="38" t="s">
        <v>2131</v>
      </c>
      <c r="H21" s="454" t="s">
        <v>424</v>
      </c>
      <c r="I21" s="39" t="s">
        <v>764</v>
      </c>
      <c r="J21" s="2" t="s">
        <v>769</v>
      </c>
      <c r="K21" s="2" t="s">
        <v>2250</v>
      </c>
      <c r="L21" s="2" t="s">
        <v>2250</v>
      </c>
      <c r="M21" s="2" t="s">
        <v>645</v>
      </c>
      <c r="N21" s="272"/>
    </row>
    <row r="22" spans="1:14" x14ac:dyDescent="0.35">
      <c r="A22" s="2">
        <v>20</v>
      </c>
      <c r="B22" s="38" t="s">
        <v>86</v>
      </c>
      <c r="C22" s="38" t="str">
        <f>VLOOKUP(B22,'CST Gantry To AP 68 Common Poin'!C:D,2,0)</f>
        <v>DA+0</v>
      </c>
      <c r="D22" s="2"/>
      <c r="E22" s="38"/>
      <c r="F22" s="38"/>
      <c r="G22" s="38" t="s">
        <v>2131</v>
      </c>
      <c r="H22" s="454" t="s">
        <v>424</v>
      </c>
      <c r="I22" s="39" t="s">
        <v>765</v>
      </c>
      <c r="J22" s="2" t="s">
        <v>770</v>
      </c>
      <c r="K22" s="2" t="s">
        <v>2250</v>
      </c>
      <c r="L22" s="2" t="s">
        <v>2250</v>
      </c>
      <c r="M22" s="2" t="s">
        <v>756</v>
      </c>
      <c r="N22" s="272"/>
    </row>
    <row r="23" spans="1:14" x14ac:dyDescent="0.35">
      <c r="A23" s="2">
        <v>21</v>
      </c>
      <c r="B23" s="40" t="s">
        <v>107</v>
      </c>
      <c r="C23" s="38" t="str">
        <f>VLOOKUP(B23,'CST Gantry To AP 68 Common Poin'!C:D,2,0)</f>
        <v>DA+0</v>
      </c>
      <c r="D23" s="2"/>
      <c r="E23" s="38"/>
      <c r="F23" s="38"/>
      <c r="G23" s="38" t="s">
        <v>2131</v>
      </c>
      <c r="H23" s="454" t="s">
        <v>424</v>
      </c>
      <c r="I23" s="39" t="s">
        <v>771</v>
      </c>
      <c r="J23" s="2" t="s">
        <v>773</v>
      </c>
      <c r="K23" s="2" t="s">
        <v>2251</v>
      </c>
      <c r="L23" s="2" t="s">
        <v>2251</v>
      </c>
      <c r="M23" s="2" t="s">
        <v>644</v>
      </c>
      <c r="N23" s="272"/>
    </row>
    <row r="24" spans="1:14" x14ac:dyDescent="0.35">
      <c r="A24" s="2">
        <v>22</v>
      </c>
      <c r="B24" s="38" t="s">
        <v>66</v>
      </c>
      <c r="C24" s="38" t="str">
        <f>VLOOKUP(B24,'CST Gantry To AP 68 Common Poin'!C:D,2,0)</f>
        <v>DA+0</v>
      </c>
      <c r="D24" s="2"/>
      <c r="E24" s="38"/>
      <c r="F24" s="38"/>
      <c r="G24" s="38" t="s">
        <v>2131</v>
      </c>
      <c r="H24" s="454" t="s">
        <v>424</v>
      </c>
      <c r="I24" s="39" t="s">
        <v>768</v>
      </c>
      <c r="J24" s="2" t="s">
        <v>772</v>
      </c>
      <c r="K24" s="2" t="s">
        <v>2250</v>
      </c>
      <c r="L24" s="2" t="s">
        <v>2251</v>
      </c>
      <c r="M24" s="2" t="s">
        <v>2278</v>
      </c>
      <c r="N24" s="272"/>
    </row>
    <row r="25" spans="1:14" x14ac:dyDescent="0.35">
      <c r="A25" s="2">
        <v>23</v>
      </c>
      <c r="B25" s="38" t="s">
        <v>79</v>
      </c>
      <c r="C25" s="38" t="str">
        <f>VLOOKUP(B25,'CST Gantry To AP 68 Common Poin'!C:D,2,0)</f>
        <v>DA(-)1.5</v>
      </c>
      <c r="D25" s="2"/>
      <c r="E25" s="38"/>
      <c r="F25" s="38"/>
      <c r="G25" s="38" t="s">
        <v>2131</v>
      </c>
      <c r="H25" s="454" t="s">
        <v>424</v>
      </c>
      <c r="I25" s="39" t="s">
        <v>771</v>
      </c>
      <c r="J25" s="2" t="s">
        <v>780</v>
      </c>
      <c r="K25" s="2" t="s">
        <v>2251</v>
      </c>
      <c r="L25" s="2" t="s">
        <v>2251</v>
      </c>
      <c r="M25" s="2" t="s">
        <v>640</v>
      </c>
      <c r="N25" s="272"/>
    </row>
    <row r="26" spans="1:14" x14ac:dyDescent="0.35">
      <c r="A26" s="2">
        <v>24</v>
      </c>
      <c r="B26" s="38" t="s">
        <v>111</v>
      </c>
      <c r="C26" s="38" t="str">
        <f>VLOOKUP(B26,'CST Gantry To AP 68 Common Poin'!C:D,2,0)</f>
        <v>DA+0</v>
      </c>
      <c r="D26" s="2"/>
      <c r="E26" s="38"/>
      <c r="F26" s="38"/>
      <c r="G26" s="38" t="s">
        <v>2131</v>
      </c>
      <c r="H26" s="454" t="s">
        <v>424</v>
      </c>
      <c r="I26" s="39" t="s">
        <v>766</v>
      </c>
      <c r="J26" s="2" t="s">
        <v>771</v>
      </c>
      <c r="K26" s="2" t="s">
        <v>2250</v>
      </c>
      <c r="L26" s="2" t="s">
        <v>2251</v>
      </c>
      <c r="M26" s="2" t="s">
        <v>644</v>
      </c>
      <c r="N26" s="272"/>
    </row>
    <row r="27" spans="1:14" x14ac:dyDescent="0.35">
      <c r="A27" s="2">
        <v>25</v>
      </c>
      <c r="B27" s="40" t="s">
        <v>139</v>
      </c>
      <c r="C27" s="38" t="str">
        <f>VLOOKUP(B27,'CST Gantry To AP 68 Common Poin'!C:D,2,0)</f>
        <v>DA+3</v>
      </c>
      <c r="D27" s="2"/>
      <c r="E27" s="38"/>
      <c r="F27" s="38"/>
      <c r="G27" s="38" t="s">
        <v>2131</v>
      </c>
      <c r="H27" s="454" t="s">
        <v>424</v>
      </c>
      <c r="I27" s="39" t="s">
        <v>771</v>
      </c>
      <c r="J27" s="2" t="s">
        <v>773</v>
      </c>
      <c r="K27" s="2" t="s">
        <v>2251</v>
      </c>
      <c r="L27" s="2" t="s">
        <v>2251</v>
      </c>
      <c r="M27" s="2" t="s">
        <v>645</v>
      </c>
      <c r="N27" s="272"/>
    </row>
    <row r="28" spans="1:14" x14ac:dyDescent="0.35">
      <c r="A28" s="2">
        <v>26</v>
      </c>
      <c r="B28" s="40" t="s">
        <v>87</v>
      </c>
      <c r="C28" s="38" t="str">
        <f>VLOOKUP(B28,'CST Gantry To AP 68 Common Poin'!C:D,2,0)</f>
        <v>DA(-)3</v>
      </c>
      <c r="D28" s="2"/>
      <c r="E28" s="38"/>
      <c r="F28" s="38"/>
      <c r="G28" s="38" t="s">
        <v>2131</v>
      </c>
      <c r="H28" s="454" t="s">
        <v>424</v>
      </c>
      <c r="I28" s="39" t="s">
        <v>777</v>
      </c>
      <c r="J28" s="2" t="s">
        <v>786</v>
      </c>
      <c r="K28" s="2" t="s">
        <v>2251</v>
      </c>
      <c r="L28" s="2" t="s">
        <v>2251</v>
      </c>
      <c r="M28" s="2" t="s">
        <v>684</v>
      </c>
      <c r="N28" s="272"/>
    </row>
    <row r="29" spans="1:14" x14ac:dyDescent="0.35">
      <c r="A29" s="2">
        <v>27</v>
      </c>
      <c r="B29" s="40" t="s">
        <v>140</v>
      </c>
      <c r="C29" s="38" t="str">
        <f>VLOOKUP(B29,'CST Gantry To AP 68 Common Poin'!C:D,2,0)</f>
        <v>DA+0</v>
      </c>
      <c r="D29" s="2"/>
      <c r="E29" s="38"/>
      <c r="F29" s="38"/>
      <c r="G29" s="38" t="s">
        <v>2131</v>
      </c>
      <c r="H29" s="454" t="s">
        <v>424</v>
      </c>
      <c r="I29" s="39" t="s">
        <v>774</v>
      </c>
      <c r="J29" s="2" t="s">
        <v>779</v>
      </c>
      <c r="K29" s="2" t="s">
        <v>2251</v>
      </c>
      <c r="L29" s="2" t="s">
        <v>2251</v>
      </c>
      <c r="M29" s="2" t="s">
        <v>775</v>
      </c>
      <c r="N29" s="272"/>
    </row>
    <row r="30" spans="1:14" x14ac:dyDescent="0.35">
      <c r="A30" s="2">
        <v>28</v>
      </c>
      <c r="B30" s="38" t="s">
        <v>59</v>
      </c>
      <c r="C30" s="38" t="str">
        <f>VLOOKUP(B30,'CST Gantry To AP 68 Common Poin'!C:D,2,0)</f>
        <v>DA+0</v>
      </c>
      <c r="D30" s="2"/>
      <c r="E30" s="38"/>
      <c r="F30" s="38"/>
      <c r="G30" s="38" t="s">
        <v>2131</v>
      </c>
      <c r="H30" s="454" t="s">
        <v>424</v>
      </c>
      <c r="I30" s="39" t="s">
        <v>783</v>
      </c>
      <c r="J30" s="2" t="s">
        <v>786</v>
      </c>
      <c r="K30" s="2" t="s">
        <v>2251</v>
      </c>
      <c r="L30" s="2" t="s">
        <v>2251</v>
      </c>
      <c r="M30" s="2" t="s">
        <v>775</v>
      </c>
      <c r="N30" s="272"/>
    </row>
    <row r="31" spans="1:14" x14ac:dyDescent="0.35">
      <c r="A31" s="2">
        <v>29</v>
      </c>
      <c r="B31" s="38" t="s">
        <v>58</v>
      </c>
      <c r="C31" s="38" t="str">
        <f>VLOOKUP(B31,'CST Gantry To AP 68 Common Poin'!C:D,2,0)</f>
        <v>DA(-)3</v>
      </c>
      <c r="D31" s="2"/>
      <c r="E31" s="38"/>
      <c r="F31" s="38"/>
      <c r="G31" s="38" t="s">
        <v>2131</v>
      </c>
      <c r="H31" s="454" t="s">
        <v>424</v>
      </c>
      <c r="I31" s="39" t="s">
        <v>787</v>
      </c>
      <c r="J31" s="2" t="s">
        <v>794</v>
      </c>
      <c r="K31" s="2" t="s">
        <v>2251</v>
      </c>
      <c r="L31" s="2" t="s">
        <v>2251</v>
      </c>
      <c r="M31" s="2" t="s">
        <v>775</v>
      </c>
      <c r="N31" s="272"/>
    </row>
    <row r="32" spans="1:14" x14ac:dyDescent="0.35">
      <c r="A32" s="2">
        <v>30</v>
      </c>
      <c r="B32" s="293" t="s">
        <v>57</v>
      </c>
      <c r="C32" s="38" t="str">
        <f>VLOOKUP(B32,'CST Gantry To AP 68 Common Poin'!C:D,2,0)</f>
        <v>DA+3</v>
      </c>
      <c r="D32" s="2"/>
      <c r="E32" s="38"/>
      <c r="F32" s="38"/>
      <c r="G32" s="38" t="s">
        <v>2131</v>
      </c>
      <c r="H32" s="454" t="s">
        <v>424</v>
      </c>
      <c r="I32" s="47" t="s">
        <v>793</v>
      </c>
      <c r="J32" s="47">
        <v>45955</v>
      </c>
      <c r="K32" s="2" t="s">
        <v>2251</v>
      </c>
      <c r="L32" s="2" t="s">
        <v>2251</v>
      </c>
      <c r="M32" s="2" t="s">
        <v>775</v>
      </c>
      <c r="N32" s="272"/>
    </row>
    <row r="33" spans="1:14" ht="14.5" customHeight="1" x14ac:dyDescent="0.35">
      <c r="A33" s="2">
        <v>31</v>
      </c>
      <c r="B33" s="293" t="s">
        <v>63</v>
      </c>
      <c r="C33" s="38" t="str">
        <f>VLOOKUP(B33,'CST Gantry To AP 68 Common Poin'!C:D,2,0)</f>
        <v>DA+0</v>
      </c>
      <c r="D33" s="2"/>
      <c r="E33" s="38"/>
      <c r="F33" s="38"/>
      <c r="G33" s="38" t="s">
        <v>2131</v>
      </c>
      <c r="H33" s="454" t="s">
        <v>424</v>
      </c>
      <c r="I33" s="492" t="s">
        <v>792</v>
      </c>
      <c r="J33" s="2" t="s">
        <v>791</v>
      </c>
      <c r="K33" s="2" t="s">
        <v>2251</v>
      </c>
      <c r="L33" s="2" t="s">
        <v>2149</v>
      </c>
      <c r="M33" s="2" t="s">
        <v>775</v>
      </c>
      <c r="N33" s="272"/>
    </row>
    <row r="34" spans="1:14" x14ac:dyDescent="0.35">
      <c r="A34" s="2">
        <v>32</v>
      </c>
      <c r="B34" s="40" t="s">
        <v>53</v>
      </c>
      <c r="C34" s="38" t="str">
        <f>VLOOKUP(B34,'CST Gantry To AP 68 Common Poin'!C:D,2,0)</f>
        <v>DA+3</v>
      </c>
      <c r="D34" s="2"/>
      <c r="E34" s="38"/>
      <c r="F34" s="38"/>
      <c r="G34" s="38" t="s">
        <v>2131</v>
      </c>
      <c r="H34" s="454" t="s">
        <v>424</v>
      </c>
      <c r="I34" s="39" t="s">
        <v>806</v>
      </c>
      <c r="J34" s="2" t="s">
        <v>815</v>
      </c>
      <c r="K34" s="2" t="s">
        <v>2149</v>
      </c>
      <c r="L34" s="2" t="s">
        <v>2149</v>
      </c>
      <c r="M34" s="2" t="s">
        <v>775</v>
      </c>
      <c r="N34" s="272"/>
    </row>
    <row r="35" spans="1:14" x14ac:dyDescent="0.35">
      <c r="A35" s="2">
        <v>33</v>
      </c>
      <c r="B35" s="38" t="s">
        <v>67</v>
      </c>
      <c r="C35" s="38" t="str">
        <f>VLOOKUP(B35,'CST Gantry To AP 68 Common Poin'!C:D,2,0)</f>
        <v>DA(-)3</v>
      </c>
      <c r="D35" s="2"/>
      <c r="E35" s="38"/>
      <c r="F35" s="38"/>
      <c r="G35" s="38" t="s">
        <v>2131</v>
      </c>
      <c r="H35" s="454" t="s">
        <v>424</v>
      </c>
      <c r="I35" s="39" t="s">
        <v>816</v>
      </c>
      <c r="J35" s="2" t="s">
        <v>817</v>
      </c>
      <c r="K35" s="2" t="s">
        <v>2149</v>
      </c>
      <c r="L35" s="2" t="s">
        <v>2149</v>
      </c>
      <c r="M35" s="2" t="s">
        <v>775</v>
      </c>
      <c r="N35" s="272"/>
    </row>
    <row r="36" spans="1:14" x14ac:dyDescent="0.35">
      <c r="A36" s="2">
        <v>34</v>
      </c>
      <c r="B36" s="40" t="s">
        <v>94</v>
      </c>
      <c r="C36" s="38" t="str">
        <f>VLOOKUP(B36,'CST Gantry To AP 68 Common Poin'!C:D,2,0)</f>
        <v>DA+6</v>
      </c>
      <c r="D36" s="2"/>
      <c r="E36" s="38"/>
      <c r="F36" s="38"/>
      <c r="G36" s="38" t="s">
        <v>2131</v>
      </c>
      <c r="H36" s="454" t="s">
        <v>424</v>
      </c>
      <c r="I36" s="39" t="s">
        <v>820</v>
      </c>
      <c r="J36" s="2" t="s">
        <v>884</v>
      </c>
      <c r="K36" s="2" t="s">
        <v>2149</v>
      </c>
      <c r="L36" s="2" t="s">
        <v>2149</v>
      </c>
      <c r="M36" s="2" t="s">
        <v>818</v>
      </c>
      <c r="N36" s="272"/>
    </row>
    <row r="37" spans="1:14" x14ac:dyDescent="0.35">
      <c r="A37" s="2">
        <v>35</v>
      </c>
      <c r="B37" s="38" t="s">
        <v>102</v>
      </c>
      <c r="C37" s="38" t="str">
        <f>VLOOKUP(B37,'CST Gantry To AP 68 Common Poin'!C:D,2,0)</f>
        <v>DA+0</v>
      </c>
      <c r="D37" s="2"/>
      <c r="E37" s="38"/>
      <c r="F37" s="38"/>
      <c r="G37" s="38" t="s">
        <v>2131</v>
      </c>
      <c r="H37" s="454" t="s">
        <v>424</v>
      </c>
      <c r="I37" s="39" t="s">
        <v>820</v>
      </c>
      <c r="J37" s="2" t="s">
        <v>808</v>
      </c>
      <c r="K37" s="2" t="s">
        <v>2149</v>
      </c>
      <c r="L37" s="2" t="s">
        <v>2149</v>
      </c>
      <c r="M37" s="2" t="s">
        <v>819</v>
      </c>
      <c r="N37" s="272"/>
    </row>
    <row r="38" spans="1:14" x14ac:dyDescent="0.35">
      <c r="A38" s="2">
        <v>36</v>
      </c>
      <c r="B38" s="40" t="s">
        <v>127</v>
      </c>
      <c r="C38" s="38" t="str">
        <f>VLOOKUP(B38,'CST Gantry To AP 68 Common Poin'!C:D,2,0)</f>
        <v>DA+3</v>
      </c>
      <c r="D38" s="2"/>
      <c r="E38" s="38"/>
      <c r="F38" s="38"/>
      <c r="G38" s="38" t="s">
        <v>2131</v>
      </c>
      <c r="H38" s="454" t="s">
        <v>424</v>
      </c>
      <c r="I38" s="39" t="s">
        <v>888</v>
      </c>
      <c r="J38" s="2" t="s">
        <v>902</v>
      </c>
      <c r="K38" s="2" t="s">
        <v>2149</v>
      </c>
      <c r="L38" s="2" t="s">
        <v>2146</v>
      </c>
      <c r="M38" s="2" t="s">
        <v>885</v>
      </c>
      <c r="N38" s="272">
        <v>44</v>
      </c>
    </row>
    <row r="39" spans="1:14" x14ac:dyDescent="0.35">
      <c r="A39" s="2">
        <v>37</v>
      </c>
      <c r="B39" s="38" t="s">
        <v>73</v>
      </c>
      <c r="C39" s="38" t="str">
        <f>VLOOKUP(B39,'CST Gantry To AP 68 Common Poin'!C:D,2,0)</f>
        <v>DA(-)3</v>
      </c>
      <c r="D39" s="2"/>
      <c r="E39" s="38"/>
      <c r="F39" s="38"/>
      <c r="G39" s="38" t="s">
        <v>2131</v>
      </c>
      <c r="H39" s="454" t="s">
        <v>424</v>
      </c>
      <c r="I39" s="39" t="s">
        <v>817</v>
      </c>
      <c r="J39" s="2" t="s">
        <v>827</v>
      </c>
      <c r="K39" s="2" t="s">
        <v>2149</v>
      </c>
      <c r="L39" s="2" t="s">
        <v>2149</v>
      </c>
      <c r="M39" s="2" t="s">
        <v>775</v>
      </c>
      <c r="N39" s="272"/>
    </row>
    <row r="40" spans="1:14" x14ac:dyDescent="0.35">
      <c r="A40" s="2">
        <v>38</v>
      </c>
      <c r="B40" s="38" t="s">
        <v>78</v>
      </c>
      <c r="C40" s="38" t="str">
        <f>VLOOKUP(B40,'CST Gantry To AP 68 Common Poin'!C:D,2,0)</f>
        <v>DB2+0</v>
      </c>
      <c r="D40" s="2"/>
      <c r="E40" s="38"/>
      <c r="F40" s="38"/>
      <c r="G40" s="38" t="s">
        <v>2131</v>
      </c>
      <c r="H40" s="454" t="s">
        <v>424</v>
      </c>
      <c r="I40" s="39" t="s">
        <v>827</v>
      </c>
      <c r="J40" s="2" t="s">
        <v>888</v>
      </c>
      <c r="K40" s="2" t="s">
        <v>2149</v>
      </c>
      <c r="L40" s="2" t="s">
        <v>2149</v>
      </c>
      <c r="M40" s="2" t="s">
        <v>775</v>
      </c>
      <c r="N40" s="272"/>
    </row>
    <row r="41" spans="1:14" x14ac:dyDescent="0.35">
      <c r="A41" s="2">
        <v>39</v>
      </c>
      <c r="B41" s="38" t="s">
        <v>29</v>
      </c>
      <c r="C41" s="38" t="str">
        <f>VLOOKUP(B41,'CST Gantry To AP 68 Common Poin'!C:D,2,0)</f>
        <v>DA(-)3</v>
      </c>
      <c r="D41" s="2"/>
      <c r="E41" s="38"/>
      <c r="F41" s="38"/>
      <c r="G41" s="38" t="s">
        <v>2131</v>
      </c>
      <c r="H41" s="454" t="s">
        <v>424</v>
      </c>
      <c r="I41" s="39" t="s">
        <v>881</v>
      </c>
      <c r="J41" s="2" t="s">
        <v>884</v>
      </c>
      <c r="K41" s="2" t="s">
        <v>2149</v>
      </c>
      <c r="L41" s="2" t="s">
        <v>2149</v>
      </c>
      <c r="M41" s="2" t="s">
        <v>2278</v>
      </c>
      <c r="N41" s="272"/>
    </row>
    <row r="42" spans="1:14" x14ac:dyDescent="0.35">
      <c r="A42" s="2">
        <v>40</v>
      </c>
      <c r="B42" s="38" t="s">
        <v>32</v>
      </c>
      <c r="C42" s="38" t="str">
        <f>VLOOKUP(B42,'CST Gantry To AP 68 Common Poin'!C:D,2,0)</f>
        <v>DA+3</v>
      </c>
      <c r="D42" s="2"/>
      <c r="E42" s="38"/>
      <c r="F42" s="38"/>
      <c r="G42" s="38" t="s">
        <v>2131</v>
      </c>
      <c r="H42" s="454" t="s">
        <v>424</v>
      </c>
      <c r="I42" s="39" t="s">
        <v>886</v>
      </c>
      <c r="J42" s="2" t="s">
        <v>892</v>
      </c>
      <c r="K42" s="2" t="s">
        <v>2149</v>
      </c>
      <c r="L42" s="2" t="s">
        <v>2149</v>
      </c>
      <c r="M42" s="2" t="s">
        <v>2278</v>
      </c>
      <c r="N42" s="272"/>
    </row>
    <row r="43" spans="1:14" x14ac:dyDescent="0.35">
      <c r="A43" s="2">
        <v>41</v>
      </c>
      <c r="B43" s="38" t="s">
        <v>99</v>
      </c>
      <c r="C43" s="38" t="str">
        <f>VLOOKUP(B43,'CST Gantry To AP 68 Common Poin'!C:D,2,0)</f>
        <v>DA+3</v>
      </c>
      <c r="D43" s="2"/>
      <c r="E43" s="38"/>
      <c r="F43" s="38"/>
      <c r="G43" s="38" t="s">
        <v>2131</v>
      </c>
      <c r="H43" s="454" t="s">
        <v>424</v>
      </c>
      <c r="I43" s="39" t="s">
        <v>886</v>
      </c>
      <c r="J43" s="2" t="s">
        <v>895</v>
      </c>
      <c r="K43" s="2" t="s">
        <v>2149</v>
      </c>
      <c r="L43" s="2" t="s">
        <v>2146</v>
      </c>
      <c r="M43" s="2" t="s">
        <v>819</v>
      </c>
      <c r="N43" s="272"/>
    </row>
    <row r="44" spans="1:14" x14ac:dyDescent="0.35">
      <c r="A44" s="2">
        <v>42</v>
      </c>
      <c r="B44" s="38" t="s">
        <v>93</v>
      </c>
      <c r="C44" s="38" t="str">
        <f>VLOOKUP(B44,'CST Gantry To AP 68 Common Poin'!C:D,2,0)</f>
        <v>DA+0</v>
      </c>
      <c r="D44" s="2"/>
      <c r="E44" s="38"/>
      <c r="F44" s="38"/>
      <c r="G44" s="38" t="s">
        <v>2131</v>
      </c>
      <c r="H44" s="454" t="s">
        <v>424</v>
      </c>
      <c r="I44" s="39" t="s">
        <v>888</v>
      </c>
      <c r="J44" s="2" t="s">
        <v>898</v>
      </c>
      <c r="K44" s="2" t="s">
        <v>2149</v>
      </c>
      <c r="L44" s="2" t="s">
        <v>2146</v>
      </c>
      <c r="M44" s="2" t="s">
        <v>818</v>
      </c>
      <c r="N44" s="272"/>
    </row>
    <row r="45" spans="1:14" x14ac:dyDescent="0.35">
      <c r="A45" s="2">
        <v>43</v>
      </c>
      <c r="B45" s="38" t="s">
        <v>50</v>
      </c>
      <c r="C45" s="38" t="str">
        <f>VLOOKUP(B45,'CST Gantry To AP 68 Common Poin'!C:D,2,0)</f>
        <v>DA+0</v>
      </c>
      <c r="D45" s="2"/>
      <c r="E45" s="38"/>
      <c r="F45" s="38"/>
      <c r="G45" s="38" t="s">
        <v>2131</v>
      </c>
      <c r="H45" s="454" t="s">
        <v>424</v>
      </c>
      <c r="I45" s="39" t="s">
        <v>889</v>
      </c>
      <c r="J45" s="2" t="s">
        <v>894</v>
      </c>
      <c r="K45" s="2" t="s">
        <v>2149</v>
      </c>
      <c r="L45" s="2" t="s">
        <v>2146</v>
      </c>
      <c r="M45" s="2" t="s">
        <v>775</v>
      </c>
      <c r="N45" s="272"/>
    </row>
    <row r="46" spans="1:14" x14ac:dyDescent="0.35">
      <c r="A46" s="2">
        <v>44</v>
      </c>
      <c r="B46" s="38" t="s">
        <v>36</v>
      </c>
      <c r="C46" s="38" t="str">
        <f>VLOOKUP(B46,'CST Gantry To AP 68 Common Poin'!C:D,2,0)</f>
        <v>DA+0</v>
      </c>
      <c r="D46" s="2"/>
      <c r="E46" s="38"/>
      <c r="F46" s="38"/>
      <c r="G46" s="38" t="s">
        <v>2131</v>
      </c>
      <c r="H46" s="454" t="s">
        <v>424</v>
      </c>
      <c r="I46" s="39" t="s">
        <v>891</v>
      </c>
      <c r="J46" s="2" t="s">
        <v>898</v>
      </c>
      <c r="K46" s="2" t="s">
        <v>2146</v>
      </c>
      <c r="L46" s="2" t="s">
        <v>2146</v>
      </c>
      <c r="M46" s="2" t="s">
        <v>2278</v>
      </c>
      <c r="N46" s="272"/>
    </row>
    <row r="47" spans="1:14" x14ac:dyDescent="0.35">
      <c r="A47" s="2">
        <v>45</v>
      </c>
      <c r="B47" s="40" t="s">
        <v>91</v>
      </c>
      <c r="C47" s="38" t="str">
        <f>VLOOKUP(B47,'CST Gantry To AP 68 Common Poin'!C:D,2,0)</f>
        <v>DA+0</v>
      </c>
      <c r="D47" s="2"/>
      <c r="E47" s="38"/>
      <c r="F47" s="38"/>
      <c r="G47" s="38" t="s">
        <v>2131</v>
      </c>
      <c r="H47" s="454" t="s">
        <v>424</v>
      </c>
      <c r="I47" s="39" t="s">
        <v>903</v>
      </c>
      <c r="J47" s="2" t="s">
        <v>911</v>
      </c>
      <c r="K47" s="2" t="s">
        <v>2146</v>
      </c>
      <c r="L47" s="2" t="s">
        <v>2146</v>
      </c>
      <c r="M47" s="2" t="s">
        <v>818</v>
      </c>
      <c r="N47" s="272"/>
    </row>
    <row r="48" spans="1:14" x14ac:dyDescent="0.35">
      <c r="A48" s="2">
        <v>46</v>
      </c>
      <c r="B48" s="38" t="s">
        <v>98</v>
      </c>
      <c r="C48" s="38" t="str">
        <f>VLOOKUP(B48,'CST Gantry To AP 68 Common Poin'!C:D,2,0)</f>
        <v>DA+0</v>
      </c>
      <c r="D48" s="2"/>
      <c r="E48" s="38"/>
      <c r="F48" s="38"/>
      <c r="G48" s="38" t="s">
        <v>2131</v>
      </c>
      <c r="H48" s="454" t="s">
        <v>424</v>
      </c>
      <c r="I48" s="39" t="s">
        <v>895</v>
      </c>
      <c r="J48" s="2" t="s">
        <v>909</v>
      </c>
      <c r="K48" s="2" t="s">
        <v>2146</v>
      </c>
      <c r="L48" s="2" t="s">
        <v>2146</v>
      </c>
      <c r="M48" s="2" t="s">
        <v>819</v>
      </c>
      <c r="N48" s="272"/>
    </row>
    <row r="49" spans="1:14" x14ac:dyDescent="0.35">
      <c r="A49" s="2">
        <v>47</v>
      </c>
      <c r="B49" s="38" t="s">
        <v>38</v>
      </c>
      <c r="C49" s="38" t="str">
        <f>VLOOKUP(B49,'CST Gantry To AP 68 Common Poin'!C:D,2,0)</f>
        <v>DA(-)3</v>
      </c>
      <c r="D49" s="2"/>
      <c r="E49" s="38"/>
      <c r="F49" s="38"/>
      <c r="G49" s="38" t="s">
        <v>2131</v>
      </c>
      <c r="H49" s="454" t="s">
        <v>424</v>
      </c>
      <c r="I49" s="39" t="s">
        <v>900</v>
      </c>
      <c r="J49" s="2" t="s">
        <v>908</v>
      </c>
      <c r="K49" s="2" t="s">
        <v>2146</v>
      </c>
      <c r="L49" s="2" t="s">
        <v>2146</v>
      </c>
      <c r="M49" s="2" t="s">
        <v>2278</v>
      </c>
      <c r="N49" s="272"/>
    </row>
    <row r="50" spans="1:14" x14ac:dyDescent="0.35">
      <c r="A50" s="2">
        <v>48</v>
      </c>
      <c r="B50" s="38" t="s">
        <v>49</v>
      </c>
      <c r="C50" s="38" t="str">
        <f>VLOOKUP(B50,'CST Gantry To AP 68 Common Poin'!C:D,2,0)</f>
        <v>DB1+0</v>
      </c>
      <c r="D50" s="2"/>
      <c r="E50" s="38"/>
      <c r="F50" s="38"/>
      <c r="G50" s="38" t="s">
        <v>2131</v>
      </c>
      <c r="H50" s="454" t="s">
        <v>424</v>
      </c>
      <c r="I50" s="39" t="s">
        <v>898</v>
      </c>
      <c r="J50" s="2" t="s">
        <v>913</v>
      </c>
      <c r="K50" s="2" t="s">
        <v>2146</v>
      </c>
      <c r="L50" s="2" t="s">
        <v>2146</v>
      </c>
      <c r="M50" s="2" t="s">
        <v>775</v>
      </c>
      <c r="N50" s="272"/>
    </row>
    <row r="51" spans="1:14" x14ac:dyDescent="0.35">
      <c r="A51" s="2">
        <v>49</v>
      </c>
      <c r="B51" s="40" t="s">
        <v>97</v>
      </c>
      <c r="C51" s="38" t="str">
        <f>VLOOKUP(B51,'CST Gantry To AP 68 Common Poin'!C:D,2,0)</f>
        <v>DA+0</v>
      </c>
      <c r="D51" s="2"/>
      <c r="E51" s="38"/>
      <c r="F51" s="38"/>
      <c r="G51" s="38" t="s">
        <v>2131</v>
      </c>
      <c r="H51" s="454" t="s">
        <v>424</v>
      </c>
      <c r="I51" s="39" t="s">
        <v>908</v>
      </c>
      <c r="J51" s="2" t="s">
        <v>916</v>
      </c>
      <c r="K51" s="2" t="s">
        <v>2146</v>
      </c>
      <c r="L51" s="2" t="s">
        <v>2146</v>
      </c>
      <c r="M51" s="2" t="s">
        <v>819</v>
      </c>
      <c r="N51" s="272"/>
    </row>
    <row r="52" spans="1:14" x14ac:dyDescent="0.35">
      <c r="A52" s="2">
        <v>50</v>
      </c>
      <c r="B52" s="2" t="s">
        <v>328</v>
      </c>
      <c r="C52" s="38" t="str">
        <f>VLOOKUP(B52,'CST Gantry To AP 68 Common Poin'!C:D,2,0)</f>
        <v>DA(-)3</v>
      </c>
      <c r="D52" s="2"/>
      <c r="E52" s="38"/>
      <c r="F52" s="38"/>
      <c r="G52" s="38" t="s">
        <v>2133</v>
      </c>
      <c r="H52" s="454" t="s">
        <v>424</v>
      </c>
      <c r="I52" s="39" t="s">
        <v>908</v>
      </c>
      <c r="J52" s="2" t="s">
        <v>915</v>
      </c>
      <c r="K52" s="2" t="s">
        <v>2146</v>
      </c>
      <c r="L52" s="2" t="s">
        <v>2146</v>
      </c>
      <c r="M52" s="2" t="s">
        <v>905</v>
      </c>
      <c r="N52" s="272"/>
    </row>
    <row r="53" spans="1:14" x14ac:dyDescent="0.35">
      <c r="A53" s="2">
        <v>51</v>
      </c>
      <c r="B53" s="38" t="s">
        <v>47</v>
      </c>
      <c r="C53" s="38" t="str">
        <f>VLOOKUP(B53,'CST Gantry To AP 68 Common Poin'!C:D,2,0)</f>
        <v>DA+0</v>
      </c>
      <c r="D53" s="2"/>
      <c r="E53" s="38"/>
      <c r="F53" s="38"/>
      <c r="G53" s="38" t="s">
        <v>2131</v>
      </c>
      <c r="H53" s="454" t="s">
        <v>424</v>
      </c>
      <c r="I53" s="39" t="s">
        <v>909</v>
      </c>
      <c r="J53" s="2" t="s">
        <v>913</v>
      </c>
      <c r="K53" s="2" t="s">
        <v>2146</v>
      </c>
      <c r="L53" s="2" t="s">
        <v>2146</v>
      </c>
      <c r="M53" s="2" t="s">
        <v>2278</v>
      </c>
      <c r="N53" s="272"/>
    </row>
    <row r="54" spans="1:14" x14ac:dyDescent="0.35">
      <c r="A54" s="2">
        <v>52</v>
      </c>
      <c r="B54" s="38" t="s">
        <v>116</v>
      </c>
      <c r="C54" s="38" t="str">
        <f>VLOOKUP(B54,'CST Gantry To AP 68 Common Poin'!C:D,2,0)</f>
        <v>DA+6</v>
      </c>
      <c r="D54" s="2"/>
      <c r="E54" s="38"/>
      <c r="F54" s="38"/>
      <c r="G54" s="38" t="s">
        <v>2131</v>
      </c>
      <c r="H54" s="454" t="s">
        <v>424</v>
      </c>
      <c r="I54" s="39" t="s">
        <v>912</v>
      </c>
      <c r="J54" s="2" t="s">
        <v>934</v>
      </c>
      <c r="K54" s="2" t="s">
        <v>2146</v>
      </c>
      <c r="L54" s="2" t="s">
        <v>2145</v>
      </c>
      <c r="M54" s="2" t="s">
        <v>885</v>
      </c>
      <c r="N54" s="272"/>
    </row>
    <row r="55" spans="1:14" x14ac:dyDescent="0.35">
      <c r="A55" s="2">
        <v>53</v>
      </c>
      <c r="B55" s="38" t="s">
        <v>175</v>
      </c>
      <c r="C55" s="38" t="str">
        <f>VLOOKUP(B55,'CST Gantry To AP 68 Common Poin'!C:D,2,0)</f>
        <v>DA+1.5</v>
      </c>
      <c r="D55" s="2"/>
      <c r="E55" s="38"/>
      <c r="F55" s="38"/>
      <c r="G55" s="38" t="s">
        <v>2131</v>
      </c>
      <c r="H55" s="454" t="s">
        <v>424</v>
      </c>
      <c r="I55" s="39" t="s">
        <v>913</v>
      </c>
      <c r="J55" s="2" t="s">
        <v>921</v>
      </c>
      <c r="K55" s="2" t="s">
        <v>2146</v>
      </c>
      <c r="L55" s="2" t="s">
        <v>2146</v>
      </c>
      <c r="M55" s="2" t="s">
        <v>818</v>
      </c>
      <c r="N55" s="272"/>
    </row>
    <row r="56" spans="1:14" x14ac:dyDescent="0.35">
      <c r="A56" s="2">
        <v>54</v>
      </c>
      <c r="B56" s="38" t="s">
        <v>46</v>
      </c>
      <c r="C56" s="38" t="str">
        <f>VLOOKUP(B56,'CST Gantry To AP 68 Common Poin'!C:D,2,0)</f>
        <v>DA+0</v>
      </c>
      <c r="D56" s="2"/>
      <c r="E56" s="38"/>
      <c r="F56" s="38"/>
      <c r="G56" s="38" t="s">
        <v>2131</v>
      </c>
      <c r="H56" s="454" t="s">
        <v>424</v>
      </c>
      <c r="I56" s="39" t="s">
        <v>915</v>
      </c>
      <c r="J56" s="2" t="s">
        <v>919</v>
      </c>
      <c r="K56" s="2" t="s">
        <v>2146</v>
      </c>
      <c r="L56" s="2" t="s">
        <v>2146</v>
      </c>
      <c r="M56" s="2" t="s">
        <v>2278</v>
      </c>
      <c r="N56" s="272"/>
    </row>
    <row r="57" spans="1:14" x14ac:dyDescent="0.35">
      <c r="A57" s="2">
        <v>55</v>
      </c>
      <c r="B57" s="38" t="s">
        <v>51</v>
      </c>
      <c r="C57" s="38" t="str">
        <f>VLOOKUP(B57,'CST Gantry To AP 68 Common Poin'!C:D,2,0)</f>
        <v>DA+3</v>
      </c>
      <c r="D57" s="2"/>
      <c r="E57" s="38"/>
      <c r="F57" s="38"/>
      <c r="G57" s="38" t="s">
        <v>2131</v>
      </c>
      <c r="H57" s="454" t="s">
        <v>424</v>
      </c>
      <c r="I57" s="39" t="s">
        <v>917</v>
      </c>
      <c r="J57" s="2" t="s">
        <v>920</v>
      </c>
      <c r="K57" s="2" t="s">
        <v>2146</v>
      </c>
      <c r="L57" s="2" t="s">
        <v>2146</v>
      </c>
      <c r="M57" s="2" t="s">
        <v>775</v>
      </c>
      <c r="N57" s="272"/>
    </row>
    <row r="58" spans="1:14" x14ac:dyDescent="0.35">
      <c r="A58" s="2">
        <v>56</v>
      </c>
      <c r="B58" s="38" t="s">
        <v>333</v>
      </c>
      <c r="C58" s="38" t="str">
        <f>VLOOKUP(B58,'CST Gantry To AP 68 Common Poin'!C:D,2,0)</f>
        <v>DB1+0</v>
      </c>
      <c r="D58" s="2"/>
      <c r="E58" s="38"/>
      <c r="F58" s="38"/>
      <c r="G58" s="38" t="s">
        <v>2133</v>
      </c>
      <c r="H58" s="454" t="s">
        <v>424</v>
      </c>
      <c r="I58" s="39" t="s">
        <v>916</v>
      </c>
      <c r="J58" s="2" t="s">
        <v>926</v>
      </c>
      <c r="K58" s="2" t="s">
        <v>2146</v>
      </c>
      <c r="L58" s="2" t="s">
        <v>2146</v>
      </c>
      <c r="M58" s="2" t="s">
        <v>905</v>
      </c>
      <c r="N58" s="272"/>
    </row>
    <row r="59" spans="1:14" x14ac:dyDescent="0.35">
      <c r="A59" s="2">
        <v>57</v>
      </c>
      <c r="B59" s="38" t="s">
        <v>100</v>
      </c>
      <c r="C59" s="38" t="str">
        <f>VLOOKUP(B59,'CST Gantry To AP 68 Common Poin'!C:D,2,0)</f>
        <v>DB1+0</v>
      </c>
      <c r="D59" s="2"/>
      <c r="E59" s="38"/>
      <c r="F59" s="38"/>
      <c r="G59" s="38" t="s">
        <v>2131</v>
      </c>
      <c r="H59" s="454" t="s">
        <v>424</v>
      </c>
      <c r="I59" s="39" t="s">
        <v>919</v>
      </c>
      <c r="J59" s="2" t="s">
        <v>927</v>
      </c>
      <c r="K59" s="2" t="s">
        <v>2146</v>
      </c>
      <c r="L59" s="2" t="s">
        <v>2146</v>
      </c>
      <c r="M59" s="2" t="s">
        <v>819</v>
      </c>
      <c r="N59" s="272"/>
    </row>
    <row r="60" spans="1:14" x14ac:dyDescent="0.35">
      <c r="A60" s="2">
        <v>58</v>
      </c>
      <c r="B60" s="38" t="s">
        <v>60</v>
      </c>
      <c r="C60" s="38" t="str">
        <f>VLOOKUP(B60,'CST Gantry To AP 68 Common Poin'!C:D,2,0)</f>
        <v>DB2+0</v>
      </c>
      <c r="D60" s="2"/>
      <c r="E60" s="38"/>
      <c r="F60" s="38"/>
      <c r="G60" s="38" t="s">
        <v>2131</v>
      </c>
      <c r="H60" s="454" t="s">
        <v>424</v>
      </c>
      <c r="I60" s="39" t="s">
        <v>920</v>
      </c>
      <c r="J60" s="2" t="s">
        <v>925</v>
      </c>
      <c r="K60" s="2" t="s">
        <v>2146</v>
      </c>
      <c r="L60" s="2" t="s">
        <v>2146</v>
      </c>
      <c r="M60" s="2" t="s">
        <v>2278</v>
      </c>
      <c r="N60" s="272"/>
    </row>
    <row r="61" spans="1:14" x14ac:dyDescent="0.35">
      <c r="A61" s="2">
        <v>59</v>
      </c>
      <c r="B61" s="38" t="s">
        <v>52</v>
      </c>
      <c r="C61" s="38" t="str">
        <f>VLOOKUP(B61,'CST Gantry To AP 68 Common Poin'!C:D,2,0)</f>
        <v>DA+3</v>
      </c>
      <c r="D61" s="2"/>
      <c r="E61" s="38"/>
      <c r="F61" s="38"/>
      <c r="G61" s="38" t="s">
        <v>2131</v>
      </c>
      <c r="H61" s="454" t="s">
        <v>424</v>
      </c>
      <c r="I61" s="39" t="s">
        <v>921</v>
      </c>
      <c r="J61" s="2" t="s">
        <v>926</v>
      </c>
      <c r="K61" s="2" t="s">
        <v>2146</v>
      </c>
      <c r="L61" s="2" t="s">
        <v>2146</v>
      </c>
      <c r="M61" s="2" t="s">
        <v>775</v>
      </c>
      <c r="N61" s="272"/>
    </row>
    <row r="62" spans="1:14" x14ac:dyDescent="0.35">
      <c r="A62" s="2">
        <v>60</v>
      </c>
      <c r="B62" s="38" t="s">
        <v>176</v>
      </c>
      <c r="C62" s="38" t="str">
        <f>VLOOKUP(B62,'CST Gantry To AP 68 Common Poin'!C:D,2,0)</f>
        <v>DA+0</v>
      </c>
      <c r="D62" s="2"/>
      <c r="E62" s="38"/>
      <c r="F62" s="38"/>
      <c r="G62" s="38" t="s">
        <v>2131</v>
      </c>
      <c r="H62" s="454" t="s">
        <v>424</v>
      </c>
      <c r="I62" s="39" t="s">
        <v>922</v>
      </c>
      <c r="J62" s="2" t="s">
        <v>924</v>
      </c>
      <c r="K62" s="2" t="s">
        <v>2146</v>
      </c>
      <c r="L62" s="2" t="s">
        <v>2146</v>
      </c>
      <c r="M62" s="2" t="s">
        <v>818</v>
      </c>
      <c r="N62" s="272"/>
    </row>
    <row r="63" spans="1:14" x14ac:dyDescent="0.35">
      <c r="A63" s="2">
        <v>61</v>
      </c>
      <c r="B63" s="40" t="s">
        <v>64</v>
      </c>
      <c r="C63" s="38" t="str">
        <f>VLOOKUP(B63,'CST Gantry To AP 68 Common Poin'!C:D,2,0)</f>
        <v>DA+6</v>
      </c>
      <c r="D63" s="2"/>
      <c r="E63" s="38"/>
      <c r="F63" s="38"/>
      <c r="G63" s="38" t="s">
        <v>2131</v>
      </c>
      <c r="H63" s="454" t="s">
        <v>424</v>
      </c>
      <c r="I63" s="39" t="s">
        <v>924</v>
      </c>
      <c r="J63" s="2" t="s">
        <v>932</v>
      </c>
      <c r="K63" s="2" t="s">
        <v>2146</v>
      </c>
      <c r="L63" s="2" t="s">
        <v>2145</v>
      </c>
      <c r="M63" s="2" t="s">
        <v>2278</v>
      </c>
      <c r="N63" s="272"/>
    </row>
    <row r="64" spans="1:14" x14ac:dyDescent="0.35">
      <c r="A64" s="2">
        <v>62</v>
      </c>
      <c r="B64" s="38" t="s">
        <v>43</v>
      </c>
      <c r="C64" s="38" t="str">
        <f>VLOOKUP(B64,'CST Gantry To AP 68 Common Poin'!C:D,2,0)</f>
        <v>DA+1.5</v>
      </c>
      <c r="D64" s="2"/>
      <c r="E64" s="38"/>
      <c r="F64" s="38"/>
      <c r="G64" s="38" t="s">
        <v>2131</v>
      </c>
      <c r="H64" s="454" t="s">
        <v>424</v>
      </c>
      <c r="I64" s="39" t="s">
        <v>924</v>
      </c>
      <c r="J64" s="2" t="s">
        <v>931</v>
      </c>
      <c r="K64" s="2" t="s">
        <v>2146</v>
      </c>
      <c r="L64" s="2" t="s">
        <v>2145</v>
      </c>
      <c r="M64" s="2" t="s">
        <v>775</v>
      </c>
      <c r="N64" s="272"/>
    </row>
    <row r="65" spans="1:14" x14ac:dyDescent="0.35">
      <c r="A65" s="2">
        <v>63</v>
      </c>
      <c r="B65" s="40" t="s">
        <v>110</v>
      </c>
      <c r="C65" s="38" t="str">
        <f>VLOOKUP(B65,'CST Gantry To AP 68 Common Poin'!C:D,2,0)</f>
        <v>DA+6</v>
      </c>
      <c r="D65" s="2"/>
      <c r="E65" s="38"/>
      <c r="F65" s="38"/>
      <c r="G65" s="38" t="s">
        <v>2131</v>
      </c>
      <c r="H65" s="454" t="s">
        <v>424</v>
      </c>
      <c r="I65" s="39" t="s">
        <v>929</v>
      </c>
      <c r="J65" s="2" t="s">
        <v>939</v>
      </c>
      <c r="K65" s="2" t="s">
        <v>2145</v>
      </c>
      <c r="L65" s="2" t="s">
        <v>2145</v>
      </c>
      <c r="M65" s="2" t="s">
        <v>819</v>
      </c>
      <c r="N65" s="272"/>
    </row>
    <row r="66" spans="1:14" x14ac:dyDescent="0.35">
      <c r="A66" s="2">
        <v>64</v>
      </c>
      <c r="B66" s="38" t="s">
        <v>323</v>
      </c>
      <c r="C66" s="38" t="str">
        <f>VLOOKUP(B66,'CST Gantry To AP 68 Common Poin'!C:D,2,0)</f>
        <v>DA+0</v>
      </c>
      <c r="D66" s="2"/>
      <c r="E66" s="38"/>
      <c r="F66" s="38"/>
      <c r="G66" s="38" t="s">
        <v>2133</v>
      </c>
      <c r="H66" s="454" t="s">
        <v>424</v>
      </c>
      <c r="I66" s="39" t="s">
        <v>927</v>
      </c>
      <c r="J66" s="2" t="s">
        <v>937</v>
      </c>
      <c r="K66" s="2" t="s">
        <v>2146</v>
      </c>
      <c r="L66" s="2" t="s">
        <v>2145</v>
      </c>
      <c r="M66" s="2" t="s">
        <v>905</v>
      </c>
      <c r="N66" s="272"/>
    </row>
    <row r="67" spans="1:14" x14ac:dyDescent="0.35">
      <c r="A67" s="2">
        <v>65</v>
      </c>
      <c r="B67" s="38" t="s">
        <v>178</v>
      </c>
      <c r="C67" s="38" t="str">
        <f>VLOOKUP(B67,'CST Gantry To AP 68 Common Poin'!C:D,2,0)</f>
        <v>DA+0</v>
      </c>
      <c r="D67" s="2"/>
      <c r="E67" s="38"/>
      <c r="F67" s="38"/>
      <c r="G67" s="38" t="s">
        <v>2131</v>
      </c>
      <c r="H67" s="454" t="s">
        <v>424</v>
      </c>
      <c r="I67" s="39" t="s">
        <v>927</v>
      </c>
      <c r="J67" s="2" t="s">
        <v>934</v>
      </c>
      <c r="K67" s="2" t="s">
        <v>2146</v>
      </c>
      <c r="L67" s="2" t="s">
        <v>2145</v>
      </c>
      <c r="M67" s="2" t="s">
        <v>818</v>
      </c>
      <c r="N67" s="272"/>
    </row>
    <row r="68" spans="1:14" x14ac:dyDescent="0.35">
      <c r="A68" s="2">
        <v>66</v>
      </c>
      <c r="B68" s="38" t="s">
        <v>48</v>
      </c>
      <c r="C68" s="38" t="str">
        <f>VLOOKUP(B68,'CST Gantry To AP 68 Common Poin'!C:D,2,0)</f>
        <v>DA+0</v>
      </c>
      <c r="D68" s="2"/>
      <c r="E68" s="38"/>
      <c r="F68" s="38"/>
      <c r="G68" s="38" t="s">
        <v>2131</v>
      </c>
      <c r="H68" s="454" t="s">
        <v>424</v>
      </c>
      <c r="I68" s="39" t="s">
        <v>932</v>
      </c>
      <c r="J68" s="2" t="s">
        <v>937</v>
      </c>
      <c r="K68" s="2" t="s">
        <v>2145</v>
      </c>
      <c r="L68" s="2" t="s">
        <v>2145</v>
      </c>
      <c r="M68" s="2" t="s">
        <v>775</v>
      </c>
      <c r="N68" s="272"/>
    </row>
    <row r="69" spans="1:14" x14ac:dyDescent="0.35">
      <c r="A69" s="2">
        <v>67</v>
      </c>
      <c r="B69" s="38" t="s">
        <v>68</v>
      </c>
      <c r="C69" s="38" t="str">
        <f>VLOOKUP(B69,'CST Gantry To AP 68 Common Poin'!C:D,2,0)</f>
        <v>DA+3</v>
      </c>
      <c r="D69" s="2"/>
      <c r="E69" s="38"/>
      <c r="F69" s="38"/>
      <c r="G69" s="38" t="s">
        <v>2131</v>
      </c>
      <c r="H69" s="454" t="s">
        <v>424</v>
      </c>
      <c r="I69" s="39" t="s">
        <v>935</v>
      </c>
      <c r="J69" s="2" t="s">
        <v>938</v>
      </c>
      <c r="K69" s="2" t="s">
        <v>2145</v>
      </c>
      <c r="L69" s="2" t="s">
        <v>2145</v>
      </c>
      <c r="M69" s="2" t="s">
        <v>2278</v>
      </c>
      <c r="N69" s="272"/>
    </row>
    <row r="70" spans="1:14" x14ac:dyDescent="0.35">
      <c r="A70" s="2">
        <v>68</v>
      </c>
      <c r="B70" s="38" t="s">
        <v>177</v>
      </c>
      <c r="C70" s="38" t="str">
        <f>VLOOKUP(B70,'CST Gantry To AP 68 Common Poin'!C:D,2,0)</f>
        <v>DA+1.5</v>
      </c>
      <c r="D70" s="2"/>
      <c r="E70" s="38"/>
      <c r="F70" s="38"/>
      <c r="G70" s="38" t="s">
        <v>2131</v>
      </c>
      <c r="H70" s="454" t="s">
        <v>424</v>
      </c>
      <c r="I70" s="39" t="s">
        <v>941</v>
      </c>
      <c r="J70" s="2" t="s">
        <v>942</v>
      </c>
      <c r="K70" s="2" t="s">
        <v>2145</v>
      </c>
      <c r="L70" s="2" t="s">
        <v>2145</v>
      </c>
      <c r="M70" s="2" t="s">
        <v>819</v>
      </c>
      <c r="N70" s="272"/>
    </row>
    <row r="71" spans="1:14" x14ac:dyDescent="0.35">
      <c r="A71" s="2">
        <v>69</v>
      </c>
      <c r="B71" s="38" t="s">
        <v>84</v>
      </c>
      <c r="C71" s="38" t="str">
        <f>VLOOKUP(B71,'CST Gantry To AP 68 Common Poin'!C:D,2,0)</f>
        <v>DC1+0</v>
      </c>
      <c r="D71" s="2"/>
      <c r="E71" s="38"/>
      <c r="F71" s="38"/>
      <c r="G71" s="38" t="s">
        <v>2131</v>
      </c>
      <c r="H71" s="454" t="s">
        <v>424</v>
      </c>
      <c r="I71" s="39" t="s">
        <v>940</v>
      </c>
      <c r="J71" s="2" t="s">
        <v>945</v>
      </c>
      <c r="K71" s="2" t="s">
        <v>2145</v>
      </c>
      <c r="L71" s="2" t="s">
        <v>2145</v>
      </c>
      <c r="M71" s="2" t="s">
        <v>775</v>
      </c>
      <c r="N71" s="272"/>
    </row>
    <row r="72" spans="1:14" x14ac:dyDescent="0.35">
      <c r="A72" s="2">
        <v>70</v>
      </c>
      <c r="B72" s="38" t="s">
        <v>346</v>
      </c>
      <c r="C72" s="38" t="str">
        <f>VLOOKUP(B72,'CST Gantry To AP 68 Common Poin'!C:D,2,0)</f>
        <v>DB2+6</v>
      </c>
      <c r="D72" s="2"/>
      <c r="E72" s="38"/>
      <c r="F72" s="38"/>
      <c r="G72" s="38" t="s">
        <v>2133</v>
      </c>
      <c r="H72" s="454" t="s">
        <v>424</v>
      </c>
      <c r="I72" s="39" t="s">
        <v>939</v>
      </c>
      <c r="J72" s="2" t="s">
        <v>949</v>
      </c>
      <c r="K72" s="2" t="s">
        <v>2145</v>
      </c>
      <c r="L72" s="2" t="s">
        <v>2145</v>
      </c>
      <c r="M72" s="2" t="s">
        <v>905</v>
      </c>
      <c r="N72" s="272"/>
    </row>
    <row r="73" spans="1:14" x14ac:dyDescent="0.35">
      <c r="A73" s="2">
        <v>71</v>
      </c>
      <c r="B73" s="38" t="s">
        <v>74</v>
      </c>
      <c r="C73" s="38" t="str">
        <f>VLOOKUP(B73,'CST Gantry To AP 68 Common Poin'!C:D,2,0)</f>
        <v>DA+0</v>
      </c>
      <c r="D73" s="2"/>
      <c r="E73" s="38"/>
      <c r="F73" s="38"/>
      <c r="G73" s="38" t="s">
        <v>2131</v>
      </c>
      <c r="H73" s="454" t="s">
        <v>424</v>
      </c>
      <c r="I73" s="39" t="s">
        <v>940</v>
      </c>
      <c r="J73" s="2" t="s">
        <v>943</v>
      </c>
      <c r="K73" s="2" t="s">
        <v>2145</v>
      </c>
      <c r="L73" s="2" t="s">
        <v>2145</v>
      </c>
      <c r="M73" s="2" t="s">
        <v>2278</v>
      </c>
      <c r="N73" s="272"/>
    </row>
    <row r="74" spans="1:14" x14ac:dyDescent="0.35">
      <c r="A74" s="2">
        <v>72</v>
      </c>
      <c r="B74" s="40" t="s">
        <v>106</v>
      </c>
      <c r="C74" s="38" t="str">
        <f>VLOOKUP(B74,'CST Gantry To AP 68 Common Poin'!C:D,2,0)</f>
        <v>DA(-)3</v>
      </c>
      <c r="D74" s="2"/>
      <c r="E74" s="38"/>
      <c r="F74" s="38"/>
      <c r="G74" s="38" t="s">
        <v>2131</v>
      </c>
      <c r="H74" s="454" t="s">
        <v>424</v>
      </c>
      <c r="I74" s="39" t="s">
        <v>943</v>
      </c>
      <c r="J74" s="2" t="s">
        <v>946</v>
      </c>
      <c r="K74" s="2" t="s">
        <v>2145</v>
      </c>
      <c r="L74" s="2" t="s">
        <v>2145</v>
      </c>
      <c r="M74" s="2" t="s">
        <v>819</v>
      </c>
      <c r="N74" s="272"/>
    </row>
    <row r="75" spans="1:14" x14ac:dyDescent="0.35">
      <c r="A75" s="2">
        <v>73</v>
      </c>
      <c r="B75" s="40" t="s">
        <v>75</v>
      </c>
      <c r="C75" s="38" t="str">
        <f>VLOOKUP(B75,'CST Gantry To AP 68 Common Poin'!C:D,2,0)</f>
        <v>DA+1.5</v>
      </c>
      <c r="D75" s="2"/>
      <c r="E75" s="38"/>
      <c r="F75" s="38"/>
      <c r="G75" s="38" t="s">
        <v>2131</v>
      </c>
      <c r="H75" s="454" t="s">
        <v>424</v>
      </c>
      <c r="I75" s="39" t="s">
        <v>944</v>
      </c>
      <c r="J75" s="2" t="s">
        <v>945</v>
      </c>
      <c r="K75" s="2" t="s">
        <v>2145</v>
      </c>
      <c r="L75" s="2" t="s">
        <v>2145</v>
      </c>
      <c r="M75" s="2" t="s">
        <v>2278</v>
      </c>
      <c r="N75" s="272"/>
    </row>
    <row r="76" spans="1:14" x14ac:dyDescent="0.35">
      <c r="A76" s="2">
        <v>74</v>
      </c>
      <c r="B76" s="40" t="s">
        <v>271</v>
      </c>
      <c r="C76" s="38" t="str">
        <f>VLOOKUP(B76,'CST Gantry To AP 68 Common Poin'!C:D,2,0)</f>
        <v>DA(-)1.5</v>
      </c>
      <c r="D76" s="2"/>
      <c r="E76" s="38"/>
      <c r="F76" s="38"/>
      <c r="G76" s="38" t="s">
        <v>2133</v>
      </c>
      <c r="H76" s="454" t="s">
        <v>424</v>
      </c>
      <c r="I76" s="39" t="s">
        <v>945</v>
      </c>
      <c r="J76" s="2" t="s">
        <v>950</v>
      </c>
      <c r="K76" s="2" t="s">
        <v>2145</v>
      </c>
      <c r="L76" s="2" t="s">
        <v>2145</v>
      </c>
      <c r="M76" s="2" t="s">
        <v>775</v>
      </c>
      <c r="N76" s="272"/>
    </row>
    <row r="77" spans="1:14" x14ac:dyDescent="0.35">
      <c r="A77" s="2">
        <v>75</v>
      </c>
      <c r="B77" s="40" t="s">
        <v>114</v>
      </c>
      <c r="C77" s="38" t="str">
        <f>VLOOKUP(B77,'CST Gantry To AP 68 Common Poin'!C:D,2,0)</f>
        <v>DD45+0</v>
      </c>
      <c r="D77" s="2"/>
      <c r="E77" s="38"/>
      <c r="F77" s="38"/>
      <c r="G77" s="38" t="s">
        <v>2131</v>
      </c>
      <c r="H77" s="454" t="s">
        <v>424</v>
      </c>
      <c r="I77" s="39" t="s">
        <v>949</v>
      </c>
      <c r="J77" s="2" t="s">
        <v>959</v>
      </c>
      <c r="K77" s="2" t="s">
        <v>2145</v>
      </c>
      <c r="L77" s="2" t="s">
        <v>2144</v>
      </c>
      <c r="M77" s="2" t="s">
        <v>947</v>
      </c>
      <c r="N77" s="272"/>
    </row>
    <row r="78" spans="1:14" x14ac:dyDescent="0.35">
      <c r="A78" s="2">
        <v>76</v>
      </c>
      <c r="B78" s="38" t="s">
        <v>199</v>
      </c>
      <c r="C78" s="38" t="str">
        <f>VLOOKUP(B78,'CST Gantry To AP 68 Common Poin'!C:D,2,0)</f>
        <v>DA(-)3</v>
      </c>
      <c r="D78" s="2"/>
      <c r="E78" s="38"/>
      <c r="F78" s="38"/>
      <c r="G78" s="38" t="s">
        <v>2131</v>
      </c>
      <c r="H78" s="454" t="s">
        <v>424</v>
      </c>
      <c r="I78" s="39" t="s">
        <v>946</v>
      </c>
      <c r="J78" s="2" t="s">
        <v>949</v>
      </c>
      <c r="K78" s="2" t="s">
        <v>2145</v>
      </c>
      <c r="L78" s="2" t="s">
        <v>2145</v>
      </c>
      <c r="M78" s="2" t="s">
        <v>2278</v>
      </c>
      <c r="N78" s="272"/>
    </row>
    <row r="79" spans="1:14" x14ac:dyDescent="0.35">
      <c r="A79" s="2">
        <v>77</v>
      </c>
      <c r="B79" s="38" t="s">
        <v>141</v>
      </c>
      <c r="C79" s="38" t="str">
        <f>VLOOKUP(B79,'CST Gantry To AP 68 Common Poin'!C:D,2,0)</f>
        <v>DA+6</v>
      </c>
      <c r="D79" s="2"/>
      <c r="E79" s="38"/>
      <c r="F79" s="38"/>
      <c r="G79" s="38" t="s">
        <v>2131</v>
      </c>
      <c r="H79" s="454" t="s">
        <v>424</v>
      </c>
      <c r="I79" s="39" t="s">
        <v>948</v>
      </c>
      <c r="J79" s="2" t="s">
        <v>951</v>
      </c>
      <c r="K79" s="2" t="s">
        <v>2145</v>
      </c>
      <c r="L79" s="2" t="s">
        <v>2145</v>
      </c>
      <c r="M79" s="2" t="s">
        <v>775</v>
      </c>
      <c r="N79" s="272"/>
    </row>
    <row r="80" spans="1:14" x14ac:dyDescent="0.35">
      <c r="A80" s="2">
        <v>78</v>
      </c>
      <c r="B80" s="40" t="s">
        <v>65</v>
      </c>
      <c r="C80" s="38" t="str">
        <f>VLOOKUP(B80,'CST Gantry To AP 68 Common Poin'!C:D,2,0)</f>
        <v>DB1+0</v>
      </c>
      <c r="D80" s="2"/>
      <c r="E80" s="38"/>
      <c r="F80" s="38"/>
      <c r="G80" s="38" t="s">
        <v>2131</v>
      </c>
      <c r="H80" s="454" t="s">
        <v>424</v>
      </c>
      <c r="I80" s="39" t="s">
        <v>948</v>
      </c>
      <c r="J80" s="2" t="s">
        <v>953</v>
      </c>
      <c r="K80" s="2" t="s">
        <v>2145</v>
      </c>
      <c r="L80" s="2" t="s">
        <v>2145</v>
      </c>
      <c r="M80" s="2" t="s">
        <v>2278</v>
      </c>
      <c r="N80" s="272"/>
    </row>
    <row r="81" spans="1:15" x14ac:dyDescent="0.35">
      <c r="A81" s="2">
        <v>79</v>
      </c>
      <c r="B81" s="40" t="s">
        <v>105</v>
      </c>
      <c r="C81" s="38" t="str">
        <f>VLOOKUP(B81,'CST Gantry To AP 68 Common Poin'!C:D,2,0)</f>
        <v>DA+6</v>
      </c>
      <c r="D81" s="2"/>
      <c r="E81" s="38"/>
      <c r="F81" s="38"/>
      <c r="G81" s="38" t="s">
        <v>2131</v>
      </c>
      <c r="H81" s="454" t="s">
        <v>424</v>
      </c>
      <c r="I81" s="39" t="s">
        <v>948</v>
      </c>
      <c r="J81" s="2" t="s">
        <v>951</v>
      </c>
      <c r="K81" s="2" t="s">
        <v>2145</v>
      </c>
      <c r="L81" s="2" t="s">
        <v>2145</v>
      </c>
      <c r="M81" s="2" t="s">
        <v>818</v>
      </c>
      <c r="N81" s="272"/>
    </row>
    <row r="82" spans="1:15" x14ac:dyDescent="0.35">
      <c r="A82" s="2">
        <v>80</v>
      </c>
      <c r="B82" s="38" t="s">
        <v>173</v>
      </c>
      <c r="C82" s="38" t="str">
        <f>VLOOKUP(B82,'CST Gantry To AP 68 Common Poin'!C:D,2,0)</f>
        <v>DB1+9</v>
      </c>
      <c r="D82" s="2"/>
      <c r="E82" s="38"/>
      <c r="F82" s="38"/>
      <c r="G82" s="38" t="s">
        <v>2131</v>
      </c>
      <c r="H82" s="454" t="s">
        <v>424</v>
      </c>
      <c r="I82" s="39" t="s">
        <v>949</v>
      </c>
      <c r="J82" s="2" t="s">
        <v>959</v>
      </c>
      <c r="K82" s="2" t="s">
        <v>2145</v>
      </c>
      <c r="L82" s="2" t="s">
        <v>2144</v>
      </c>
      <c r="M82" s="2" t="s">
        <v>818</v>
      </c>
      <c r="N82" s="272"/>
    </row>
    <row r="83" spans="1:15" x14ac:dyDescent="0.35">
      <c r="A83" s="2">
        <v>81</v>
      </c>
      <c r="B83" s="38" t="s">
        <v>248</v>
      </c>
      <c r="C83" s="38" t="str">
        <f>VLOOKUP(B83,'CST Gantry To AP 68 Common Poin'!C:D,2,0)</f>
        <v>DD45+0</v>
      </c>
      <c r="D83" s="2"/>
      <c r="E83" s="38"/>
      <c r="F83" s="38"/>
      <c r="G83" s="38" t="s">
        <v>2132</v>
      </c>
      <c r="H83" s="454" t="s">
        <v>424</v>
      </c>
      <c r="I83" s="39" t="s">
        <v>951</v>
      </c>
      <c r="J83" s="2" t="s">
        <v>959</v>
      </c>
      <c r="K83" s="2" t="s">
        <v>2145</v>
      </c>
      <c r="L83" s="2" t="s">
        <v>2144</v>
      </c>
      <c r="M83" s="2" t="s">
        <v>952</v>
      </c>
      <c r="N83" s="272"/>
    </row>
    <row r="84" spans="1:15" x14ac:dyDescent="0.35">
      <c r="A84" s="2">
        <v>82</v>
      </c>
      <c r="B84" s="2" t="s">
        <v>319</v>
      </c>
      <c r="C84" s="38" t="str">
        <f>VLOOKUP(B84,'CST Gantry To AP 68 Common Poin'!C:D,2,0)</f>
        <v>DD45+0</v>
      </c>
      <c r="D84" s="2"/>
      <c r="E84" s="38"/>
      <c r="F84" s="38"/>
      <c r="G84" s="38" t="s">
        <v>2133</v>
      </c>
      <c r="H84" s="454" t="s">
        <v>424</v>
      </c>
      <c r="I84" s="39" t="s">
        <v>951</v>
      </c>
      <c r="J84" s="2" t="s">
        <v>973</v>
      </c>
      <c r="K84" s="2" t="s">
        <v>2145</v>
      </c>
      <c r="L84" s="2" t="s">
        <v>2144</v>
      </c>
      <c r="M84" s="2" t="s">
        <v>905</v>
      </c>
      <c r="N84" s="272"/>
    </row>
    <row r="85" spans="1:15" x14ac:dyDescent="0.35">
      <c r="A85" s="2">
        <v>83</v>
      </c>
      <c r="B85" s="2" t="s">
        <v>266</v>
      </c>
      <c r="C85" s="38" t="str">
        <f>VLOOKUP(B85,'CST Gantry To AP 68 Common Poin'!C:D,2,0)</f>
        <v>DA+6</v>
      </c>
      <c r="D85" s="2"/>
      <c r="E85" s="38"/>
      <c r="F85" s="38"/>
      <c r="G85" s="38" t="s">
        <v>2133</v>
      </c>
      <c r="H85" s="454" t="s">
        <v>424</v>
      </c>
      <c r="I85" s="39" t="s">
        <v>949</v>
      </c>
      <c r="J85" s="2" t="s">
        <v>956</v>
      </c>
      <c r="K85" s="2" t="s">
        <v>2145</v>
      </c>
      <c r="L85" s="2" t="s">
        <v>2145</v>
      </c>
      <c r="M85" s="2" t="s">
        <v>957</v>
      </c>
      <c r="N85" s="272"/>
    </row>
    <row r="86" spans="1:15" x14ac:dyDescent="0.35">
      <c r="A86" s="2">
        <v>84</v>
      </c>
      <c r="B86" s="40" t="s">
        <v>103</v>
      </c>
      <c r="C86" s="38" t="str">
        <f>VLOOKUP(B86,'CST Gantry To AP 68 Common Poin'!C:D,2,0)</f>
        <v>DA+9</v>
      </c>
      <c r="D86" s="2"/>
      <c r="E86" s="38"/>
      <c r="F86" s="38"/>
      <c r="G86" s="38" t="s">
        <v>2131</v>
      </c>
      <c r="H86" s="454" t="s">
        <v>424</v>
      </c>
      <c r="I86" s="39" t="s">
        <v>953</v>
      </c>
      <c r="J86" s="2" t="s">
        <v>968</v>
      </c>
      <c r="K86" s="2" t="s">
        <v>2145</v>
      </c>
      <c r="L86" s="2" t="s">
        <v>2144</v>
      </c>
      <c r="M86" s="2" t="s">
        <v>819</v>
      </c>
      <c r="N86" s="272"/>
    </row>
    <row r="87" spans="1:15" x14ac:dyDescent="0.35">
      <c r="A87" s="2">
        <v>85</v>
      </c>
      <c r="B87" s="2" t="s">
        <v>200</v>
      </c>
      <c r="C87" s="38" t="str">
        <f>VLOOKUP(B87,'CST Gantry To AP 68 Common Poin'!C:D,2,0)</f>
        <v>DA+0</v>
      </c>
      <c r="D87" s="2"/>
      <c r="E87" s="38"/>
      <c r="F87" s="38"/>
      <c r="G87" s="38" t="s">
        <v>2131</v>
      </c>
      <c r="H87" s="454" t="s">
        <v>424</v>
      </c>
      <c r="I87" s="39" t="s">
        <v>951</v>
      </c>
      <c r="J87" s="2" t="s">
        <v>956</v>
      </c>
      <c r="K87" s="2" t="s">
        <v>2145</v>
      </c>
      <c r="L87" s="2" t="s">
        <v>2145</v>
      </c>
      <c r="M87" s="2" t="s">
        <v>2278</v>
      </c>
      <c r="N87" s="272"/>
    </row>
    <row r="88" spans="1:15" x14ac:dyDescent="0.35">
      <c r="A88" s="2">
        <v>86</v>
      </c>
      <c r="B88" s="38" t="s">
        <v>142</v>
      </c>
      <c r="C88" s="38" t="str">
        <f>VLOOKUP(B88,'CST Gantry To AP 68 Common Poin'!C:D,2,0)</f>
        <v>DA(-)1.5</v>
      </c>
      <c r="D88" s="2"/>
      <c r="E88" s="38"/>
      <c r="F88" s="38"/>
      <c r="G88" s="38" t="s">
        <v>2131</v>
      </c>
      <c r="H88" s="454" t="s">
        <v>424</v>
      </c>
      <c r="I88" s="39" t="s">
        <v>953</v>
      </c>
      <c r="J88" s="2" t="s">
        <v>958</v>
      </c>
      <c r="K88" s="2" t="s">
        <v>2145</v>
      </c>
      <c r="L88" s="2" t="s">
        <v>2144</v>
      </c>
      <c r="M88" s="2" t="s">
        <v>775</v>
      </c>
      <c r="N88" s="272"/>
    </row>
    <row r="89" spans="1:15" x14ac:dyDescent="0.35">
      <c r="A89" s="2">
        <v>87</v>
      </c>
      <c r="B89" s="2" t="s">
        <v>44</v>
      </c>
      <c r="C89" s="38" t="str">
        <f>VLOOKUP(B89,'CST Gantry To AP 68 Common Poin'!C:D,2,0)</f>
        <v>DC2+0</v>
      </c>
      <c r="D89" s="2"/>
      <c r="E89" s="38"/>
      <c r="F89" s="38"/>
      <c r="G89" s="38" t="s">
        <v>2131</v>
      </c>
      <c r="H89" s="454" t="s">
        <v>424</v>
      </c>
      <c r="I89" s="39" t="s">
        <v>970</v>
      </c>
      <c r="J89" s="2" t="s">
        <v>959</v>
      </c>
      <c r="K89" s="2" t="s">
        <v>2145</v>
      </c>
      <c r="L89" s="2" t="s">
        <v>2144</v>
      </c>
      <c r="M89" s="2" t="s">
        <v>2278</v>
      </c>
      <c r="N89" s="272"/>
    </row>
    <row r="90" spans="1:15" x14ac:dyDescent="0.35">
      <c r="A90" s="2">
        <v>88</v>
      </c>
      <c r="B90" s="2" t="s">
        <v>269</v>
      </c>
      <c r="C90" s="38" t="str">
        <f>VLOOKUP(B90,'CST Gantry To AP 68 Common Poin'!C:D,2,0)</f>
        <v>DA(-)1.5</v>
      </c>
      <c r="D90" s="2"/>
      <c r="E90" s="38"/>
      <c r="F90" s="38"/>
      <c r="G90" s="38" t="s">
        <v>2133</v>
      </c>
      <c r="H90" s="454" t="s">
        <v>424</v>
      </c>
      <c r="I90" s="39" t="s">
        <v>970</v>
      </c>
      <c r="J90" s="2" t="s">
        <v>959</v>
      </c>
      <c r="K90" s="2" t="s">
        <v>2145</v>
      </c>
      <c r="L90" s="2" t="s">
        <v>2144</v>
      </c>
      <c r="M90" s="2" t="s">
        <v>957</v>
      </c>
      <c r="N90" s="272"/>
    </row>
    <row r="91" spans="1:15" x14ac:dyDescent="0.35">
      <c r="A91" s="2">
        <v>89</v>
      </c>
      <c r="B91" s="2" t="s">
        <v>190</v>
      </c>
      <c r="C91" s="38" t="str">
        <f>VLOOKUP(B91,'CST Gantry To AP 68 Common Poin'!C:D,2,0)</f>
        <v>DA+0</v>
      </c>
      <c r="D91" s="2"/>
      <c r="E91" s="38"/>
      <c r="F91" s="38"/>
      <c r="G91" s="38" t="s">
        <v>2131</v>
      </c>
      <c r="H91" s="454" t="s">
        <v>424</v>
      </c>
      <c r="I91" s="39" t="s">
        <v>958</v>
      </c>
      <c r="J91" s="2" t="s">
        <v>967</v>
      </c>
      <c r="K91" s="2" t="s">
        <v>2144</v>
      </c>
      <c r="L91" s="2" t="s">
        <v>2144</v>
      </c>
      <c r="M91" s="2" t="s">
        <v>2278</v>
      </c>
      <c r="N91" s="272"/>
    </row>
    <row r="92" spans="1:15" x14ac:dyDescent="0.35">
      <c r="A92" s="2">
        <v>90</v>
      </c>
      <c r="B92" s="40" t="s">
        <v>143</v>
      </c>
      <c r="C92" s="38" t="str">
        <f>VLOOKUP(B92,'CST Gantry To AP 68 Common Poin'!C:D,2,0)</f>
        <v>DA+1.5</v>
      </c>
      <c r="D92" s="2"/>
      <c r="E92" s="38"/>
      <c r="F92" s="38"/>
      <c r="G92" s="38" t="s">
        <v>2131</v>
      </c>
      <c r="H92" s="454" t="s">
        <v>424</v>
      </c>
      <c r="I92" s="39" t="s">
        <v>969</v>
      </c>
      <c r="J92" s="2" t="s">
        <v>971</v>
      </c>
      <c r="K92" s="2" t="s">
        <v>2144</v>
      </c>
      <c r="L92" s="2" t="s">
        <v>2144</v>
      </c>
      <c r="M92" s="2" t="s">
        <v>775</v>
      </c>
      <c r="N92" s="272"/>
    </row>
    <row r="93" spans="1:15" x14ac:dyDescent="0.35">
      <c r="A93" s="2">
        <v>91</v>
      </c>
      <c r="B93" s="40" t="s">
        <v>150</v>
      </c>
      <c r="C93" s="38" t="str">
        <f>VLOOKUP(B93,'CST Gantry To AP 68 Common Poin'!C:D,2,0)</f>
        <v>DA+6</v>
      </c>
      <c r="D93" s="2"/>
      <c r="E93" s="38"/>
      <c r="F93" s="38"/>
      <c r="G93" s="38" t="s">
        <v>2131</v>
      </c>
      <c r="H93" s="454" t="s">
        <v>424</v>
      </c>
      <c r="I93" s="39" t="s">
        <v>968</v>
      </c>
      <c r="J93" s="2" t="s">
        <v>975</v>
      </c>
      <c r="K93" s="2" t="s">
        <v>2144</v>
      </c>
      <c r="L93" s="2" t="s">
        <v>2144</v>
      </c>
      <c r="M93" s="2" t="s">
        <v>983</v>
      </c>
      <c r="N93" s="272"/>
    </row>
    <row r="94" spans="1:15" x14ac:dyDescent="0.35">
      <c r="A94" s="2">
        <v>92</v>
      </c>
      <c r="B94" s="40" t="s">
        <v>90</v>
      </c>
      <c r="C94" s="38" t="str">
        <f>VLOOKUP(B94,'CST Gantry To AP 68 Common Poin'!C:D,2,0)</f>
        <v>DB2+0</v>
      </c>
      <c r="D94" s="2"/>
      <c r="E94" s="38"/>
      <c r="F94" s="38"/>
      <c r="G94" s="38" t="s">
        <v>2131</v>
      </c>
      <c r="H94" s="454" t="s">
        <v>424</v>
      </c>
      <c r="I94" s="39" t="s">
        <v>972</v>
      </c>
      <c r="J94" s="2" t="s">
        <v>976</v>
      </c>
      <c r="K94" s="2" t="s">
        <v>2144</v>
      </c>
      <c r="L94" s="2" t="s">
        <v>2144</v>
      </c>
      <c r="M94" s="2" t="s">
        <v>984</v>
      </c>
      <c r="N94" s="272"/>
    </row>
    <row r="95" spans="1:15" x14ac:dyDescent="0.35">
      <c r="A95" s="2">
        <v>93</v>
      </c>
      <c r="B95" s="2" t="s">
        <v>198</v>
      </c>
      <c r="C95" s="38" t="str">
        <f>VLOOKUP(B95,'CST Gantry To AP 68 Common Poin'!C:D,2,0)</f>
        <v>DD45+9</v>
      </c>
      <c r="D95" s="2"/>
      <c r="E95" s="38"/>
      <c r="F95" s="38"/>
      <c r="G95" s="38" t="s">
        <v>2131</v>
      </c>
      <c r="H95" s="454" t="s">
        <v>424</v>
      </c>
      <c r="I95" s="39" t="s">
        <v>972</v>
      </c>
      <c r="J95" s="2" t="s">
        <v>978</v>
      </c>
      <c r="K95" s="2" t="s">
        <v>2144</v>
      </c>
      <c r="L95" s="2" t="s">
        <v>2144</v>
      </c>
      <c r="M95" s="2" t="s">
        <v>2278</v>
      </c>
      <c r="N95" s="272"/>
    </row>
    <row r="96" spans="1:15" x14ac:dyDescent="0.35">
      <c r="A96" s="2">
        <v>94</v>
      </c>
      <c r="B96" s="2" t="s">
        <v>69</v>
      </c>
      <c r="C96" s="38" t="str">
        <f>VLOOKUP(B96,'CST Gantry To AP 68 Common Poin'!C:D,2,0)</f>
        <v>DD60+25</v>
      </c>
      <c r="D96" s="2"/>
      <c r="E96" s="38"/>
      <c r="F96" s="38"/>
      <c r="G96" s="38" t="s">
        <v>2131</v>
      </c>
      <c r="H96" s="454" t="s">
        <v>424</v>
      </c>
      <c r="I96" s="39" t="s">
        <v>982</v>
      </c>
      <c r="J96" s="2" t="s">
        <v>1985</v>
      </c>
      <c r="K96" s="2" t="s">
        <v>2144</v>
      </c>
      <c r="L96" s="2" t="s">
        <v>2143</v>
      </c>
      <c r="M96" s="2" t="s">
        <v>2278</v>
      </c>
      <c r="N96" s="272"/>
      <c r="O96" s="56"/>
    </row>
    <row r="97" spans="1:15" x14ac:dyDescent="0.35">
      <c r="A97" s="2">
        <v>95</v>
      </c>
      <c r="B97" s="2" t="s">
        <v>179</v>
      </c>
      <c r="C97" s="38" t="str">
        <f>VLOOKUP(B97,'CST Gantry To AP 68 Common Poin'!C:D,2,0)</f>
        <v>DA(-)1.5</v>
      </c>
      <c r="D97" s="2"/>
      <c r="E97" s="38"/>
      <c r="F97" s="38"/>
      <c r="G97" s="38" t="s">
        <v>2131</v>
      </c>
      <c r="H97" s="454" t="s">
        <v>424</v>
      </c>
      <c r="I97" s="39" t="s">
        <v>971</v>
      </c>
      <c r="J97" s="2" t="s">
        <v>976</v>
      </c>
      <c r="K97" s="2" t="s">
        <v>2144</v>
      </c>
      <c r="L97" s="2" t="s">
        <v>2144</v>
      </c>
      <c r="M97" s="2" t="s">
        <v>2278</v>
      </c>
      <c r="N97" s="272"/>
      <c r="O97" s="56"/>
    </row>
    <row r="98" spans="1:15" x14ac:dyDescent="0.35">
      <c r="A98" s="2">
        <v>96</v>
      </c>
      <c r="B98" s="2" t="s">
        <v>241</v>
      </c>
      <c r="C98" s="38" t="str">
        <f>VLOOKUP(B98,'CST Gantry To AP 68 Common Poin'!C:D,2,0)</f>
        <v>DC1+0</v>
      </c>
      <c r="D98" s="2"/>
      <c r="E98" s="38"/>
      <c r="F98" s="38"/>
      <c r="G98" s="38" t="s">
        <v>2132</v>
      </c>
      <c r="H98" s="454" t="s">
        <v>424</v>
      </c>
      <c r="I98" s="39" t="s">
        <v>971</v>
      </c>
      <c r="J98" s="2" t="s">
        <v>979</v>
      </c>
      <c r="K98" s="2" t="s">
        <v>2144</v>
      </c>
      <c r="L98" s="2" t="s">
        <v>2144</v>
      </c>
      <c r="M98" s="2" t="s">
        <v>952</v>
      </c>
      <c r="N98" s="272"/>
      <c r="O98" s="56"/>
    </row>
    <row r="99" spans="1:15" x14ac:dyDescent="0.35">
      <c r="A99" s="2">
        <v>97</v>
      </c>
      <c r="B99" s="40" t="s">
        <v>45</v>
      </c>
      <c r="C99" s="38" t="str">
        <f>VLOOKUP(B99,'CST Gantry To AP 68 Common Poin'!C:D,2,0)</f>
        <v>DA+0</v>
      </c>
      <c r="D99" s="38"/>
      <c r="E99" s="38"/>
      <c r="F99" s="38"/>
      <c r="G99" s="38" t="s">
        <v>2131</v>
      </c>
      <c r="H99" s="454" t="s">
        <v>424</v>
      </c>
      <c r="I99" s="39" t="s">
        <v>971</v>
      </c>
      <c r="J99" s="2" t="s">
        <v>961</v>
      </c>
      <c r="K99" s="2" t="s">
        <v>2144</v>
      </c>
      <c r="L99" s="2" t="s">
        <v>2144</v>
      </c>
      <c r="M99" s="2" t="s">
        <v>2278</v>
      </c>
      <c r="N99" s="272"/>
      <c r="O99" s="56"/>
    </row>
    <row r="100" spans="1:15" x14ac:dyDescent="0.35">
      <c r="A100" s="2">
        <v>98</v>
      </c>
      <c r="B100" s="2" t="s">
        <v>263</v>
      </c>
      <c r="C100" s="38" t="str">
        <f>VLOOKUP(B100,'CST Gantry To AP 68 Common Poin'!C:D,2,0)</f>
        <v>DA+0</v>
      </c>
      <c r="D100" s="2"/>
      <c r="E100" s="38"/>
      <c r="F100" s="38"/>
      <c r="G100" s="38" t="s">
        <v>2132</v>
      </c>
      <c r="H100" s="454" t="s">
        <v>424</v>
      </c>
      <c r="I100" s="39" t="s">
        <v>972</v>
      </c>
      <c r="J100" s="2" t="s">
        <v>961</v>
      </c>
      <c r="K100" s="2" t="s">
        <v>2144</v>
      </c>
      <c r="L100" s="2" t="s">
        <v>2144</v>
      </c>
      <c r="M100" s="2" t="s">
        <v>957</v>
      </c>
      <c r="N100" s="272"/>
      <c r="O100" s="56"/>
    </row>
    <row r="101" spans="1:15" x14ac:dyDescent="0.35">
      <c r="A101" s="2">
        <v>99</v>
      </c>
      <c r="B101" s="38" t="s">
        <v>144</v>
      </c>
      <c r="C101" s="38" t="str">
        <f>VLOOKUP(B101,'CST Gantry To AP 68 Common Poin'!C:D,2,0)</f>
        <v>DA+0</v>
      </c>
      <c r="D101" s="38"/>
      <c r="E101" s="38"/>
      <c r="F101" s="38"/>
      <c r="G101" s="38" t="s">
        <v>2131</v>
      </c>
      <c r="H101" s="454" t="s">
        <v>424</v>
      </c>
      <c r="I101" s="39" t="s">
        <v>974</v>
      </c>
      <c r="J101" s="2" t="s">
        <v>975</v>
      </c>
      <c r="K101" s="2" t="s">
        <v>2144</v>
      </c>
      <c r="L101" s="2" t="s">
        <v>2144</v>
      </c>
      <c r="M101" s="2" t="s">
        <v>775</v>
      </c>
      <c r="N101" s="272"/>
      <c r="O101" s="56"/>
    </row>
    <row r="102" spans="1:15" x14ac:dyDescent="0.35">
      <c r="A102" s="2">
        <v>100</v>
      </c>
      <c r="B102" s="38" t="s">
        <v>330</v>
      </c>
      <c r="C102" s="38" t="str">
        <f>VLOOKUP(B102,'CST Gantry To AP 68 Common Poin'!C:D,2,0)</f>
        <v>DA(-)3</v>
      </c>
      <c r="D102" s="2"/>
      <c r="E102" s="38"/>
      <c r="F102" s="38"/>
      <c r="G102" s="38" t="s">
        <v>2133</v>
      </c>
      <c r="H102" s="454" t="s">
        <v>424</v>
      </c>
      <c r="I102" s="39" t="s">
        <v>974</v>
      </c>
      <c r="J102" s="2" t="s">
        <v>978</v>
      </c>
      <c r="K102" s="2" t="s">
        <v>2144</v>
      </c>
      <c r="L102" s="2" t="s">
        <v>2144</v>
      </c>
      <c r="M102" s="2" t="s">
        <v>905</v>
      </c>
      <c r="N102" s="272"/>
      <c r="O102" s="56"/>
    </row>
    <row r="103" spans="1:15" x14ac:dyDescent="0.35">
      <c r="A103" s="2">
        <v>101</v>
      </c>
      <c r="B103" s="38" t="s">
        <v>37</v>
      </c>
      <c r="C103" s="38" t="str">
        <f>VLOOKUP(B103,'CST Gantry To AP 68 Common Poin'!C:D,2,0)</f>
        <v>DA+0</v>
      </c>
      <c r="D103" s="2"/>
      <c r="E103" s="38"/>
      <c r="F103" s="38"/>
      <c r="G103" s="38" t="s">
        <v>2131</v>
      </c>
      <c r="H103" s="454" t="s">
        <v>424</v>
      </c>
      <c r="I103" s="39" t="s">
        <v>975</v>
      </c>
      <c r="J103" s="2" t="s">
        <v>979</v>
      </c>
      <c r="K103" s="2" t="s">
        <v>2144</v>
      </c>
      <c r="L103" s="2" t="s">
        <v>2144</v>
      </c>
      <c r="M103" s="2" t="s">
        <v>2278</v>
      </c>
      <c r="N103" s="272"/>
      <c r="O103" s="56"/>
    </row>
    <row r="104" spans="1:15" x14ac:dyDescent="0.35">
      <c r="A104" s="2">
        <v>102</v>
      </c>
      <c r="B104" s="38" t="s">
        <v>277</v>
      </c>
      <c r="C104" s="38" t="str">
        <f>VLOOKUP(B104,'CST Gantry To AP 68 Common Poin'!C:D,2,0)</f>
        <v>DB1+0</v>
      </c>
      <c r="D104" s="2"/>
      <c r="E104" s="38"/>
      <c r="F104" s="38"/>
      <c r="G104" s="38" t="s">
        <v>2133</v>
      </c>
      <c r="H104" s="454" t="s">
        <v>424</v>
      </c>
      <c r="I104" s="39" t="s">
        <v>976</v>
      </c>
      <c r="J104" s="2" t="s">
        <v>963</v>
      </c>
      <c r="K104" s="2" t="s">
        <v>2144</v>
      </c>
      <c r="L104" s="2" t="s">
        <v>2144</v>
      </c>
      <c r="M104" s="2" t="s">
        <v>957</v>
      </c>
      <c r="N104" s="272"/>
      <c r="O104" s="56"/>
    </row>
    <row r="105" spans="1:15" x14ac:dyDescent="0.35">
      <c r="A105" s="2">
        <v>103</v>
      </c>
      <c r="B105" s="38" t="s">
        <v>149</v>
      </c>
      <c r="C105" s="38" t="str">
        <f>VLOOKUP(B105,'CST Gantry To AP 68 Common Poin'!C:D,2,0)</f>
        <v>DA+1.5</v>
      </c>
      <c r="D105" s="2"/>
      <c r="E105" s="38"/>
      <c r="F105" s="38"/>
      <c r="G105" s="38" t="s">
        <v>2131</v>
      </c>
      <c r="H105" s="454" t="s">
        <v>424</v>
      </c>
      <c r="I105" s="39" t="s">
        <v>977</v>
      </c>
      <c r="J105" s="2" t="s">
        <v>965</v>
      </c>
      <c r="K105" s="2" t="s">
        <v>2144</v>
      </c>
      <c r="L105" s="2" t="s">
        <v>2144</v>
      </c>
      <c r="M105" s="2" t="s">
        <v>983</v>
      </c>
      <c r="N105" s="272"/>
      <c r="O105" s="56"/>
    </row>
    <row r="106" spans="1:15" x14ac:dyDescent="0.35">
      <c r="A106" s="2">
        <v>104</v>
      </c>
      <c r="B106" s="38" t="s">
        <v>153</v>
      </c>
      <c r="C106" s="38" t="str">
        <f>VLOOKUP(B106,'CST Gantry To AP 68 Common Poin'!C:D,2,0)</f>
        <v>DB2+9</v>
      </c>
      <c r="D106" s="2"/>
      <c r="E106" s="38"/>
      <c r="F106" s="38"/>
      <c r="G106" s="38" t="s">
        <v>2131</v>
      </c>
      <c r="H106" s="454" t="s">
        <v>424</v>
      </c>
      <c r="I106" s="39" t="s">
        <v>977</v>
      </c>
      <c r="J106" s="2" t="s">
        <v>987</v>
      </c>
      <c r="K106" s="2" t="s">
        <v>2144</v>
      </c>
      <c r="L106" s="2" t="s">
        <v>2144</v>
      </c>
      <c r="M106" s="2" t="s">
        <v>775</v>
      </c>
      <c r="N106" s="272"/>
      <c r="O106" s="56"/>
    </row>
    <row r="107" spans="1:15" x14ac:dyDescent="0.35">
      <c r="A107" s="2">
        <v>105</v>
      </c>
      <c r="B107" s="38" t="s">
        <v>295</v>
      </c>
      <c r="C107" s="38" t="str">
        <f>VLOOKUP(B107,'CST Gantry To AP 68 Common Poin'!C:D,2,0)</f>
        <v>DA+6</v>
      </c>
      <c r="D107" s="40"/>
      <c r="E107" s="38"/>
      <c r="F107" s="38"/>
      <c r="G107" s="38" t="s">
        <v>2133</v>
      </c>
      <c r="H107" s="454" t="s">
        <v>424</v>
      </c>
      <c r="I107" s="39" t="s">
        <v>977</v>
      </c>
      <c r="J107" s="2" t="s">
        <v>965</v>
      </c>
      <c r="K107" s="2" t="s">
        <v>2144</v>
      </c>
      <c r="L107" s="2" t="s">
        <v>2144</v>
      </c>
      <c r="M107" s="2" t="s">
        <v>984</v>
      </c>
      <c r="N107" s="272"/>
      <c r="O107" s="56"/>
    </row>
    <row r="108" spans="1:15" x14ac:dyDescent="0.35">
      <c r="A108" s="2">
        <v>106</v>
      </c>
      <c r="B108" s="2" t="s">
        <v>180</v>
      </c>
      <c r="C108" s="38" t="str">
        <f>VLOOKUP(B108,'CST Gantry To AP 68 Common Poin'!C:D,2,0)</f>
        <v>DD45+9</v>
      </c>
      <c r="D108" s="38"/>
      <c r="E108" s="38"/>
      <c r="F108" s="38"/>
      <c r="G108" s="38" t="s">
        <v>2131</v>
      </c>
      <c r="H108" s="454" t="s">
        <v>424</v>
      </c>
      <c r="I108" s="39" t="s">
        <v>977</v>
      </c>
      <c r="J108" s="2" t="s">
        <v>988</v>
      </c>
      <c r="K108" s="2" t="s">
        <v>2144</v>
      </c>
      <c r="L108" s="2" t="s">
        <v>2144</v>
      </c>
      <c r="M108" s="2" t="s">
        <v>985</v>
      </c>
      <c r="N108" s="272"/>
      <c r="O108" s="56"/>
    </row>
    <row r="109" spans="1:15" x14ac:dyDescent="0.35">
      <c r="A109" s="2">
        <v>107</v>
      </c>
      <c r="B109" s="2" t="s">
        <v>187</v>
      </c>
      <c r="C109" s="38" t="str">
        <f>VLOOKUP(B109,'CST Gantry To AP 68 Common Poin'!C:D,2,0)</f>
        <v>DC2+0</v>
      </c>
      <c r="D109" s="38"/>
      <c r="E109" s="38"/>
      <c r="F109" s="38"/>
      <c r="G109" s="38" t="s">
        <v>2131</v>
      </c>
      <c r="H109" s="454" t="s">
        <v>424</v>
      </c>
      <c r="I109" s="39" t="s">
        <v>979</v>
      </c>
      <c r="J109" s="2" t="s">
        <v>966</v>
      </c>
      <c r="K109" s="2" t="s">
        <v>2144</v>
      </c>
      <c r="L109" s="2" t="s">
        <v>2144</v>
      </c>
      <c r="M109" s="2" t="s">
        <v>2279</v>
      </c>
      <c r="N109" s="272"/>
      <c r="O109" s="56"/>
    </row>
    <row r="110" spans="1:15" x14ac:dyDescent="0.35">
      <c r="A110" s="2">
        <v>108</v>
      </c>
      <c r="B110" s="2" t="s">
        <v>332</v>
      </c>
      <c r="C110" s="38" t="str">
        <f>VLOOKUP(B110,'CST Gantry To AP 68 Common Poin'!C:D,2,0)</f>
        <v>DA+6</v>
      </c>
      <c r="D110" s="38"/>
      <c r="E110" s="38"/>
      <c r="F110" s="38"/>
      <c r="G110" s="38" t="s">
        <v>2133</v>
      </c>
      <c r="H110" s="454" t="s">
        <v>424</v>
      </c>
      <c r="I110" s="39" t="s">
        <v>979</v>
      </c>
      <c r="J110" s="2" t="s">
        <v>965</v>
      </c>
      <c r="K110" s="2" t="s">
        <v>2144</v>
      </c>
      <c r="L110" s="2" t="s">
        <v>2144</v>
      </c>
      <c r="M110" s="2" t="s">
        <v>905</v>
      </c>
      <c r="N110" s="272"/>
      <c r="O110" s="56"/>
    </row>
    <row r="111" spans="1:15" x14ac:dyDescent="0.35">
      <c r="A111" s="2">
        <v>109</v>
      </c>
      <c r="B111" s="2" t="s">
        <v>219</v>
      </c>
      <c r="C111" s="38" t="str">
        <f>VLOOKUP(B111,'CST Gantry To AP 68 Common Poin'!C:D,2,0)</f>
        <v>DC1+0</v>
      </c>
      <c r="D111" s="40"/>
      <c r="E111" s="38"/>
      <c r="F111" s="38"/>
      <c r="G111" s="38" t="s">
        <v>2132</v>
      </c>
      <c r="H111" s="454" t="s">
        <v>424</v>
      </c>
      <c r="I111" s="39" t="s">
        <v>981</v>
      </c>
      <c r="J111" s="2" t="s">
        <v>987</v>
      </c>
      <c r="K111" s="2" t="s">
        <v>2144</v>
      </c>
      <c r="L111" s="2" t="s">
        <v>2144</v>
      </c>
      <c r="M111" s="2" t="s">
        <v>952</v>
      </c>
      <c r="N111" s="272"/>
      <c r="O111" s="56"/>
    </row>
    <row r="112" spans="1:15" x14ac:dyDescent="0.35">
      <c r="A112" s="2">
        <v>110</v>
      </c>
      <c r="B112" s="38" t="s">
        <v>34</v>
      </c>
      <c r="C112" s="38" t="str">
        <f>VLOOKUP(B112,'CST Gantry To AP 68 Common Poin'!C:D,2,0)</f>
        <v>DA+1.5</v>
      </c>
      <c r="D112" s="38"/>
      <c r="E112" s="38"/>
      <c r="F112" s="38"/>
      <c r="G112" s="38" t="s">
        <v>2131</v>
      </c>
      <c r="H112" s="454" t="s">
        <v>424</v>
      </c>
      <c r="I112" s="39" t="s">
        <v>980</v>
      </c>
      <c r="J112" s="2" t="s">
        <v>963</v>
      </c>
      <c r="K112" s="2" t="s">
        <v>2144</v>
      </c>
      <c r="L112" s="2" t="s">
        <v>2144</v>
      </c>
      <c r="M112" s="2" t="s">
        <v>2278</v>
      </c>
      <c r="N112" s="272"/>
      <c r="O112" s="56"/>
    </row>
    <row r="113" spans="1:14" x14ac:dyDescent="0.35">
      <c r="A113" s="2">
        <v>111</v>
      </c>
      <c r="B113" s="2" t="s">
        <v>278</v>
      </c>
      <c r="C113" s="38" t="str">
        <f>VLOOKUP(B113,'CST Gantry To AP 68 Common Poin'!C:D,2,0)</f>
        <v>DA+6</v>
      </c>
      <c r="D113" s="2"/>
      <c r="E113" s="38"/>
      <c r="F113" s="38"/>
      <c r="G113" s="38" t="s">
        <v>2133</v>
      </c>
      <c r="H113" s="454" t="s">
        <v>424</v>
      </c>
      <c r="I113" s="39" t="s">
        <v>964</v>
      </c>
      <c r="J113" s="2" t="s">
        <v>988</v>
      </c>
      <c r="K113" s="2" t="s">
        <v>2144</v>
      </c>
      <c r="L113" s="2" t="s">
        <v>2144</v>
      </c>
      <c r="M113" s="2" t="s">
        <v>957</v>
      </c>
      <c r="N113" s="272"/>
    </row>
    <row r="114" spans="1:14" x14ac:dyDescent="0.35">
      <c r="A114" s="2">
        <v>112</v>
      </c>
      <c r="B114" s="38" t="s">
        <v>41</v>
      </c>
      <c r="C114" s="38" t="str">
        <f>VLOOKUP(B114,'CST Gantry To AP 68 Common Poin'!C:D,2,0)</f>
        <v>DA(-)1.5</v>
      </c>
      <c r="D114" s="2"/>
      <c r="E114" s="38"/>
      <c r="F114" s="38"/>
      <c r="G114" s="38" t="s">
        <v>2131</v>
      </c>
      <c r="H114" s="454" t="s">
        <v>424</v>
      </c>
      <c r="I114" s="39" t="s">
        <v>964</v>
      </c>
      <c r="J114" s="2" t="s">
        <v>987</v>
      </c>
      <c r="K114" s="2" t="s">
        <v>2144</v>
      </c>
      <c r="L114" s="2" t="s">
        <v>2144</v>
      </c>
      <c r="M114" s="2" t="s">
        <v>2278</v>
      </c>
      <c r="N114" s="272"/>
    </row>
    <row r="115" spans="1:14" x14ac:dyDescent="0.35">
      <c r="A115" s="2">
        <v>113</v>
      </c>
      <c r="B115" s="2" t="s">
        <v>329</v>
      </c>
      <c r="C115" s="38" t="str">
        <f>VLOOKUP(B115,'CST Gantry To AP 68 Common Poin'!C:D,2,0)</f>
        <v>DA+1.5</v>
      </c>
      <c r="D115" s="2"/>
      <c r="E115" s="38"/>
      <c r="F115" s="38"/>
      <c r="G115" s="38" t="s">
        <v>2133</v>
      </c>
      <c r="H115" s="454" t="s">
        <v>424</v>
      </c>
      <c r="I115" s="39" t="s">
        <v>988</v>
      </c>
      <c r="J115" s="2" t="s">
        <v>1981</v>
      </c>
      <c r="K115" s="2" t="s">
        <v>2144</v>
      </c>
      <c r="L115" s="2" t="s">
        <v>2143</v>
      </c>
      <c r="M115" s="2" t="s">
        <v>905</v>
      </c>
      <c r="N115" s="272"/>
    </row>
    <row r="116" spans="1:14" x14ac:dyDescent="0.35">
      <c r="A116" s="2">
        <v>114</v>
      </c>
      <c r="B116" s="2" t="s">
        <v>289</v>
      </c>
      <c r="C116" s="38" t="str">
        <f>VLOOKUP(B116,'CST Gantry To AP 68 Common Poin'!C:D,2,0)</f>
        <v>DC2+0</v>
      </c>
      <c r="D116" s="2"/>
      <c r="E116" s="38"/>
      <c r="F116" s="38"/>
      <c r="G116" s="38" t="s">
        <v>2133</v>
      </c>
      <c r="H116" s="454" t="s">
        <v>424</v>
      </c>
      <c r="I116" s="39" t="s">
        <v>987</v>
      </c>
      <c r="J116" s="2" t="s">
        <v>1984</v>
      </c>
      <c r="K116" s="2" t="s">
        <v>2144</v>
      </c>
      <c r="L116" s="2" t="s">
        <v>2143</v>
      </c>
      <c r="M116" s="2" t="s">
        <v>984</v>
      </c>
      <c r="N116" s="272"/>
    </row>
    <row r="117" spans="1:14" x14ac:dyDescent="0.35">
      <c r="A117" s="2">
        <v>115</v>
      </c>
      <c r="B117" s="38" t="s">
        <v>207</v>
      </c>
      <c r="C117" s="38" t="str">
        <f>VLOOKUP(B117,'CST Gantry To AP 68 Common Poin'!C:D,2,0)</f>
        <v>DC1+0</v>
      </c>
      <c r="D117" s="2"/>
      <c r="E117" s="38"/>
      <c r="F117" s="38"/>
      <c r="G117" s="38" t="s">
        <v>2131</v>
      </c>
      <c r="H117" s="454" t="s">
        <v>424</v>
      </c>
      <c r="I117" s="39" t="s">
        <v>988</v>
      </c>
      <c r="J117" s="2" t="s">
        <v>1981</v>
      </c>
      <c r="K117" s="2" t="s">
        <v>2144</v>
      </c>
      <c r="L117" s="2" t="s">
        <v>2143</v>
      </c>
      <c r="M117" s="2" t="s">
        <v>2279</v>
      </c>
      <c r="N117" s="272"/>
    </row>
    <row r="118" spans="1:14" x14ac:dyDescent="0.35">
      <c r="A118" s="2">
        <v>116</v>
      </c>
      <c r="B118" s="2" t="s">
        <v>211</v>
      </c>
      <c r="C118" s="38" t="str">
        <f>VLOOKUP(B118,'CST Gantry To AP 68 Common Poin'!C:D,2,0)</f>
        <v>DA+0</v>
      </c>
      <c r="D118" s="2"/>
      <c r="E118" s="38"/>
      <c r="F118" s="38"/>
      <c r="G118" s="38" t="s">
        <v>2132</v>
      </c>
      <c r="H118" s="454" t="s">
        <v>424</v>
      </c>
      <c r="I118" s="39" t="s">
        <v>990</v>
      </c>
      <c r="J118" s="2" t="s">
        <v>1981</v>
      </c>
      <c r="K118" s="2" t="s">
        <v>2143</v>
      </c>
      <c r="L118" s="2" t="s">
        <v>2143</v>
      </c>
      <c r="M118" s="2" t="s">
        <v>952</v>
      </c>
      <c r="N118" s="272"/>
    </row>
    <row r="119" spans="1:14" x14ac:dyDescent="0.35">
      <c r="A119" s="2">
        <v>117</v>
      </c>
      <c r="B119" s="38" t="s">
        <v>155</v>
      </c>
      <c r="C119" s="38" t="str">
        <f>VLOOKUP(B119,'CST Gantry To AP 68 Common Poin'!C:D,2,0)</f>
        <v>DB1+9</v>
      </c>
      <c r="D119" s="2"/>
      <c r="E119" s="38"/>
      <c r="F119" s="38"/>
      <c r="G119" s="38" t="s">
        <v>2131</v>
      </c>
      <c r="H119" s="454" t="s">
        <v>424</v>
      </c>
      <c r="I119" s="39" t="s">
        <v>990</v>
      </c>
      <c r="J119" s="2" t="s">
        <v>1988</v>
      </c>
      <c r="K119" s="2" t="s">
        <v>2143</v>
      </c>
      <c r="L119" s="2" t="s">
        <v>2143</v>
      </c>
      <c r="M119" s="2" t="s">
        <v>775</v>
      </c>
      <c r="N119" s="272"/>
    </row>
    <row r="120" spans="1:14" x14ac:dyDescent="0.35">
      <c r="A120" s="2">
        <v>118</v>
      </c>
      <c r="B120" s="2" t="s">
        <v>283</v>
      </c>
      <c r="C120" s="38" t="str">
        <f>VLOOKUP(B120,'CST Gantry To AP 68 Common Poin'!C:D,2,0)</f>
        <v>DA+6</v>
      </c>
      <c r="D120" s="2"/>
      <c r="E120" s="38"/>
      <c r="F120" s="38"/>
      <c r="G120" s="38" t="s">
        <v>2133</v>
      </c>
      <c r="H120" s="454" t="s">
        <v>424</v>
      </c>
      <c r="I120" s="39" t="s">
        <v>989</v>
      </c>
      <c r="J120" s="2" t="s">
        <v>1982</v>
      </c>
      <c r="K120" s="2" t="s">
        <v>2143</v>
      </c>
      <c r="L120" s="2" t="s">
        <v>2143</v>
      </c>
      <c r="M120" s="2" t="s">
        <v>957</v>
      </c>
      <c r="N120" s="272"/>
    </row>
    <row r="121" spans="1:14" x14ac:dyDescent="0.35">
      <c r="A121" s="2">
        <v>119</v>
      </c>
      <c r="B121" s="2" t="s">
        <v>181</v>
      </c>
      <c r="C121" s="38" t="str">
        <f>VLOOKUP(B121,'CST Gantry To AP 68 Common Poin'!C:D,2,0)</f>
        <v>DC1+3</v>
      </c>
      <c r="D121" s="2"/>
      <c r="E121" s="38"/>
      <c r="F121" s="674">
        <v>65.872484</v>
      </c>
      <c r="G121" s="38" t="s">
        <v>2131</v>
      </c>
      <c r="H121" s="454" t="s">
        <v>424</v>
      </c>
      <c r="I121" s="39" t="s">
        <v>1990</v>
      </c>
      <c r="J121" s="439" t="s">
        <v>2028</v>
      </c>
      <c r="K121" s="2" t="s">
        <v>2143</v>
      </c>
      <c r="L121" s="439" t="s">
        <v>2138</v>
      </c>
      <c r="M121" s="2" t="s">
        <v>985</v>
      </c>
      <c r="N121" s="272"/>
    </row>
    <row r="122" spans="1:14" x14ac:dyDescent="0.35">
      <c r="A122" s="2">
        <v>120</v>
      </c>
      <c r="B122" s="2" t="s">
        <v>316</v>
      </c>
      <c r="C122" s="38" t="str">
        <f>VLOOKUP(B122,'CST Gantry To AP 68 Common Poin'!C:D,2,0)</f>
        <v>DA(-)3</v>
      </c>
      <c r="D122" s="2"/>
      <c r="E122" s="38"/>
      <c r="F122" s="38"/>
      <c r="G122" s="38" t="s">
        <v>2133</v>
      </c>
      <c r="H122" s="454" t="s">
        <v>424</v>
      </c>
      <c r="I122" s="39" t="s">
        <v>1984</v>
      </c>
      <c r="J122" s="2" t="s">
        <v>1989</v>
      </c>
      <c r="K122" s="2" t="s">
        <v>2143</v>
      </c>
      <c r="L122" s="2" t="s">
        <v>2143</v>
      </c>
      <c r="M122" s="2" t="s">
        <v>905</v>
      </c>
      <c r="N122" s="272"/>
    </row>
    <row r="123" spans="1:14" x14ac:dyDescent="0.35">
      <c r="A123" s="2">
        <v>121</v>
      </c>
      <c r="B123" s="2" t="s">
        <v>210</v>
      </c>
      <c r="C123" s="38" t="str">
        <f>VLOOKUP(B123,'CST Gantry To AP 68 Common Poin'!C:D,2,0)</f>
        <v>DA+0</v>
      </c>
      <c r="D123" s="2"/>
      <c r="E123" s="38"/>
      <c r="F123" s="38"/>
      <c r="G123" s="38" t="s">
        <v>2132</v>
      </c>
      <c r="H123" s="454" t="s">
        <v>424</v>
      </c>
      <c r="I123" s="39" t="s">
        <v>1982</v>
      </c>
      <c r="J123" s="2" t="s">
        <v>1988</v>
      </c>
      <c r="K123" s="2" t="s">
        <v>2143</v>
      </c>
      <c r="L123" s="2" t="s">
        <v>2143</v>
      </c>
      <c r="M123" s="2" t="s">
        <v>952</v>
      </c>
      <c r="N123" s="272"/>
    </row>
    <row r="124" spans="1:14" x14ac:dyDescent="0.35">
      <c r="A124" s="2">
        <v>122</v>
      </c>
      <c r="B124" s="2" t="s">
        <v>208</v>
      </c>
      <c r="C124" s="38" t="str">
        <f>VLOOKUP(B124,'CST Gantry To AP 68 Common Poin'!C:D,2,0)</f>
        <v>DA+3</v>
      </c>
      <c r="D124" s="2"/>
      <c r="E124" s="38"/>
      <c r="F124" s="38"/>
      <c r="G124" s="38" t="s">
        <v>2132</v>
      </c>
      <c r="H124" s="454" t="s">
        <v>424</v>
      </c>
      <c r="I124" s="39" t="s">
        <v>1983</v>
      </c>
      <c r="J124" s="2" t="s">
        <v>1985</v>
      </c>
      <c r="K124" s="2" t="s">
        <v>2143</v>
      </c>
      <c r="L124" s="2" t="s">
        <v>2143</v>
      </c>
      <c r="M124" s="2" t="s">
        <v>2279</v>
      </c>
      <c r="N124" s="272"/>
    </row>
    <row r="125" spans="1:14" x14ac:dyDescent="0.35">
      <c r="A125" s="2">
        <v>123</v>
      </c>
      <c r="B125" s="2" t="s">
        <v>287</v>
      </c>
      <c r="C125" s="38" t="str">
        <f>VLOOKUP(B125,'CST Gantry To AP 68 Common Poin'!C:D,2,0)</f>
        <v>DA(-)3</v>
      </c>
      <c r="D125" s="2"/>
      <c r="E125" s="38"/>
      <c r="F125" s="38"/>
      <c r="G125" s="38" t="s">
        <v>2133</v>
      </c>
      <c r="H125" s="454" t="s">
        <v>424</v>
      </c>
      <c r="I125" s="39" t="s">
        <v>1984</v>
      </c>
      <c r="J125" s="2" t="s">
        <v>1985</v>
      </c>
      <c r="K125" s="2" t="s">
        <v>2143</v>
      </c>
      <c r="L125" s="2" t="s">
        <v>2143</v>
      </c>
      <c r="M125" s="2" t="s">
        <v>957</v>
      </c>
      <c r="N125" s="272"/>
    </row>
    <row r="126" spans="1:14" x14ac:dyDescent="0.35">
      <c r="A126" s="2">
        <v>124</v>
      </c>
      <c r="B126" s="2" t="s">
        <v>291</v>
      </c>
      <c r="C126" s="38" t="str">
        <f>VLOOKUP(B126,'CST Gantry To AP 68 Common Poin'!C:D,2,0)</f>
        <v>DB2+3</v>
      </c>
      <c r="D126" s="2"/>
      <c r="E126" s="38"/>
      <c r="F126" s="38"/>
      <c r="G126" s="38" t="s">
        <v>2133</v>
      </c>
      <c r="H126" s="454" t="s">
        <v>424</v>
      </c>
      <c r="I126" s="39" t="s">
        <v>1988</v>
      </c>
      <c r="J126" s="2" t="s">
        <v>2025</v>
      </c>
      <c r="K126" s="2" t="s">
        <v>2143</v>
      </c>
      <c r="L126" s="2" t="s">
        <v>2143</v>
      </c>
      <c r="M126" s="2" t="s">
        <v>984</v>
      </c>
      <c r="N126" s="272"/>
    </row>
    <row r="127" spans="1:14" x14ac:dyDescent="0.35">
      <c r="A127" s="2">
        <v>125</v>
      </c>
      <c r="B127" s="40" t="s">
        <v>158</v>
      </c>
      <c r="C127" s="38" t="str">
        <f>VLOOKUP(B127,'CST Gantry To AP 68 Common Poin'!C:D,2,0)</f>
        <v>DA+1.5</v>
      </c>
      <c r="D127" s="2"/>
      <c r="E127" s="38"/>
      <c r="F127" s="38"/>
      <c r="G127" s="38" t="s">
        <v>2131</v>
      </c>
      <c r="H127" s="454" t="s">
        <v>424</v>
      </c>
      <c r="I127" s="39" t="s">
        <v>1989</v>
      </c>
      <c r="J127" s="2" t="s">
        <v>1994</v>
      </c>
      <c r="K127" s="2" t="s">
        <v>2143</v>
      </c>
      <c r="L127" s="2" t="s">
        <v>2143</v>
      </c>
      <c r="M127" s="2" t="s">
        <v>775</v>
      </c>
      <c r="N127" s="272"/>
    </row>
    <row r="128" spans="1:14" x14ac:dyDescent="0.35">
      <c r="A128" s="2">
        <v>126</v>
      </c>
      <c r="B128" s="38" t="s">
        <v>222</v>
      </c>
      <c r="C128" s="38" t="str">
        <f>VLOOKUP(B128,'CST Gantry To AP 68 Common Poin'!C:D,2,0)</f>
        <v>DA+0</v>
      </c>
      <c r="D128" s="2"/>
      <c r="E128" s="38"/>
      <c r="F128" s="38"/>
      <c r="G128" s="38" t="s">
        <v>2132</v>
      </c>
      <c r="H128" s="454" t="s">
        <v>424</v>
      </c>
      <c r="I128" s="39" t="s">
        <v>1989</v>
      </c>
      <c r="J128" s="2" t="s">
        <v>1987</v>
      </c>
      <c r="K128" s="2" t="s">
        <v>2143</v>
      </c>
      <c r="L128" s="2" t="s">
        <v>2143</v>
      </c>
      <c r="M128" s="2" t="s">
        <v>952</v>
      </c>
      <c r="N128" s="272"/>
    </row>
    <row r="129" spans="1:15" x14ac:dyDescent="0.35">
      <c r="A129" s="2">
        <v>127</v>
      </c>
      <c r="B129" s="38" t="s">
        <v>286</v>
      </c>
      <c r="C129" s="38" t="str">
        <f>VLOOKUP(B129,'CST Gantry To AP 68 Common Poin'!C:D,2,0)</f>
        <v>DA+0</v>
      </c>
      <c r="D129" s="2"/>
      <c r="E129" s="38"/>
      <c r="F129" s="38"/>
      <c r="G129" s="38" t="s">
        <v>2133</v>
      </c>
      <c r="H129" s="454" t="s">
        <v>424</v>
      </c>
      <c r="I129" s="39" t="s">
        <v>1992</v>
      </c>
      <c r="J129" s="2" t="s">
        <v>1994</v>
      </c>
      <c r="K129" s="2" t="s">
        <v>2143</v>
      </c>
      <c r="L129" s="2" t="s">
        <v>2143</v>
      </c>
      <c r="M129" s="2" t="s">
        <v>957</v>
      </c>
      <c r="N129" s="272"/>
    </row>
    <row r="130" spans="1:15" x14ac:dyDescent="0.35">
      <c r="A130" s="2">
        <v>128</v>
      </c>
      <c r="B130" s="38" t="s">
        <v>209</v>
      </c>
      <c r="C130" s="38" t="str">
        <f>VLOOKUP(B130,'CST Gantry To AP 68 Common Poin'!C:D,2,0)</f>
        <v>DA+0</v>
      </c>
      <c r="D130" s="2"/>
      <c r="E130" s="38"/>
      <c r="F130" s="38"/>
      <c r="G130" s="38" t="s">
        <v>2132</v>
      </c>
      <c r="H130" s="454" t="s">
        <v>424</v>
      </c>
      <c r="I130" s="39" t="s">
        <v>1989</v>
      </c>
      <c r="J130" s="2" t="s">
        <v>1993</v>
      </c>
      <c r="K130" s="2" t="s">
        <v>2143</v>
      </c>
      <c r="L130" s="2" t="s">
        <v>2143</v>
      </c>
      <c r="M130" s="2" t="s">
        <v>2279</v>
      </c>
      <c r="N130" s="272"/>
    </row>
    <row r="131" spans="1:15" x14ac:dyDescent="0.35">
      <c r="A131" s="2">
        <v>129</v>
      </c>
      <c r="B131" s="40" t="s">
        <v>77</v>
      </c>
      <c r="C131" s="38" t="str">
        <f>VLOOKUP(B131,'CST Gantry To AP 68 Common Poin'!C:D,2,0)</f>
        <v>DA+0</v>
      </c>
      <c r="D131" s="2"/>
      <c r="E131" s="38"/>
      <c r="F131" s="38"/>
      <c r="G131" s="38" t="s">
        <v>2131</v>
      </c>
      <c r="H131" s="454" t="s">
        <v>424</v>
      </c>
      <c r="I131" s="39" t="s">
        <v>1989</v>
      </c>
      <c r="J131" s="2" t="s">
        <v>1987</v>
      </c>
      <c r="K131" s="2" t="s">
        <v>2143</v>
      </c>
      <c r="L131" s="2" t="s">
        <v>2143</v>
      </c>
      <c r="M131" s="2" t="s">
        <v>2278</v>
      </c>
      <c r="N131" s="272"/>
    </row>
    <row r="132" spans="1:15" x14ac:dyDescent="0.35">
      <c r="A132" s="2">
        <v>130</v>
      </c>
      <c r="B132" s="38" t="s">
        <v>338</v>
      </c>
      <c r="C132" s="38" t="str">
        <f>VLOOKUP(B132,'CST Gantry To AP 68 Common Poin'!C:D,2,0)</f>
        <v>DA+3</v>
      </c>
      <c r="D132" s="2"/>
      <c r="E132" s="38"/>
      <c r="F132" s="38"/>
      <c r="G132" s="38" t="s">
        <v>2133</v>
      </c>
      <c r="H132" s="454" t="s">
        <v>424</v>
      </c>
      <c r="I132" s="39" t="s">
        <v>1993</v>
      </c>
      <c r="J132" s="2" t="s">
        <v>1994</v>
      </c>
      <c r="K132" s="2" t="s">
        <v>2143</v>
      </c>
      <c r="L132" s="2" t="s">
        <v>2143</v>
      </c>
      <c r="M132" s="2" t="s">
        <v>905</v>
      </c>
      <c r="N132" s="272"/>
    </row>
    <row r="133" spans="1:15" x14ac:dyDescent="0.35">
      <c r="A133" s="2">
        <v>131</v>
      </c>
      <c r="B133" s="38" t="s">
        <v>196</v>
      </c>
      <c r="C133" s="38" t="str">
        <f>VLOOKUP(B133,'CST Gantry To AP 68 Common Poin'!C:D,2,0)</f>
        <v>DD45+12</v>
      </c>
      <c r="D133" s="2"/>
      <c r="E133" s="38"/>
      <c r="F133" s="38"/>
      <c r="G133" s="38" t="s">
        <v>2131</v>
      </c>
      <c r="H133" s="454" t="s">
        <v>424</v>
      </c>
      <c r="I133" s="39" t="s">
        <v>1991</v>
      </c>
      <c r="J133" s="2" t="s">
        <v>2026</v>
      </c>
      <c r="K133" s="2" t="s">
        <v>2143</v>
      </c>
      <c r="L133" s="2" t="s">
        <v>2143</v>
      </c>
      <c r="M133" s="2" t="s">
        <v>2279</v>
      </c>
      <c r="N133" s="272"/>
    </row>
    <row r="134" spans="1:15" x14ac:dyDescent="0.35">
      <c r="A134" s="2">
        <v>132</v>
      </c>
      <c r="B134" s="38" t="s">
        <v>246</v>
      </c>
      <c r="C134" s="38" t="str">
        <f>VLOOKUP(B134,'CST Gantry To AP 68 Common Poin'!C:D,2,0)</f>
        <v>DC2+0</v>
      </c>
      <c r="D134" s="2"/>
      <c r="E134" s="38"/>
      <c r="F134" s="38"/>
      <c r="G134" s="38" t="s">
        <v>2132</v>
      </c>
      <c r="H134" s="454" t="s">
        <v>424</v>
      </c>
      <c r="I134" s="39" t="s">
        <v>1994</v>
      </c>
      <c r="J134" s="2" t="s">
        <v>2023</v>
      </c>
      <c r="K134" s="2" t="s">
        <v>2143</v>
      </c>
      <c r="L134" s="2" t="s">
        <v>2143</v>
      </c>
      <c r="M134" s="2" t="s">
        <v>952</v>
      </c>
      <c r="N134" s="272"/>
    </row>
    <row r="135" spans="1:15" x14ac:dyDescent="0.35">
      <c r="A135" s="2">
        <v>133</v>
      </c>
      <c r="B135" s="38" t="s">
        <v>112</v>
      </c>
      <c r="C135" s="38" t="str">
        <f>VLOOKUP(B135,'CST Gantry To AP 68 Common Poin'!C:D,2,0)</f>
        <v>DB2+3</v>
      </c>
      <c r="D135" s="2"/>
      <c r="E135" s="38"/>
      <c r="F135" s="38"/>
      <c r="G135" s="38" t="s">
        <v>2131</v>
      </c>
      <c r="H135" s="454" t="s">
        <v>424</v>
      </c>
      <c r="I135" s="39" t="s">
        <v>1994</v>
      </c>
      <c r="J135" s="2" t="s">
        <v>2023</v>
      </c>
      <c r="K135" s="2" t="s">
        <v>2143</v>
      </c>
      <c r="L135" s="2" t="s">
        <v>2143</v>
      </c>
      <c r="M135" s="2" t="s">
        <v>2278</v>
      </c>
      <c r="N135" s="272"/>
      <c r="O135" s="291"/>
    </row>
    <row r="136" spans="1:15" x14ac:dyDescent="0.35">
      <c r="A136" s="2">
        <v>134</v>
      </c>
      <c r="B136" s="38" t="s">
        <v>169</v>
      </c>
      <c r="C136" s="38" t="str">
        <f>VLOOKUP(B136,'CST Gantry To AP 68 Common Poin'!C:D,2,0)</f>
        <v>DA+0</v>
      </c>
      <c r="D136" s="2"/>
      <c r="E136" s="38"/>
      <c r="F136" s="38"/>
      <c r="G136" s="38" t="s">
        <v>2131</v>
      </c>
      <c r="H136" s="454" t="s">
        <v>424</v>
      </c>
      <c r="I136" s="39" t="s">
        <v>1994</v>
      </c>
      <c r="J136" s="2" t="s">
        <v>2022</v>
      </c>
      <c r="K136" s="2" t="s">
        <v>2143</v>
      </c>
      <c r="L136" s="2" t="s">
        <v>2143</v>
      </c>
      <c r="M136" s="2" t="s">
        <v>1995</v>
      </c>
      <c r="N136" s="272"/>
    </row>
    <row r="137" spans="1:15" x14ac:dyDescent="0.35">
      <c r="A137" s="2">
        <v>135</v>
      </c>
      <c r="B137" s="38" t="s">
        <v>220</v>
      </c>
      <c r="C137" s="38" t="str">
        <f>VLOOKUP(B137,'CST Gantry To AP 68 Common Poin'!C:D,2,0)</f>
        <v>DA+3</v>
      </c>
      <c r="D137" s="2"/>
      <c r="E137" s="38"/>
      <c r="F137" s="674">
        <v>37.931088000000003</v>
      </c>
      <c r="G137" s="38" t="s">
        <v>2132</v>
      </c>
      <c r="H137" s="454" t="s">
        <v>424</v>
      </c>
      <c r="I137" s="39" t="s">
        <v>1998</v>
      </c>
      <c r="J137" s="39">
        <v>46121</v>
      </c>
      <c r="K137" s="39" t="s">
        <v>2143</v>
      </c>
      <c r="L137" s="39" t="s">
        <v>2138</v>
      </c>
      <c r="M137" s="2" t="s">
        <v>1996</v>
      </c>
      <c r="N137" s="272"/>
    </row>
    <row r="138" spans="1:15" x14ac:dyDescent="0.35">
      <c r="A138" s="2">
        <v>136</v>
      </c>
      <c r="B138" s="38" t="s">
        <v>159</v>
      </c>
      <c r="C138" s="38" t="str">
        <f>VLOOKUP(B138,'CST Gantry To AP 68 Common Poin'!C:D,2,0)</f>
        <v>DA(-)3</v>
      </c>
      <c r="D138" s="2"/>
      <c r="E138" s="38"/>
      <c r="F138" s="674">
        <v>34.789809999999996</v>
      </c>
      <c r="G138" s="38" t="s">
        <v>2131</v>
      </c>
      <c r="H138" s="454" t="s">
        <v>424</v>
      </c>
      <c r="I138" s="39" t="s">
        <v>1999</v>
      </c>
      <c r="J138" s="439" t="s">
        <v>2027</v>
      </c>
      <c r="K138" s="2" t="s">
        <v>2143</v>
      </c>
      <c r="L138" s="439" t="s">
        <v>2138</v>
      </c>
      <c r="M138" s="2" t="s">
        <v>775</v>
      </c>
      <c r="N138" s="272"/>
    </row>
    <row r="139" spans="1:15" x14ac:dyDescent="0.35">
      <c r="A139" s="2">
        <v>137</v>
      </c>
      <c r="B139" s="38" t="s">
        <v>339</v>
      </c>
      <c r="C139" s="38" t="str">
        <f>VLOOKUP(B139,'CST Gantry To AP 68 Common Poin'!C:D,2,0)</f>
        <v>DA(-)1.5</v>
      </c>
      <c r="D139" s="2"/>
      <c r="E139" s="38"/>
      <c r="F139" s="38"/>
      <c r="G139" s="38" t="s">
        <v>2133</v>
      </c>
      <c r="H139" s="454" t="s">
        <v>424</v>
      </c>
      <c r="I139" s="39" t="s">
        <v>2020</v>
      </c>
      <c r="J139" s="2" t="s">
        <v>2023</v>
      </c>
      <c r="K139" s="2" t="s">
        <v>2143</v>
      </c>
      <c r="L139" s="2" t="s">
        <v>2143</v>
      </c>
      <c r="M139" s="2" t="s">
        <v>905</v>
      </c>
      <c r="N139" s="272"/>
    </row>
    <row r="140" spans="1:15" x14ac:dyDescent="0.35">
      <c r="A140" s="2">
        <v>138</v>
      </c>
      <c r="B140" s="38" t="s">
        <v>275</v>
      </c>
      <c r="C140" s="38" t="str">
        <f>VLOOKUP(B140,'CST Gantry To AP 68 Common Poin'!C:D,2,0)</f>
        <v>DA+0</v>
      </c>
      <c r="D140" s="2"/>
      <c r="E140" s="38"/>
      <c r="F140" s="38"/>
      <c r="G140" s="38" t="s">
        <v>2133</v>
      </c>
      <c r="H140" s="454" t="s">
        <v>424</v>
      </c>
      <c r="I140" s="39" t="s">
        <v>1999</v>
      </c>
      <c r="J140" s="2" t="s">
        <v>2026</v>
      </c>
      <c r="K140" s="2" t="s">
        <v>2143</v>
      </c>
      <c r="L140" s="2" t="s">
        <v>2143</v>
      </c>
      <c r="M140" s="2" t="s">
        <v>957</v>
      </c>
      <c r="N140" s="272"/>
    </row>
    <row r="141" spans="1:15" x14ac:dyDescent="0.35">
      <c r="A141" s="2">
        <v>139</v>
      </c>
      <c r="B141" s="38" t="s">
        <v>166</v>
      </c>
      <c r="C141" s="38" t="str">
        <f>VLOOKUP(B141,'CST Gantry To AP 68 Common Poin'!C:D,2,0)</f>
        <v>DA+1.5</v>
      </c>
      <c r="D141" s="2"/>
      <c r="E141" s="38"/>
      <c r="F141" s="674">
        <v>37.138328000000001</v>
      </c>
      <c r="G141" s="38" t="s">
        <v>2131</v>
      </c>
      <c r="H141" s="454" t="s">
        <v>424</v>
      </c>
      <c r="I141" s="39" t="s">
        <v>1999</v>
      </c>
      <c r="J141" s="2" t="s">
        <v>2030</v>
      </c>
      <c r="K141" s="2" t="s">
        <v>2143</v>
      </c>
      <c r="L141" s="439" t="s">
        <v>2138</v>
      </c>
      <c r="M141" s="2" t="s">
        <v>1997</v>
      </c>
      <c r="N141" s="272"/>
    </row>
    <row r="142" spans="1:15" x14ac:dyDescent="0.35">
      <c r="A142" s="2">
        <v>140</v>
      </c>
      <c r="B142" s="38" t="s">
        <v>168</v>
      </c>
      <c r="C142" s="38" t="str">
        <f>VLOOKUP(B142,'CST Gantry To AP 68 Common Poin'!C:D,2,0)</f>
        <v>DA+1.5</v>
      </c>
      <c r="D142" s="2"/>
      <c r="E142" s="38"/>
      <c r="F142" s="674">
        <v>37.138328000000001</v>
      </c>
      <c r="G142" s="38" t="s">
        <v>2131</v>
      </c>
      <c r="H142" s="454" t="s">
        <v>424</v>
      </c>
      <c r="I142" s="39" t="s">
        <v>2025</v>
      </c>
      <c r="J142" s="2" t="s">
        <v>2031</v>
      </c>
      <c r="K142" s="2" t="s">
        <v>2143</v>
      </c>
      <c r="L142" s="439" t="s">
        <v>2138</v>
      </c>
      <c r="M142" s="2" t="s">
        <v>1995</v>
      </c>
      <c r="N142" s="272"/>
    </row>
    <row r="143" spans="1:15" x14ac:dyDescent="0.35">
      <c r="A143" s="2">
        <v>141</v>
      </c>
      <c r="B143" s="38" t="s">
        <v>81</v>
      </c>
      <c r="C143" s="38" t="str">
        <f>VLOOKUP(B143,'CST Gantry To AP 68 Common Poin'!C:D,2,0)</f>
        <v>DA+0</v>
      </c>
      <c r="D143" s="2"/>
      <c r="E143" s="38"/>
      <c r="F143" s="674">
        <v>36.159756000000002</v>
      </c>
      <c r="G143" s="38" t="s">
        <v>2131</v>
      </c>
      <c r="H143" s="454" t="s">
        <v>424</v>
      </c>
      <c r="I143" s="39" t="s">
        <v>2025</v>
      </c>
      <c r="J143" s="2" t="s">
        <v>2028</v>
      </c>
      <c r="K143" s="2" t="s">
        <v>2143</v>
      </c>
      <c r="L143" s="439" t="s">
        <v>2138</v>
      </c>
      <c r="M143" s="2" t="s">
        <v>2278</v>
      </c>
      <c r="N143" s="272"/>
      <c r="O143" s="80"/>
    </row>
    <row r="144" spans="1:15" x14ac:dyDescent="0.35">
      <c r="A144" s="2">
        <v>142</v>
      </c>
      <c r="B144" s="2" t="s">
        <v>244</v>
      </c>
      <c r="C144" s="38" t="str">
        <f>VLOOKUP(B144,'CST Gantry To AP 68 Common Poin'!C:D,2,0)</f>
        <v>DA+0</v>
      </c>
      <c r="D144" s="2"/>
      <c r="E144" s="38"/>
      <c r="F144" s="674">
        <v>36.159756000000002</v>
      </c>
      <c r="G144" s="38" t="s">
        <v>2132</v>
      </c>
      <c r="H144" s="454" t="s">
        <v>424</v>
      </c>
      <c r="I144" s="39" t="s">
        <v>2026</v>
      </c>
      <c r="J144" s="2" t="s">
        <v>2030</v>
      </c>
      <c r="K144" s="2" t="s">
        <v>2143</v>
      </c>
      <c r="L144" s="439" t="s">
        <v>2138</v>
      </c>
      <c r="M144" s="2" t="s">
        <v>952</v>
      </c>
      <c r="N144" s="272"/>
    </row>
    <row r="145" spans="1:15" x14ac:dyDescent="0.35">
      <c r="A145" s="2">
        <v>143</v>
      </c>
      <c r="B145" s="2" t="s">
        <v>337</v>
      </c>
      <c r="C145" s="38" t="str">
        <f>VLOOKUP(B145,'CST Gantry To AP 68 Common Poin'!C:D,2,0)</f>
        <v>DA(-)3</v>
      </c>
      <c r="D145" s="2"/>
      <c r="E145" s="38"/>
      <c r="F145" s="674">
        <v>34.789809999999996</v>
      </c>
      <c r="G145" s="38" t="s">
        <v>2133</v>
      </c>
      <c r="H145" s="454" t="s">
        <v>424</v>
      </c>
      <c r="I145" s="39" t="s">
        <v>2026</v>
      </c>
      <c r="J145" s="2" t="s">
        <v>2030</v>
      </c>
      <c r="K145" s="2" t="s">
        <v>2143</v>
      </c>
      <c r="L145" s="439" t="s">
        <v>2138</v>
      </c>
      <c r="M145" s="2" t="s">
        <v>905</v>
      </c>
      <c r="N145" s="272"/>
    </row>
    <row r="146" spans="1:15" x14ac:dyDescent="0.35">
      <c r="A146" s="2">
        <v>144</v>
      </c>
      <c r="B146" s="2" t="s">
        <v>392</v>
      </c>
      <c r="C146" s="38" t="str">
        <f>VLOOKUP(B146,'CST Gantry To AP 68 Common Poin'!C:D,2,0)</f>
        <v>DA+3</v>
      </c>
      <c r="D146" s="2"/>
      <c r="E146" s="38"/>
      <c r="F146" s="674">
        <v>37.931088000000003</v>
      </c>
      <c r="G146" s="38" t="s">
        <v>2133</v>
      </c>
      <c r="H146" s="454" t="s">
        <v>424</v>
      </c>
      <c r="I146" s="39" t="s">
        <v>2027</v>
      </c>
      <c r="J146" s="39">
        <v>46119</v>
      </c>
      <c r="K146" s="39" t="s">
        <v>2138</v>
      </c>
      <c r="L146" s="39" t="s">
        <v>2138</v>
      </c>
      <c r="M146" s="2" t="s">
        <v>984</v>
      </c>
      <c r="N146" s="272"/>
      <c r="O146" s="292"/>
    </row>
    <row r="147" spans="1:15" x14ac:dyDescent="0.35">
      <c r="A147" s="2">
        <v>145</v>
      </c>
      <c r="B147" s="2" t="s">
        <v>201</v>
      </c>
      <c r="C147" s="38" t="str">
        <f>VLOOKUP(B147,'CST Gantry To AP 68 Common Poin'!C:D,2,0)</f>
        <v>DA(-)3</v>
      </c>
      <c r="D147" s="2"/>
      <c r="E147" s="38"/>
      <c r="F147" s="674">
        <v>34.789809999999996</v>
      </c>
      <c r="G147" s="38" t="s">
        <v>2131</v>
      </c>
      <c r="H147" s="454" t="s">
        <v>424</v>
      </c>
      <c r="I147" s="39" t="s">
        <v>2028</v>
      </c>
      <c r="J147" s="2" t="s">
        <v>2031</v>
      </c>
      <c r="K147" s="39" t="s">
        <v>2138</v>
      </c>
      <c r="L147" s="439" t="s">
        <v>2138</v>
      </c>
      <c r="M147" s="2" t="s">
        <v>2279</v>
      </c>
      <c r="N147" s="272"/>
    </row>
    <row r="148" spans="1:15" x14ac:dyDescent="0.35">
      <c r="A148" s="2">
        <v>146</v>
      </c>
      <c r="B148" s="2" t="s">
        <v>272</v>
      </c>
      <c r="C148" s="38" t="str">
        <f>VLOOKUP(B148,'CST Gantry To AP 68 Common Poin'!C:D,2,0)</f>
        <v>DA+0</v>
      </c>
      <c r="D148" s="2"/>
      <c r="E148" s="38"/>
      <c r="F148" s="674">
        <v>36.159756000000002</v>
      </c>
      <c r="G148" s="38" t="s">
        <v>2133</v>
      </c>
      <c r="H148" s="454" t="s">
        <v>424</v>
      </c>
      <c r="I148" s="39" t="s">
        <v>2028</v>
      </c>
      <c r="J148" s="39">
        <v>46119</v>
      </c>
      <c r="K148" s="39" t="s">
        <v>2138</v>
      </c>
      <c r="L148" s="39" t="s">
        <v>2138</v>
      </c>
      <c r="M148" s="2" t="s">
        <v>957</v>
      </c>
      <c r="N148" s="272"/>
    </row>
    <row r="149" spans="1:15" x14ac:dyDescent="0.35">
      <c r="A149" s="2">
        <v>147</v>
      </c>
      <c r="B149" s="40" t="s">
        <v>160</v>
      </c>
      <c r="C149" s="38" t="str">
        <f>VLOOKUP(B149,'CST Gantry To AP 68 Common Poin'!C:D,2,0)</f>
        <v>DA(-)1.5</v>
      </c>
      <c r="D149" s="2"/>
      <c r="E149" s="38"/>
      <c r="F149" s="674">
        <v>35.601762000000001</v>
      </c>
      <c r="G149" s="38" t="s">
        <v>2131</v>
      </c>
      <c r="H149" s="454" t="s">
        <v>424</v>
      </c>
      <c r="I149" s="39" t="s">
        <v>2029</v>
      </c>
      <c r="J149" s="39">
        <v>46121</v>
      </c>
      <c r="K149" s="39" t="s">
        <v>2138</v>
      </c>
      <c r="L149" s="39" t="s">
        <v>2138</v>
      </c>
      <c r="M149" s="2" t="s">
        <v>775</v>
      </c>
      <c r="N149" s="272"/>
    </row>
    <row r="150" spans="1:15" x14ac:dyDescent="0.35">
      <c r="A150" s="2">
        <v>148</v>
      </c>
      <c r="B150" s="38" t="s">
        <v>89</v>
      </c>
      <c r="C150" s="38" t="str">
        <f>VLOOKUP(B150,'CST Gantry To AP 68 Common Poin'!C:D,2,0)</f>
        <v>DA+0</v>
      </c>
      <c r="D150" s="2"/>
      <c r="E150" s="38"/>
      <c r="F150" s="674">
        <v>36.159756000000002</v>
      </c>
      <c r="G150" s="38" t="s">
        <v>2131</v>
      </c>
      <c r="H150" s="454" t="s">
        <v>424</v>
      </c>
      <c r="I150" s="39" t="s">
        <v>2029</v>
      </c>
      <c r="J150" s="2" t="s">
        <v>2032</v>
      </c>
      <c r="K150" s="39" t="s">
        <v>2138</v>
      </c>
      <c r="L150" s="439" t="s">
        <v>2138</v>
      </c>
      <c r="M150" s="2" t="s">
        <v>2278</v>
      </c>
      <c r="N150" s="272"/>
    </row>
    <row r="151" spans="1:15" x14ac:dyDescent="0.35">
      <c r="A151" s="2">
        <v>149</v>
      </c>
      <c r="B151" s="38" t="s">
        <v>174</v>
      </c>
      <c r="C151" s="38" t="str">
        <f>VLOOKUP(B151,'CST Gantry To AP 68 Common Poin'!C:D,2,0)</f>
        <v>DA+1.5</v>
      </c>
      <c r="D151" s="2"/>
      <c r="E151" s="38"/>
      <c r="F151" s="674">
        <v>37.138328000000001</v>
      </c>
      <c r="G151" s="38" t="s">
        <v>2131</v>
      </c>
      <c r="H151" s="454" t="s">
        <v>424</v>
      </c>
      <c r="I151" s="39" t="s">
        <v>2029</v>
      </c>
      <c r="J151" s="39">
        <v>46122</v>
      </c>
      <c r="K151" s="39" t="s">
        <v>2138</v>
      </c>
      <c r="L151" s="39" t="s">
        <v>2138</v>
      </c>
      <c r="M151" s="2" t="s">
        <v>985</v>
      </c>
      <c r="N151" s="272"/>
    </row>
    <row r="152" spans="1:15" x14ac:dyDescent="0.35">
      <c r="A152" s="2">
        <v>150</v>
      </c>
      <c r="B152" s="38" t="s">
        <v>165</v>
      </c>
      <c r="C152" s="38" t="str">
        <f>VLOOKUP(B152,'CST Gantry To AP 68 Common Poin'!C:D,2,0)</f>
        <v>DA+1.5</v>
      </c>
      <c r="D152" s="2"/>
      <c r="E152" s="38"/>
      <c r="F152" s="674">
        <v>37.138328000000001</v>
      </c>
      <c r="G152" s="38" t="s">
        <v>2131</v>
      </c>
      <c r="H152" s="454" t="s">
        <v>424</v>
      </c>
      <c r="I152" s="39" t="s">
        <v>2032</v>
      </c>
      <c r="J152" s="39">
        <v>46125</v>
      </c>
      <c r="K152" s="39" t="s">
        <v>2138</v>
      </c>
      <c r="L152" s="39" t="s">
        <v>2138</v>
      </c>
      <c r="M152" s="2" t="s">
        <v>1997</v>
      </c>
      <c r="N152" s="272"/>
    </row>
    <row r="153" spans="1:15" x14ac:dyDescent="0.35">
      <c r="A153" s="2">
        <v>151</v>
      </c>
      <c r="B153" s="38" t="s">
        <v>242</v>
      </c>
      <c r="C153" s="38" t="str">
        <f>VLOOKUP(B153,'CST Gantry To AP 68 Common Poin'!C:D,2,0)</f>
        <v>DA(-)3</v>
      </c>
      <c r="D153" s="2"/>
      <c r="E153" s="38"/>
      <c r="F153" s="674">
        <v>34.789809999999996</v>
      </c>
      <c r="G153" s="38" t="s">
        <v>2132</v>
      </c>
      <c r="H153" s="454" t="s">
        <v>424</v>
      </c>
      <c r="I153" s="39" t="s">
        <v>2032</v>
      </c>
      <c r="J153" s="39">
        <v>46121</v>
      </c>
      <c r="K153" s="39" t="s">
        <v>2138</v>
      </c>
      <c r="L153" s="39" t="s">
        <v>2138</v>
      </c>
      <c r="M153" s="2" t="s">
        <v>952</v>
      </c>
      <c r="N153" s="272"/>
    </row>
    <row r="154" spans="1:15" x14ac:dyDescent="0.35">
      <c r="A154" s="2">
        <v>152</v>
      </c>
      <c r="B154" s="38" t="s">
        <v>342</v>
      </c>
      <c r="C154" s="38" t="str">
        <f>VLOOKUP(B154,'CST Gantry To AP 68 Common Poin'!C:D,2,0)</f>
        <v>DB2+6</v>
      </c>
      <c r="D154" s="2"/>
      <c r="E154" s="38"/>
      <c r="F154" s="674">
        <v>69.375960000000006</v>
      </c>
      <c r="G154" s="38" t="s">
        <v>2133</v>
      </c>
      <c r="H154" s="454" t="s">
        <v>424</v>
      </c>
      <c r="I154" s="39" t="s">
        <v>2032</v>
      </c>
      <c r="J154" s="39">
        <v>46127</v>
      </c>
      <c r="K154" s="39" t="s">
        <v>2138</v>
      </c>
      <c r="L154" s="39" t="s">
        <v>2138</v>
      </c>
      <c r="M154" s="2" t="s">
        <v>905</v>
      </c>
      <c r="N154" s="272"/>
      <c r="O154" s="80"/>
    </row>
    <row r="155" spans="1:15" x14ac:dyDescent="0.35">
      <c r="A155" s="2">
        <v>153</v>
      </c>
      <c r="B155" s="38" t="s">
        <v>167</v>
      </c>
      <c r="C155" s="38" t="str">
        <f>VLOOKUP(B155,'CST Gantry To AP 68 Common Poin'!C:D,2,0)</f>
        <v>DC1+0</v>
      </c>
      <c r="D155" s="2"/>
      <c r="E155" s="38"/>
      <c r="F155" s="674">
        <v>62.443705999999999</v>
      </c>
      <c r="G155" s="38" t="s">
        <v>2131</v>
      </c>
      <c r="H155" s="455" t="s">
        <v>492</v>
      </c>
      <c r="I155" s="39" t="s">
        <v>2032</v>
      </c>
      <c r="J155" s="39">
        <v>46128</v>
      </c>
      <c r="K155" s="39" t="s">
        <v>2138</v>
      </c>
      <c r="L155" s="39" t="s">
        <v>2138</v>
      </c>
      <c r="M155" s="2" t="s">
        <v>1995</v>
      </c>
      <c r="N155" s="272"/>
    </row>
    <row r="156" spans="1:15" x14ac:dyDescent="0.35">
      <c r="A156" s="2">
        <v>154</v>
      </c>
      <c r="B156" s="2" t="s">
        <v>191</v>
      </c>
      <c r="C156" s="38" t="str">
        <f>VLOOKUP(B156,'CST Gantry To AP 68 Common Poin'!C:D,2,0)</f>
        <v>DA+3</v>
      </c>
      <c r="D156" s="2"/>
      <c r="E156" s="38"/>
      <c r="F156" s="674">
        <v>37.931088000000003</v>
      </c>
      <c r="G156" s="38" t="s">
        <v>2131</v>
      </c>
      <c r="H156" s="454" t="s">
        <v>424</v>
      </c>
      <c r="I156" s="39" t="s">
        <v>2032</v>
      </c>
      <c r="J156" s="39">
        <v>46121</v>
      </c>
      <c r="K156" s="39" t="s">
        <v>2138</v>
      </c>
      <c r="L156" s="39" t="s">
        <v>2138</v>
      </c>
      <c r="M156" s="2" t="s">
        <v>2279</v>
      </c>
      <c r="N156" s="272"/>
    </row>
    <row r="157" spans="1:15" x14ac:dyDescent="0.35">
      <c r="A157" s="2">
        <v>155</v>
      </c>
      <c r="B157" s="38" t="s">
        <v>88</v>
      </c>
      <c r="C157" s="38" t="str">
        <f>VLOOKUP(B157,'CST Gantry To AP 68 Common Poin'!C:D,2,0)</f>
        <v>DA+3</v>
      </c>
      <c r="D157" s="2"/>
      <c r="E157" s="38"/>
      <c r="F157" s="674">
        <v>37.931088000000003</v>
      </c>
      <c r="G157" s="38" t="s">
        <v>2131</v>
      </c>
      <c r="H157" s="454" t="s">
        <v>424</v>
      </c>
      <c r="I157" s="39">
        <v>46120</v>
      </c>
      <c r="J157" s="39">
        <v>46123</v>
      </c>
      <c r="K157" s="39" t="s">
        <v>2138</v>
      </c>
      <c r="L157" s="39" t="s">
        <v>2138</v>
      </c>
      <c r="M157" s="2" t="s">
        <v>2278</v>
      </c>
      <c r="N157" s="272"/>
    </row>
    <row r="158" spans="1:15" x14ac:dyDescent="0.35">
      <c r="A158" s="2">
        <v>156</v>
      </c>
      <c r="B158" s="2" t="s">
        <v>290</v>
      </c>
      <c r="C158" s="38" t="str">
        <f>VLOOKUP(B158,'CST Gantry To AP 68 Common Poin'!C:D,2,0)</f>
        <v>DA+1.5</v>
      </c>
      <c r="D158" s="2"/>
      <c r="E158" s="38"/>
      <c r="F158" s="674">
        <v>37.138328000000001</v>
      </c>
      <c r="G158" s="38" t="s">
        <v>2133</v>
      </c>
      <c r="H158" s="454" t="s">
        <v>424</v>
      </c>
      <c r="I158" s="39">
        <v>46121</v>
      </c>
      <c r="J158" s="39">
        <v>46126</v>
      </c>
      <c r="K158" s="39" t="s">
        <v>2138</v>
      </c>
      <c r="L158" s="39" t="s">
        <v>2138</v>
      </c>
      <c r="M158" s="2" t="s">
        <v>984</v>
      </c>
      <c r="N158" s="272"/>
    </row>
    <row r="159" spans="1:15" x14ac:dyDescent="0.35">
      <c r="A159" s="2">
        <v>157</v>
      </c>
      <c r="B159" s="2" t="s">
        <v>206</v>
      </c>
      <c r="C159" s="38" t="str">
        <f>VLOOKUP(B159,'CST Gantry To AP 68 Common Poin'!C:D,2,0)</f>
        <v>DA+6</v>
      </c>
      <c r="D159" s="2"/>
      <c r="E159" s="38"/>
      <c r="F159" s="674">
        <v>43.804423999999997</v>
      </c>
      <c r="G159" s="38" t="s">
        <v>2131</v>
      </c>
      <c r="H159" s="454" t="s">
        <v>424</v>
      </c>
      <c r="I159" s="39">
        <v>46120</v>
      </c>
      <c r="J159" s="39">
        <v>46141</v>
      </c>
      <c r="K159" s="39" t="s">
        <v>2138</v>
      </c>
      <c r="L159" s="39" t="s">
        <v>2138</v>
      </c>
      <c r="M159" s="2" t="s">
        <v>2033</v>
      </c>
      <c r="N159" s="272"/>
    </row>
    <row r="160" spans="1:15" x14ac:dyDescent="0.35">
      <c r="A160" s="2">
        <v>158</v>
      </c>
      <c r="B160" s="38" t="s">
        <v>157</v>
      </c>
      <c r="C160" s="38" t="str">
        <f>VLOOKUP(B160,'CST Gantry To AP 68 Common Poin'!C:D,2,0)</f>
        <v>DA+0</v>
      </c>
      <c r="D160" s="2"/>
      <c r="E160" s="38"/>
      <c r="F160" s="674">
        <v>36.159756000000002</v>
      </c>
      <c r="G160" s="38" t="s">
        <v>2131</v>
      </c>
      <c r="H160" s="454" t="s">
        <v>424</v>
      </c>
      <c r="I160" s="39">
        <v>46123</v>
      </c>
      <c r="J160" s="39">
        <v>46126</v>
      </c>
      <c r="K160" s="39" t="s">
        <v>2138</v>
      </c>
      <c r="L160" s="39" t="s">
        <v>2138</v>
      </c>
      <c r="M160" s="2" t="s">
        <v>775</v>
      </c>
      <c r="N160" s="272"/>
    </row>
    <row r="161" spans="1:14" x14ac:dyDescent="0.35">
      <c r="A161" s="2">
        <v>159</v>
      </c>
      <c r="B161" s="2" t="s">
        <v>221</v>
      </c>
      <c r="C161" s="38" t="str">
        <f>VLOOKUP(B161,'CST Gantry To AP 68 Common Poin'!C:D,2,0)</f>
        <v>DA+0</v>
      </c>
      <c r="D161" s="2"/>
      <c r="E161" s="38"/>
      <c r="F161" s="674">
        <v>36.159756000000002</v>
      </c>
      <c r="G161" s="38" t="s">
        <v>2132</v>
      </c>
      <c r="H161" s="454" t="s">
        <v>424</v>
      </c>
      <c r="I161" s="39">
        <v>46124</v>
      </c>
      <c r="J161" s="39">
        <v>46133</v>
      </c>
      <c r="K161" s="39" t="s">
        <v>2138</v>
      </c>
      <c r="L161" s="39" t="s">
        <v>2138</v>
      </c>
      <c r="M161" s="2" t="s">
        <v>1996</v>
      </c>
      <c r="N161" s="272"/>
    </row>
    <row r="162" spans="1:14" x14ac:dyDescent="0.35">
      <c r="A162" s="2">
        <v>160</v>
      </c>
      <c r="B162" s="2" t="s">
        <v>193</v>
      </c>
      <c r="C162" s="38" t="str">
        <f>VLOOKUP(B162,'CST Gantry To AP 68 Common Poin'!C:D,2,0)</f>
        <v>DA(-)1.5</v>
      </c>
      <c r="D162" s="2"/>
      <c r="E162" s="38"/>
      <c r="F162" s="674">
        <v>35.601762000000001</v>
      </c>
      <c r="G162" s="38" t="s">
        <v>2131</v>
      </c>
      <c r="H162" s="454" t="s">
        <v>424</v>
      </c>
      <c r="I162" s="39">
        <v>46122</v>
      </c>
      <c r="J162" s="39">
        <v>46125</v>
      </c>
      <c r="K162" s="39" t="s">
        <v>2138</v>
      </c>
      <c r="L162" s="39" t="s">
        <v>2138</v>
      </c>
      <c r="M162" s="2" t="s">
        <v>2279</v>
      </c>
      <c r="N162" s="272"/>
    </row>
    <row r="163" spans="1:14" x14ac:dyDescent="0.35">
      <c r="A163" s="2">
        <v>161</v>
      </c>
      <c r="B163" s="2" t="s">
        <v>245</v>
      </c>
      <c r="C163" s="38" t="str">
        <f>VLOOKUP(B163,'CST Gantry To AP 68 Common Poin'!C:D,2,0)</f>
        <v>DA+1.5</v>
      </c>
      <c r="D163" s="2"/>
      <c r="E163" s="38"/>
      <c r="F163" s="674">
        <v>37.138328000000001</v>
      </c>
      <c r="G163" s="38" t="s">
        <v>2132</v>
      </c>
      <c r="H163" s="454" t="s">
        <v>424</v>
      </c>
      <c r="I163" s="39">
        <v>46122</v>
      </c>
      <c r="J163" s="39">
        <v>46127</v>
      </c>
      <c r="K163" s="39" t="s">
        <v>2138</v>
      </c>
      <c r="L163" s="39" t="s">
        <v>2138</v>
      </c>
      <c r="M163" s="2" t="s">
        <v>952</v>
      </c>
      <c r="N163" s="272"/>
    </row>
    <row r="164" spans="1:14" x14ac:dyDescent="0.35">
      <c r="A164" s="2">
        <v>162</v>
      </c>
      <c r="B164" s="2" t="s">
        <v>185</v>
      </c>
      <c r="C164" s="38" t="str">
        <f>VLOOKUP(B164,'CST Gantry To AP 68 Common Poin'!C:D,2,0)</f>
        <v>DA+6</v>
      </c>
      <c r="D164" s="2"/>
      <c r="E164" s="38"/>
      <c r="F164" s="674">
        <v>43.804423999999997</v>
      </c>
      <c r="G164" s="38" t="s">
        <v>2131</v>
      </c>
      <c r="H164" s="454" t="s">
        <v>424</v>
      </c>
      <c r="I164" s="39">
        <v>46124</v>
      </c>
      <c r="J164" s="39">
        <v>46130</v>
      </c>
      <c r="K164" s="39" t="s">
        <v>2138</v>
      </c>
      <c r="L164" s="39" t="s">
        <v>2138</v>
      </c>
      <c r="M164" s="2" t="s">
        <v>985</v>
      </c>
      <c r="N164" s="272"/>
    </row>
    <row r="165" spans="1:14" x14ac:dyDescent="0.35">
      <c r="A165" s="2">
        <v>163</v>
      </c>
      <c r="B165" s="40" t="s">
        <v>152</v>
      </c>
      <c r="C165" s="38" t="str">
        <f>VLOOKUP(B165,'CST Gantry To AP 68 Common Poin'!C:D,2,0)</f>
        <v>DA(-)3</v>
      </c>
      <c r="D165" s="2"/>
      <c r="E165" s="38"/>
      <c r="F165" s="674">
        <v>34.789809999999996</v>
      </c>
      <c r="G165" s="38" t="s">
        <v>2131</v>
      </c>
      <c r="H165" s="454" t="s">
        <v>424</v>
      </c>
      <c r="I165" s="39">
        <v>46125</v>
      </c>
      <c r="J165" s="39">
        <v>46133</v>
      </c>
      <c r="K165" s="39" t="s">
        <v>2138</v>
      </c>
      <c r="L165" s="39" t="s">
        <v>2138</v>
      </c>
      <c r="M165" s="2" t="s">
        <v>1997</v>
      </c>
      <c r="N165" s="272"/>
    </row>
    <row r="166" spans="1:14" ht="14.5" customHeight="1" x14ac:dyDescent="0.35">
      <c r="A166" s="2">
        <v>164</v>
      </c>
      <c r="B166" s="2" t="s">
        <v>192</v>
      </c>
      <c r="C166" s="38" t="str">
        <f>VLOOKUP(B166,'CST Gantry To AP 68 Common Poin'!C:D,2,0)</f>
        <v>DA+6</v>
      </c>
      <c r="D166" s="2"/>
      <c r="E166" s="38"/>
      <c r="F166" s="674">
        <v>43.804423999999997</v>
      </c>
      <c r="G166" s="38" t="s">
        <v>2131</v>
      </c>
      <c r="H166" s="454" t="s">
        <v>424</v>
      </c>
      <c r="I166" s="39">
        <v>46125</v>
      </c>
      <c r="J166" s="39">
        <v>46128</v>
      </c>
      <c r="K166" s="39" t="s">
        <v>2138</v>
      </c>
      <c r="L166" s="39" t="s">
        <v>2138</v>
      </c>
      <c r="M166" s="2" t="s">
        <v>2279</v>
      </c>
      <c r="N166" s="272"/>
    </row>
    <row r="167" spans="1:14" x14ac:dyDescent="0.35">
      <c r="A167" s="2">
        <v>165</v>
      </c>
      <c r="B167" s="2" t="s">
        <v>145</v>
      </c>
      <c r="C167" s="38" t="str">
        <f>VLOOKUP(B167,'CST Gantry To AP 68 Common Poin'!C:D,2,0)</f>
        <v>DC2+18</v>
      </c>
      <c r="D167" s="2"/>
      <c r="E167" s="38"/>
      <c r="F167" s="674">
        <v>99.778859999999995</v>
      </c>
      <c r="G167" s="38" t="s">
        <v>2131</v>
      </c>
      <c r="H167" s="454" t="s">
        <v>424</v>
      </c>
      <c r="I167" s="39">
        <v>46128</v>
      </c>
      <c r="J167" s="39">
        <v>46141</v>
      </c>
      <c r="K167" s="39" t="s">
        <v>2138</v>
      </c>
      <c r="L167" s="39" t="s">
        <v>2138</v>
      </c>
      <c r="M167" s="2" t="s">
        <v>2126</v>
      </c>
      <c r="N167" s="272"/>
    </row>
    <row r="168" spans="1:14" x14ac:dyDescent="0.35">
      <c r="A168" s="2">
        <v>166</v>
      </c>
      <c r="B168" s="2" t="s">
        <v>296</v>
      </c>
      <c r="C168" s="38" t="str">
        <f>VLOOKUP(B168,'CST Gantry To AP 68 Common Poin'!C:D,2,0)</f>
        <v>DA+3</v>
      </c>
      <c r="D168" s="2"/>
      <c r="E168" s="38"/>
      <c r="F168" s="674">
        <v>37.931088000000003</v>
      </c>
      <c r="G168" s="38" t="s">
        <v>2133</v>
      </c>
      <c r="H168" s="454" t="s">
        <v>424</v>
      </c>
      <c r="I168" s="39">
        <v>46126</v>
      </c>
      <c r="J168" s="39">
        <v>46135</v>
      </c>
      <c r="K168" s="39" t="s">
        <v>2138</v>
      </c>
      <c r="L168" s="39" t="s">
        <v>2138</v>
      </c>
      <c r="M168" s="2" t="s">
        <v>2127</v>
      </c>
      <c r="N168" s="272"/>
    </row>
    <row r="169" spans="1:14" x14ac:dyDescent="0.35">
      <c r="A169" s="2">
        <v>167</v>
      </c>
      <c r="B169" s="38" t="s">
        <v>39</v>
      </c>
      <c r="C169" s="38" t="str">
        <f>VLOOKUP(B169,'CST Gantry To AP 68 Common Poin'!C:D,2,0)</f>
        <v>DC2+0</v>
      </c>
      <c r="D169" s="2"/>
      <c r="E169" s="38"/>
      <c r="F169" s="674">
        <v>67.261728000000005</v>
      </c>
      <c r="G169" s="38" t="s">
        <v>2131</v>
      </c>
      <c r="H169" s="454" t="s">
        <v>424</v>
      </c>
      <c r="I169" s="39">
        <v>46124</v>
      </c>
      <c r="J169" s="39">
        <v>46130</v>
      </c>
      <c r="K169" s="39" t="s">
        <v>2138</v>
      </c>
      <c r="L169" s="39" t="s">
        <v>2138</v>
      </c>
      <c r="M169" s="2" t="s">
        <v>2128</v>
      </c>
      <c r="N169" s="272"/>
    </row>
    <row r="170" spans="1:14" x14ac:dyDescent="0.35">
      <c r="A170" s="2">
        <v>168</v>
      </c>
      <c r="B170" s="2" t="s">
        <v>250</v>
      </c>
      <c r="C170" s="38" t="str">
        <f>VLOOKUP(B170,'CST Gantry To AP 68 Common Poin'!C:D,2,0)</f>
        <v>DA+3</v>
      </c>
      <c r="D170" s="2"/>
      <c r="E170" s="38"/>
      <c r="F170" s="674">
        <v>37.931088000000003</v>
      </c>
      <c r="G170" s="38" t="s">
        <v>2132</v>
      </c>
      <c r="H170" s="454" t="s">
        <v>424</v>
      </c>
      <c r="I170" s="39">
        <v>46128</v>
      </c>
      <c r="J170" s="39">
        <v>46134</v>
      </c>
      <c r="K170" s="39" t="s">
        <v>2138</v>
      </c>
      <c r="L170" s="39" t="s">
        <v>2138</v>
      </c>
      <c r="M170" s="2" t="s">
        <v>952</v>
      </c>
      <c r="N170" s="272"/>
    </row>
    <row r="171" spans="1:14" x14ac:dyDescent="0.35">
      <c r="A171" s="2">
        <v>169</v>
      </c>
      <c r="B171" s="2" t="s">
        <v>341</v>
      </c>
      <c r="C171" s="38" t="str">
        <f>VLOOKUP(B171,'CST Gantry To AP 68 Common Poin'!C:D,2,0)</f>
        <v>DA(-)3</v>
      </c>
      <c r="D171" s="2"/>
      <c r="E171" s="38"/>
      <c r="F171" s="674">
        <v>34.789809999999996</v>
      </c>
      <c r="G171" s="38" t="s">
        <v>2133</v>
      </c>
      <c r="H171" s="454" t="s">
        <v>424</v>
      </c>
      <c r="I171" s="39">
        <v>46129</v>
      </c>
      <c r="J171" s="39">
        <v>46134</v>
      </c>
      <c r="K171" s="39" t="s">
        <v>2138</v>
      </c>
      <c r="L171" s="39" t="s">
        <v>2138</v>
      </c>
      <c r="M171" s="2" t="s">
        <v>905</v>
      </c>
      <c r="N171" s="272"/>
    </row>
    <row r="172" spans="1:14" x14ac:dyDescent="0.35">
      <c r="A172" s="2">
        <v>170</v>
      </c>
      <c r="B172" s="2" t="s">
        <v>194</v>
      </c>
      <c r="C172" s="38" t="str">
        <f>VLOOKUP(B172,'CST Gantry To AP 68 Common Poin'!C:D,2,0)</f>
        <v>DA+3</v>
      </c>
      <c r="D172" s="2"/>
      <c r="E172" s="38"/>
      <c r="F172" s="674">
        <v>37.931088000000003</v>
      </c>
      <c r="G172" s="38" t="s">
        <v>2131</v>
      </c>
      <c r="H172" s="454" t="s">
        <v>424</v>
      </c>
      <c r="I172" s="39">
        <v>46130</v>
      </c>
      <c r="J172" s="39">
        <v>46133</v>
      </c>
      <c r="K172" s="39" t="s">
        <v>2138</v>
      </c>
      <c r="L172" s="39" t="s">
        <v>2138</v>
      </c>
      <c r="M172" s="2" t="s">
        <v>2279</v>
      </c>
      <c r="N172" s="272"/>
    </row>
    <row r="173" spans="1:14" x14ac:dyDescent="0.35">
      <c r="A173" s="2">
        <v>171</v>
      </c>
      <c r="B173" s="40" t="s">
        <v>42</v>
      </c>
      <c r="C173" s="38" t="str">
        <f>VLOOKUP(B173,'CST Gantry To AP 68 Common Poin'!C:D,2,0)</f>
        <v>DA+1.5</v>
      </c>
      <c r="D173" s="2"/>
      <c r="E173" s="38"/>
      <c r="F173" s="674">
        <v>37.138328000000001</v>
      </c>
      <c r="G173" s="263" t="s">
        <v>2131</v>
      </c>
      <c r="H173" s="454" t="s">
        <v>424</v>
      </c>
      <c r="I173" s="39">
        <v>46131</v>
      </c>
      <c r="J173" s="39">
        <v>46134</v>
      </c>
      <c r="K173" s="39" t="s">
        <v>2138</v>
      </c>
      <c r="L173" s="39" t="s">
        <v>2138</v>
      </c>
      <c r="M173" s="2" t="s">
        <v>2128</v>
      </c>
      <c r="N173" s="272"/>
    </row>
    <row r="174" spans="1:14" x14ac:dyDescent="0.35">
      <c r="A174" s="2">
        <v>172</v>
      </c>
      <c r="B174" s="2" t="s">
        <v>183</v>
      </c>
      <c r="C174" s="38" t="str">
        <f>VLOOKUP(B174,'CST Gantry To AP 68 Common Poin'!C:D,2,0)</f>
        <v>DA+3</v>
      </c>
      <c r="D174" s="2"/>
      <c r="E174" s="38"/>
      <c r="F174" s="674">
        <v>37.931088000000003</v>
      </c>
      <c r="G174" s="263" t="s">
        <v>2131</v>
      </c>
      <c r="H174" s="454" t="s">
        <v>424</v>
      </c>
      <c r="I174" s="39">
        <v>46131</v>
      </c>
      <c r="J174" s="39">
        <v>46140</v>
      </c>
      <c r="K174" s="39" t="s">
        <v>2138</v>
      </c>
      <c r="L174" s="39" t="s">
        <v>2138</v>
      </c>
      <c r="M174" s="2" t="s">
        <v>985</v>
      </c>
      <c r="N174" s="272"/>
    </row>
    <row r="175" spans="1:14" x14ac:dyDescent="0.35">
      <c r="A175" s="2">
        <v>173</v>
      </c>
      <c r="B175" s="2" t="s">
        <v>256</v>
      </c>
      <c r="C175" s="38" t="str">
        <f>VLOOKUP(B175,'CST Gantry To AP 68 Common Poin'!C:D,2,0)</f>
        <v>DA+0</v>
      </c>
      <c r="D175" s="2"/>
      <c r="E175" s="38"/>
      <c r="F175" s="674">
        <v>36.159756000000002</v>
      </c>
      <c r="G175" s="2" t="s">
        <v>2132</v>
      </c>
      <c r="H175" s="454" t="s">
        <v>424</v>
      </c>
      <c r="I175" s="39">
        <v>46133</v>
      </c>
      <c r="J175" s="39">
        <v>46138</v>
      </c>
      <c r="K175" s="39" t="s">
        <v>2138</v>
      </c>
      <c r="L175" s="2" t="s">
        <v>2138</v>
      </c>
      <c r="M175" s="2" t="s">
        <v>2152</v>
      </c>
      <c r="N175" s="272"/>
    </row>
    <row r="176" spans="1:14" x14ac:dyDescent="0.35">
      <c r="A176" s="2">
        <v>174</v>
      </c>
      <c r="B176" s="2" t="s">
        <v>151</v>
      </c>
      <c r="C176" s="38" t="str">
        <f>VLOOKUP(B176,'CST Gantry To AP 68 Common Poin'!C:D,2,0)</f>
        <v>DA+6</v>
      </c>
      <c r="D176" s="2"/>
      <c r="E176" s="38"/>
      <c r="F176" s="674">
        <v>43.804423999999997</v>
      </c>
      <c r="G176" s="38" t="s">
        <v>2131</v>
      </c>
      <c r="H176" s="454" t="s">
        <v>424</v>
      </c>
      <c r="I176" s="39">
        <v>46134</v>
      </c>
      <c r="J176" s="39">
        <v>46142</v>
      </c>
      <c r="K176" s="39" t="s">
        <v>2138</v>
      </c>
      <c r="L176" s="2" t="s">
        <v>2138</v>
      </c>
      <c r="M176" s="2" t="s">
        <v>1997</v>
      </c>
      <c r="N176" s="272"/>
    </row>
    <row r="177" spans="1:14" x14ac:dyDescent="0.35">
      <c r="A177" s="2">
        <v>175</v>
      </c>
      <c r="B177" s="2" t="s">
        <v>189</v>
      </c>
      <c r="C177" s="38" t="str">
        <f>VLOOKUP(B177,'CST Gantry To AP 68 Common Poin'!C:D,2,0)</f>
        <v>DA+0</v>
      </c>
      <c r="D177" s="2"/>
      <c r="E177" s="38"/>
      <c r="F177" s="674">
        <v>36.159756000000002</v>
      </c>
      <c r="G177" s="263" t="s">
        <v>2131</v>
      </c>
      <c r="H177" s="454" t="s">
        <v>424</v>
      </c>
      <c r="I177" s="39">
        <v>46134</v>
      </c>
      <c r="J177" s="39">
        <v>46137</v>
      </c>
      <c r="K177" s="39" t="s">
        <v>2138</v>
      </c>
      <c r="L177" s="39" t="s">
        <v>2138</v>
      </c>
      <c r="M177" s="2" t="s">
        <v>2279</v>
      </c>
      <c r="N177" s="272"/>
    </row>
    <row r="178" spans="1:14" x14ac:dyDescent="0.35">
      <c r="A178" s="2">
        <v>176</v>
      </c>
      <c r="B178" s="2" t="s">
        <v>223</v>
      </c>
      <c r="C178" s="38" t="str">
        <f>VLOOKUP(B178,'CST Gantry To AP 68 Common Poin'!C:D,2,0)</f>
        <v>DD45+0</v>
      </c>
      <c r="D178" s="2" t="s">
        <v>2266</v>
      </c>
      <c r="E178" s="665">
        <f>736844.7/100000</f>
        <v>7.3684469999999997</v>
      </c>
      <c r="F178" s="665">
        <f>73244.548/1000</f>
        <v>73.244547999999995</v>
      </c>
      <c r="G178" s="2" t="s">
        <v>2132</v>
      </c>
      <c r="H178" s="454" t="s">
        <v>424</v>
      </c>
      <c r="I178" s="39">
        <v>46134</v>
      </c>
      <c r="J178" s="39">
        <v>46163</v>
      </c>
      <c r="K178" s="39" t="s">
        <v>2138</v>
      </c>
      <c r="L178" s="2" t="s">
        <v>2154</v>
      </c>
      <c r="M178" s="2" t="s">
        <v>1996</v>
      </c>
      <c r="N178" s="272"/>
    </row>
    <row r="179" spans="1:14" x14ac:dyDescent="0.35">
      <c r="A179" s="2">
        <v>177</v>
      </c>
      <c r="B179" s="40" t="s">
        <v>30</v>
      </c>
      <c r="C179" s="38" t="str">
        <f>VLOOKUP(B179,'CST Gantry To AP 68 Common Poin'!C:D,2,0)</f>
        <v>DA+0</v>
      </c>
      <c r="D179" s="2"/>
      <c r="E179" s="38"/>
      <c r="F179" s="674">
        <v>36.159756000000002</v>
      </c>
      <c r="G179" s="263" t="s">
        <v>2131</v>
      </c>
      <c r="H179" s="454" t="s">
        <v>424</v>
      </c>
      <c r="I179" s="39">
        <v>46135</v>
      </c>
      <c r="J179" s="39">
        <v>46138</v>
      </c>
      <c r="K179" s="39" t="s">
        <v>2138</v>
      </c>
      <c r="L179" s="39" t="s">
        <v>2138</v>
      </c>
      <c r="M179" s="2" t="s">
        <v>2128</v>
      </c>
      <c r="N179" s="272"/>
    </row>
    <row r="180" spans="1:14" x14ac:dyDescent="0.35">
      <c r="A180" s="2">
        <v>178</v>
      </c>
      <c r="B180" s="2" t="s">
        <v>252</v>
      </c>
      <c r="C180" s="38" t="str">
        <f>VLOOKUP(B180,'CST Gantry To AP 68 Common Poin'!C:D,2,0)</f>
        <v>DA+3</v>
      </c>
      <c r="D180" s="2"/>
      <c r="E180" s="38"/>
      <c r="F180" s="674">
        <v>37.931088000000003</v>
      </c>
      <c r="G180" s="2" t="s">
        <v>2132</v>
      </c>
      <c r="H180" s="454" t="s">
        <v>424</v>
      </c>
      <c r="I180" s="39">
        <v>46135</v>
      </c>
      <c r="J180" s="39">
        <v>46140</v>
      </c>
      <c r="K180" s="2" t="s">
        <v>2138</v>
      </c>
      <c r="L180" s="2" t="s">
        <v>2138</v>
      </c>
      <c r="M180" s="2" t="s">
        <v>952</v>
      </c>
      <c r="N180" s="272"/>
    </row>
    <row r="181" spans="1:14" x14ac:dyDescent="0.35">
      <c r="A181" s="2">
        <v>179</v>
      </c>
      <c r="B181" s="2" t="s">
        <v>326</v>
      </c>
      <c r="C181" s="38" t="str">
        <f>VLOOKUP(B181,'CST Gantry To AP 68 Common Poin'!C:D,2,0)</f>
        <v>DA(-)3</v>
      </c>
      <c r="D181" s="2"/>
      <c r="E181" s="38"/>
      <c r="F181" s="674">
        <v>34.789809999999996</v>
      </c>
      <c r="G181" s="38" t="s">
        <v>2133</v>
      </c>
      <c r="H181" s="454" t="s">
        <v>424</v>
      </c>
      <c r="I181" s="39">
        <v>46135</v>
      </c>
      <c r="J181" s="39">
        <v>46140</v>
      </c>
      <c r="K181" s="2" t="s">
        <v>2138</v>
      </c>
      <c r="L181" s="2" t="s">
        <v>2138</v>
      </c>
      <c r="M181" s="2" t="s">
        <v>905</v>
      </c>
      <c r="N181" s="272"/>
    </row>
    <row r="182" spans="1:14" x14ac:dyDescent="0.35">
      <c r="A182" s="2">
        <v>180</v>
      </c>
      <c r="B182" s="2" t="s">
        <v>188</v>
      </c>
      <c r="C182" s="38" t="str">
        <f>VLOOKUP(B182,'CST Gantry To AP 68 Common Poin'!C:D,2,0)</f>
        <v>DA+0</v>
      </c>
      <c r="D182" s="2"/>
      <c r="E182" s="38"/>
      <c r="F182" s="674">
        <v>36.159756000000002</v>
      </c>
      <c r="G182" s="263" t="s">
        <v>2131</v>
      </c>
      <c r="H182" s="454" t="s">
        <v>424</v>
      </c>
      <c r="I182" s="39">
        <v>46138</v>
      </c>
      <c r="J182" s="39">
        <v>46140</v>
      </c>
      <c r="K182" s="2" t="s">
        <v>2138</v>
      </c>
      <c r="L182" s="2" t="s">
        <v>2138</v>
      </c>
      <c r="M182" s="2" t="s">
        <v>2279</v>
      </c>
      <c r="N182" s="272"/>
    </row>
    <row r="183" spans="1:14" x14ac:dyDescent="0.35">
      <c r="A183" s="2">
        <v>181</v>
      </c>
      <c r="B183" s="2" t="s">
        <v>318</v>
      </c>
      <c r="C183" s="38" t="str">
        <f>VLOOKUP(B183,'CST Gantry To AP 68 Common Poin'!C:D,2,0)</f>
        <v>DA(-)3</v>
      </c>
      <c r="D183" s="2"/>
      <c r="E183" s="38"/>
      <c r="F183" s="674">
        <v>34.789809999999996</v>
      </c>
      <c r="G183" s="38" t="s">
        <v>2133</v>
      </c>
      <c r="H183" s="454" t="s">
        <v>424</v>
      </c>
      <c r="I183" s="39">
        <v>46138</v>
      </c>
      <c r="J183" s="39">
        <v>46142</v>
      </c>
      <c r="K183" s="2" t="s">
        <v>2138</v>
      </c>
      <c r="L183" s="2" t="s">
        <v>2138</v>
      </c>
      <c r="M183" s="2" t="s">
        <v>984</v>
      </c>
      <c r="N183" s="272"/>
    </row>
    <row r="184" spans="1:14" x14ac:dyDescent="0.35">
      <c r="A184" s="2">
        <v>182</v>
      </c>
      <c r="B184" s="264" t="s">
        <v>27</v>
      </c>
      <c r="C184" s="38" t="str">
        <f>VLOOKUP(B184,'CST Gantry To AP 68 Common Poin'!C:D,2,0)</f>
        <v>DB1+0</v>
      </c>
      <c r="D184" s="2" t="s">
        <v>2264</v>
      </c>
      <c r="E184" s="665">
        <f>VLOOKUP(B:B,[4]Erection!$F:$J,5,0)</f>
        <v>5.5783706000000004</v>
      </c>
      <c r="F184" s="665">
        <f>VLOOKUP(B184,[4]Erection!$F:$H,3,0)</f>
        <v>55.4</v>
      </c>
      <c r="G184" s="263" t="s">
        <v>2131</v>
      </c>
      <c r="H184" s="454" t="s">
        <v>424</v>
      </c>
      <c r="I184" s="39">
        <v>46138</v>
      </c>
      <c r="J184" s="39">
        <v>46144</v>
      </c>
      <c r="K184" s="2" t="s">
        <v>2138</v>
      </c>
      <c r="L184" s="2" t="s">
        <v>2154</v>
      </c>
      <c r="M184" s="2" t="s">
        <v>2128</v>
      </c>
      <c r="N184" s="272"/>
    </row>
    <row r="185" spans="1:14" x14ac:dyDescent="0.35">
      <c r="A185" s="2">
        <v>184</v>
      </c>
      <c r="B185" s="2" t="s">
        <v>163</v>
      </c>
      <c r="C185" s="38" t="str">
        <f>VLOOKUP(B185,'CST Gantry To AP 68 Common Poin'!C:D,2,0)</f>
        <v>DD45+18</v>
      </c>
      <c r="D185" s="2" t="s">
        <v>2265</v>
      </c>
      <c r="E185" s="665">
        <f>VLOOKUP(B:B,[4]Erection!$F:$J,5,0)</f>
        <v>11.128875000000001</v>
      </c>
      <c r="F185" s="665">
        <f>VLOOKUP(B185,[4]Erection!$F:$H,3,0)</f>
        <v>110.62602199999999</v>
      </c>
      <c r="G185" s="263" t="s">
        <v>2131</v>
      </c>
      <c r="H185" s="454" t="s">
        <v>424</v>
      </c>
      <c r="I185" s="39">
        <v>46142</v>
      </c>
      <c r="J185" s="39">
        <v>46156</v>
      </c>
      <c r="K185" s="2" t="s">
        <v>2138</v>
      </c>
      <c r="L185" s="2" t="s">
        <v>2154</v>
      </c>
      <c r="M185" s="2" t="s">
        <v>2126</v>
      </c>
    </row>
    <row r="186" spans="1:14" x14ac:dyDescent="0.35">
      <c r="A186" s="2">
        <v>185</v>
      </c>
      <c r="B186" s="2" t="s">
        <v>171</v>
      </c>
      <c r="C186" s="38" t="str">
        <f>VLOOKUP(B186,'CST Gantry To AP 68 Common Poin'!C:D,2,0)</f>
        <v>DD60+9</v>
      </c>
      <c r="D186" s="2" t="s">
        <v>2265</v>
      </c>
      <c r="E186" s="665">
        <f>VLOOKUP(B:B,[4]Erection!$F:$J,5,0)</f>
        <v>10.2564718</v>
      </c>
      <c r="F186" s="665">
        <f>VLOOKUP(B186,[4]Erection!$F:$H,3,0)</f>
        <v>101.95259200000001</v>
      </c>
      <c r="G186" s="263" t="s">
        <v>2131</v>
      </c>
      <c r="H186" s="454" t="s">
        <v>424</v>
      </c>
      <c r="I186" s="39">
        <v>46142</v>
      </c>
      <c r="J186" s="39">
        <v>46154</v>
      </c>
      <c r="K186" s="2" t="s">
        <v>2138</v>
      </c>
      <c r="L186" s="2" t="s">
        <v>2154</v>
      </c>
      <c r="M186" s="2" t="s">
        <v>985</v>
      </c>
    </row>
    <row r="187" spans="1:14" x14ac:dyDescent="0.35">
      <c r="A187" s="2">
        <v>186</v>
      </c>
      <c r="B187" s="2" t="s">
        <v>195</v>
      </c>
      <c r="C187" s="38" t="str">
        <f>VLOOKUP(B187,'CST Gantry To AP 68 Common Poin'!C:D,2,0)</f>
        <v>DA+0</v>
      </c>
      <c r="D187" s="2" t="s">
        <v>2264</v>
      </c>
      <c r="E187" s="665">
        <f>VLOOKUP(B:B,[4]Erection!$F:$J,5,0)</f>
        <v>3.6376959999999996</v>
      </c>
      <c r="F187" s="665">
        <v>36.159756000000002</v>
      </c>
      <c r="G187" s="263" t="s">
        <v>2131</v>
      </c>
      <c r="H187" s="454" t="s">
        <v>424</v>
      </c>
      <c r="I187" s="39">
        <v>46141</v>
      </c>
      <c r="J187" s="39">
        <v>46144</v>
      </c>
      <c r="K187" s="2" t="s">
        <v>2138</v>
      </c>
      <c r="L187" s="2" t="s">
        <v>2154</v>
      </c>
      <c r="M187" s="2" t="s">
        <v>2279</v>
      </c>
    </row>
    <row r="188" spans="1:14" x14ac:dyDescent="0.35">
      <c r="A188" s="2">
        <v>187</v>
      </c>
      <c r="B188" s="2" t="s">
        <v>202</v>
      </c>
      <c r="C188" s="38" t="str">
        <f>VLOOKUP(B188,'CST Gantry To AP 68 Common Poin'!C:D,2,0)</f>
        <v>DA+3</v>
      </c>
      <c r="D188" s="2" t="s">
        <v>2265</v>
      </c>
      <c r="E188" s="665">
        <f>381585.86/100000</f>
        <v>3.8158585999999999</v>
      </c>
      <c r="F188" s="665">
        <f>37931.088/1000</f>
        <v>37.931088000000003</v>
      </c>
      <c r="G188" s="263" t="s">
        <v>2131</v>
      </c>
      <c r="H188" s="454" t="s">
        <v>424</v>
      </c>
      <c r="I188" s="39">
        <v>46142</v>
      </c>
      <c r="J188" s="39">
        <v>46153</v>
      </c>
      <c r="K188" s="2" t="s">
        <v>2138</v>
      </c>
      <c r="L188" s="2" t="s">
        <v>2154</v>
      </c>
      <c r="M188" s="2" t="s">
        <v>2033</v>
      </c>
    </row>
    <row r="189" spans="1:14" x14ac:dyDescent="0.35">
      <c r="A189" s="2">
        <v>188</v>
      </c>
      <c r="B189" s="2" t="s">
        <v>251</v>
      </c>
      <c r="C189" s="38" t="str">
        <f>VLOOKUP(B189,'CST Gantry To AP 68 Common Poin'!C:D,2,0)</f>
        <v>DC1+0</v>
      </c>
      <c r="D189" s="2" t="s">
        <v>2265</v>
      </c>
      <c r="E189" s="665">
        <f>VLOOKUP(B:B,[4]Erection!$F:$J,5,0)</f>
        <v>6.2818664000000002</v>
      </c>
      <c r="F189" s="665">
        <f>VLOOKUP(B189,[4]Erection!$F:$H,3,0)</f>
        <v>62.44</v>
      </c>
      <c r="G189" s="2" t="s">
        <v>2132</v>
      </c>
      <c r="H189" s="454" t="s">
        <v>424</v>
      </c>
      <c r="I189" s="39">
        <v>46141</v>
      </c>
      <c r="J189" s="39">
        <v>46150</v>
      </c>
      <c r="K189" s="2" t="s">
        <v>2138</v>
      </c>
      <c r="L189" s="2" t="s">
        <v>2154</v>
      </c>
      <c r="M189" s="2" t="s">
        <v>952</v>
      </c>
    </row>
    <row r="190" spans="1:14" x14ac:dyDescent="0.35">
      <c r="A190" s="2">
        <v>189</v>
      </c>
      <c r="B190" s="2" t="s">
        <v>335</v>
      </c>
      <c r="C190" s="38" t="str">
        <f>VLOOKUP(B190,'CST Gantry To AP 68 Common Poin'!C:D,2,0)</f>
        <v>DA(-)1.5</v>
      </c>
      <c r="D190" s="2" t="s">
        <v>2264</v>
      </c>
      <c r="E190" s="665">
        <f>358156.12/100000</f>
        <v>3.5815611999999999</v>
      </c>
      <c r="F190" s="665">
        <v>35.6</v>
      </c>
      <c r="G190" s="38" t="s">
        <v>2133</v>
      </c>
      <c r="H190" s="454" t="s">
        <v>424</v>
      </c>
      <c r="I190" s="39">
        <v>46142</v>
      </c>
      <c r="J190" s="39">
        <v>46148</v>
      </c>
      <c r="K190" s="2" t="s">
        <v>2138</v>
      </c>
      <c r="L190" s="2" t="s">
        <v>2154</v>
      </c>
      <c r="M190" s="2" t="s">
        <v>905</v>
      </c>
    </row>
    <row r="191" spans="1:14" x14ac:dyDescent="0.35">
      <c r="A191" s="2">
        <v>190</v>
      </c>
      <c r="B191" s="2" t="s">
        <v>170</v>
      </c>
      <c r="C191" s="38" t="str">
        <f>VLOOKUP(B191,'CST Gantry To AP 68 Common Poin'!C:D,2,0)</f>
        <v>DD60+0</v>
      </c>
      <c r="D191" s="2" t="s">
        <v>2265</v>
      </c>
      <c r="E191" s="665">
        <f>VLOOKUP(B:B,[4]Erection!$F:$J,5,0)</f>
        <v>8.3632804000000007</v>
      </c>
      <c r="F191" s="665">
        <f>VLOOKUP(B191,[4]Erection!$F:$H,3,0)</f>
        <v>83.13</v>
      </c>
      <c r="G191" s="263" t="s">
        <v>2131</v>
      </c>
      <c r="H191" s="454" t="s">
        <v>424</v>
      </c>
      <c r="I191" s="39">
        <v>46142</v>
      </c>
      <c r="J191" s="39">
        <v>46154</v>
      </c>
      <c r="K191" s="2" t="s">
        <v>2138</v>
      </c>
      <c r="L191" s="2" t="s">
        <v>2154</v>
      </c>
      <c r="M191" s="2" t="s">
        <v>1997</v>
      </c>
    </row>
    <row r="192" spans="1:14" x14ac:dyDescent="0.35">
      <c r="A192" s="2">
        <v>191</v>
      </c>
      <c r="B192" s="2" t="s">
        <v>204</v>
      </c>
      <c r="C192" s="38" t="str">
        <f>VLOOKUP(B192,'CST Gantry To AP 68 Common Poin'!C:D,2,0)</f>
        <v>DA(-)3</v>
      </c>
      <c r="D192" s="2" t="s">
        <v>2264</v>
      </c>
      <c r="E192" s="665">
        <f>VLOOKUP(B:B,[4]Erection!$F:$J,5,0)</f>
        <v>3.4998739999999997</v>
      </c>
      <c r="F192" s="665">
        <f>VLOOKUP(B192,[4]Erection!$F:$H,3,0)</f>
        <v>34.79</v>
      </c>
      <c r="G192" s="263" t="s">
        <v>2131</v>
      </c>
      <c r="H192" s="454" t="s">
        <v>424</v>
      </c>
      <c r="I192" s="39">
        <v>46145</v>
      </c>
      <c r="J192" s="39">
        <v>46148</v>
      </c>
      <c r="K192" s="2" t="s">
        <v>2154</v>
      </c>
      <c r="L192" s="2" t="s">
        <v>2154</v>
      </c>
      <c r="M192" s="2" t="s">
        <v>2279</v>
      </c>
    </row>
    <row r="193" spans="1:13" x14ac:dyDescent="0.35">
      <c r="A193" s="2">
        <v>192</v>
      </c>
      <c r="B193" s="38" t="s">
        <v>281</v>
      </c>
      <c r="C193" s="38" t="str">
        <f>VLOOKUP(B193,'CST Gantry To AP 68 Common Poin'!C:D,2,0)</f>
        <v>DA+0</v>
      </c>
      <c r="D193" s="2" t="s">
        <v>2266</v>
      </c>
      <c r="E193" s="665">
        <f>363769.6/100000</f>
        <v>3.6376959999999996</v>
      </c>
      <c r="F193" s="665">
        <v>36.159756000000002</v>
      </c>
      <c r="G193" s="38" t="s">
        <v>2133</v>
      </c>
      <c r="H193" s="454" t="s">
        <v>424</v>
      </c>
      <c r="I193" s="39">
        <v>46145</v>
      </c>
      <c r="J193" s="39">
        <v>46159</v>
      </c>
      <c r="K193" s="38" t="s">
        <v>2154</v>
      </c>
      <c r="L193" s="38" t="s">
        <v>2154</v>
      </c>
      <c r="M193" s="2" t="s">
        <v>984</v>
      </c>
    </row>
    <row r="194" spans="1:13" x14ac:dyDescent="0.35">
      <c r="A194" s="2">
        <v>193</v>
      </c>
      <c r="B194" s="2" t="s">
        <v>124</v>
      </c>
      <c r="C194" s="2" t="s">
        <v>23</v>
      </c>
      <c r="D194" s="2" t="s">
        <v>2264</v>
      </c>
      <c r="E194" s="665">
        <f>VLOOKUP(B:B,[4]Erection!$F:$J,5,0)</f>
        <v>3.4998739999999997</v>
      </c>
      <c r="F194" s="665">
        <f>VLOOKUP(B194,[4]Erection!$F:$H,3,0)</f>
        <v>34.79</v>
      </c>
      <c r="G194" s="263" t="s">
        <v>2131</v>
      </c>
      <c r="H194" s="454" t="s">
        <v>424</v>
      </c>
      <c r="I194" s="39">
        <v>46146</v>
      </c>
      <c r="J194" s="39">
        <v>46149</v>
      </c>
      <c r="K194" s="38" t="s">
        <v>2154</v>
      </c>
      <c r="L194" s="2" t="s">
        <v>2154</v>
      </c>
      <c r="M194" s="2" t="s">
        <v>2128</v>
      </c>
    </row>
    <row r="195" spans="1:13" x14ac:dyDescent="0.35">
      <c r="A195" s="2">
        <v>194</v>
      </c>
      <c r="B195" s="2" t="s">
        <v>205</v>
      </c>
      <c r="C195" s="2" t="s">
        <v>31</v>
      </c>
      <c r="D195" s="2" t="s">
        <v>2265</v>
      </c>
      <c r="E195" s="665">
        <f>363769.6/100000</f>
        <v>3.6376959999999996</v>
      </c>
      <c r="F195" s="665">
        <v>36.159756000000002</v>
      </c>
      <c r="G195" s="263" t="s">
        <v>2131</v>
      </c>
      <c r="H195" s="454" t="s">
        <v>424</v>
      </c>
      <c r="I195" s="39">
        <v>46149</v>
      </c>
      <c r="J195" s="39">
        <v>46153</v>
      </c>
      <c r="K195" s="2" t="s">
        <v>2154</v>
      </c>
      <c r="L195" s="2" t="s">
        <v>2154</v>
      </c>
      <c r="M195" s="2" t="s">
        <v>2156</v>
      </c>
    </row>
    <row r="196" spans="1:13" x14ac:dyDescent="0.35">
      <c r="A196" s="2">
        <v>195</v>
      </c>
      <c r="B196" s="2" t="s">
        <v>344</v>
      </c>
      <c r="C196" s="2" t="s">
        <v>23</v>
      </c>
      <c r="D196" s="2" t="s">
        <v>2265</v>
      </c>
      <c r="E196" s="665">
        <f>VLOOKUP(B:B,[4]Erection!$F:$J,5,0)</f>
        <v>3.4998739999999997</v>
      </c>
      <c r="F196" s="665">
        <f>VLOOKUP(B196,[4]Erection!$F:$H,3,0)</f>
        <v>34.79</v>
      </c>
      <c r="G196" s="38" t="s">
        <v>2133</v>
      </c>
      <c r="H196" s="454" t="s">
        <v>424</v>
      </c>
      <c r="I196" s="39">
        <v>46149</v>
      </c>
      <c r="J196" s="39">
        <v>46156</v>
      </c>
      <c r="K196" s="2" t="s">
        <v>2154</v>
      </c>
      <c r="L196" s="2" t="s">
        <v>2154</v>
      </c>
      <c r="M196" s="2" t="s">
        <v>905</v>
      </c>
    </row>
    <row r="197" spans="1:13" x14ac:dyDescent="0.35">
      <c r="A197" s="2">
        <v>196</v>
      </c>
      <c r="B197" s="2" t="s">
        <v>125</v>
      </c>
      <c r="C197" s="2" t="s">
        <v>31</v>
      </c>
      <c r="D197" s="2" t="s">
        <v>2265</v>
      </c>
      <c r="E197" s="665">
        <f>VLOOKUP(B:B,[4]Erection!$F:$J,5,0)</f>
        <v>3.6376959999999996</v>
      </c>
      <c r="F197" s="665">
        <v>36.159756000000002</v>
      </c>
      <c r="G197" s="263" t="s">
        <v>2131</v>
      </c>
      <c r="H197" s="454" t="s">
        <v>424</v>
      </c>
      <c r="I197" s="39">
        <v>46150</v>
      </c>
      <c r="J197" s="39">
        <v>46153</v>
      </c>
      <c r="K197" s="2" t="s">
        <v>2154</v>
      </c>
      <c r="L197" s="2" t="s">
        <v>2154</v>
      </c>
      <c r="M197" s="2" t="s">
        <v>2128</v>
      </c>
    </row>
    <row r="198" spans="1:13" x14ac:dyDescent="0.35">
      <c r="A198" s="2">
        <v>197</v>
      </c>
      <c r="B198" s="2" t="s">
        <v>254</v>
      </c>
      <c r="C198" s="2" t="s">
        <v>23</v>
      </c>
      <c r="D198" s="2" t="s">
        <v>2266</v>
      </c>
      <c r="E198" s="665">
        <f>VLOOKUP(B:B,[4]Erection!$F:$J,5,0)</f>
        <v>3.4998739999999997</v>
      </c>
      <c r="F198" s="665">
        <f>VLOOKUP(B198,[4]Erection!$F:$H,3,0)</f>
        <v>34.79</v>
      </c>
      <c r="G198" s="2" t="s">
        <v>2132</v>
      </c>
      <c r="H198" s="454" t="s">
        <v>424</v>
      </c>
      <c r="I198" s="39">
        <v>46151</v>
      </c>
      <c r="J198" s="39">
        <v>46158</v>
      </c>
      <c r="K198" s="2" t="s">
        <v>2154</v>
      </c>
      <c r="L198" s="2" t="s">
        <v>2154</v>
      </c>
      <c r="M198" s="2" t="s">
        <v>952</v>
      </c>
    </row>
    <row r="199" spans="1:13" x14ac:dyDescent="0.35">
      <c r="A199" s="2">
        <v>198</v>
      </c>
      <c r="B199" s="38" t="s">
        <v>136</v>
      </c>
      <c r="C199" s="38" t="s">
        <v>16</v>
      </c>
      <c r="D199" s="2" t="s">
        <v>2266</v>
      </c>
      <c r="E199" s="665">
        <f>VLOOKUP(B:B,[4]Erection!$F:$J,5,0)</f>
        <v>4.4066824000000002</v>
      </c>
      <c r="F199" s="665">
        <f>VLOOKUP(B199,[4]Erection!$F:$H,3,0)</f>
        <v>43.8</v>
      </c>
      <c r="G199" s="263" t="s">
        <v>2131</v>
      </c>
      <c r="H199" s="454" t="s">
        <v>424</v>
      </c>
      <c r="I199" s="39">
        <v>46154</v>
      </c>
      <c r="J199" s="39">
        <v>46158</v>
      </c>
      <c r="K199" s="2" t="s">
        <v>2154</v>
      </c>
      <c r="L199" s="2" t="s">
        <v>2154</v>
      </c>
      <c r="M199" s="2" t="s">
        <v>2128</v>
      </c>
    </row>
    <row r="200" spans="1:13" x14ac:dyDescent="0.35">
      <c r="A200" s="2">
        <v>199</v>
      </c>
      <c r="B200" s="2" t="s">
        <v>212</v>
      </c>
      <c r="C200" s="38" t="s">
        <v>31</v>
      </c>
      <c r="D200" s="2" t="s">
        <v>2266</v>
      </c>
      <c r="E200" s="665">
        <f>VLOOKUP(B:B,[4]Erection!$F:$J,5,0)</f>
        <v>3.6376959999999996</v>
      </c>
      <c r="F200" s="665">
        <v>36.159756000000002</v>
      </c>
      <c r="G200" s="2" t="s">
        <v>2132</v>
      </c>
      <c r="H200" s="454" t="s">
        <v>424</v>
      </c>
      <c r="I200" s="39">
        <v>46154</v>
      </c>
      <c r="J200" s="39">
        <v>46158</v>
      </c>
      <c r="K200" s="2" t="s">
        <v>2154</v>
      </c>
      <c r="L200" s="2" t="s">
        <v>2154</v>
      </c>
      <c r="M200" s="2" t="s">
        <v>2156</v>
      </c>
    </row>
    <row r="201" spans="1:13" x14ac:dyDescent="0.35">
      <c r="A201" s="2">
        <v>200</v>
      </c>
      <c r="B201" s="36" t="s">
        <v>184</v>
      </c>
      <c r="C201" s="286" t="s">
        <v>23</v>
      </c>
      <c r="D201" s="2" t="s">
        <v>2266</v>
      </c>
      <c r="E201" s="665">
        <f>VLOOKUP(B:B,[4]Erection!$F:$J,5,0)</f>
        <v>3.4998739999999997</v>
      </c>
      <c r="F201" s="665">
        <f>VLOOKUP(B201,[4]Erection!$F:$H,3,0)</f>
        <v>34.79</v>
      </c>
      <c r="G201" s="263" t="s">
        <v>2131</v>
      </c>
      <c r="H201" s="454" t="s">
        <v>424</v>
      </c>
      <c r="I201" s="39">
        <v>46157</v>
      </c>
      <c r="J201" s="39">
        <v>46160</v>
      </c>
      <c r="K201" s="2" t="s">
        <v>2154</v>
      </c>
      <c r="L201" s="2" t="s">
        <v>2154</v>
      </c>
      <c r="M201" s="2" t="s">
        <v>985</v>
      </c>
    </row>
    <row r="202" spans="1:13" x14ac:dyDescent="0.35">
      <c r="A202" s="2">
        <v>201</v>
      </c>
      <c r="B202" s="2" t="s">
        <v>161</v>
      </c>
      <c r="C202" s="286" t="s">
        <v>162</v>
      </c>
      <c r="D202" s="2" t="s">
        <v>2267</v>
      </c>
      <c r="E202" s="665">
        <f>VLOOKUP(B:B,[4]Erection!$F:$J,5,0)</f>
        <v>8.8998808</v>
      </c>
      <c r="F202" s="665">
        <f>VLOOKUP(B202,[4]Erection!$F:$H,3,0)</f>
        <v>85.506823999999995</v>
      </c>
      <c r="G202" s="263" t="s">
        <v>2131</v>
      </c>
      <c r="H202" s="454" t="s">
        <v>424</v>
      </c>
      <c r="I202" s="39">
        <v>46158</v>
      </c>
      <c r="J202" s="39">
        <v>46166</v>
      </c>
      <c r="K202" s="2" t="s">
        <v>2154</v>
      </c>
      <c r="L202" s="2" t="s">
        <v>2154</v>
      </c>
      <c r="M202" s="2" t="s">
        <v>2126</v>
      </c>
    </row>
    <row r="203" spans="1:13" x14ac:dyDescent="0.35">
      <c r="A203" s="2">
        <v>202</v>
      </c>
      <c r="B203" s="2" t="s">
        <v>343</v>
      </c>
      <c r="C203" s="286" t="s">
        <v>23</v>
      </c>
      <c r="D203" s="2" t="s">
        <v>2266</v>
      </c>
      <c r="E203" s="665">
        <f>VLOOKUP(B:B,[4]Erection!$F:$J,5,0)</f>
        <v>3.4998739999999997</v>
      </c>
      <c r="F203" s="665">
        <f>VLOOKUP(B203,[4]Erection!$F:$H,3,0)</f>
        <v>34.79</v>
      </c>
      <c r="G203" s="38" t="s">
        <v>2133</v>
      </c>
      <c r="H203" s="454" t="s">
        <v>424</v>
      </c>
      <c r="I203" s="39">
        <v>46157</v>
      </c>
      <c r="J203" s="39">
        <v>46162</v>
      </c>
      <c r="K203" s="2" t="s">
        <v>2154</v>
      </c>
      <c r="L203" s="2" t="s">
        <v>2154</v>
      </c>
      <c r="M203" s="2" t="s">
        <v>905</v>
      </c>
    </row>
    <row r="204" spans="1:13" x14ac:dyDescent="0.35">
      <c r="A204" s="2">
        <v>203</v>
      </c>
      <c r="B204" s="40" t="s">
        <v>131</v>
      </c>
      <c r="C204" s="286" t="s">
        <v>33</v>
      </c>
      <c r="D204" s="2" t="s">
        <v>2267</v>
      </c>
      <c r="E204" s="665">
        <f>381585.86/100000</f>
        <v>3.8158585999999999</v>
      </c>
      <c r="F204" s="665">
        <f>37931.088/1000</f>
        <v>37.931088000000003</v>
      </c>
      <c r="G204" s="263" t="s">
        <v>2131</v>
      </c>
      <c r="H204" s="454" t="s">
        <v>424</v>
      </c>
      <c r="I204" s="39">
        <v>46160</v>
      </c>
      <c r="J204" s="39">
        <v>46164</v>
      </c>
      <c r="K204" s="2" t="s">
        <v>2154</v>
      </c>
      <c r="L204" s="2" t="s">
        <v>2154</v>
      </c>
      <c r="M204" s="2" t="s">
        <v>2128</v>
      </c>
    </row>
    <row r="205" spans="1:13" x14ac:dyDescent="0.35">
      <c r="A205" s="2">
        <v>204</v>
      </c>
      <c r="B205" s="2" t="s">
        <v>268</v>
      </c>
      <c r="C205" s="286" t="s">
        <v>31</v>
      </c>
      <c r="D205" s="2" t="s">
        <v>2266</v>
      </c>
      <c r="E205" s="665">
        <f>363769.6/100000</f>
        <v>3.6376959999999996</v>
      </c>
      <c r="F205" s="665">
        <v>36.159756000000002</v>
      </c>
      <c r="G205" s="38" t="s">
        <v>2133</v>
      </c>
      <c r="H205" s="454" t="s">
        <v>424</v>
      </c>
      <c r="I205" s="39">
        <v>46160</v>
      </c>
      <c r="J205" s="39">
        <v>46163</v>
      </c>
      <c r="K205" s="2" t="s">
        <v>2154</v>
      </c>
      <c r="L205" s="2" t="s">
        <v>2154</v>
      </c>
      <c r="M205" s="2" t="s">
        <v>2156</v>
      </c>
    </row>
    <row r="206" spans="1:13" x14ac:dyDescent="0.35">
      <c r="A206" s="2">
        <v>205</v>
      </c>
      <c r="B206" s="41" t="s">
        <v>253</v>
      </c>
      <c r="C206" s="286" t="s">
        <v>23</v>
      </c>
      <c r="D206" s="2" t="s">
        <v>2267</v>
      </c>
      <c r="E206" s="665">
        <f>VLOOKUP(B:B,[4]Erection!$F:$J,5,0)</f>
        <v>3.4998739999999997</v>
      </c>
      <c r="F206" s="665">
        <f>VLOOKUP(B206,[4]Erection!$F:$H,3,0)</f>
        <v>34.79</v>
      </c>
      <c r="G206" s="2" t="s">
        <v>2132</v>
      </c>
      <c r="H206" s="454" t="s">
        <v>424</v>
      </c>
      <c r="I206" s="39">
        <v>46160</v>
      </c>
      <c r="J206" s="39">
        <v>46167</v>
      </c>
      <c r="K206" s="2" t="s">
        <v>2154</v>
      </c>
      <c r="L206" s="2" t="s">
        <v>2154</v>
      </c>
      <c r="M206" s="2" t="s">
        <v>952</v>
      </c>
    </row>
    <row r="207" spans="1:13" x14ac:dyDescent="0.35">
      <c r="A207" s="2">
        <v>206</v>
      </c>
      <c r="B207" s="41" t="s">
        <v>279</v>
      </c>
      <c r="C207" s="286" t="s">
        <v>31</v>
      </c>
      <c r="D207" s="2" t="s">
        <v>2267</v>
      </c>
      <c r="E207" s="666">
        <f>363769.6/100000</f>
        <v>3.6376959999999996</v>
      </c>
      <c r="F207" s="666">
        <f>36159.756/1000</f>
        <v>36.159756000000002</v>
      </c>
      <c r="G207" s="38" t="s">
        <v>2133</v>
      </c>
      <c r="H207" s="454" t="s">
        <v>424</v>
      </c>
      <c r="I207" s="39">
        <v>46161</v>
      </c>
      <c r="J207" s="39">
        <v>46169</v>
      </c>
      <c r="K207" s="2" t="s">
        <v>2154</v>
      </c>
      <c r="L207" s="2" t="s">
        <v>2154</v>
      </c>
      <c r="M207" s="2" t="s">
        <v>984</v>
      </c>
    </row>
    <row r="208" spans="1:13" x14ac:dyDescent="0.35">
      <c r="A208" s="2">
        <v>207</v>
      </c>
      <c r="B208" s="41" t="s">
        <v>276</v>
      </c>
      <c r="C208" s="286" t="s">
        <v>33</v>
      </c>
      <c r="D208" s="2" t="s">
        <v>2267</v>
      </c>
      <c r="E208" s="665">
        <f>381585.86/100000</f>
        <v>3.8158585999999999</v>
      </c>
      <c r="F208" s="665">
        <f>37931.088/1000</f>
        <v>37.931088000000003</v>
      </c>
      <c r="G208" s="38" t="s">
        <v>2133</v>
      </c>
      <c r="H208" s="454" t="s">
        <v>424</v>
      </c>
      <c r="I208" s="39">
        <v>46165</v>
      </c>
      <c r="J208" s="39">
        <v>46168</v>
      </c>
      <c r="K208" s="2" t="s">
        <v>2154</v>
      </c>
      <c r="L208" s="2" t="s">
        <v>2154</v>
      </c>
      <c r="M208" s="2" t="s">
        <v>2156</v>
      </c>
    </row>
    <row r="209" spans="1:13" x14ac:dyDescent="0.35">
      <c r="A209" s="2">
        <v>208</v>
      </c>
      <c r="B209" s="662" t="s">
        <v>135</v>
      </c>
      <c r="C209" s="286" t="s">
        <v>31</v>
      </c>
      <c r="D209" s="2" t="s">
        <v>2267</v>
      </c>
      <c r="E209" s="665">
        <f>VLOOKUP(B:B,[4]Erection!$F:$J,5,0)</f>
        <v>3.6376959999999996</v>
      </c>
      <c r="F209" s="665">
        <v>36.159756000000002</v>
      </c>
      <c r="G209" s="263" t="s">
        <v>2131</v>
      </c>
      <c r="H209" s="454" t="s">
        <v>424</v>
      </c>
      <c r="I209" s="39">
        <v>46164</v>
      </c>
      <c r="J209" s="39">
        <v>46168</v>
      </c>
      <c r="K209" s="2" t="s">
        <v>2154</v>
      </c>
      <c r="L209" s="2" t="s">
        <v>2154</v>
      </c>
      <c r="M209" s="2" t="s">
        <v>2128</v>
      </c>
    </row>
    <row r="210" spans="1:13" ht="22" customHeight="1" x14ac:dyDescent="0.35">
      <c r="A210" s="2">
        <v>209</v>
      </c>
      <c r="B210" s="2" t="s">
        <v>123</v>
      </c>
      <c r="C210" s="2" t="s">
        <v>40</v>
      </c>
      <c r="D210" s="2"/>
      <c r="E210" s="668">
        <f>676655.72/100000</f>
        <v>6.7665571999999994</v>
      </c>
      <c r="F210" s="668">
        <f>67261.728/1000</f>
        <v>67.261728000000005</v>
      </c>
      <c r="G210" s="263" t="s">
        <v>2131</v>
      </c>
      <c r="H210" s="454" t="s">
        <v>424</v>
      </c>
      <c r="I210" s="39">
        <v>46168</v>
      </c>
      <c r="J210" s="39">
        <v>46175</v>
      </c>
      <c r="K210" s="2" t="s">
        <v>2154</v>
      </c>
      <c r="L210" s="2" t="s">
        <v>2275</v>
      </c>
      <c r="M210" s="2" t="s">
        <v>2261</v>
      </c>
    </row>
    <row r="211" spans="1:13" x14ac:dyDescent="0.35">
      <c r="A211" s="2">
        <v>210</v>
      </c>
      <c r="B211" s="2" t="s">
        <v>273</v>
      </c>
      <c r="C211" s="2" t="s">
        <v>33</v>
      </c>
      <c r="D211" s="2" t="s">
        <v>2267</v>
      </c>
      <c r="E211" s="668">
        <f>381585.86/100000</f>
        <v>3.8158585999999999</v>
      </c>
      <c r="F211" s="668">
        <f>37931.088/1000</f>
        <v>37.931088000000003</v>
      </c>
      <c r="G211" s="38" t="s">
        <v>2133</v>
      </c>
      <c r="H211" s="454" t="s">
        <v>424</v>
      </c>
      <c r="I211" s="39">
        <v>46169</v>
      </c>
      <c r="J211" s="39">
        <v>46173</v>
      </c>
      <c r="K211" s="2" t="s">
        <v>2154</v>
      </c>
      <c r="L211" s="2" t="s">
        <v>2154</v>
      </c>
      <c r="M211" s="2" t="s">
        <v>2260</v>
      </c>
    </row>
    <row r="212" spans="1:13" ht="16.5" customHeight="1" x14ac:dyDescent="0.35">
      <c r="A212" s="2">
        <v>211</v>
      </c>
      <c r="B212" s="2" t="s">
        <v>224</v>
      </c>
      <c r="C212" s="2" t="s">
        <v>40</v>
      </c>
      <c r="D212" s="2"/>
      <c r="E212" s="668">
        <v>6.7665571999999994</v>
      </c>
      <c r="F212" s="668">
        <v>67.261728000000005</v>
      </c>
      <c r="G212" s="2" t="s">
        <v>2132</v>
      </c>
      <c r="H212" s="454" t="s">
        <v>424</v>
      </c>
      <c r="I212" s="39">
        <v>45804</v>
      </c>
      <c r="J212" s="39">
        <v>46180</v>
      </c>
      <c r="K212" s="2" t="s">
        <v>2154</v>
      </c>
      <c r="L212" s="2" t="s">
        <v>2275</v>
      </c>
      <c r="M212" s="2" t="s">
        <v>952</v>
      </c>
    </row>
    <row r="213" spans="1:13" x14ac:dyDescent="0.35">
      <c r="A213" s="2">
        <v>212</v>
      </c>
      <c r="B213" s="2" t="s">
        <v>138</v>
      </c>
      <c r="C213" s="2" t="s">
        <v>23</v>
      </c>
      <c r="D213" s="2"/>
      <c r="E213" s="2"/>
      <c r="F213" s="2"/>
      <c r="G213" s="263" t="s">
        <v>2131</v>
      </c>
      <c r="H213" s="454" t="s">
        <v>424</v>
      </c>
      <c r="I213" s="39">
        <v>46176</v>
      </c>
      <c r="J213" s="39">
        <v>46181</v>
      </c>
      <c r="K213" s="2" t="s">
        <v>2275</v>
      </c>
      <c r="L213" s="2" t="s">
        <v>2275</v>
      </c>
      <c r="M213" s="2" t="s">
        <v>2276</v>
      </c>
    </row>
    <row r="214" spans="1:13" x14ac:dyDescent="0.35">
      <c r="A214" s="2">
        <v>213</v>
      </c>
      <c r="B214" s="2" t="s">
        <v>217</v>
      </c>
      <c r="C214" s="2" t="s">
        <v>31</v>
      </c>
      <c r="D214" s="2"/>
      <c r="E214" s="2"/>
      <c r="F214" s="2"/>
      <c r="G214" s="2" t="s">
        <v>2132</v>
      </c>
      <c r="H214" s="454" t="s">
        <v>424</v>
      </c>
      <c r="I214" s="39">
        <v>46176</v>
      </c>
      <c r="J214" s="39">
        <v>46181</v>
      </c>
      <c r="K214" s="2" t="s">
        <v>2275</v>
      </c>
      <c r="L214" s="2" t="s">
        <v>2275</v>
      </c>
      <c r="M214" s="2" t="s">
        <v>2277</v>
      </c>
    </row>
    <row r="215" spans="1:13" x14ac:dyDescent="0.35">
      <c r="A215" s="2">
        <v>214</v>
      </c>
      <c r="B215" s="2" t="s">
        <v>137</v>
      </c>
      <c r="C215" s="2" t="s">
        <v>23</v>
      </c>
      <c r="D215" s="2"/>
      <c r="E215" s="2"/>
      <c r="F215" s="2"/>
      <c r="G215" s="263" t="s">
        <v>2131</v>
      </c>
      <c r="H215" s="454" t="s">
        <v>424</v>
      </c>
      <c r="I215" s="39">
        <v>46181</v>
      </c>
      <c r="J215" s="39">
        <v>46186</v>
      </c>
      <c r="K215" s="2" t="s">
        <v>2275</v>
      </c>
      <c r="L215" s="2" t="s">
        <v>2275</v>
      </c>
      <c r="M215" s="2" t="s">
        <v>2128</v>
      </c>
    </row>
    <row r="216" spans="1:13" x14ac:dyDescent="0.35">
      <c r="A216" s="2">
        <v>215</v>
      </c>
      <c r="B216" s="2" t="s">
        <v>225</v>
      </c>
      <c r="C216" s="2" t="s">
        <v>14</v>
      </c>
      <c r="D216" s="2"/>
      <c r="E216" s="2"/>
      <c r="F216" s="2"/>
      <c r="G216" s="2" t="s">
        <v>2132</v>
      </c>
      <c r="H216" s="454" t="s">
        <v>424</v>
      </c>
      <c r="I216" s="39">
        <v>46181</v>
      </c>
      <c r="J216" s="39">
        <v>46186</v>
      </c>
      <c r="K216" s="2" t="s">
        <v>2275</v>
      </c>
      <c r="L216" s="2" t="s">
        <v>2275</v>
      </c>
      <c r="M216" s="2" t="s">
        <v>952</v>
      </c>
    </row>
    <row r="217" spans="1:13" x14ac:dyDescent="0.35">
      <c r="A217" s="2">
        <v>216</v>
      </c>
      <c r="B217" s="2" t="s">
        <v>214</v>
      </c>
      <c r="C217" s="2" t="s">
        <v>31</v>
      </c>
      <c r="D217" s="2"/>
      <c r="E217" s="2"/>
      <c r="F217" s="2"/>
      <c r="G217" s="2" t="s">
        <v>2132</v>
      </c>
      <c r="H217" s="454" t="s">
        <v>424</v>
      </c>
      <c r="I217" s="39">
        <v>46181</v>
      </c>
      <c r="J217" s="39">
        <v>46186</v>
      </c>
      <c r="K217" s="2" t="s">
        <v>2275</v>
      </c>
      <c r="L217" s="2" t="s">
        <v>2275</v>
      </c>
      <c r="M217" s="2" t="s">
        <v>2260</v>
      </c>
    </row>
    <row r="218" spans="1:13" x14ac:dyDescent="0.35">
      <c r="A218" s="2">
        <v>217</v>
      </c>
      <c r="B218" s="264" t="s">
        <v>11</v>
      </c>
      <c r="C218" s="2" t="s">
        <v>12</v>
      </c>
      <c r="D218" s="2"/>
      <c r="E218" s="2"/>
      <c r="F218" s="2"/>
      <c r="G218" s="263" t="s">
        <v>2131</v>
      </c>
      <c r="H218" s="454" t="s">
        <v>424</v>
      </c>
      <c r="I218" s="39">
        <v>46187</v>
      </c>
      <c r="J218" s="39">
        <v>46195</v>
      </c>
      <c r="K218" s="2" t="s">
        <v>2275</v>
      </c>
      <c r="L218" s="2" t="s">
        <v>2275</v>
      </c>
      <c r="M218" s="2" t="s">
        <v>2128</v>
      </c>
    </row>
    <row r="219" spans="1:13" x14ac:dyDescent="0.35">
      <c r="A219" s="2">
        <v>218</v>
      </c>
      <c r="B219" s="2" t="s">
        <v>226</v>
      </c>
      <c r="C219" s="2" t="s">
        <v>35</v>
      </c>
      <c r="D219" s="2"/>
      <c r="E219" s="2"/>
      <c r="F219" s="2"/>
      <c r="G219" s="2" t="s">
        <v>2132</v>
      </c>
      <c r="H219" s="454" t="s">
        <v>424</v>
      </c>
      <c r="I219" s="39">
        <v>46187</v>
      </c>
      <c r="J219" s="39">
        <v>46193</v>
      </c>
      <c r="K219" s="2" t="s">
        <v>2275</v>
      </c>
      <c r="L219" s="2" t="s">
        <v>2275</v>
      </c>
      <c r="M219" s="2" t="s">
        <v>952</v>
      </c>
    </row>
    <row r="220" spans="1:13" x14ac:dyDescent="0.35">
      <c r="A220" s="2">
        <v>219</v>
      </c>
      <c r="B220" s="2" t="s">
        <v>218</v>
      </c>
      <c r="C220" s="2" t="s">
        <v>33</v>
      </c>
      <c r="D220" s="2"/>
      <c r="E220" s="2"/>
      <c r="F220" s="2"/>
      <c r="G220" s="2" t="s">
        <v>2132</v>
      </c>
      <c r="H220" s="454" t="s">
        <v>424</v>
      </c>
      <c r="I220" s="39">
        <v>46187</v>
      </c>
      <c r="J220" s="39">
        <v>46191</v>
      </c>
      <c r="K220" s="2" t="s">
        <v>2275</v>
      </c>
      <c r="L220" s="2" t="s">
        <v>2275</v>
      </c>
      <c r="M220" s="2" t="s">
        <v>2260</v>
      </c>
    </row>
    <row r="221" spans="1:13" x14ac:dyDescent="0.35">
      <c r="A221" s="2">
        <v>220</v>
      </c>
      <c r="B221" s="2" t="s">
        <v>213</v>
      </c>
      <c r="C221" s="2" t="s">
        <v>40</v>
      </c>
      <c r="D221" s="2"/>
      <c r="E221" s="2"/>
      <c r="F221" s="2"/>
      <c r="G221" s="2" t="s">
        <v>2132</v>
      </c>
      <c r="H221" s="684" t="s">
        <v>2286</v>
      </c>
      <c r="I221" s="39">
        <v>46192</v>
      </c>
      <c r="J221" s="2"/>
      <c r="K221" s="2" t="s">
        <v>2275</v>
      </c>
      <c r="L221" s="2"/>
      <c r="M221" s="2" t="s">
        <v>2260</v>
      </c>
    </row>
    <row r="222" spans="1:13" x14ac:dyDescent="0.35">
      <c r="A222" s="2">
        <v>221</v>
      </c>
      <c r="B222" s="2" t="s">
        <v>227</v>
      </c>
      <c r="C222" s="2" t="s">
        <v>33</v>
      </c>
      <c r="D222" s="2"/>
      <c r="E222" s="2"/>
      <c r="F222" s="2"/>
      <c r="G222" s="2" t="s">
        <v>2132</v>
      </c>
      <c r="H222" s="684" t="s">
        <v>2289</v>
      </c>
      <c r="I222" s="39">
        <v>46193</v>
      </c>
      <c r="J222" s="2"/>
      <c r="K222" s="2" t="s">
        <v>2275</v>
      </c>
      <c r="L222" s="2"/>
      <c r="M222" s="2" t="s">
        <v>952</v>
      </c>
    </row>
    <row r="223" spans="1:13" x14ac:dyDescent="0.35">
      <c r="A223" s="2">
        <v>222</v>
      </c>
      <c r="B223" s="264" t="s">
        <v>10</v>
      </c>
      <c r="C223" s="2" t="s">
        <v>9</v>
      </c>
      <c r="D223" s="2"/>
      <c r="E223" s="2"/>
      <c r="F223" s="2"/>
      <c r="G223" s="263" t="s">
        <v>2131</v>
      </c>
      <c r="H223" s="684" t="s">
        <v>2298</v>
      </c>
      <c r="I223" s="39">
        <v>46196</v>
      </c>
      <c r="J223" s="2"/>
      <c r="K223" s="2" t="s">
        <v>2275</v>
      </c>
      <c r="L223" s="2"/>
      <c r="M223" s="2" t="s">
        <v>2276</v>
      </c>
    </row>
  </sheetData>
  <autoFilter ref="A2:N217" xr:uid="{00000000-0001-0000-0300-000000000000}"/>
  <phoneticPr fontId="33" type="noConversion"/>
  <conditionalFormatting sqref="B1:C172 G175:G176 G178 G180:G181 G183 C4:C183 G205:G208 G203 G200 G198 G196 G193 G189:G190 B174:C1048576 G211:G212 G1:G172 E1:F1048576 G214 G216:G217 G219:G222 G224:G1048576">
    <cfRule type="duplicateValues" dxfId="59" priority="55"/>
    <cfRule type="duplicateValues" dxfId="58" priority="56"/>
  </conditionalFormatting>
  <conditionalFormatting sqref="G173">
    <cfRule type="duplicateValues" dxfId="57" priority="51"/>
    <cfRule type="duplicateValues" dxfId="56" priority="52"/>
  </conditionalFormatting>
  <conditionalFormatting sqref="G174">
    <cfRule type="duplicateValues" dxfId="55" priority="49"/>
    <cfRule type="duplicateValues" dxfId="54" priority="50"/>
  </conditionalFormatting>
  <conditionalFormatting sqref="G177">
    <cfRule type="duplicateValues" dxfId="53" priority="47"/>
    <cfRule type="duplicateValues" dxfId="52" priority="48"/>
  </conditionalFormatting>
  <conditionalFormatting sqref="G179">
    <cfRule type="duplicateValues" dxfId="51" priority="45"/>
    <cfRule type="duplicateValues" dxfId="50" priority="46"/>
  </conditionalFormatting>
  <conditionalFormatting sqref="G182">
    <cfRule type="duplicateValues" dxfId="49" priority="43"/>
    <cfRule type="duplicateValues" dxfId="48" priority="44"/>
  </conditionalFormatting>
  <conditionalFormatting sqref="G184">
    <cfRule type="duplicateValues" dxfId="47" priority="41"/>
    <cfRule type="duplicateValues" dxfId="46" priority="42"/>
  </conditionalFormatting>
  <conditionalFormatting sqref="G185">
    <cfRule type="duplicateValues" dxfId="45" priority="39"/>
    <cfRule type="duplicateValues" dxfId="44" priority="40"/>
  </conditionalFormatting>
  <conditionalFormatting sqref="G186">
    <cfRule type="duplicateValues" dxfId="43" priority="36"/>
    <cfRule type="duplicateValues" dxfId="42" priority="37"/>
  </conditionalFormatting>
  <conditionalFormatting sqref="G187">
    <cfRule type="duplicateValues" dxfId="41" priority="34"/>
    <cfRule type="duplicateValues" dxfId="40" priority="35"/>
  </conditionalFormatting>
  <conditionalFormatting sqref="G188">
    <cfRule type="duplicateValues" dxfId="39" priority="32"/>
    <cfRule type="duplicateValues" dxfId="38" priority="33"/>
  </conditionalFormatting>
  <conditionalFormatting sqref="G191">
    <cfRule type="duplicateValues" dxfId="37" priority="30"/>
    <cfRule type="duplicateValues" dxfId="36" priority="31"/>
  </conditionalFormatting>
  <conditionalFormatting sqref="G192">
    <cfRule type="duplicateValues" dxfId="35" priority="28"/>
    <cfRule type="duplicateValues" dxfId="34" priority="29"/>
  </conditionalFormatting>
  <conditionalFormatting sqref="G194">
    <cfRule type="duplicateValues" dxfId="33" priority="25"/>
    <cfRule type="duplicateValues" dxfId="32" priority="26"/>
  </conditionalFormatting>
  <conditionalFormatting sqref="G195">
    <cfRule type="duplicateValues" dxfId="31" priority="23"/>
    <cfRule type="duplicateValues" dxfId="30" priority="24"/>
  </conditionalFormatting>
  <conditionalFormatting sqref="G197">
    <cfRule type="duplicateValues" dxfId="29" priority="21"/>
    <cfRule type="duplicateValues" dxfId="28" priority="22"/>
  </conditionalFormatting>
  <conditionalFormatting sqref="G199">
    <cfRule type="duplicateValues" dxfId="27" priority="19"/>
    <cfRule type="duplicateValues" dxfId="26" priority="20"/>
  </conditionalFormatting>
  <conditionalFormatting sqref="G201:G202">
    <cfRule type="duplicateValues" dxfId="25" priority="17"/>
    <cfRule type="duplicateValues" dxfId="24" priority="18"/>
  </conditionalFormatting>
  <conditionalFormatting sqref="G204">
    <cfRule type="duplicateValues" dxfId="23" priority="15"/>
    <cfRule type="duplicateValues" dxfId="22" priority="16"/>
  </conditionalFormatting>
  <conditionalFormatting sqref="G209">
    <cfRule type="duplicateValues" dxfId="21" priority="13"/>
    <cfRule type="duplicateValues" dxfId="20" priority="14"/>
  </conditionalFormatting>
  <conditionalFormatting sqref="G210">
    <cfRule type="duplicateValues" dxfId="19" priority="11"/>
    <cfRule type="duplicateValues" dxfId="18" priority="12"/>
  </conditionalFormatting>
  <conditionalFormatting sqref="B1:C172 C4:C183 B174:C1048576 E1:F1048576">
    <cfRule type="duplicateValues" dxfId="17" priority="2390"/>
    <cfRule type="duplicateValues" dxfId="16" priority="2391"/>
  </conditionalFormatting>
  <conditionalFormatting sqref="B1:C1048576 E1:F1048576">
    <cfRule type="duplicateValues" dxfId="15" priority="2398"/>
    <cfRule type="duplicateValues" dxfId="14" priority="2399"/>
  </conditionalFormatting>
  <conditionalFormatting sqref="G213">
    <cfRule type="duplicateValues" dxfId="13" priority="9"/>
    <cfRule type="duplicateValues" dxfId="12" priority="10"/>
  </conditionalFormatting>
  <conditionalFormatting sqref="G215">
    <cfRule type="duplicateValues" dxfId="11" priority="7"/>
    <cfRule type="duplicateValues" dxfId="10" priority="8"/>
  </conditionalFormatting>
  <conditionalFormatting sqref="G218">
    <cfRule type="duplicateValues" dxfId="9" priority="5"/>
    <cfRule type="duplicateValues" dxfId="8" priority="6"/>
  </conditionalFormatting>
  <conditionalFormatting sqref="B1:B1048576">
    <cfRule type="duplicateValues" dxfId="7" priority="3"/>
    <cfRule type="duplicateValues" dxfId="6" priority="4"/>
  </conditionalFormatting>
  <conditionalFormatting sqref="G223">
    <cfRule type="duplicateValues" dxfId="5" priority="1"/>
    <cfRule type="duplicateValues" dxfId="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322D-AC26-462A-8FF2-6FEB26A56BE6}">
  <dimension ref="B2:M43"/>
  <sheetViews>
    <sheetView workbookViewId="0">
      <selection activeCell="I2" sqref="I2"/>
    </sheetView>
  </sheetViews>
  <sheetFormatPr defaultRowHeight="14.5" x14ac:dyDescent="0.35"/>
  <cols>
    <col min="8" max="8" width="12.36328125" bestFit="1" customWidth="1"/>
    <col min="9" max="10" width="11.81640625" bestFit="1" customWidth="1"/>
  </cols>
  <sheetData>
    <row r="2" spans="2:11" x14ac:dyDescent="0.35">
      <c r="B2" t="s">
        <v>412</v>
      </c>
      <c r="C2" t="s">
        <v>6</v>
      </c>
      <c r="E2" t="s">
        <v>2263</v>
      </c>
      <c r="F2" t="s">
        <v>2262</v>
      </c>
      <c r="I2" s="670" t="s">
        <v>2139</v>
      </c>
    </row>
    <row r="3" spans="2:11" x14ac:dyDescent="0.35">
      <c r="B3" t="s">
        <v>223</v>
      </c>
      <c r="C3" t="e">
        <f>VLOOKUP(B3,#REF!,2,0)</f>
        <v>#REF!</v>
      </c>
      <c r="E3" t="s">
        <v>2265</v>
      </c>
      <c r="F3">
        <v>5.4959937183199994</v>
      </c>
      <c r="I3" s="671" t="s">
        <v>2269</v>
      </c>
      <c r="J3" s="3" t="s">
        <v>2268</v>
      </c>
    </row>
    <row r="4" spans="2:11" x14ac:dyDescent="0.35">
      <c r="B4" t="s">
        <v>27</v>
      </c>
      <c r="C4" t="e">
        <f>VLOOKUP(B4,#REF!,2,0)</f>
        <v>#REF!</v>
      </c>
      <c r="E4" t="s">
        <v>2264</v>
      </c>
      <c r="F4">
        <v>16.938269999999999</v>
      </c>
      <c r="I4" s="672" t="s">
        <v>2264</v>
      </c>
      <c r="J4" s="673">
        <v>16.938269999999999</v>
      </c>
    </row>
    <row r="5" spans="2:11" x14ac:dyDescent="0.35">
      <c r="B5" t="s">
        <v>163</v>
      </c>
      <c r="C5" t="e">
        <f>VLOOKUP(B5,#REF!,2,0)</f>
        <v>#REF!</v>
      </c>
      <c r="E5" t="s">
        <v>2267</v>
      </c>
      <c r="F5">
        <v>26.745646600000001</v>
      </c>
      <c r="I5" s="672" t="s">
        <v>2265</v>
      </c>
      <c r="J5" s="673">
        <v>32.240620618320001</v>
      </c>
    </row>
    <row r="6" spans="2:11" x14ac:dyDescent="0.35">
      <c r="B6" t="s">
        <v>171</v>
      </c>
      <c r="C6" t="e">
        <f>VLOOKUP(B6,#REF!,2,0)</f>
        <v>#REF!</v>
      </c>
      <c r="E6" t="s">
        <v>2265</v>
      </c>
      <c r="F6">
        <v>26.7446269</v>
      </c>
      <c r="I6" s="672" t="s">
        <v>2266</v>
      </c>
      <c r="J6" s="673">
        <v>38.918885710000005</v>
      </c>
    </row>
    <row r="7" spans="2:11" x14ac:dyDescent="0.35">
      <c r="B7" t="s">
        <v>195</v>
      </c>
      <c r="C7" t="e">
        <f>VLOOKUP(B7,#REF!,2,0)</f>
        <v>#REF!</v>
      </c>
      <c r="E7" t="s">
        <v>2266</v>
      </c>
      <c r="F7">
        <v>31.681715710000002</v>
      </c>
      <c r="I7" s="672" t="s">
        <v>2267</v>
      </c>
      <c r="J7" s="673">
        <v>63.329765039999998</v>
      </c>
    </row>
    <row r="8" spans="2:11" x14ac:dyDescent="0.35">
      <c r="B8" t="s">
        <v>202</v>
      </c>
      <c r="C8" t="e">
        <f>VLOOKUP(B8,#REF!,2,0)</f>
        <v>#REF!</v>
      </c>
      <c r="E8" t="s">
        <v>2267</v>
      </c>
      <c r="F8">
        <v>19.31312149</v>
      </c>
      <c r="I8" s="672" t="s">
        <v>2135</v>
      </c>
      <c r="J8" s="673">
        <v>151.42754136832002</v>
      </c>
    </row>
    <row r="9" spans="2:11" x14ac:dyDescent="0.35">
      <c r="B9" t="s">
        <v>251</v>
      </c>
      <c r="C9" t="e">
        <f>VLOOKUP(B9,#REF!,2,0)</f>
        <v>#REF!</v>
      </c>
      <c r="E9" t="s">
        <v>2267</v>
      </c>
      <c r="F9">
        <v>17.270996950000001</v>
      </c>
    </row>
    <row r="10" spans="2:11" x14ac:dyDescent="0.35">
      <c r="B10" t="s">
        <v>335</v>
      </c>
      <c r="C10" t="e">
        <f>VLOOKUP(B10,#REF!,2,0)</f>
        <v>#REF!</v>
      </c>
      <c r="E10" t="s">
        <v>2266</v>
      </c>
      <c r="F10">
        <v>7.2371699999999999</v>
      </c>
    </row>
    <row r="11" spans="2:11" x14ac:dyDescent="0.35">
      <c r="B11" t="s">
        <v>170</v>
      </c>
      <c r="C11" t="e">
        <f>VLOOKUP(B11,#REF!,2,0)</f>
        <v>#REF!</v>
      </c>
    </row>
    <row r="12" spans="2:11" x14ac:dyDescent="0.35">
      <c r="B12" t="s">
        <v>204</v>
      </c>
      <c r="C12" t="e">
        <f>VLOOKUP(B12,#REF!,2,0)</f>
        <v>#REF!</v>
      </c>
      <c r="K12">
        <v>292.92365460000002</v>
      </c>
    </row>
    <row r="13" spans="2:11" x14ac:dyDescent="0.35">
      <c r="B13" t="s">
        <v>281</v>
      </c>
      <c r="C13" t="e">
        <f>VLOOKUP(B13,#REF!,2,0)</f>
        <v>#REF!</v>
      </c>
      <c r="I13" s="670" t="s">
        <v>2</v>
      </c>
    </row>
    <row r="14" spans="2:11" x14ac:dyDescent="0.35">
      <c r="B14" t="s">
        <v>124</v>
      </c>
      <c r="C14" t="e">
        <f>VLOOKUP(B14,#REF!,2,0)</f>
        <v>#REF!</v>
      </c>
      <c r="E14" t="s">
        <v>2263</v>
      </c>
      <c r="F14" t="s">
        <v>2262</v>
      </c>
      <c r="G14" t="s">
        <v>2248</v>
      </c>
      <c r="I14" s="671" t="s">
        <v>2269</v>
      </c>
      <c r="J14" s="3" t="s">
        <v>2268</v>
      </c>
    </row>
    <row r="15" spans="2:11" x14ac:dyDescent="0.35">
      <c r="B15" t="s">
        <v>205</v>
      </c>
      <c r="C15" t="e">
        <f>VLOOKUP(B15,#REF!,2,0)</f>
        <v>#REF!</v>
      </c>
      <c r="E15" t="s">
        <v>2266</v>
      </c>
      <c r="F15">
        <v>7.3684469999999997</v>
      </c>
      <c r="G15">
        <v>73.244547999999995</v>
      </c>
      <c r="I15" s="672" t="s">
        <v>2264</v>
      </c>
      <c r="J15" s="673">
        <v>19.797375799999998</v>
      </c>
    </row>
    <row r="16" spans="2:11" x14ac:dyDescent="0.35">
      <c r="B16" t="s">
        <v>344</v>
      </c>
      <c r="C16" t="e">
        <f>VLOOKUP(B16,#REF!,2,0)</f>
        <v>#REF!</v>
      </c>
      <c r="E16" t="s">
        <v>2264</v>
      </c>
      <c r="F16">
        <v>5.5783706000000004</v>
      </c>
      <c r="G16">
        <v>55.4</v>
      </c>
      <c r="I16" s="672" t="s">
        <v>2265</v>
      </c>
      <c r="J16" s="673">
        <v>50.621618199999993</v>
      </c>
    </row>
    <row r="17" spans="2:13" x14ac:dyDescent="0.35">
      <c r="B17" t="s">
        <v>125</v>
      </c>
      <c r="C17" t="e">
        <f>VLOOKUP(B17,#REF!,2,0)</f>
        <v>#REF!</v>
      </c>
      <c r="E17" t="s">
        <v>2265</v>
      </c>
      <c r="F17">
        <v>11.128875000000001</v>
      </c>
      <c r="G17">
        <v>110.62602199999999</v>
      </c>
      <c r="I17" s="672" t="s">
        <v>2266</v>
      </c>
      <c r="J17" s="673">
        <v>33.187839399999994</v>
      </c>
    </row>
    <row r="18" spans="2:13" x14ac:dyDescent="0.35">
      <c r="B18" t="s">
        <v>254</v>
      </c>
      <c r="C18" t="e">
        <f>VLOOKUP(B18,#REF!,2,0)</f>
        <v>#REF!</v>
      </c>
      <c r="E18" t="s">
        <v>2265</v>
      </c>
      <c r="F18">
        <v>10.2564718</v>
      </c>
      <c r="G18">
        <v>101.95259200000001</v>
      </c>
      <c r="I18" s="672" t="s">
        <v>2267</v>
      </c>
      <c r="J18" s="673">
        <v>37.88927979999999</v>
      </c>
    </row>
    <row r="19" spans="2:13" x14ac:dyDescent="0.35">
      <c r="B19" t="s">
        <v>136</v>
      </c>
      <c r="C19" t="e">
        <f>VLOOKUP(B19,#REF!,2,0)</f>
        <v>#REF!</v>
      </c>
      <c r="E19" t="s">
        <v>2264</v>
      </c>
      <c r="F19">
        <v>3.6376959999999996</v>
      </c>
      <c r="G19">
        <v>36.159756000000002</v>
      </c>
      <c r="I19" s="672" t="s">
        <v>2135</v>
      </c>
      <c r="J19" s="673">
        <v>141.4961132</v>
      </c>
    </row>
    <row r="20" spans="2:13" x14ac:dyDescent="0.35">
      <c r="B20" t="s">
        <v>212</v>
      </c>
      <c r="C20" t="e">
        <f>VLOOKUP(B20,#REF!,2,0)</f>
        <v>#REF!</v>
      </c>
      <c r="E20" t="s">
        <v>2265</v>
      </c>
      <c r="F20">
        <v>3.8158585999999999</v>
      </c>
      <c r="G20">
        <v>37.931088000000003</v>
      </c>
    </row>
    <row r="21" spans="2:13" x14ac:dyDescent="0.35">
      <c r="B21" t="s">
        <v>184</v>
      </c>
      <c r="C21" t="e">
        <f>VLOOKUP(B21,#REF!,2,0)</f>
        <v>#REF!</v>
      </c>
      <c r="E21" t="s">
        <v>2265</v>
      </c>
      <c r="F21">
        <v>6.2818664000000002</v>
      </c>
      <c r="G21">
        <v>62.44</v>
      </c>
    </row>
    <row r="22" spans="2:13" x14ac:dyDescent="0.35">
      <c r="B22" t="s">
        <v>161</v>
      </c>
      <c r="C22" t="e">
        <f>VLOOKUP(B22,#REF!,2,0)</f>
        <v>#REF!</v>
      </c>
      <c r="E22" t="s">
        <v>2264</v>
      </c>
      <c r="F22">
        <v>3.5815611999999999</v>
      </c>
      <c r="G22">
        <v>35.6</v>
      </c>
      <c r="M22">
        <v>88.1</v>
      </c>
    </row>
    <row r="23" spans="2:13" x14ac:dyDescent="0.35">
      <c r="B23" t="s">
        <v>343</v>
      </c>
      <c r="C23" t="e">
        <f>VLOOKUP(B23,#REF!,2,0)</f>
        <v>#REF!</v>
      </c>
      <c r="E23" t="s">
        <v>2265</v>
      </c>
      <c r="F23">
        <v>8.3632804000000007</v>
      </c>
      <c r="G23">
        <v>83.13</v>
      </c>
      <c r="M23">
        <v>127</v>
      </c>
    </row>
    <row r="24" spans="2:13" x14ac:dyDescent="0.35">
      <c r="B24" t="s">
        <v>131</v>
      </c>
      <c r="C24" t="e">
        <f>VLOOKUP(B24,#REF!,2,0)</f>
        <v>#REF!</v>
      </c>
      <c r="E24" t="s">
        <v>2264</v>
      </c>
      <c r="F24">
        <v>3.4998739999999997</v>
      </c>
      <c r="G24">
        <v>34.79</v>
      </c>
    </row>
    <row r="25" spans="2:13" x14ac:dyDescent="0.35">
      <c r="B25" t="s">
        <v>268</v>
      </c>
      <c r="C25" t="e">
        <f>VLOOKUP(B25,#REF!,2,0)</f>
        <v>#REF!</v>
      </c>
      <c r="E25" t="s">
        <v>2266</v>
      </c>
      <c r="F25">
        <v>3.6376959999999996</v>
      </c>
      <c r="G25">
        <v>36.159756000000002</v>
      </c>
    </row>
    <row r="26" spans="2:13" x14ac:dyDescent="0.35">
      <c r="B26" t="s">
        <v>253</v>
      </c>
      <c r="C26" t="e">
        <f>VLOOKUP(B26,#REF!,2,0)</f>
        <v>#REF!</v>
      </c>
      <c r="E26" t="s">
        <v>2264</v>
      </c>
      <c r="F26">
        <v>3.4998739999999997</v>
      </c>
      <c r="G26">
        <v>34.79</v>
      </c>
    </row>
    <row r="27" spans="2:13" x14ac:dyDescent="0.35">
      <c r="B27" t="s">
        <v>276</v>
      </c>
      <c r="C27" t="e">
        <f>VLOOKUP(B27,#REF!,2,0)</f>
        <v>#REF!</v>
      </c>
      <c r="E27" t="s">
        <v>2265</v>
      </c>
      <c r="F27">
        <v>3.6376959999999996</v>
      </c>
      <c r="G27">
        <v>36.159756000000002</v>
      </c>
    </row>
    <row r="28" spans="2:13" x14ac:dyDescent="0.35">
      <c r="B28" t="s">
        <v>135</v>
      </c>
      <c r="C28" t="e">
        <f>VLOOKUP(B28,#REF!,2,0)</f>
        <v>#REF!</v>
      </c>
      <c r="E28" t="s">
        <v>2265</v>
      </c>
      <c r="F28">
        <v>3.4998739999999997</v>
      </c>
      <c r="G28">
        <v>34.79</v>
      </c>
    </row>
    <row r="29" spans="2:13" x14ac:dyDescent="0.35">
      <c r="E29" t="s">
        <v>2265</v>
      </c>
      <c r="F29">
        <v>3.6376959999999996</v>
      </c>
      <c r="G29">
        <v>36.159756000000002</v>
      </c>
    </row>
    <row r="30" spans="2:13" x14ac:dyDescent="0.35">
      <c r="E30" t="s">
        <v>2266</v>
      </c>
      <c r="F30">
        <v>3.4998739999999997</v>
      </c>
      <c r="G30">
        <v>34.79</v>
      </c>
    </row>
    <row r="31" spans="2:13" x14ac:dyDescent="0.35">
      <c r="E31" t="s">
        <v>2266</v>
      </c>
      <c r="F31">
        <v>4.4066824000000002</v>
      </c>
      <c r="G31">
        <v>43.8</v>
      </c>
    </row>
    <row r="32" spans="2:13" x14ac:dyDescent="0.35">
      <c r="E32" t="s">
        <v>2266</v>
      </c>
      <c r="F32">
        <v>3.6376959999999996</v>
      </c>
      <c r="G32">
        <v>36.159756000000002</v>
      </c>
    </row>
    <row r="33" spans="5:7" x14ac:dyDescent="0.35">
      <c r="E33" t="s">
        <v>2266</v>
      </c>
      <c r="F33">
        <v>3.4998739999999997</v>
      </c>
      <c r="G33">
        <v>34.79</v>
      </c>
    </row>
    <row r="34" spans="5:7" x14ac:dyDescent="0.35">
      <c r="E34" t="s">
        <v>2267</v>
      </c>
      <c r="F34">
        <v>8.8998808</v>
      </c>
      <c r="G34">
        <v>85.506823999999995</v>
      </c>
    </row>
    <row r="35" spans="5:7" x14ac:dyDescent="0.35">
      <c r="E35" t="s">
        <v>2266</v>
      </c>
      <c r="F35">
        <v>3.4998739999999997</v>
      </c>
      <c r="G35">
        <v>34.79</v>
      </c>
    </row>
    <row r="36" spans="5:7" x14ac:dyDescent="0.35">
      <c r="E36" t="s">
        <v>2267</v>
      </c>
      <c r="F36">
        <v>3.8158585999999999</v>
      </c>
      <c r="G36">
        <v>37.931088000000003</v>
      </c>
    </row>
    <row r="37" spans="5:7" x14ac:dyDescent="0.35">
      <c r="E37" t="s">
        <v>2266</v>
      </c>
      <c r="F37">
        <v>3.6376959999999996</v>
      </c>
      <c r="G37">
        <v>36.159756000000002</v>
      </c>
    </row>
    <row r="38" spans="5:7" x14ac:dyDescent="0.35">
      <c r="E38" t="s">
        <v>2267</v>
      </c>
      <c r="F38">
        <v>3.4998739999999997</v>
      </c>
      <c r="G38">
        <v>34.79</v>
      </c>
    </row>
    <row r="39" spans="5:7" x14ac:dyDescent="0.35">
      <c r="E39" t="s">
        <v>2267</v>
      </c>
      <c r="F39">
        <v>3.6376959999999996</v>
      </c>
      <c r="G39">
        <v>36.159756000000002</v>
      </c>
    </row>
    <row r="40" spans="5:7" x14ac:dyDescent="0.35">
      <c r="E40" t="s">
        <v>2267</v>
      </c>
      <c r="F40">
        <v>3.8158585999999999</v>
      </c>
      <c r="G40">
        <v>37.931088000000003</v>
      </c>
    </row>
    <row r="41" spans="5:7" x14ac:dyDescent="0.35">
      <c r="E41" t="s">
        <v>2267</v>
      </c>
      <c r="F41">
        <v>3.6376959999999996</v>
      </c>
      <c r="G41">
        <v>36.159756000000002</v>
      </c>
    </row>
    <row r="42" spans="5:7" x14ac:dyDescent="0.35">
      <c r="E42" t="s">
        <v>2267</v>
      </c>
      <c r="F42">
        <v>6.7665571999999994</v>
      </c>
      <c r="G42">
        <v>67.261728000000005</v>
      </c>
    </row>
    <row r="43" spans="5:7" x14ac:dyDescent="0.35">
      <c r="E43" t="s">
        <v>2267</v>
      </c>
      <c r="F43">
        <v>3.8158585999999999</v>
      </c>
      <c r="G43">
        <v>37.931088000000003</v>
      </c>
    </row>
  </sheetData>
  <autoFilter ref="B2:C28" xr:uid="{A716322D-AC26-462A-8FF2-6FEB26A56BE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0"/>
  <sheetViews>
    <sheetView topLeftCell="H1" zoomScale="78" zoomScaleNormal="78" workbookViewId="0">
      <pane ySplit="1" topLeftCell="A2" activePane="bottomLeft" state="frozen"/>
      <selection activeCell="C1" sqref="C1"/>
      <selection pane="bottomLeft" activeCell="O6" sqref="O6"/>
    </sheetView>
  </sheetViews>
  <sheetFormatPr defaultRowHeight="14.5" x14ac:dyDescent="0.35"/>
  <cols>
    <col min="1" max="14" width="23.1796875" customWidth="1"/>
    <col min="15" max="15" width="21.54296875" customWidth="1"/>
  </cols>
  <sheetData>
    <row r="1" spans="1:15" ht="15" thickBot="1" x14ac:dyDescent="0.4"/>
    <row r="2" spans="1:15" ht="42.5" thickBot="1" x14ac:dyDescent="0.4">
      <c r="A2" s="183" t="s">
        <v>4</v>
      </c>
      <c r="B2" s="184" t="s">
        <v>687</v>
      </c>
      <c r="C2" s="184" t="s">
        <v>688</v>
      </c>
      <c r="D2" s="184" t="s">
        <v>689</v>
      </c>
      <c r="E2" s="184" t="s">
        <v>690</v>
      </c>
      <c r="F2" s="184" t="s">
        <v>691</v>
      </c>
      <c r="G2" s="184" t="s">
        <v>6</v>
      </c>
      <c r="H2" s="184" t="s">
        <v>692</v>
      </c>
      <c r="I2" s="184" t="s">
        <v>693</v>
      </c>
      <c r="J2" s="184" t="s">
        <v>694</v>
      </c>
      <c r="K2" s="184" t="s">
        <v>695</v>
      </c>
      <c r="L2" s="184" t="s">
        <v>696</v>
      </c>
      <c r="M2" s="184" t="s">
        <v>697</v>
      </c>
      <c r="N2" s="184" t="s">
        <v>371</v>
      </c>
    </row>
    <row r="3" spans="1:15" ht="38.25" customHeight="1" thickBot="1" x14ac:dyDescent="0.4">
      <c r="A3" s="185">
        <v>1</v>
      </c>
      <c r="B3" s="902" t="s">
        <v>408</v>
      </c>
      <c r="C3" s="903"/>
      <c r="D3" s="903"/>
      <c r="E3" s="903"/>
      <c r="F3" s="903"/>
      <c r="G3" s="903"/>
      <c r="H3" s="903"/>
      <c r="I3" s="903"/>
      <c r="J3" s="903"/>
      <c r="K3" s="903"/>
      <c r="L3" s="903"/>
      <c r="M3" s="903"/>
      <c r="N3" s="904"/>
    </row>
    <row r="4" spans="1:15" ht="66.75" customHeight="1" thickBot="1" x14ac:dyDescent="0.4">
      <c r="A4" s="186" t="s">
        <v>698</v>
      </c>
      <c r="B4" s="187" t="s">
        <v>699</v>
      </c>
      <c r="C4" s="187">
        <v>2</v>
      </c>
      <c r="D4" s="187" t="s">
        <v>700</v>
      </c>
      <c r="E4" s="187" t="s">
        <v>597</v>
      </c>
      <c r="F4" s="187" t="s">
        <v>598</v>
      </c>
      <c r="G4" s="187" t="s">
        <v>701</v>
      </c>
      <c r="H4" s="187" t="s">
        <v>454</v>
      </c>
      <c r="I4" s="187" t="s">
        <v>702</v>
      </c>
      <c r="J4" s="187" t="s">
        <v>703</v>
      </c>
      <c r="K4" s="188" t="s">
        <v>704</v>
      </c>
      <c r="L4" s="905" t="s">
        <v>705</v>
      </c>
      <c r="M4" s="908" t="s">
        <v>706</v>
      </c>
      <c r="N4" s="187"/>
      <c r="O4" s="189"/>
    </row>
    <row r="5" spans="1:15" ht="63.75" customHeight="1" thickBot="1" x14ac:dyDescent="0.4">
      <c r="A5" s="188" t="s">
        <v>707</v>
      </c>
      <c r="B5" s="188" t="s">
        <v>708</v>
      </c>
      <c r="C5" s="190">
        <v>2</v>
      </c>
      <c r="D5" s="908" t="s">
        <v>709</v>
      </c>
      <c r="E5" s="191" t="s">
        <v>603</v>
      </c>
      <c r="F5" s="192" t="s">
        <v>598</v>
      </c>
      <c r="G5" s="193" t="s">
        <v>701</v>
      </c>
      <c r="H5" s="193" t="s">
        <v>651</v>
      </c>
      <c r="I5" s="193" t="s">
        <v>710</v>
      </c>
      <c r="J5" s="908" t="s">
        <v>711</v>
      </c>
      <c r="K5" s="188" t="s">
        <v>712</v>
      </c>
      <c r="L5" s="906"/>
      <c r="M5" s="909"/>
      <c r="N5" s="193"/>
      <c r="O5" s="189"/>
    </row>
    <row r="6" spans="1:15" ht="63.75" customHeight="1" thickBot="1" x14ac:dyDescent="0.4">
      <c r="A6" s="188" t="s">
        <v>713</v>
      </c>
      <c r="B6" s="188" t="s">
        <v>714</v>
      </c>
      <c r="C6" s="188">
        <v>2</v>
      </c>
      <c r="D6" s="909"/>
      <c r="E6" s="188" t="s">
        <v>605</v>
      </c>
      <c r="F6" s="188" t="s">
        <v>598</v>
      </c>
      <c r="G6" s="188" t="s">
        <v>701</v>
      </c>
      <c r="H6" s="188" t="s">
        <v>715</v>
      </c>
      <c r="I6" s="188" t="s">
        <v>710</v>
      </c>
      <c r="J6" s="909"/>
      <c r="K6" s="188" t="s">
        <v>712</v>
      </c>
      <c r="L6" s="906"/>
      <c r="M6" s="909"/>
      <c r="N6" s="188"/>
      <c r="O6" s="189"/>
    </row>
    <row r="7" spans="1:15" ht="61.5" customHeight="1" thickBot="1" x14ac:dyDescent="0.4">
      <c r="A7" s="188" t="s">
        <v>716</v>
      </c>
      <c r="B7" s="188" t="s">
        <v>717</v>
      </c>
      <c r="C7" s="188">
        <v>2</v>
      </c>
      <c r="D7" s="909"/>
      <c r="E7" s="188" t="s">
        <v>606</v>
      </c>
      <c r="F7" s="188" t="s">
        <v>598</v>
      </c>
      <c r="G7" s="188" t="s">
        <v>701</v>
      </c>
      <c r="H7" s="188" t="s">
        <v>651</v>
      </c>
      <c r="I7" s="188" t="s">
        <v>710</v>
      </c>
      <c r="J7" s="909"/>
      <c r="K7" s="188" t="s">
        <v>712</v>
      </c>
      <c r="L7" s="906"/>
      <c r="M7" s="909"/>
      <c r="N7" s="188"/>
      <c r="O7" s="189"/>
    </row>
    <row r="8" spans="1:15" ht="60.75" customHeight="1" thickBot="1" x14ac:dyDescent="0.4">
      <c r="A8" s="188" t="s">
        <v>718</v>
      </c>
      <c r="B8" s="188" t="s">
        <v>719</v>
      </c>
      <c r="C8" s="188">
        <v>2</v>
      </c>
      <c r="D8" s="909"/>
      <c r="E8" s="188" t="s">
        <v>607</v>
      </c>
      <c r="F8" s="188" t="s">
        <v>598</v>
      </c>
      <c r="G8" s="188" t="s">
        <v>701</v>
      </c>
      <c r="H8" s="188" t="s">
        <v>651</v>
      </c>
      <c r="I8" s="188" t="s">
        <v>710</v>
      </c>
      <c r="J8" s="910"/>
      <c r="K8" s="188" t="s">
        <v>712</v>
      </c>
      <c r="L8" s="907"/>
      <c r="M8" s="910"/>
      <c r="N8" s="188"/>
      <c r="O8" s="189"/>
    </row>
    <row r="9" spans="1:15" ht="60.75" customHeight="1" thickBot="1" x14ac:dyDescent="0.4">
      <c r="A9" s="188" t="s">
        <v>720</v>
      </c>
      <c r="B9" s="188" t="s">
        <v>721</v>
      </c>
      <c r="C9" s="188">
        <v>2</v>
      </c>
      <c r="D9" s="909"/>
      <c r="E9" s="188" t="s">
        <v>616</v>
      </c>
      <c r="F9" s="188" t="s">
        <v>598</v>
      </c>
      <c r="G9" s="188" t="s">
        <v>701</v>
      </c>
      <c r="H9" s="188" t="s">
        <v>759</v>
      </c>
      <c r="I9" s="188" t="s">
        <v>722</v>
      </c>
      <c r="J9" s="188" t="s">
        <v>617</v>
      </c>
      <c r="K9" s="188" t="s">
        <v>617</v>
      </c>
      <c r="L9" s="188" t="s">
        <v>617</v>
      </c>
      <c r="M9" s="190" t="s">
        <v>617</v>
      </c>
      <c r="N9" s="188"/>
      <c r="O9" s="189"/>
    </row>
    <row r="10" spans="1:15" ht="62.25" customHeight="1" thickBot="1" x14ac:dyDescent="0.4">
      <c r="A10" s="188" t="s">
        <v>723</v>
      </c>
      <c r="B10" s="196" t="s">
        <v>724</v>
      </c>
      <c r="C10" s="196">
        <v>2</v>
      </c>
      <c r="D10" s="910"/>
      <c r="E10" s="196" t="s">
        <v>620</v>
      </c>
      <c r="F10" s="196" t="s">
        <v>598</v>
      </c>
      <c r="G10" s="196" t="s">
        <v>701</v>
      </c>
      <c r="H10" s="196" t="s">
        <v>651</v>
      </c>
      <c r="I10" s="196" t="s">
        <v>725</v>
      </c>
      <c r="J10" s="196" t="s">
        <v>617</v>
      </c>
      <c r="K10" s="196" t="s">
        <v>617</v>
      </c>
      <c r="L10" s="188" t="s">
        <v>617</v>
      </c>
      <c r="M10" s="190" t="s">
        <v>617</v>
      </c>
      <c r="N10" s="196"/>
      <c r="O10" s="189"/>
    </row>
    <row r="11" spans="1:15" ht="64.5" customHeight="1" thickBot="1" x14ac:dyDescent="0.4">
      <c r="A11" s="188" t="s">
        <v>726</v>
      </c>
      <c r="B11" s="190" t="s">
        <v>727</v>
      </c>
      <c r="C11" s="190">
        <v>2</v>
      </c>
      <c r="D11" s="190" t="s">
        <v>728</v>
      </c>
      <c r="E11" s="188" t="s">
        <v>608</v>
      </c>
      <c r="F11" s="190" t="s">
        <v>598</v>
      </c>
      <c r="G11" s="190" t="s">
        <v>701</v>
      </c>
      <c r="H11" s="190" t="s">
        <v>454</v>
      </c>
      <c r="I11" s="190" t="s">
        <v>729</v>
      </c>
      <c r="J11" s="190" t="s">
        <v>730</v>
      </c>
      <c r="K11" s="190" t="s">
        <v>729</v>
      </c>
      <c r="L11" s="197" t="s">
        <v>705</v>
      </c>
      <c r="M11" s="198" t="s">
        <v>706</v>
      </c>
      <c r="N11" s="190"/>
      <c r="O11" s="189"/>
    </row>
    <row r="12" spans="1:15" ht="64.5" customHeight="1" thickBot="1" x14ac:dyDescent="0.4">
      <c r="A12" s="188" t="s">
        <v>731</v>
      </c>
      <c r="B12" s="188" t="s">
        <v>732</v>
      </c>
      <c r="C12" s="188">
        <v>2</v>
      </c>
      <c r="D12" s="188" t="s">
        <v>733</v>
      </c>
      <c r="E12" s="188" t="s">
        <v>612</v>
      </c>
      <c r="F12" s="188" t="s">
        <v>598</v>
      </c>
      <c r="G12" s="188" t="s">
        <v>701</v>
      </c>
      <c r="H12" s="188" t="s">
        <v>651</v>
      </c>
      <c r="I12" s="196" t="s">
        <v>725</v>
      </c>
      <c r="J12" s="190" t="s">
        <v>734</v>
      </c>
      <c r="K12" s="190"/>
      <c r="L12" s="197" t="s">
        <v>705</v>
      </c>
      <c r="M12" s="198" t="s">
        <v>706</v>
      </c>
      <c r="N12" s="188"/>
      <c r="O12" s="189"/>
    </row>
    <row r="13" spans="1:15" ht="39.75" customHeight="1" thickBot="1" x14ac:dyDescent="0.4">
      <c r="A13" s="185">
        <v>2</v>
      </c>
      <c r="B13" s="902" t="s">
        <v>735</v>
      </c>
      <c r="C13" s="903"/>
      <c r="D13" s="903"/>
      <c r="E13" s="903"/>
      <c r="F13" s="903"/>
      <c r="G13" s="903"/>
      <c r="H13" s="903"/>
      <c r="I13" s="903"/>
      <c r="J13" s="903"/>
      <c r="K13" s="903"/>
      <c r="L13" s="903"/>
      <c r="M13" s="903"/>
      <c r="N13" s="904"/>
      <c r="O13" s="189"/>
    </row>
    <row r="14" spans="1:15" ht="61.5" customHeight="1" thickBot="1" x14ac:dyDescent="0.4">
      <c r="A14" s="194" t="s">
        <v>698</v>
      </c>
      <c r="B14" s="199" t="s">
        <v>736</v>
      </c>
      <c r="C14" s="199">
        <v>2</v>
      </c>
      <c r="D14" s="199" t="s">
        <v>737</v>
      </c>
      <c r="E14" s="187" t="s">
        <v>622</v>
      </c>
      <c r="F14" s="199" t="s">
        <v>598</v>
      </c>
      <c r="G14" s="199" t="s">
        <v>701</v>
      </c>
      <c r="H14" s="199" t="s">
        <v>474</v>
      </c>
      <c r="I14" s="199" t="s">
        <v>738</v>
      </c>
      <c r="J14" s="199" t="s">
        <v>739</v>
      </c>
      <c r="K14" s="199" t="s">
        <v>828</v>
      </c>
      <c r="L14" s="199" t="s">
        <v>705</v>
      </c>
      <c r="M14" s="198" t="s">
        <v>706</v>
      </c>
      <c r="N14" s="187"/>
      <c r="O14" s="189"/>
    </row>
    <row r="15" spans="1:15" ht="61.5" customHeight="1" thickBot="1" x14ac:dyDescent="0.4">
      <c r="A15" s="190" t="s">
        <v>707</v>
      </c>
      <c r="B15" s="188" t="s">
        <v>740</v>
      </c>
      <c r="C15" s="188">
        <v>2</v>
      </c>
      <c r="D15" s="190" t="s">
        <v>737</v>
      </c>
      <c r="E15" s="188" t="s">
        <v>624</v>
      </c>
      <c r="F15" s="188" t="s">
        <v>598</v>
      </c>
      <c r="G15" s="188" t="s">
        <v>701</v>
      </c>
      <c r="H15" s="188" t="s">
        <v>474</v>
      </c>
      <c r="I15" s="188" t="s">
        <v>741</v>
      </c>
      <c r="J15" s="188" t="s">
        <v>739</v>
      </c>
      <c r="K15" s="188" t="s">
        <v>617</v>
      </c>
      <c r="L15" s="188" t="s">
        <v>705</v>
      </c>
      <c r="M15" s="198" t="s">
        <v>706</v>
      </c>
      <c r="N15" s="188"/>
      <c r="O15" s="189"/>
    </row>
    <row r="16" spans="1:15" ht="61.5" customHeight="1" thickBot="1" x14ac:dyDescent="0.4">
      <c r="A16" s="195" t="s">
        <v>713</v>
      </c>
      <c r="B16" s="188" t="s">
        <v>742</v>
      </c>
      <c r="C16" s="188">
        <v>2</v>
      </c>
      <c r="D16" s="199" t="s">
        <v>737</v>
      </c>
      <c r="E16" s="188" t="s">
        <v>625</v>
      </c>
      <c r="F16" s="188" t="s">
        <v>598</v>
      </c>
      <c r="G16" s="188" t="s">
        <v>701</v>
      </c>
      <c r="H16" s="188" t="s">
        <v>474</v>
      </c>
      <c r="I16" s="188" t="s">
        <v>725</v>
      </c>
      <c r="J16" s="188" t="s">
        <v>739</v>
      </c>
      <c r="K16" s="188" t="s">
        <v>617</v>
      </c>
      <c r="L16" s="188" t="s">
        <v>705</v>
      </c>
      <c r="M16" s="198" t="s">
        <v>706</v>
      </c>
      <c r="N16" s="188"/>
      <c r="O16" s="189"/>
    </row>
    <row r="17" spans="1:15" ht="42" customHeight="1" thickBot="1" x14ac:dyDescent="0.4">
      <c r="A17" s="185">
        <v>3</v>
      </c>
      <c r="B17" s="902" t="s">
        <v>743</v>
      </c>
      <c r="C17" s="903"/>
      <c r="D17" s="903"/>
      <c r="E17" s="903"/>
      <c r="F17" s="903"/>
      <c r="G17" s="903"/>
      <c r="H17" s="903"/>
      <c r="I17" s="903"/>
      <c r="J17" s="903"/>
      <c r="K17" s="903"/>
      <c r="L17" s="903"/>
      <c r="M17" s="903"/>
      <c r="N17" s="904"/>
      <c r="O17" s="189"/>
    </row>
    <row r="18" spans="1:15" ht="59.25" customHeight="1" thickBot="1" x14ac:dyDescent="0.4">
      <c r="A18" s="195" t="s">
        <v>698</v>
      </c>
      <c r="B18" s="200" t="s">
        <v>744</v>
      </c>
      <c r="C18" s="200">
        <v>2</v>
      </c>
      <c r="D18" s="200" t="s">
        <v>745</v>
      </c>
      <c r="E18" s="191" t="s">
        <v>628</v>
      </c>
      <c r="F18" s="192" t="s">
        <v>598</v>
      </c>
      <c r="G18" s="193" t="s">
        <v>701</v>
      </c>
      <c r="H18" s="193" t="s">
        <v>746</v>
      </c>
      <c r="I18" s="193" t="s">
        <v>747</v>
      </c>
      <c r="J18" s="193" t="s">
        <v>739</v>
      </c>
      <c r="K18" s="201" t="s">
        <v>907</v>
      </c>
      <c r="L18" s="193" t="s">
        <v>705</v>
      </c>
      <c r="M18" s="198" t="s">
        <v>706</v>
      </c>
      <c r="N18" s="193"/>
      <c r="O18" s="189"/>
    </row>
    <row r="19" spans="1:15" ht="15" thickBot="1" x14ac:dyDescent="0.4">
      <c r="A19" s="195"/>
      <c r="B19" s="202" t="s">
        <v>7</v>
      </c>
      <c r="C19" s="200">
        <f>SUM(C4:C18)</f>
        <v>26</v>
      </c>
      <c r="D19" s="203"/>
      <c r="E19" s="198"/>
      <c r="F19" s="204"/>
      <c r="G19" s="204"/>
      <c r="H19" s="204"/>
      <c r="I19" s="204"/>
      <c r="J19" s="204"/>
      <c r="K19" s="204"/>
      <c r="L19" s="204"/>
      <c r="M19" s="204"/>
      <c r="N19" s="204"/>
      <c r="O19" s="5"/>
    </row>
    <row r="20" spans="1:15" ht="15" thickBot="1" x14ac:dyDescent="0.4">
      <c r="A20" s="195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5"/>
    </row>
  </sheetData>
  <mergeCells count="7">
    <mergeCell ref="B17:N17"/>
    <mergeCell ref="B3:N3"/>
    <mergeCell ref="L4:L8"/>
    <mergeCell ref="M4:M8"/>
    <mergeCell ref="D5:D10"/>
    <mergeCell ref="J5:J8"/>
    <mergeCell ref="B13:N13"/>
  </mergeCells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35"/>
  <sheetViews>
    <sheetView zoomScale="85" workbookViewId="0">
      <pane xSplit="2" ySplit="2" topLeftCell="C218" activePane="bottomRight" state="frozen"/>
      <selection pane="topRight" activeCell="C1" sqref="C1"/>
      <selection pane="bottomLeft" activeCell="A3" sqref="A3"/>
      <selection pane="bottomRight" activeCell="K226" sqref="K226"/>
    </sheetView>
  </sheetViews>
  <sheetFormatPr defaultColWidth="8.81640625" defaultRowHeight="14.5" x14ac:dyDescent="0.35"/>
  <cols>
    <col min="1" max="1" width="10.81640625" style="10" customWidth="1"/>
    <col min="2" max="2" width="14" style="10" customWidth="1"/>
    <col min="3" max="3" width="20.54296875" style="10" customWidth="1"/>
    <col min="4" max="4" width="23.54296875" style="10" customWidth="1"/>
    <col min="5" max="5" width="22.81640625" style="10" customWidth="1"/>
    <col min="6" max="6" width="24.81640625" style="10" customWidth="1"/>
    <col min="7" max="7" width="19.1796875" style="10" hidden="1" customWidth="1"/>
    <col min="8" max="8" width="22.81640625" style="10" hidden="1" customWidth="1"/>
    <col min="9" max="9" width="14.36328125" style="10" hidden="1" customWidth="1"/>
    <col min="10" max="16384" width="8.81640625" style="10"/>
  </cols>
  <sheetData>
    <row r="1" spans="1:14" x14ac:dyDescent="0.35">
      <c r="A1" s="912" t="s">
        <v>419</v>
      </c>
      <c r="B1" s="913"/>
      <c r="C1" s="913"/>
      <c r="D1" s="913"/>
      <c r="E1" s="913"/>
      <c r="F1" s="913"/>
      <c r="G1" s="913"/>
      <c r="H1" s="913"/>
      <c r="I1" s="913"/>
    </row>
    <row r="2" spans="1:14" x14ac:dyDescent="0.35">
      <c r="A2" s="43" t="s">
        <v>411</v>
      </c>
      <c r="B2" s="43" t="s">
        <v>507</v>
      </c>
      <c r="C2" s="43" t="s">
        <v>508</v>
      </c>
      <c r="D2" s="43" t="s">
        <v>509</v>
      </c>
      <c r="E2" s="43" t="s">
        <v>510</v>
      </c>
      <c r="F2" s="43" t="s">
        <v>511</v>
      </c>
      <c r="G2" s="43" t="s">
        <v>512</v>
      </c>
      <c r="H2" s="43" t="s">
        <v>513</v>
      </c>
      <c r="I2" s="43" t="s">
        <v>514</v>
      </c>
    </row>
    <row r="3" spans="1:14" x14ac:dyDescent="0.35">
      <c r="A3" s="1">
        <v>1</v>
      </c>
      <c r="B3" s="44" t="s">
        <v>50</v>
      </c>
      <c r="C3" s="2" t="s">
        <v>31</v>
      </c>
      <c r="D3" s="911" t="s">
        <v>421</v>
      </c>
      <c r="E3" s="911"/>
      <c r="F3" s="911"/>
      <c r="G3" s="270" t="s">
        <v>515</v>
      </c>
      <c r="H3" s="44" t="s">
        <v>515</v>
      </c>
      <c r="I3" s="44" t="s">
        <v>516</v>
      </c>
      <c r="K3" s="410"/>
    </row>
    <row r="4" spans="1:14" x14ac:dyDescent="0.35">
      <c r="A4" s="1">
        <v>2</v>
      </c>
      <c r="B4" s="44" t="s">
        <v>51</v>
      </c>
      <c r="C4" s="2" t="s">
        <v>33</v>
      </c>
      <c r="D4" s="911" t="s">
        <v>421</v>
      </c>
      <c r="E4" s="911"/>
      <c r="F4" s="911"/>
      <c r="G4" s="270" t="s">
        <v>515</v>
      </c>
      <c r="H4" s="44" t="s">
        <v>515</v>
      </c>
      <c r="I4" s="44" t="s">
        <v>516</v>
      </c>
      <c r="K4" s="411"/>
    </row>
    <row r="5" spans="1:14" x14ac:dyDescent="0.35">
      <c r="A5" s="1">
        <v>3</v>
      </c>
      <c r="B5" s="44" t="s">
        <v>52</v>
      </c>
      <c r="C5" s="2" t="s">
        <v>33</v>
      </c>
      <c r="D5" s="911" t="s">
        <v>421</v>
      </c>
      <c r="E5" s="911"/>
      <c r="F5" s="911"/>
      <c r="G5" s="270" t="s">
        <v>515</v>
      </c>
      <c r="H5" s="44" t="s">
        <v>515</v>
      </c>
      <c r="I5" s="44" t="s">
        <v>516</v>
      </c>
      <c r="K5" s="410"/>
    </row>
    <row r="6" spans="1:14" x14ac:dyDescent="0.35">
      <c r="A6" s="1">
        <v>4</v>
      </c>
      <c r="B6" s="45" t="s">
        <v>121</v>
      </c>
      <c r="C6" s="2" t="s">
        <v>23</v>
      </c>
      <c r="D6" s="911" t="s">
        <v>421</v>
      </c>
      <c r="E6" s="911"/>
      <c r="F6" s="911"/>
      <c r="G6" s="270" t="s">
        <v>515</v>
      </c>
      <c r="H6" s="44" t="s">
        <v>515</v>
      </c>
      <c r="I6" s="44" t="s">
        <v>517</v>
      </c>
      <c r="K6" s="410"/>
    </row>
    <row r="7" spans="1:14" x14ac:dyDescent="0.35">
      <c r="A7" s="1">
        <v>5</v>
      </c>
      <c r="B7" s="44" t="s">
        <v>122</v>
      </c>
      <c r="C7" s="2" t="s">
        <v>23</v>
      </c>
      <c r="D7" s="911" t="s">
        <v>421</v>
      </c>
      <c r="E7" s="911"/>
      <c r="F7" s="911"/>
      <c r="G7" s="270" t="s">
        <v>515</v>
      </c>
      <c r="H7" s="44" t="s">
        <v>515</v>
      </c>
      <c r="I7" s="44" t="s">
        <v>517</v>
      </c>
      <c r="K7" s="410"/>
    </row>
    <row r="8" spans="1:14" x14ac:dyDescent="0.35">
      <c r="A8" s="1">
        <v>6</v>
      </c>
      <c r="B8" s="44" t="s">
        <v>32</v>
      </c>
      <c r="C8" s="2" t="s">
        <v>33</v>
      </c>
      <c r="D8" s="911" t="s">
        <v>421</v>
      </c>
      <c r="E8" s="911"/>
      <c r="F8" s="911"/>
      <c r="G8" s="271" t="s">
        <v>446</v>
      </c>
      <c r="H8" s="1" t="s">
        <v>446</v>
      </c>
      <c r="I8" s="1" t="s">
        <v>518</v>
      </c>
      <c r="K8" s="412"/>
      <c r="M8" s="412"/>
      <c r="N8" s="425"/>
    </row>
    <row r="9" spans="1:14" x14ac:dyDescent="0.35">
      <c r="A9" s="1">
        <v>7</v>
      </c>
      <c r="B9" s="44" t="s">
        <v>34</v>
      </c>
      <c r="C9" s="2" t="s">
        <v>460</v>
      </c>
      <c r="D9" s="911" t="s">
        <v>421</v>
      </c>
      <c r="E9" s="911"/>
      <c r="F9" s="911"/>
      <c r="G9" s="271" t="s">
        <v>446</v>
      </c>
      <c r="H9" s="1" t="s">
        <v>446</v>
      </c>
      <c r="I9" s="2" t="s">
        <v>518</v>
      </c>
      <c r="K9" s="412"/>
      <c r="M9" s="412"/>
      <c r="N9" s="425"/>
    </row>
    <row r="10" spans="1:14" x14ac:dyDescent="0.35">
      <c r="A10" s="1">
        <v>8</v>
      </c>
      <c r="B10" s="44" t="s">
        <v>41</v>
      </c>
      <c r="C10" s="2" t="s">
        <v>449</v>
      </c>
      <c r="D10" s="911" t="s">
        <v>421</v>
      </c>
      <c r="E10" s="911"/>
      <c r="F10" s="911"/>
      <c r="G10" s="271" t="s">
        <v>519</v>
      </c>
      <c r="H10" s="1" t="s">
        <v>519</v>
      </c>
      <c r="I10" s="1"/>
      <c r="K10" s="410"/>
      <c r="M10" s="414"/>
      <c r="N10" s="426"/>
    </row>
    <row r="11" spans="1:14" x14ac:dyDescent="0.35">
      <c r="A11" s="1">
        <v>9</v>
      </c>
      <c r="B11" s="1" t="s">
        <v>199</v>
      </c>
      <c r="C11" s="2" t="s">
        <v>23</v>
      </c>
      <c r="D11" s="911" t="s">
        <v>421</v>
      </c>
      <c r="E11" s="911"/>
      <c r="F11" s="911"/>
      <c r="G11" s="272" t="s">
        <v>458</v>
      </c>
      <c r="H11" s="2" t="s">
        <v>458</v>
      </c>
      <c r="I11" s="1"/>
      <c r="K11" s="410"/>
      <c r="M11" s="413"/>
      <c r="N11" s="427"/>
    </row>
    <row r="12" spans="1:14" x14ac:dyDescent="0.35">
      <c r="A12" s="1">
        <v>10</v>
      </c>
      <c r="B12" s="1" t="s">
        <v>201</v>
      </c>
      <c r="C12" s="2" t="s">
        <v>23</v>
      </c>
      <c r="D12" s="911" t="s">
        <v>421</v>
      </c>
      <c r="E12" s="911"/>
      <c r="F12" s="911"/>
      <c r="G12" s="272" t="s">
        <v>458</v>
      </c>
      <c r="H12" s="2" t="s">
        <v>458</v>
      </c>
      <c r="I12" s="1"/>
      <c r="K12" s="410"/>
      <c r="M12" s="416"/>
      <c r="N12" s="428"/>
    </row>
    <row r="13" spans="1:14" x14ac:dyDescent="0.35">
      <c r="A13" s="1">
        <v>11</v>
      </c>
      <c r="B13" s="44" t="s">
        <v>103</v>
      </c>
      <c r="C13" s="1" t="s">
        <v>20</v>
      </c>
      <c r="D13" s="911" t="s">
        <v>421</v>
      </c>
      <c r="E13" s="911"/>
      <c r="F13" s="911"/>
      <c r="G13" s="272" t="s">
        <v>520</v>
      </c>
      <c r="H13" s="2" t="s">
        <v>520</v>
      </c>
      <c r="I13" s="2"/>
      <c r="K13" s="413"/>
      <c r="M13" s="416"/>
      <c r="N13" s="428"/>
    </row>
    <row r="14" spans="1:14" ht="15" customHeight="1" x14ac:dyDescent="0.35">
      <c r="A14" s="1">
        <v>12</v>
      </c>
      <c r="B14" s="45" t="s">
        <v>106</v>
      </c>
      <c r="C14" s="1" t="s">
        <v>23</v>
      </c>
      <c r="D14" s="911" t="s">
        <v>421</v>
      </c>
      <c r="E14" s="911"/>
      <c r="F14" s="911"/>
      <c r="G14" s="271" t="s">
        <v>520</v>
      </c>
      <c r="H14" s="1" t="s">
        <v>520</v>
      </c>
      <c r="I14" s="1"/>
      <c r="K14" s="410"/>
      <c r="M14" s="416"/>
      <c r="N14" s="428"/>
    </row>
    <row r="15" spans="1:14" ht="15" customHeight="1" x14ac:dyDescent="0.35">
      <c r="A15" s="1">
        <v>13</v>
      </c>
      <c r="B15" s="45" t="s">
        <v>107</v>
      </c>
      <c r="C15" s="1" t="s">
        <v>31</v>
      </c>
      <c r="D15" s="911" t="s">
        <v>421</v>
      </c>
      <c r="E15" s="911"/>
      <c r="F15" s="911"/>
      <c r="G15" s="271" t="s">
        <v>520</v>
      </c>
      <c r="H15" s="1" t="s">
        <v>520</v>
      </c>
      <c r="I15" s="1"/>
      <c r="K15" s="414"/>
      <c r="M15" s="417"/>
      <c r="N15" s="429"/>
    </row>
    <row r="16" spans="1:14" ht="15" customHeight="1" x14ac:dyDescent="0.35">
      <c r="A16" s="1">
        <v>14</v>
      </c>
      <c r="B16" s="45" t="s">
        <v>108</v>
      </c>
      <c r="C16" s="1" t="s">
        <v>23</v>
      </c>
      <c r="D16" s="911" t="s">
        <v>421</v>
      </c>
      <c r="E16" s="911"/>
      <c r="F16" s="911"/>
      <c r="G16" s="271" t="s">
        <v>520</v>
      </c>
      <c r="H16" s="1" t="s">
        <v>520</v>
      </c>
      <c r="I16" s="1"/>
      <c r="K16" s="414"/>
      <c r="M16" s="417"/>
      <c r="N16" s="429"/>
    </row>
    <row r="17" spans="1:14" ht="15" customHeight="1" x14ac:dyDescent="0.35">
      <c r="A17" s="1">
        <v>15</v>
      </c>
      <c r="B17" s="45" t="s">
        <v>109</v>
      </c>
      <c r="C17" s="1" t="s">
        <v>31</v>
      </c>
      <c r="D17" s="911" t="s">
        <v>421</v>
      </c>
      <c r="E17" s="911"/>
      <c r="F17" s="911"/>
      <c r="G17" s="271" t="s">
        <v>520</v>
      </c>
      <c r="H17" s="1" t="s">
        <v>520</v>
      </c>
      <c r="I17" s="1"/>
      <c r="K17" s="414"/>
      <c r="M17" s="416"/>
      <c r="N17" s="428"/>
    </row>
    <row r="18" spans="1:14" x14ac:dyDescent="0.35">
      <c r="A18" s="1">
        <v>16</v>
      </c>
      <c r="B18" s="46" t="s">
        <v>341</v>
      </c>
      <c r="C18" s="2" t="s">
        <v>23</v>
      </c>
      <c r="D18" s="911" t="s">
        <v>421</v>
      </c>
      <c r="E18" s="911"/>
      <c r="F18" s="911"/>
      <c r="G18" s="271" t="s">
        <v>521</v>
      </c>
      <c r="H18" s="1" t="s">
        <v>521</v>
      </c>
      <c r="I18" s="1"/>
      <c r="K18" s="414"/>
      <c r="M18" s="418"/>
      <c r="N18" s="430"/>
    </row>
    <row r="19" spans="1:14" x14ac:dyDescent="0.35">
      <c r="A19" s="1">
        <v>17</v>
      </c>
      <c r="B19" s="46" t="s">
        <v>283</v>
      </c>
      <c r="C19" s="1" t="s">
        <v>16</v>
      </c>
      <c r="D19" s="911" t="s">
        <v>421</v>
      </c>
      <c r="E19" s="911"/>
      <c r="F19" s="911"/>
      <c r="G19" s="271" t="s">
        <v>522</v>
      </c>
      <c r="H19" s="1" t="s">
        <v>522</v>
      </c>
      <c r="I19" s="1" t="s">
        <v>517</v>
      </c>
      <c r="K19" s="414"/>
      <c r="M19" s="419"/>
      <c r="N19" s="431"/>
    </row>
    <row r="20" spans="1:14" x14ac:dyDescent="0.35">
      <c r="A20" s="1">
        <v>18</v>
      </c>
      <c r="B20" s="46" t="s">
        <v>277</v>
      </c>
      <c r="C20" s="1" t="s">
        <v>28</v>
      </c>
      <c r="D20" s="911" t="s">
        <v>421</v>
      </c>
      <c r="E20" s="911"/>
      <c r="F20" s="911"/>
      <c r="G20" s="271" t="s">
        <v>522</v>
      </c>
      <c r="H20" s="1" t="s">
        <v>522</v>
      </c>
      <c r="I20" s="1" t="s">
        <v>518</v>
      </c>
      <c r="K20" s="414"/>
      <c r="M20" s="419"/>
      <c r="N20" s="431"/>
    </row>
    <row r="21" spans="1:14" x14ac:dyDescent="0.35">
      <c r="A21" s="1">
        <v>19</v>
      </c>
      <c r="B21" s="46" t="s">
        <v>338</v>
      </c>
      <c r="C21" s="1" t="s">
        <v>33</v>
      </c>
      <c r="D21" s="911" t="s">
        <v>421</v>
      </c>
      <c r="E21" s="911"/>
      <c r="F21" s="911"/>
      <c r="G21" s="273">
        <v>45827</v>
      </c>
      <c r="H21" s="47">
        <v>45827</v>
      </c>
      <c r="I21" s="1" t="s">
        <v>523</v>
      </c>
      <c r="K21" s="414"/>
      <c r="M21" s="413"/>
      <c r="N21" s="427"/>
    </row>
    <row r="22" spans="1:14" x14ac:dyDescent="0.35">
      <c r="A22" s="1">
        <v>20</v>
      </c>
      <c r="B22" s="46" t="s">
        <v>322</v>
      </c>
      <c r="C22" s="2" t="s">
        <v>449</v>
      </c>
      <c r="D22" s="911" t="s">
        <v>421</v>
      </c>
      <c r="E22" s="911"/>
      <c r="F22" s="911"/>
      <c r="G22" s="271" t="s">
        <v>524</v>
      </c>
      <c r="H22" s="1" t="s">
        <v>524</v>
      </c>
      <c r="I22" s="1"/>
      <c r="K22" s="414"/>
      <c r="M22" s="413"/>
      <c r="N22" s="427"/>
    </row>
    <row r="23" spans="1:14" x14ac:dyDescent="0.35">
      <c r="A23" s="1">
        <v>21</v>
      </c>
      <c r="B23" s="46" t="s">
        <v>323</v>
      </c>
      <c r="C23" s="2" t="s">
        <v>31</v>
      </c>
      <c r="D23" s="911" t="s">
        <v>421</v>
      </c>
      <c r="E23" s="911"/>
      <c r="F23" s="911"/>
      <c r="G23" s="271" t="s">
        <v>493</v>
      </c>
      <c r="H23" s="1" t="s">
        <v>493</v>
      </c>
      <c r="I23" s="1"/>
      <c r="K23" s="414"/>
      <c r="M23" s="421"/>
      <c r="N23" s="432"/>
    </row>
    <row r="24" spans="1:14" x14ac:dyDescent="0.35">
      <c r="A24" s="1">
        <v>22</v>
      </c>
      <c r="B24" s="46" t="s">
        <v>330</v>
      </c>
      <c r="C24" s="2" t="s">
        <v>23</v>
      </c>
      <c r="D24" s="911" t="s">
        <v>421</v>
      </c>
      <c r="E24" s="911"/>
      <c r="F24" s="911"/>
      <c r="G24" s="271" t="s">
        <v>525</v>
      </c>
      <c r="H24" s="1" t="s">
        <v>525</v>
      </c>
      <c r="I24" s="1"/>
      <c r="K24" s="414"/>
      <c r="M24" s="418"/>
      <c r="N24" s="430"/>
    </row>
    <row r="25" spans="1:14" x14ac:dyDescent="0.35">
      <c r="A25" s="1">
        <v>23</v>
      </c>
      <c r="B25" s="46" t="s">
        <v>316</v>
      </c>
      <c r="C25" s="2" t="s">
        <v>23</v>
      </c>
      <c r="D25" s="911" t="s">
        <v>421</v>
      </c>
      <c r="E25" s="911"/>
      <c r="F25" s="911"/>
      <c r="G25" s="271" t="s">
        <v>526</v>
      </c>
      <c r="H25" s="1" t="s">
        <v>526</v>
      </c>
      <c r="I25" s="1"/>
      <c r="K25" s="414"/>
      <c r="M25" s="413"/>
      <c r="N25" s="427"/>
    </row>
    <row r="26" spans="1:14" x14ac:dyDescent="0.35">
      <c r="A26" s="1">
        <v>24</v>
      </c>
      <c r="B26" s="46" t="s">
        <v>328</v>
      </c>
      <c r="C26" s="2" t="s">
        <v>23</v>
      </c>
      <c r="D26" s="911" t="s">
        <v>421</v>
      </c>
      <c r="E26" s="911"/>
      <c r="F26" s="911"/>
      <c r="G26" s="271" t="s">
        <v>527</v>
      </c>
      <c r="H26" s="1" t="s">
        <v>527</v>
      </c>
      <c r="I26" s="1"/>
      <c r="K26" s="414"/>
      <c r="M26" s="413"/>
      <c r="N26" s="427"/>
    </row>
    <row r="27" spans="1:14" x14ac:dyDescent="0.35">
      <c r="A27" s="1">
        <v>25</v>
      </c>
      <c r="B27" s="1" t="s">
        <v>123</v>
      </c>
      <c r="C27" s="1" t="s">
        <v>40</v>
      </c>
      <c r="D27" s="911" t="s">
        <v>421</v>
      </c>
      <c r="E27" s="911"/>
      <c r="F27" s="911"/>
      <c r="G27" s="271" t="s">
        <v>528</v>
      </c>
      <c r="H27" s="1" t="s">
        <v>528</v>
      </c>
      <c r="I27" s="2" t="s">
        <v>529</v>
      </c>
      <c r="K27" s="414"/>
      <c r="M27" s="413"/>
      <c r="N27" s="427"/>
    </row>
    <row r="28" spans="1:14" x14ac:dyDescent="0.35">
      <c r="A28" s="1">
        <v>26</v>
      </c>
      <c r="B28" s="36" t="s">
        <v>248</v>
      </c>
      <c r="C28" s="2" t="s">
        <v>115</v>
      </c>
      <c r="D28" s="911" t="s">
        <v>421</v>
      </c>
      <c r="E28" s="911"/>
      <c r="F28" s="911"/>
      <c r="G28" s="271" t="s">
        <v>530</v>
      </c>
      <c r="H28" s="1" t="s">
        <v>530</v>
      </c>
      <c r="I28" s="1"/>
      <c r="K28" s="414"/>
      <c r="M28" s="422"/>
      <c r="N28" s="433"/>
    </row>
    <row r="29" spans="1:14" x14ac:dyDescent="0.35">
      <c r="A29" s="1">
        <v>27</v>
      </c>
      <c r="B29" s="1" t="s">
        <v>90</v>
      </c>
      <c r="C29" s="1" t="s">
        <v>61</v>
      </c>
      <c r="D29" s="911" t="s">
        <v>421</v>
      </c>
      <c r="E29" s="911"/>
      <c r="F29" s="911"/>
      <c r="G29" s="271" t="s">
        <v>636</v>
      </c>
      <c r="H29" s="1" t="s">
        <v>636</v>
      </c>
      <c r="I29" s="1"/>
      <c r="K29" s="414"/>
      <c r="M29" s="422"/>
      <c r="N29" s="433"/>
    </row>
    <row r="30" spans="1:14" x14ac:dyDescent="0.35">
      <c r="A30" s="1">
        <v>28</v>
      </c>
      <c r="B30" s="205" t="s">
        <v>29</v>
      </c>
      <c r="C30" s="2" t="s">
        <v>23</v>
      </c>
      <c r="D30" s="911" t="s">
        <v>421</v>
      </c>
      <c r="E30" s="911"/>
      <c r="F30" s="911"/>
      <c r="G30" s="271"/>
      <c r="H30" s="1"/>
      <c r="I30" s="1"/>
      <c r="K30" s="413"/>
      <c r="M30" s="413"/>
      <c r="N30" s="427"/>
    </row>
    <row r="31" spans="1:14" x14ac:dyDescent="0.35">
      <c r="A31" s="1">
        <v>29</v>
      </c>
      <c r="B31" s="44" t="s">
        <v>30</v>
      </c>
      <c r="C31" s="2" t="s">
        <v>31</v>
      </c>
      <c r="D31" s="911" t="s">
        <v>421</v>
      </c>
      <c r="E31" s="911"/>
      <c r="F31" s="911"/>
      <c r="G31" s="271"/>
      <c r="H31" s="1"/>
      <c r="I31" s="1"/>
      <c r="K31" s="412"/>
    </row>
    <row r="32" spans="1:14" x14ac:dyDescent="0.35">
      <c r="A32" s="1">
        <v>30</v>
      </c>
      <c r="B32" s="42" t="s">
        <v>45</v>
      </c>
      <c r="C32" s="2" t="s">
        <v>31</v>
      </c>
      <c r="D32" s="911" t="s">
        <v>421</v>
      </c>
      <c r="E32" s="911"/>
      <c r="F32" s="911"/>
      <c r="G32" s="271"/>
      <c r="H32" s="1"/>
      <c r="I32" s="1"/>
      <c r="K32" s="412"/>
    </row>
    <row r="33" spans="1:11" x14ac:dyDescent="0.35">
      <c r="A33" s="1">
        <v>31</v>
      </c>
      <c r="B33" s="44" t="s">
        <v>46</v>
      </c>
      <c r="C33" s="2" t="s">
        <v>31</v>
      </c>
      <c r="D33" s="911" t="s">
        <v>421</v>
      </c>
      <c r="E33" s="911"/>
      <c r="F33" s="911"/>
      <c r="G33" s="271"/>
      <c r="H33" s="1"/>
      <c r="I33" s="1"/>
      <c r="K33" s="412"/>
    </row>
    <row r="34" spans="1:11" x14ac:dyDescent="0.35">
      <c r="A34" s="1">
        <v>32</v>
      </c>
      <c r="B34" s="44" t="s">
        <v>47</v>
      </c>
      <c r="C34" s="2" t="s">
        <v>31</v>
      </c>
      <c r="D34" s="911" t="s">
        <v>421</v>
      </c>
      <c r="E34" s="911"/>
      <c r="F34" s="911"/>
      <c r="G34" s="271"/>
      <c r="H34" s="1"/>
      <c r="I34" s="1"/>
      <c r="K34" s="412"/>
    </row>
    <row r="35" spans="1:11" x14ac:dyDescent="0.35">
      <c r="A35" s="1">
        <v>33</v>
      </c>
      <c r="B35" s="44" t="s">
        <v>48</v>
      </c>
      <c r="C35" s="2" t="s">
        <v>31</v>
      </c>
      <c r="D35" s="911" t="s">
        <v>421</v>
      </c>
      <c r="E35" s="911"/>
      <c r="F35" s="911"/>
      <c r="G35" s="271"/>
      <c r="H35" s="1"/>
      <c r="I35" s="1"/>
      <c r="K35" s="412"/>
    </row>
    <row r="36" spans="1:11" x14ac:dyDescent="0.35">
      <c r="A36" s="1">
        <v>34</v>
      </c>
      <c r="B36" s="44" t="s">
        <v>53</v>
      </c>
      <c r="C36" s="1" t="s">
        <v>33</v>
      </c>
      <c r="D36" s="911" t="s">
        <v>421</v>
      </c>
      <c r="E36" s="911"/>
      <c r="F36" s="911"/>
      <c r="G36" s="271"/>
      <c r="H36" s="1"/>
      <c r="I36" s="1"/>
      <c r="K36" s="412"/>
    </row>
    <row r="37" spans="1:11" x14ac:dyDescent="0.35">
      <c r="A37" s="1">
        <v>35</v>
      </c>
      <c r="B37" s="44" t="s">
        <v>54</v>
      </c>
      <c r="C37" s="2" t="s">
        <v>31</v>
      </c>
      <c r="D37" s="911" t="s">
        <v>421</v>
      </c>
      <c r="E37" s="911"/>
      <c r="F37" s="911"/>
      <c r="G37" s="271"/>
      <c r="H37" s="1"/>
      <c r="I37" s="1"/>
      <c r="K37" s="412"/>
    </row>
    <row r="38" spans="1:11" x14ac:dyDescent="0.35">
      <c r="A38" s="1">
        <v>36</v>
      </c>
      <c r="B38" s="44" t="s">
        <v>55</v>
      </c>
      <c r="C38" s="2" t="s">
        <v>31</v>
      </c>
      <c r="D38" s="911" t="s">
        <v>421</v>
      </c>
      <c r="E38" s="911"/>
      <c r="F38" s="911"/>
      <c r="G38" s="271"/>
      <c r="H38" s="1"/>
      <c r="I38" s="1"/>
      <c r="K38" s="413"/>
    </row>
    <row r="39" spans="1:11" x14ac:dyDescent="0.35">
      <c r="A39" s="1">
        <v>37</v>
      </c>
      <c r="B39" s="44" t="s">
        <v>56</v>
      </c>
      <c r="C39" s="2" t="s">
        <v>31</v>
      </c>
      <c r="D39" s="911" t="s">
        <v>421</v>
      </c>
      <c r="E39" s="911"/>
      <c r="F39" s="911"/>
      <c r="G39" s="271"/>
      <c r="H39" s="1"/>
      <c r="I39" s="1"/>
      <c r="K39" s="413"/>
    </row>
    <row r="40" spans="1:11" x14ac:dyDescent="0.35">
      <c r="A40" s="1">
        <v>38</v>
      </c>
      <c r="B40" s="44" t="s">
        <v>57</v>
      </c>
      <c r="C40" s="1" t="s">
        <v>33</v>
      </c>
      <c r="D40" s="911" t="s">
        <v>421</v>
      </c>
      <c r="E40" s="911"/>
      <c r="F40" s="911"/>
      <c r="G40" s="271"/>
      <c r="H40" s="1"/>
      <c r="I40" s="1"/>
      <c r="K40" s="415"/>
    </row>
    <row r="41" spans="1:11" x14ac:dyDescent="0.35">
      <c r="A41" s="1">
        <v>39</v>
      </c>
      <c r="B41" s="44" t="s">
        <v>63</v>
      </c>
      <c r="C41" s="2" t="s">
        <v>31</v>
      </c>
      <c r="D41" s="911" t="s">
        <v>421</v>
      </c>
      <c r="E41" s="911"/>
      <c r="F41" s="911"/>
      <c r="G41" s="271"/>
      <c r="H41" s="1"/>
      <c r="I41" s="1"/>
      <c r="K41" s="415"/>
    </row>
    <row r="42" spans="1:11" x14ac:dyDescent="0.35">
      <c r="A42" s="1">
        <v>40</v>
      </c>
      <c r="B42" s="44" t="s">
        <v>71</v>
      </c>
      <c r="C42" s="1" t="s">
        <v>33</v>
      </c>
      <c r="D42" s="911" t="s">
        <v>421</v>
      </c>
      <c r="E42" s="911"/>
      <c r="F42" s="911"/>
      <c r="G42" s="271"/>
      <c r="H42" s="1"/>
      <c r="I42" s="1"/>
      <c r="K42" s="415"/>
    </row>
    <row r="43" spans="1:11" x14ac:dyDescent="0.35">
      <c r="A43" s="1">
        <v>41</v>
      </c>
      <c r="B43" s="44" t="s">
        <v>72</v>
      </c>
      <c r="C43" s="2" t="s">
        <v>23</v>
      </c>
      <c r="D43" s="911" t="s">
        <v>421</v>
      </c>
      <c r="E43" s="911"/>
      <c r="F43" s="911"/>
      <c r="G43" s="271"/>
      <c r="H43" s="1"/>
      <c r="I43" s="1"/>
      <c r="K43" s="416"/>
    </row>
    <row r="44" spans="1:11" x14ac:dyDescent="0.35">
      <c r="A44" s="1">
        <v>42</v>
      </c>
      <c r="B44" s="44" t="s">
        <v>73</v>
      </c>
      <c r="C44" s="2" t="s">
        <v>23</v>
      </c>
      <c r="D44" s="911" t="s">
        <v>421</v>
      </c>
      <c r="E44" s="911"/>
      <c r="F44" s="911"/>
      <c r="G44" s="271"/>
      <c r="H44" s="1"/>
      <c r="I44" s="1"/>
      <c r="K44" s="416"/>
    </row>
    <row r="45" spans="1:11" x14ac:dyDescent="0.35">
      <c r="A45" s="1">
        <v>43</v>
      </c>
      <c r="B45" s="44" t="s">
        <v>78</v>
      </c>
      <c r="C45" s="1" t="s">
        <v>61</v>
      </c>
      <c r="D45" s="911" t="s">
        <v>421</v>
      </c>
      <c r="E45" s="911"/>
      <c r="F45" s="911"/>
      <c r="G45" s="271"/>
      <c r="H45" s="1"/>
      <c r="I45" s="1"/>
      <c r="K45" s="416"/>
    </row>
    <row r="46" spans="1:11" x14ac:dyDescent="0.35">
      <c r="A46" s="1">
        <v>44</v>
      </c>
      <c r="B46" s="44" t="s">
        <v>79</v>
      </c>
      <c r="C46" s="2" t="s">
        <v>449</v>
      </c>
      <c r="D46" s="911" t="s">
        <v>421</v>
      </c>
      <c r="E46" s="911"/>
      <c r="F46" s="911"/>
      <c r="G46" s="271"/>
      <c r="H46" s="1"/>
      <c r="I46" s="1"/>
      <c r="K46" s="412"/>
    </row>
    <row r="47" spans="1:11" x14ac:dyDescent="0.35">
      <c r="A47" s="1">
        <v>45</v>
      </c>
      <c r="B47" s="44" t="s">
        <v>80</v>
      </c>
      <c r="C47" s="2" t="s">
        <v>31</v>
      </c>
      <c r="D47" s="911" t="s">
        <v>421</v>
      </c>
      <c r="E47" s="911"/>
      <c r="F47" s="911"/>
      <c r="G47" s="271"/>
      <c r="H47" s="1"/>
      <c r="I47" s="1"/>
      <c r="K47" s="415"/>
    </row>
    <row r="48" spans="1:11" x14ac:dyDescent="0.35">
      <c r="A48" s="1">
        <v>46</v>
      </c>
      <c r="B48" s="44" t="s">
        <v>92</v>
      </c>
      <c r="C48" s="1" t="s">
        <v>33</v>
      </c>
      <c r="D48" s="911" t="s">
        <v>421</v>
      </c>
      <c r="E48" s="911"/>
      <c r="F48" s="911"/>
      <c r="G48" s="271"/>
      <c r="H48" s="1"/>
      <c r="I48" s="1"/>
      <c r="K48" s="415"/>
    </row>
    <row r="49" spans="1:15" x14ac:dyDescent="0.35">
      <c r="A49" s="1">
        <v>47</v>
      </c>
      <c r="B49" s="44" t="s">
        <v>93</v>
      </c>
      <c r="C49" s="2" t="s">
        <v>31</v>
      </c>
      <c r="D49" s="911" t="s">
        <v>421</v>
      </c>
      <c r="E49" s="911"/>
      <c r="F49" s="911"/>
      <c r="G49" s="271"/>
      <c r="H49" s="1"/>
      <c r="I49" s="1"/>
      <c r="K49" s="415"/>
    </row>
    <row r="50" spans="1:15" x14ac:dyDescent="0.35">
      <c r="A50" s="1">
        <v>48</v>
      </c>
      <c r="B50" s="44" t="s">
        <v>94</v>
      </c>
      <c r="C50" s="1" t="s">
        <v>16</v>
      </c>
      <c r="D50" s="911" t="s">
        <v>421</v>
      </c>
      <c r="E50" s="911"/>
      <c r="F50" s="911"/>
      <c r="G50" s="271"/>
      <c r="H50" s="1"/>
      <c r="I50" s="1"/>
      <c r="K50" s="416"/>
    </row>
    <row r="51" spans="1:15" x14ac:dyDescent="0.35">
      <c r="A51" s="1">
        <v>49</v>
      </c>
      <c r="B51" s="44" t="s">
        <v>95</v>
      </c>
      <c r="C51" s="2" t="s">
        <v>23</v>
      </c>
      <c r="D51" s="911" t="s">
        <v>421</v>
      </c>
      <c r="E51" s="911"/>
      <c r="F51" s="911"/>
      <c r="G51" s="271"/>
      <c r="H51" s="1"/>
      <c r="I51" s="1"/>
      <c r="K51" s="416"/>
    </row>
    <row r="52" spans="1:15" x14ac:dyDescent="0.35">
      <c r="A52" s="1">
        <v>50</v>
      </c>
      <c r="B52" s="44" t="s">
        <v>97</v>
      </c>
      <c r="C52" s="2" t="s">
        <v>31</v>
      </c>
      <c r="D52" s="911" t="s">
        <v>421</v>
      </c>
      <c r="E52" s="911"/>
      <c r="F52" s="911"/>
      <c r="G52" s="271"/>
      <c r="H52" s="1"/>
      <c r="I52" s="1"/>
      <c r="K52" s="416"/>
    </row>
    <row r="53" spans="1:15" x14ac:dyDescent="0.35">
      <c r="A53" s="1">
        <v>51</v>
      </c>
      <c r="B53" s="44" t="s">
        <v>98</v>
      </c>
      <c r="C53" s="2" t="s">
        <v>31</v>
      </c>
      <c r="D53" s="911" t="s">
        <v>421</v>
      </c>
      <c r="E53" s="911"/>
      <c r="F53" s="911"/>
      <c r="G53" s="271"/>
      <c r="H53" s="1"/>
      <c r="I53" s="1"/>
      <c r="K53" s="415"/>
    </row>
    <row r="54" spans="1:15" x14ac:dyDescent="0.35">
      <c r="A54" s="1">
        <v>52</v>
      </c>
      <c r="B54" s="44" t="s">
        <v>99</v>
      </c>
      <c r="C54" s="1" t="s">
        <v>33</v>
      </c>
      <c r="D54" s="911" t="s">
        <v>421</v>
      </c>
      <c r="E54" s="911"/>
      <c r="F54" s="911"/>
      <c r="G54" s="271"/>
      <c r="H54" s="1"/>
      <c r="I54" s="1"/>
      <c r="K54" s="417"/>
    </row>
    <row r="55" spans="1:15" x14ac:dyDescent="0.35">
      <c r="A55" s="1">
        <v>53</v>
      </c>
      <c r="B55" s="44" t="s">
        <v>101</v>
      </c>
      <c r="C55" s="2" t="s">
        <v>31</v>
      </c>
      <c r="D55" s="911" t="s">
        <v>421</v>
      </c>
      <c r="E55" s="911"/>
      <c r="F55" s="911"/>
      <c r="G55" s="271"/>
      <c r="H55" s="1"/>
      <c r="I55" s="1"/>
      <c r="K55" s="417"/>
      <c r="O55" s="81"/>
    </row>
    <row r="56" spans="1:15" x14ac:dyDescent="0.35">
      <c r="A56" s="1">
        <v>54</v>
      </c>
      <c r="B56" s="44" t="s">
        <v>102</v>
      </c>
      <c r="C56" s="2" t="s">
        <v>31</v>
      </c>
      <c r="D56" s="911" t="s">
        <v>421</v>
      </c>
      <c r="E56" s="911"/>
      <c r="F56" s="911"/>
      <c r="G56" s="271"/>
      <c r="H56" s="1"/>
      <c r="I56" s="1"/>
      <c r="K56" s="417"/>
      <c r="O56" s="81"/>
    </row>
    <row r="57" spans="1:15" x14ac:dyDescent="0.35">
      <c r="A57" s="1">
        <v>55</v>
      </c>
      <c r="B57" s="44" t="s">
        <v>105</v>
      </c>
      <c r="C57" s="1" t="s">
        <v>16</v>
      </c>
      <c r="D57" s="911" t="s">
        <v>421</v>
      </c>
      <c r="E57" s="911"/>
      <c r="F57" s="911"/>
      <c r="G57" s="271"/>
      <c r="H57" s="1"/>
      <c r="I57" s="1"/>
      <c r="K57" s="417"/>
    </row>
    <row r="58" spans="1:15" x14ac:dyDescent="0.35">
      <c r="A58" s="1">
        <v>56</v>
      </c>
      <c r="B58" s="44" t="s">
        <v>110</v>
      </c>
      <c r="C58" s="1" t="s">
        <v>16</v>
      </c>
      <c r="D58" s="911" t="s">
        <v>421</v>
      </c>
      <c r="E58" s="911"/>
      <c r="F58" s="911"/>
      <c r="G58" s="271"/>
      <c r="H58" s="1"/>
      <c r="I58" s="1"/>
      <c r="K58" s="412"/>
      <c r="O58" s="290"/>
    </row>
    <row r="59" spans="1:15" x14ac:dyDescent="0.35">
      <c r="A59" s="1">
        <v>57</v>
      </c>
      <c r="B59" s="44" t="s">
        <v>111</v>
      </c>
      <c r="C59" s="2" t="s">
        <v>31</v>
      </c>
      <c r="D59" s="911" t="s">
        <v>421</v>
      </c>
      <c r="E59" s="911"/>
      <c r="F59" s="911"/>
      <c r="G59" s="271"/>
      <c r="H59" s="1"/>
      <c r="I59" s="1"/>
      <c r="K59" s="412"/>
    </row>
    <row r="60" spans="1:15" x14ac:dyDescent="0.35">
      <c r="A60" s="1">
        <v>58</v>
      </c>
      <c r="B60" s="44" t="s">
        <v>134</v>
      </c>
      <c r="C60" s="2" t="s">
        <v>31</v>
      </c>
      <c r="D60" s="911" t="s">
        <v>421</v>
      </c>
      <c r="E60" s="911"/>
      <c r="F60" s="911"/>
      <c r="G60" s="271"/>
      <c r="H60" s="1"/>
      <c r="I60" s="1"/>
      <c r="K60" s="417"/>
    </row>
    <row r="61" spans="1:15" x14ac:dyDescent="0.35">
      <c r="A61" s="1">
        <v>59</v>
      </c>
      <c r="B61" s="44" t="s">
        <v>135</v>
      </c>
      <c r="C61" s="2" t="s">
        <v>31</v>
      </c>
      <c r="D61" s="911" t="s">
        <v>421</v>
      </c>
      <c r="E61" s="911"/>
      <c r="F61" s="911"/>
      <c r="G61" s="271"/>
      <c r="H61" s="1"/>
      <c r="I61" s="1"/>
      <c r="K61" s="415"/>
    </row>
    <row r="62" spans="1:15" x14ac:dyDescent="0.35">
      <c r="A62" s="1">
        <v>60</v>
      </c>
      <c r="B62" s="44" t="s">
        <v>136</v>
      </c>
      <c r="C62" s="1" t="s">
        <v>16</v>
      </c>
      <c r="D62" s="911" t="s">
        <v>421</v>
      </c>
      <c r="E62" s="911"/>
      <c r="F62" s="911"/>
      <c r="G62" s="271"/>
      <c r="H62" s="1"/>
      <c r="I62" s="1"/>
      <c r="K62" s="415"/>
    </row>
    <row r="63" spans="1:15" x14ac:dyDescent="0.35">
      <c r="A63" s="1">
        <v>61</v>
      </c>
      <c r="B63" s="44" t="s">
        <v>137</v>
      </c>
      <c r="C63" s="2" t="s">
        <v>23</v>
      </c>
      <c r="D63" s="911" t="s">
        <v>421</v>
      </c>
      <c r="E63" s="911"/>
      <c r="F63" s="911"/>
      <c r="G63" s="271"/>
      <c r="H63" s="1"/>
      <c r="I63" s="1"/>
      <c r="K63" s="415"/>
    </row>
    <row r="64" spans="1:15" x14ac:dyDescent="0.35">
      <c r="A64" s="1">
        <v>62</v>
      </c>
      <c r="B64" s="44" t="s">
        <v>138</v>
      </c>
      <c r="C64" s="2" t="s">
        <v>23</v>
      </c>
      <c r="D64" s="911" t="s">
        <v>421</v>
      </c>
      <c r="E64" s="911"/>
      <c r="F64" s="911"/>
      <c r="G64" s="271"/>
      <c r="H64" s="1"/>
      <c r="I64" s="1"/>
      <c r="K64" s="415"/>
    </row>
    <row r="65" spans="1:11" x14ac:dyDescent="0.35">
      <c r="A65" s="1">
        <v>63</v>
      </c>
      <c r="B65" s="44" t="s">
        <v>139</v>
      </c>
      <c r="C65" s="1" t="s">
        <v>33</v>
      </c>
      <c r="D65" s="911" t="s">
        <v>421</v>
      </c>
      <c r="E65" s="911"/>
      <c r="F65" s="911"/>
      <c r="G65" s="271"/>
      <c r="H65" s="1"/>
      <c r="I65" s="1"/>
      <c r="K65" s="416"/>
    </row>
    <row r="66" spans="1:11" x14ac:dyDescent="0.35">
      <c r="A66" s="1">
        <v>64</v>
      </c>
      <c r="B66" s="44" t="s">
        <v>141</v>
      </c>
      <c r="C66" s="1" t="s">
        <v>16</v>
      </c>
      <c r="D66" s="911" t="s">
        <v>421</v>
      </c>
      <c r="E66" s="911"/>
      <c r="F66" s="911"/>
      <c r="G66" s="271"/>
      <c r="H66" s="1"/>
      <c r="I66" s="1"/>
      <c r="K66" s="415"/>
    </row>
    <row r="67" spans="1:11" x14ac:dyDescent="0.35">
      <c r="A67" s="1">
        <v>65</v>
      </c>
      <c r="B67" s="44" t="s">
        <v>142</v>
      </c>
      <c r="C67" s="2" t="s">
        <v>449</v>
      </c>
      <c r="D67" s="911" t="s">
        <v>421</v>
      </c>
      <c r="E67" s="911"/>
      <c r="F67" s="911"/>
      <c r="G67" s="271"/>
      <c r="H67" s="1"/>
      <c r="I67" s="1"/>
      <c r="K67" s="415"/>
    </row>
    <row r="68" spans="1:11" x14ac:dyDescent="0.35">
      <c r="A68" s="1">
        <v>66</v>
      </c>
      <c r="B68" s="44" t="s">
        <v>143</v>
      </c>
      <c r="C68" s="2" t="s">
        <v>460</v>
      </c>
      <c r="D68" s="911" t="s">
        <v>421</v>
      </c>
      <c r="E68" s="911"/>
      <c r="F68" s="911"/>
      <c r="G68" s="271"/>
      <c r="H68" s="1"/>
      <c r="I68" s="1"/>
      <c r="K68" s="415"/>
    </row>
    <row r="69" spans="1:11" x14ac:dyDescent="0.35">
      <c r="A69" s="1">
        <v>67</v>
      </c>
      <c r="B69" s="44" t="s">
        <v>144</v>
      </c>
      <c r="C69" s="2" t="s">
        <v>31</v>
      </c>
      <c r="D69" s="911" t="s">
        <v>421</v>
      </c>
      <c r="E69" s="911"/>
      <c r="F69" s="911"/>
      <c r="G69" s="271"/>
      <c r="H69" s="1"/>
      <c r="I69" s="1"/>
      <c r="K69" s="415"/>
    </row>
    <row r="70" spans="1:11" x14ac:dyDescent="0.35">
      <c r="A70" s="1">
        <v>68</v>
      </c>
      <c r="B70" s="44" t="s">
        <v>149</v>
      </c>
      <c r="C70" s="2" t="s">
        <v>460</v>
      </c>
      <c r="D70" s="911" t="s">
        <v>421</v>
      </c>
      <c r="E70" s="911"/>
      <c r="F70" s="911"/>
      <c r="G70" s="271"/>
      <c r="H70" s="1"/>
      <c r="I70" s="1"/>
      <c r="K70" s="414"/>
    </row>
    <row r="71" spans="1:11" x14ac:dyDescent="0.35">
      <c r="A71" s="1">
        <v>69</v>
      </c>
      <c r="B71" s="44" t="s">
        <v>150</v>
      </c>
      <c r="C71" s="1" t="s">
        <v>16</v>
      </c>
      <c r="D71" s="911" t="s">
        <v>421</v>
      </c>
      <c r="E71" s="911"/>
      <c r="F71" s="911"/>
      <c r="G71" s="271"/>
      <c r="H71" s="1"/>
      <c r="I71" s="1"/>
      <c r="K71" s="418"/>
    </row>
    <row r="72" spans="1:11" x14ac:dyDescent="0.35">
      <c r="A72" s="1">
        <v>70</v>
      </c>
      <c r="B72" s="44" t="s">
        <v>151</v>
      </c>
      <c r="C72" s="1" t="s">
        <v>16</v>
      </c>
      <c r="D72" s="911" t="s">
        <v>421</v>
      </c>
      <c r="E72" s="911"/>
      <c r="F72" s="911"/>
      <c r="G72" s="271"/>
      <c r="H72" s="1"/>
      <c r="I72" s="1"/>
      <c r="K72" s="418"/>
    </row>
    <row r="73" spans="1:11" x14ac:dyDescent="0.35">
      <c r="A73" s="1">
        <v>71</v>
      </c>
      <c r="B73" s="44" t="s">
        <v>152</v>
      </c>
      <c r="C73" s="2" t="s">
        <v>23</v>
      </c>
      <c r="D73" s="911" t="s">
        <v>421</v>
      </c>
      <c r="E73" s="911"/>
      <c r="F73" s="911"/>
      <c r="G73" s="271"/>
      <c r="H73" s="1"/>
      <c r="I73" s="1"/>
      <c r="K73" s="412"/>
    </row>
    <row r="74" spans="1:11" x14ac:dyDescent="0.35">
      <c r="A74" s="1">
        <v>72</v>
      </c>
      <c r="B74" s="44" t="s">
        <v>157</v>
      </c>
      <c r="C74" s="2" t="s">
        <v>31</v>
      </c>
      <c r="D74" s="911" t="s">
        <v>421</v>
      </c>
      <c r="E74" s="911"/>
      <c r="F74" s="911"/>
      <c r="G74" s="271"/>
      <c r="H74" s="1"/>
      <c r="I74" s="1"/>
      <c r="K74" s="418"/>
    </row>
    <row r="75" spans="1:11" x14ac:dyDescent="0.35">
      <c r="A75" s="1">
        <v>73</v>
      </c>
      <c r="B75" s="44" t="s">
        <v>158</v>
      </c>
      <c r="C75" s="2" t="s">
        <v>460</v>
      </c>
      <c r="D75" s="911" t="s">
        <v>421</v>
      </c>
      <c r="E75" s="911"/>
      <c r="F75" s="911"/>
      <c r="G75" s="271"/>
      <c r="H75" s="1"/>
      <c r="I75" s="1"/>
      <c r="K75" s="418"/>
    </row>
    <row r="76" spans="1:11" x14ac:dyDescent="0.35">
      <c r="A76" s="1">
        <v>74</v>
      </c>
      <c r="B76" s="44" t="s">
        <v>159</v>
      </c>
      <c r="C76" s="2" t="s">
        <v>23</v>
      </c>
      <c r="D76" s="911" t="s">
        <v>421</v>
      </c>
      <c r="E76" s="911"/>
      <c r="F76" s="911"/>
      <c r="G76" s="271"/>
      <c r="H76" s="1"/>
      <c r="I76" s="1"/>
      <c r="K76" s="414"/>
    </row>
    <row r="77" spans="1:11" x14ac:dyDescent="0.35">
      <c r="A77" s="1">
        <v>75</v>
      </c>
      <c r="B77" s="44" t="s">
        <v>160</v>
      </c>
      <c r="C77" s="2" t="s">
        <v>449</v>
      </c>
      <c r="D77" s="911" t="s">
        <v>421</v>
      </c>
      <c r="E77" s="911"/>
      <c r="F77" s="911"/>
      <c r="G77" s="271"/>
      <c r="H77" s="1"/>
      <c r="I77" s="1"/>
      <c r="K77" s="414"/>
    </row>
    <row r="78" spans="1:11" x14ac:dyDescent="0.35">
      <c r="A78" s="1">
        <v>76</v>
      </c>
      <c r="B78" s="44" t="s">
        <v>166</v>
      </c>
      <c r="C78" s="2" t="s">
        <v>460</v>
      </c>
      <c r="D78" s="911" t="s">
        <v>421</v>
      </c>
      <c r="E78" s="911"/>
      <c r="F78" s="911"/>
      <c r="G78" s="271"/>
      <c r="H78" s="1"/>
      <c r="I78" s="1"/>
      <c r="K78" s="414"/>
    </row>
    <row r="79" spans="1:11" x14ac:dyDescent="0.35">
      <c r="A79" s="1">
        <v>77</v>
      </c>
      <c r="B79" s="44" t="s">
        <v>168</v>
      </c>
      <c r="C79" s="2" t="s">
        <v>460</v>
      </c>
      <c r="D79" s="911" t="s">
        <v>421</v>
      </c>
      <c r="E79" s="911"/>
      <c r="F79" s="911"/>
      <c r="G79" s="271"/>
      <c r="H79" s="1"/>
      <c r="I79" s="1"/>
      <c r="K79" s="418"/>
    </row>
    <row r="80" spans="1:11" x14ac:dyDescent="0.35">
      <c r="A80" s="1">
        <v>78</v>
      </c>
      <c r="B80" s="44" t="s">
        <v>174</v>
      </c>
      <c r="C80" s="2" t="s">
        <v>460</v>
      </c>
      <c r="D80" s="911" t="s">
        <v>421</v>
      </c>
      <c r="E80" s="911"/>
      <c r="F80" s="911"/>
      <c r="G80" s="271"/>
      <c r="H80" s="1"/>
      <c r="I80" s="1"/>
      <c r="K80" s="418"/>
    </row>
    <row r="81" spans="1:25" x14ac:dyDescent="0.35">
      <c r="A81" s="1">
        <v>79</v>
      </c>
      <c r="B81" s="44" t="s">
        <v>175</v>
      </c>
      <c r="C81" s="2" t="s">
        <v>460</v>
      </c>
      <c r="D81" s="911" t="s">
        <v>421</v>
      </c>
      <c r="E81" s="911"/>
      <c r="F81" s="911"/>
      <c r="G81" s="271"/>
      <c r="H81" s="1"/>
      <c r="I81" s="1"/>
      <c r="K81" s="419"/>
    </row>
    <row r="82" spans="1:25" x14ac:dyDescent="0.35">
      <c r="A82" s="1">
        <v>80</v>
      </c>
      <c r="B82" s="44" t="s">
        <v>176</v>
      </c>
      <c r="C82" s="2" t="s">
        <v>31</v>
      </c>
      <c r="D82" s="911" t="s">
        <v>421</v>
      </c>
      <c r="E82" s="911"/>
      <c r="F82" s="911"/>
      <c r="G82" s="271"/>
      <c r="H82" s="1"/>
      <c r="I82" s="1"/>
      <c r="K82" s="419"/>
    </row>
    <row r="83" spans="1:25" x14ac:dyDescent="0.35">
      <c r="A83" s="1">
        <v>81</v>
      </c>
      <c r="B83" s="44" t="s">
        <v>177</v>
      </c>
      <c r="C83" s="2" t="s">
        <v>460</v>
      </c>
      <c r="D83" s="911" t="s">
        <v>421</v>
      </c>
      <c r="E83" s="911"/>
      <c r="F83" s="911"/>
      <c r="G83" s="271"/>
      <c r="H83" s="1"/>
      <c r="I83" s="1"/>
      <c r="K83" s="418"/>
    </row>
    <row r="84" spans="1:25" x14ac:dyDescent="0.35">
      <c r="A84" s="1">
        <v>82</v>
      </c>
      <c r="B84" s="44" t="s">
        <v>178</v>
      </c>
      <c r="C84" s="2" t="s">
        <v>31</v>
      </c>
      <c r="D84" s="911" t="s">
        <v>421</v>
      </c>
      <c r="E84" s="911"/>
      <c r="F84" s="911"/>
      <c r="G84" s="271"/>
      <c r="H84" s="1"/>
      <c r="I84" s="1"/>
      <c r="K84" s="419"/>
    </row>
    <row r="85" spans="1:25" x14ac:dyDescent="0.35">
      <c r="A85" s="1">
        <v>83</v>
      </c>
      <c r="B85" s="44" t="s">
        <v>179</v>
      </c>
      <c r="C85" s="2" t="s">
        <v>449</v>
      </c>
      <c r="D85" s="911" t="s">
        <v>421</v>
      </c>
      <c r="E85" s="911"/>
      <c r="F85" s="911"/>
      <c r="G85" s="271"/>
      <c r="H85" s="1"/>
      <c r="I85" s="1"/>
      <c r="K85" s="419"/>
    </row>
    <row r="86" spans="1:25" x14ac:dyDescent="0.35">
      <c r="A86" s="1">
        <v>84</v>
      </c>
      <c r="B86" s="44" t="s">
        <v>183</v>
      </c>
      <c r="C86" s="1" t="s">
        <v>33</v>
      </c>
      <c r="D86" s="911" t="s">
        <v>421</v>
      </c>
      <c r="E86" s="911"/>
      <c r="F86" s="911"/>
      <c r="G86" s="271"/>
      <c r="H86" s="1"/>
      <c r="I86" s="1"/>
      <c r="K86" s="420"/>
    </row>
    <row r="87" spans="1:25" x14ac:dyDescent="0.35">
      <c r="A87" s="1">
        <v>85</v>
      </c>
      <c r="B87" s="44" t="s">
        <v>185</v>
      </c>
      <c r="C87" s="1" t="s">
        <v>16</v>
      </c>
      <c r="D87" s="911" t="s">
        <v>421</v>
      </c>
      <c r="E87" s="911"/>
      <c r="F87" s="911"/>
      <c r="G87" s="271"/>
      <c r="H87" s="1"/>
      <c r="I87" s="1"/>
      <c r="K87" s="420"/>
    </row>
    <row r="88" spans="1:25" x14ac:dyDescent="0.35">
      <c r="A88" s="1">
        <v>86</v>
      </c>
      <c r="B88" s="44" t="s">
        <v>188</v>
      </c>
      <c r="C88" s="2" t="s">
        <v>31</v>
      </c>
      <c r="D88" s="911" t="s">
        <v>421</v>
      </c>
      <c r="E88" s="911"/>
      <c r="F88" s="911"/>
      <c r="G88" s="271"/>
      <c r="H88" s="1"/>
      <c r="I88" s="1"/>
      <c r="K88" s="413"/>
    </row>
    <row r="89" spans="1:25" x14ac:dyDescent="0.35">
      <c r="A89" s="1">
        <v>87</v>
      </c>
      <c r="B89" s="44" t="s">
        <v>189</v>
      </c>
      <c r="C89" s="2" t="s">
        <v>31</v>
      </c>
      <c r="D89" s="911" t="s">
        <v>421</v>
      </c>
      <c r="E89" s="911"/>
      <c r="F89" s="911"/>
      <c r="G89" s="271"/>
      <c r="H89" s="1"/>
      <c r="I89" s="1"/>
      <c r="K89" s="413"/>
    </row>
    <row r="90" spans="1:25" x14ac:dyDescent="0.35">
      <c r="A90" s="1">
        <v>88</v>
      </c>
      <c r="B90" s="44" t="s">
        <v>192</v>
      </c>
      <c r="C90" s="1" t="s">
        <v>16</v>
      </c>
      <c r="D90" s="911" t="s">
        <v>421</v>
      </c>
      <c r="E90" s="911"/>
      <c r="F90" s="911"/>
      <c r="G90" s="271"/>
      <c r="H90" s="1"/>
      <c r="I90" s="1"/>
      <c r="K90" s="413"/>
    </row>
    <row r="91" spans="1:25" x14ac:dyDescent="0.35">
      <c r="A91" s="1">
        <v>89</v>
      </c>
      <c r="B91" s="44" t="s">
        <v>193</v>
      </c>
      <c r="C91" s="2" t="s">
        <v>449</v>
      </c>
      <c r="D91" s="911" t="s">
        <v>421</v>
      </c>
      <c r="E91" s="911"/>
      <c r="F91" s="911"/>
      <c r="G91" s="271"/>
      <c r="H91" s="1"/>
      <c r="I91" s="1"/>
      <c r="K91" s="421"/>
    </row>
    <row r="92" spans="1:25" x14ac:dyDescent="0.35">
      <c r="A92" s="1">
        <v>90</v>
      </c>
      <c r="B92" s="44" t="s">
        <v>194</v>
      </c>
      <c r="C92" s="1" t="s">
        <v>33</v>
      </c>
      <c r="D92" s="911" t="s">
        <v>421</v>
      </c>
      <c r="E92" s="911"/>
      <c r="F92" s="911"/>
      <c r="G92" s="271"/>
      <c r="H92" s="1"/>
      <c r="I92" s="1"/>
      <c r="K92" s="421"/>
    </row>
    <row r="93" spans="1:25" x14ac:dyDescent="0.35">
      <c r="A93" s="1">
        <v>91</v>
      </c>
      <c r="B93" s="44" t="s">
        <v>195</v>
      </c>
      <c r="C93" s="2" t="s">
        <v>31</v>
      </c>
      <c r="D93" s="911" t="s">
        <v>421</v>
      </c>
      <c r="E93" s="911"/>
      <c r="F93" s="911"/>
      <c r="G93" s="271"/>
      <c r="H93" s="1"/>
      <c r="I93" s="1"/>
      <c r="K93" s="421"/>
      <c r="L93" s="438"/>
      <c r="M93" s="438"/>
      <c r="N93" s="438"/>
      <c r="O93" s="438"/>
      <c r="P93" s="438"/>
      <c r="Q93" s="438"/>
      <c r="R93" s="438"/>
      <c r="S93" s="438"/>
      <c r="T93" s="438"/>
      <c r="U93" s="438"/>
      <c r="V93" s="438"/>
      <c r="W93" s="438"/>
      <c r="X93" s="438"/>
      <c r="Y93" s="438"/>
    </row>
    <row r="94" spans="1:25" x14ac:dyDescent="0.35">
      <c r="A94" s="1">
        <v>92</v>
      </c>
      <c r="B94" s="44" t="s">
        <v>200</v>
      </c>
      <c r="C94" s="2" t="s">
        <v>31</v>
      </c>
      <c r="D94" s="911" t="s">
        <v>421</v>
      </c>
      <c r="E94" s="911"/>
      <c r="F94" s="911"/>
      <c r="G94" s="271"/>
      <c r="H94" s="1"/>
      <c r="I94" s="1"/>
      <c r="K94" s="418"/>
      <c r="L94" s="438"/>
      <c r="M94" s="438"/>
      <c r="N94" s="438"/>
      <c r="O94" s="438"/>
      <c r="P94" s="438"/>
      <c r="Q94" s="438"/>
      <c r="R94" s="438"/>
      <c r="S94" s="438"/>
      <c r="T94" s="438"/>
      <c r="U94" s="438"/>
      <c r="V94" s="438"/>
      <c r="W94" s="438"/>
      <c r="X94" s="438"/>
      <c r="Y94" s="438"/>
    </row>
    <row r="95" spans="1:25" x14ac:dyDescent="0.35">
      <c r="A95" s="1">
        <v>93</v>
      </c>
      <c r="B95" s="44" t="s">
        <v>202</v>
      </c>
      <c r="C95" s="2" t="s">
        <v>31</v>
      </c>
      <c r="D95" s="911" t="s">
        <v>421</v>
      </c>
      <c r="E95" s="911"/>
      <c r="F95" s="911"/>
      <c r="G95" s="271"/>
      <c r="H95" s="1"/>
      <c r="I95" s="1"/>
      <c r="K95" s="421"/>
      <c r="L95" s="438"/>
      <c r="M95" s="438"/>
      <c r="N95" s="438"/>
      <c r="O95" s="438"/>
      <c r="P95" s="438"/>
      <c r="Q95" s="438"/>
      <c r="R95" s="438"/>
      <c r="S95" s="438"/>
      <c r="T95" s="438"/>
      <c r="U95" s="438"/>
      <c r="V95" s="438"/>
      <c r="W95" s="438"/>
      <c r="X95" s="438"/>
      <c r="Y95" s="438"/>
    </row>
    <row r="96" spans="1:25" x14ac:dyDescent="0.35">
      <c r="A96" s="1">
        <v>94</v>
      </c>
      <c r="B96" s="44" t="s">
        <v>204</v>
      </c>
      <c r="C96" s="2" t="s">
        <v>23</v>
      </c>
      <c r="D96" s="911" t="s">
        <v>421</v>
      </c>
      <c r="E96" s="911"/>
      <c r="F96" s="911"/>
      <c r="G96" s="271"/>
      <c r="H96" s="1"/>
      <c r="I96" s="1"/>
      <c r="K96" s="413"/>
      <c r="L96" s="438"/>
      <c r="M96" s="438"/>
      <c r="N96" s="438"/>
      <c r="O96" s="438"/>
      <c r="P96" s="438"/>
      <c r="Q96" s="438"/>
      <c r="R96" s="438"/>
      <c r="S96" s="438"/>
      <c r="T96" s="438"/>
      <c r="U96" s="438"/>
      <c r="V96" s="438"/>
      <c r="W96" s="438"/>
      <c r="X96" s="438"/>
      <c r="Y96" s="438"/>
    </row>
    <row r="97" spans="1:25" x14ac:dyDescent="0.35">
      <c r="A97" s="1">
        <v>95</v>
      </c>
      <c r="B97" s="44" t="s">
        <v>205</v>
      </c>
      <c r="C97" s="2" t="s">
        <v>31</v>
      </c>
      <c r="D97" s="911" t="s">
        <v>421</v>
      </c>
      <c r="E97" s="911"/>
      <c r="F97" s="911"/>
      <c r="G97" s="271"/>
      <c r="H97" s="1"/>
      <c r="I97" s="1"/>
      <c r="K97" s="413"/>
      <c r="L97" s="438"/>
      <c r="M97" s="438"/>
      <c r="N97" s="438"/>
      <c r="O97" s="438"/>
      <c r="P97" s="438"/>
      <c r="Q97" s="438"/>
      <c r="R97" s="438"/>
      <c r="S97" s="438"/>
      <c r="T97" s="438"/>
      <c r="U97" s="438"/>
      <c r="V97" s="438"/>
      <c r="W97" s="438"/>
      <c r="X97" s="438"/>
      <c r="Y97" s="438"/>
    </row>
    <row r="98" spans="1:25" x14ac:dyDescent="0.35">
      <c r="A98" s="1">
        <v>96</v>
      </c>
      <c r="B98" s="44" t="s">
        <v>206</v>
      </c>
      <c r="C98" s="1" t="s">
        <v>16</v>
      </c>
      <c r="D98" s="911" t="s">
        <v>421</v>
      </c>
      <c r="E98" s="911"/>
      <c r="F98" s="911"/>
      <c r="G98" s="271"/>
      <c r="H98" s="1"/>
      <c r="I98" s="1"/>
      <c r="K98" s="418"/>
      <c r="L98" s="438"/>
      <c r="M98" s="438"/>
      <c r="N98" s="438"/>
      <c r="O98" s="438"/>
      <c r="P98" s="438"/>
      <c r="Q98" s="438"/>
      <c r="R98" s="438"/>
      <c r="S98" s="438"/>
      <c r="T98" s="438"/>
      <c r="U98" s="438"/>
      <c r="V98" s="438"/>
      <c r="W98" s="438"/>
      <c r="X98" s="438"/>
      <c r="Y98" s="438"/>
    </row>
    <row r="99" spans="1:25" x14ac:dyDescent="0.35">
      <c r="A99" s="1">
        <v>97</v>
      </c>
      <c r="B99" s="44" t="s">
        <v>208</v>
      </c>
      <c r="C99" s="1" t="s">
        <v>33</v>
      </c>
      <c r="D99" s="911" t="s">
        <v>421</v>
      </c>
      <c r="E99" s="911"/>
      <c r="F99" s="911"/>
      <c r="G99" s="271"/>
      <c r="H99" s="1"/>
      <c r="I99" s="1"/>
      <c r="K99" s="412"/>
      <c r="L99" s="438"/>
      <c r="M99" s="438"/>
      <c r="N99" s="438"/>
      <c r="O99" s="438"/>
      <c r="P99" s="438"/>
      <c r="Q99" s="438"/>
      <c r="R99" s="438"/>
      <c r="S99" s="438"/>
      <c r="T99" s="438"/>
      <c r="U99" s="438"/>
      <c r="V99" s="438"/>
      <c r="W99" s="438"/>
      <c r="X99" s="438"/>
      <c r="Y99" s="438"/>
    </row>
    <row r="100" spans="1:25" x14ac:dyDescent="0.35">
      <c r="A100" s="1">
        <v>98</v>
      </c>
      <c r="B100" s="44" t="s">
        <v>210</v>
      </c>
      <c r="C100" s="2" t="s">
        <v>31</v>
      </c>
      <c r="D100" s="911" t="s">
        <v>421</v>
      </c>
      <c r="E100" s="911"/>
      <c r="F100" s="911"/>
      <c r="G100" s="271"/>
      <c r="H100" s="1"/>
      <c r="I100" s="1"/>
      <c r="K100" s="412"/>
      <c r="L100" s="438"/>
      <c r="M100" s="438"/>
      <c r="N100" s="438"/>
      <c r="O100" s="438"/>
      <c r="P100" s="438"/>
      <c r="Q100" s="438"/>
      <c r="R100" s="438"/>
      <c r="S100" s="438"/>
      <c r="T100" s="438"/>
      <c r="U100" s="438"/>
      <c r="V100" s="438"/>
      <c r="W100" s="438"/>
      <c r="X100" s="438"/>
      <c r="Y100" s="438"/>
    </row>
    <row r="101" spans="1:25" x14ac:dyDescent="0.35">
      <c r="A101" s="1">
        <v>99</v>
      </c>
      <c r="B101" s="44" t="s">
        <v>211</v>
      </c>
      <c r="C101" s="2" t="s">
        <v>31</v>
      </c>
      <c r="D101" s="911" t="s">
        <v>421</v>
      </c>
      <c r="E101" s="911"/>
      <c r="F101" s="911"/>
      <c r="G101" s="271"/>
      <c r="H101" s="1"/>
      <c r="I101" s="1"/>
      <c r="K101" s="412"/>
      <c r="L101" s="438"/>
      <c r="M101" s="438"/>
      <c r="N101" s="438"/>
      <c r="O101" s="438"/>
      <c r="P101" s="438"/>
      <c r="Q101" s="438"/>
      <c r="R101" s="438"/>
      <c r="S101" s="438"/>
      <c r="T101" s="438"/>
      <c r="U101" s="438"/>
      <c r="V101" s="438"/>
      <c r="W101" s="438"/>
      <c r="X101" s="438"/>
      <c r="Y101" s="438"/>
    </row>
    <row r="102" spans="1:25" x14ac:dyDescent="0.35">
      <c r="A102" s="1">
        <v>100</v>
      </c>
      <c r="B102" s="44" t="s">
        <v>212</v>
      </c>
      <c r="C102" s="2" t="s">
        <v>31</v>
      </c>
      <c r="D102" s="911" t="s">
        <v>421</v>
      </c>
      <c r="E102" s="911"/>
      <c r="F102" s="911"/>
      <c r="G102" s="271"/>
      <c r="H102" s="1"/>
      <c r="I102" s="1"/>
      <c r="K102" s="413"/>
      <c r="L102" s="438"/>
      <c r="M102" s="438"/>
      <c r="N102" s="438"/>
      <c r="O102" s="438"/>
      <c r="P102" s="438"/>
      <c r="Q102" s="438"/>
      <c r="R102" s="438"/>
      <c r="S102" s="438"/>
      <c r="T102" s="438"/>
      <c r="U102" s="438"/>
      <c r="V102" s="438"/>
      <c r="W102" s="438"/>
      <c r="X102" s="438"/>
      <c r="Y102" s="438"/>
    </row>
    <row r="103" spans="1:25" x14ac:dyDescent="0.35">
      <c r="A103" s="1">
        <v>101</v>
      </c>
      <c r="B103" s="44" t="s">
        <v>214</v>
      </c>
      <c r="C103" s="2" t="s">
        <v>31</v>
      </c>
      <c r="D103" s="911" t="s">
        <v>421</v>
      </c>
      <c r="E103" s="911"/>
      <c r="F103" s="911"/>
      <c r="G103" s="271"/>
      <c r="H103" s="1"/>
      <c r="I103" s="1"/>
      <c r="K103" s="413"/>
      <c r="L103" s="438"/>
      <c r="M103" s="438"/>
      <c r="N103" s="438"/>
      <c r="O103" s="438"/>
      <c r="P103" s="438"/>
      <c r="Q103" s="438"/>
      <c r="R103" s="438"/>
      <c r="S103" s="438"/>
      <c r="T103" s="438"/>
      <c r="U103" s="438"/>
      <c r="V103" s="438"/>
      <c r="W103" s="438"/>
      <c r="X103" s="438"/>
      <c r="Y103" s="438"/>
    </row>
    <row r="104" spans="1:25" x14ac:dyDescent="0.35">
      <c r="A104" s="1">
        <v>102</v>
      </c>
      <c r="B104" s="44" t="s">
        <v>215</v>
      </c>
      <c r="C104" s="1" t="s">
        <v>33</v>
      </c>
      <c r="D104" s="911" t="s">
        <v>421</v>
      </c>
      <c r="E104" s="911"/>
      <c r="F104" s="911"/>
      <c r="G104" s="271"/>
      <c r="H104" s="1"/>
      <c r="I104" s="1"/>
      <c r="K104" s="413"/>
      <c r="L104" s="438"/>
      <c r="M104" s="438"/>
      <c r="N104" s="438"/>
      <c r="O104" s="438"/>
      <c r="P104" s="438"/>
      <c r="Q104" s="438"/>
      <c r="R104" s="438"/>
      <c r="S104" s="438"/>
      <c r="T104" s="438"/>
      <c r="U104" s="438"/>
      <c r="V104" s="438"/>
      <c r="W104" s="438"/>
      <c r="X104" s="438"/>
      <c r="Y104" s="438"/>
    </row>
    <row r="105" spans="1:25" x14ac:dyDescent="0.35">
      <c r="A105" s="1">
        <v>103</v>
      </c>
      <c r="B105" s="44" t="s">
        <v>220</v>
      </c>
      <c r="C105" s="1" t="s">
        <v>33</v>
      </c>
      <c r="D105" s="911" t="s">
        <v>421</v>
      </c>
      <c r="E105" s="911"/>
      <c r="F105" s="911"/>
      <c r="G105" s="271"/>
      <c r="H105" s="1"/>
      <c r="I105" s="1"/>
      <c r="K105" s="413"/>
      <c r="L105" s="438"/>
      <c r="M105" s="438"/>
      <c r="N105" s="438"/>
      <c r="O105" s="438"/>
      <c r="P105" s="438"/>
      <c r="Q105" s="438"/>
      <c r="R105" s="438"/>
      <c r="S105" s="438"/>
      <c r="T105" s="438"/>
      <c r="U105" s="438"/>
      <c r="V105" s="438"/>
      <c r="W105" s="438"/>
      <c r="X105" s="438"/>
      <c r="Y105" s="438"/>
    </row>
    <row r="106" spans="1:25" x14ac:dyDescent="0.35">
      <c r="A106" s="1">
        <v>104</v>
      </c>
      <c r="B106" s="44" t="s">
        <v>221</v>
      </c>
      <c r="C106" s="2" t="s">
        <v>31</v>
      </c>
      <c r="D106" s="911" t="s">
        <v>421</v>
      </c>
      <c r="E106" s="911"/>
      <c r="F106" s="911"/>
      <c r="G106" s="271"/>
      <c r="H106" s="1"/>
      <c r="I106" s="1"/>
      <c r="K106" s="413"/>
      <c r="L106" s="438"/>
      <c r="M106" s="438"/>
      <c r="N106" s="438"/>
      <c r="O106" s="438"/>
      <c r="P106" s="438"/>
      <c r="Q106" s="438"/>
      <c r="R106" s="438"/>
      <c r="S106" s="438"/>
      <c r="T106" s="438"/>
      <c r="U106" s="438"/>
      <c r="V106" s="438"/>
      <c r="W106" s="438"/>
      <c r="X106" s="438"/>
      <c r="Y106" s="438"/>
    </row>
    <row r="107" spans="1:25" x14ac:dyDescent="0.35">
      <c r="A107" s="1">
        <v>105</v>
      </c>
      <c r="B107" s="44" t="s">
        <v>222</v>
      </c>
      <c r="C107" s="2" t="s">
        <v>31</v>
      </c>
      <c r="D107" s="911" t="s">
        <v>421</v>
      </c>
      <c r="E107" s="911"/>
      <c r="F107" s="911"/>
      <c r="G107" s="271"/>
      <c r="H107" s="1"/>
      <c r="I107" s="1"/>
      <c r="K107" s="413"/>
      <c r="L107" s="438"/>
      <c r="M107" s="438"/>
      <c r="N107" s="438"/>
      <c r="O107" s="438"/>
      <c r="P107" s="438"/>
      <c r="Q107" s="438"/>
      <c r="R107" s="438"/>
      <c r="S107" s="438"/>
      <c r="T107" s="438"/>
      <c r="U107" s="438"/>
      <c r="V107" s="438"/>
      <c r="W107" s="438"/>
      <c r="X107" s="438"/>
      <c r="Y107" s="438"/>
    </row>
    <row r="108" spans="1:25" x14ac:dyDescent="0.35">
      <c r="A108" s="1">
        <v>106</v>
      </c>
      <c r="B108" s="44" t="s">
        <v>224</v>
      </c>
      <c r="C108" s="1" t="s">
        <v>16</v>
      </c>
      <c r="D108" s="911" t="s">
        <v>421</v>
      </c>
      <c r="E108" s="911"/>
      <c r="F108" s="911"/>
      <c r="G108" s="271"/>
      <c r="H108" s="1"/>
      <c r="I108" s="1"/>
      <c r="K108" s="413"/>
      <c r="L108" s="438"/>
      <c r="M108" s="438"/>
      <c r="N108" s="438"/>
      <c r="O108" s="438"/>
      <c r="P108" s="438"/>
      <c r="Q108" s="438"/>
      <c r="R108" s="438"/>
      <c r="S108" s="438"/>
      <c r="T108" s="438"/>
      <c r="U108" s="438"/>
      <c r="V108" s="438"/>
      <c r="W108" s="438"/>
      <c r="X108" s="438"/>
      <c r="Y108" s="438"/>
    </row>
    <row r="109" spans="1:25" x14ac:dyDescent="0.35">
      <c r="A109" s="1">
        <v>107</v>
      </c>
      <c r="B109" s="44" t="s">
        <v>227</v>
      </c>
      <c r="C109" s="1" t="s">
        <v>33</v>
      </c>
      <c r="D109" s="911" t="s">
        <v>421</v>
      </c>
      <c r="E109" s="911"/>
      <c r="F109" s="911"/>
      <c r="G109" s="271"/>
      <c r="H109" s="1"/>
      <c r="I109" s="1"/>
      <c r="K109" s="413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  <c r="W109" s="438"/>
      <c r="X109" s="438"/>
      <c r="Y109" s="438"/>
    </row>
    <row r="110" spans="1:25" x14ac:dyDescent="0.35">
      <c r="A110" s="1">
        <v>108</v>
      </c>
      <c r="B110" s="44" t="s">
        <v>225</v>
      </c>
      <c r="C110" s="2" t="s">
        <v>449</v>
      </c>
      <c r="D110" s="911" t="s">
        <v>421</v>
      </c>
      <c r="E110" s="911"/>
      <c r="F110" s="911"/>
      <c r="G110" s="271"/>
      <c r="H110" s="1"/>
      <c r="I110" s="1"/>
      <c r="K110" s="422"/>
      <c r="L110" s="438"/>
      <c r="M110" s="438"/>
      <c r="N110" s="438"/>
      <c r="O110" s="438"/>
      <c r="P110" s="438"/>
      <c r="Q110" s="438"/>
      <c r="R110" s="438"/>
      <c r="S110" s="438"/>
      <c r="T110" s="438"/>
      <c r="U110" s="438"/>
      <c r="V110" s="438"/>
      <c r="W110" s="438"/>
      <c r="X110" s="438"/>
      <c r="Y110" s="438"/>
    </row>
    <row r="111" spans="1:25" x14ac:dyDescent="0.35">
      <c r="A111" s="1">
        <v>109</v>
      </c>
      <c r="B111" s="44" t="s">
        <v>228</v>
      </c>
      <c r="C111" s="2" t="s">
        <v>31</v>
      </c>
      <c r="D111" s="911" t="s">
        <v>421</v>
      </c>
      <c r="E111" s="911"/>
      <c r="F111" s="911"/>
      <c r="G111" s="271"/>
      <c r="H111" s="1"/>
      <c r="I111" s="1"/>
      <c r="K111" s="413"/>
      <c r="L111" s="438"/>
      <c r="M111" s="438"/>
      <c r="N111" s="438"/>
      <c r="O111" s="438"/>
      <c r="P111" s="438"/>
      <c r="Q111" s="438"/>
      <c r="R111" s="438"/>
      <c r="S111" s="438"/>
      <c r="T111" s="438"/>
      <c r="U111" s="438"/>
      <c r="V111" s="438"/>
      <c r="W111" s="438"/>
      <c r="X111" s="438"/>
      <c r="Y111" s="438"/>
    </row>
    <row r="112" spans="1:25" x14ac:dyDescent="0.35">
      <c r="A112" s="1">
        <v>110</v>
      </c>
      <c r="B112" s="44" t="s">
        <v>231</v>
      </c>
      <c r="C112" s="1" t="s">
        <v>33</v>
      </c>
      <c r="D112" s="911" t="s">
        <v>421</v>
      </c>
      <c r="E112" s="911"/>
      <c r="F112" s="911"/>
      <c r="G112" s="271"/>
      <c r="H112" s="1"/>
      <c r="I112" s="1"/>
      <c r="K112" s="413"/>
      <c r="L112" s="438"/>
      <c r="M112" s="438"/>
      <c r="N112" s="438"/>
      <c r="O112" s="438"/>
      <c r="P112" s="438"/>
      <c r="Q112" s="438"/>
      <c r="R112" s="438"/>
      <c r="S112" s="438"/>
      <c r="T112" s="438"/>
      <c r="U112" s="438"/>
      <c r="V112" s="438"/>
      <c r="W112" s="438"/>
      <c r="X112" s="438"/>
      <c r="Y112" s="438"/>
    </row>
    <row r="113" spans="1:25" x14ac:dyDescent="0.35">
      <c r="A113" s="1">
        <v>111</v>
      </c>
      <c r="B113" s="44" t="s">
        <v>239</v>
      </c>
      <c r="C113" s="1" t="s">
        <v>33</v>
      </c>
      <c r="D113" s="911" t="s">
        <v>421</v>
      </c>
      <c r="E113" s="911"/>
      <c r="F113" s="911"/>
      <c r="G113" s="271"/>
      <c r="H113" s="1"/>
      <c r="I113" s="1"/>
      <c r="K113" s="413"/>
      <c r="L113" s="438"/>
      <c r="M113" s="438"/>
      <c r="N113" s="438"/>
      <c r="O113" s="438"/>
      <c r="P113" s="438"/>
      <c r="Q113" s="438"/>
      <c r="R113" s="438"/>
      <c r="S113" s="438"/>
      <c r="T113" s="438"/>
      <c r="U113" s="438"/>
      <c r="V113" s="438"/>
      <c r="W113" s="438"/>
      <c r="X113" s="438"/>
      <c r="Y113" s="438"/>
    </row>
    <row r="114" spans="1:25" x14ac:dyDescent="0.35">
      <c r="A114" s="1">
        <v>112</v>
      </c>
      <c r="B114" s="44" t="s">
        <v>240</v>
      </c>
      <c r="C114" s="2" t="s">
        <v>31</v>
      </c>
      <c r="D114" s="911" t="s">
        <v>421</v>
      </c>
      <c r="E114" s="911"/>
      <c r="F114" s="911"/>
      <c r="G114" s="271"/>
      <c r="H114" s="1"/>
      <c r="I114" s="1"/>
      <c r="K114" s="413"/>
      <c r="L114" s="438"/>
      <c r="M114" s="438"/>
      <c r="N114" s="438"/>
      <c r="O114" s="438"/>
      <c r="P114" s="438"/>
      <c r="Q114" s="438"/>
      <c r="R114" s="438"/>
      <c r="S114" s="438"/>
      <c r="T114" s="438"/>
      <c r="U114" s="438"/>
      <c r="V114" s="438"/>
      <c r="W114" s="438"/>
      <c r="X114" s="438"/>
      <c r="Y114" s="438"/>
    </row>
    <row r="115" spans="1:25" x14ac:dyDescent="0.35">
      <c r="A115" s="1">
        <v>113</v>
      </c>
      <c r="B115" s="44" t="s">
        <v>261</v>
      </c>
      <c r="C115" s="1" t="s">
        <v>33</v>
      </c>
      <c r="D115" s="911" t="s">
        <v>421</v>
      </c>
      <c r="E115" s="911"/>
      <c r="F115" s="911"/>
      <c r="G115" s="271"/>
      <c r="H115" s="1"/>
      <c r="I115" s="1"/>
      <c r="K115" s="422"/>
      <c r="L115" s="438"/>
      <c r="M115" s="438"/>
      <c r="N115" s="438"/>
      <c r="O115" s="438"/>
      <c r="P115" s="438"/>
      <c r="Q115" s="438"/>
      <c r="R115" s="438"/>
      <c r="S115" s="438"/>
      <c r="T115" s="438"/>
      <c r="U115" s="438"/>
      <c r="V115" s="438"/>
      <c r="W115" s="438"/>
      <c r="X115" s="438"/>
      <c r="Y115" s="438"/>
    </row>
    <row r="116" spans="1:25" x14ac:dyDescent="0.35">
      <c r="A116" s="1">
        <v>114</v>
      </c>
      <c r="B116" s="44" t="s">
        <v>259</v>
      </c>
      <c r="C116" s="1" t="s">
        <v>33</v>
      </c>
      <c r="D116" s="911" t="s">
        <v>421</v>
      </c>
      <c r="E116" s="911"/>
      <c r="F116" s="911"/>
      <c r="G116" s="271"/>
      <c r="H116" s="1"/>
      <c r="I116" s="1"/>
      <c r="K116" s="422"/>
      <c r="L116" s="438"/>
      <c r="M116" s="438"/>
      <c r="N116" s="438"/>
      <c r="O116" s="438"/>
      <c r="P116" s="438"/>
      <c r="Q116" s="438"/>
      <c r="R116" s="438"/>
      <c r="S116" s="438"/>
      <c r="T116" s="438"/>
      <c r="U116" s="438"/>
      <c r="V116" s="438"/>
      <c r="W116" s="438"/>
      <c r="X116" s="438"/>
      <c r="Y116" s="438"/>
    </row>
    <row r="117" spans="1:25" x14ac:dyDescent="0.35">
      <c r="A117" s="1">
        <v>115</v>
      </c>
      <c r="B117" s="44" t="s">
        <v>262</v>
      </c>
      <c r="C117" s="2" t="s">
        <v>31</v>
      </c>
      <c r="D117" s="911" t="s">
        <v>421</v>
      </c>
      <c r="E117" s="911"/>
      <c r="F117" s="911"/>
      <c r="G117" s="271"/>
      <c r="H117" s="1"/>
      <c r="I117" s="1"/>
      <c r="K117" s="413"/>
    </row>
    <row r="118" spans="1:25" x14ac:dyDescent="0.35">
      <c r="A118" s="1">
        <v>116</v>
      </c>
      <c r="B118" s="44" t="s">
        <v>263</v>
      </c>
      <c r="C118" s="2" t="s">
        <v>31</v>
      </c>
      <c r="D118" s="911" t="s">
        <v>421</v>
      </c>
      <c r="E118" s="911"/>
      <c r="F118" s="911"/>
      <c r="G118" s="271"/>
      <c r="H118" s="1"/>
      <c r="I118" s="1"/>
      <c r="K118" s="413"/>
    </row>
    <row r="119" spans="1:25" x14ac:dyDescent="0.35">
      <c r="A119" s="1">
        <v>117</v>
      </c>
      <c r="B119" s="44" t="s">
        <v>266</v>
      </c>
      <c r="C119" s="1" t="s">
        <v>16</v>
      </c>
      <c r="D119" s="911" t="s">
        <v>421</v>
      </c>
      <c r="E119" s="911"/>
      <c r="F119" s="911"/>
      <c r="G119" s="271"/>
      <c r="H119" s="1"/>
      <c r="I119" s="1"/>
      <c r="K119" s="413"/>
    </row>
    <row r="120" spans="1:25" x14ac:dyDescent="0.35">
      <c r="A120" s="1">
        <v>118</v>
      </c>
      <c r="B120" s="44" t="s">
        <v>269</v>
      </c>
      <c r="C120" s="2" t="s">
        <v>449</v>
      </c>
      <c r="D120" s="911" t="s">
        <v>421</v>
      </c>
      <c r="E120" s="911"/>
      <c r="F120" s="911"/>
      <c r="G120" s="271"/>
      <c r="H120" s="1"/>
      <c r="I120" s="1"/>
      <c r="K120" s="413"/>
    </row>
    <row r="121" spans="1:25" x14ac:dyDescent="0.35">
      <c r="A121" s="1">
        <v>119</v>
      </c>
      <c r="B121" s="44" t="s">
        <v>273</v>
      </c>
      <c r="C121" s="1" t="s">
        <v>33</v>
      </c>
      <c r="D121" s="911" t="s">
        <v>421</v>
      </c>
      <c r="E121" s="911"/>
      <c r="F121" s="911"/>
      <c r="G121" s="271"/>
      <c r="H121" s="1"/>
      <c r="I121" s="1"/>
      <c r="K121" s="413"/>
    </row>
    <row r="122" spans="1:25" x14ac:dyDescent="0.35">
      <c r="A122" s="1">
        <v>120</v>
      </c>
      <c r="B122" s="44" t="s">
        <v>275</v>
      </c>
      <c r="C122" s="2" t="s">
        <v>31</v>
      </c>
      <c r="D122" s="911" t="s">
        <v>421</v>
      </c>
      <c r="E122" s="911"/>
      <c r="F122" s="911"/>
      <c r="G122" s="271"/>
      <c r="H122" s="1"/>
      <c r="I122" s="1"/>
      <c r="K122" s="413"/>
    </row>
    <row r="123" spans="1:25" x14ac:dyDescent="0.35">
      <c r="A123" s="1">
        <v>121</v>
      </c>
      <c r="B123" s="44" t="s">
        <v>276</v>
      </c>
      <c r="C123" s="1" t="s">
        <v>33</v>
      </c>
      <c r="D123" s="911" t="s">
        <v>421</v>
      </c>
      <c r="E123" s="911"/>
      <c r="F123" s="911"/>
      <c r="G123" s="271"/>
      <c r="H123" s="1"/>
      <c r="I123" s="1"/>
      <c r="K123" s="413"/>
    </row>
    <row r="124" spans="1:25" x14ac:dyDescent="0.35">
      <c r="A124" s="1">
        <v>122</v>
      </c>
      <c r="B124" s="44" t="s">
        <v>278</v>
      </c>
      <c r="C124" s="1" t="s">
        <v>16</v>
      </c>
      <c r="D124" s="911" t="s">
        <v>421</v>
      </c>
      <c r="E124" s="911"/>
      <c r="F124" s="911"/>
      <c r="G124" s="271"/>
      <c r="H124" s="1"/>
      <c r="I124" s="1"/>
      <c r="K124" s="413"/>
    </row>
    <row r="125" spans="1:25" x14ac:dyDescent="0.35">
      <c r="A125" s="1">
        <v>123</v>
      </c>
      <c r="B125" s="44" t="s">
        <v>279</v>
      </c>
      <c r="C125" s="2" t="s">
        <v>31</v>
      </c>
      <c r="D125" s="911" t="s">
        <v>421</v>
      </c>
      <c r="E125" s="911"/>
      <c r="F125" s="911"/>
      <c r="G125" s="271"/>
      <c r="H125" s="1"/>
      <c r="I125" s="1"/>
      <c r="K125" s="413"/>
    </row>
    <row r="126" spans="1:25" x14ac:dyDescent="0.35">
      <c r="A126" s="1">
        <v>124</v>
      </c>
      <c r="B126" s="44" t="s">
        <v>280</v>
      </c>
      <c r="C126" s="1" t="s">
        <v>33</v>
      </c>
      <c r="D126" s="911" t="s">
        <v>421</v>
      </c>
      <c r="E126" s="911"/>
      <c r="F126" s="911"/>
      <c r="G126" s="271"/>
      <c r="H126" s="1"/>
      <c r="I126" s="1"/>
      <c r="K126" s="412"/>
    </row>
    <row r="127" spans="1:25" x14ac:dyDescent="0.35">
      <c r="A127" s="1">
        <v>125</v>
      </c>
      <c r="B127" s="44" t="s">
        <v>286</v>
      </c>
      <c r="C127" s="2" t="s">
        <v>31</v>
      </c>
      <c r="D127" s="911" t="s">
        <v>421</v>
      </c>
      <c r="E127" s="911"/>
      <c r="F127" s="911"/>
      <c r="G127" s="271"/>
      <c r="H127" s="1"/>
      <c r="I127" s="1"/>
      <c r="K127" s="413"/>
    </row>
    <row r="128" spans="1:25" x14ac:dyDescent="0.35">
      <c r="A128" s="1">
        <v>126</v>
      </c>
      <c r="B128" s="44" t="s">
        <v>287</v>
      </c>
      <c r="C128" s="2" t="s">
        <v>23</v>
      </c>
      <c r="D128" s="911" t="s">
        <v>421</v>
      </c>
      <c r="E128" s="911"/>
      <c r="F128" s="911"/>
      <c r="G128" s="271"/>
      <c r="H128" s="1"/>
      <c r="I128" s="1"/>
      <c r="K128" s="423"/>
    </row>
    <row r="129" spans="1:11" x14ac:dyDescent="0.35">
      <c r="A129" s="1">
        <v>127</v>
      </c>
      <c r="B129" s="44" t="s">
        <v>288</v>
      </c>
      <c r="C129" s="2" t="s">
        <v>23</v>
      </c>
      <c r="D129" s="911" t="s">
        <v>421</v>
      </c>
      <c r="E129" s="911"/>
      <c r="F129" s="911"/>
      <c r="G129" s="271"/>
      <c r="H129" s="1"/>
      <c r="I129" s="1"/>
      <c r="K129" s="423"/>
    </row>
    <row r="130" spans="1:11" x14ac:dyDescent="0.35">
      <c r="A130" s="1">
        <v>128</v>
      </c>
      <c r="B130" s="44" t="s">
        <v>317</v>
      </c>
      <c r="C130" s="2" t="s">
        <v>23</v>
      </c>
      <c r="D130" s="911" t="s">
        <v>421</v>
      </c>
      <c r="E130" s="911"/>
      <c r="F130" s="911"/>
      <c r="G130" s="271"/>
      <c r="H130" s="1"/>
      <c r="I130" s="1"/>
      <c r="K130" s="413"/>
    </row>
    <row r="131" spans="1:11" x14ac:dyDescent="0.35">
      <c r="A131" s="1">
        <v>129</v>
      </c>
      <c r="B131" s="44" t="s">
        <v>324</v>
      </c>
      <c r="C131" s="1" t="s">
        <v>16</v>
      </c>
      <c r="D131" s="911" t="s">
        <v>421</v>
      </c>
      <c r="E131" s="911"/>
      <c r="F131" s="911"/>
      <c r="G131" s="271"/>
      <c r="H131" s="1"/>
      <c r="I131" s="1"/>
      <c r="K131" s="413"/>
    </row>
    <row r="132" spans="1:11" x14ac:dyDescent="0.35">
      <c r="A132" s="1">
        <v>130</v>
      </c>
      <c r="B132" s="44" t="s">
        <v>332</v>
      </c>
      <c r="C132" s="1" t="s">
        <v>16</v>
      </c>
      <c r="D132" s="911" t="s">
        <v>421</v>
      </c>
      <c r="E132" s="911"/>
      <c r="F132" s="911"/>
      <c r="G132" s="271"/>
      <c r="H132" s="1"/>
      <c r="I132" s="1"/>
      <c r="K132" s="415"/>
    </row>
    <row r="133" spans="1:11" x14ac:dyDescent="0.35">
      <c r="A133" s="1">
        <v>131</v>
      </c>
      <c r="B133" s="44" t="s">
        <v>343</v>
      </c>
      <c r="C133" s="2" t="s">
        <v>23</v>
      </c>
      <c r="D133" s="911" t="s">
        <v>421</v>
      </c>
      <c r="E133" s="911"/>
      <c r="F133" s="911"/>
      <c r="G133" s="271"/>
      <c r="H133" s="1"/>
      <c r="I133" s="1"/>
      <c r="K133" s="415"/>
    </row>
    <row r="134" spans="1:11" x14ac:dyDescent="0.35">
      <c r="A134" s="1">
        <v>132</v>
      </c>
      <c r="B134" s="44" t="s">
        <v>242</v>
      </c>
      <c r="C134" s="2" t="s">
        <v>23</v>
      </c>
      <c r="D134" s="911" t="s">
        <v>421</v>
      </c>
      <c r="E134" s="911"/>
      <c r="F134" s="911"/>
      <c r="G134" s="271"/>
      <c r="H134" s="1"/>
      <c r="I134" s="1"/>
      <c r="K134" s="415"/>
    </row>
    <row r="135" spans="1:11" x14ac:dyDescent="0.35">
      <c r="A135" s="1">
        <v>133</v>
      </c>
      <c r="B135" s="44" t="s">
        <v>244</v>
      </c>
      <c r="C135" s="2" t="s">
        <v>31</v>
      </c>
      <c r="D135" s="911" t="s">
        <v>421</v>
      </c>
      <c r="E135" s="911"/>
      <c r="F135" s="911"/>
      <c r="G135" s="271"/>
      <c r="H135" s="1"/>
      <c r="I135" s="1"/>
      <c r="K135" s="413"/>
    </row>
    <row r="136" spans="1:11" x14ac:dyDescent="0.35">
      <c r="A136" s="1">
        <v>134</v>
      </c>
      <c r="B136" s="44" t="s">
        <v>180</v>
      </c>
      <c r="C136" s="44" t="s">
        <v>118</v>
      </c>
      <c r="D136" s="911" t="s">
        <v>421</v>
      </c>
      <c r="E136" s="911"/>
      <c r="F136" s="911"/>
      <c r="K136" s="415"/>
    </row>
    <row r="137" spans="1:11" x14ac:dyDescent="0.35">
      <c r="A137" s="1">
        <v>135</v>
      </c>
      <c r="B137" s="45" t="s">
        <v>77</v>
      </c>
      <c r="C137" s="1" t="s">
        <v>31</v>
      </c>
      <c r="D137" s="911" t="s">
        <v>421</v>
      </c>
      <c r="E137" s="911"/>
      <c r="F137" s="911"/>
      <c r="K137" s="424"/>
    </row>
    <row r="138" spans="1:11" x14ac:dyDescent="0.35">
      <c r="A138" s="1">
        <v>136</v>
      </c>
      <c r="B138" s="44" t="s">
        <v>68</v>
      </c>
      <c r="C138" s="1" t="s">
        <v>33</v>
      </c>
      <c r="D138" s="911" t="s">
        <v>421</v>
      </c>
      <c r="E138" s="911"/>
      <c r="F138" s="911"/>
      <c r="K138" s="424"/>
    </row>
    <row r="139" spans="1:11" x14ac:dyDescent="0.35">
      <c r="A139" s="1">
        <v>137</v>
      </c>
      <c r="B139" s="1" t="s">
        <v>181</v>
      </c>
      <c r="C139" s="1" t="s">
        <v>182</v>
      </c>
      <c r="D139" s="911" t="s">
        <v>421</v>
      </c>
      <c r="E139" s="911"/>
      <c r="F139" s="911"/>
    </row>
    <row r="140" spans="1:11" x14ac:dyDescent="0.35">
      <c r="A140" s="1">
        <v>138</v>
      </c>
      <c r="B140" s="44" t="s">
        <v>44</v>
      </c>
      <c r="C140" s="1" t="s">
        <v>40</v>
      </c>
      <c r="D140" s="911" t="s">
        <v>421</v>
      </c>
      <c r="E140" s="911"/>
      <c r="F140" s="911"/>
    </row>
    <row r="141" spans="1:11" x14ac:dyDescent="0.35">
      <c r="A141" s="1">
        <v>139</v>
      </c>
      <c r="B141" s="44" t="s">
        <v>58</v>
      </c>
      <c r="C141" s="1" t="s">
        <v>23</v>
      </c>
      <c r="D141" s="911" t="s">
        <v>421</v>
      </c>
      <c r="E141" s="911"/>
      <c r="F141" s="911"/>
    </row>
    <row r="142" spans="1:11" x14ac:dyDescent="0.35">
      <c r="A142" s="1">
        <v>140</v>
      </c>
      <c r="B142" s="44" t="s">
        <v>250</v>
      </c>
      <c r="C142" s="1" t="s">
        <v>23</v>
      </c>
      <c r="D142" s="911" t="s">
        <v>421</v>
      </c>
      <c r="E142" s="911"/>
      <c r="F142" s="911"/>
    </row>
    <row r="143" spans="1:11" x14ac:dyDescent="0.35">
      <c r="A143" s="1">
        <v>141</v>
      </c>
      <c r="B143" s="44" t="s">
        <v>49</v>
      </c>
      <c r="C143" s="1" t="s">
        <v>28</v>
      </c>
      <c r="D143" s="911" t="s">
        <v>421</v>
      </c>
      <c r="E143" s="911"/>
      <c r="F143" s="911"/>
    </row>
    <row r="144" spans="1:11" x14ac:dyDescent="0.35">
      <c r="A144" s="1">
        <v>142</v>
      </c>
      <c r="B144" s="44" t="s">
        <v>89</v>
      </c>
      <c r="C144" s="1" t="s">
        <v>31</v>
      </c>
      <c r="D144" s="911" t="s">
        <v>421</v>
      </c>
      <c r="E144" s="911"/>
      <c r="F144" s="911"/>
    </row>
    <row r="145" spans="1:6" x14ac:dyDescent="0.35">
      <c r="A145" s="1">
        <v>143</v>
      </c>
      <c r="B145" s="1" t="s">
        <v>252</v>
      </c>
      <c r="C145" s="1" t="s">
        <v>33</v>
      </c>
      <c r="D145" s="911" t="s">
        <v>421</v>
      </c>
      <c r="E145" s="911"/>
      <c r="F145" s="911"/>
    </row>
    <row r="146" spans="1:6" x14ac:dyDescent="0.35">
      <c r="A146" s="1">
        <v>144</v>
      </c>
      <c r="B146" s="44" t="s">
        <v>65</v>
      </c>
      <c r="C146" s="1" t="s">
        <v>28</v>
      </c>
      <c r="D146" s="911" t="s">
        <v>421</v>
      </c>
      <c r="E146" s="911"/>
      <c r="F146" s="911"/>
    </row>
    <row r="147" spans="1:6" x14ac:dyDescent="0.35">
      <c r="A147" s="1">
        <v>145</v>
      </c>
      <c r="B147" s="1" t="s">
        <v>251</v>
      </c>
      <c r="C147" s="1" t="s">
        <v>18</v>
      </c>
      <c r="D147" s="911" t="s">
        <v>421</v>
      </c>
      <c r="E147" s="911"/>
      <c r="F147" s="911"/>
    </row>
    <row r="148" spans="1:6" x14ac:dyDescent="0.35">
      <c r="A148" s="1">
        <v>146</v>
      </c>
      <c r="B148" s="1" t="s">
        <v>319</v>
      </c>
      <c r="C148" s="1" t="s">
        <v>115</v>
      </c>
      <c r="D148" s="911" t="s">
        <v>421</v>
      </c>
      <c r="E148" s="911"/>
      <c r="F148" s="911"/>
    </row>
    <row r="149" spans="1:6" x14ac:dyDescent="0.35">
      <c r="A149" s="1">
        <v>147</v>
      </c>
      <c r="B149" s="45" t="s">
        <v>126</v>
      </c>
      <c r="C149" s="1" t="s">
        <v>800</v>
      </c>
      <c r="D149" s="911" t="s">
        <v>421</v>
      </c>
      <c r="E149" s="911"/>
      <c r="F149" s="911"/>
    </row>
    <row r="150" spans="1:6" x14ac:dyDescent="0.35">
      <c r="A150" s="1">
        <v>148</v>
      </c>
      <c r="B150" s="44" t="s">
        <v>127</v>
      </c>
      <c r="C150" s="1" t="s">
        <v>799</v>
      </c>
      <c r="D150" s="911" t="s">
        <v>421</v>
      </c>
      <c r="E150" s="911"/>
      <c r="F150" s="911"/>
    </row>
    <row r="151" spans="1:6" x14ac:dyDescent="0.35">
      <c r="A151" s="1">
        <v>149</v>
      </c>
      <c r="B151" s="44" t="s">
        <v>60</v>
      </c>
      <c r="C151" s="1" t="s">
        <v>801</v>
      </c>
      <c r="D151" s="911" t="s">
        <v>421</v>
      </c>
      <c r="E151" s="911"/>
      <c r="F151" s="911"/>
    </row>
    <row r="152" spans="1:6" x14ac:dyDescent="0.35">
      <c r="A152" s="1">
        <v>150</v>
      </c>
      <c r="B152" s="44" t="s">
        <v>62</v>
      </c>
      <c r="C152" s="1" t="s">
        <v>799</v>
      </c>
      <c r="D152" s="911" t="s">
        <v>421</v>
      </c>
      <c r="E152" s="911"/>
      <c r="F152" s="911"/>
    </row>
    <row r="153" spans="1:6" x14ac:dyDescent="0.35">
      <c r="A153" s="1">
        <v>151</v>
      </c>
      <c r="B153" s="44" t="s">
        <v>66</v>
      </c>
      <c r="C153" s="1" t="s">
        <v>800</v>
      </c>
      <c r="D153" s="911" t="s">
        <v>421</v>
      </c>
      <c r="E153" s="911"/>
      <c r="F153" s="911"/>
    </row>
    <row r="154" spans="1:6" x14ac:dyDescent="0.35">
      <c r="A154" s="1">
        <v>152</v>
      </c>
      <c r="B154" s="44" t="s">
        <v>67</v>
      </c>
      <c r="C154" s="1" t="s">
        <v>23</v>
      </c>
      <c r="D154" s="911" t="s">
        <v>421</v>
      </c>
      <c r="E154" s="911"/>
      <c r="F154" s="911"/>
    </row>
    <row r="155" spans="1:6" x14ac:dyDescent="0.35">
      <c r="A155" s="1">
        <v>153</v>
      </c>
      <c r="B155" s="1" t="s">
        <v>245</v>
      </c>
      <c r="C155" s="1" t="s">
        <v>35</v>
      </c>
      <c r="D155" s="911" t="s">
        <v>421</v>
      </c>
      <c r="E155" s="911"/>
      <c r="F155" s="911"/>
    </row>
    <row r="156" spans="1:6" x14ac:dyDescent="0.35">
      <c r="A156" s="1">
        <v>154</v>
      </c>
      <c r="B156" s="1" t="s">
        <v>254</v>
      </c>
      <c r="C156" s="1" t="s">
        <v>23</v>
      </c>
      <c r="D156" s="911" t="s">
        <v>421</v>
      </c>
      <c r="E156" s="911"/>
      <c r="F156" s="911"/>
    </row>
    <row r="157" spans="1:6" x14ac:dyDescent="0.35">
      <c r="A157" s="1">
        <v>155</v>
      </c>
      <c r="B157" s="1" t="s">
        <v>112</v>
      </c>
      <c r="C157" s="1" t="s">
        <v>113</v>
      </c>
      <c r="D157" s="911" t="s">
        <v>421</v>
      </c>
      <c r="E157" s="911"/>
      <c r="F157" s="911"/>
    </row>
    <row r="158" spans="1:6" x14ac:dyDescent="0.35">
      <c r="A158" s="1">
        <v>156</v>
      </c>
      <c r="B158" s="45" t="s">
        <v>64</v>
      </c>
      <c r="C158" s="1" t="s">
        <v>16</v>
      </c>
      <c r="D158" s="911" t="s">
        <v>421</v>
      </c>
      <c r="E158" s="911"/>
      <c r="F158" s="911"/>
    </row>
    <row r="159" spans="1:6" x14ac:dyDescent="0.35">
      <c r="A159" s="1">
        <v>157</v>
      </c>
      <c r="B159" s="44" t="s">
        <v>104</v>
      </c>
      <c r="C159" s="1" t="s">
        <v>31</v>
      </c>
      <c r="D159" s="911" t="s">
        <v>421</v>
      </c>
      <c r="E159" s="911"/>
      <c r="F159" s="911"/>
    </row>
    <row r="160" spans="1:6" x14ac:dyDescent="0.35">
      <c r="A160" s="1">
        <v>158</v>
      </c>
      <c r="B160" s="44" t="s">
        <v>253</v>
      </c>
      <c r="C160" s="1" t="s">
        <v>31</v>
      </c>
      <c r="D160" s="911" t="s">
        <v>421</v>
      </c>
      <c r="E160" s="911"/>
      <c r="F160" s="911"/>
    </row>
    <row r="161" spans="1:6" x14ac:dyDescent="0.35">
      <c r="A161" s="1">
        <v>159</v>
      </c>
      <c r="B161" s="44" t="s">
        <v>333</v>
      </c>
      <c r="C161" s="1" t="s">
        <v>28</v>
      </c>
      <c r="D161" s="911" t="s">
        <v>421</v>
      </c>
      <c r="E161" s="911"/>
      <c r="F161" s="911"/>
    </row>
    <row r="162" spans="1:6" x14ac:dyDescent="0.35">
      <c r="A162" s="1">
        <v>160</v>
      </c>
      <c r="B162" s="44" t="s">
        <v>100</v>
      </c>
      <c r="C162" s="1" t="s">
        <v>28</v>
      </c>
      <c r="D162" s="911" t="s">
        <v>421</v>
      </c>
      <c r="E162" s="911"/>
      <c r="F162" s="911"/>
    </row>
    <row r="163" spans="1:6" x14ac:dyDescent="0.35">
      <c r="A163" s="1">
        <v>161</v>
      </c>
      <c r="B163" s="1" t="s">
        <v>318</v>
      </c>
      <c r="C163" s="1" t="s">
        <v>23</v>
      </c>
      <c r="D163" s="911" t="s">
        <v>421</v>
      </c>
      <c r="E163" s="911"/>
      <c r="F163" s="911"/>
    </row>
    <row r="164" spans="1:6" x14ac:dyDescent="0.35">
      <c r="A164" s="1">
        <v>162</v>
      </c>
      <c r="B164" s="1" t="s">
        <v>320</v>
      </c>
      <c r="C164" s="1" t="s">
        <v>16</v>
      </c>
      <c r="D164" s="911" t="s">
        <v>421</v>
      </c>
      <c r="E164" s="911"/>
      <c r="F164" s="911"/>
    </row>
    <row r="165" spans="1:6" x14ac:dyDescent="0.35">
      <c r="A165" s="1">
        <v>163</v>
      </c>
      <c r="B165" s="44" t="s">
        <v>256</v>
      </c>
      <c r="C165" s="1" t="s">
        <v>31</v>
      </c>
      <c r="D165" s="911" t="s">
        <v>421</v>
      </c>
      <c r="E165" s="911"/>
      <c r="F165" s="911"/>
    </row>
    <row r="166" spans="1:6" x14ac:dyDescent="0.35">
      <c r="A166" s="1">
        <v>164</v>
      </c>
      <c r="B166" s="44" t="s">
        <v>258</v>
      </c>
      <c r="C166" s="1" t="s">
        <v>31</v>
      </c>
      <c r="D166" s="911" t="s">
        <v>421</v>
      </c>
      <c r="E166" s="911"/>
      <c r="F166" s="911"/>
    </row>
    <row r="167" spans="1:6" x14ac:dyDescent="0.35">
      <c r="A167" s="1">
        <v>165</v>
      </c>
      <c r="B167" s="44" t="s">
        <v>329</v>
      </c>
      <c r="C167" s="1" t="s">
        <v>35</v>
      </c>
      <c r="D167" s="911" t="s">
        <v>421</v>
      </c>
      <c r="E167" s="911"/>
      <c r="F167" s="911"/>
    </row>
    <row r="168" spans="1:6" x14ac:dyDescent="0.35">
      <c r="A168" s="1">
        <v>166</v>
      </c>
      <c r="B168" s="44" t="s">
        <v>114</v>
      </c>
      <c r="C168" s="1" t="s">
        <v>115</v>
      </c>
      <c r="D168" s="911" t="s">
        <v>421</v>
      </c>
      <c r="E168" s="911"/>
      <c r="F168" s="911"/>
    </row>
    <row r="169" spans="1:6" x14ac:dyDescent="0.35">
      <c r="A169" s="1">
        <v>167</v>
      </c>
      <c r="B169" s="44" t="s">
        <v>336</v>
      </c>
      <c r="C169" s="1" t="s">
        <v>16</v>
      </c>
      <c r="D169" s="911" t="s">
        <v>421</v>
      </c>
      <c r="E169" s="911"/>
      <c r="F169" s="911"/>
    </row>
    <row r="170" spans="1:6" x14ac:dyDescent="0.35">
      <c r="A170" s="1">
        <v>168</v>
      </c>
      <c r="B170" s="44" t="s">
        <v>241</v>
      </c>
      <c r="C170" s="1" t="s">
        <v>18</v>
      </c>
      <c r="D170" s="911" t="s">
        <v>421</v>
      </c>
      <c r="E170" s="911"/>
      <c r="F170" s="911"/>
    </row>
    <row r="171" spans="1:6" x14ac:dyDescent="0.35">
      <c r="A171" s="1">
        <v>169</v>
      </c>
      <c r="B171" s="44" t="s">
        <v>326</v>
      </c>
      <c r="C171" s="1" t="s">
        <v>23</v>
      </c>
      <c r="D171" s="911" t="s">
        <v>421</v>
      </c>
      <c r="E171" s="911"/>
      <c r="F171" s="911"/>
    </row>
    <row r="172" spans="1:6" x14ac:dyDescent="0.35">
      <c r="A172" s="1">
        <v>170</v>
      </c>
      <c r="B172" s="44" t="s">
        <v>337</v>
      </c>
      <c r="C172" s="1" t="s">
        <v>23</v>
      </c>
      <c r="D172" s="911" t="s">
        <v>421</v>
      </c>
      <c r="E172" s="911"/>
      <c r="F172" s="911"/>
    </row>
    <row r="173" spans="1:6" x14ac:dyDescent="0.35">
      <c r="A173" s="1">
        <v>171</v>
      </c>
      <c r="B173" s="44" t="s">
        <v>39</v>
      </c>
      <c r="C173" s="1" t="s">
        <v>40</v>
      </c>
      <c r="D173" s="911" t="s">
        <v>421</v>
      </c>
      <c r="E173" s="911"/>
      <c r="F173" s="911"/>
    </row>
    <row r="174" spans="1:6" x14ac:dyDescent="0.35">
      <c r="A174" s="1">
        <v>172</v>
      </c>
      <c r="B174" s="44" t="s">
        <v>130</v>
      </c>
      <c r="C174" s="1" t="s">
        <v>12</v>
      </c>
      <c r="D174" s="911" t="s">
        <v>421</v>
      </c>
      <c r="E174" s="911"/>
      <c r="F174" s="911"/>
    </row>
    <row r="175" spans="1:6" x14ac:dyDescent="0.35">
      <c r="A175" s="1">
        <v>173</v>
      </c>
      <c r="B175" s="44" t="s">
        <v>321</v>
      </c>
      <c r="C175" s="1" t="s">
        <v>40</v>
      </c>
      <c r="D175" s="911" t="s">
        <v>421</v>
      </c>
      <c r="E175" s="911"/>
      <c r="F175" s="911"/>
    </row>
    <row r="176" spans="1:6" x14ac:dyDescent="0.35">
      <c r="A176" s="1">
        <v>174</v>
      </c>
      <c r="B176" s="1" t="s">
        <v>290</v>
      </c>
      <c r="C176" s="1" t="s">
        <v>35</v>
      </c>
      <c r="D176" s="911" t="s">
        <v>421</v>
      </c>
      <c r="E176" s="911"/>
      <c r="F176" s="911"/>
    </row>
    <row r="177" spans="1:6" x14ac:dyDescent="0.35">
      <c r="A177" s="1">
        <v>175</v>
      </c>
      <c r="B177" s="1" t="s">
        <v>342</v>
      </c>
      <c r="C177" s="1" t="s">
        <v>236</v>
      </c>
      <c r="D177" s="911" t="s">
        <v>421</v>
      </c>
      <c r="E177" s="911"/>
      <c r="F177" s="911"/>
    </row>
    <row r="178" spans="1:6" x14ac:dyDescent="0.35">
      <c r="A178" s="1">
        <v>176</v>
      </c>
      <c r="B178" s="1" t="s">
        <v>219</v>
      </c>
      <c r="C178" s="1" t="s">
        <v>18</v>
      </c>
      <c r="D178" s="911" t="s">
        <v>421</v>
      </c>
      <c r="E178" s="911"/>
      <c r="F178" s="911"/>
    </row>
    <row r="179" spans="1:6" x14ac:dyDescent="0.35">
      <c r="A179" s="1">
        <v>177</v>
      </c>
      <c r="B179" s="44" t="s">
        <v>291</v>
      </c>
      <c r="C179" s="1" t="s">
        <v>113</v>
      </c>
      <c r="D179" s="911" t="s">
        <v>421</v>
      </c>
      <c r="E179" s="911"/>
      <c r="F179" s="911"/>
    </row>
    <row r="180" spans="1:6" x14ac:dyDescent="0.35">
      <c r="A180" s="1">
        <v>178</v>
      </c>
      <c r="B180" s="44" t="s">
        <v>295</v>
      </c>
      <c r="C180" s="1" t="s">
        <v>16</v>
      </c>
      <c r="D180" s="911" t="s">
        <v>421</v>
      </c>
      <c r="E180" s="911"/>
      <c r="F180" s="911"/>
    </row>
    <row r="181" spans="1:6" x14ac:dyDescent="0.35">
      <c r="A181" s="1">
        <v>179</v>
      </c>
      <c r="B181" s="44" t="s">
        <v>300</v>
      </c>
      <c r="C181" s="1" t="s">
        <v>390</v>
      </c>
      <c r="D181" s="911" t="s">
        <v>421</v>
      </c>
      <c r="E181" s="911"/>
      <c r="F181" s="911"/>
    </row>
    <row r="182" spans="1:6" x14ac:dyDescent="0.35">
      <c r="A182" s="1">
        <v>180</v>
      </c>
      <c r="B182" s="1" t="s">
        <v>145</v>
      </c>
      <c r="C182" s="1" t="s">
        <v>146</v>
      </c>
      <c r="D182" s="911" t="s">
        <v>421</v>
      </c>
      <c r="E182" s="911"/>
      <c r="F182" s="911"/>
    </row>
    <row r="183" spans="1:6" x14ac:dyDescent="0.35">
      <c r="A183" s="1">
        <v>181</v>
      </c>
      <c r="B183" s="1" t="s">
        <v>153</v>
      </c>
      <c r="C183" s="1" t="s">
        <v>154</v>
      </c>
      <c r="D183" s="911" t="s">
        <v>421</v>
      </c>
      <c r="E183" s="911"/>
      <c r="F183" s="911"/>
    </row>
    <row r="184" spans="1:6" x14ac:dyDescent="0.35">
      <c r="A184" s="1">
        <v>182</v>
      </c>
      <c r="B184" s="1" t="s">
        <v>84</v>
      </c>
      <c r="C184" s="1" t="s">
        <v>18</v>
      </c>
      <c r="D184" s="911" t="s">
        <v>421</v>
      </c>
      <c r="E184" s="911"/>
      <c r="F184" s="911"/>
    </row>
    <row r="185" spans="1:6" x14ac:dyDescent="0.35">
      <c r="A185" s="1">
        <v>183</v>
      </c>
      <c r="B185" s="1" t="s">
        <v>173</v>
      </c>
      <c r="C185" s="1" t="s">
        <v>156</v>
      </c>
      <c r="D185" s="911" t="s">
        <v>421</v>
      </c>
      <c r="E185" s="911"/>
      <c r="F185" s="911"/>
    </row>
    <row r="186" spans="1:6" x14ac:dyDescent="0.35">
      <c r="A186" s="1">
        <v>184</v>
      </c>
      <c r="B186" s="1" t="s">
        <v>69</v>
      </c>
      <c r="C186" s="1" t="s">
        <v>70</v>
      </c>
      <c r="D186" s="911" t="s">
        <v>421</v>
      </c>
      <c r="E186" s="911"/>
      <c r="F186" s="911"/>
    </row>
    <row r="187" spans="1:6" x14ac:dyDescent="0.35">
      <c r="A187" s="1">
        <v>185</v>
      </c>
      <c r="B187" s="1" t="s">
        <v>163</v>
      </c>
      <c r="C187" s="1" t="s">
        <v>164</v>
      </c>
      <c r="D187" s="911" t="s">
        <v>421</v>
      </c>
      <c r="E187" s="911"/>
      <c r="F187" s="911"/>
    </row>
    <row r="188" spans="1:6" x14ac:dyDescent="0.35">
      <c r="A188" s="1">
        <v>186</v>
      </c>
      <c r="B188" s="1" t="s">
        <v>271</v>
      </c>
      <c r="C188" s="1" t="s">
        <v>14</v>
      </c>
      <c r="D188" s="911" t="s">
        <v>421</v>
      </c>
      <c r="E188" s="911"/>
      <c r="F188" s="911"/>
    </row>
    <row r="189" spans="1:6" x14ac:dyDescent="0.35">
      <c r="A189" s="1">
        <v>187</v>
      </c>
      <c r="B189" s="1" t="s">
        <v>207</v>
      </c>
      <c r="C189" s="1" t="s">
        <v>18</v>
      </c>
      <c r="D189" s="911" t="s">
        <v>421</v>
      </c>
      <c r="E189" s="911"/>
      <c r="F189" s="911"/>
    </row>
    <row r="190" spans="1:6" x14ac:dyDescent="0.35">
      <c r="A190" s="1">
        <v>188</v>
      </c>
      <c r="B190" s="1" t="s">
        <v>392</v>
      </c>
      <c r="C190" s="1" t="s">
        <v>33</v>
      </c>
      <c r="D190" s="911" t="s">
        <v>421</v>
      </c>
      <c r="E190" s="911"/>
      <c r="F190" s="911"/>
    </row>
    <row r="191" spans="1:6" x14ac:dyDescent="0.35">
      <c r="A191" s="1">
        <v>189</v>
      </c>
      <c r="B191" s="44" t="s">
        <v>169</v>
      </c>
      <c r="C191" s="1" t="s">
        <v>31</v>
      </c>
      <c r="D191" s="911" t="s">
        <v>421</v>
      </c>
      <c r="E191" s="911"/>
      <c r="F191" s="911"/>
    </row>
    <row r="192" spans="1:6" x14ac:dyDescent="0.35">
      <c r="A192" s="1">
        <v>190</v>
      </c>
      <c r="B192" s="44" t="s">
        <v>270</v>
      </c>
      <c r="C192" s="1" t="s">
        <v>33</v>
      </c>
      <c r="D192" s="911" t="s">
        <v>421</v>
      </c>
      <c r="E192" s="911"/>
      <c r="F192" s="911"/>
    </row>
    <row r="193" spans="1:6" x14ac:dyDescent="0.35">
      <c r="A193" s="1">
        <v>191</v>
      </c>
      <c r="B193" s="44" t="s">
        <v>198</v>
      </c>
      <c r="C193" s="1" t="s">
        <v>118</v>
      </c>
      <c r="D193" s="911" t="s">
        <v>421</v>
      </c>
      <c r="E193" s="911"/>
      <c r="F193" s="911"/>
    </row>
    <row r="194" spans="1:6" x14ac:dyDescent="0.35">
      <c r="A194" s="1">
        <v>192</v>
      </c>
      <c r="B194" s="44" t="s">
        <v>43</v>
      </c>
      <c r="C194" s="1" t="s">
        <v>35</v>
      </c>
      <c r="D194" s="911" t="s">
        <v>421</v>
      </c>
      <c r="E194" s="911"/>
      <c r="F194" s="911"/>
    </row>
    <row r="195" spans="1:6" x14ac:dyDescent="0.35">
      <c r="A195" s="1">
        <v>193</v>
      </c>
      <c r="B195" s="44" t="s">
        <v>42</v>
      </c>
      <c r="C195" s="1" t="s">
        <v>35</v>
      </c>
      <c r="D195" s="911" t="s">
        <v>421</v>
      </c>
      <c r="E195" s="911"/>
      <c r="F195" s="911"/>
    </row>
    <row r="196" spans="1:6" x14ac:dyDescent="0.35">
      <c r="A196" s="1">
        <v>194</v>
      </c>
      <c r="B196" s="44" t="s">
        <v>116</v>
      </c>
      <c r="C196" s="1" t="s">
        <v>16</v>
      </c>
      <c r="D196" s="911" t="s">
        <v>421</v>
      </c>
      <c r="E196" s="911"/>
      <c r="F196" s="911"/>
    </row>
    <row r="197" spans="1:6" x14ac:dyDescent="0.35">
      <c r="A197" s="1">
        <v>195</v>
      </c>
      <c r="B197" s="1" t="s">
        <v>187</v>
      </c>
      <c r="C197" s="1" t="s">
        <v>40</v>
      </c>
      <c r="D197" s="911" t="s">
        <v>421</v>
      </c>
      <c r="E197" s="911"/>
      <c r="F197" s="911"/>
    </row>
    <row r="198" spans="1:6" x14ac:dyDescent="0.35">
      <c r="A198" s="1">
        <v>196</v>
      </c>
      <c r="B198" s="1" t="s">
        <v>167</v>
      </c>
      <c r="C198" s="1" t="s">
        <v>18</v>
      </c>
      <c r="D198" s="911" t="s">
        <v>421</v>
      </c>
      <c r="E198" s="911"/>
      <c r="F198" s="911"/>
    </row>
    <row r="199" spans="1:6" x14ac:dyDescent="0.35">
      <c r="A199" s="1">
        <v>199</v>
      </c>
      <c r="B199" s="1" t="s">
        <v>289</v>
      </c>
      <c r="C199" s="1" t="s">
        <v>40</v>
      </c>
      <c r="D199" s="911" t="s">
        <v>421</v>
      </c>
      <c r="E199" s="911"/>
      <c r="F199" s="911"/>
    </row>
    <row r="200" spans="1:6" x14ac:dyDescent="0.35">
      <c r="A200" s="1">
        <v>200</v>
      </c>
      <c r="B200" s="1" t="s">
        <v>268</v>
      </c>
      <c r="C200" s="1" t="s">
        <v>986</v>
      </c>
      <c r="D200" s="911" t="s">
        <v>421</v>
      </c>
      <c r="E200" s="911"/>
      <c r="F200" s="911"/>
    </row>
    <row r="201" spans="1:6" x14ac:dyDescent="0.35">
      <c r="A201" s="1">
        <v>201</v>
      </c>
      <c r="B201" s="1" t="s">
        <v>272</v>
      </c>
      <c r="C201" s="1" t="s">
        <v>31</v>
      </c>
      <c r="D201" s="911" t="s">
        <v>421</v>
      </c>
      <c r="E201" s="911"/>
      <c r="F201" s="911"/>
    </row>
    <row r="202" spans="1:6" x14ac:dyDescent="0.35">
      <c r="A202" s="1">
        <v>202</v>
      </c>
      <c r="B202" s="1" t="s">
        <v>196</v>
      </c>
      <c r="C202" s="1" t="s">
        <v>197</v>
      </c>
      <c r="D202" s="911" t="s">
        <v>421</v>
      </c>
      <c r="E202" s="911"/>
      <c r="F202" s="911"/>
    </row>
    <row r="203" spans="1:6" x14ac:dyDescent="0.35">
      <c r="A203" s="1">
        <v>203</v>
      </c>
      <c r="B203" s="1" t="s">
        <v>170</v>
      </c>
      <c r="C203" s="1" t="s">
        <v>9</v>
      </c>
      <c r="D203" s="911" t="s">
        <v>421</v>
      </c>
      <c r="E203" s="911"/>
      <c r="F203" s="911"/>
    </row>
    <row r="204" spans="1:6" x14ac:dyDescent="0.35">
      <c r="A204" s="1">
        <v>204</v>
      </c>
      <c r="B204" s="1" t="s">
        <v>171</v>
      </c>
      <c r="C204" s="1" t="s">
        <v>40</v>
      </c>
      <c r="D204" s="911" t="s">
        <v>421</v>
      </c>
      <c r="E204" s="911"/>
      <c r="F204" s="911"/>
    </row>
    <row r="205" spans="1:6" x14ac:dyDescent="0.35">
      <c r="A205" s="1">
        <v>205</v>
      </c>
      <c r="B205" s="1" t="s">
        <v>292</v>
      </c>
      <c r="C205" s="1" t="s">
        <v>803</v>
      </c>
      <c r="D205" s="911" t="s">
        <v>421</v>
      </c>
      <c r="E205" s="911"/>
      <c r="F205" s="911"/>
    </row>
    <row r="206" spans="1:6" x14ac:dyDescent="0.35">
      <c r="A206" s="1">
        <v>206</v>
      </c>
      <c r="B206" s="1" t="s">
        <v>213</v>
      </c>
      <c r="C206" s="1" t="s">
        <v>40</v>
      </c>
      <c r="D206" s="911" t="s">
        <v>421</v>
      </c>
      <c r="E206" s="911"/>
      <c r="F206" s="911"/>
    </row>
    <row r="207" spans="1:6" x14ac:dyDescent="0.35">
      <c r="A207" s="1">
        <v>207</v>
      </c>
      <c r="B207" s="45" t="s">
        <v>36</v>
      </c>
      <c r="C207" s="1" t="s">
        <v>31</v>
      </c>
      <c r="D207" s="911" t="s">
        <v>421</v>
      </c>
      <c r="E207" s="911"/>
      <c r="F207" s="911"/>
    </row>
    <row r="208" spans="1:6" x14ac:dyDescent="0.35">
      <c r="A208" s="1">
        <v>208</v>
      </c>
      <c r="B208" s="1" t="s">
        <v>230</v>
      </c>
      <c r="C208" s="1" t="s">
        <v>16</v>
      </c>
      <c r="D208" s="911" t="s">
        <v>421</v>
      </c>
      <c r="E208" s="911"/>
      <c r="F208" s="911"/>
    </row>
    <row r="209" spans="1:6" x14ac:dyDescent="0.35">
      <c r="A209" s="1">
        <v>209</v>
      </c>
      <c r="B209" s="44" t="s">
        <v>161</v>
      </c>
      <c r="C209" s="1" t="s">
        <v>162</v>
      </c>
      <c r="D209" s="911" t="s">
        <v>421</v>
      </c>
      <c r="E209" s="911"/>
      <c r="F209" s="911"/>
    </row>
    <row r="210" spans="1:6" x14ac:dyDescent="0.35">
      <c r="A210" s="1">
        <v>210</v>
      </c>
      <c r="B210" s="1" t="s">
        <v>267</v>
      </c>
      <c r="C210" s="1" t="s">
        <v>28</v>
      </c>
      <c r="D210" s="911" t="s">
        <v>421</v>
      </c>
      <c r="E210" s="911"/>
      <c r="F210" s="911"/>
    </row>
    <row r="211" spans="1:6" x14ac:dyDescent="0.35">
      <c r="A211" s="1">
        <v>211</v>
      </c>
      <c r="B211" s="45" t="s">
        <v>85</v>
      </c>
      <c r="C211" s="1" t="s">
        <v>31</v>
      </c>
      <c r="D211" s="911" t="s">
        <v>421</v>
      </c>
      <c r="E211" s="911"/>
      <c r="F211" s="911"/>
    </row>
    <row r="212" spans="1:6" x14ac:dyDescent="0.35">
      <c r="A212" s="1">
        <v>212</v>
      </c>
      <c r="B212" s="44" t="s">
        <v>82</v>
      </c>
      <c r="C212" s="1" t="s">
        <v>23</v>
      </c>
      <c r="D212" s="911" t="s">
        <v>421</v>
      </c>
      <c r="E212" s="911"/>
      <c r="F212" s="911"/>
    </row>
    <row r="213" spans="1:6" x14ac:dyDescent="0.35">
      <c r="A213" s="1">
        <v>213</v>
      </c>
      <c r="B213" s="44" t="s">
        <v>86</v>
      </c>
      <c r="C213" s="1" t="s">
        <v>31</v>
      </c>
      <c r="D213" s="911" t="s">
        <v>421</v>
      </c>
      <c r="E213" s="911"/>
      <c r="F213" s="911"/>
    </row>
    <row r="214" spans="1:6" x14ac:dyDescent="0.35">
      <c r="A214" s="1">
        <v>214</v>
      </c>
      <c r="B214" s="44" t="s">
        <v>87</v>
      </c>
      <c r="C214" s="1" t="s">
        <v>23</v>
      </c>
      <c r="D214" s="911" t="s">
        <v>421</v>
      </c>
      <c r="E214" s="911"/>
      <c r="F214" s="911"/>
    </row>
    <row r="215" spans="1:6" x14ac:dyDescent="0.35">
      <c r="A215" s="1">
        <v>215</v>
      </c>
      <c r="B215" s="1" t="s">
        <v>186</v>
      </c>
      <c r="C215" s="1" t="s">
        <v>113</v>
      </c>
      <c r="D215" s="911" t="s">
        <v>421</v>
      </c>
      <c r="E215" s="911"/>
      <c r="F215" s="911"/>
    </row>
    <row r="216" spans="1:6" x14ac:dyDescent="0.35">
      <c r="A216" s="1">
        <v>216</v>
      </c>
      <c r="B216" s="44" t="s">
        <v>81</v>
      </c>
      <c r="C216" s="1" t="s">
        <v>31</v>
      </c>
      <c r="D216" s="911" t="s">
        <v>421</v>
      </c>
      <c r="E216" s="911"/>
      <c r="F216" s="911"/>
    </row>
    <row r="217" spans="1:6" x14ac:dyDescent="0.35">
      <c r="A217" s="1">
        <v>217</v>
      </c>
      <c r="B217" s="44" t="s">
        <v>83</v>
      </c>
      <c r="C217" s="1" t="s">
        <v>31</v>
      </c>
      <c r="D217" s="911" t="s">
        <v>421</v>
      </c>
      <c r="E217" s="911"/>
      <c r="F217" s="911"/>
    </row>
    <row r="218" spans="1:6" x14ac:dyDescent="0.35">
      <c r="A218" s="1">
        <v>218</v>
      </c>
      <c r="B218" s="1" t="s">
        <v>226</v>
      </c>
      <c r="C218" s="1" t="s">
        <v>35</v>
      </c>
      <c r="D218" s="914" t="s">
        <v>421</v>
      </c>
      <c r="E218" s="915"/>
      <c r="F218" s="916"/>
    </row>
    <row r="219" spans="1:6" x14ac:dyDescent="0.35">
      <c r="A219" s="1">
        <v>219</v>
      </c>
      <c r="B219" s="434" t="s">
        <v>59</v>
      </c>
      <c r="C219" s="407" t="s">
        <v>31</v>
      </c>
      <c r="D219" s="914" t="s">
        <v>421</v>
      </c>
      <c r="E219" s="915"/>
      <c r="F219" s="916"/>
    </row>
    <row r="220" spans="1:6" x14ac:dyDescent="0.35">
      <c r="A220" s="1">
        <v>220</v>
      </c>
      <c r="B220" s="435" t="s">
        <v>74</v>
      </c>
      <c r="C220" s="408" t="s">
        <v>31</v>
      </c>
      <c r="D220" s="914" t="s">
        <v>421</v>
      </c>
      <c r="E220" s="915"/>
      <c r="F220" s="916"/>
    </row>
    <row r="221" spans="1:6" x14ac:dyDescent="0.35">
      <c r="A221" s="1">
        <v>221</v>
      </c>
      <c r="B221" s="435" t="s">
        <v>75</v>
      </c>
      <c r="C221" s="408" t="s">
        <v>35</v>
      </c>
      <c r="D221" s="914" t="s">
        <v>421</v>
      </c>
      <c r="E221" s="915"/>
      <c r="F221" s="916"/>
    </row>
    <row r="222" spans="1:6" x14ac:dyDescent="0.35">
      <c r="A222" s="1">
        <v>222</v>
      </c>
      <c r="B222" s="435" t="s">
        <v>76</v>
      </c>
      <c r="C222" s="408" t="s">
        <v>31</v>
      </c>
      <c r="D222" s="914" t="s">
        <v>421</v>
      </c>
      <c r="E222" s="915"/>
      <c r="F222" s="916"/>
    </row>
    <row r="223" spans="1:6" x14ac:dyDescent="0.35">
      <c r="A223" s="1">
        <v>223</v>
      </c>
      <c r="B223" s="436" t="s">
        <v>140</v>
      </c>
      <c r="C223" s="407" t="s">
        <v>31</v>
      </c>
      <c r="D223" s="914" t="s">
        <v>421</v>
      </c>
      <c r="E223" s="915"/>
      <c r="F223" s="916"/>
    </row>
    <row r="224" spans="1:6" x14ac:dyDescent="0.35">
      <c r="A224" s="1">
        <v>224</v>
      </c>
      <c r="B224" s="437" t="s">
        <v>147</v>
      </c>
      <c r="C224" s="409" t="s">
        <v>148</v>
      </c>
      <c r="D224" s="914" t="s">
        <v>421</v>
      </c>
      <c r="E224" s="915"/>
      <c r="F224" s="916"/>
    </row>
    <row r="225" spans="1:8" x14ac:dyDescent="0.35">
      <c r="A225" s="1">
        <v>225</v>
      </c>
      <c r="B225" s="437" t="s">
        <v>155</v>
      </c>
      <c r="C225" s="409" t="s">
        <v>156</v>
      </c>
      <c r="D225" s="911" t="s">
        <v>421</v>
      </c>
      <c r="E225" s="911"/>
      <c r="F225" s="911"/>
    </row>
    <row r="226" spans="1:8" x14ac:dyDescent="0.35">
      <c r="A226" s="1">
        <v>226</v>
      </c>
      <c r="B226" s="436" t="s">
        <v>165</v>
      </c>
      <c r="C226" s="407" t="s">
        <v>35</v>
      </c>
      <c r="D226" s="911" t="s">
        <v>421</v>
      </c>
      <c r="E226" s="911"/>
      <c r="F226" s="911"/>
    </row>
    <row r="227" spans="1:8" x14ac:dyDescent="0.35">
      <c r="A227" s="1">
        <v>227</v>
      </c>
      <c r="B227" s="45" t="s">
        <v>24</v>
      </c>
      <c r="C227" s="1" t="s">
        <v>16</v>
      </c>
      <c r="D227" s="911" t="s">
        <v>421</v>
      </c>
      <c r="E227" s="911"/>
      <c r="F227" s="911"/>
    </row>
    <row r="228" spans="1:8" x14ac:dyDescent="0.35">
      <c r="A228" s="1">
        <v>228</v>
      </c>
      <c r="B228" s="1" t="s">
        <v>216</v>
      </c>
      <c r="C228" s="1" t="s">
        <v>33</v>
      </c>
      <c r="D228" s="911" t="s">
        <v>421</v>
      </c>
      <c r="E228" s="911"/>
      <c r="F228" s="911"/>
    </row>
    <row r="229" spans="1:8" x14ac:dyDescent="0.35">
      <c r="A229" s="1">
        <v>229</v>
      </c>
      <c r="B229" s="45" t="s">
        <v>13</v>
      </c>
      <c r="C229" s="1" t="s">
        <v>14</v>
      </c>
      <c r="D229" s="911" t="s">
        <v>421</v>
      </c>
      <c r="E229" s="911"/>
      <c r="F229" s="911"/>
    </row>
    <row r="230" spans="1:8" x14ac:dyDescent="0.35">
      <c r="A230" s="1">
        <v>230</v>
      </c>
      <c r="B230" s="45" t="s">
        <v>22</v>
      </c>
      <c r="C230" s="1" t="s">
        <v>23</v>
      </c>
      <c r="D230" s="911" t="s">
        <v>421</v>
      </c>
      <c r="E230" s="911"/>
      <c r="F230" s="911"/>
    </row>
    <row r="231" spans="1:8" x14ac:dyDescent="0.35">
      <c r="A231" s="1">
        <v>231</v>
      </c>
      <c r="B231" s="1" t="s">
        <v>243</v>
      </c>
      <c r="C231" s="1" t="s">
        <v>31</v>
      </c>
      <c r="D231" s="911" t="s">
        <v>421</v>
      </c>
      <c r="E231" s="911"/>
      <c r="F231" s="911"/>
      <c r="H231" s="553">
        <v>46147</v>
      </c>
    </row>
    <row r="232" spans="1:8" x14ac:dyDescent="0.35">
      <c r="A232" s="1">
        <v>232</v>
      </c>
      <c r="B232" s="1" t="s">
        <v>284</v>
      </c>
      <c r="C232" s="1" t="s">
        <v>146</v>
      </c>
      <c r="D232" s="911" t="s">
        <v>421</v>
      </c>
      <c r="E232" s="911"/>
      <c r="F232" s="911"/>
    </row>
    <row r="233" spans="1:8" x14ac:dyDescent="0.35">
      <c r="A233" s="1">
        <v>233</v>
      </c>
      <c r="B233" s="661" t="s">
        <v>17</v>
      </c>
      <c r="C233" s="660" t="s">
        <v>18</v>
      </c>
      <c r="D233" s="911" t="s">
        <v>421</v>
      </c>
      <c r="E233" s="911"/>
      <c r="F233" s="911"/>
    </row>
    <row r="234" spans="1:8" x14ac:dyDescent="0.35">
      <c r="A234" s="1">
        <v>234</v>
      </c>
      <c r="B234" s="1" t="s">
        <v>265</v>
      </c>
      <c r="C234" s="286" t="s">
        <v>33</v>
      </c>
      <c r="D234" s="911" t="s">
        <v>421</v>
      </c>
      <c r="E234" s="911"/>
      <c r="F234" s="911"/>
    </row>
    <row r="235" spans="1:8" x14ac:dyDescent="0.35">
      <c r="A235" s="1"/>
      <c r="B235" s="1"/>
      <c r="C235" s="1"/>
      <c r="D235" s="1"/>
      <c r="E235" s="1"/>
      <c r="F235" s="1"/>
    </row>
  </sheetData>
  <autoFilter ref="A2:F226" xr:uid="{00000000-0009-0000-0000-000004000000}"/>
  <mergeCells count="233">
    <mergeCell ref="D232:F232"/>
    <mergeCell ref="D229:F229"/>
    <mergeCell ref="D230:F230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8:F228"/>
    <mergeCell ref="D227:F227"/>
    <mergeCell ref="D231:F231"/>
    <mergeCell ref="D218:F218"/>
    <mergeCell ref="D215:F215"/>
    <mergeCell ref="D216:F216"/>
    <mergeCell ref="D217:F217"/>
    <mergeCell ref="D211:F211"/>
    <mergeCell ref="D212:F212"/>
    <mergeCell ref="D213:F213"/>
    <mergeCell ref="D214:F214"/>
    <mergeCell ref="D201:F201"/>
    <mergeCell ref="D202:F202"/>
    <mergeCell ref="D203:F203"/>
    <mergeCell ref="D198:F198"/>
    <mergeCell ref="D194:F194"/>
    <mergeCell ref="D195:F195"/>
    <mergeCell ref="D196:F196"/>
    <mergeCell ref="D197:F197"/>
    <mergeCell ref="D199:F199"/>
    <mergeCell ref="D200:F200"/>
    <mergeCell ref="D210:F210"/>
    <mergeCell ref="D204:F204"/>
    <mergeCell ref="D205:F205"/>
    <mergeCell ref="D206:F206"/>
    <mergeCell ref="D207:F207"/>
    <mergeCell ref="D208:F208"/>
    <mergeCell ref="D209:F209"/>
    <mergeCell ref="D193:F193"/>
    <mergeCell ref="D181:F181"/>
    <mergeCell ref="D160:F160"/>
    <mergeCell ref="D161:F161"/>
    <mergeCell ref="D180:F180"/>
    <mergeCell ref="D178:F178"/>
    <mergeCell ref="D176:F176"/>
    <mergeCell ref="D177:F177"/>
    <mergeCell ref="D175:F175"/>
    <mergeCell ref="D174:F174"/>
    <mergeCell ref="D173:F173"/>
    <mergeCell ref="D169:F169"/>
    <mergeCell ref="D164:F164"/>
    <mergeCell ref="D179:F179"/>
    <mergeCell ref="D162:F162"/>
    <mergeCell ref="D163:F163"/>
    <mergeCell ref="D168:F168"/>
    <mergeCell ref="D165:F165"/>
    <mergeCell ref="D192:F192"/>
    <mergeCell ref="D191:F191"/>
    <mergeCell ref="D167:F167"/>
    <mergeCell ref="D172:F172"/>
    <mergeCell ref="D189:F189"/>
    <mergeCell ref="D190:F190"/>
    <mergeCell ref="D115:F115"/>
    <mergeCell ref="D116:F116"/>
    <mergeCell ref="D107:F107"/>
    <mergeCell ref="D108:F108"/>
    <mergeCell ref="D98:F98"/>
    <mergeCell ref="D99:F99"/>
    <mergeCell ref="D102:F102"/>
    <mergeCell ref="D97:F97"/>
    <mergeCell ref="D100:F100"/>
    <mergeCell ref="D101:F101"/>
    <mergeCell ref="D103:F103"/>
    <mergeCell ref="D104:F104"/>
    <mergeCell ref="D105:F105"/>
    <mergeCell ref="D106:F106"/>
    <mergeCell ref="D109:F109"/>
    <mergeCell ref="D95:F95"/>
    <mergeCell ref="D96:F96"/>
    <mergeCell ref="D110:F110"/>
    <mergeCell ref="D87:F87"/>
    <mergeCell ref="D88:F88"/>
    <mergeCell ref="D89:F89"/>
    <mergeCell ref="D90:F90"/>
    <mergeCell ref="D91:F91"/>
    <mergeCell ref="D111:F111"/>
    <mergeCell ref="D7:F7"/>
    <mergeCell ref="D55:F55"/>
    <mergeCell ref="D21:F21"/>
    <mergeCell ref="D22:F22"/>
    <mergeCell ref="D23:F23"/>
    <mergeCell ref="D24:F24"/>
    <mergeCell ref="D25:F25"/>
    <mergeCell ref="D26:F26"/>
    <mergeCell ref="D57:F57"/>
    <mergeCell ref="D56:F56"/>
    <mergeCell ref="D28:F28"/>
    <mergeCell ref="D29:F29"/>
    <mergeCell ref="D34:F34"/>
    <mergeCell ref="D35:F35"/>
    <mergeCell ref="D41:F41"/>
    <mergeCell ref="D42:F42"/>
    <mergeCell ref="D43:F43"/>
    <mergeCell ref="D44:F44"/>
    <mergeCell ref="D31:F31"/>
    <mergeCell ref="D32:F32"/>
    <mergeCell ref="D33:F33"/>
    <mergeCell ref="D36:F36"/>
    <mergeCell ref="D37:F37"/>
    <mergeCell ref="D38:F38"/>
    <mergeCell ref="A1:I1"/>
    <mergeCell ref="D3:F3"/>
    <mergeCell ref="D4:F4"/>
    <mergeCell ref="D5:F5"/>
    <mergeCell ref="D6:F6"/>
    <mergeCell ref="D8:F8"/>
    <mergeCell ref="D9:F9"/>
    <mergeCell ref="D10:F10"/>
    <mergeCell ref="D54:F54"/>
    <mergeCell ref="D48:F48"/>
    <mergeCell ref="D49:F49"/>
    <mergeCell ref="D50:F50"/>
    <mergeCell ref="D11:F11"/>
    <mergeCell ref="D12:F12"/>
    <mergeCell ref="D13:F13"/>
    <mergeCell ref="D14:F14"/>
    <mergeCell ref="D15:F15"/>
    <mergeCell ref="D16:F16"/>
    <mergeCell ref="D17:F17"/>
    <mergeCell ref="D27:F27"/>
    <mergeCell ref="D18:F18"/>
    <mergeCell ref="D30:F30"/>
    <mergeCell ref="D19:F19"/>
    <mergeCell ref="D20:F20"/>
    <mergeCell ref="D72:F72"/>
    <mergeCell ref="D73:F73"/>
    <mergeCell ref="D74:F74"/>
    <mergeCell ref="D75:F75"/>
    <mergeCell ref="D76:F76"/>
    <mergeCell ref="D62:F62"/>
    <mergeCell ref="D63:F63"/>
    <mergeCell ref="D64:F64"/>
    <mergeCell ref="D65:F65"/>
    <mergeCell ref="D66:F66"/>
    <mergeCell ref="D80:F80"/>
    <mergeCell ref="D84:F84"/>
    <mergeCell ref="D85:F85"/>
    <mergeCell ref="D86:F86"/>
    <mergeCell ref="D92:F92"/>
    <mergeCell ref="D93:F93"/>
    <mergeCell ref="D94:F94"/>
    <mergeCell ref="D39:F39"/>
    <mergeCell ref="D40:F40"/>
    <mergeCell ref="D45:F45"/>
    <mergeCell ref="D51:F51"/>
    <mergeCell ref="D52:F52"/>
    <mergeCell ref="D46:F46"/>
    <mergeCell ref="D47:F47"/>
    <mergeCell ref="D53:F53"/>
    <mergeCell ref="D58:F58"/>
    <mergeCell ref="D59:F59"/>
    <mergeCell ref="D60:F60"/>
    <mergeCell ref="D61:F61"/>
    <mergeCell ref="D69:F69"/>
    <mergeCell ref="D70:F70"/>
    <mergeCell ref="D71:F71"/>
    <mergeCell ref="D68:F68"/>
    <mergeCell ref="D67:F67"/>
    <mergeCell ref="D185:F185"/>
    <mergeCell ref="D186:F186"/>
    <mergeCell ref="D187:F187"/>
    <mergeCell ref="D159:F159"/>
    <mergeCell ref="D158:F158"/>
    <mergeCell ref="D182:F182"/>
    <mergeCell ref="D170:F170"/>
    <mergeCell ref="D77:F77"/>
    <mergeCell ref="D78:F78"/>
    <mergeCell ref="D79:F79"/>
    <mergeCell ref="D81:F81"/>
    <mergeCell ref="D166:F166"/>
    <mergeCell ref="D122:F122"/>
    <mergeCell ref="D117:F117"/>
    <mergeCell ref="D118:F118"/>
    <mergeCell ref="D119:F119"/>
    <mergeCell ref="D112:F112"/>
    <mergeCell ref="D113:F113"/>
    <mergeCell ref="D114:F114"/>
    <mergeCell ref="D120:F120"/>
    <mergeCell ref="D121:F121"/>
    <mergeCell ref="D155:F155"/>
    <mergeCell ref="D82:F82"/>
    <mergeCell ref="D83:F83"/>
    <mergeCell ref="D154:F154"/>
    <mergeCell ref="D184:F184"/>
    <mergeCell ref="D123:F123"/>
    <mergeCell ref="D124:F124"/>
    <mergeCell ref="D135:F135"/>
    <mergeCell ref="D136:F136"/>
    <mergeCell ref="D130:F130"/>
    <mergeCell ref="D131:F131"/>
    <mergeCell ref="D132:F132"/>
    <mergeCell ref="D133:F133"/>
    <mergeCell ref="D134:F134"/>
    <mergeCell ref="D125:F125"/>
    <mergeCell ref="D126:F126"/>
    <mergeCell ref="D127:F127"/>
    <mergeCell ref="D128:F128"/>
    <mergeCell ref="D129:F129"/>
    <mergeCell ref="D234:F234"/>
    <mergeCell ref="D233:F233"/>
    <mergeCell ref="D188:F188"/>
    <mergeCell ref="D183:F183"/>
    <mergeCell ref="D171:F171"/>
    <mergeCell ref="D137:F137"/>
    <mergeCell ref="D138:F138"/>
    <mergeCell ref="D140:F140"/>
    <mergeCell ref="D139:F139"/>
    <mergeCell ref="D149:F149"/>
    <mergeCell ref="D150:F150"/>
    <mergeCell ref="D151:F151"/>
    <mergeCell ref="D143:F143"/>
    <mergeCell ref="D141:F141"/>
    <mergeCell ref="D142:F142"/>
    <mergeCell ref="D148:F148"/>
    <mergeCell ref="D144:F144"/>
    <mergeCell ref="D145:F145"/>
    <mergeCell ref="D146:F146"/>
    <mergeCell ref="D147:F147"/>
    <mergeCell ref="D156:F156"/>
    <mergeCell ref="D157:F157"/>
    <mergeCell ref="D152:F152"/>
    <mergeCell ref="D153:F153"/>
  </mergeCells>
  <conditionalFormatting sqref="B1:B1048576">
    <cfRule type="duplicateValues" dxfId="3" priority="1"/>
    <cfRule type="duplicateValues" dxfId="2" priority="2"/>
    <cfRule type="duplicateValues" dxfId="1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M14"/>
  <sheetViews>
    <sheetView zoomScale="76" workbookViewId="0">
      <selection activeCell="F12" sqref="F12"/>
    </sheetView>
  </sheetViews>
  <sheetFormatPr defaultRowHeight="14.5" x14ac:dyDescent="0.35"/>
  <cols>
    <col min="2" max="2" width="10.81640625" customWidth="1"/>
    <col min="3" max="3" width="13.81640625" customWidth="1"/>
    <col min="4" max="4" width="13.1796875" customWidth="1"/>
    <col min="5" max="5" width="12.1796875" customWidth="1"/>
    <col min="7" max="7" width="10.54296875" customWidth="1"/>
    <col min="8" max="8" width="12.453125" bestFit="1" customWidth="1"/>
    <col min="10" max="10" width="13.453125" customWidth="1"/>
    <col min="11" max="11" width="7.54296875" customWidth="1"/>
    <col min="12" max="12" width="7.1796875" customWidth="1"/>
  </cols>
  <sheetData>
    <row r="1" spans="2:13" ht="15" thickBot="1" x14ac:dyDescent="0.4"/>
    <row r="2" spans="2:13" ht="31.5" customHeight="1" x14ac:dyDescent="0.35">
      <c r="B2" s="178" t="s">
        <v>652</v>
      </c>
      <c r="C2" s="923" t="s">
        <v>653</v>
      </c>
      <c r="D2" s="924"/>
      <c r="E2" s="924"/>
      <c r="F2" s="924"/>
      <c r="G2" s="924"/>
      <c r="H2" s="924"/>
      <c r="I2" s="924"/>
      <c r="J2" s="925"/>
      <c r="K2" s="181"/>
      <c r="L2" s="159"/>
    </row>
    <row r="3" spans="2:13" ht="15.5" x14ac:dyDescent="0.35">
      <c r="B3" s="179" t="s">
        <v>654</v>
      </c>
      <c r="C3" s="926" t="s">
        <v>655</v>
      </c>
      <c r="D3" s="927"/>
      <c r="E3" s="927"/>
      <c r="F3" s="927"/>
      <c r="G3" s="927"/>
      <c r="H3" s="927"/>
      <c r="I3" s="927"/>
      <c r="J3" s="928"/>
      <c r="K3" s="181"/>
      <c r="L3" s="159"/>
    </row>
    <row r="4" spans="2:13" ht="15.75" customHeight="1" x14ac:dyDescent="0.35">
      <c r="B4" s="179" t="s">
        <v>656</v>
      </c>
      <c r="C4" s="926" t="s">
        <v>657</v>
      </c>
      <c r="D4" s="927"/>
      <c r="E4" s="927"/>
      <c r="F4" s="927"/>
      <c r="G4" s="927"/>
      <c r="H4" s="927"/>
      <c r="I4" s="927"/>
      <c r="J4" s="928"/>
      <c r="K4" s="181"/>
      <c r="L4" s="159"/>
    </row>
    <row r="5" spans="2:13" ht="31.5" thickBot="1" x14ac:dyDescent="0.4">
      <c r="B5" s="180" t="s">
        <v>658</v>
      </c>
      <c r="C5" s="920">
        <v>46107</v>
      </c>
      <c r="D5" s="921"/>
      <c r="E5" s="921"/>
      <c r="F5" s="921"/>
      <c r="G5" s="921"/>
      <c r="H5" s="921"/>
      <c r="I5" s="921"/>
      <c r="J5" s="922"/>
      <c r="K5" s="182"/>
      <c r="L5" s="159"/>
    </row>
    <row r="6" spans="2:13" ht="19" thickBot="1" x14ac:dyDescent="0.4">
      <c r="B6" s="917" t="s">
        <v>659</v>
      </c>
      <c r="C6" s="918"/>
      <c r="D6" s="918"/>
      <c r="E6" s="918"/>
      <c r="F6" s="918"/>
      <c r="G6" s="918"/>
      <c r="H6" s="918"/>
      <c r="I6" s="918"/>
      <c r="J6" s="919"/>
      <c r="K6" s="161"/>
      <c r="L6" s="159"/>
    </row>
    <row r="7" spans="2:13" ht="78" thickBot="1" x14ac:dyDescent="0.4">
      <c r="B7" s="259" t="s">
        <v>660</v>
      </c>
      <c r="C7" s="260" t="s">
        <v>661</v>
      </c>
      <c r="D7" s="260" t="s">
        <v>662</v>
      </c>
      <c r="E7" s="260" t="s">
        <v>663</v>
      </c>
      <c r="F7" s="260" t="s">
        <v>930</v>
      </c>
      <c r="G7" s="260" t="s">
        <v>664</v>
      </c>
      <c r="H7" s="260" t="s">
        <v>665</v>
      </c>
      <c r="I7" s="260" t="s">
        <v>666</v>
      </c>
      <c r="J7" s="261" t="s">
        <v>371</v>
      </c>
      <c r="K7" s="159"/>
      <c r="L7" s="159"/>
    </row>
    <row r="8" spans="2:13" ht="15.5" x14ac:dyDescent="0.35">
      <c r="B8" s="254">
        <v>1</v>
      </c>
      <c r="C8" s="255" t="s">
        <v>667</v>
      </c>
      <c r="D8" s="256" t="s">
        <v>668</v>
      </c>
      <c r="E8" s="256">
        <v>309</v>
      </c>
      <c r="F8" s="257">
        <v>306</v>
      </c>
      <c r="G8" s="257">
        <f>272+9</f>
        <v>281</v>
      </c>
      <c r="H8" s="257"/>
      <c r="I8" s="257">
        <f t="shared" ref="I8:I13" si="0">E8-G8</f>
        <v>28</v>
      </c>
      <c r="J8" s="258"/>
      <c r="K8" s="162"/>
      <c r="L8" s="162"/>
    </row>
    <row r="9" spans="2:13" ht="15.5" x14ac:dyDescent="0.35">
      <c r="B9" s="172">
        <v>2</v>
      </c>
      <c r="C9" s="163" t="s">
        <v>669</v>
      </c>
      <c r="D9" s="160" t="s">
        <v>668</v>
      </c>
      <c r="E9" s="164">
        <v>309</v>
      </c>
      <c r="F9" s="164">
        <v>230</v>
      </c>
      <c r="G9" s="164">
        <v>271</v>
      </c>
      <c r="H9" s="164"/>
      <c r="I9" s="164">
        <f t="shared" si="0"/>
        <v>38</v>
      </c>
      <c r="J9" s="246"/>
      <c r="K9" s="162"/>
      <c r="L9" s="162"/>
    </row>
    <row r="10" spans="2:13" ht="31" x14ac:dyDescent="0.35">
      <c r="B10" s="172">
        <v>3</v>
      </c>
      <c r="C10" s="163" t="s">
        <v>670</v>
      </c>
      <c r="D10" s="160" t="s">
        <v>686</v>
      </c>
      <c r="E10" s="164">
        <v>4343</v>
      </c>
      <c r="F10" s="160">
        <v>3900</v>
      </c>
      <c r="G10" s="164">
        <v>4300.4179999999997</v>
      </c>
      <c r="H10" s="457"/>
      <c r="I10" s="164">
        <f t="shared" si="0"/>
        <v>42.582000000000335</v>
      </c>
      <c r="J10" s="247" t="s">
        <v>671</v>
      </c>
      <c r="K10" s="162"/>
      <c r="L10" s="162"/>
    </row>
    <row r="11" spans="2:13" ht="31.5" thickBot="1" x14ac:dyDescent="0.4">
      <c r="B11" s="172">
        <v>4</v>
      </c>
      <c r="C11" s="163" t="s">
        <v>672</v>
      </c>
      <c r="D11" s="167" t="s">
        <v>673</v>
      </c>
      <c r="E11" s="164">
        <v>2432</v>
      </c>
      <c r="F11" s="167">
        <v>0.9</v>
      </c>
      <c r="G11" s="164">
        <f>E11/100*90</f>
        <v>2188.8000000000002</v>
      </c>
      <c r="H11" s="168"/>
      <c r="I11" s="164">
        <f t="shared" si="0"/>
        <v>243.19999999999982</v>
      </c>
      <c r="J11" s="247" t="s">
        <v>674</v>
      </c>
      <c r="K11" s="162"/>
      <c r="L11" s="162"/>
    </row>
    <row r="12" spans="2:13" ht="31.5" thickBot="1" x14ac:dyDescent="0.4">
      <c r="B12" s="172">
        <v>5</v>
      </c>
      <c r="C12" s="163" t="s">
        <v>675</v>
      </c>
      <c r="D12" s="160" t="s">
        <v>685</v>
      </c>
      <c r="E12" s="160">
        <v>13552</v>
      </c>
      <c r="F12" s="160">
        <v>11388</v>
      </c>
      <c r="G12" s="441">
        <v>12832</v>
      </c>
      <c r="H12" s="160"/>
      <c r="I12" s="164">
        <f t="shared" si="0"/>
        <v>720</v>
      </c>
      <c r="J12" s="247" t="s">
        <v>676</v>
      </c>
      <c r="K12" s="252" t="s">
        <v>2000</v>
      </c>
      <c r="L12" s="253" t="s">
        <v>2129</v>
      </c>
    </row>
    <row r="13" spans="2:13" ht="31" x14ac:dyDescent="0.35">
      <c r="B13" s="172">
        <v>6</v>
      </c>
      <c r="C13" s="163" t="s">
        <v>677</v>
      </c>
      <c r="D13" s="160" t="s">
        <v>678</v>
      </c>
      <c r="E13" s="160">
        <v>121</v>
      </c>
      <c r="F13" s="168">
        <v>0.85</v>
      </c>
      <c r="G13" s="164">
        <v>84</v>
      </c>
      <c r="H13" s="160"/>
      <c r="I13" s="164">
        <f t="shared" si="0"/>
        <v>37</v>
      </c>
      <c r="J13" s="247" t="s">
        <v>679</v>
      </c>
      <c r="K13" s="166"/>
      <c r="L13" s="162"/>
    </row>
    <row r="14" spans="2:13" ht="31.5" thickBot="1" x14ac:dyDescent="0.4">
      <c r="B14" s="174">
        <v>7</v>
      </c>
      <c r="C14" s="248" t="s">
        <v>386</v>
      </c>
      <c r="D14" s="249" t="s">
        <v>2130</v>
      </c>
      <c r="E14" s="249">
        <v>126</v>
      </c>
      <c r="F14" s="249">
        <v>63</v>
      </c>
      <c r="G14" s="249">
        <v>0</v>
      </c>
      <c r="H14" s="249"/>
      <c r="I14" s="250">
        <v>126</v>
      </c>
      <c r="J14" s="251" t="s">
        <v>680</v>
      </c>
      <c r="K14" s="162"/>
      <c r="L14" s="162">
        <v>5566</v>
      </c>
      <c r="M14">
        <v>7296</v>
      </c>
    </row>
  </sheetData>
  <mergeCells count="5">
    <mergeCell ref="B6:J6"/>
    <mergeCell ref="C5:J5"/>
    <mergeCell ref="C2:J2"/>
    <mergeCell ref="C3:J3"/>
    <mergeCell ref="C4:J4"/>
  </mergeCells>
  <pageMargins left="0.70866141732283472" right="0.70866141732283472" top="0.74803149606299213" bottom="1.3385826771653544" header="0.31496062992125984" footer="0.31496062992125984"/>
  <pageSetup scale="7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643"/>
  <sheetViews>
    <sheetView zoomScale="55" zoomScaleNormal="55" workbookViewId="0">
      <pane ySplit="7" topLeftCell="A545" activePane="bottomLeft" state="frozen"/>
      <selection pane="bottomLeft" activeCell="D558" sqref="D558"/>
    </sheetView>
  </sheetViews>
  <sheetFormatPr defaultRowHeight="12.5" x14ac:dyDescent="0.35"/>
  <cols>
    <col min="1" max="1" width="7.81640625" style="288" bestFit="1" customWidth="1"/>
    <col min="2" max="2" width="9.54296875" style="288" bestFit="1" customWidth="1"/>
    <col min="3" max="3" width="14.453125" style="288" bestFit="1" customWidth="1"/>
    <col min="4" max="4" width="14.1796875" style="288" customWidth="1"/>
    <col min="5" max="5" width="23.453125" style="288" customWidth="1"/>
    <col min="6" max="6" width="9.453125" style="288" customWidth="1"/>
    <col min="7" max="7" width="11.81640625" style="288" customWidth="1"/>
    <col min="8" max="8" width="16" style="288" customWidth="1"/>
    <col min="9" max="9" width="12.81640625" style="288" customWidth="1"/>
    <col min="10" max="10" width="12.453125" style="288" customWidth="1"/>
    <col min="11" max="11" width="17.81640625" style="288" customWidth="1"/>
    <col min="12" max="12" width="11.81640625" style="288" customWidth="1"/>
    <col min="13" max="13" width="7.81640625" style="288" customWidth="1"/>
    <col min="14" max="15" width="8.81640625" style="288" customWidth="1"/>
    <col min="16" max="16" width="7.81640625" style="288" customWidth="1"/>
    <col min="17" max="18" width="8.81640625" style="288" customWidth="1"/>
    <col min="19" max="19" width="19.54296875" style="288" customWidth="1"/>
    <col min="20" max="20" width="20.453125" style="288" customWidth="1"/>
    <col min="21" max="21" width="15.81640625" style="288" customWidth="1"/>
    <col min="22" max="22" width="17.1796875" style="288" customWidth="1"/>
    <col min="23" max="23" width="40.81640625" style="288" customWidth="1"/>
    <col min="24" max="24" width="24.1796875" style="288" bestFit="1" customWidth="1"/>
    <col min="25" max="25" width="12.81640625" style="288" customWidth="1"/>
    <col min="26" max="26" width="9.1796875" style="288" bestFit="1" customWidth="1"/>
    <col min="27" max="27" width="4.81640625" style="288" bestFit="1" customWidth="1"/>
    <col min="28" max="28" width="4.1796875" style="288" customWidth="1"/>
    <col min="29" max="30" width="4.81640625" style="288" bestFit="1" customWidth="1"/>
    <col min="31" max="256" width="9.1796875" style="288"/>
    <col min="257" max="257" width="7.81640625" style="288" bestFit="1" customWidth="1"/>
    <col min="258" max="258" width="9.54296875" style="288" bestFit="1" customWidth="1"/>
    <col min="259" max="259" width="14.453125" style="288" bestFit="1" customWidth="1"/>
    <col min="260" max="260" width="14.1796875" style="288" customWidth="1"/>
    <col min="261" max="261" width="23.453125" style="288" customWidth="1"/>
    <col min="262" max="262" width="9.453125" style="288" customWidth="1"/>
    <col min="263" max="263" width="11.81640625" style="288" customWidth="1"/>
    <col min="264" max="264" width="16" style="288" customWidth="1"/>
    <col min="265" max="265" width="12.81640625" style="288" customWidth="1"/>
    <col min="266" max="266" width="12.453125" style="288" customWidth="1"/>
    <col min="267" max="267" width="17.81640625" style="288" customWidth="1"/>
    <col min="268" max="268" width="11.81640625" style="288" customWidth="1"/>
    <col min="269" max="269" width="7.81640625" style="288" customWidth="1"/>
    <col min="270" max="271" width="8.81640625" style="288" customWidth="1"/>
    <col min="272" max="272" width="7.81640625" style="288" customWidth="1"/>
    <col min="273" max="274" width="8.81640625" style="288" customWidth="1"/>
    <col min="275" max="275" width="19.54296875" style="288" customWidth="1"/>
    <col min="276" max="276" width="20.453125" style="288" customWidth="1"/>
    <col min="277" max="277" width="15.81640625" style="288" customWidth="1"/>
    <col min="278" max="278" width="17.1796875" style="288" customWidth="1"/>
    <col min="279" max="279" width="40.81640625" style="288" customWidth="1"/>
    <col min="280" max="280" width="24.1796875" style="288" bestFit="1" customWidth="1"/>
    <col min="281" max="281" width="12.81640625" style="288" customWidth="1"/>
    <col min="282" max="282" width="9.1796875" style="288" bestFit="1" customWidth="1"/>
    <col min="283" max="283" width="4.81640625" style="288" bestFit="1" customWidth="1"/>
    <col min="284" max="284" width="4.1796875" style="288" customWidth="1"/>
    <col min="285" max="286" width="4.81640625" style="288" bestFit="1" customWidth="1"/>
    <col min="287" max="512" width="9.1796875" style="288"/>
    <col min="513" max="513" width="7.81640625" style="288" bestFit="1" customWidth="1"/>
    <col min="514" max="514" width="9.54296875" style="288" bestFit="1" customWidth="1"/>
    <col min="515" max="515" width="14.453125" style="288" bestFit="1" customWidth="1"/>
    <col min="516" max="516" width="14.1796875" style="288" customWidth="1"/>
    <col min="517" max="517" width="23.453125" style="288" customWidth="1"/>
    <col min="518" max="518" width="9.453125" style="288" customWidth="1"/>
    <col min="519" max="519" width="11.81640625" style="288" customWidth="1"/>
    <col min="520" max="520" width="16" style="288" customWidth="1"/>
    <col min="521" max="521" width="12.81640625" style="288" customWidth="1"/>
    <col min="522" max="522" width="12.453125" style="288" customWidth="1"/>
    <col min="523" max="523" width="17.81640625" style="288" customWidth="1"/>
    <col min="524" max="524" width="11.81640625" style="288" customWidth="1"/>
    <col min="525" max="525" width="7.81640625" style="288" customWidth="1"/>
    <col min="526" max="527" width="8.81640625" style="288" customWidth="1"/>
    <col min="528" max="528" width="7.81640625" style="288" customWidth="1"/>
    <col min="529" max="530" width="8.81640625" style="288" customWidth="1"/>
    <col min="531" max="531" width="19.54296875" style="288" customWidth="1"/>
    <col min="532" max="532" width="20.453125" style="288" customWidth="1"/>
    <col min="533" max="533" width="15.81640625" style="288" customWidth="1"/>
    <col min="534" max="534" width="17.1796875" style="288" customWidth="1"/>
    <col min="535" max="535" width="40.81640625" style="288" customWidth="1"/>
    <col min="536" max="536" width="24.1796875" style="288" bestFit="1" customWidth="1"/>
    <col min="537" max="537" width="12.81640625" style="288" customWidth="1"/>
    <col min="538" max="538" width="9.1796875" style="288" bestFit="1" customWidth="1"/>
    <col min="539" max="539" width="4.81640625" style="288" bestFit="1" customWidth="1"/>
    <col min="540" max="540" width="4.1796875" style="288" customWidth="1"/>
    <col min="541" max="542" width="4.81640625" style="288" bestFit="1" customWidth="1"/>
    <col min="543" max="768" width="9.1796875" style="288"/>
    <col min="769" max="769" width="7.81640625" style="288" bestFit="1" customWidth="1"/>
    <col min="770" max="770" width="9.54296875" style="288" bestFit="1" customWidth="1"/>
    <col min="771" max="771" width="14.453125" style="288" bestFit="1" customWidth="1"/>
    <col min="772" max="772" width="14.1796875" style="288" customWidth="1"/>
    <col min="773" max="773" width="23.453125" style="288" customWidth="1"/>
    <col min="774" max="774" width="9.453125" style="288" customWidth="1"/>
    <col min="775" max="775" width="11.81640625" style="288" customWidth="1"/>
    <col min="776" max="776" width="16" style="288" customWidth="1"/>
    <col min="777" max="777" width="12.81640625" style="288" customWidth="1"/>
    <col min="778" max="778" width="12.453125" style="288" customWidth="1"/>
    <col min="779" max="779" width="17.81640625" style="288" customWidth="1"/>
    <col min="780" max="780" width="11.81640625" style="288" customWidth="1"/>
    <col min="781" max="781" width="7.81640625" style="288" customWidth="1"/>
    <col min="782" max="783" width="8.81640625" style="288" customWidth="1"/>
    <col min="784" max="784" width="7.81640625" style="288" customWidth="1"/>
    <col min="785" max="786" width="8.81640625" style="288" customWidth="1"/>
    <col min="787" max="787" width="19.54296875" style="288" customWidth="1"/>
    <col min="788" max="788" width="20.453125" style="288" customWidth="1"/>
    <col min="789" max="789" width="15.81640625" style="288" customWidth="1"/>
    <col min="790" max="790" width="17.1796875" style="288" customWidth="1"/>
    <col min="791" max="791" width="40.81640625" style="288" customWidth="1"/>
    <col min="792" max="792" width="24.1796875" style="288" bestFit="1" customWidth="1"/>
    <col min="793" max="793" width="12.81640625" style="288" customWidth="1"/>
    <col min="794" max="794" width="9.1796875" style="288" bestFit="1" customWidth="1"/>
    <col min="795" max="795" width="4.81640625" style="288" bestFit="1" customWidth="1"/>
    <col min="796" max="796" width="4.1796875" style="288" customWidth="1"/>
    <col min="797" max="798" width="4.81640625" style="288" bestFit="1" customWidth="1"/>
    <col min="799" max="1024" width="9.1796875" style="288"/>
    <col min="1025" max="1025" width="7.81640625" style="288" bestFit="1" customWidth="1"/>
    <col min="1026" max="1026" width="9.54296875" style="288" bestFit="1" customWidth="1"/>
    <col min="1027" max="1027" width="14.453125" style="288" bestFit="1" customWidth="1"/>
    <col min="1028" max="1028" width="14.1796875" style="288" customWidth="1"/>
    <col min="1029" max="1029" width="23.453125" style="288" customWidth="1"/>
    <col min="1030" max="1030" width="9.453125" style="288" customWidth="1"/>
    <col min="1031" max="1031" width="11.81640625" style="288" customWidth="1"/>
    <col min="1032" max="1032" width="16" style="288" customWidth="1"/>
    <col min="1033" max="1033" width="12.81640625" style="288" customWidth="1"/>
    <col min="1034" max="1034" width="12.453125" style="288" customWidth="1"/>
    <col min="1035" max="1035" width="17.81640625" style="288" customWidth="1"/>
    <col min="1036" max="1036" width="11.81640625" style="288" customWidth="1"/>
    <col min="1037" max="1037" width="7.81640625" style="288" customWidth="1"/>
    <col min="1038" max="1039" width="8.81640625" style="288" customWidth="1"/>
    <col min="1040" max="1040" width="7.81640625" style="288" customWidth="1"/>
    <col min="1041" max="1042" width="8.81640625" style="288" customWidth="1"/>
    <col min="1043" max="1043" width="19.54296875" style="288" customWidth="1"/>
    <col min="1044" max="1044" width="20.453125" style="288" customWidth="1"/>
    <col min="1045" max="1045" width="15.81640625" style="288" customWidth="1"/>
    <col min="1046" max="1046" width="17.1796875" style="288" customWidth="1"/>
    <col min="1047" max="1047" width="40.81640625" style="288" customWidth="1"/>
    <col min="1048" max="1048" width="24.1796875" style="288" bestFit="1" customWidth="1"/>
    <col min="1049" max="1049" width="12.81640625" style="288" customWidth="1"/>
    <col min="1050" max="1050" width="9.1796875" style="288" bestFit="1" customWidth="1"/>
    <col min="1051" max="1051" width="4.81640625" style="288" bestFit="1" customWidth="1"/>
    <col min="1052" max="1052" width="4.1796875" style="288" customWidth="1"/>
    <col min="1053" max="1054" width="4.81640625" style="288" bestFit="1" customWidth="1"/>
    <col min="1055" max="1280" width="9.1796875" style="288"/>
    <col min="1281" max="1281" width="7.81640625" style="288" bestFit="1" customWidth="1"/>
    <col min="1282" max="1282" width="9.54296875" style="288" bestFit="1" customWidth="1"/>
    <col min="1283" max="1283" width="14.453125" style="288" bestFit="1" customWidth="1"/>
    <col min="1284" max="1284" width="14.1796875" style="288" customWidth="1"/>
    <col min="1285" max="1285" width="23.453125" style="288" customWidth="1"/>
    <col min="1286" max="1286" width="9.453125" style="288" customWidth="1"/>
    <col min="1287" max="1287" width="11.81640625" style="288" customWidth="1"/>
    <col min="1288" max="1288" width="16" style="288" customWidth="1"/>
    <col min="1289" max="1289" width="12.81640625" style="288" customWidth="1"/>
    <col min="1290" max="1290" width="12.453125" style="288" customWidth="1"/>
    <col min="1291" max="1291" width="17.81640625" style="288" customWidth="1"/>
    <col min="1292" max="1292" width="11.81640625" style="288" customWidth="1"/>
    <col min="1293" max="1293" width="7.81640625" style="288" customWidth="1"/>
    <col min="1294" max="1295" width="8.81640625" style="288" customWidth="1"/>
    <col min="1296" max="1296" width="7.81640625" style="288" customWidth="1"/>
    <col min="1297" max="1298" width="8.81640625" style="288" customWidth="1"/>
    <col min="1299" max="1299" width="19.54296875" style="288" customWidth="1"/>
    <col min="1300" max="1300" width="20.453125" style="288" customWidth="1"/>
    <col min="1301" max="1301" width="15.81640625" style="288" customWidth="1"/>
    <col min="1302" max="1302" width="17.1796875" style="288" customWidth="1"/>
    <col min="1303" max="1303" width="40.81640625" style="288" customWidth="1"/>
    <col min="1304" max="1304" width="24.1796875" style="288" bestFit="1" customWidth="1"/>
    <col min="1305" max="1305" width="12.81640625" style="288" customWidth="1"/>
    <col min="1306" max="1306" width="9.1796875" style="288" bestFit="1" customWidth="1"/>
    <col min="1307" max="1307" width="4.81640625" style="288" bestFit="1" customWidth="1"/>
    <col min="1308" max="1308" width="4.1796875" style="288" customWidth="1"/>
    <col min="1309" max="1310" width="4.81640625" style="288" bestFit="1" customWidth="1"/>
    <col min="1311" max="1536" width="9.1796875" style="288"/>
    <col min="1537" max="1537" width="7.81640625" style="288" bestFit="1" customWidth="1"/>
    <col min="1538" max="1538" width="9.54296875" style="288" bestFit="1" customWidth="1"/>
    <col min="1539" max="1539" width="14.453125" style="288" bestFit="1" customWidth="1"/>
    <col min="1540" max="1540" width="14.1796875" style="288" customWidth="1"/>
    <col min="1541" max="1541" width="23.453125" style="288" customWidth="1"/>
    <col min="1542" max="1542" width="9.453125" style="288" customWidth="1"/>
    <col min="1543" max="1543" width="11.81640625" style="288" customWidth="1"/>
    <col min="1544" max="1544" width="16" style="288" customWidth="1"/>
    <col min="1545" max="1545" width="12.81640625" style="288" customWidth="1"/>
    <col min="1546" max="1546" width="12.453125" style="288" customWidth="1"/>
    <col min="1547" max="1547" width="17.81640625" style="288" customWidth="1"/>
    <col min="1548" max="1548" width="11.81640625" style="288" customWidth="1"/>
    <col min="1549" max="1549" width="7.81640625" style="288" customWidth="1"/>
    <col min="1550" max="1551" width="8.81640625" style="288" customWidth="1"/>
    <col min="1552" max="1552" width="7.81640625" style="288" customWidth="1"/>
    <col min="1553" max="1554" width="8.81640625" style="288" customWidth="1"/>
    <col min="1555" max="1555" width="19.54296875" style="288" customWidth="1"/>
    <col min="1556" max="1556" width="20.453125" style="288" customWidth="1"/>
    <col min="1557" max="1557" width="15.81640625" style="288" customWidth="1"/>
    <col min="1558" max="1558" width="17.1796875" style="288" customWidth="1"/>
    <col min="1559" max="1559" width="40.81640625" style="288" customWidth="1"/>
    <col min="1560" max="1560" width="24.1796875" style="288" bestFit="1" customWidth="1"/>
    <col min="1561" max="1561" width="12.81640625" style="288" customWidth="1"/>
    <col min="1562" max="1562" width="9.1796875" style="288" bestFit="1" customWidth="1"/>
    <col min="1563" max="1563" width="4.81640625" style="288" bestFit="1" customWidth="1"/>
    <col min="1564" max="1564" width="4.1796875" style="288" customWidth="1"/>
    <col min="1565" max="1566" width="4.81640625" style="288" bestFit="1" customWidth="1"/>
    <col min="1567" max="1792" width="9.1796875" style="288"/>
    <col min="1793" max="1793" width="7.81640625" style="288" bestFit="1" customWidth="1"/>
    <col min="1794" max="1794" width="9.54296875" style="288" bestFit="1" customWidth="1"/>
    <col min="1795" max="1795" width="14.453125" style="288" bestFit="1" customWidth="1"/>
    <col min="1796" max="1796" width="14.1796875" style="288" customWidth="1"/>
    <col min="1797" max="1797" width="23.453125" style="288" customWidth="1"/>
    <col min="1798" max="1798" width="9.453125" style="288" customWidth="1"/>
    <col min="1799" max="1799" width="11.81640625" style="288" customWidth="1"/>
    <col min="1800" max="1800" width="16" style="288" customWidth="1"/>
    <col min="1801" max="1801" width="12.81640625" style="288" customWidth="1"/>
    <col min="1802" max="1802" width="12.453125" style="288" customWidth="1"/>
    <col min="1803" max="1803" width="17.81640625" style="288" customWidth="1"/>
    <col min="1804" max="1804" width="11.81640625" style="288" customWidth="1"/>
    <col min="1805" max="1805" width="7.81640625" style="288" customWidth="1"/>
    <col min="1806" max="1807" width="8.81640625" style="288" customWidth="1"/>
    <col min="1808" max="1808" width="7.81640625" style="288" customWidth="1"/>
    <col min="1809" max="1810" width="8.81640625" style="288" customWidth="1"/>
    <col min="1811" max="1811" width="19.54296875" style="288" customWidth="1"/>
    <col min="1812" max="1812" width="20.453125" style="288" customWidth="1"/>
    <col min="1813" max="1813" width="15.81640625" style="288" customWidth="1"/>
    <col min="1814" max="1814" width="17.1796875" style="288" customWidth="1"/>
    <col min="1815" max="1815" width="40.81640625" style="288" customWidth="1"/>
    <col min="1816" max="1816" width="24.1796875" style="288" bestFit="1" customWidth="1"/>
    <col min="1817" max="1817" width="12.81640625" style="288" customWidth="1"/>
    <col min="1818" max="1818" width="9.1796875" style="288" bestFit="1" customWidth="1"/>
    <col min="1819" max="1819" width="4.81640625" style="288" bestFit="1" customWidth="1"/>
    <col min="1820" max="1820" width="4.1796875" style="288" customWidth="1"/>
    <col min="1821" max="1822" width="4.81640625" style="288" bestFit="1" customWidth="1"/>
    <col min="1823" max="2048" width="9.1796875" style="288"/>
    <col min="2049" max="2049" width="7.81640625" style="288" bestFit="1" customWidth="1"/>
    <col min="2050" max="2050" width="9.54296875" style="288" bestFit="1" customWidth="1"/>
    <col min="2051" max="2051" width="14.453125" style="288" bestFit="1" customWidth="1"/>
    <col min="2052" max="2052" width="14.1796875" style="288" customWidth="1"/>
    <col min="2053" max="2053" width="23.453125" style="288" customWidth="1"/>
    <col min="2054" max="2054" width="9.453125" style="288" customWidth="1"/>
    <col min="2055" max="2055" width="11.81640625" style="288" customWidth="1"/>
    <col min="2056" max="2056" width="16" style="288" customWidth="1"/>
    <col min="2057" max="2057" width="12.81640625" style="288" customWidth="1"/>
    <col min="2058" max="2058" width="12.453125" style="288" customWidth="1"/>
    <col min="2059" max="2059" width="17.81640625" style="288" customWidth="1"/>
    <col min="2060" max="2060" width="11.81640625" style="288" customWidth="1"/>
    <col min="2061" max="2061" width="7.81640625" style="288" customWidth="1"/>
    <col min="2062" max="2063" width="8.81640625" style="288" customWidth="1"/>
    <col min="2064" max="2064" width="7.81640625" style="288" customWidth="1"/>
    <col min="2065" max="2066" width="8.81640625" style="288" customWidth="1"/>
    <col min="2067" max="2067" width="19.54296875" style="288" customWidth="1"/>
    <col min="2068" max="2068" width="20.453125" style="288" customWidth="1"/>
    <col min="2069" max="2069" width="15.81640625" style="288" customWidth="1"/>
    <col min="2070" max="2070" width="17.1796875" style="288" customWidth="1"/>
    <col min="2071" max="2071" width="40.81640625" style="288" customWidth="1"/>
    <col min="2072" max="2072" width="24.1796875" style="288" bestFit="1" customWidth="1"/>
    <col min="2073" max="2073" width="12.81640625" style="288" customWidth="1"/>
    <col min="2074" max="2074" width="9.1796875" style="288" bestFit="1" customWidth="1"/>
    <col min="2075" max="2075" width="4.81640625" style="288" bestFit="1" customWidth="1"/>
    <col min="2076" max="2076" width="4.1796875" style="288" customWidth="1"/>
    <col min="2077" max="2078" width="4.81640625" style="288" bestFit="1" customWidth="1"/>
    <col min="2079" max="2304" width="9.1796875" style="288"/>
    <col min="2305" max="2305" width="7.81640625" style="288" bestFit="1" customWidth="1"/>
    <col min="2306" max="2306" width="9.54296875" style="288" bestFit="1" customWidth="1"/>
    <col min="2307" max="2307" width="14.453125" style="288" bestFit="1" customWidth="1"/>
    <col min="2308" max="2308" width="14.1796875" style="288" customWidth="1"/>
    <col min="2309" max="2309" width="23.453125" style="288" customWidth="1"/>
    <col min="2310" max="2310" width="9.453125" style="288" customWidth="1"/>
    <col min="2311" max="2311" width="11.81640625" style="288" customWidth="1"/>
    <col min="2312" max="2312" width="16" style="288" customWidth="1"/>
    <col min="2313" max="2313" width="12.81640625" style="288" customWidth="1"/>
    <col min="2314" max="2314" width="12.453125" style="288" customWidth="1"/>
    <col min="2315" max="2315" width="17.81640625" style="288" customWidth="1"/>
    <col min="2316" max="2316" width="11.81640625" style="288" customWidth="1"/>
    <col min="2317" max="2317" width="7.81640625" style="288" customWidth="1"/>
    <col min="2318" max="2319" width="8.81640625" style="288" customWidth="1"/>
    <col min="2320" max="2320" width="7.81640625" style="288" customWidth="1"/>
    <col min="2321" max="2322" width="8.81640625" style="288" customWidth="1"/>
    <col min="2323" max="2323" width="19.54296875" style="288" customWidth="1"/>
    <col min="2324" max="2324" width="20.453125" style="288" customWidth="1"/>
    <col min="2325" max="2325" width="15.81640625" style="288" customWidth="1"/>
    <col min="2326" max="2326" width="17.1796875" style="288" customWidth="1"/>
    <col min="2327" max="2327" width="40.81640625" style="288" customWidth="1"/>
    <col min="2328" max="2328" width="24.1796875" style="288" bestFit="1" customWidth="1"/>
    <col min="2329" max="2329" width="12.81640625" style="288" customWidth="1"/>
    <col min="2330" max="2330" width="9.1796875" style="288" bestFit="1" customWidth="1"/>
    <col min="2331" max="2331" width="4.81640625" style="288" bestFit="1" customWidth="1"/>
    <col min="2332" max="2332" width="4.1796875" style="288" customWidth="1"/>
    <col min="2333" max="2334" width="4.81640625" style="288" bestFit="1" customWidth="1"/>
    <col min="2335" max="2560" width="9.1796875" style="288"/>
    <col min="2561" max="2561" width="7.81640625" style="288" bestFit="1" customWidth="1"/>
    <col min="2562" max="2562" width="9.54296875" style="288" bestFit="1" customWidth="1"/>
    <col min="2563" max="2563" width="14.453125" style="288" bestFit="1" customWidth="1"/>
    <col min="2564" max="2564" width="14.1796875" style="288" customWidth="1"/>
    <col min="2565" max="2565" width="23.453125" style="288" customWidth="1"/>
    <col min="2566" max="2566" width="9.453125" style="288" customWidth="1"/>
    <col min="2567" max="2567" width="11.81640625" style="288" customWidth="1"/>
    <col min="2568" max="2568" width="16" style="288" customWidth="1"/>
    <col min="2569" max="2569" width="12.81640625" style="288" customWidth="1"/>
    <col min="2570" max="2570" width="12.453125" style="288" customWidth="1"/>
    <col min="2571" max="2571" width="17.81640625" style="288" customWidth="1"/>
    <col min="2572" max="2572" width="11.81640625" style="288" customWidth="1"/>
    <col min="2573" max="2573" width="7.81640625" style="288" customWidth="1"/>
    <col min="2574" max="2575" width="8.81640625" style="288" customWidth="1"/>
    <col min="2576" max="2576" width="7.81640625" style="288" customWidth="1"/>
    <col min="2577" max="2578" width="8.81640625" style="288" customWidth="1"/>
    <col min="2579" max="2579" width="19.54296875" style="288" customWidth="1"/>
    <col min="2580" max="2580" width="20.453125" style="288" customWidth="1"/>
    <col min="2581" max="2581" width="15.81640625" style="288" customWidth="1"/>
    <col min="2582" max="2582" width="17.1796875" style="288" customWidth="1"/>
    <col min="2583" max="2583" width="40.81640625" style="288" customWidth="1"/>
    <col min="2584" max="2584" width="24.1796875" style="288" bestFit="1" customWidth="1"/>
    <col min="2585" max="2585" width="12.81640625" style="288" customWidth="1"/>
    <col min="2586" max="2586" width="9.1796875" style="288" bestFit="1" customWidth="1"/>
    <col min="2587" max="2587" width="4.81640625" style="288" bestFit="1" customWidth="1"/>
    <col min="2588" max="2588" width="4.1796875" style="288" customWidth="1"/>
    <col min="2589" max="2590" width="4.81640625" style="288" bestFit="1" customWidth="1"/>
    <col min="2591" max="2816" width="9.1796875" style="288"/>
    <col min="2817" max="2817" width="7.81640625" style="288" bestFit="1" customWidth="1"/>
    <col min="2818" max="2818" width="9.54296875" style="288" bestFit="1" customWidth="1"/>
    <col min="2819" max="2819" width="14.453125" style="288" bestFit="1" customWidth="1"/>
    <col min="2820" max="2820" width="14.1796875" style="288" customWidth="1"/>
    <col min="2821" max="2821" width="23.453125" style="288" customWidth="1"/>
    <col min="2822" max="2822" width="9.453125" style="288" customWidth="1"/>
    <col min="2823" max="2823" width="11.81640625" style="288" customWidth="1"/>
    <col min="2824" max="2824" width="16" style="288" customWidth="1"/>
    <col min="2825" max="2825" width="12.81640625" style="288" customWidth="1"/>
    <col min="2826" max="2826" width="12.453125" style="288" customWidth="1"/>
    <col min="2827" max="2827" width="17.81640625" style="288" customWidth="1"/>
    <col min="2828" max="2828" width="11.81640625" style="288" customWidth="1"/>
    <col min="2829" max="2829" width="7.81640625" style="288" customWidth="1"/>
    <col min="2830" max="2831" width="8.81640625" style="288" customWidth="1"/>
    <col min="2832" max="2832" width="7.81640625" style="288" customWidth="1"/>
    <col min="2833" max="2834" width="8.81640625" style="288" customWidth="1"/>
    <col min="2835" max="2835" width="19.54296875" style="288" customWidth="1"/>
    <col min="2836" max="2836" width="20.453125" style="288" customWidth="1"/>
    <col min="2837" max="2837" width="15.81640625" style="288" customWidth="1"/>
    <col min="2838" max="2838" width="17.1796875" style="288" customWidth="1"/>
    <col min="2839" max="2839" width="40.81640625" style="288" customWidth="1"/>
    <col min="2840" max="2840" width="24.1796875" style="288" bestFit="1" customWidth="1"/>
    <col min="2841" max="2841" width="12.81640625" style="288" customWidth="1"/>
    <col min="2842" max="2842" width="9.1796875" style="288" bestFit="1" customWidth="1"/>
    <col min="2843" max="2843" width="4.81640625" style="288" bestFit="1" customWidth="1"/>
    <col min="2844" max="2844" width="4.1796875" style="288" customWidth="1"/>
    <col min="2845" max="2846" width="4.81640625" style="288" bestFit="1" customWidth="1"/>
    <col min="2847" max="3072" width="9.1796875" style="288"/>
    <col min="3073" max="3073" width="7.81640625" style="288" bestFit="1" customWidth="1"/>
    <col min="3074" max="3074" width="9.54296875" style="288" bestFit="1" customWidth="1"/>
    <col min="3075" max="3075" width="14.453125" style="288" bestFit="1" customWidth="1"/>
    <col min="3076" max="3076" width="14.1796875" style="288" customWidth="1"/>
    <col min="3077" max="3077" width="23.453125" style="288" customWidth="1"/>
    <col min="3078" max="3078" width="9.453125" style="288" customWidth="1"/>
    <col min="3079" max="3079" width="11.81640625" style="288" customWidth="1"/>
    <col min="3080" max="3080" width="16" style="288" customWidth="1"/>
    <col min="3081" max="3081" width="12.81640625" style="288" customWidth="1"/>
    <col min="3082" max="3082" width="12.453125" style="288" customWidth="1"/>
    <col min="3083" max="3083" width="17.81640625" style="288" customWidth="1"/>
    <col min="3084" max="3084" width="11.81640625" style="288" customWidth="1"/>
    <col min="3085" max="3085" width="7.81640625" style="288" customWidth="1"/>
    <col min="3086" max="3087" width="8.81640625" style="288" customWidth="1"/>
    <col min="3088" max="3088" width="7.81640625" style="288" customWidth="1"/>
    <col min="3089" max="3090" width="8.81640625" style="288" customWidth="1"/>
    <col min="3091" max="3091" width="19.54296875" style="288" customWidth="1"/>
    <col min="3092" max="3092" width="20.453125" style="288" customWidth="1"/>
    <col min="3093" max="3093" width="15.81640625" style="288" customWidth="1"/>
    <col min="3094" max="3094" width="17.1796875" style="288" customWidth="1"/>
    <col min="3095" max="3095" width="40.81640625" style="288" customWidth="1"/>
    <col min="3096" max="3096" width="24.1796875" style="288" bestFit="1" customWidth="1"/>
    <col min="3097" max="3097" width="12.81640625" style="288" customWidth="1"/>
    <col min="3098" max="3098" width="9.1796875" style="288" bestFit="1" customWidth="1"/>
    <col min="3099" max="3099" width="4.81640625" style="288" bestFit="1" customWidth="1"/>
    <col min="3100" max="3100" width="4.1796875" style="288" customWidth="1"/>
    <col min="3101" max="3102" width="4.81640625" style="288" bestFit="1" customWidth="1"/>
    <col min="3103" max="3328" width="9.1796875" style="288"/>
    <col min="3329" max="3329" width="7.81640625" style="288" bestFit="1" customWidth="1"/>
    <col min="3330" max="3330" width="9.54296875" style="288" bestFit="1" customWidth="1"/>
    <col min="3331" max="3331" width="14.453125" style="288" bestFit="1" customWidth="1"/>
    <col min="3332" max="3332" width="14.1796875" style="288" customWidth="1"/>
    <col min="3333" max="3333" width="23.453125" style="288" customWidth="1"/>
    <col min="3334" max="3334" width="9.453125" style="288" customWidth="1"/>
    <col min="3335" max="3335" width="11.81640625" style="288" customWidth="1"/>
    <col min="3336" max="3336" width="16" style="288" customWidth="1"/>
    <col min="3337" max="3337" width="12.81640625" style="288" customWidth="1"/>
    <col min="3338" max="3338" width="12.453125" style="288" customWidth="1"/>
    <col min="3339" max="3339" width="17.81640625" style="288" customWidth="1"/>
    <col min="3340" max="3340" width="11.81640625" style="288" customWidth="1"/>
    <col min="3341" max="3341" width="7.81640625" style="288" customWidth="1"/>
    <col min="3342" max="3343" width="8.81640625" style="288" customWidth="1"/>
    <col min="3344" max="3344" width="7.81640625" style="288" customWidth="1"/>
    <col min="3345" max="3346" width="8.81640625" style="288" customWidth="1"/>
    <col min="3347" max="3347" width="19.54296875" style="288" customWidth="1"/>
    <col min="3348" max="3348" width="20.453125" style="288" customWidth="1"/>
    <col min="3349" max="3349" width="15.81640625" style="288" customWidth="1"/>
    <col min="3350" max="3350" width="17.1796875" style="288" customWidth="1"/>
    <col min="3351" max="3351" width="40.81640625" style="288" customWidth="1"/>
    <col min="3352" max="3352" width="24.1796875" style="288" bestFit="1" customWidth="1"/>
    <col min="3353" max="3353" width="12.81640625" style="288" customWidth="1"/>
    <col min="3354" max="3354" width="9.1796875" style="288" bestFit="1" customWidth="1"/>
    <col min="3355" max="3355" width="4.81640625" style="288" bestFit="1" customWidth="1"/>
    <col min="3356" max="3356" width="4.1796875" style="288" customWidth="1"/>
    <col min="3357" max="3358" width="4.81640625" style="288" bestFit="1" customWidth="1"/>
    <col min="3359" max="3584" width="9.1796875" style="288"/>
    <col min="3585" max="3585" width="7.81640625" style="288" bestFit="1" customWidth="1"/>
    <col min="3586" max="3586" width="9.54296875" style="288" bestFit="1" customWidth="1"/>
    <col min="3587" max="3587" width="14.453125" style="288" bestFit="1" customWidth="1"/>
    <col min="3588" max="3588" width="14.1796875" style="288" customWidth="1"/>
    <col min="3589" max="3589" width="23.453125" style="288" customWidth="1"/>
    <col min="3590" max="3590" width="9.453125" style="288" customWidth="1"/>
    <col min="3591" max="3591" width="11.81640625" style="288" customWidth="1"/>
    <col min="3592" max="3592" width="16" style="288" customWidth="1"/>
    <col min="3593" max="3593" width="12.81640625" style="288" customWidth="1"/>
    <col min="3594" max="3594" width="12.453125" style="288" customWidth="1"/>
    <col min="3595" max="3595" width="17.81640625" style="288" customWidth="1"/>
    <col min="3596" max="3596" width="11.81640625" style="288" customWidth="1"/>
    <col min="3597" max="3597" width="7.81640625" style="288" customWidth="1"/>
    <col min="3598" max="3599" width="8.81640625" style="288" customWidth="1"/>
    <col min="3600" max="3600" width="7.81640625" style="288" customWidth="1"/>
    <col min="3601" max="3602" width="8.81640625" style="288" customWidth="1"/>
    <col min="3603" max="3603" width="19.54296875" style="288" customWidth="1"/>
    <col min="3604" max="3604" width="20.453125" style="288" customWidth="1"/>
    <col min="3605" max="3605" width="15.81640625" style="288" customWidth="1"/>
    <col min="3606" max="3606" width="17.1796875" style="288" customWidth="1"/>
    <col min="3607" max="3607" width="40.81640625" style="288" customWidth="1"/>
    <col min="3608" max="3608" width="24.1796875" style="288" bestFit="1" customWidth="1"/>
    <col min="3609" max="3609" width="12.81640625" style="288" customWidth="1"/>
    <col min="3610" max="3610" width="9.1796875" style="288" bestFit="1" customWidth="1"/>
    <col min="3611" max="3611" width="4.81640625" style="288" bestFit="1" customWidth="1"/>
    <col min="3612" max="3612" width="4.1796875" style="288" customWidth="1"/>
    <col min="3613" max="3614" width="4.81640625" style="288" bestFit="1" customWidth="1"/>
    <col min="3615" max="3840" width="9.1796875" style="288"/>
    <col min="3841" max="3841" width="7.81640625" style="288" bestFit="1" customWidth="1"/>
    <col min="3842" max="3842" width="9.54296875" style="288" bestFit="1" customWidth="1"/>
    <col min="3843" max="3843" width="14.453125" style="288" bestFit="1" customWidth="1"/>
    <col min="3844" max="3844" width="14.1796875" style="288" customWidth="1"/>
    <col min="3845" max="3845" width="23.453125" style="288" customWidth="1"/>
    <col min="3846" max="3846" width="9.453125" style="288" customWidth="1"/>
    <col min="3847" max="3847" width="11.81640625" style="288" customWidth="1"/>
    <col min="3848" max="3848" width="16" style="288" customWidth="1"/>
    <col min="3849" max="3849" width="12.81640625" style="288" customWidth="1"/>
    <col min="3850" max="3850" width="12.453125" style="288" customWidth="1"/>
    <col min="3851" max="3851" width="17.81640625" style="288" customWidth="1"/>
    <col min="3852" max="3852" width="11.81640625" style="288" customWidth="1"/>
    <col min="3853" max="3853" width="7.81640625" style="288" customWidth="1"/>
    <col min="3854" max="3855" width="8.81640625" style="288" customWidth="1"/>
    <col min="3856" max="3856" width="7.81640625" style="288" customWidth="1"/>
    <col min="3857" max="3858" width="8.81640625" style="288" customWidth="1"/>
    <col min="3859" max="3859" width="19.54296875" style="288" customWidth="1"/>
    <col min="3860" max="3860" width="20.453125" style="288" customWidth="1"/>
    <col min="3861" max="3861" width="15.81640625" style="288" customWidth="1"/>
    <col min="3862" max="3862" width="17.1796875" style="288" customWidth="1"/>
    <col min="3863" max="3863" width="40.81640625" style="288" customWidth="1"/>
    <col min="3864" max="3864" width="24.1796875" style="288" bestFit="1" customWidth="1"/>
    <col min="3865" max="3865" width="12.81640625" style="288" customWidth="1"/>
    <col min="3866" max="3866" width="9.1796875" style="288" bestFit="1" customWidth="1"/>
    <col min="3867" max="3867" width="4.81640625" style="288" bestFit="1" customWidth="1"/>
    <col min="3868" max="3868" width="4.1796875" style="288" customWidth="1"/>
    <col min="3869" max="3870" width="4.81640625" style="288" bestFit="1" customWidth="1"/>
    <col min="3871" max="4096" width="9.1796875" style="288"/>
    <col min="4097" max="4097" width="7.81640625" style="288" bestFit="1" customWidth="1"/>
    <col min="4098" max="4098" width="9.54296875" style="288" bestFit="1" customWidth="1"/>
    <col min="4099" max="4099" width="14.453125" style="288" bestFit="1" customWidth="1"/>
    <col min="4100" max="4100" width="14.1796875" style="288" customWidth="1"/>
    <col min="4101" max="4101" width="23.453125" style="288" customWidth="1"/>
    <col min="4102" max="4102" width="9.453125" style="288" customWidth="1"/>
    <col min="4103" max="4103" width="11.81640625" style="288" customWidth="1"/>
    <col min="4104" max="4104" width="16" style="288" customWidth="1"/>
    <col min="4105" max="4105" width="12.81640625" style="288" customWidth="1"/>
    <col min="4106" max="4106" width="12.453125" style="288" customWidth="1"/>
    <col min="4107" max="4107" width="17.81640625" style="288" customWidth="1"/>
    <col min="4108" max="4108" width="11.81640625" style="288" customWidth="1"/>
    <col min="4109" max="4109" width="7.81640625" style="288" customWidth="1"/>
    <col min="4110" max="4111" width="8.81640625" style="288" customWidth="1"/>
    <col min="4112" max="4112" width="7.81640625" style="288" customWidth="1"/>
    <col min="4113" max="4114" width="8.81640625" style="288" customWidth="1"/>
    <col min="4115" max="4115" width="19.54296875" style="288" customWidth="1"/>
    <col min="4116" max="4116" width="20.453125" style="288" customWidth="1"/>
    <col min="4117" max="4117" width="15.81640625" style="288" customWidth="1"/>
    <col min="4118" max="4118" width="17.1796875" style="288" customWidth="1"/>
    <col min="4119" max="4119" width="40.81640625" style="288" customWidth="1"/>
    <col min="4120" max="4120" width="24.1796875" style="288" bestFit="1" customWidth="1"/>
    <col min="4121" max="4121" width="12.81640625" style="288" customWidth="1"/>
    <col min="4122" max="4122" width="9.1796875" style="288" bestFit="1" customWidth="1"/>
    <col min="4123" max="4123" width="4.81640625" style="288" bestFit="1" customWidth="1"/>
    <col min="4124" max="4124" width="4.1796875" style="288" customWidth="1"/>
    <col min="4125" max="4126" width="4.81640625" style="288" bestFit="1" customWidth="1"/>
    <col min="4127" max="4352" width="9.1796875" style="288"/>
    <col min="4353" max="4353" width="7.81640625" style="288" bestFit="1" customWidth="1"/>
    <col min="4354" max="4354" width="9.54296875" style="288" bestFit="1" customWidth="1"/>
    <col min="4355" max="4355" width="14.453125" style="288" bestFit="1" customWidth="1"/>
    <col min="4356" max="4356" width="14.1796875" style="288" customWidth="1"/>
    <col min="4357" max="4357" width="23.453125" style="288" customWidth="1"/>
    <col min="4358" max="4358" width="9.453125" style="288" customWidth="1"/>
    <col min="4359" max="4359" width="11.81640625" style="288" customWidth="1"/>
    <col min="4360" max="4360" width="16" style="288" customWidth="1"/>
    <col min="4361" max="4361" width="12.81640625" style="288" customWidth="1"/>
    <col min="4362" max="4362" width="12.453125" style="288" customWidth="1"/>
    <col min="4363" max="4363" width="17.81640625" style="288" customWidth="1"/>
    <col min="4364" max="4364" width="11.81640625" style="288" customWidth="1"/>
    <col min="4365" max="4365" width="7.81640625" style="288" customWidth="1"/>
    <col min="4366" max="4367" width="8.81640625" style="288" customWidth="1"/>
    <col min="4368" max="4368" width="7.81640625" style="288" customWidth="1"/>
    <col min="4369" max="4370" width="8.81640625" style="288" customWidth="1"/>
    <col min="4371" max="4371" width="19.54296875" style="288" customWidth="1"/>
    <col min="4372" max="4372" width="20.453125" style="288" customWidth="1"/>
    <col min="4373" max="4373" width="15.81640625" style="288" customWidth="1"/>
    <col min="4374" max="4374" width="17.1796875" style="288" customWidth="1"/>
    <col min="4375" max="4375" width="40.81640625" style="288" customWidth="1"/>
    <col min="4376" max="4376" width="24.1796875" style="288" bestFit="1" customWidth="1"/>
    <col min="4377" max="4377" width="12.81640625" style="288" customWidth="1"/>
    <col min="4378" max="4378" width="9.1796875" style="288" bestFit="1" customWidth="1"/>
    <col min="4379" max="4379" width="4.81640625" style="288" bestFit="1" customWidth="1"/>
    <col min="4380" max="4380" width="4.1796875" style="288" customWidth="1"/>
    <col min="4381" max="4382" width="4.81640625" style="288" bestFit="1" customWidth="1"/>
    <col min="4383" max="4608" width="9.1796875" style="288"/>
    <col min="4609" max="4609" width="7.81640625" style="288" bestFit="1" customWidth="1"/>
    <col min="4610" max="4610" width="9.54296875" style="288" bestFit="1" customWidth="1"/>
    <col min="4611" max="4611" width="14.453125" style="288" bestFit="1" customWidth="1"/>
    <col min="4612" max="4612" width="14.1796875" style="288" customWidth="1"/>
    <col min="4613" max="4613" width="23.453125" style="288" customWidth="1"/>
    <col min="4614" max="4614" width="9.453125" style="288" customWidth="1"/>
    <col min="4615" max="4615" width="11.81640625" style="288" customWidth="1"/>
    <col min="4616" max="4616" width="16" style="288" customWidth="1"/>
    <col min="4617" max="4617" width="12.81640625" style="288" customWidth="1"/>
    <col min="4618" max="4618" width="12.453125" style="288" customWidth="1"/>
    <col min="4619" max="4619" width="17.81640625" style="288" customWidth="1"/>
    <col min="4620" max="4620" width="11.81640625" style="288" customWidth="1"/>
    <col min="4621" max="4621" width="7.81640625" style="288" customWidth="1"/>
    <col min="4622" max="4623" width="8.81640625" style="288" customWidth="1"/>
    <col min="4624" max="4624" width="7.81640625" style="288" customWidth="1"/>
    <col min="4625" max="4626" width="8.81640625" style="288" customWidth="1"/>
    <col min="4627" max="4627" width="19.54296875" style="288" customWidth="1"/>
    <col min="4628" max="4628" width="20.453125" style="288" customWidth="1"/>
    <col min="4629" max="4629" width="15.81640625" style="288" customWidth="1"/>
    <col min="4630" max="4630" width="17.1796875" style="288" customWidth="1"/>
    <col min="4631" max="4631" width="40.81640625" style="288" customWidth="1"/>
    <col min="4632" max="4632" width="24.1796875" style="288" bestFit="1" customWidth="1"/>
    <col min="4633" max="4633" width="12.81640625" style="288" customWidth="1"/>
    <col min="4634" max="4634" width="9.1796875" style="288" bestFit="1" customWidth="1"/>
    <col min="4635" max="4635" width="4.81640625" style="288" bestFit="1" customWidth="1"/>
    <col min="4636" max="4636" width="4.1796875" style="288" customWidth="1"/>
    <col min="4637" max="4638" width="4.81640625" style="288" bestFit="1" customWidth="1"/>
    <col min="4639" max="4864" width="9.1796875" style="288"/>
    <col min="4865" max="4865" width="7.81640625" style="288" bestFit="1" customWidth="1"/>
    <col min="4866" max="4866" width="9.54296875" style="288" bestFit="1" customWidth="1"/>
    <col min="4867" max="4867" width="14.453125" style="288" bestFit="1" customWidth="1"/>
    <col min="4868" max="4868" width="14.1796875" style="288" customWidth="1"/>
    <col min="4869" max="4869" width="23.453125" style="288" customWidth="1"/>
    <col min="4870" max="4870" width="9.453125" style="288" customWidth="1"/>
    <col min="4871" max="4871" width="11.81640625" style="288" customWidth="1"/>
    <col min="4872" max="4872" width="16" style="288" customWidth="1"/>
    <col min="4873" max="4873" width="12.81640625" style="288" customWidth="1"/>
    <col min="4874" max="4874" width="12.453125" style="288" customWidth="1"/>
    <col min="4875" max="4875" width="17.81640625" style="288" customWidth="1"/>
    <col min="4876" max="4876" width="11.81640625" style="288" customWidth="1"/>
    <col min="4877" max="4877" width="7.81640625" style="288" customWidth="1"/>
    <col min="4878" max="4879" width="8.81640625" style="288" customWidth="1"/>
    <col min="4880" max="4880" width="7.81640625" style="288" customWidth="1"/>
    <col min="4881" max="4882" width="8.81640625" style="288" customWidth="1"/>
    <col min="4883" max="4883" width="19.54296875" style="288" customWidth="1"/>
    <col min="4884" max="4884" width="20.453125" style="288" customWidth="1"/>
    <col min="4885" max="4885" width="15.81640625" style="288" customWidth="1"/>
    <col min="4886" max="4886" width="17.1796875" style="288" customWidth="1"/>
    <col min="4887" max="4887" width="40.81640625" style="288" customWidth="1"/>
    <col min="4888" max="4888" width="24.1796875" style="288" bestFit="1" customWidth="1"/>
    <col min="4889" max="4889" width="12.81640625" style="288" customWidth="1"/>
    <col min="4890" max="4890" width="9.1796875" style="288" bestFit="1" customWidth="1"/>
    <col min="4891" max="4891" width="4.81640625" style="288" bestFit="1" customWidth="1"/>
    <col min="4892" max="4892" width="4.1796875" style="288" customWidth="1"/>
    <col min="4893" max="4894" width="4.81640625" style="288" bestFit="1" customWidth="1"/>
    <col min="4895" max="5120" width="9.1796875" style="288"/>
    <col min="5121" max="5121" width="7.81640625" style="288" bestFit="1" customWidth="1"/>
    <col min="5122" max="5122" width="9.54296875" style="288" bestFit="1" customWidth="1"/>
    <col min="5123" max="5123" width="14.453125" style="288" bestFit="1" customWidth="1"/>
    <col min="5124" max="5124" width="14.1796875" style="288" customWidth="1"/>
    <col min="5125" max="5125" width="23.453125" style="288" customWidth="1"/>
    <col min="5126" max="5126" width="9.453125" style="288" customWidth="1"/>
    <col min="5127" max="5127" width="11.81640625" style="288" customWidth="1"/>
    <col min="5128" max="5128" width="16" style="288" customWidth="1"/>
    <col min="5129" max="5129" width="12.81640625" style="288" customWidth="1"/>
    <col min="5130" max="5130" width="12.453125" style="288" customWidth="1"/>
    <col min="5131" max="5131" width="17.81640625" style="288" customWidth="1"/>
    <col min="5132" max="5132" width="11.81640625" style="288" customWidth="1"/>
    <col min="5133" max="5133" width="7.81640625" style="288" customWidth="1"/>
    <col min="5134" max="5135" width="8.81640625" style="288" customWidth="1"/>
    <col min="5136" max="5136" width="7.81640625" style="288" customWidth="1"/>
    <col min="5137" max="5138" width="8.81640625" style="288" customWidth="1"/>
    <col min="5139" max="5139" width="19.54296875" style="288" customWidth="1"/>
    <col min="5140" max="5140" width="20.453125" style="288" customWidth="1"/>
    <col min="5141" max="5141" width="15.81640625" style="288" customWidth="1"/>
    <col min="5142" max="5142" width="17.1796875" style="288" customWidth="1"/>
    <col min="5143" max="5143" width="40.81640625" style="288" customWidth="1"/>
    <col min="5144" max="5144" width="24.1796875" style="288" bestFit="1" customWidth="1"/>
    <col min="5145" max="5145" width="12.81640625" style="288" customWidth="1"/>
    <col min="5146" max="5146" width="9.1796875" style="288" bestFit="1" customWidth="1"/>
    <col min="5147" max="5147" width="4.81640625" style="288" bestFit="1" customWidth="1"/>
    <col min="5148" max="5148" width="4.1796875" style="288" customWidth="1"/>
    <col min="5149" max="5150" width="4.81640625" style="288" bestFit="1" customWidth="1"/>
    <col min="5151" max="5376" width="9.1796875" style="288"/>
    <col min="5377" max="5377" width="7.81640625" style="288" bestFit="1" customWidth="1"/>
    <col min="5378" max="5378" width="9.54296875" style="288" bestFit="1" customWidth="1"/>
    <col min="5379" max="5379" width="14.453125" style="288" bestFit="1" customWidth="1"/>
    <col min="5380" max="5380" width="14.1796875" style="288" customWidth="1"/>
    <col min="5381" max="5381" width="23.453125" style="288" customWidth="1"/>
    <col min="5382" max="5382" width="9.453125" style="288" customWidth="1"/>
    <col min="5383" max="5383" width="11.81640625" style="288" customWidth="1"/>
    <col min="5384" max="5384" width="16" style="288" customWidth="1"/>
    <col min="5385" max="5385" width="12.81640625" style="288" customWidth="1"/>
    <col min="5386" max="5386" width="12.453125" style="288" customWidth="1"/>
    <col min="5387" max="5387" width="17.81640625" style="288" customWidth="1"/>
    <col min="5388" max="5388" width="11.81640625" style="288" customWidth="1"/>
    <col min="5389" max="5389" width="7.81640625" style="288" customWidth="1"/>
    <col min="5390" max="5391" width="8.81640625" style="288" customWidth="1"/>
    <col min="5392" max="5392" width="7.81640625" style="288" customWidth="1"/>
    <col min="5393" max="5394" width="8.81640625" style="288" customWidth="1"/>
    <col min="5395" max="5395" width="19.54296875" style="288" customWidth="1"/>
    <col min="5396" max="5396" width="20.453125" style="288" customWidth="1"/>
    <col min="5397" max="5397" width="15.81640625" style="288" customWidth="1"/>
    <col min="5398" max="5398" width="17.1796875" style="288" customWidth="1"/>
    <col min="5399" max="5399" width="40.81640625" style="288" customWidth="1"/>
    <col min="5400" max="5400" width="24.1796875" style="288" bestFit="1" customWidth="1"/>
    <col min="5401" max="5401" width="12.81640625" style="288" customWidth="1"/>
    <col min="5402" max="5402" width="9.1796875" style="288" bestFit="1" customWidth="1"/>
    <col min="5403" max="5403" width="4.81640625" style="288" bestFit="1" customWidth="1"/>
    <col min="5404" max="5404" width="4.1796875" style="288" customWidth="1"/>
    <col min="5405" max="5406" width="4.81640625" style="288" bestFit="1" customWidth="1"/>
    <col min="5407" max="5632" width="9.1796875" style="288"/>
    <col min="5633" max="5633" width="7.81640625" style="288" bestFit="1" customWidth="1"/>
    <col min="5634" max="5634" width="9.54296875" style="288" bestFit="1" customWidth="1"/>
    <col min="5635" max="5635" width="14.453125" style="288" bestFit="1" customWidth="1"/>
    <col min="5636" max="5636" width="14.1796875" style="288" customWidth="1"/>
    <col min="5637" max="5637" width="23.453125" style="288" customWidth="1"/>
    <col min="5638" max="5638" width="9.453125" style="288" customWidth="1"/>
    <col min="5639" max="5639" width="11.81640625" style="288" customWidth="1"/>
    <col min="5640" max="5640" width="16" style="288" customWidth="1"/>
    <col min="5641" max="5641" width="12.81640625" style="288" customWidth="1"/>
    <col min="5642" max="5642" width="12.453125" style="288" customWidth="1"/>
    <col min="5643" max="5643" width="17.81640625" style="288" customWidth="1"/>
    <col min="5644" max="5644" width="11.81640625" style="288" customWidth="1"/>
    <col min="5645" max="5645" width="7.81640625" style="288" customWidth="1"/>
    <col min="5646" max="5647" width="8.81640625" style="288" customWidth="1"/>
    <col min="5648" max="5648" width="7.81640625" style="288" customWidth="1"/>
    <col min="5649" max="5650" width="8.81640625" style="288" customWidth="1"/>
    <col min="5651" max="5651" width="19.54296875" style="288" customWidth="1"/>
    <col min="5652" max="5652" width="20.453125" style="288" customWidth="1"/>
    <col min="5653" max="5653" width="15.81640625" style="288" customWidth="1"/>
    <col min="5654" max="5654" width="17.1796875" style="288" customWidth="1"/>
    <col min="5655" max="5655" width="40.81640625" style="288" customWidth="1"/>
    <col min="5656" max="5656" width="24.1796875" style="288" bestFit="1" customWidth="1"/>
    <col min="5657" max="5657" width="12.81640625" style="288" customWidth="1"/>
    <col min="5658" max="5658" width="9.1796875" style="288" bestFit="1" customWidth="1"/>
    <col min="5659" max="5659" width="4.81640625" style="288" bestFit="1" customWidth="1"/>
    <col min="5660" max="5660" width="4.1796875" style="288" customWidth="1"/>
    <col min="5661" max="5662" width="4.81640625" style="288" bestFit="1" customWidth="1"/>
    <col min="5663" max="5888" width="9.1796875" style="288"/>
    <col min="5889" max="5889" width="7.81640625" style="288" bestFit="1" customWidth="1"/>
    <col min="5890" max="5890" width="9.54296875" style="288" bestFit="1" customWidth="1"/>
    <col min="5891" max="5891" width="14.453125" style="288" bestFit="1" customWidth="1"/>
    <col min="5892" max="5892" width="14.1796875" style="288" customWidth="1"/>
    <col min="5893" max="5893" width="23.453125" style="288" customWidth="1"/>
    <col min="5894" max="5894" width="9.453125" style="288" customWidth="1"/>
    <col min="5895" max="5895" width="11.81640625" style="288" customWidth="1"/>
    <col min="5896" max="5896" width="16" style="288" customWidth="1"/>
    <col min="5897" max="5897" width="12.81640625" style="288" customWidth="1"/>
    <col min="5898" max="5898" width="12.453125" style="288" customWidth="1"/>
    <col min="5899" max="5899" width="17.81640625" style="288" customWidth="1"/>
    <col min="5900" max="5900" width="11.81640625" style="288" customWidth="1"/>
    <col min="5901" max="5901" width="7.81640625" style="288" customWidth="1"/>
    <col min="5902" max="5903" width="8.81640625" style="288" customWidth="1"/>
    <col min="5904" max="5904" width="7.81640625" style="288" customWidth="1"/>
    <col min="5905" max="5906" width="8.81640625" style="288" customWidth="1"/>
    <col min="5907" max="5907" width="19.54296875" style="288" customWidth="1"/>
    <col min="5908" max="5908" width="20.453125" style="288" customWidth="1"/>
    <col min="5909" max="5909" width="15.81640625" style="288" customWidth="1"/>
    <col min="5910" max="5910" width="17.1796875" style="288" customWidth="1"/>
    <col min="5911" max="5911" width="40.81640625" style="288" customWidth="1"/>
    <col min="5912" max="5912" width="24.1796875" style="288" bestFit="1" customWidth="1"/>
    <col min="5913" max="5913" width="12.81640625" style="288" customWidth="1"/>
    <col min="5914" max="5914" width="9.1796875" style="288" bestFit="1" customWidth="1"/>
    <col min="5915" max="5915" width="4.81640625" style="288" bestFit="1" customWidth="1"/>
    <col min="5916" max="5916" width="4.1796875" style="288" customWidth="1"/>
    <col min="5917" max="5918" width="4.81640625" style="288" bestFit="1" customWidth="1"/>
    <col min="5919" max="6144" width="9.1796875" style="288"/>
    <col min="6145" max="6145" width="7.81640625" style="288" bestFit="1" customWidth="1"/>
    <col min="6146" max="6146" width="9.54296875" style="288" bestFit="1" customWidth="1"/>
    <col min="6147" max="6147" width="14.453125" style="288" bestFit="1" customWidth="1"/>
    <col min="6148" max="6148" width="14.1796875" style="288" customWidth="1"/>
    <col min="6149" max="6149" width="23.453125" style="288" customWidth="1"/>
    <col min="6150" max="6150" width="9.453125" style="288" customWidth="1"/>
    <col min="6151" max="6151" width="11.81640625" style="288" customWidth="1"/>
    <col min="6152" max="6152" width="16" style="288" customWidth="1"/>
    <col min="6153" max="6153" width="12.81640625" style="288" customWidth="1"/>
    <col min="6154" max="6154" width="12.453125" style="288" customWidth="1"/>
    <col min="6155" max="6155" width="17.81640625" style="288" customWidth="1"/>
    <col min="6156" max="6156" width="11.81640625" style="288" customWidth="1"/>
    <col min="6157" max="6157" width="7.81640625" style="288" customWidth="1"/>
    <col min="6158" max="6159" width="8.81640625" style="288" customWidth="1"/>
    <col min="6160" max="6160" width="7.81640625" style="288" customWidth="1"/>
    <col min="6161" max="6162" width="8.81640625" style="288" customWidth="1"/>
    <col min="6163" max="6163" width="19.54296875" style="288" customWidth="1"/>
    <col min="6164" max="6164" width="20.453125" style="288" customWidth="1"/>
    <col min="6165" max="6165" width="15.81640625" style="288" customWidth="1"/>
    <col min="6166" max="6166" width="17.1796875" style="288" customWidth="1"/>
    <col min="6167" max="6167" width="40.81640625" style="288" customWidth="1"/>
    <col min="6168" max="6168" width="24.1796875" style="288" bestFit="1" customWidth="1"/>
    <col min="6169" max="6169" width="12.81640625" style="288" customWidth="1"/>
    <col min="6170" max="6170" width="9.1796875" style="288" bestFit="1" customWidth="1"/>
    <col min="6171" max="6171" width="4.81640625" style="288" bestFit="1" customWidth="1"/>
    <col min="6172" max="6172" width="4.1796875" style="288" customWidth="1"/>
    <col min="6173" max="6174" width="4.81640625" style="288" bestFit="1" customWidth="1"/>
    <col min="6175" max="6400" width="9.1796875" style="288"/>
    <col min="6401" max="6401" width="7.81640625" style="288" bestFit="1" customWidth="1"/>
    <col min="6402" max="6402" width="9.54296875" style="288" bestFit="1" customWidth="1"/>
    <col min="6403" max="6403" width="14.453125" style="288" bestFit="1" customWidth="1"/>
    <col min="6404" max="6404" width="14.1796875" style="288" customWidth="1"/>
    <col min="6405" max="6405" width="23.453125" style="288" customWidth="1"/>
    <col min="6406" max="6406" width="9.453125" style="288" customWidth="1"/>
    <col min="6407" max="6407" width="11.81640625" style="288" customWidth="1"/>
    <col min="6408" max="6408" width="16" style="288" customWidth="1"/>
    <col min="6409" max="6409" width="12.81640625" style="288" customWidth="1"/>
    <col min="6410" max="6410" width="12.453125" style="288" customWidth="1"/>
    <col min="6411" max="6411" width="17.81640625" style="288" customWidth="1"/>
    <col min="6412" max="6412" width="11.81640625" style="288" customWidth="1"/>
    <col min="6413" max="6413" width="7.81640625" style="288" customWidth="1"/>
    <col min="6414" max="6415" width="8.81640625" style="288" customWidth="1"/>
    <col min="6416" max="6416" width="7.81640625" style="288" customWidth="1"/>
    <col min="6417" max="6418" width="8.81640625" style="288" customWidth="1"/>
    <col min="6419" max="6419" width="19.54296875" style="288" customWidth="1"/>
    <col min="6420" max="6420" width="20.453125" style="288" customWidth="1"/>
    <col min="6421" max="6421" width="15.81640625" style="288" customWidth="1"/>
    <col min="6422" max="6422" width="17.1796875" style="288" customWidth="1"/>
    <col min="6423" max="6423" width="40.81640625" style="288" customWidth="1"/>
    <col min="6424" max="6424" width="24.1796875" style="288" bestFit="1" customWidth="1"/>
    <col min="6425" max="6425" width="12.81640625" style="288" customWidth="1"/>
    <col min="6426" max="6426" width="9.1796875" style="288" bestFit="1" customWidth="1"/>
    <col min="6427" max="6427" width="4.81640625" style="288" bestFit="1" customWidth="1"/>
    <col min="6428" max="6428" width="4.1796875" style="288" customWidth="1"/>
    <col min="6429" max="6430" width="4.81640625" style="288" bestFit="1" customWidth="1"/>
    <col min="6431" max="6656" width="9.1796875" style="288"/>
    <col min="6657" max="6657" width="7.81640625" style="288" bestFit="1" customWidth="1"/>
    <col min="6658" max="6658" width="9.54296875" style="288" bestFit="1" customWidth="1"/>
    <col min="6659" max="6659" width="14.453125" style="288" bestFit="1" customWidth="1"/>
    <col min="6660" max="6660" width="14.1796875" style="288" customWidth="1"/>
    <col min="6661" max="6661" width="23.453125" style="288" customWidth="1"/>
    <col min="6662" max="6662" width="9.453125" style="288" customWidth="1"/>
    <col min="6663" max="6663" width="11.81640625" style="288" customWidth="1"/>
    <col min="6664" max="6664" width="16" style="288" customWidth="1"/>
    <col min="6665" max="6665" width="12.81640625" style="288" customWidth="1"/>
    <col min="6666" max="6666" width="12.453125" style="288" customWidth="1"/>
    <col min="6667" max="6667" width="17.81640625" style="288" customWidth="1"/>
    <col min="6668" max="6668" width="11.81640625" style="288" customWidth="1"/>
    <col min="6669" max="6669" width="7.81640625" style="288" customWidth="1"/>
    <col min="6670" max="6671" width="8.81640625" style="288" customWidth="1"/>
    <col min="6672" max="6672" width="7.81640625" style="288" customWidth="1"/>
    <col min="6673" max="6674" width="8.81640625" style="288" customWidth="1"/>
    <col min="6675" max="6675" width="19.54296875" style="288" customWidth="1"/>
    <col min="6676" max="6676" width="20.453125" style="288" customWidth="1"/>
    <col min="6677" max="6677" width="15.81640625" style="288" customWidth="1"/>
    <col min="6678" max="6678" width="17.1796875" style="288" customWidth="1"/>
    <col min="6679" max="6679" width="40.81640625" style="288" customWidth="1"/>
    <col min="6680" max="6680" width="24.1796875" style="288" bestFit="1" customWidth="1"/>
    <col min="6681" max="6681" width="12.81640625" style="288" customWidth="1"/>
    <col min="6682" max="6682" width="9.1796875" style="288" bestFit="1" customWidth="1"/>
    <col min="6683" max="6683" width="4.81640625" style="288" bestFit="1" customWidth="1"/>
    <col min="6684" max="6684" width="4.1796875" style="288" customWidth="1"/>
    <col min="6685" max="6686" width="4.81640625" style="288" bestFit="1" customWidth="1"/>
    <col min="6687" max="6912" width="9.1796875" style="288"/>
    <col min="6913" max="6913" width="7.81640625" style="288" bestFit="1" customWidth="1"/>
    <col min="6914" max="6914" width="9.54296875" style="288" bestFit="1" customWidth="1"/>
    <col min="6915" max="6915" width="14.453125" style="288" bestFit="1" customWidth="1"/>
    <col min="6916" max="6916" width="14.1796875" style="288" customWidth="1"/>
    <col min="6917" max="6917" width="23.453125" style="288" customWidth="1"/>
    <col min="6918" max="6918" width="9.453125" style="288" customWidth="1"/>
    <col min="6919" max="6919" width="11.81640625" style="288" customWidth="1"/>
    <col min="6920" max="6920" width="16" style="288" customWidth="1"/>
    <col min="6921" max="6921" width="12.81640625" style="288" customWidth="1"/>
    <col min="6922" max="6922" width="12.453125" style="288" customWidth="1"/>
    <col min="6923" max="6923" width="17.81640625" style="288" customWidth="1"/>
    <col min="6924" max="6924" width="11.81640625" style="288" customWidth="1"/>
    <col min="6925" max="6925" width="7.81640625" style="288" customWidth="1"/>
    <col min="6926" max="6927" width="8.81640625" style="288" customWidth="1"/>
    <col min="6928" max="6928" width="7.81640625" style="288" customWidth="1"/>
    <col min="6929" max="6930" width="8.81640625" style="288" customWidth="1"/>
    <col min="6931" max="6931" width="19.54296875" style="288" customWidth="1"/>
    <col min="6932" max="6932" width="20.453125" style="288" customWidth="1"/>
    <col min="6933" max="6933" width="15.81640625" style="288" customWidth="1"/>
    <col min="6934" max="6934" width="17.1796875" style="288" customWidth="1"/>
    <col min="6935" max="6935" width="40.81640625" style="288" customWidth="1"/>
    <col min="6936" max="6936" width="24.1796875" style="288" bestFit="1" customWidth="1"/>
    <col min="6937" max="6937" width="12.81640625" style="288" customWidth="1"/>
    <col min="6938" max="6938" width="9.1796875" style="288" bestFit="1" customWidth="1"/>
    <col min="6939" max="6939" width="4.81640625" style="288" bestFit="1" customWidth="1"/>
    <col min="6940" max="6940" width="4.1796875" style="288" customWidth="1"/>
    <col min="6941" max="6942" width="4.81640625" style="288" bestFit="1" customWidth="1"/>
    <col min="6943" max="7168" width="9.1796875" style="288"/>
    <col min="7169" max="7169" width="7.81640625" style="288" bestFit="1" customWidth="1"/>
    <col min="7170" max="7170" width="9.54296875" style="288" bestFit="1" customWidth="1"/>
    <col min="7171" max="7171" width="14.453125" style="288" bestFit="1" customWidth="1"/>
    <col min="7172" max="7172" width="14.1796875" style="288" customWidth="1"/>
    <col min="7173" max="7173" width="23.453125" style="288" customWidth="1"/>
    <col min="7174" max="7174" width="9.453125" style="288" customWidth="1"/>
    <col min="7175" max="7175" width="11.81640625" style="288" customWidth="1"/>
    <col min="7176" max="7176" width="16" style="288" customWidth="1"/>
    <col min="7177" max="7177" width="12.81640625" style="288" customWidth="1"/>
    <col min="7178" max="7178" width="12.453125" style="288" customWidth="1"/>
    <col min="7179" max="7179" width="17.81640625" style="288" customWidth="1"/>
    <col min="7180" max="7180" width="11.81640625" style="288" customWidth="1"/>
    <col min="7181" max="7181" width="7.81640625" style="288" customWidth="1"/>
    <col min="7182" max="7183" width="8.81640625" style="288" customWidth="1"/>
    <col min="7184" max="7184" width="7.81640625" style="288" customWidth="1"/>
    <col min="7185" max="7186" width="8.81640625" style="288" customWidth="1"/>
    <col min="7187" max="7187" width="19.54296875" style="288" customWidth="1"/>
    <col min="7188" max="7188" width="20.453125" style="288" customWidth="1"/>
    <col min="7189" max="7189" width="15.81640625" style="288" customWidth="1"/>
    <col min="7190" max="7190" width="17.1796875" style="288" customWidth="1"/>
    <col min="7191" max="7191" width="40.81640625" style="288" customWidth="1"/>
    <col min="7192" max="7192" width="24.1796875" style="288" bestFit="1" customWidth="1"/>
    <col min="7193" max="7193" width="12.81640625" style="288" customWidth="1"/>
    <col min="7194" max="7194" width="9.1796875" style="288" bestFit="1" customWidth="1"/>
    <col min="7195" max="7195" width="4.81640625" style="288" bestFit="1" customWidth="1"/>
    <col min="7196" max="7196" width="4.1796875" style="288" customWidth="1"/>
    <col min="7197" max="7198" width="4.81640625" style="288" bestFit="1" customWidth="1"/>
    <col min="7199" max="7424" width="9.1796875" style="288"/>
    <col min="7425" max="7425" width="7.81640625" style="288" bestFit="1" customWidth="1"/>
    <col min="7426" max="7426" width="9.54296875" style="288" bestFit="1" customWidth="1"/>
    <col min="7427" max="7427" width="14.453125" style="288" bestFit="1" customWidth="1"/>
    <col min="7428" max="7428" width="14.1796875" style="288" customWidth="1"/>
    <col min="7429" max="7429" width="23.453125" style="288" customWidth="1"/>
    <col min="7430" max="7430" width="9.453125" style="288" customWidth="1"/>
    <col min="7431" max="7431" width="11.81640625" style="288" customWidth="1"/>
    <col min="7432" max="7432" width="16" style="288" customWidth="1"/>
    <col min="7433" max="7433" width="12.81640625" style="288" customWidth="1"/>
    <col min="7434" max="7434" width="12.453125" style="288" customWidth="1"/>
    <col min="7435" max="7435" width="17.81640625" style="288" customWidth="1"/>
    <col min="7436" max="7436" width="11.81640625" style="288" customWidth="1"/>
    <col min="7437" max="7437" width="7.81640625" style="288" customWidth="1"/>
    <col min="7438" max="7439" width="8.81640625" style="288" customWidth="1"/>
    <col min="7440" max="7440" width="7.81640625" style="288" customWidth="1"/>
    <col min="7441" max="7442" width="8.81640625" style="288" customWidth="1"/>
    <col min="7443" max="7443" width="19.54296875" style="288" customWidth="1"/>
    <col min="7444" max="7444" width="20.453125" style="288" customWidth="1"/>
    <col min="7445" max="7445" width="15.81640625" style="288" customWidth="1"/>
    <col min="7446" max="7446" width="17.1796875" style="288" customWidth="1"/>
    <col min="7447" max="7447" width="40.81640625" style="288" customWidth="1"/>
    <col min="7448" max="7448" width="24.1796875" style="288" bestFit="1" customWidth="1"/>
    <col min="7449" max="7449" width="12.81640625" style="288" customWidth="1"/>
    <col min="7450" max="7450" width="9.1796875" style="288" bestFit="1" customWidth="1"/>
    <col min="7451" max="7451" width="4.81640625" style="288" bestFit="1" customWidth="1"/>
    <col min="7452" max="7452" width="4.1796875" style="288" customWidth="1"/>
    <col min="7453" max="7454" width="4.81640625" style="288" bestFit="1" customWidth="1"/>
    <col min="7455" max="7680" width="9.1796875" style="288"/>
    <col min="7681" max="7681" width="7.81640625" style="288" bestFit="1" customWidth="1"/>
    <col min="7682" max="7682" width="9.54296875" style="288" bestFit="1" customWidth="1"/>
    <col min="7683" max="7683" width="14.453125" style="288" bestFit="1" customWidth="1"/>
    <col min="7684" max="7684" width="14.1796875" style="288" customWidth="1"/>
    <col min="7685" max="7685" width="23.453125" style="288" customWidth="1"/>
    <col min="7686" max="7686" width="9.453125" style="288" customWidth="1"/>
    <col min="7687" max="7687" width="11.81640625" style="288" customWidth="1"/>
    <col min="7688" max="7688" width="16" style="288" customWidth="1"/>
    <col min="7689" max="7689" width="12.81640625" style="288" customWidth="1"/>
    <col min="7690" max="7690" width="12.453125" style="288" customWidth="1"/>
    <col min="7691" max="7691" width="17.81640625" style="288" customWidth="1"/>
    <col min="7692" max="7692" width="11.81640625" style="288" customWidth="1"/>
    <col min="7693" max="7693" width="7.81640625" style="288" customWidth="1"/>
    <col min="7694" max="7695" width="8.81640625" style="288" customWidth="1"/>
    <col min="7696" max="7696" width="7.81640625" style="288" customWidth="1"/>
    <col min="7697" max="7698" width="8.81640625" style="288" customWidth="1"/>
    <col min="7699" max="7699" width="19.54296875" style="288" customWidth="1"/>
    <col min="7700" max="7700" width="20.453125" style="288" customWidth="1"/>
    <col min="7701" max="7701" width="15.81640625" style="288" customWidth="1"/>
    <col min="7702" max="7702" width="17.1796875" style="288" customWidth="1"/>
    <col min="7703" max="7703" width="40.81640625" style="288" customWidth="1"/>
    <col min="7704" max="7704" width="24.1796875" style="288" bestFit="1" customWidth="1"/>
    <col min="7705" max="7705" width="12.81640625" style="288" customWidth="1"/>
    <col min="7706" max="7706" width="9.1796875" style="288" bestFit="1" customWidth="1"/>
    <col min="7707" max="7707" width="4.81640625" style="288" bestFit="1" customWidth="1"/>
    <col min="7708" max="7708" width="4.1796875" style="288" customWidth="1"/>
    <col min="7709" max="7710" width="4.81640625" style="288" bestFit="1" customWidth="1"/>
    <col min="7711" max="7936" width="9.1796875" style="288"/>
    <col min="7937" max="7937" width="7.81640625" style="288" bestFit="1" customWidth="1"/>
    <col min="7938" max="7938" width="9.54296875" style="288" bestFit="1" customWidth="1"/>
    <col min="7939" max="7939" width="14.453125" style="288" bestFit="1" customWidth="1"/>
    <col min="7940" max="7940" width="14.1796875" style="288" customWidth="1"/>
    <col min="7941" max="7941" width="23.453125" style="288" customWidth="1"/>
    <col min="7942" max="7942" width="9.453125" style="288" customWidth="1"/>
    <col min="7943" max="7943" width="11.81640625" style="288" customWidth="1"/>
    <col min="7944" max="7944" width="16" style="288" customWidth="1"/>
    <col min="7945" max="7945" width="12.81640625" style="288" customWidth="1"/>
    <col min="7946" max="7946" width="12.453125" style="288" customWidth="1"/>
    <col min="7947" max="7947" width="17.81640625" style="288" customWidth="1"/>
    <col min="7948" max="7948" width="11.81640625" style="288" customWidth="1"/>
    <col min="7949" max="7949" width="7.81640625" style="288" customWidth="1"/>
    <col min="7950" max="7951" width="8.81640625" style="288" customWidth="1"/>
    <col min="7952" max="7952" width="7.81640625" style="288" customWidth="1"/>
    <col min="7953" max="7954" width="8.81640625" style="288" customWidth="1"/>
    <col min="7955" max="7955" width="19.54296875" style="288" customWidth="1"/>
    <col min="7956" max="7956" width="20.453125" style="288" customWidth="1"/>
    <col min="7957" max="7957" width="15.81640625" style="288" customWidth="1"/>
    <col min="7958" max="7958" width="17.1796875" style="288" customWidth="1"/>
    <col min="7959" max="7959" width="40.81640625" style="288" customWidth="1"/>
    <col min="7960" max="7960" width="24.1796875" style="288" bestFit="1" customWidth="1"/>
    <col min="7961" max="7961" width="12.81640625" style="288" customWidth="1"/>
    <col min="7962" max="7962" width="9.1796875" style="288" bestFit="1" customWidth="1"/>
    <col min="7963" max="7963" width="4.81640625" style="288" bestFit="1" customWidth="1"/>
    <col min="7964" max="7964" width="4.1796875" style="288" customWidth="1"/>
    <col min="7965" max="7966" width="4.81640625" style="288" bestFit="1" customWidth="1"/>
    <col min="7967" max="8192" width="9.1796875" style="288"/>
    <col min="8193" max="8193" width="7.81640625" style="288" bestFit="1" customWidth="1"/>
    <col min="8194" max="8194" width="9.54296875" style="288" bestFit="1" customWidth="1"/>
    <col min="8195" max="8195" width="14.453125" style="288" bestFit="1" customWidth="1"/>
    <col min="8196" max="8196" width="14.1796875" style="288" customWidth="1"/>
    <col min="8197" max="8197" width="23.453125" style="288" customWidth="1"/>
    <col min="8198" max="8198" width="9.453125" style="288" customWidth="1"/>
    <col min="8199" max="8199" width="11.81640625" style="288" customWidth="1"/>
    <col min="8200" max="8200" width="16" style="288" customWidth="1"/>
    <col min="8201" max="8201" width="12.81640625" style="288" customWidth="1"/>
    <col min="8202" max="8202" width="12.453125" style="288" customWidth="1"/>
    <col min="8203" max="8203" width="17.81640625" style="288" customWidth="1"/>
    <col min="8204" max="8204" width="11.81640625" style="288" customWidth="1"/>
    <col min="8205" max="8205" width="7.81640625" style="288" customWidth="1"/>
    <col min="8206" max="8207" width="8.81640625" style="288" customWidth="1"/>
    <col min="8208" max="8208" width="7.81640625" style="288" customWidth="1"/>
    <col min="8209" max="8210" width="8.81640625" style="288" customWidth="1"/>
    <col min="8211" max="8211" width="19.54296875" style="288" customWidth="1"/>
    <col min="8212" max="8212" width="20.453125" style="288" customWidth="1"/>
    <col min="8213" max="8213" width="15.81640625" style="288" customWidth="1"/>
    <col min="8214" max="8214" width="17.1796875" style="288" customWidth="1"/>
    <col min="8215" max="8215" width="40.81640625" style="288" customWidth="1"/>
    <col min="8216" max="8216" width="24.1796875" style="288" bestFit="1" customWidth="1"/>
    <col min="8217" max="8217" width="12.81640625" style="288" customWidth="1"/>
    <col min="8218" max="8218" width="9.1796875" style="288" bestFit="1" customWidth="1"/>
    <col min="8219" max="8219" width="4.81640625" style="288" bestFit="1" customWidth="1"/>
    <col min="8220" max="8220" width="4.1796875" style="288" customWidth="1"/>
    <col min="8221" max="8222" width="4.81640625" style="288" bestFit="1" customWidth="1"/>
    <col min="8223" max="8448" width="9.1796875" style="288"/>
    <col min="8449" max="8449" width="7.81640625" style="288" bestFit="1" customWidth="1"/>
    <col min="8450" max="8450" width="9.54296875" style="288" bestFit="1" customWidth="1"/>
    <col min="8451" max="8451" width="14.453125" style="288" bestFit="1" customWidth="1"/>
    <col min="8452" max="8452" width="14.1796875" style="288" customWidth="1"/>
    <col min="8453" max="8453" width="23.453125" style="288" customWidth="1"/>
    <col min="8454" max="8454" width="9.453125" style="288" customWidth="1"/>
    <col min="8455" max="8455" width="11.81640625" style="288" customWidth="1"/>
    <col min="8456" max="8456" width="16" style="288" customWidth="1"/>
    <col min="8457" max="8457" width="12.81640625" style="288" customWidth="1"/>
    <col min="8458" max="8458" width="12.453125" style="288" customWidth="1"/>
    <col min="8459" max="8459" width="17.81640625" style="288" customWidth="1"/>
    <col min="8460" max="8460" width="11.81640625" style="288" customWidth="1"/>
    <col min="8461" max="8461" width="7.81640625" style="288" customWidth="1"/>
    <col min="8462" max="8463" width="8.81640625" style="288" customWidth="1"/>
    <col min="8464" max="8464" width="7.81640625" style="288" customWidth="1"/>
    <col min="8465" max="8466" width="8.81640625" style="288" customWidth="1"/>
    <col min="8467" max="8467" width="19.54296875" style="288" customWidth="1"/>
    <col min="8468" max="8468" width="20.453125" style="288" customWidth="1"/>
    <col min="8469" max="8469" width="15.81640625" style="288" customWidth="1"/>
    <col min="8470" max="8470" width="17.1796875" style="288" customWidth="1"/>
    <col min="8471" max="8471" width="40.81640625" style="288" customWidth="1"/>
    <col min="8472" max="8472" width="24.1796875" style="288" bestFit="1" customWidth="1"/>
    <col min="8473" max="8473" width="12.81640625" style="288" customWidth="1"/>
    <col min="8474" max="8474" width="9.1796875" style="288" bestFit="1" customWidth="1"/>
    <col min="8475" max="8475" width="4.81640625" style="288" bestFit="1" customWidth="1"/>
    <col min="8476" max="8476" width="4.1796875" style="288" customWidth="1"/>
    <col min="8477" max="8478" width="4.81640625" style="288" bestFit="1" customWidth="1"/>
    <col min="8479" max="8704" width="9.1796875" style="288"/>
    <col min="8705" max="8705" width="7.81640625" style="288" bestFit="1" customWidth="1"/>
    <col min="8706" max="8706" width="9.54296875" style="288" bestFit="1" customWidth="1"/>
    <col min="8707" max="8707" width="14.453125" style="288" bestFit="1" customWidth="1"/>
    <col min="8708" max="8708" width="14.1796875" style="288" customWidth="1"/>
    <col min="8709" max="8709" width="23.453125" style="288" customWidth="1"/>
    <col min="8710" max="8710" width="9.453125" style="288" customWidth="1"/>
    <col min="8711" max="8711" width="11.81640625" style="288" customWidth="1"/>
    <col min="8712" max="8712" width="16" style="288" customWidth="1"/>
    <col min="8713" max="8713" width="12.81640625" style="288" customWidth="1"/>
    <col min="8714" max="8714" width="12.453125" style="288" customWidth="1"/>
    <col min="8715" max="8715" width="17.81640625" style="288" customWidth="1"/>
    <col min="8716" max="8716" width="11.81640625" style="288" customWidth="1"/>
    <col min="8717" max="8717" width="7.81640625" style="288" customWidth="1"/>
    <col min="8718" max="8719" width="8.81640625" style="288" customWidth="1"/>
    <col min="8720" max="8720" width="7.81640625" style="288" customWidth="1"/>
    <col min="8721" max="8722" width="8.81640625" style="288" customWidth="1"/>
    <col min="8723" max="8723" width="19.54296875" style="288" customWidth="1"/>
    <col min="8724" max="8724" width="20.453125" style="288" customWidth="1"/>
    <col min="8725" max="8725" width="15.81640625" style="288" customWidth="1"/>
    <col min="8726" max="8726" width="17.1796875" style="288" customWidth="1"/>
    <col min="8727" max="8727" width="40.81640625" style="288" customWidth="1"/>
    <col min="8728" max="8728" width="24.1796875" style="288" bestFit="1" customWidth="1"/>
    <col min="8729" max="8729" width="12.81640625" style="288" customWidth="1"/>
    <col min="8730" max="8730" width="9.1796875" style="288" bestFit="1" customWidth="1"/>
    <col min="8731" max="8731" width="4.81640625" style="288" bestFit="1" customWidth="1"/>
    <col min="8732" max="8732" width="4.1796875" style="288" customWidth="1"/>
    <col min="8733" max="8734" width="4.81640625" style="288" bestFit="1" customWidth="1"/>
    <col min="8735" max="8960" width="9.1796875" style="288"/>
    <col min="8961" max="8961" width="7.81640625" style="288" bestFit="1" customWidth="1"/>
    <col min="8962" max="8962" width="9.54296875" style="288" bestFit="1" customWidth="1"/>
    <col min="8963" max="8963" width="14.453125" style="288" bestFit="1" customWidth="1"/>
    <col min="8964" max="8964" width="14.1796875" style="288" customWidth="1"/>
    <col min="8965" max="8965" width="23.453125" style="288" customWidth="1"/>
    <col min="8966" max="8966" width="9.453125" style="288" customWidth="1"/>
    <col min="8967" max="8967" width="11.81640625" style="288" customWidth="1"/>
    <col min="8968" max="8968" width="16" style="288" customWidth="1"/>
    <col min="8969" max="8969" width="12.81640625" style="288" customWidth="1"/>
    <col min="8970" max="8970" width="12.453125" style="288" customWidth="1"/>
    <col min="8971" max="8971" width="17.81640625" style="288" customWidth="1"/>
    <col min="8972" max="8972" width="11.81640625" style="288" customWidth="1"/>
    <col min="8973" max="8973" width="7.81640625" style="288" customWidth="1"/>
    <col min="8974" max="8975" width="8.81640625" style="288" customWidth="1"/>
    <col min="8976" max="8976" width="7.81640625" style="288" customWidth="1"/>
    <col min="8977" max="8978" width="8.81640625" style="288" customWidth="1"/>
    <col min="8979" max="8979" width="19.54296875" style="288" customWidth="1"/>
    <col min="8980" max="8980" width="20.453125" style="288" customWidth="1"/>
    <col min="8981" max="8981" width="15.81640625" style="288" customWidth="1"/>
    <col min="8982" max="8982" width="17.1796875" style="288" customWidth="1"/>
    <col min="8983" max="8983" width="40.81640625" style="288" customWidth="1"/>
    <col min="8984" max="8984" width="24.1796875" style="288" bestFit="1" customWidth="1"/>
    <col min="8985" max="8985" width="12.81640625" style="288" customWidth="1"/>
    <col min="8986" max="8986" width="9.1796875" style="288" bestFit="1" customWidth="1"/>
    <col min="8987" max="8987" width="4.81640625" style="288" bestFit="1" customWidth="1"/>
    <col min="8988" max="8988" width="4.1796875" style="288" customWidth="1"/>
    <col min="8989" max="8990" width="4.81640625" style="288" bestFit="1" customWidth="1"/>
    <col min="8991" max="9216" width="9.1796875" style="288"/>
    <col min="9217" max="9217" width="7.81640625" style="288" bestFit="1" customWidth="1"/>
    <col min="9218" max="9218" width="9.54296875" style="288" bestFit="1" customWidth="1"/>
    <col min="9219" max="9219" width="14.453125" style="288" bestFit="1" customWidth="1"/>
    <col min="9220" max="9220" width="14.1796875" style="288" customWidth="1"/>
    <col min="9221" max="9221" width="23.453125" style="288" customWidth="1"/>
    <col min="9222" max="9222" width="9.453125" style="288" customWidth="1"/>
    <col min="9223" max="9223" width="11.81640625" style="288" customWidth="1"/>
    <col min="9224" max="9224" width="16" style="288" customWidth="1"/>
    <col min="9225" max="9225" width="12.81640625" style="288" customWidth="1"/>
    <col min="9226" max="9226" width="12.453125" style="288" customWidth="1"/>
    <col min="9227" max="9227" width="17.81640625" style="288" customWidth="1"/>
    <col min="9228" max="9228" width="11.81640625" style="288" customWidth="1"/>
    <col min="9229" max="9229" width="7.81640625" style="288" customWidth="1"/>
    <col min="9230" max="9231" width="8.81640625" style="288" customWidth="1"/>
    <col min="9232" max="9232" width="7.81640625" style="288" customWidth="1"/>
    <col min="9233" max="9234" width="8.81640625" style="288" customWidth="1"/>
    <col min="9235" max="9235" width="19.54296875" style="288" customWidth="1"/>
    <col min="9236" max="9236" width="20.453125" style="288" customWidth="1"/>
    <col min="9237" max="9237" width="15.81640625" style="288" customWidth="1"/>
    <col min="9238" max="9238" width="17.1796875" style="288" customWidth="1"/>
    <col min="9239" max="9239" width="40.81640625" style="288" customWidth="1"/>
    <col min="9240" max="9240" width="24.1796875" style="288" bestFit="1" customWidth="1"/>
    <col min="9241" max="9241" width="12.81640625" style="288" customWidth="1"/>
    <col min="9242" max="9242" width="9.1796875" style="288" bestFit="1" customWidth="1"/>
    <col min="9243" max="9243" width="4.81640625" style="288" bestFit="1" customWidth="1"/>
    <col min="9244" max="9244" width="4.1796875" style="288" customWidth="1"/>
    <col min="9245" max="9246" width="4.81640625" style="288" bestFit="1" customWidth="1"/>
    <col min="9247" max="9472" width="9.1796875" style="288"/>
    <col min="9473" max="9473" width="7.81640625" style="288" bestFit="1" customWidth="1"/>
    <col min="9474" max="9474" width="9.54296875" style="288" bestFit="1" customWidth="1"/>
    <col min="9475" max="9475" width="14.453125" style="288" bestFit="1" customWidth="1"/>
    <col min="9476" max="9476" width="14.1796875" style="288" customWidth="1"/>
    <col min="9477" max="9477" width="23.453125" style="288" customWidth="1"/>
    <col min="9478" max="9478" width="9.453125" style="288" customWidth="1"/>
    <col min="9479" max="9479" width="11.81640625" style="288" customWidth="1"/>
    <col min="9480" max="9480" width="16" style="288" customWidth="1"/>
    <col min="9481" max="9481" width="12.81640625" style="288" customWidth="1"/>
    <col min="9482" max="9482" width="12.453125" style="288" customWidth="1"/>
    <col min="9483" max="9483" width="17.81640625" style="288" customWidth="1"/>
    <col min="9484" max="9484" width="11.81640625" style="288" customWidth="1"/>
    <col min="9485" max="9485" width="7.81640625" style="288" customWidth="1"/>
    <col min="9486" max="9487" width="8.81640625" style="288" customWidth="1"/>
    <col min="9488" max="9488" width="7.81640625" style="288" customWidth="1"/>
    <col min="9489" max="9490" width="8.81640625" style="288" customWidth="1"/>
    <col min="9491" max="9491" width="19.54296875" style="288" customWidth="1"/>
    <col min="9492" max="9492" width="20.453125" style="288" customWidth="1"/>
    <col min="9493" max="9493" width="15.81640625" style="288" customWidth="1"/>
    <col min="9494" max="9494" width="17.1796875" style="288" customWidth="1"/>
    <col min="9495" max="9495" width="40.81640625" style="288" customWidth="1"/>
    <col min="9496" max="9496" width="24.1796875" style="288" bestFit="1" customWidth="1"/>
    <col min="9497" max="9497" width="12.81640625" style="288" customWidth="1"/>
    <col min="9498" max="9498" width="9.1796875" style="288" bestFit="1" customWidth="1"/>
    <col min="9499" max="9499" width="4.81640625" style="288" bestFit="1" customWidth="1"/>
    <col min="9500" max="9500" width="4.1796875" style="288" customWidth="1"/>
    <col min="9501" max="9502" width="4.81640625" style="288" bestFit="1" customWidth="1"/>
    <col min="9503" max="9728" width="9.1796875" style="288"/>
    <col min="9729" max="9729" width="7.81640625" style="288" bestFit="1" customWidth="1"/>
    <col min="9730" max="9730" width="9.54296875" style="288" bestFit="1" customWidth="1"/>
    <col min="9731" max="9731" width="14.453125" style="288" bestFit="1" customWidth="1"/>
    <col min="9732" max="9732" width="14.1796875" style="288" customWidth="1"/>
    <col min="9733" max="9733" width="23.453125" style="288" customWidth="1"/>
    <col min="9734" max="9734" width="9.453125" style="288" customWidth="1"/>
    <col min="9735" max="9735" width="11.81640625" style="288" customWidth="1"/>
    <col min="9736" max="9736" width="16" style="288" customWidth="1"/>
    <col min="9737" max="9737" width="12.81640625" style="288" customWidth="1"/>
    <col min="9738" max="9738" width="12.453125" style="288" customWidth="1"/>
    <col min="9739" max="9739" width="17.81640625" style="288" customWidth="1"/>
    <col min="9740" max="9740" width="11.81640625" style="288" customWidth="1"/>
    <col min="9741" max="9741" width="7.81640625" style="288" customWidth="1"/>
    <col min="9742" max="9743" width="8.81640625" style="288" customWidth="1"/>
    <col min="9744" max="9744" width="7.81640625" style="288" customWidth="1"/>
    <col min="9745" max="9746" width="8.81640625" style="288" customWidth="1"/>
    <col min="9747" max="9747" width="19.54296875" style="288" customWidth="1"/>
    <col min="9748" max="9748" width="20.453125" style="288" customWidth="1"/>
    <col min="9749" max="9749" width="15.81640625" style="288" customWidth="1"/>
    <col min="9750" max="9750" width="17.1796875" style="288" customWidth="1"/>
    <col min="9751" max="9751" width="40.81640625" style="288" customWidth="1"/>
    <col min="9752" max="9752" width="24.1796875" style="288" bestFit="1" customWidth="1"/>
    <col min="9753" max="9753" width="12.81640625" style="288" customWidth="1"/>
    <col min="9754" max="9754" width="9.1796875" style="288" bestFit="1" customWidth="1"/>
    <col min="9755" max="9755" width="4.81640625" style="288" bestFit="1" customWidth="1"/>
    <col min="9756" max="9756" width="4.1796875" style="288" customWidth="1"/>
    <col min="9757" max="9758" width="4.81640625" style="288" bestFit="1" customWidth="1"/>
    <col min="9759" max="9984" width="9.1796875" style="288"/>
    <col min="9985" max="9985" width="7.81640625" style="288" bestFit="1" customWidth="1"/>
    <col min="9986" max="9986" width="9.54296875" style="288" bestFit="1" customWidth="1"/>
    <col min="9987" max="9987" width="14.453125" style="288" bestFit="1" customWidth="1"/>
    <col min="9988" max="9988" width="14.1796875" style="288" customWidth="1"/>
    <col min="9989" max="9989" width="23.453125" style="288" customWidth="1"/>
    <col min="9990" max="9990" width="9.453125" style="288" customWidth="1"/>
    <col min="9991" max="9991" width="11.81640625" style="288" customWidth="1"/>
    <col min="9992" max="9992" width="16" style="288" customWidth="1"/>
    <col min="9993" max="9993" width="12.81640625" style="288" customWidth="1"/>
    <col min="9994" max="9994" width="12.453125" style="288" customWidth="1"/>
    <col min="9995" max="9995" width="17.81640625" style="288" customWidth="1"/>
    <col min="9996" max="9996" width="11.81640625" style="288" customWidth="1"/>
    <col min="9997" max="9997" width="7.81640625" style="288" customWidth="1"/>
    <col min="9998" max="9999" width="8.81640625" style="288" customWidth="1"/>
    <col min="10000" max="10000" width="7.81640625" style="288" customWidth="1"/>
    <col min="10001" max="10002" width="8.81640625" style="288" customWidth="1"/>
    <col min="10003" max="10003" width="19.54296875" style="288" customWidth="1"/>
    <col min="10004" max="10004" width="20.453125" style="288" customWidth="1"/>
    <col min="10005" max="10005" width="15.81640625" style="288" customWidth="1"/>
    <col min="10006" max="10006" width="17.1796875" style="288" customWidth="1"/>
    <col min="10007" max="10007" width="40.81640625" style="288" customWidth="1"/>
    <col min="10008" max="10008" width="24.1796875" style="288" bestFit="1" customWidth="1"/>
    <col min="10009" max="10009" width="12.81640625" style="288" customWidth="1"/>
    <col min="10010" max="10010" width="9.1796875" style="288" bestFit="1" customWidth="1"/>
    <col min="10011" max="10011" width="4.81640625" style="288" bestFit="1" customWidth="1"/>
    <col min="10012" max="10012" width="4.1796875" style="288" customWidth="1"/>
    <col min="10013" max="10014" width="4.81640625" style="288" bestFit="1" customWidth="1"/>
    <col min="10015" max="10240" width="9.1796875" style="288"/>
    <col min="10241" max="10241" width="7.81640625" style="288" bestFit="1" customWidth="1"/>
    <col min="10242" max="10242" width="9.54296875" style="288" bestFit="1" customWidth="1"/>
    <col min="10243" max="10243" width="14.453125" style="288" bestFit="1" customWidth="1"/>
    <col min="10244" max="10244" width="14.1796875" style="288" customWidth="1"/>
    <col min="10245" max="10245" width="23.453125" style="288" customWidth="1"/>
    <col min="10246" max="10246" width="9.453125" style="288" customWidth="1"/>
    <col min="10247" max="10247" width="11.81640625" style="288" customWidth="1"/>
    <col min="10248" max="10248" width="16" style="288" customWidth="1"/>
    <col min="10249" max="10249" width="12.81640625" style="288" customWidth="1"/>
    <col min="10250" max="10250" width="12.453125" style="288" customWidth="1"/>
    <col min="10251" max="10251" width="17.81640625" style="288" customWidth="1"/>
    <col min="10252" max="10252" width="11.81640625" style="288" customWidth="1"/>
    <col min="10253" max="10253" width="7.81640625" style="288" customWidth="1"/>
    <col min="10254" max="10255" width="8.81640625" style="288" customWidth="1"/>
    <col min="10256" max="10256" width="7.81640625" style="288" customWidth="1"/>
    <col min="10257" max="10258" width="8.81640625" style="288" customWidth="1"/>
    <col min="10259" max="10259" width="19.54296875" style="288" customWidth="1"/>
    <col min="10260" max="10260" width="20.453125" style="288" customWidth="1"/>
    <col min="10261" max="10261" width="15.81640625" style="288" customWidth="1"/>
    <col min="10262" max="10262" width="17.1796875" style="288" customWidth="1"/>
    <col min="10263" max="10263" width="40.81640625" style="288" customWidth="1"/>
    <col min="10264" max="10264" width="24.1796875" style="288" bestFit="1" customWidth="1"/>
    <col min="10265" max="10265" width="12.81640625" style="288" customWidth="1"/>
    <col min="10266" max="10266" width="9.1796875" style="288" bestFit="1" customWidth="1"/>
    <col min="10267" max="10267" width="4.81640625" style="288" bestFit="1" customWidth="1"/>
    <col min="10268" max="10268" width="4.1796875" style="288" customWidth="1"/>
    <col min="10269" max="10270" width="4.81640625" style="288" bestFit="1" customWidth="1"/>
    <col min="10271" max="10496" width="9.1796875" style="288"/>
    <col min="10497" max="10497" width="7.81640625" style="288" bestFit="1" customWidth="1"/>
    <col min="10498" max="10498" width="9.54296875" style="288" bestFit="1" customWidth="1"/>
    <col min="10499" max="10499" width="14.453125" style="288" bestFit="1" customWidth="1"/>
    <col min="10500" max="10500" width="14.1796875" style="288" customWidth="1"/>
    <col min="10501" max="10501" width="23.453125" style="288" customWidth="1"/>
    <col min="10502" max="10502" width="9.453125" style="288" customWidth="1"/>
    <col min="10503" max="10503" width="11.81640625" style="288" customWidth="1"/>
    <col min="10504" max="10504" width="16" style="288" customWidth="1"/>
    <col min="10505" max="10505" width="12.81640625" style="288" customWidth="1"/>
    <col min="10506" max="10506" width="12.453125" style="288" customWidth="1"/>
    <col min="10507" max="10507" width="17.81640625" style="288" customWidth="1"/>
    <col min="10508" max="10508" width="11.81640625" style="288" customWidth="1"/>
    <col min="10509" max="10509" width="7.81640625" style="288" customWidth="1"/>
    <col min="10510" max="10511" width="8.81640625" style="288" customWidth="1"/>
    <col min="10512" max="10512" width="7.81640625" style="288" customWidth="1"/>
    <col min="10513" max="10514" width="8.81640625" style="288" customWidth="1"/>
    <col min="10515" max="10515" width="19.54296875" style="288" customWidth="1"/>
    <col min="10516" max="10516" width="20.453125" style="288" customWidth="1"/>
    <col min="10517" max="10517" width="15.81640625" style="288" customWidth="1"/>
    <col min="10518" max="10518" width="17.1796875" style="288" customWidth="1"/>
    <col min="10519" max="10519" width="40.81640625" style="288" customWidth="1"/>
    <col min="10520" max="10520" width="24.1796875" style="288" bestFit="1" customWidth="1"/>
    <col min="10521" max="10521" width="12.81640625" style="288" customWidth="1"/>
    <col min="10522" max="10522" width="9.1796875" style="288" bestFit="1" customWidth="1"/>
    <col min="10523" max="10523" width="4.81640625" style="288" bestFit="1" customWidth="1"/>
    <col min="10524" max="10524" width="4.1796875" style="288" customWidth="1"/>
    <col min="10525" max="10526" width="4.81640625" style="288" bestFit="1" customWidth="1"/>
    <col min="10527" max="10752" width="9.1796875" style="288"/>
    <col min="10753" max="10753" width="7.81640625" style="288" bestFit="1" customWidth="1"/>
    <col min="10754" max="10754" width="9.54296875" style="288" bestFit="1" customWidth="1"/>
    <col min="10755" max="10755" width="14.453125" style="288" bestFit="1" customWidth="1"/>
    <col min="10756" max="10756" width="14.1796875" style="288" customWidth="1"/>
    <col min="10757" max="10757" width="23.453125" style="288" customWidth="1"/>
    <col min="10758" max="10758" width="9.453125" style="288" customWidth="1"/>
    <col min="10759" max="10759" width="11.81640625" style="288" customWidth="1"/>
    <col min="10760" max="10760" width="16" style="288" customWidth="1"/>
    <col min="10761" max="10761" width="12.81640625" style="288" customWidth="1"/>
    <col min="10762" max="10762" width="12.453125" style="288" customWidth="1"/>
    <col min="10763" max="10763" width="17.81640625" style="288" customWidth="1"/>
    <col min="10764" max="10764" width="11.81640625" style="288" customWidth="1"/>
    <col min="10765" max="10765" width="7.81640625" style="288" customWidth="1"/>
    <col min="10766" max="10767" width="8.81640625" style="288" customWidth="1"/>
    <col min="10768" max="10768" width="7.81640625" style="288" customWidth="1"/>
    <col min="10769" max="10770" width="8.81640625" style="288" customWidth="1"/>
    <col min="10771" max="10771" width="19.54296875" style="288" customWidth="1"/>
    <col min="10772" max="10772" width="20.453125" style="288" customWidth="1"/>
    <col min="10773" max="10773" width="15.81640625" style="288" customWidth="1"/>
    <col min="10774" max="10774" width="17.1796875" style="288" customWidth="1"/>
    <col min="10775" max="10775" width="40.81640625" style="288" customWidth="1"/>
    <col min="10776" max="10776" width="24.1796875" style="288" bestFit="1" customWidth="1"/>
    <col min="10777" max="10777" width="12.81640625" style="288" customWidth="1"/>
    <col min="10778" max="10778" width="9.1796875" style="288" bestFit="1" customWidth="1"/>
    <col min="10779" max="10779" width="4.81640625" style="288" bestFit="1" customWidth="1"/>
    <col min="10780" max="10780" width="4.1796875" style="288" customWidth="1"/>
    <col min="10781" max="10782" width="4.81640625" style="288" bestFit="1" customWidth="1"/>
    <col min="10783" max="11008" width="9.1796875" style="288"/>
    <col min="11009" max="11009" width="7.81640625" style="288" bestFit="1" customWidth="1"/>
    <col min="11010" max="11010" width="9.54296875" style="288" bestFit="1" customWidth="1"/>
    <col min="11011" max="11011" width="14.453125" style="288" bestFit="1" customWidth="1"/>
    <col min="11012" max="11012" width="14.1796875" style="288" customWidth="1"/>
    <col min="11013" max="11013" width="23.453125" style="288" customWidth="1"/>
    <col min="11014" max="11014" width="9.453125" style="288" customWidth="1"/>
    <col min="11015" max="11015" width="11.81640625" style="288" customWidth="1"/>
    <col min="11016" max="11016" width="16" style="288" customWidth="1"/>
    <col min="11017" max="11017" width="12.81640625" style="288" customWidth="1"/>
    <col min="11018" max="11018" width="12.453125" style="288" customWidth="1"/>
    <col min="11019" max="11019" width="17.81640625" style="288" customWidth="1"/>
    <col min="11020" max="11020" width="11.81640625" style="288" customWidth="1"/>
    <col min="11021" max="11021" width="7.81640625" style="288" customWidth="1"/>
    <col min="11022" max="11023" width="8.81640625" style="288" customWidth="1"/>
    <col min="11024" max="11024" width="7.81640625" style="288" customWidth="1"/>
    <col min="11025" max="11026" width="8.81640625" style="288" customWidth="1"/>
    <col min="11027" max="11027" width="19.54296875" style="288" customWidth="1"/>
    <col min="11028" max="11028" width="20.453125" style="288" customWidth="1"/>
    <col min="11029" max="11029" width="15.81640625" style="288" customWidth="1"/>
    <col min="11030" max="11030" width="17.1796875" style="288" customWidth="1"/>
    <col min="11031" max="11031" width="40.81640625" style="288" customWidth="1"/>
    <col min="11032" max="11032" width="24.1796875" style="288" bestFit="1" customWidth="1"/>
    <col min="11033" max="11033" width="12.81640625" style="288" customWidth="1"/>
    <col min="11034" max="11034" width="9.1796875" style="288" bestFit="1" customWidth="1"/>
    <col min="11035" max="11035" width="4.81640625" style="288" bestFit="1" customWidth="1"/>
    <col min="11036" max="11036" width="4.1796875" style="288" customWidth="1"/>
    <col min="11037" max="11038" width="4.81640625" style="288" bestFit="1" customWidth="1"/>
    <col min="11039" max="11264" width="9.1796875" style="288"/>
    <col min="11265" max="11265" width="7.81640625" style="288" bestFit="1" customWidth="1"/>
    <col min="11266" max="11266" width="9.54296875" style="288" bestFit="1" customWidth="1"/>
    <col min="11267" max="11267" width="14.453125" style="288" bestFit="1" customWidth="1"/>
    <col min="11268" max="11268" width="14.1796875" style="288" customWidth="1"/>
    <col min="11269" max="11269" width="23.453125" style="288" customWidth="1"/>
    <col min="11270" max="11270" width="9.453125" style="288" customWidth="1"/>
    <col min="11271" max="11271" width="11.81640625" style="288" customWidth="1"/>
    <col min="11272" max="11272" width="16" style="288" customWidth="1"/>
    <col min="11273" max="11273" width="12.81640625" style="288" customWidth="1"/>
    <col min="11274" max="11274" width="12.453125" style="288" customWidth="1"/>
    <col min="11275" max="11275" width="17.81640625" style="288" customWidth="1"/>
    <col min="11276" max="11276" width="11.81640625" style="288" customWidth="1"/>
    <col min="11277" max="11277" width="7.81640625" style="288" customWidth="1"/>
    <col min="11278" max="11279" width="8.81640625" style="288" customWidth="1"/>
    <col min="11280" max="11280" width="7.81640625" style="288" customWidth="1"/>
    <col min="11281" max="11282" width="8.81640625" style="288" customWidth="1"/>
    <col min="11283" max="11283" width="19.54296875" style="288" customWidth="1"/>
    <col min="11284" max="11284" width="20.453125" style="288" customWidth="1"/>
    <col min="11285" max="11285" width="15.81640625" style="288" customWidth="1"/>
    <col min="11286" max="11286" width="17.1796875" style="288" customWidth="1"/>
    <col min="11287" max="11287" width="40.81640625" style="288" customWidth="1"/>
    <col min="11288" max="11288" width="24.1796875" style="288" bestFit="1" customWidth="1"/>
    <col min="11289" max="11289" width="12.81640625" style="288" customWidth="1"/>
    <col min="11290" max="11290" width="9.1796875" style="288" bestFit="1" customWidth="1"/>
    <col min="11291" max="11291" width="4.81640625" style="288" bestFit="1" customWidth="1"/>
    <col min="11292" max="11292" width="4.1796875" style="288" customWidth="1"/>
    <col min="11293" max="11294" width="4.81640625" style="288" bestFit="1" customWidth="1"/>
    <col min="11295" max="11520" width="9.1796875" style="288"/>
    <col min="11521" max="11521" width="7.81640625" style="288" bestFit="1" customWidth="1"/>
    <col min="11522" max="11522" width="9.54296875" style="288" bestFit="1" customWidth="1"/>
    <col min="11523" max="11523" width="14.453125" style="288" bestFit="1" customWidth="1"/>
    <col min="11524" max="11524" width="14.1796875" style="288" customWidth="1"/>
    <col min="11525" max="11525" width="23.453125" style="288" customWidth="1"/>
    <col min="11526" max="11526" width="9.453125" style="288" customWidth="1"/>
    <col min="11527" max="11527" width="11.81640625" style="288" customWidth="1"/>
    <col min="11528" max="11528" width="16" style="288" customWidth="1"/>
    <col min="11529" max="11529" width="12.81640625" style="288" customWidth="1"/>
    <col min="11530" max="11530" width="12.453125" style="288" customWidth="1"/>
    <col min="11531" max="11531" width="17.81640625" style="288" customWidth="1"/>
    <col min="11532" max="11532" width="11.81640625" style="288" customWidth="1"/>
    <col min="11533" max="11533" width="7.81640625" style="288" customWidth="1"/>
    <col min="11534" max="11535" width="8.81640625" style="288" customWidth="1"/>
    <col min="11536" max="11536" width="7.81640625" style="288" customWidth="1"/>
    <col min="11537" max="11538" width="8.81640625" style="288" customWidth="1"/>
    <col min="11539" max="11539" width="19.54296875" style="288" customWidth="1"/>
    <col min="11540" max="11540" width="20.453125" style="288" customWidth="1"/>
    <col min="11541" max="11541" width="15.81640625" style="288" customWidth="1"/>
    <col min="11542" max="11542" width="17.1796875" style="288" customWidth="1"/>
    <col min="11543" max="11543" width="40.81640625" style="288" customWidth="1"/>
    <col min="11544" max="11544" width="24.1796875" style="288" bestFit="1" customWidth="1"/>
    <col min="11545" max="11545" width="12.81640625" style="288" customWidth="1"/>
    <col min="11546" max="11546" width="9.1796875" style="288" bestFit="1" customWidth="1"/>
    <col min="11547" max="11547" width="4.81640625" style="288" bestFit="1" customWidth="1"/>
    <col min="11548" max="11548" width="4.1796875" style="288" customWidth="1"/>
    <col min="11549" max="11550" width="4.81640625" style="288" bestFit="1" customWidth="1"/>
    <col min="11551" max="11776" width="9.1796875" style="288"/>
    <col min="11777" max="11777" width="7.81640625" style="288" bestFit="1" customWidth="1"/>
    <col min="11778" max="11778" width="9.54296875" style="288" bestFit="1" customWidth="1"/>
    <col min="11779" max="11779" width="14.453125" style="288" bestFit="1" customWidth="1"/>
    <col min="11780" max="11780" width="14.1796875" style="288" customWidth="1"/>
    <col min="11781" max="11781" width="23.453125" style="288" customWidth="1"/>
    <col min="11782" max="11782" width="9.453125" style="288" customWidth="1"/>
    <col min="11783" max="11783" width="11.81640625" style="288" customWidth="1"/>
    <col min="11784" max="11784" width="16" style="288" customWidth="1"/>
    <col min="11785" max="11785" width="12.81640625" style="288" customWidth="1"/>
    <col min="11786" max="11786" width="12.453125" style="288" customWidth="1"/>
    <col min="11787" max="11787" width="17.81640625" style="288" customWidth="1"/>
    <col min="11788" max="11788" width="11.81640625" style="288" customWidth="1"/>
    <col min="11789" max="11789" width="7.81640625" style="288" customWidth="1"/>
    <col min="11790" max="11791" width="8.81640625" style="288" customWidth="1"/>
    <col min="11792" max="11792" width="7.81640625" style="288" customWidth="1"/>
    <col min="11793" max="11794" width="8.81640625" style="288" customWidth="1"/>
    <col min="11795" max="11795" width="19.54296875" style="288" customWidth="1"/>
    <col min="11796" max="11796" width="20.453125" style="288" customWidth="1"/>
    <col min="11797" max="11797" width="15.81640625" style="288" customWidth="1"/>
    <col min="11798" max="11798" width="17.1796875" style="288" customWidth="1"/>
    <col min="11799" max="11799" width="40.81640625" style="288" customWidth="1"/>
    <col min="11800" max="11800" width="24.1796875" style="288" bestFit="1" customWidth="1"/>
    <col min="11801" max="11801" width="12.81640625" style="288" customWidth="1"/>
    <col min="11802" max="11802" width="9.1796875" style="288" bestFit="1" customWidth="1"/>
    <col min="11803" max="11803" width="4.81640625" style="288" bestFit="1" customWidth="1"/>
    <col min="11804" max="11804" width="4.1796875" style="288" customWidth="1"/>
    <col min="11805" max="11806" width="4.81640625" style="288" bestFit="1" customWidth="1"/>
    <col min="11807" max="12032" width="9.1796875" style="288"/>
    <col min="12033" max="12033" width="7.81640625" style="288" bestFit="1" customWidth="1"/>
    <col min="12034" max="12034" width="9.54296875" style="288" bestFit="1" customWidth="1"/>
    <col min="12035" max="12035" width="14.453125" style="288" bestFit="1" customWidth="1"/>
    <col min="12036" max="12036" width="14.1796875" style="288" customWidth="1"/>
    <col min="12037" max="12037" width="23.453125" style="288" customWidth="1"/>
    <col min="12038" max="12038" width="9.453125" style="288" customWidth="1"/>
    <col min="12039" max="12039" width="11.81640625" style="288" customWidth="1"/>
    <col min="12040" max="12040" width="16" style="288" customWidth="1"/>
    <col min="12041" max="12041" width="12.81640625" style="288" customWidth="1"/>
    <col min="12042" max="12042" width="12.453125" style="288" customWidth="1"/>
    <col min="12043" max="12043" width="17.81640625" style="288" customWidth="1"/>
    <col min="12044" max="12044" width="11.81640625" style="288" customWidth="1"/>
    <col min="12045" max="12045" width="7.81640625" style="288" customWidth="1"/>
    <col min="12046" max="12047" width="8.81640625" style="288" customWidth="1"/>
    <col min="12048" max="12048" width="7.81640625" style="288" customWidth="1"/>
    <col min="12049" max="12050" width="8.81640625" style="288" customWidth="1"/>
    <col min="12051" max="12051" width="19.54296875" style="288" customWidth="1"/>
    <col min="12052" max="12052" width="20.453125" style="288" customWidth="1"/>
    <col min="12053" max="12053" width="15.81640625" style="288" customWidth="1"/>
    <col min="12054" max="12054" width="17.1796875" style="288" customWidth="1"/>
    <col min="12055" max="12055" width="40.81640625" style="288" customWidth="1"/>
    <col min="12056" max="12056" width="24.1796875" style="288" bestFit="1" customWidth="1"/>
    <col min="12057" max="12057" width="12.81640625" style="288" customWidth="1"/>
    <col min="12058" max="12058" width="9.1796875" style="288" bestFit="1" customWidth="1"/>
    <col min="12059" max="12059" width="4.81640625" style="288" bestFit="1" customWidth="1"/>
    <col min="12060" max="12060" width="4.1796875" style="288" customWidth="1"/>
    <col min="12061" max="12062" width="4.81640625" style="288" bestFit="1" customWidth="1"/>
    <col min="12063" max="12288" width="9.1796875" style="288"/>
    <col min="12289" max="12289" width="7.81640625" style="288" bestFit="1" customWidth="1"/>
    <col min="12290" max="12290" width="9.54296875" style="288" bestFit="1" customWidth="1"/>
    <col min="12291" max="12291" width="14.453125" style="288" bestFit="1" customWidth="1"/>
    <col min="12292" max="12292" width="14.1796875" style="288" customWidth="1"/>
    <col min="12293" max="12293" width="23.453125" style="288" customWidth="1"/>
    <col min="12294" max="12294" width="9.453125" style="288" customWidth="1"/>
    <col min="12295" max="12295" width="11.81640625" style="288" customWidth="1"/>
    <col min="12296" max="12296" width="16" style="288" customWidth="1"/>
    <col min="12297" max="12297" width="12.81640625" style="288" customWidth="1"/>
    <col min="12298" max="12298" width="12.453125" style="288" customWidth="1"/>
    <col min="12299" max="12299" width="17.81640625" style="288" customWidth="1"/>
    <col min="12300" max="12300" width="11.81640625" style="288" customWidth="1"/>
    <col min="12301" max="12301" width="7.81640625" style="288" customWidth="1"/>
    <col min="12302" max="12303" width="8.81640625" style="288" customWidth="1"/>
    <col min="12304" max="12304" width="7.81640625" style="288" customWidth="1"/>
    <col min="12305" max="12306" width="8.81640625" style="288" customWidth="1"/>
    <col min="12307" max="12307" width="19.54296875" style="288" customWidth="1"/>
    <col min="12308" max="12308" width="20.453125" style="288" customWidth="1"/>
    <col min="12309" max="12309" width="15.81640625" style="288" customWidth="1"/>
    <col min="12310" max="12310" width="17.1796875" style="288" customWidth="1"/>
    <col min="12311" max="12311" width="40.81640625" style="288" customWidth="1"/>
    <col min="12312" max="12312" width="24.1796875" style="288" bestFit="1" customWidth="1"/>
    <col min="12313" max="12313" width="12.81640625" style="288" customWidth="1"/>
    <col min="12314" max="12314" width="9.1796875" style="288" bestFit="1" customWidth="1"/>
    <col min="12315" max="12315" width="4.81640625" style="288" bestFit="1" customWidth="1"/>
    <col min="12316" max="12316" width="4.1796875" style="288" customWidth="1"/>
    <col min="12317" max="12318" width="4.81640625" style="288" bestFit="1" customWidth="1"/>
    <col min="12319" max="12544" width="9.1796875" style="288"/>
    <col min="12545" max="12545" width="7.81640625" style="288" bestFit="1" customWidth="1"/>
    <col min="12546" max="12546" width="9.54296875" style="288" bestFit="1" customWidth="1"/>
    <col min="12547" max="12547" width="14.453125" style="288" bestFit="1" customWidth="1"/>
    <col min="12548" max="12548" width="14.1796875" style="288" customWidth="1"/>
    <col min="12549" max="12549" width="23.453125" style="288" customWidth="1"/>
    <col min="12550" max="12550" width="9.453125" style="288" customWidth="1"/>
    <col min="12551" max="12551" width="11.81640625" style="288" customWidth="1"/>
    <col min="12552" max="12552" width="16" style="288" customWidth="1"/>
    <col min="12553" max="12553" width="12.81640625" style="288" customWidth="1"/>
    <col min="12554" max="12554" width="12.453125" style="288" customWidth="1"/>
    <col min="12555" max="12555" width="17.81640625" style="288" customWidth="1"/>
    <col min="12556" max="12556" width="11.81640625" style="288" customWidth="1"/>
    <col min="12557" max="12557" width="7.81640625" style="288" customWidth="1"/>
    <col min="12558" max="12559" width="8.81640625" style="288" customWidth="1"/>
    <col min="12560" max="12560" width="7.81640625" style="288" customWidth="1"/>
    <col min="12561" max="12562" width="8.81640625" style="288" customWidth="1"/>
    <col min="12563" max="12563" width="19.54296875" style="288" customWidth="1"/>
    <col min="12564" max="12564" width="20.453125" style="288" customWidth="1"/>
    <col min="12565" max="12565" width="15.81640625" style="288" customWidth="1"/>
    <col min="12566" max="12566" width="17.1796875" style="288" customWidth="1"/>
    <col min="12567" max="12567" width="40.81640625" style="288" customWidth="1"/>
    <col min="12568" max="12568" width="24.1796875" style="288" bestFit="1" customWidth="1"/>
    <col min="12569" max="12569" width="12.81640625" style="288" customWidth="1"/>
    <col min="12570" max="12570" width="9.1796875" style="288" bestFit="1" customWidth="1"/>
    <col min="12571" max="12571" width="4.81640625" style="288" bestFit="1" customWidth="1"/>
    <col min="12572" max="12572" width="4.1796875" style="288" customWidth="1"/>
    <col min="12573" max="12574" width="4.81640625" style="288" bestFit="1" customWidth="1"/>
    <col min="12575" max="12800" width="9.1796875" style="288"/>
    <col min="12801" max="12801" width="7.81640625" style="288" bestFit="1" customWidth="1"/>
    <col min="12802" max="12802" width="9.54296875" style="288" bestFit="1" customWidth="1"/>
    <col min="12803" max="12803" width="14.453125" style="288" bestFit="1" customWidth="1"/>
    <col min="12804" max="12804" width="14.1796875" style="288" customWidth="1"/>
    <col min="12805" max="12805" width="23.453125" style="288" customWidth="1"/>
    <col min="12806" max="12806" width="9.453125" style="288" customWidth="1"/>
    <col min="12807" max="12807" width="11.81640625" style="288" customWidth="1"/>
    <col min="12808" max="12808" width="16" style="288" customWidth="1"/>
    <col min="12809" max="12809" width="12.81640625" style="288" customWidth="1"/>
    <col min="12810" max="12810" width="12.453125" style="288" customWidth="1"/>
    <col min="12811" max="12811" width="17.81640625" style="288" customWidth="1"/>
    <col min="12812" max="12812" width="11.81640625" style="288" customWidth="1"/>
    <col min="12813" max="12813" width="7.81640625" style="288" customWidth="1"/>
    <col min="12814" max="12815" width="8.81640625" style="288" customWidth="1"/>
    <col min="12816" max="12816" width="7.81640625" style="288" customWidth="1"/>
    <col min="12817" max="12818" width="8.81640625" style="288" customWidth="1"/>
    <col min="12819" max="12819" width="19.54296875" style="288" customWidth="1"/>
    <col min="12820" max="12820" width="20.453125" style="288" customWidth="1"/>
    <col min="12821" max="12821" width="15.81640625" style="288" customWidth="1"/>
    <col min="12822" max="12822" width="17.1796875" style="288" customWidth="1"/>
    <col min="12823" max="12823" width="40.81640625" style="288" customWidth="1"/>
    <col min="12824" max="12824" width="24.1796875" style="288" bestFit="1" customWidth="1"/>
    <col min="12825" max="12825" width="12.81640625" style="288" customWidth="1"/>
    <col min="12826" max="12826" width="9.1796875" style="288" bestFit="1" customWidth="1"/>
    <col min="12827" max="12827" width="4.81640625" style="288" bestFit="1" customWidth="1"/>
    <col min="12828" max="12828" width="4.1796875" style="288" customWidth="1"/>
    <col min="12829" max="12830" width="4.81640625" style="288" bestFit="1" customWidth="1"/>
    <col min="12831" max="13056" width="9.1796875" style="288"/>
    <col min="13057" max="13057" width="7.81640625" style="288" bestFit="1" customWidth="1"/>
    <col min="13058" max="13058" width="9.54296875" style="288" bestFit="1" customWidth="1"/>
    <col min="13059" max="13059" width="14.453125" style="288" bestFit="1" customWidth="1"/>
    <col min="13060" max="13060" width="14.1796875" style="288" customWidth="1"/>
    <col min="13061" max="13061" width="23.453125" style="288" customWidth="1"/>
    <col min="13062" max="13062" width="9.453125" style="288" customWidth="1"/>
    <col min="13063" max="13063" width="11.81640625" style="288" customWidth="1"/>
    <col min="13064" max="13064" width="16" style="288" customWidth="1"/>
    <col min="13065" max="13065" width="12.81640625" style="288" customWidth="1"/>
    <col min="13066" max="13066" width="12.453125" style="288" customWidth="1"/>
    <col min="13067" max="13067" width="17.81640625" style="288" customWidth="1"/>
    <col min="13068" max="13068" width="11.81640625" style="288" customWidth="1"/>
    <col min="13069" max="13069" width="7.81640625" style="288" customWidth="1"/>
    <col min="13070" max="13071" width="8.81640625" style="288" customWidth="1"/>
    <col min="13072" max="13072" width="7.81640625" style="288" customWidth="1"/>
    <col min="13073" max="13074" width="8.81640625" style="288" customWidth="1"/>
    <col min="13075" max="13075" width="19.54296875" style="288" customWidth="1"/>
    <col min="13076" max="13076" width="20.453125" style="288" customWidth="1"/>
    <col min="13077" max="13077" width="15.81640625" style="288" customWidth="1"/>
    <col min="13078" max="13078" width="17.1796875" style="288" customWidth="1"/>
    <col min="13079" max="13079" width="40.81640625" style="288" customWidth="1"/>
    <col min="13080" max="13080" width="24.1796875" style="288" bestFit="1" customWidth="1"/>
    <col min="13081" max="13081" width="12.81640625" style="288" customWidth="1"/>
    <col min="13082" max="13082" width="9.1796875" style="288" bestFit="1" customWidth="1"/>
    <col min="13083" max="13083" width="4.81640625" style="288" bestFit="1" customWidth="1"/>
    <col min="13084" max="13084" width="4.1796875" style="288" customWidth="1"/>
    <col min="13085" max="13086" width="4.81640625" style="288" bestFit="1" customWidth="1"/>
    <col min="13087" max="13312" width="9.1796875" style="288"/>
    <col min="13313" max="13313" width="7.81640625" style="288" bestFit="1" customWidth="1"/>
    <col min="13314" max="13314" width="9.54296875" style="288" bestFit="1" customWidth="1"/>
    <col min="13315" max="13315" width="14.453125" style="288" bestFit="1" customWidth="1"/>
    <col min="13316" max="13316" width="14.1796875" style="288" customWidth="1"/>
    <col min="13317" max="13317" width="23.453125" style="288" customWidth="1"/>
    <col min="13318" max="13318" width="9.453125" style="288" customWidth="1"/>
    <col min="13319" max="13319" width="11.81640625" style="288" customWidth="1"/>
    <col min="13320" max="13320" width="16" style="288" customWidth="1"/>
    <col min="13321" max="13321" width="12.81640625" style="288" customWidth="1"/>
    <col min="13322" max="13322" width="12.453125" style="288" customWidth="1"/>
    <col min="13323" max="13323" width="17.81640625" style="288" customWidth="1"/>
    <col min="13324" max="13324" width="11.81640625" style="288" customWidth="1"/>
    <col min="13325" max="13325" width="7.81640625" style="288" customWidth="1"/>
    <col min="13326" max="13327" width="8.81640625" style="288" customWidth="1"/>
    <col min="13328" max="13328" width="7.81640625" style="288" customWidth="1"/>
    <col min="13329" max="13330" width="8.81640625" style="288" customWidth="1"/>
    <col min="13331" max="13331" width="19.54296875" style="288" customWidth="1"/>
    <col min="13332" max="13332" width="20.453125" style="288" customWidth="1"/>
    <col min="13333" max="13333" width="15.81640625" style="288" customWidth="1"/>
    <col min="13334" max="13334" width="17.1796875" style="288" customWidth="1"/>
    <col min="13335" max="13335" width="40.81640625" style="288" customWidth="1"/>
    <col min="13336" max="13336" width="24.1796875" style="288" bestFit="1" customWidth="1"/>
    <col min="13337" max="13337" width="12.81640625" style="288" customWidth="1"/>
    <col min="13338" max="13338" width="9.1796875" style="288" bestFit="1" customWidth="1"/>
    <col min="13339" max="13339" width="4.81640625" style="288" bestFit="1" customWidth="1"/>
    <col min="13340" max="13340" width="4.1796875" style="288" customWidth="1"/>
    <col min="13341" max="13342" width="4.81640625" style="288" bestFit="1" customWidth="1"/>
    <col min="13343" max="13568" width="9.1796875" style="288"/>
    <col min="13569" max="13569" width="7.81640625" style="288" bestFit="1" customWidth="1"/>
    <col min="13570" max="13570" width="9.54296875" style="288" bestFit="1" customWidth="1"/>
    <col min="13571" max="13571" width="14.453125" style="288" bestFit="1" customWidth="1"/>
    <col min="13572" max="13572" width="14.1796875" style="288" customWidth="1"/>
    <col min="13573" max="13573" width="23.453125" style="288" customWidth="1"/>
    <col min="13574" max="13574" width="9.453125" style="288" customWidth="1"/>
    <col min="13575" max="13575" width="11.81640625" style="288" customWidth="1"/>
    <col min="13576" max="13576" width="16" style="288" customWidth="1"/>
    <col min="13577" max="13577" width="12.81640625" style="288" customWidth="1"/>
    <col min="13578" max="13578" width="12.453125" style="288" customWidth="1"/>
    <col min="13579" max="13579" width="17.81640625" style="288" customWidth="1"/>
    <col min="13580" max="13580" width="11.81640625" style="288" customWidth="1"/>
    <col min="13581" max="13581" width="7.81640625" style="288" customWidth="1"/>
    <col min="13582" max="13583" width="8.81640625" style="288" customWidth="1"/>
    <col min="13584" max="13584" width="7.81640625" style="288" customWidth="1"/>
    <col min="13585" max="13586" width="8.81640625" style="288" customWidth="1"/>
    <col min="13587" max="13587" width="19.54296875" style="288" customWidth="1"/>
    <col min="13588" max="13588" width="20.453125" style="288" customWidth="1"/>
    <col min="13589" max="13589" width="15.81640625" style="288" customWidth="1"/>
    <col min="13590" max="13590" width="17.1796875" style="288" customWidth="1"/>
    <col min="13591" max="13591" width="40.81640625" style="288" customWidth="1"/>
    <col min="13592" max="13592" width="24.1796875" style="288" bestFit="1" customWidth="1"/>
    <col min="13593" max="13593" width="12.81640625" style="288" customWidth="1"/>
    <col min="13594" max="13594" width="9.1796875" style="288" bestFit="1" customWidth="1"/>
    <col min="13595" max="13595" width="4.81640625" style="288" bestFit="1" customWidth="1"/>
    <col min="13596" max="13596" width="4.1796875" style="288" customWidth="1"/>
    <col min="13597" max="13598" width="4.81640625" style="288" bestFit="1" customWidth="1"/>
    <col min="13599" max="13824" width="9.1796875" style="288"/>
    <col min="13825" max="13825" width="7.81640625" style="288" bestFit="1" customWidth="1"/>
    <col min="13826" max="13826" width="9.54296875" style="288" bestFit="1" customWidth="1"/>
    <col min="13827" max="13827" width="14.453125" style="288" bestFit="1" customWidth="1"/>
    <col min="13828" max="13828" width="14.1796875" style="288" customWidth="1"/>
    <col min="13829" max="13829" width="23.453125" style="288" customWidth="1"/>
    <col min="13830" max="13830" width="9.453125" style="288" customWidth="1"/>
    <col min="13831" max="13831" width="11.81640625" style="288" customWidth="1"/>
    <col min="13832" max="13832" width="16" style="288" customWidth="1"/>
    <col min="13833" max="13833" width="12.81640625" style="288" customWidth="1"/>
    <col min="13834" max="13834" width="12.453125" style="288" customWidth="1"/>
    <col min="13835" max="13835" width="17.81640625" style="288" customWidth="1"/>
    <col min="13836" max="13836" width="11.81640625" style="288" customWidth="1"/>
    <col min="13837" max="13837" width="7.81640625" style="288" customWidth="1"/>
    <col min="13838" max="13839" width="8.81640625" style="288" customWidth="1"/>
    <col min="13840" max="13840" width="7.81640625" style="288" customWidth="1"/>
    <col min="13841" max="13842" width="8.81640625" style="288" customWidth="1"/>
    <col min="13843" max="13843" width="19.54296875" style="288" customWidth="1"/>
    <col min="13844" max="13844" width="20.453125" style="288" customWidth="1"/>
    <col min="13845" max="13845" width="15.81640625" style="288" customWidth="1"/>
    <col min="13846" max="13846" width="17.1796875" style="288" customWidth="1"/>
    <col min="13847" max="13847" width="40.81640625" style="288" customWidth="1"/>
    <col min="13848" max="13848" width="24.1796875" style="288" bestFit="1" customWidth="1"/>
    <col min="13849" max="13849" width="12.81640625" style="288" customWidth="1"/>
    <col min="13850" max="13850" width="9.1796875" style="288" bestFit="1" customWidth="1"/>
    <col min="13851" max="13851" width="4.81640625" style="288" bestFit="1" customWidth="1"/>
    <col min="13852" max="13852" width="4.1796875" style="288" customWidth="1"/>
    <col min="13853" max="13854" width="4.81640625" style="288" bestFit="1" customWidth="1"/>
    <col min="13855" max="14080" width="9.1796875" style="288"/>
    <col min="14081" max="14081" width="7.81640625" style="288" bestFit="1" customWidth="1"/>
    <col min="14082" max="14082" width="9.54296875" style="288" bestFit="1" customWidth="1"/>
    <col min="14083" max="14083" width="14.453125" style="288" bestFit="1" customWidth="1"/>
    <col min="14084" max="14084" width="14.1796875" style="288" customWidth="1"/>
    <col min="14085" max="14085" width="23.453125" style="288" customWidth="1"/>
    <col min="14086" max="14086" width="9.453125" style="288" customWidth="1"/>
    <col min="14087" max="14087" width="11.81640625" style="288" customWidth="1"/>
    <col min="14088" max="14088" width="16" style="288" customWidth="1"/>
    <col min="14089" max="14089" width="12.81640625" style="288" customWidth="1"/>
    <col min="14090" max="14090" width="12.453125" style="288" customWidth="1"/>
    <col min="14091" max="14091" width="17.81640625" style="288" customWidth="1"/>
    <col min="14092" max="14092" width="11.81640625" style="288" customWidth="1"/>
    <col min="14093" max="14093" width="7.81640625" style="288" customWidth="1"/>
    <col min="14094" max="14095" width="8.81640625" style="288" customWidth="1"/>
    <col min="14096" max="14096" width="7.81640625" style="288" customWidth="1"/>
    <col min="14097" max="14098" width="8.81640625" style="288" customWidth="1"/>
    <col min="14099" max="14099" width="19.54296875" style="288" customWidth="1"/>
    <col min="14100" max="14100" width="20.453125" style="288" customWidth="1"/>
    <col min="14101" max="14101" width="15.81640625" style="288" customWidth="1"/>
    <col min="14102" max="14102" width="17.1796875" style="288" customWidth="1"/>
    <col min="14103" max="14103" width="40.81640625" style="288" customWidth="1"/>
    <col min="14104" max="14104" width="24.1796875" style="288" bestFit="1" customWidth="1"/>
    <col min="14105" max="14105" width="12.81640625" style="288" customWidth="1"/>
    <col min="14106" max="14106" width="9.1796875" style="288" bestFit="1" customWidth="1"/>
    <col min="14107" max="14107" width="4.81640625" style="288" bestFit="1" customWidth="1"/>
    <col min="14108" max="14108" width="4.1796875" style="288" customWidth="1"/>
    <col min="14109" max="14110" width="4.81640625" style="288" bestFit="1" customWidth="1"/>
    <col min="14111" max="14336" width="9.1796875" style="288"/>
    <col min="14337" max="14337" width="7.81640625" style="288" bestFit="1" customWidth="1"/>
    <col min="14338" max="14338" width="9.54296875" style="288" bestFit="1" customWidth="1"/>
    <col min="14339" max="14339" width="14.453125" style="288" bestFit="1" customWidth="1"/>
    <col min="14340" max="14340" width="14.1796875" style="288" customWidth="1"/>
    <col min="14341" max="14341" width="23.453125" style="288" customWidth="1"/>
    <col min="14342" max="14342" width="9.453125" style="288" customWidth="1"/>
    <col min="14343" max="14343" width="11.81640625" style="288" customWidth="1"/>
    <col min="14344" max="14344" width="16" style="288" customWidth="1"/>
    <col min="14345" max="14345" width="12.81640625" style="288" customWidth="1"/>
    <col min="14346" max="14346" width="12.453125" style="288" customWidth="1"/>
    <col min="14347" max="14347" width="17.81640625" style="288" customWidth="1"/>
    <col min="14348" max="14348" width="11.81640625" style="288" customWidth="1"/>
    <col min="14349" max="14349" width="7.81640625" style="288" customWidth="1"/>
    <col min="14350" max="14351" width="8.81640625" style="288" customWidth="1"/>
    <col min="14352" max="14352" width="7.81640625" style="288" customWidth="1"/>
    <col min="14353" max="14354" width="8.81640625" style="288" customWidth="1"/>
    <col min="14355" max="14355" width="19.54296875" style="288" customWidth="1"/>
    <col min="14356" max="14356" width="20.453125" style="288" customWidth="1"/>
    <col min="14357" max="14357" width="15.81640625" style="288" customWidth="1"/>
    <col min="14358" max="14358" width="17.1796875" style="288" customWidth="1"/>
    <col min="14359" max="14359" width="40.81640625" style="288" customWidth="1"/>
    <col min="14360" max="14360" width="24.1796875" style="288" bestFit="1" customWidth="1"/>
    <col min="14361" max="14361" width="12.81640625" style="288" customWidth="1"/>
    <col min="14362" max="14362" width="9.1796875" style="288" bestFit="1" customWidth="1"/>
    <col min="14363" max="14363" width="4.81640625" style="288" bestFit="1" customWidth="1"/>
    <col min="14364" max="14364" width="4.1796875" style="288" customWidth="1"/>
    <col min="14365" max="14366" width="4.81640625" style="288" bestFit="1" customWidth="1"/>
    <col min="14367" max="14592" width="9.1796875" style="288"/>
    <col min="14593" max="14593" width="7.81640625" style="288" bestFit="1" customWidth="1"/>
    <col min="14594" max="14594" width="9.54296875" style="288" bestFit="1" customWidth="1"/>
    <col min="14595" max="14595" width="14.453125" style="288" bestFit="1" customWidth="1"/>
    <col min="14596" max="14596" width="14.1796875" style="288" customWidth="1"/>
    <col min="14597" max="14597" width="23.453125" style="288" customWidth="1"/>
    <col min="14598" max="14598" width="9.453125" style="288" customWidth="1"/>
    <col min="14599" max="14599" width="11.81640625" style="288" customWidth="1"/>
    <col min="14600" max="14600" width="16" style="288" customWidth="1"/>
    <col min="14601" max="14601" width="12.81640625" style="288" customWidth="1"/>
    <col min="14602" max="14602" width="12.453125" style="288" customWidth="1"/>
    <col min="14603" max="14603" width="17.81640625" style="288" customWidth="1"/>
    <col min="14604" max="14604" width="11.81640625" style="288" customWidth="1"/>
    <col min="14605" max="14605" width="7.81640625" style="288" customWidth="1"/>
    <col min="14606" max="14607" width="8.81640625" style="288" customWidth="1"/>
    <col min="14608" max="14608" width="7.81640625" style="288" customWidth="1"/>
    <col min="14609" max="14610" width="8.81640625" style="288" customWidth="1"/>
    <col min="14611" max="14611" width="19.54296875" style="288" customWidth="1"/>
    <col min="14612" max="14612" width="20.453125" style="288" customWidth="1"/>
    <col min="14613" max="14613" width="15.81640625" style="288" customWidth="1"/>
    <col min="14614" max="14614" width="17.1796875" style="288" customWidth="1"/>
    <col min="14615" max="14615" width="40.81640625" style="288" customWidth="1"/>
    <col min="14616" max="14616" width="24.1796875" style="288" bestFit="1" customWidth="1"/>
    <col min="14617" max="14617" width="12.81640625" style="288" customWidth="1"/>
    <col min="14618" max="14618" width="9.1796875" style="288" bestFit="1" customWidth="1"/>
    <col min="14619" max="14619" width="4.81640625" style="288" bestFit="1" customWidth="1"/>
    <col min="14620" max="14620" width="4.1796875" style="288" customWidth="1"/>
    <col min="14621" max="14622" width="4.81640625" style="288" bestFit="1" customWidth="1"/>
    <col min="14623" max="14848" width="9.1796875" style="288"/>
    <col min="14849" max="14849" width="7.81640625" style="288" bestFit="1" customWidth="1"/>
    <col min="14850" max="14850" width="9.54296875" style="288" bestFit="1" customWidth="1"/>
    <col min="14851" max="14851" width="14.453125" style="288" bestFit="1" customWidth="1"/>
    <col min="14852" max="14852" width="14.1796875" style="288" customWidth="1"/>
    <col min="14853" max="14853" width="23.453125" style="288" customWidth="1"/>
    <col min="14854" max="14854" width="9.453125" style="288" customWidth="1"/>
    <col min="14855" max="14855" width="11.81640625" style="288" customWidth="1"/>
    <col min="14856" max="14856" width="16" style="288" customWidth="1"/>
    <col min="14857" max="14857" width="12.81640625" style="288" customWidth="1"/>
    <col min="14858" max="14858" width="12.453125" style="288" customWidth="1"/>
    <col min="14859" max="14859" width="17.81640625" style="288" customWidth="1"/>
    <col min="14860" max="14860" width="11.81640625" style="288" customWidth="1"/>
    <col min="14861" max="14861" width="7.81640625" style="288" customWidth="1"/>
    <col min="14862" max="14863" width="8.81640625" style="288" customWidth="1"/>
    <col min="14864" max="14864" width="7.81640625" style="288" customWidth="1"/>
    <col min="14865" max="14866" width="8.81640625" style="288" customWidth="1"/>
    <col min="14867" max="14867" width="19.54296875" style="288" customWidth="1"/>
    <col min="14868" max="14868" width="20.453125" style="288" customWidth="1"/>
    <col min="14869" max="14869" width="15.81640625" style="288" customWidth="1"/>
    <col min="14870" max="14870" width="17.1796875" style="288" customWidth="1"/>
    <col min="14871" max="14871" width="40.81640625" style="288" customWidth="1"/>
    <col min="14872" max="14872" width="24.1796875" style="288" bestFit="1" customWidth="1"/>
    <col min="14873" max="14873" width="12.81640625" style="288" customWidth="1"/>
    <col min="14874" max="14874" width="9.1796875" style="288" bestFit="1" customWidth="1"/>
    <col min="14875" max="14875" width="4.81640625" style="288" bestFit="1" customWidth="1"/>
    <col min="14876" max="14876" width="4.1796875" style="288" customWidth="1"/>
    <col min="14877" max="14878" width="4.81640625" style="288" bestFit="1" customWidth="1"/>
    <col min="14879" max="15104" width="9.1796875" style="288"/>
    <col min="15105" max="15105" width="7.81640625" style="288" bestFit="1" customWidth="1"/>
    <col min="15106" max="15106" width="9.54296875" style="288" bestFit="1" customWidth="1"/>
    <col min="15107" max="15107" width="14.453125" style="288" bestFit="1" customWidth="1"/>
    <col min="15108" max="15108" width="14.1796875" style="288" customWidth="1"/>
    <col min="15109" max="15109" width="23.453125" style="288" customWidth="1"/>
    <col min="15110" max="15110" width="9.453125" style="288" customWidth="1"/>
    <col min="15111" max="15111" width="11.81640625" style="288" customWidth="1"/>
    <col min="15112" max="15112" width="16" style="288" customWidth="1"/>
    <col min="15113" max="15113" width="12.81640625" style="288" customWidth="1"/>
    <col min="15114" max="15114" width="12.453125" style="288" customWidth="1"/>
    <col min="15115" max="15115" width="17.81640625" style="288" customWidth="1"/>
    <col min="15116" max="15116" width="11.81640625" style="288" customWidth="1"/>
    <col min="15117" max="15117" width="7.81640625" style="288" customWidth="1"/>
    <col min="15118" max="15119" width="8.81640625" style="288" customWidth="1"/>
    <col min="15120" max="15120" width="7.81640625" style="288" customWidth="1"/>
    <col min="15121" max="15122" width="8.81640625" style="288" customWidth="1"/>
    <col min="15123" max="15123" width="19.54296875" style="288" customWidth="1"/>
    <col min="15124" max="15124" width="20.453125" style="288" customWidth="1"/>
    <col min="15125" max="15125" width="15.81640625" style="288" customWidth="1"/>
    <col min="15126" max="15126" width="17.1796875" style="288" customWidth="1"/>
    <col min="15127" max="15127" width="40.81640625" style="288" customWidth="1"/>
    <col min="15128" max="15128" width="24.1796875" style="288" bestFit="1" customWidth="1"/>
    <col min="15129" max="15129" width="12.81640625" style="288" customWidth="1"/>
    <col min="15130" max="15130" width="9.1796875" style="288" bestFit="1" customWidth="1"/>
    <col min="15131" max="15131" width="4.81640625" style="288" bestFit="1" customWidth="1"/>
    <col min="15132" max="15132" width="4.1796875" style="288" customWidth="1"/>
    <col min="15133" max="15134" width="4.81640625" style="288" bestFit="1" customWidth="1"/>
    <col min="15135" max="15360" width="9.1796875" style="288"/>
    <col min="15361" max="15361" width="7.81640625" style="288" bestFit="1" customWidth="1"/>
    <col min="15362" max="15362" width="9.54296875" style="288" bestFit="1" customWidth="1"/>
    <col min="15363" max="15363" width="14.453125" style="288" bestFit="1" customWidth="1"/>
    <col min="15364" max="15364" width="14.1796875" style="288" customWidth="1"/>
    <col min="15365" max="15365" width="23.453125" style="288" customWidth="1"/>
    <col min="15366" max="15366" width="9.453125" style="288" customWidth="1"/>
    <col min="15367" max="15367" width="11.81640625" style="288" customWidth="1"/>
    <col min="15368" max="15368" width="16" style="288" customWidth="1"/>
    <col min="15369" max="15369" width="12.81640625" style="288" customWidth="1"/>
    <col min="15370" max="15370" width="12.453125" style="288" customWidth="1"/>
    <col min="15371" max="15371" width="17.81640625" style="288" customWidth="1"/>
    <col min="15372" max="15372" width="11.81640625" style="288" customWidth="1"/>
    <col min="15373" max="15373" width="7.81640625" style="288" customWidth="1"/>
    <col min="15374" max="15375" width="8.81640625" style="288" customWidth="1"/>
    <col min="15376" max="15376" width="7.81640625" style="288" customWidth="1"/>
    <col min="15377" max="15378" width="8.81640625" style="288" customWidth="1"/>
    <col min="15379" max="15379" width="19.54296875" style="288" customWidth="1"/>
    <col min="15380" max="15380" width="20.453125" style="288" customWidth="1"/>
    <col min="15381" max="15381" width="15.81640625" style="288" customWidth="1"/>
    <col min="15382" max="15382" width="17.1796875" style="288" customWidth="1"/>
    <col min="15383" max="15383" width="40.81640625" style="288" customWidth="1"/>
    <col min="15384" max="15384" width="24.1796875" style="288" bestFit="1" customWidth="1"/>
    <col min="15385" max="15385" width="12.81640625" style="288" customWidth="1"/>
    <col min="15386" max="15386" width="9.1796875" style="288" bestFit="1" customWidth="1"/>
    <col min="15387" max="15387" width="4.81640625" style="288" bestFit="1" customWidth="1"/>
    <col min="15388" max="15388" width="4.1796875" style="288" customWidth="1"/>
    <col min="15389" max="15390" width="4.81640625" style="288" bestFit="1" customWidth="1"/>
    <col min="15391" max="15616" width="9.1796875" style="288"/>
    <col min="15617" max="15617" width="7.81640625" style="288" bestFit="1" customWidth="1"/>
    <col min="15618" max="15618" width="9.54296875" style="288" bestFit="1" customWidth="1"/>
    <col min="15619" max="15619" width="14.453125" style="288" bestFit="1" customWidth="1"/>
    <col min="15620" max="15620" width="14.1796875" style="288" customWidth="1"/>
    <col min="15621" max="15621" width="23.453125" style="288" customWidth="1"/>
    <col min="15622" max="15622" width="9.453125" style="288" customWidth="1"/>
    <col min="15623" max="15623" width="11.81640625" style="288" customWidth="1"/>
    <col min="15624" max="15624" width="16" style="288" customWidth="1"/>
    <col min="15625" max="15625" width="12.81640625" style="288" customWidth="1"/>
    <col min="15626" max="15626" width="12.453125" style="288" customWidth="1"/>
    <col min="15627" max="15627" width="17.81640625" style="288" customWidth="1"/>
    <col min="15628" max="15628" width="11.81640625" style="288" customWidth="1"/>
    <col min="15629" max="15629" width="7.81640625" style="288" customWidth="1"/>
    <col min="15630" max="15631" width="8.81640625" style="288" customWidth="1"/>
    <col min="15632" max="15632" width="7.81640625" style="288" customWidth="1"/>
    <col min="15633" max="15634" width="8.81640625" style="288" customWidth="1"/>
    <col min="15635" max="15635" width="19.54296875" style="288" customWidth="1"/>
    <col min="15636" max="15636" width="20.453125" style="288" customWidth="1"/>
    <col min="15637" max="15637" width="15.81640625" style="288" customWidth="1"/>
    <col min="15638" max="15638" width="17.1796875" style="288" customWidth="1"/>
    <col min="15639" max="15639" width="40.81640625" style="288" customWidth="1"/>
    <col min="15640" max="15640" width="24.1796875" style="288" bestFit="1" customWidth="1"/>
    <col min="15641" max="15641" width="12.81640625" style="288" customWidth="1"/>
    <col min="15642" max="15642" width="9.1796875" style="288" bestFit="1" customWidth="1"/>
    <col min="15643" max="15643" width="4.81640625" style="288" bestFit="1" customWidth="1"/>
    <col min="15644" max="15644" width="4.1796875" style="288" customWidth="1"/>
    <col min="15645" max="15646" width="4.81640625" style="288" bestFit="1" customWidth="1"/>
    <col min="15647" max="15872" width="9.1796875" style="288"/>
    <col min="15873" max="15873" width="7.81640625" style="288" bestFit="1" customWidth="1"/>
    <col min="15874" max="15874" width="9.54296875" style="288" bestFit="1" customWidth="1"/>
    <col min="15875" max="15875" width="14.453125" style="288" bestFit="1" customWidth="1"/>
    <col min="15876" max="15876" width="14.1796875" style="288" customWidth="1"/>
    <col min="15877" max="15877" width="23.453125" style="288" customWidth="1"/>
    <col min="15878" max="15878" width="9.453125" style="288" customWidth="1"/>
    <col min="15879" max="15879" width="11.81640625" style="288" customWidth="1"/>
    <col min="15880" max="15880" width="16" style="288" customWidth="1"/>
    <col min="15881" max="15881" width="12.81640625" style="288" customWidth="1"/>
    <col min="15882" max="15882" width="12.453125" style="288" customWidth="1"/>
    <col min="15883" max="15883" width="17.81640625" style="288" customWidth="1"/>
    <col min="15884" max="15884" width="11.81640625" style="288" customWidth="1"/>
    <col min="15885" max="15885" width="7.81640625" style="288" customWidth="1"/>
    <col min="15886" max="15887" width="8.81640625" style="288" customWidth="1"/>
    <col min="15888" max="15888" width="7.81640625" style="288" customWidth="1"/>
    <col min="15889" max="15890" width="8.81640625" style="288" customWidth="1"/>
    <col min="15891" max="15891" width="19.54296875" style="288" customWidth="1"/>
    <col min="15892" max="15892" width="20.453125" style="288" customWidth="1"/>
    <col min="15893" max="15893" width="15.81640625" style="288" customWidth="1"/>
    <col min="15894" max="15894" width="17.1796875" style="288" customWidth="1"/>
    <col min="15895" max="15895" width="40.81640625" style="288" customWidth="1"/>
    <col min="15896" max="15896" width="24.1796875" style="288" bestFit="1" customWidth="1"/>
    <col min="15897" max="15897" width="12.81640625" style="288" customWidth="1"/>
    <col min="15898" max="15898" width="9.1796875" style="288" bestFit="1" customWidth="1"/>
    <col min="15899" max="15899" width="4.81640625" style="288" bestFit="1" customWidth="1"/>
    <col min="15900" max="15900" width="4.1796875" style="288" customWidth="1"/>
    <col min="15901" max="15902" width="4.81640625" style="288" bestFit="1" customWidth="1"/>
    <col min="15903" max="16128" width="9.1796875" style="288"/>
    <col min="16129" max="16129" width="7.81640625" style="288" bestFit="1" customWidth="1"/>
    <col min="16130" max="16130" width="9.54296875" style="288" bestFit="1" customWidth="1"/>
    <col min="16131" max="16131" width="14.453125" style="288" bestFit="1" customWidth="1"/>
    <col min="16132" max="16132" width="14.1796875" style="288" customWidth="1"/>
    <col min="16133" max="16133" width="23.453125" style="288" customWidth="1"/>
    <col min="16134" max="16134" width="9.453125" style="288" customWidth="1"/>
    <col min="16135" max="16135" width="11.81640625" style="288" customWidth="1"/>
    <col min="16136" max="16136" width="16" style="288" customWidth="1"/>
    <col min="16137" max="16137" width="12.81640625" style="288" customWidth="1"/>
    <col min="16138" max="16138" width="12.453125" style="288" customWidth="1"/>
    <col min="16139" max="16139" width="17.81640625" style="288" customWidth="1"/>
    <col min="16140" max="16140" width="11.81640625" style="288" customWidth="1"/>
    <col min="16141" max="16141" width="7.81640625" style="288" customWidth="1"/>
    <col min="16142" max="16143" width="8.81640625" style="288" customWidth="1"/>
    <col min="16144" max="16144" width="7.81640625" style="288" customWidth="1"/>
    <col min="16145" max="16146" width="8.81640625" style="288" customWidth="1"/>
    <col min="16147" max="16147" width="19.54296875" style="288" customWidth="1"/>
    <col min="16148" max="16148" width="20.453125" style="288" customWidth="1"/>
    <col min="16149" max="16149" width="15.81640625" style="288" customWidth="1"/>
    <col min="16150" max="16150" width="17.1796875" style="288" customWidth="1"/>
    <col min="16151" max="16151" width="40.81640625" style="288" customWidth="1"/>
    <col min="16152" max="16152" width="24.1796875" style="288" bestFit="1" customWidth="1"/>
    <col min="16153" max="16153" width="12.81640625" style="288" customWidth="1"/>
    <col min="16154" max="16154" width="9.1796875" style="288" bestFit="1" customWidth="1"/>
    <col min="16155" max="16155" width="4.81640625" style="288" bestFit="1" customWidth="1"/>
    <col min="16156" max="16156" width="4.1796875" style="288" customWidth="1"/>
    <col min="16157" max="16158" width="4.81640625" style="288" bestFit="1" customWidth="1"/>
    <col min="16159" max="16384" width="9.1796875" style="288"/>
  </cols>
  <sheetData>
    <row r="1" spans="1:30" s="299" customFormat="1" ht="15" x14ac:dyDescent="0.35">
      <c r="A1" s="479" t="s">
        <v>992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  <c r="AA1" s="480"/>
      <c r="AB1" s="480"/>
      <c r="AC1" s="480"/>
      <c r="AD1" s="481"/>
    </row>
    <row r="2" spans="1:30" s="299" customFormat="1" ht="15" customHeight="1" x14ac:dyDescent="0.35">
      <c r="A2" s="482" t="s">
        <v>993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4"/>
    </row>
    <row r="3" spans="1:30" s="299" customFormat="1" ht="15" customHeight="1" x14ac:dyDescent="0.35">
      <c r="A3" s="482" t="s">
        <v>994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483"/>
      <c r="P3" s="483"/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  <c r="AD3" s="484"/>
    </row>
    <row r="4" spans="1:30" s="299" customFormat="1" ht="14.25" customHeight="1" x14ac:dyDescent="0.35">
      <c r="A4" s="482" t="s">
        <v>2034</v>
      </c>
      <c r="B4" s="48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3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3"/>
      <c r="AC4" s="483"/>
      <c r="AD4" s="484"/>
    </row>
    <row r="5" spans="1:30" s="299" customFormat="1" ht="15.5" thickBot="1" x14ac:dyDescent="0.4">
      <c r="A5" s="485" t="s">
        <v>2035</v>
      </c>
      <c r="B5" s="486"/>
      <c r="C5" s="486"/>
      <c r="D5" s="486"/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  <c r="P5" s="486"/>
      <c r="Q5" s="486"/>
      <c r="R5" s="486"/>
      <c r="S5" s="486"/>
      <c r="T5" s="486"/>
      <c r="U5" s="486"/>
      <c r="V5" s="486"/>
      <c r="W5" s="486"/>
      <c r="X5" s="486"/>
      <c r="Y5" s="486"/>
      <c r="Z5" s="486"/>
      <c r="AA5" s="486"/>
      <c r="AB5" s="486"/>
      <c r="AC5" s="486"/>
      <c r="AD5" s="487"/>
    </row>
    <row r="6" spans="1:30" s="299" customFormat="1" ht="36.75" customHeight="1" x14ac:dyDescent="0.35">
      <c r="A6" s="488" t="s">
        <v>995</v>
      </c>
      <c r="B6" s="458" t="s">
        <v>996</v>
      </c>
      <c r="C6" s="458" t="s">
        <v>997</v>
      </c>
      <c r="D6" s="458" t="s">
        <v>508</v>
      </c>
      <c r="E6" s="458" t="s">
        <v>998</v>
      </c>
      <c r="F6" s="458" t="s">
        <v>999</v>
      </c>
      <c r="G6" s="458" t="s">
        <v>1000</v>
      </c>
      <c r="H6" s="458" t="s">
        <v>1001</v>
      </c>
      <c r="I6" s="458" t="s">
        <v>1002</v>
      </c>
      <c r="J6" s="463" t="s">
        <v>1003</v>
      </c>
      <c r="K6" s="476" t="s">
        <v>1004</v>
      </c>
      <c r="L6" s="458" t="s">
        <v>1005</v>
      </c>
      <c r="M6" s="458" t="s">
        <v>1006</v>
      </c>
      <c r="N6" s="458"/>
      <c r="O6" s="458"/>
      <c r="P6" s="458" t="s">
        <v>1007</v>
      </c>
      <c r="Q6" s="458"/>
      <c r="R6" s="458"/>
      <c r="S6" s="475" t="s">
        <v>1008</v>
      </c>
      <c r="T6" s="475"/>
      <c r="U6" s="458" t="s">
        <v>1009</v>
      </c>
      <c r="V6" s="458"/>
      <c r="W6" s="468" t="s">
        <v>1010</v>
      </c>
      <c r="X6" s="458" t="s">
        <v>1011</v>
      </c>
      <c r="Y6" s="458" t="s">
        <v>1012</v>
      </c>
      <c r="Z6" s="460" t="s">
        <v>1013</v>
      </c>
      <c r="AA6" s="462" t="s">
        <v>1014</v>
      </c>
      <c r="AB6" s="463"/>
      <c r="AC6" s="463"/>
      <c r="AD6" s="464"/>
    </row>
    <row r="7" spans="1:30" s="301" customFormat="1" ht="36.75" customHeight="1" thickBot="1" x14ac:dyDescent="0.4">
      <c r="A7" s="489"/>
      <c r="B7" s="459"/>
      <c r="C7" s="459"/>
      <c r="D7" s="459"/>
      <c r="E7" s="459"/>
      <c r="F7" s="459"/>
      <c r="G7" s="459"/>
      <c r="H7" s="459"/>
      <c r="I7" s="459"/>
      <c r="J7" s="478"/>
      <c r="K7" s="477"/>
      <c r="L7" s="459"/>
      <c r="M7" s="295" t="s">
        <v>1015</v>
      </c>
      <c r="N7" s="295" t="s">
        <v>1016</v>
      </c>
      <c r="O7" s="295" t="s">
        <v>7</v>
      </c>
      <c r="P7" s="295" t="s">
        <v>1015</v>
      </c>
      <c r="Q7" s="295" t="s">
        <v>1016</v>
      </c>
      <c r="R7" s="295" t="s">
        <v>7</v>
      </c>
      <c r="S7" s="300" t="s">
        <v>1017</v>
      </c>
      <c r="T7" s="300" t="s">
        <v>1018</v>
      </c>
      <c r="U7" s="295" t="s">
        <v>1019</v>
      </c>
      <c r="V7" s="295" t="s">
        <v>1020</v>
      </c>
      <c r="W7" s="469"/>
      <c r="X7" s="459"/>
      <c r="Y7" s="459"/>
      <c r="Z7" s="461"/>
      <c r="AA7" s="277" t="s">
        <v>1021</v>
      </c>
      <c r="AB7" s="296" t="s">
        <v>1022</v>
      </c>
      <c r="AC7" s="296" t="s">
        <v>1023</v>
      </c>
      <c r="AD7" s="278" t="s">
        <v>1024</v>
      </c>
    </row>
    <row r="8" spans="1:30" s="313" customFormat="1" ht="24.75" customHeight="1" x14ac:dyDescent="0.35">
      <c r="A8" s="302">
        <v>0</v>
      </c>
      <c r="B8" s="303" t="s">
        <v>1025</v>
      </c>
      <c r="C8" s="304" t="s">
        <v>1026</v>
      </c>
      <c r="D8" s="303" t="s">
        <v>1027</v>
      </c>
      <c r="E8" s="303" t="s">
        <v>1025</v>
      </c>
      <c r="F8" s="303"/>
      <c r="G8" s="303" t="s">
        <v>1025</v>
      </c>
      <c r="H8" s="305">
        <v>0</v>
      </c>
      <c r="I8" s="306">
        <v>435.03</v>
      </c>
      <c r="J8" s="303">
        <v>46.3</v>
      </c>
      <c r="K8" s="306">
        <v>107.961</v>
      </c>
      <c r="L8" s="306">
        <v>53.980499999999999</v>
      </c>
      <c r="M8" s="303">
        <v>0</v>
      </c>
      <c r="N8" s="303">
        <v>6</v>
      </c>
      <c r="O8" s="303">
        <v>6</v>
      </c>
      <c r="P8" s="303">
        <v>0</v>
      </c>
      <c r="Q8" s="303">
        <v>11</v>
      </c>
      <c r="R8" s="303">
        <v>11</v>
      </c>
      <c r="S8" s="303" t="s">
        <v>2036</v>
      </c>
      <c r="T8" s="303" t="s">
        <v>2037</v>
      </c>
      <c r="U8" s="307">
        <v>517625.299</v>
      </c>
      <c r="V8" s="308">
        <v>2676919.4900000002</v>
      </c>
      <c r="W8" s="304"/>
      <c r="X8" s="309"/>
      <c r="Y8" s="309"/>
      <c r="Z8" s="310"/>
      <c r="AA8" s="311"/>
      <c r="AB8" s="311"/>
      <c r="AC8" s="311"/>
      <c r="AD8" s="312"/>
    </row>
    <row r="9" spans="1:30" s="313" customFormat="1" ht="24.75" customHeight="1" x14ac:dyDescent="0.35">
      <c r="A9" s="314"/>
      <c r="B9" s="315"/>
      <c r="C9" s="315"/>
      <c r="D9" s="315"/>
      <c r="E9" s="315"/>
      <c r="F9" s="316">
        <v>107.961</v>
      </c>
      <c r="G9" s="316"/>
      <c r="H9" s="317"/>
      <c r="I9" s="316"/>
      <c r="J9" s="315"/>
      <c r="K9" s="316"/>
      <c r="L9" s="316"/>
      <c r="M9" s="315"/>
      <c r="N9" s="315"/>
      <c r="O9" s="315"/>
      <c r="P9" s="315"/>
      <c r="Q9" s="315"/>
      <c r="R9" s="315"/>
      <c r="S9" s="315"/>
      <c r="T9" s="315"/>
      <c r="U9" s="318"/>
      <c r="V9" s="319"/>
      <c r="W9" s="320" t="s">
        <v>2001</v>
      </c>
      <c r="X9" s="321"/>
      <c r="Y9" s="321"/>
      <c r="Z9" s="322"/>
      <c r="AA9" s="323"/>
      <c r="AB9" s="323"/>
      <c r="AC9" s="323"/>
      <c r="AD9" s="324"/>
    </row>
    <row r="10" spans="1:30" s="313" customFormat="1" ht="24.75" customHeight="1" x14ac:dyDescent="0.35">
      <c r="A10" s="325">
        <v>1</v>
      </c>
      <c r="B10" s="315" t="s">
        <v>1028</v>
      </c>
      <c r="C10" s="315" t="s">
        <v>8</v>
      </c>
      <c r="D10" s="315" t="s">
        <v>9</v>
      </c>
      <c r="E10" s="315" t="s">
        <v>1029</v>
      </c>
      <c r="F10" s="316"/>
      <c r="G10" s="316">
        <f>F9</f>
        <v>107.961</v>
      </c>
      <c r="H10" s="326">
        <f>F9</f>
        <v>107.961</v>
      </c>
      <c r="I10" s="316">
        <v>434.45499999999998</v>
      </c>
      <c r="J10" s="315">
        <v>70.72</v>
      </c>
      <c r="K10" s="316">
        <v>256.43900000000002</v>
      </c>
      <c r="L10" s="316">
        <v>128.21950000000001</v>
      </c>
      <c r="M10" s="315">
        <v>33</v>
      </c>
      <c r="N10" s="315">
        <v>141</v>
      </c>
      <c r="O10" s="315">
        <v>174</v>
      </c>
      <c r="P10" s="315">
        <v>35</v>
      </c>
      <c r="Q10" s="315">
        <v>95</v>
      </c>
      <c r="R10" s="315">
        <v>130</v>
      </c>
      <c r="S10" s="315" t="s">
        <v>2038</v>
      </c>
      <c r="T10" s="315" t="s">
        <v>2039</v>
      </c>
      <c r="U10" s="318">
        <v>517540.723</v>
      </c>
      <c r="V10" s="319">
        <v>2676852.389</v>
      </c>
      <c r="W10" s="320" t="s">
        <v>2002</v>
      </c>
      <c r="X10" s="323" t="s">
        <v>1030</v>
      </c>
      <c r="Y10" s="323" t="s">
        <v>1031</v>
      </c>
      <c r="Z10" s="322" t="s">
        <v>359</v>
      </c>
      <c r="AA10" s="323"/>
      <c r="AB10" s="323"/>
      <c r="AC10" s="323"/>
      <c r="AD10" s="324"/>
    </row>
    <row r="11" spans="1:30" s="313" customFormat="1" ht="24.75" customHeight="1" x14ac:dyDescent="0.35">
      <c r="A11" s="314"/>
      <c r="B11" s="315"/>
      <c r="C11" s="315"/>
      <c r="D11" s="315"/>
      <c r="E11" s="315"/>
      <c r="F11" s="316">
        <v>148.47800000000001</v>
      </c>
      <c r="G11" s="316"/>
      <c r="H11" s="317"/>
      <c r="I11" s="316"/>
      <c r="J11" s="315"/>
      <c r="K11" s="316"/>
      <c r="L11" s="316"/>
      <c r="M11" s="315"/>
      <c r="N11" s="315"/>
      <c r="O11" s="315"/>
      <c r="P11" s="315"/>
      <c r="Q11" s="315"/>
      <c r="R11" s="315"/>
      <c r="S11" s="315"/>
      <c r="T11" s="315"/>
      <c r="U11" s="318"/>
      <c r="V11" s="319"/>
      <c r="W11" s="320"/>
      <c r="X11" s="323"/>
      <c r="Y11" s="323"/>
      <c r="Z11" s="322"/>
      <c r="AA11" s="323"/>
      <c r="AB11" s="323"/>
      <c r="AC11" s="323"/>
      <c r="AD11" s="324"/>
    </row>
    <row r="12" spans="1:30" s="313" customFormat="1" ht="24.75" customHeight="1" x14ac:dyDescent="0.35">
      <c r="A12" s="325">
        <v>2</v>
      </c>
      <c r="B12" s="315" t="s">
        <v>1032</v>
      </c>
      <c r="C12" s="315" t="s">
        <v>10</v>
      </c>
      <c r="D12" s="315" t="s">
        <v>9</v>
      </c>
      <c r="E12" s="315" t="s">
        <v>2003</v>
      </c>
      <c r="F12" s="316"/>
      <c r="G12" s="316">
        <f>F11</f>
        <v>148.47800000000001</v>
      </c>
      <c r="H12" s="326">
        <f>H10+F11</f>
        <v>256.43900000000002</v>
      </c>
      <c r="I12" s="316">
        <v>431.101</v>
      </c>
      <c r="J12" s="315">
        <v>70.72</v>
      </c>
      <c r="K12" s="316">
        <v>557.30999999999995</v>
      </c>
      <c r="L12" s="316">
        <v>278.65499999999997</v>
      </c>
      <c r="M12" s="315">
        <v>7</v>
      </c>
      <c r="N12" s="315">
        <v>220</v>
      </c>
      <c r="O12" s="315">
        <v>227</v>
      </c>
      <c r="P12" s="315">
        <v>53</v>
      </c>
      <c r="Q12" s="315">
        <v>215</v>
      </c>
      <c r="R12" s="315">
        <v>268</v>
      </c>
      <c r="S12" s="315" t="s">
        <v>2040</v>
      </c>
      <c r="T12" s="315" t="s">
        <v>2041</v>
      </c>
      <c r="U12" s="318">
        <v>517437.804</v>
      </c>
      <c r="V12" s="319">
        <v>2676745.3679999998</v>
      </c>
      <c r="W12" s="320"/>
      <c r="X12" s="323" t="s">
        <v>1030</v>
      </c>
      <c r="Y12" s="323" t="s">
        <v>1031</v>
      </c>
      <c r="Z12" s="322" t="s">
        <v>359</v>
      </c>
      <c r="AA12" s="323"/>
      <c r="AB12" s="323"/>
      <c r="AC12" s="323"/>
      <c r="AD12" s="324"/>
    </row>
    <row r="13" spans="1:30" s="313" customFormat="1" ht="24.75" customHeight="1" x14ac:dyDescent="0.35">
      <c r="A13" s="314"/>
      <c r="B13" s="315"/>
      <c r="C13" s="315"/>
      <c r="D13" s="315"/>
      <c r="E13" s="315"/>
      <c r="F13" s="316">
        <v>408.83199999999999</v>
      </c>
      <c r="G13" s="315"/>
      <c r="H13" s="317"/>
      <c r="I13" s="316"/>
      <c r="J13" s="315"/>
      <c r="K13" s="316"/>
      <c r="L13" s="316"/>
      <c r="M13" s="315"/>
      <c r="N13" s="315"/>
      <c r="O13" s="315"/>
      <c r="P13" s="315"/>
      <c r="Q13" s="315"/>
      <c r="R13" s="315"/>
      <c r="S13" s="315"/>
      <c r="T13" s="315"/>
      <c r="U13" s="318"/>
      <c r="V13" s="319"/>
      <c r="W13" s="320" t="s">
        <v>2004</v>
      </c>
      <c r="X13" s="323"/>
      <c r="Y13" s="323"/>
      <c r="Z13" s="322"/>
      <c r="AA13" s="323"/>
      <c r="AB13" s="323"/>
      <c r="AC13" s="323"/>
      <c r="AD13" s="324"/>
    </row>
    <row r="14" spans="1:30" s="313" customFormat="1" ht="24.75" customHeight="1" x14ac:dyDescent="0.35">
      <c r="A14" s="325">
        <v>3</v>
      </c>
      <c r="B14" s="315" t="s">
        <v>1033</v>
      </c>
      <c r="C14" s="315" t="s">
        <v>11</v>
      </c>
      <c r="D14" s="315" t="s">
        <v>12</v>
      </c>
      <c r="E14" s="315" t="s">
        <v>2005</v>
      </c>
      <c r="F14" s="316"/>
      <c r="G14" s="316">
        <f>F13</f>
        <v>408.83199999999999</v>
      </c>
      <c r="H14" s="326">
        <f>H12+F13</f>
        <v>665.27099999999996</v>
      </c>
      <c r="I14" s="316">
        <v>425.18</v>
      </c>
      <c r="J14" s="315">
        <v>73.72</v>
      </c>
      <c r="K14" s="316">
        <v>788.83199999999999</v>
      </c>
      <c r="L14" s="316">
        <v>394.416</v>
      </c>
      <c r="M14" s="315">
        <v>190</v>
      </c>
      <c r="N14" s="315">
        <v>213</v>
      </c>
      <c r="O14" s="315">
        <v>403</v>
      </c>
      <c r="P14" s="315">
        <v>194</v>
      </c>
      <c r="Q14" s="315">
        <v>206</v>
      </c>
      <c r="R14" s="315">
        <v>400</v>
      </c>
      <c r="S14" s="315" t="s">
        <v>2042</v>
      </c>
      <c r="T14" s="315" t="s">
        <v>2043</v>
      </c>
      <c r="U14" s="318">
        <v>517542.14299999998</v>
      </c>
      <c r="V14" s="319">
        <v>2676350.074</v>
      </c>
      <c r="W14" s="320"/>
      <c r="X14" s="323" t="s">
        <v>1030</v>
      </c>
      <c r="Y14" s="323" t="s">
        <v>1031</v>
      </c>
      <c r="Z14" s="322" t="s">
        <v>359</v>
      </c>
      <c r="AA14" s="323"/>
      <c r="AB14" s="323"/>
      <c r="AC14" s="323"/>
      <c r="AD14" s="324"/>
    </row>
    <row r="15" spans="1:30" s="313" customFormat="1" ht="24.75" customHeight="1" x14ac:dyDescent="0.35">
      <c r="A15" s="314"/>
      <c r="B15" s="315"/>
      <c r="C15" s="315"/>
      <c r="D15" s="315"/>
      <c r="E15" s="315"/>
      <c r="F15" s="316">
        <v>380</v>
      </c>
      <c r="G15" s="316"/>
      <c r="H15" s="317"/>
      <c r="I15" s="316"/>
      <c r="J15" s="315"/>
      <c r="K15" s="316"/>
      <c r="L15" s="316"/>
      <c r="M15" s="315"/>
      <c r="N15" s="315"/>
      <c r="O15" s="315"/>
      <c r="P15" s="315"/>
      <c r="Q15" s="315"/>
      <c r="R15" s="315"/>
      <c r="S15" s="315"/>
      <c r="T15" s="315"/>
      <c r="U15" s="318"/>
      <c r="V15" s="319"/>
      <c r="W15" s="320" t="s">
        <v>2006</v>
      </c>
      <c r="X15" s="323"/>
      <c r="Y15" s="323"/>
      <c r="Z15" s="322"/>
      <c r="AA15" s="323"/>
      <c r="AB15" s="323"/>
      <c r="AC15" s="323"/>
      <c r="AD15" s="324"/>
    </row>
    <row r="16" spans="1:30" s="313" customFormat="1" ht="24.75" customHeight="1" x14ac:dyDescent="0.35">
      <c r="A16" s="325">
        <v>4</v>
      </c>
      <c r="B16" s="315" t="s">
        <v>1025</v>
      </c>
      <c r="C16" s="315" t="s">
        <v>13</v>
      </c>
      <c r="D16" s="315" t="s">
        <v>14</v>
      </c>
      <c r="E16" s="315" t="s">
        <v>1025</v>
      </c>
      <c r="F16" s="316"/>
      <c r="G16" s="315" t="s">
        <v>1025</v>
      </c>
      <c r="H16" s="326">
        <f>H14+F15</f>
        <v>1045.271</v>
      </c>
      <c r="I16" s="316">
        <v>425.63</v>
      </c>
      <c r="J16" s="315">
        <v>71</v>
      </c>
      <c r="K16" s="316">
        <v>802</v>
      </c>
      <c r="L16" s="316">
        <v>401</v>
      </c>
      <c r="M16" s="315">
        <v>167</v>
      </c>
      <c r="N16" s="315">
        <v>198</v>
      </c>
      <c r="O16" s="315">
        <v>365</v>
      </c>
      <c r="P16" s="315">
        <v>175</v>
      </c>
      <c r="Q16" s="315">
        <v>202</v>
      </c>
      <c r="R16" s="315">
        <v>377</v>
      </c>
      <c r="S16" s="315" t="s">
        <v>2044</v>
      </c>
      <c r="T16" s="315" t="s">
        <v>2045</v>
      </c>
      <c r="U16" s="318">
        <v>517862.804</v>
      </c>
      <c r="V16" s="319">
        <v>2676146.17</v>
      </c>
      <c r="W16" s="320"/>
      <c r="X16" s="323" t="s">
        <v>1030</v>
      </c>
      <c r="Y16" s="323" t="s">
        <v>1031</v>
      </c>
      <c r="Z16" s="322" t="s">
        <v>359</v>
      </c>
      <c r="AA16" s="323"/>
      <c r="AB16" s="323"/>
      <c r="AC16" s="323"/>
      <c r="AD16" s="324"/>
    </row>
    <row r="17" spans="1:30" s="313" customFormat="1" ht="24.75" customHeight="1" x14ac:dyDescent="0.35">
      <c r="A17" s="314"/>
      <c r="B17" s="315"/>
      <c r="C17" s="315"/>
      <c r="D17" s="315"/>
      <c r="E17" s="315"/>
      <c r="F17" s="316">
        <v>422</v>
      </c>
      <c r="G17" s="316"/>
      <c r="H17" s="317"/>
      <c r="I17" s="316"/>
      <c r="J17" s="315"/>
      <c r="K17" s="316"/>
      <c r="L17" s="316"/>
      <c r="M17" s="315"/>
      <c r="N17" s="315"/>
      <c r="O17" s="315"/>
      <c r="P17" s="315"/>
      <c r="Q17" s="315"/>
      <c r="R17" s="315"/>
      <c r="S17" s="315"/>
      <c r="T17" s="315"/>
      <c r="U17" s="318"/>
      <c r="V17" s="319"/>
      <c r="W17" s="320" t="s">
        <v>2007</v>
      </c>
      <c r="X17" s="323"/>
      <c r="Y17" s="323"/>
      <c r="Z17" s="322"/>
      <c r="AA17" s="323"/>
      <c r="AB17" s="323"/>
      <c r="AC17" s="323"/>
      <c r="AD17" s="324"/>
    </row>
    <row r="18" spans="1:30" s="313" customFormat="1" ht="24.75" customHeight="1" x14ac:dyDescent="0.35">
      <c r="A18" s="325">
        <v>5</v>
      </c>
      <c r="B18" s="315" t="s">
        <v>1025</v>
      </c>
      <c r="C18" s="315" t="s">
        <v>15</v>
      </c>
      <c r="D18" s="315" t="s">
        <v>16</v>
      </c>
      <c r="E18" s="315" t="s">
        <v>1025</v>
      </c>
      <c r="F18" s="316"/>
      <c r="G18" s="315" t="s">
        <v>1025</v>
      </c>
      <c r="H18" s="326">
        <f>H16+F17</f>
        <v>1467.271</v>
      </c>
      <c r="I18" s="316">
        <v>420.86</v>
      </c>
      <c r="J18" s="315">
        <v>78.5</v>
      </c>
      <c r="K18" s="316">
        <v>830.35199999999998</v>
      </c>
      <c r="L18" s="316">
        <v>415.17599999999999</v>
      </c>
      <c r="M18" s="315">
        <v>225</v>
      </c>
      <c r="N18" s="315">
        <v>237</v>
      </c>
      <c r="O18" s="315">
        <v>462</v>
      </c>
      <c r="P18" s="315">
        <v>221</v>
      </c>
      <c r="Q18" s="315">
        <v>228</v>
      </c>
      <c r="R18" s="315">
        <v>449</v>
      </c>
      <c r="S18" s="315" t="s">
        <v>2046</v>
      </c>
      <c r="T18" s="315" t="s">
        <v>2047</v>
      </c>
      <c r="U18" s="318">
        <v>518218.90600000002</v>
      </c>
      <c r="V18" s="319">
        <v>2675919.73</v>
      </c>
      <c r="W18" s="320"/>
      <c r="X18" s="323" t="s">
        <v>1030</v>
      </c>
      <c r="Y18" s="323" t="s">
        <v>1031</v>
      </c>
      <c r="Z18" s="322" t="s">
        <v>359</v>
      </c>
      <c r="AA18" s="323"/>
      <c r="AB18" s="323"/>
      <c r="AC18" s="323"/>
      <c r="AD18" s="324"/>
    </row>
    <row r="19" spans="1:30" s="313" customFormat="1" ht="42" x14ac:dyDescent="0.35">
      <c r="A19" s="314"/>
      <c r="B19" s="315"/>
      <c r="C19" s="315"/>
      <c r="D19" s="315"/>
      <c r="E19" s="315"/>
      <c r="F19" s="316">
        <v>408.35199999999998</v>
      </c>
      <c r="G19" s="316"/>
      <c r="H19" s="317"/>
      <c r="I19" s="316"/>
      <c r="J19" s="315"/>
      <c r="K19" s="316"/>
      <c r="L19" s="316"/>
      <c r="M19" s="315"/>
      <c r="N19" s="315"/>
      <c r="O19" s="315"/>
      <c r="P19" s="315"/>
      <c r="Q19" s="315"/>
      <c r="R19" s="315"/>
      <c r="S19" s="315"/>
      <c r="T19" s="315"/>
      <c r="U19" s="318"/>
      <c r="V19" s="319"/>
      <c r="W19" s="320" t="s">
        <v>2008</v>
      </c>
      <c r="X19" s="323"/>
      <c r="Y19" s="323"/>
      <c r="Z19" s="322"/>
      <c r="AA19" s="323"/>
      <c r="AB19" s="323"/>
      <c r="AC19" s="323"/>
      <c r="AD19" s="324"/>
    </row>
    <row r="20" spans="1:30" s="313" customFormat="1" ht="24.75" customHeight="1" x14ac:dyDescent="0.35">
      <c r="A20" s="325">
        <v>6</v>
      </c>
      <c r="B20" s="315" t="s">
        <v>1034</v>
      </c>
      <c r="C20" s="315" t="s">
        <v>17</v>
      </c>
      <c r="D20" s="315" t="s">
        <v>18</v>
      </c>
      <c r="E20" s="315" t="s">
        <v>2009</v>
      </c>
      <c r="F20" s="316"/>
      <c r="G20" s="316">
        <f>SUM(F15:F19)</f>
        <v>1210.3519999999999</v>
      </c>
      <c r="H20" s="326">
        <f>H18+F19</f>
        <v>1875.623</v>
      </c>
      <c r="I20" s="316">
        <v>420.53199999999998</v>
      </c>
      <c r="J20" s="315">
        <v>70.72</v>
      </c>
      <c r="K20" s="316">
        <v>827.80499999999995</v>
      </c>
      <c r="L20" s="316">
        <v>413.90249999999997</v>
      </c>
      <c r="M20" s="315">
        <v>171</v>
      </c>
      <c r="N20" s="315">
        <v>124</v>
      </c>
      <c r="O20" s="315">
        <v>295</v>
      </c>
      <c r="P20" s="315">
        <v>182</v>
      </c>
      <c r="Q20" s="315">
        <v>149</v>
      </c>
      <c r="R20" s="315">
        <v>331</v>
      </c>
      <c r="S20" s="315" t="s">
        <v>2048</v>
      </c>
      <c r="T20" s="315" t="s">
        <v>2049</v>
      </c>
      <c r="U20" s="318">
        <v>518563.49099999998</v>
      </c>
      <c r="V20" s="319">
        <v>2675700.6129999999</v>
      </c>
      <c r="W20" s="320"/>
      <c r="X20" s="323" t="s">
        <v>1035</v>
      </c>
      <c r="Y20" s="323" t="s">
        <v>1031</v>
      </c>
      <c r="Z20" s="322" t="s">
        <v>359</v>
      </c>
      <c r="AA20" s="323"/>
      <c r="AB20" s="323"/>
      <c r="AC20" s="323"/>
      <c r="AD20" s="324"/>
    </row>
    <row r="21" spans="1:30" s="313" customFormat="1" ht="24.75" customHeight="1" x14ac:dyDescent="0.35">
      <c r="A21" s="314"/>
      <c r="B21" s="315"/>
      <c r="C21" s="315"/>
      <c r="D21" s="315"/>
      <c r="E21" s="315"/>
      <c r="F21" s="316">
        <v>419.45299999999997</v>
      </c>
      <c r="G21" s="316"/>
      <c r="H21" s="317"/>
      <c r="I21" s="316"/>
      <c r="J21" s="315"/>
      <c r="K21" s="316"/>
      <c r="L21" s="316"/>
      <c r="M21" s="315"/>
      <c r="N21" s="315"/>
      <c r="O21" s="315"/>
      <c r="P21" s="315"/>
      <c r="Q21" s="315"/>
      <c r="R21" s="315"/>
      <c r="S21" s="315"/>
      <c r="T21" s="315"/>
      <c r="U21" s="318"/>
      <c r="V21" s="319"/>
      <c r="W21" s="320" t="s">
        <v>1036</v>
      </c>
      <c r="X21" s="323"/>
      <c r="Y21" s="323"/>
      <c r="Z21" s="322"/>
      <c r="AA21" s="323"/>
      <c r="AB21" s="323"/>
      <c r="AC21" s="323"/>
      <c r="AD21" s="324"/>
    </row>
    <row r="22" spans="1:30" s="313" customFormat="1" ht="14.5" x14ac:dyDescent="0.35">
      <c r="A22" s="325">
        <v>7</v>
      </c>
      <c r="B22" s="315" t="s">
        <v>1025</v>
      </c>
      <c r="C22" s="315" t="s">
        <v>19</v>
      </c>
      <c r="D22" s="315" t="s">
        <v>20</v>
      </c>
      <c r="E22" s="315" t="s">
        <v>1025</v>
      </c>
      <c r="F22" s="316"/>
      <c r="G22" s="315" t="s">
        <v>1025</v>
      </c>
      <c r="H22" s="326">
        <f>H20+F21</f>
        <v>2295.076</v>
      </c>
      <c r="I22" s="316">
        <v>429.12900000000002</v>
      </c>
      <c r="J22" s="315">
        <v>81.5</v>
      </c>
      <c r="K22" s="316">
        <v>800.45299999999997</v>
      </c>
      <c r="L22" s="316">
        <v>400.22649999999999</v>
      </c>
      <c r="M22" s="315">
        <v>297</v>
      </c>
      <c r="N22" s="315">
        <v>175</v>
      </c>
      <c r="O22" s="315">
        <v>472</v>
      </c>
      <c r="P22" s="315">
        <v>272</v>
      </c>
      <c r="Q22" s="315">
        <v>179</v>
      </c>
      <c r="R22" s="315">
        <v>451</v>
      </c>
      <c r="S22" s="315" t="s">
        <v>2050</v>
      </c>
      <c r="T22" s="315" t="s">
        <v>2051</v>
      </c>
      <c r="U22" s="318">
        <v>518971.67</v>
      </c>
      <c r="V22" s="319">
        <v>2675604.017</v>
      </c>
      <c r="W22" s="327" t="s">
        <v>1810</v>
      </c>
      <c r="X22" s="323" t="s">
        <v>1035</v>
      </c>
      <c r="Y22" s="323" t="s">
        <v>1031</v>
      </c>
      <c r="Z22" s="322" t="s">
        <v>359</v>
      </c>
      <c r="AA22" s="279">
        <v>1.5</v>
      </c>
      <c r="AB22" s="279"/>
      <c r="AC22" s="279"/>
      <c r="AD22" s="280">
        <v>0.5</v>
      </c>
    </row>
    <row r="23" spans="1:30" s="313" customFormat="1" ht="24.75" customHeight="1" x14ac:dyDescent="0.35">
      <c r="A23" s="314"/>
      <c r="B23" s="315"/>
      <c r="C23" s="315"/>
      <c r="D23" s="315"/>
      <c r="E23" s="315"/>
      <c r="F23" s="316">
        <v>381</v>
      </c>
      <c r="G23" s="316"/>
      <c r="H23" s="317"/>
      <c r="I23" s="316"/>
      <c r="J23" s="315"/>
      <c r="K23" s="316"/>
      <c r="L23" s="316"/>
      <c r="M23" s="315"/>
      <c r="N23" s="315"/>
      <c r="O23" s="315"/>
      <c r="P23" s="315"/>
      <c r="Q23" s="315"/>
      <c r="R23" s="315"/>
      <c r="S23" s="315"/>
      <c r="T23" s="315"/>
      <c r="U23" s="318"/>
      <c r="V23" s="319"/>
      <c r="W23" s="328" t="s">
        <v>1037</v>
      </c>
      <c r="X23" s="323"/>
      <c r="Y23" s="323"/>
      <c r="Z23" s="322"/>
      <c r="AA23" s="323"/>
      <c r="AB23" s="323"/>
      <c r="AC23" s="323"/>
      <c r="AD23" s="324"/>
    </row>
    <row r="24" spans="1:30" s="313" customFormat="1" ht="14.5" x14ac:dyDescent="0.35">
      <c r="A24" s="325">
        <v>8</v>
      </c>
      <c r="B24" s="315" t="s">
        <v>1025</v>
      </c>
      <c r="C24" s="315" t="s">
        <v>21</v>
      </c>
      <c r="D24" s="315" t="s">
        <v>20</v>
      </c>
      <c r="E24" s="315" t="s">
        <v>1025</v>
      </c>
      <c r="F24" s="316"/>
      <c r="G24" s="315" t="s">
        <v>1025</v>
      </c>
      <c r="H24" s="326">
        <f>H22+F23</f>
        <v>2676.076</v>
      </c>
      <c r="I24" s="316">
        <v>432.12900000000002</v>
      </c>
      <c r="J24" s="315">
        <v>81.5</v>
      </c>
      <c r="K24" s="316">
        <v>798.00199999999995</v>
      </c>
      <c r="L24" s="316">
        <v>399.00099999999998</v>
      </c>
      <c r="M24" s="315">
        <v>207</v>
      </c>
      <c r="N24" s="315">
        <v>312</v>
      </c>
      <c r="O24" s="315">
        <v>519</v>
      </c>
      <c r="P24" s="315">
        <v>203</v>
      </c>
      <c r="Q24" s="315">
        <v>282</v>
      </c>
      <c r="R24" s="315">
        <v>485</v>
      </c>
      <c r="S24" s="315" t="s">
        <v>2052</v>
      </c>
      <c r="T24" s="315" t="s">
        <v>2053</v>
      </c>
      <c r="U24" s="318">
        <v>519342.43</v>
      </c>
      <c r="V24" s="319">
        <v>2675516.2749999999</v>
      </c>
      <c r="W24" s="327" t="s">
        <v>1810</v>
      </c>
      <c r="X24" s="323" t="s">
        <v>1035</v>
      </c>
      <c r="Y24" s="323" t="s">
        <v>1031</v>
      </c>
      <c r="Z24" s="322" t="s">
        <v>359</v>
      </c>
      <c r="AA24" s="279">
        <v>1.5</v>
      </c>
      <c r="AB24" s="279">
        <v>2</v>
      </c>
      <c r="AC24" s="279"/>
      <c r="AD24" s="280"/>
    </row>
    <row r="25" spans="1:30" s="313" customFormat="1" ht="24.75" customHeight="1" x14ac:dyDescent="0.35">
      <c r="A25" s="314"/>
      <c r="B25" s="315"/>
      <c r="C25" s="315"/>
      <c r="D25" s="315"/>
      <c r="E25" s="315"/>
      <c r="F25" s="316">
        <v>417.00200000000001</v>
      </c>
      <c r="G25" s="316"/>
      <c r="H25" s="317"/>
      <c r="I25" s="316"/>
      <c r="J25" s="323"/>
      <c r="K25" s="316"/>
      <c r="L25" s="316"/>
      <c r="M25" s="315"/>
      <c r="N25" s="315"/>
      <c r="O25" s="315"/>
      <c r="P25" s="315"/>
      <c r="Q25" s="315"/>
      <c r="R25" s="315"/>
      <c r="S25" s="315"/>
      <c r="T25" s="315"/>
      <c r="U25" s="318"/>
      <c r="V25" s="319"/>
      <c r="W25" s="320"/>
      <c r="X25" s="323"/>
      <c r="Y25" s="323"/>
      <c r="Z25" s="322"/>
      <c r="AA25" s="323"/>
      <c r="AB25" s="323"/>
      <c r="AC25" s="323"/>
      <c r="AD25" s="324"/>
    </row>
    <row r="26" spans="1:30" s="313" customFormat="1" ht="24.75" customHeight="1" x14ac:dyDescent="0.35">
      <c r="A26" s="325">
        <v>9</v>
      </c>
      <c r="B26" s="315" t="s">
        <v>1025</v>
      </c>
      <c r="C26" s="315" t="s">
        <v>22</v>
      </c>
      <c r="D26" s="315" t="s">
        <v>23</v>
      </c>
      <c r="E26" s="315" t="s">
        <v>1025</v>
      </c>
      <c r="F26" s="316"/>
      <c r="G26" s="315" t="s">
        <v>1025</v>
      </c>
      <c r="H26" s="326">
        <f>H24+F25</f>
        <v>3093.078</v>
      </c>
      <c r="I26" s="316">
        <v>423.42700000000002</v>
      </c>
      <c r="J26" s="315">
        <v>69.5</v>
      </c>
      <c r="K26" s="316">
        <v>834.00400000000002</v>
      </c>
      <c r="L26" s="316">
        <v>417.00200000000001</v>
      </c>
      <c r="M26" s="315">
        <v>107</v>
      </c>
      <c r="N26" s="315">
        <v>196</v>
      </c>
      <c r="O26" s="315">
        <v>303</v>
      </c>
      <c r="P26" s="315">
        <v>136</v>
      </c>
      <c r="Q26" s="315">
        <v>200</v>
      </c>
      <c r="R26" s="315">
        <v>336</v>
      </c>
      <c r="S26" s="315" t="s">
        <v>2054</v>
      </c>
      <c r="T26" s="315" t="s">
        <v>2055</v>
      </c>
      <c r="U26" s="318">
        <v>519748.223</v>
      </c>
      <c r="V26" s="319">
        <v>2675420.2429999998</v>
      </c>
      <c r="W26" s="320"/>
      <c r="X26" s="323" t="s">
        <v>1038</v>
      </c>
      <c r="Y26" s="323" t="s">
        <v>1031</v>
      </c>
      <c r="Z26" s="322" t="s">
        <v>359</v>
      </c>
      <c r="AA26" s="323"/>
      <c r="AB26" s="323"/>
      <c r="AC26" s="323"/>
      <c r="AD26" s="324"/>
    </row>
    <row r="27" spans="1:30" s="313" customFormat="1" ht="24.75" customHeight="1" x14ac:dyDescent="0.35">
      <c r="A27" s="314"/>
      <c r="B27" s="315"/>
      <c r="C27" s="315"/>
      <c r="D27" s="315"/>
      <c r="E27" s="315"/>
      <c r="F27" s="316">
        <v>417.00200000000001</v>
      </c>
      <c r="G27" s="316"/>
      <c r="H27" s="317"/>
      <c r="I27" s="316"/>
      <c r="J27" s="315"/>
      <c r="K27" s="316"/>
      <c r="L27" s="316"/>
      <c r="M27" s="315"/>
      <c r="N27" s="315"/>
      <c r="O27" s="315"/>
      <c r="P27" s="315"/>
      <c r="Q27" s="315"/>
      <c r="R27" s="315"/>
      <c r="S27" s="315"/>
      <c r="T27" s="315"/>
      <c r="U27" s="318"/>
      <c r="V27" s="319"/>
      <c r="W27" s="320" t="s">
        <v>1039</v>
      </c>
      <c r="X27" s="323"/>
      <c r="Y27" s="323"/>
      <c r="Z27" s="322"/>
      <c r="AA27" s="323"/>
      <c r="AB27" s="323"/>
      <c r="AC27" s="323"/>
      <c r="AD27" s="324"/>
    </row>
    <row r="28" spans="1:30" s="313" customFormat="1" ht="24.75" customHeight="1" x14ac:dyDescent="0.35">
      <c r="A28" s="325">
        <v>10</v>
      </c>
      <c r="B28" s="315" t="s">
        <v>1025</v>
      </c>
      <c r="C28" s="315" t="s">
        <v>24</v>
      </c>
      <c r="D28" s="315" t="s">
        <v>16</v>
      </c>
      <c r="E28" s="315" t="s">
        <v>1025</v>
      </c>
      <c r="F28" s="316"/>
      <c r="G28" s="315" t="s">
        <v>1025</v>
      </c>
      <c r="H28" s="326">
        <f>H26+F27</f>
        <v>3510.08</v>
      </c>
      <c r="I28" s="316">
        <v>416.97800000000001</v>
      </c>
      <c r="J28" s="315">
        <v>78.5</v>
      </c>
      <c r="K28" s="316">
        <v>834.00400000000002</v>
      </c>
      <c r="L28" s="316">
        <v>417.00200000000001</v>
      </c>
      <c r="M28" s="315">
        <v>221</v>
      </c>
      <c r="N28" s="315">
        <v>270</v>
      </c>
      <c r="O28" s="315">
        <v>491</v>
      </c>
      <c r="P28" s="315">
        <v>218</v>
      </c>
      <c r="Q28" s="315">
        <v>253</v>
      </c>
      <c r="R28" s="315">
        <v>471</v>
      </c>
      <c r="S28" s="315" t="s">
        <v>2056</v>
      </c>
      <c r="T28" s="315" t="s">
        <v>2057</v>
      </c>
      <c r="U28" s="318">
        <v>520154.016</v>
      </c>
      <c r="V28" s="319">
        <v>2675324.2110000001</v>
      </c>
      <c r="W28" s="320"/>
      <c r="X28" s="323" t="s">
        <v>1038</v>
      </c>
      <c r="Y28" s="323" t="s">
        <v>1031</v>
      </c>
      <c r="Z28" s="322" t="s">
        <v>359</v>
      </c>
      <c r="AA28" s="323"/>
      <c r="AB28" s="323"/>
      <c r="AC28" s="323"/>
      <c r="AD28" s="324"/>
    </row>
    <row r="29" spans="1:30" s="313" customFormat="1" ht="24.75" customHeight="1" x14ac:dyDescent="0.35">
      <c r="A29" s="314"/>
      <c r="B29" s="315"/>
      <c r="C29" s="315"/>
      <c r="D29" s="315"/>
      <c r="E29" s="315"/>
      <c r="F29" s="316">
        <v>417.00200000000001</v>
      </c>
      <c r="G29" s="316"/>
      <c r="H29" s="317"/>
      <c r="I29" s="316"/>
      <c r="J29" s="315"/>
      <c r="K29" s="316"/>
      <c r="L29" s="316"/>
      <c r="M29" s="315"/>
      <c r="N29" s="315"/>
      <c r="O29" s="315"/>
      <c r="P29" s="315"/>
      <c r="Q29" s="315"/>
      <c r="R29" s="315"/>
      <c r="S29" s="315"/>
      <c r="T29" s="315"/>
      <c r="U29" s="318"/>
      <c r="V29" s="319"/>
      <c r="W29" s="320" t="s">
        <v>1040</v>
      </c>
      <c r="X29" s="323"/>
      <c r="Y29" s="323"/>
      <c r="Z29" s="322"/>
      <c r="AA29" s="323"/>
      <c r="AB29" s="323"/>
      <c r="AC29" s="323"/>
      <c r="AD29" s="324"/>
    </row>
    <row r="30" spans="1:30" s="313" customFormat="1" ht="24.75" customHeight="1" x14ac:dyDescent="0.35">
      <c r="A30" s="325">
        <v>11</v>
      </c>
      <c r="B30" s="315" t="s">
        <v>1025</v>
      </c>
      <c r="C30" s="315" t="s">
        <v>25</v>
      </c>
      <c r="D30" s="315" t="s">
        <v>23</v>
      </c>
      <c r="E30" s="315" t="s">
        <v>1025</v>
      </c>
      <c r="F30" s="316"/>
      <c r="G30" s="315" t="s">
        <v>1025</v>
      </c>
      <c r="H30" s="326">
        <f>H28+F29</f>
        <v>3927.0819999999999</v>
      </c>
      <c r="I30" s="316">
        <v>413.57299999999998</v>
      </c>
      <c r="J30" s="315">
        <v>69.5</v>
      </c>
      <c r="K30" s="316">
        <v>805.005</v>
      </c>
      <c r="L30" s="316">
        <v>402.5025</v>
      </c>
      <c r="M30" s="315">
        <v>148</v>
      </c>
      <c r="N30" s="315">
        <v>163</v>
      </c>
      <c r="O30" s="315">
        <v>311</v>
      </c>
      <c r="P30" s="315">
        <v>166</v>
      </c>
      <c r="Q30" s="315">
        <v>172</v>
      </c>
      <c r="R30" s="315">
        <v>338</v>
      </c>
      <c r="S30" s="315" t="s">
        <v>2058</v>
      </c>
      <c r="T30" s="315" t="s">
        <v>2059</v>
      </c>
      <c r="U30" s="318">
        <v>520559.81</v>
      </c>
      <c r="V30" s="319">
        <v>2675228.179</v>
      </c>
      <c r="W30" s="320"/>
      <c r="X30" s="323" t="s">
        <v>1038</v>
      </c>
      <c r="Y30" s="323" t="s">
        <v>1031</v>
      </c>
      <c r="Z30" s="322" t="s">
        <v>359</v>
      </c>
      <c r="AA30" s="323"/>
      <c r="AB30" s="323"/>
      <c r="AC30" s="323"/>
      <c r="AD30" s="324"/>
    </row>
    <row r="31" spans="1:30" s="313" customFormat="1" ht="24.75" customHeight="1" x14ac:dyDescent="0.35">
      <c r="A31" s="314"/>
      <c r="B31" s="315"/>
      <c r="C31" s="315"/>
      <c r="D31" s="315"/>
      <c r="E31" s="315"/>
      <c r="F31" s="316">
        <v>388.00299999999999</v>
      </c>
      <c r="G31" s="316"/>
      <c r="H31" s="317"/>
      <c r="I31" s="316"/>
      <c r="J31" s="315"/>
      <c r="K31" s="316"/>
      <c r="L31" s="316"/>
      <c r="M31" s="315"/>
      <c r="N31" s="315"/>
      <c r="O31" s="315"/>
      <c r="P31" s="315"/>
      <c r="Q31" s="315"/>
      <c r="R31" s="315"/>
      <c r="S31" s="315"/>
      <c r="T31" s="315"/>
      <c r="U31" s="318"/>
      <c r="V31" s="319"/>
      <c r="W31" s="320" t="s">
        <v>1037</v>
      </c>
      <c r="X31" s="323"/>
      <c r="Y31" s="323"/>
      <c r="Z31" s="322"/>
      <c r="AA31" s="323"/>
      <c r="AB31" s="323"/>
      <c r="AC31" s="323"/>
      <c r="AD31" s="324"/>
    </row>
    <row r="32" spans="1:30" s="313" customFormat="1" ht="24.75" customHeight="1" x14ac:dyDescent="0.35">
      <c r="A32" s="325">
        <v>12</v>
      </c>
      <c r="B32" s="315" t="s">
        <v>1025</v>
      </c>
      <c r="C32" s="315" t="s">
        <v>26</v>
      </c>
      <c r="D32" s="315" t="s">
        <v>16</v>
      </c>
      <c r="E32" s="315" t="s">
        <v>1025</v>
      </c>
      <c r="F32" s="316"/>
      <c r="G32" s="315" t="s">
        <v>1025</v>
      </c>
      <c r="H32" s="326">
        <f>H30+F31</f>
        <v>4315.085</v>
      </c>
      <c r="I32" s="316">
        <v>410.48700000000002</v>
      </c>
      <c r="J32" s="315">
        <v>78.5</v>
      </c>
      <c r="K32" s="316">
        <v>840.346</v>
      </c>
      <c r="L32" s="316">
        <v>420.173</v>
      </c>
      <c r="M32" s="315">
        <v>226</v>
      </c>
      <c r="N32" s="315">
        <v>248</v>
      </c>
      <c r="O32" s="315">
        <v>474</v>
      </c>
      <c r="P32" s="315">
        <v>217</v>
      </c>
      <c r="Q32" s="315">
        <v>242</v>
      </c>
      <c r="R32" s="315">
        <v>459</v>
      </c>
      <c r="S32" s="315" t="s">
        <v>2060</v>
      </c>
      <c r="T32" s="315" t="s">
        <v>2061</v>
      </c>
      <c r="U32" s="318">
        <v>520937.38299999997</v>
      </c>
      <c r="V32" s="319">
        <v>2675138.8259999999</v>
      </c>
      <c r="W32" s="320"/>
      <c r="X32" s="323" t="s">
        <v>1038</v>
      </c>
      <c r="Y32" s="323" t="s">
        <v>1031</v>
      </c>
      <c r="Z32" s="322" t="s">
        <v>359</v>
      </c>
      <c r="AA32" s="323"/>
      <c r="AB32" s="323"/>
      <c r="AC32" s="323"/>
      <c r="AD32" s="324"/>
    </row>
    <row r="33" spans="1:30" s="313" customFormat="1" ht="28" x14ac:dyDescent="0.35">
      <c r="A33" s="314"/>
      <c r="B33" s="315"/>
      <c r="C33" s="315"/>
      <c r="D33" s="315"/>
      <c r="E33" s="315"/>
      <c r="F33" s="316">
        <v>452.34300000000002</v>
      </c>
      <c r="G33" s="316"/>
      <c r="H33" s="317"/>
      <c r="I33" s="316"/>
      <c r="J33" s="315"/>
      <c r="K33" s="316"/>
      <c r="L33" s="316"/>
      <c r="M33" s="315"/>
      <c r="N33" s="315"/>
      <c r="O33" s="315"/>
      <c r="P33" s="315"/>
      <c r="Q33" s="315"/>
      <c r="R33" s="315"/>
      <c r="S33" s="315"/>
      <c r="T33" s="315"/>
      <c r="U33" s="318"/>
      <c r="V33" s="319"/>
      <c r="W33" s="320" t="s">
        <v>2010</v>
      </c>
      <c r="X33" s="323"/>
      <c r="Y33" s="323"/>
      <c r="Z33" s="322"/>
      <c r="AA33" s="323"/>
      <c r="AB33" s="323"/>
      <c r="AC33" s="323"/>
      <c r="AD33" s="324"/>
    </row>
    <row r="34" spans="1:30" s="313" customFormat="1" ht="24.75" customHeight="1" x14ac:dyDescent="0.35">
      <c r="A34" s="325">
        <v>13</v>
      </c>
      <c r="B34" s="315" t="s">
        <v>1041</v>
      </c>
      <c r="C34" s="315" t="s">
        <v>27</v>
      </c>
      <c r="D34" s="315" t="s">
        <v>28</v>
      </c>
      <c r="E34" s="315" t="s">
        <v>2062</v>
      </c>
      <c r="F34" s="316"/>
      <c r="G34" s="316">
        <f>SUM(F21:F33)</f>
        <v>2891.8049999999998</v>
      </c>
      <c r="H34" s="326">
        <f>H32+F33</f>
        <v>4767.4279999999999</v>
      </c>
      <c r="I34" s="316">
        <v>411.76100000000002</v>
      </c>
      <c r="J34" s="315">
        <v>70.72</v>
      </c>
      <c r="K34" s="316">
        <v>853.34300000000007</v>
      </c>
      <c r="L34" s="316">
        <v>426.67150000000004</v>
      </c>
      <c r="M34" s="315">
        <v>205</v>
      </c>
      <c r="N34" s="315">
        <v>239</v>
      </c>
      <c r="O34" s="315">
        <v>444</v>
      </c>
      <c r="P34" s="315">
        <v>212</v>
      </c>
      <c r="Q34" s="315">
        <v>227</v>
      </c>
      <c r="R34" s="315">
        <v>439</v>
      </c>
      <c r="S34" s="315" t="s">
        <v>2063</v>
      </c>
      <c r="T34" s="315" t="s">
        <v>2064</v>
      </c>
      <c r="U34" s="318">
        <v>521377.56800000003</v>
      </c>
      <c r="V34" s="319">
        <v>2675034.6549999998</v>
      </c>
      <c r="W34" s="320"/>
      <c r="X34" s="329" t="s">
        <v>1042</v>
      </c>
      <c r="Y34" s="329" t="s">
        <v>1043</v>
      </c>
      <c r="Z34" s="330" t="s">
        <v>359</v>
      </c>
      <c r="AA34" s="323"/>
      <c r="AB34" s="323"/>
      <c r="AC34" s="323"/>
      <c r="AD34" s="324"/>
    </row>
    <row r="35" spans="1:30" s="337" customFormat="1" ht="24.75" customHeight="1" x14ac:dyDescent="0.35">
      <c r="A35" s="314"/>
      <c r="B35" s="331"/>
      <c r="C35" s="331"/>
      <c r="D35" s="331"/>
      <c r="E35" s="331"/>
      <c r="F35" s="331">
        <v>401</v>
      </c>
      <c r="G35" s="331"/>
      <c r="H35" s="317"/>
      <c r="I35" s="331"/>
      <c r="J35" s="331"/>
      <c r="K35" s="331"/>
      <c r="L35" s="331"/>
      <c r="M35" s="331"/>
      <c r="N35" s="331"/>
      <c r="O35" s="331"/>
      <c r="P35" s="331"/>
      <c r="Q35" s="331"/>
      <c r="R35" s="331"/>
      <c r="S35" s="332"/>
      <c r="T35" s="332"/>
      <c r="U35" s="333"/>
      <c r="V35" s="333"/>
      <c r="W35" s="334" t="s">
        <v>1044</v>
      </c>
      <c r="X35" s="323"/>
      <c r="Y35" s="323"/>
      <c r="Z35" s="335"/>
      <c r="AA35" s="331"/>
      <c r="AB35" s="331"/>
      <c r="AC35" s="331"/>
      <c r="AD35" s="336"/>
    </row>
    <row r="36" spans="1:30" s="337" customFormat="1" ht="24.75" customHeight="1" x14ac:dyDescent="0.35">
      <c r="A36" s="325">
        <v>14</v>
      </c>
      <c r="B36" s="331" t="s">
        <v>1025</v>
      </c>
      <c r="C36" s="331" t="s">
        <v>29</v>
      </c>
      <c r="D36" s="331" t="s">
        <v>23</v>
      </c>
      <c r="E36" s="331" t="s">
        <v>1025</v>
      </c>
      <c r="F36" s="331"/>
      <c r="G36" s="331" t="s">
        <v>1025</v>
      </c>
      <c r="H36" s="326">
        <f>H34+F35</f>
        <v>5168.4279999999999</v>
      </c>
      <c r="I36" s="331">
        <v>407.68200000000002</v>
      </c>
      <c r="J36" s="331">
        <v>69.5</v>
      </c>
      <c r="K36" s="331">
        <f>F35+F37</f>
        <v>731</v>
      </c>
      <c r="L36" s="331">
        <f>K36/2</f>
        <v>365.5</v>
      </c>
      <c r="M36" s="331">
        <v>162</v>
      </c>
      <c r="N36" s="331">
        <v>118</v>
      </c>
      <c r="O36" s="331">
        <v>280</v>
      </c>
      <c r="P36" s="331">
        <v>175</v>
      </c>
      <c r="Q36" s="331">
        <v>134</v>
      </c>
      <c r="R36" s="331">
        <v>309</v>
      </c>
      <c r="S36" s="332" t="s">
        <v>2065</v>
      </c>
      <c r="T36" s="332" t="s">
        <v>2066</v>
      </c>
      <c r="U36" s="333">
        <v>521769.25699999998</v>
      </c>
      <c r="V36" s="333">
        <v>2674948.7439999999</v>
      </c>
      <c r="W36" s="334"/>
      <c r="X36" s="315" t="s">
        <v>1042</v>
      </c>
      <c r="Y36" s="315" t="s">
        <v>1043</v>
      </c>
      <c r="Z36" s="335" t="s">
        <v>359</v>
      </c>
      <c r="AA36" s="331"/>
      <c r="AB36" s="331"/>
      <c r="AC36" s="331"/>
      <c r="AD36" s="336"/>
    </row>
    <row r="37" spans="1:30" s="337" customFormat="1" ht="24.75" customHeight="1" x14ac:dyDescent="0.35">
      <c r="A37" s="314"/>
      <c r="B37" s="331"/>
      <c r="C37" s="331"/>
      <c r="D37" s="331"/>
      <c r="E37" s="331"/>
      <c r="F37" s="331">
        <v>330</v>
      </c>
      <c r="G37" s="331"/>
      <c r="H37" s="317"/>
      <c r="I37" s="331"/>
      <c r="J37" s="331"/>
      <c r="K37" s="331"/>
      <c r="L37" s="331"/>
      <c r="M37" s="331"/>
      <c r="N37" s="331"/>
      <c r="O37" s="331"/>
      <c r="P37" s="331"/>
      <c r="Q37" s="331"/>
      <c r="R37" s="331"/>
      <c r="S37" s="332"/>
      <c r="T37" s="332"/>
      <c r="U37" s="333"/>
      <c r="V37" s="333"/>
      <c r="W37" s="334" t="s">
        <v>1045</v>
      </c>
      <c r="X37" s="323"/>
      <c r="Y37" s="323"/>
      <c r="Z37" s="335"/>
      <c r="AA37" s="331"/>
      <c r="AB37" s="331"/>
      <c r="AC37" s="331"/>
      <c r="AD37" s="336"/>
    </row>
    <row r="38" spans="1:30" s="337" customFormat="1" ht="24.75" customHeight="1" x14ac:dyDescent="0.35">
      <c r="A38" s="325">
        <v>15</v>
      </c>
      <c r="B38" s="331" t="s">
        <v>1025</v>
      </c>
      <c r="C38" s="331" t="s">
        <v>30</v>
      </c>
      <c r="D38" s="331" t="s">
        <v>31</v>
      </c>
      <c r="E38" s="331" t="s">
        <v>1025</v>
      </c>
      <c r="F38" s="331"/>
      <c r="G38" s="331" t="s">
        <v>1025</v>
      </c>
      <c r="H38" s="326">
        <f>H36+F37</f>
        <v>5498.4279999999999</v>
      </c>
      <c r="I38" s="338">
        <v>411.85399999999998</v>
      </c>
      <c r="J38" s="331">
        <v>72.5</v>
      </c>
      <c r="K38" s="331">
        <f>F37+F39</f>
        <v>743</v>
      </c>
      <c r="L38" s="331">
        <f>K38/2</f>
        <v>371.5</v>
      </c>
      <c r="M38" s="331">
        <v>212</v>
      </c>
      <c r="N38" s="331">
        <v>194</v>
      </c>
      <c r="O38" s="331">
        <v>406</v>
      </c>
      <c r="P38" s="331">
        <v>197</v>
      </c>
      <c r="Q38" s="331">
        <v>199</v>
      </c>
      <c r="R38" s="331">
        <v>396</v>
      </c>
      <c r="S38" s="332" t="s">
        <v>1046</v>
      </c>
      <c r="T38" s="332" t="s">
        <v>1047</v>
      </c>
      <c r="U38" s="333">
        <v>522091.59499999997</v>
      </c>
      <c r="V38" s="333">
        <v>2674878.0449999999</v>
      </c>
      <c r="W38" s="334"/>
      <c r="X38" s="315" t="s">
        <v>1048</v>
      </c>
      <c r="Y38" s="315" t="s">
        <v>1043</v>
      </c>
      <c r="Z38" s="335" t="s">
        <v>359</v>
      </c>
      <c r="AA38" s="331"/>
      <c r="AB38" s="331"/>
      <c r="AC38" s="331"/>
      <c r="AD38" s="336"/>
    </row>
    <row r="39" spans="1:30" s="337" customFormat="1" ht="28" x14ac:dyDescent="0.35">
      <c r="A39" s="314"/>
      <c r="B39" s="331"/>
      <c r="C39" s="331"/>
      <c r="D39" s="331"/>
      <c r="E39" s="331"/>
      <c r="F39" s="331">
        <v>413</v>
      </c>
      <c r="G39" s="331"/>
      <c r="H39" s="317"/>
      <c r="I39" s="331"/>
      <c r="J39" s="331"/>
      <c r="K39" s="331"/>
      <c r="L39" s="331"/>
      <c r="M39" s="331"/>
      <c r="N39" s="331"/>
      <c r="O39" s="331"/>
      <c r="P39" s="331"/>
      <c r="Q39" s="331"/>
      <c r="R39" s="331"/>
      <c r="S39" s="332"/>
      <c r="T39" s="332"/>
      <c r="U39" s="333"/>
      <c r="V39" s="333"/>
      <c r="W39" s="334" t="s">
        <v>1049</v>
      </c>
      <c r="X39" s="323"/>
      <c r="Y39" s="323"/>
      <c r="Z39" s="335"/>
      <c r="AA39" s="331"/>
      <c r="AB39" s="331"/>
      <c r="AC39" s="331"/>
      <c r="AD39" s="336"/>
    </row>
    <row r="40" spans="1:30" s="337" customFormat="1" ht="24.75" customHeight="1" x14ac:dyDescent="0.35">
      <c r="A40" s="325">
        <v>16</v>
      </c>
      <c r="B40" s="331" t="s">
        <v>1025</v>
      </c>
      <c r="C40" s="331" t="s">
        <v>32</v>
      </c>
      <c r="D40" s="331" t="s">
        <v>33</v>
      </c>
      <c r="E40" s="331" t="s">
        <v>1025</v>
      </c>
      <c r="F40" s="331"/>
      <c r="G40" s="331" t="s">
        <v>1025</v>
      </c>
      <c r="H40" s="326">
        <f>H38+F39</f>
        <v>5911.4279999999999</v>
      </c>
      <c r="I40" s="331">
        <v>411.28500000000003</v>
      </c>
      <c r="J40" s="331">
        <v>75.5</v>
      </c>
      <c r="K40" s="331">
        <f>F39+F41</f>
        <v>835</v>
      </c>
      <c r="L40" s="331">
        <f>K40/2</f>
        <v>417.5</v>
      </c>
      <c r="M40" s="331">
        <v>220</v>
      </c>
      <c r="N40" s="331">
        <v>223</v>
      </c>
      <c r="O40" s="331">
        <v>443</v>
      </c>
      <c r="P40" s="331">
        <v>216</v>
      </c>
      <c r="Q40" s="331">
        <v>219</v>
      </c>
      <c r="R40" s="331">
        <v>435</v>
      </c>
      <c r="S40" s="332" t="s">
        <v>1050</v>
      </c>
      <c r="T40" s="332" t="s">
        <v>1051</v>
      </c>
      <c r="U40" s="333">
        <v>522495.005</v>
      </c>
      <c r="V40" s="333">
        <v>2674789.5630000001</v>
      </c>
      <c r="W40" s="334"/>
      <c r="X40" s="315" t="s">
        <v>1048</v>
      </c>
      <c r="Y40" s="315" t="s">
        <v>1043</v>
      </c>
      <c r="Z40" s="335" t="s">
        <v>359</v>
      </c>
      <c r="AA40" s="331"/>
      <c r="AB40" s="331"/>
      <c r="AC40" s="331"/>
      <c r="AD40" s="336"/>
    </row>
    <row r="41" spans="1:30" s="337" customFormat="1" ht="28" x14ac:dyDescent="0.35">
      <c r="A41" s="314"/>
      <c r="B41" s="331"/>
      <c r="C41" s="331"/>
      <c r="D41" s="331"/>
      <c r="E41" s="331"/>
      <c r="F41" s="331">
        <v>422</v>
      </c>
      <c r="G41" s="331"/>
      <c r="H41" s="317"/>
      <c r="I41" s="331"/>
      <c r="J41" s="331"/>
      <c r="K41" s="331"/>
      <c r="L41" s="331"/>
      <c r="M41" s="331"/>
      <c r="N41" s="331"/>
      <c r="O41" s="331"/>
      <c r="P41" s="331"/>
      <c r="Q41" s="331"/>
      <c r="R41" s="331"/>
      <c r="S41" s="332"/>
      <c r="T41" s="332"/>
      <c r="U41" s="333"/>
      <c r="V41" s="333"/>
      <c r="W41" s="334" t="s">
        <v>1052</v>
      </c>
      <c r="X41" s="323"/>
      <c r="Y41" s="323"/>
      <c r="Z41" s="335"/>
      <c r="AA41" s="331"/>
      <c r="AB41" s="331"/>
      <c r="AC41" s="331"/>
      <c r="AD41" s="336"/>
    </row>
    <row r="42" spans="1:30" s="337" customFormat="1" ht="24.75" customHeight="1" x14ac:dyDescent="0.35">
      <c r="A42" s="325">
        <v>17</v>
      </c>
      <c r="B42" s="331" t="s">
        <v>1025</v>
      </c>
      <c r="C42" s="331" t="s">
        <v>34</v>
      </c>
      <c r="D42" s="331" t="s">
        <v>35</v>
      </c>
      <c r="E42" s="331" t="s">
        <v>1025</v>
      </c>
      <c r="F42" s="331"/>
      <c r="G42" s="331" t="s">
        <v>1025</v>
      </c>
      <c r="H42" s="326">
        <f>H40+F41</f>
        <v>6333.4279999999999</v>
      </c>
      <c r="I42" s="331">
        <v>410.54599999999999</v>
      </c>
      <c r="J42" s="331">
        <v>74</v>
      </c>
      <c r="K42" s="331">
        <f>F41+F43</f>
        <v>818</v>
      </c>
      <c r="L42" s="331">
        <f>K42/2</f>
        <v>409</v>
      </c>
      <c r="M42" s="331">
        <v>200</v>
      </c>
      <c r="N42" s="331">
        <v>210</v>
      </c>
      <c r="O42" s="331">
        <v>410</v>
      </c>
      <c r="P42" s="331">
        <v>204</v>
      </c>
      <c r="Q42" s="331">
        <v>206</v>
      </c>
      <c r="R42" s="331">
        <v>410</v>
      </c>
      <c r="S42" s="332" t="s">
        <v>1053</v>
      </c>
      <c r="T42" s="332" t="s">
        <v>1054</v>
      </c>
      <c r="U42" s="333">
        <v>522907.20699999999</v>
      </c>
      <c r="V42" s="333">
        <v>2674699.1529999999</v>
      </c>
      <c r="W42" s="334"/>
      <c r="X42" s="315" t="s">
        <v>1048</v>
      </c>
      <c r="Y42" s="315" t="s">
        <v>1043</v>
      </c>
      <c r="Z42" s="335" t="s">
        <v>359</v>
      </c>
      <c r="AA42" s="331"/>
      <c r="AB42" s="331"/>
      <c r="AC42" s="331"/>
      <c r="AD42" s="336"/>
    </row>
    <row r="43" spans="1:30" s="337" customFormat="1" ht="28" x14ac:dyDescent="0.35">
      <c r="A43" s="314"/>
      <c r="B43" s="331"/>
      <c r="C43" s="331"/>
      <c r="D43" s="331"/>
      <c r="E43" s="331"/>
      <c r="F43" s="331">
        <v>396</v>
      </c>
      <c r="G43" s="331"/>
      <c r="H43" s="317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2"/>
      <c r="T43" s="332"/>
      <c r="U43" s="333"/>
      <c r="V43" s="333"/>
      <c r="W43" s="334" t="s">
        <v>1055</v>
      </c>
      <c r="X43" s="323"/>
      <c r="Y43" s="323"/>
      <c r="Z43" s="335"/>
      <c r="AA43" s="331"/>
      <c r="AB43" s="331"/>
      <c r="AC43" s="331"/>
      <c r="AD43" s="336"/>
    </row>
    <row r="44" spans="1:30" s="337" customFormat="1" ht="24.75" customHeight="1" x14ac:dyDescent="0.35">
      <c r="A44" s="325">
        <v>18</v>
      </c>
      <c r="B44" s="331" t="s">
        <v>1025</v>
      </c>
      <c r="C44" s="331" t="s">
        <v>36</v>
      </c>
      <c r="D44" s="331" t="s">
        <v>31</v>
      </c>
      <c r="E44" s="331" t="s">
        <v>1025</v>
      </c>
      <c r="F44" s="331"/>
      <c r="G44" s="331" t="s">
        <v>1025</v>
      </c>
      <c r="H44" s="326">
        <f>H42+F43</f>
        <v>6729.4279999999999</v>
      </c>
      <c r="I44" s="338">
        <v>409.91</v>
      </c>
      <c r="J44" s="331">
        <v>72.5</v>
      </c>
      <c r="K44" s="331">
        <f>F43+F45</f>
        <v>781</v>
      </c>
      <c r="L44" s="331">
        <f>K44/2</f>
        <v>390.5</v>
      </c>
      <c r="M44" s="331">
        <v>186</v>
      </c>
      <c r="N44" s="331">
        <v>194</v>
      </c>
      <c r="O44" s="331">
        <v>380</v>
      </c>
      <c r="P44" s="331">
        <v>190</v>
      </c>
      <c r="Q44" s="331">
        <v>194</v>
      </c>
      <c r="R44" s="331">
        <v>384</v>
      </c>
      <c r="S44" s="332" t="s">
        <v>1056</v>
      </c>
      <c r="T44" s="332" t="s">
        <v>1057</v>
      </c>
      <c r="U44" s="333">
        <v>523294.01</v>
      </c>
      <c r="V44" s="333">
        <v>2674614.31</v>
      </c>
      <c r="W44" s="334"/>
      <c r="X44" s="315" t="s">
        <v>1048</v>
      </c>
      <c r="Y44" s="315" t="s">
        <v>1043</v>
      </c>
      <c r="Z44" s="335" t="s">
        <v>359</v>
      </c>
      <c r="AA44" s="331"/>
      <c r="AB44" s="331"/>
      <c r="AC44" s="331"/>
      <c r="AD44" s="336"/>
    </row>
    <row r="45" spans="1:30" s="337" customFormat="1" ht="28" x14ac:dyDescent="0.35">
      <c r="A45" s="314"/>
      <c r="B45" s="331"/>
      <c r="C45" s="331"/>
      <c r="D45" s="331"/>
      <c r="E45" s="331"/>
      <c r="F45" s="331">
        <v>385</v>
      </c>
      <c r="G45" s="331"/>
      <c r="H45" s="317"/>
      <c r="I45" s="331"/>
      <c r="J45" s="331"/>
      <c r="K45" s="331"/>
      <c r="L45" s="331"/>
      <c r="M45" s="331"/>
      <c r="N45" s="331"/>
      <c r="O45" s="331"/>
      <c r="P45" s="331"/>
      <c r="Q45" s="331"/>
      <c r="R45" s="331"/>
      <c r="S45" s="332"/>
      <c r="T45" s="332"/>
      <c r="U45" s="333"/>
      <c r="V45" s="333"/>
      <c r="W45" s="334" t="s">
        <v>1058</v>
      </c>
      <c r="X45" s="323"/>
      <c r="Y45" s="323"/>
      <c r="Z45" s="335"/>
      <c r="AA45" s="331"/>
      <c r="AB45" s="331"/>
      <c r="AC45" s="331"/>
      <c r="AD45" s="336"/>
    </row>
    <row r="46" spans="1:30" s="337" customFormat="1" ht="24.75" customHeight="1" x14ac:dyDescent="0.35">
      <c r="A46" s="325">
        <v>19</v>
      </c>
      <c r="B46" s="331" t="s">
        <v>1025</v>
      </c>
      <c r="C46" s="331" t="s">
        <v>37</v>
      </c>
      <c r="D46" s="331" t="s">
        <v>31</v>
      </c>
      <c r="E46" s="331" t="s">
        <v>1025</v>
      </c>
      <c r="F46" s="331"/>
      <c r="G46" s="331" t="s">
        <v>1025</v>
      </c>
      <c r="H46" s="326">
        <f>H44+F45</f>
        <v>7114.4279999999999</v>
      </c>
      <c r="I46" s="338">
        <v>409.51400000000001</v>
      </c>
      <c r="J46" s="331">
        <v>72.5</v>
      </c>
      <c r="K46" s="331">
        <f>F45+F47</f>
        <v>723</v>
      </c>
      <c r="L46" s="331">
        <f>K46/2</f>
        <v>361.5</v>
      </c>
      <c r="M46" s="331">
        <v>191</v>
      </c>
      <c r="N46" s="331">
        <v>188</v>
      </c>
      <c r="O46" s="331">
        <v>379</v>
      </c>
      <c r="P46" s="331">
        <v>191</v>
      </c>
      <c r="Q46" s="331">
        <v>182</v>
      </c>
      <c r="R46" s="331">
        <v>373</v>
      </c>
      <c r="S46" s="332" t="s">
        <v>1059</v>
      </c>
      <c r="T46" s="332" t="s">
        <v>1060</v>
      </c>
      <c r="U46" s="333">
        <v>523670.07299999997</v>
      </c>
      <c r="V46" s="333">
        <v>2674531.8309999998</v>
      </c>
      <c r="W46" s="334"/>
      <c r="X46" s="315" t="s">
        <v>1048</v>
      </c>
      <c r="Y46" s="315" t="s">
        <v>1043</v>
      </c>
      <c r="Z46" s="335" t="s">
        <v>359</v>
      </c>
      <c r="AA46" s="331"/>
      <c r="AB46" s="331"/>
      <c r="AC46" s="331"/>
      <c r="AD46" s="336"/>
    </row>
    <row r="47" spans="1:30" s="337" customFormat="1" ht="28" x14ac:dyDescent="0.35">
      <c r="A47" s="314"/>
      <c r="B47" s="331"/>
      <c r="C47" s="331"/>
      <c r="D47" s="331"/>
      <c r="E47" s="331"/>
      <c r="F47" s="331">
        <v>338</v>
      </c>
      <c r="G47" s="331"/>
      <c r="H47" s="317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2"/>
      <c r="T47" s="332"/>
      <c r="U47" s="333"/>
      <c r="V47" s="333"/>
      <c r="W47" s="334" t="s">
        <v>1061</v>
      </c>
      <c r="X47" s="323"/>
      <c r="Y47" s="323"/>
      <c r="Z47" s="335"/>
      <c r="AA47" s="331"/>
      <c r="AB47" s="331"/>
      <c r="AC47" s="331"/>
      <c r="AD47" s="336"/>
    </row>
    <row r="48" spans="1:30" s="337" customFormat="1" ht="24.75" customHeight="1" x14ac:dyDescent="0.35">
      <c r="A48" s="325">
        <v>20</v>
      </c>
      <c r="B48" s="331" t="s">
        <v>1025</v>
      </c>
      <c r="C48" s="331" t="s">
        <v>38</v>
      </c>
      <c r="D48" s="331" t="s">
        <v>23</v>
      </c>
      <c r="E48" s="331" t="s">
        <v>1025</v>
      </c>
      <c r="F48" s="331"/>
      <c r="G48" s="331" t="s">
        <v>1025</v>
      </c>
      <c r="H48" s="326">
        <f>H46+F47</f>
        <v>7452.4279999999999</v>
      </c>
      <c r="I48" s="331">
        <v>409.625</v>
      </c>
      <c r="J48" s="331">
        <v>69.5</v>
      </c>
      <c r="K48" s="331">
        <f>F47+F49</f>
        <v>662</v>
      </c>
      <c r="L48" s="331">
        <f>K48/2</f>
        <v>331</v>
      </c>
      <c r="M48" s="331">
        <v>151</v>
      </c>
      <c r="N48" s="331">
        <v>146</v>
      </c>
      <c r="O48" s="331">
        <v>297</v>
      </c>
      <c r="P48" s="331">
        <v>157</v>
      </c>
      <c r="Q48" s="331">
        <v>152</v>
      </c>
      <c r="R48" s="331">
        <v>309</v>
      </c>
      <c r="S48" s="332" t="s">
        <v>1062</v>
      </c>
      <c r="T48" s="332" t="s">
        <v>1063</v>
      </c>
      <c r="U48" s="333">
        <v>524000.22399999999</v>
      </c>
      <c r="V48" s="333">
        <v>2674459.4180000001</v>
      </c>
      <c r="W48" s="334"/>
      <c r="X48" s="315" t="s">
        <v>1048</v>
      </c>
      <c r="Y48" s="315" t="s">
        <v>1043</v>
      </c>
      <c r="Z48" s="335" t="s">
        <v>359</v>
      </c>
      <c r="AA48" s="331"/>
      <c r="AB48" s="331"/>
      <c r="AC48" s="331"/>
      <c r="AD48" s="336"/>
    </row>
    <row r="49" spans="1:30" s="337" customFormat="1" ht="28" x14ac:dyDescent="0.35">
      <c r="A49" s="314"/>
      <c r="B49" s="331"/>
      <c r="C49" s="331"/>
      <c r="D49" s="331"/>
      <c r="E49" s="331"/>
      <c r="F49" s="331">
        <v>324</v>
      </c>
      <c r="G49" s="331"/>
      <c r="H49" s="317"/>
      <c r="I49" s="331"/>
      <c r="J49" s="331"/>
      <c r="K49" s="331"/>
      <c r="L49" s="331"/>
      <c r="M49" s="331"/>
      <c r="N49" s="331"/>
      <c r="O49" s="331"/>
      <c r="P49" s="331"/>
      <c r="Q49" s="331"/>
      <c r="R49" s="331"/>
      <c r="S49" s="332"/>
      <c r="T49" s="332"/>
      <c r="U49" s="333"/>
      <c r="V49" s="333"/>
      <c r="W49" s="334" t="s">
        <v>1064</v>
      </c>
      <c r="X49" s="323"/>
      <c r="Y49" s="323"/>
      <c r="Z49" s="335"/>
      <c r="AA49" s="331"/>
      <c r="AB49" s="331"/>
      <c r="AC49" s="331"/>
      <c r="AD49" s="336"/>
    </row>
    <row r="50" spans="1:30" s="337" customFormat="1" ht="24.75" customHeight="1" x14ac:dyDescent="0.35">
      <c r="A50" s="325">
        <v>21</v>
      </c>
      <c r="B50" s="331" t="s">
        <v>1065</v>
      </c>
      <c r="C50" s="331" t="s">
        <v>39</v>
      </c>
      <c r="D50" s="331" t="s">
        <v>40</v>
      </c>
      <c r="E50" s="331" t="s">
        <v>1066</v>
      </c>
      <c r="F50" s="331"/>
      <c r="G50" s="331">
        <f>SUM(F35:F49)</f>
        <v>3009</v>
      </c>
      <c r="H50" s="326">
        <f>H48+F49</f>
        <v>7776.4279999999999</v>
      </c>
      <c r="I50" s="331">
        <v>408.99</v>
      </c>
      <c r="J50" s="315">
        <v>70.72</v>
      </c>
      <c r="K50" s="331">
        <f>F49+F51</f>
        <v>704</v>
      </c>
      <c r="L50" s="331">
        <f>K50/2</f>
        <v>352</v>
      </c>
      <c r="M50" s="331">
        <v>178</v>
      </c>
      <c r="N50" s="331">
        <v>203</v>
      </c>
      <c r="O50" s="331">
        <v>381</v>
      </c>
      <c r="P50" s="331">
        <v>173</v>
      </c>
      <c r="Q50" s="331">
        <v>199</v>
      </c>
      <c r="R50" s="331">
        <v>372</v>
      </c>
      <c r="S50" s="332" t="s">
        <v>1067</v>
      </c>
      <c r="T50" s="332" t="s">
        <v>1068</v>
      </c>
      <c r="U50" s="333">
        <v>524316.57999999996</v>
      </c>
      <c r="V50" s="333">
        <v>2674390.0299999998</v>
      </c>
      <c r="W50" s="334"/>
      <c r="X50" s="315" t="s">
        <v>1048</v>
      </c>
      <c r="Y50" s="315" t="s">
        <v>1043</v>
      </c>
      <c r="Z50" s="335" t="s">
        <v>359</v>
      </c>
      <c r="AA50" s="331"/>
      <c r="AB50" s="331"/>
      <c r="AC50" s="331"/>
      <c r="AD50" s="336"/>
    </row>
    <row r="51" spans="1:30" s="337" customFormat="1" ht="24.75" customHeight="1" x14ac:dyDescent="0.35">
      <c r="A51" s="314"/>
      <c r="B51" s="331"/>
      <c r="C51" s="331"/>
      <c r="D51" s="331"/>
      <c r="E51" s="331"/>
      <c r="F51" s="331">
        <v>380</v>
      </c>
      <c r="G51" s="331"/>
      <c r="H51" s="317"/>
      <c r="I51" s="331"/>
      <c r="J51" s="331"/>
      <c r="K51" s="331"/>
      <c r="L51" s="331"/>
      <c r="M51" s="331"/>
      <c r="N51" s="331"/>
      <c r="O51" s="331"/>
      <c r="P51" s="331"/>
      <c r="Q51" s="331"/>
      <c r="R51" s="331"/>
      <c r="S51" s="332"/>
      <c r="T51" s="332"/>
      <c r="U51" s="333"/>
      <c r="V51" s="333"/>
      <c r="W51" s="334" t="s">
        <v>1069</v>
      </c>
      <c r="X51" s="323"/>
      <c r="Y51" s="323"/>
      <c r="Z51" s="335"/>
      <c r="AA51" s="331"/>
      <c r="AB51" s="331"/>
      <c r="AC51" s="331"/>
      <c r="AD51" s="336"/>
    </row>
    <row r="52" spans="1:30" s="337" customFormat="1" ht="24.75" customHeight="1" x14ac:dyDescent="0.35">
      <c r="A52" s="325">
        <v>22</v>
      </c>
      <c r="B52" s="331" t="s">
        <v>1025</v>
      </c>
      <c r="C52" s="331" t="s">
        <v>41</v>
      </c>
      <c r="D52" s="331" t="s">
        <v>14</v>
      </c>
      <c r="E52" s="331" t="s">
        <v>1025</v>
      </c>
      <c r="F52" s="331"/>
      <c r="G52" s="331" t="s">
        <v>1025</v>
      </c>
      <c r="H52" s="326">
        <f>H50+F51</f>
        <v>8156.4279999999999</v>
      </c>
      <c r="I52" s="331">
        <v>408.32600000000002</v>
      </c>
      <c r="J52" s="331">
        <v>71</v>
      </c>
      <c r="K52" s="331">
        <f>F51+F53</f>
        <v>754</v>
      </c>
      <c r="L52" s="331">
        <f>K52/2</f>
        <v>377</v>
      </c>
      <c r="M52" s="331">
        <v>178</v>
      </c>
      <c r="N52" s="331">
        <v>161</v>
      </c>
      <c r="O52" s="331">
        <v>339</v>
      </c>
      <c r="P52" s="331">
        <v>182</v>
      </c>
      <c r="Q52" s="331">
        <v>169</v>
      </c>
      <c r="R52" s="331">
        <v>351</v>
      </c>
      <c r="S52" s="332" t="s">
        <v>1070</v>
      </c>
      <c r="T52" s="332" t="s">
        <v>1071</v>
      </c>
      <c r="U52" s="333">
        <v>524602.22400000005</v>
      </c>
      <c r="V52" s="333">
        <v>2674139.4160000002</v>
      </c>
      <c r="W52" s="334"/>
      <c r="X52" s="315" t="s">
        <v>1048</v>
      </c>
      <c r="Y52" s="315" t="s">
        <v>1043</v>
      </c>
      <c r="Z52" s="335" t="s">
        <v>359</v>
      </c>
      <c r="AA52" s="331"/>
      <c r="AB52" s="331"/>
      <c r="AC52" s="331"/>
      <c r="AD52" s="336"/>
    </row>
    <row r="53" spans="1:30" s="337" customFormat="1" ht="56" x14ac:dyDescent="0.35">
      <c r="A53" s="314"/>
      <c r="B53" s="331"/>
      <c r="C53" s="331"/>
      <c r="D53" s="331"/>
      <c r="E53" s="331"/>
      <c r="F53" s="331">
        <v>374</v>
      </c>
      <c r="G53" s="331"/>
      <c r="H53" s="317"/>
      <c r="I53" s="331"/>
      <c r="J53" s="331"/>
      <c r="K53" s="331"/>
      <c r="L53" s="331"/>
      <c r="M53" s="331"/>
      <c r="N53" s="331"/>
      <c r="O53" s="331"/>
      <c r="P53" s="331"/>
      <c r="Q53" s="331"/>
      <c r="R53" s="331"/>
      <c r="S53" s="332"/>
      <c r="T53" s="332"/>
      <c r="U53" s="333"/>
      <c r="V53" s="333"/>
      <c r="W53" s="334" t="s">
        <v>1072</v>
      </c>
      <c r="X53" s="323"/>
      <c r="Y53" s="323"/>
      <c r="Z53" s="335"/>
      <c r="AA53" s="331"/>
      <c r="AB53" s="331"/>
      <c r="AC53" s="331"/>
      <c r="AD53" s="336"/>
    </row>
    <row r="54" spans="1:30" s="337" customFormat="1" ht="24.75" customHeight="1" x14ac:dyDescent="0.35">
      <c r="A54" s="325">
        <v>23</v>
      </c>
      <c r="B54" s="331" t="s">
        <v>1025</v>
      </c>
      <c r="C54" s="331" t="s">
        <v>42</v>
      </c>
      <c r="D54" s="331" t="s">
        <v>35</v>
      </c>
      <c r="E54" s="331" t="s">
        <v>1025</v>
      </c>
      <c r="F54" s="331"/>
      <c r="G54" s="331" t="s">
        <v>1025</v>
      </c>
      <c r="H54" s="326">
        <f>H52+F53</f>
        <v>8530.4279999999999</v>
      </c>
      <c r="I54" s="331">
        <v>409.89499999999998</v>
      </c>
      <c r="J54" s="331">
        <v>74</v>
      </c>
      <c r="K54" s="331">
        <f>F53+F55</f>
        <v>789</v>
      </c>
      <c r="L54" s="331">
        <f>K54/2</f>
        <v>394.5</v>
      </c>
      <c r="M54" s="331">
        <v>213</v>
      </c>
      <c r="N54" s="331">
        <v>196</v>
      </c>
      <c r="O54" s="331">
        <v>409</v>
      </c>
      <c r="P54" s="331">
        <v>205</v>
      </c>
      <c r="Q54" s="331">
        <v>200</v>
      </c>
      <c r="R54" s="331">
        <v>405</v>
      </c>
      <c r="S54" s="332" t="s">
        <v>1073</v>
      </c>
      <c r="T54" s="332" t="s">
        <v>1074</v>
      </c>
      <c r="U54" s="333">
        <v>524883.36</v>
      </c>
      <c r="V54" s="333">
        <v>2673892.7599999998</v>
      </c>
      <c r="W54" s="334"/>
      <c r="X54" s="315" t="s">
        <v>1048</v>
      </c>
      <c r="Y54" s="315" t="s">
        <v>1043</v>
      </c>
      <c r="Z54" s="335" t="s">
        <v>359</v>
      </c>
      <c r="AA54" s="331"/>
      <c r="AB54" s="331"/>
      <c r="AC54" s="331"/>
      <c r="AD54" s="336"/>
    </row>
    <row r="55" spans="1:30" s="337" customFormat="1" ht="24.75" customHeight="1" x14ac:dyDescent="0.35">
      <c r="A55" s="314"/>
      <c r="B55" s="331"/>
      <c r="C55" s="331"/>
      <c r="D55" s="331"/>
      <c r="E55" s="331"/>
      <c r="F55" s="331">
        <v>415</v>
      </c>
      <c r="G55" s="331"/>
      <c r="H55" s="317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2"/>
      <c r="T55" s="332"/>
      <c r="U55" s="333"/>
      <c r="V55" s="333"/>
      <c r="W55" s="334" t="s">
        <v>1075</v>
      </c>
      <c r="X55" s="323"/>
      <c r="Y55" s="323"/>
      <c r="Z55" s="335"/>
      <c r="AA55" s="331"/>
      <c r="AB55" s="331"/>
      <c r="AC55" s="331"/>
      <c r="AD55" s="336"/>
    </row>
    <row r="56" spans="1:30" s="337" customFormat="1" ht="24.75" customHeight="1" x14ac:dyDescent="0.35">
      <c r="A56" s="325">
        <v>24</v>
      </c>
      <c r="B56" s="331" t="s">
        <v>1025</v>
      </c>
      <c r="C56" s="331" t="s">
        <v>43</v>
      </c>
      <c r="D56" s="331" t="s">
        <v>35</v>
      </c>
      <c r="E56" s="331" t="s">
        <v>1025</v>
      </c>
      <c r="F56" s="331"/>
      <c r="G56" s="331" t="s">
        <v>1025</v>
      </c>
      <c r="H56" s="326">
        <f>H54+F55</f>
        <v>8945.4279999999999</v>
      </c>
      <c r="I56" s="331">
        <v>412.13200000000001</v>
      </c>
      <c r="J56" s="331">
        <v>74</v>
      </c>
      <c r="K56" s="331">
        <f>F55+F57</f>
        <v>801</v>
      </c>
      <c r="L56" s="331">
        <f>K56/2</f>
        <v>400.5</v>
      </c>
      <c r="M56" s="331">
        <v>219</v>
      </c>
      <c r="N56" s="331">
        <v>192</v>
      </c>
      <c r="O56" s="331">
        <v>411</v>
      </c>
      <c r="P56" s="331">
        <v>215</v>
      </c>
      <c r="Q56" s="331">
        <v>192</v>
      </c>
      <c r="R56" s="331">
        <v>407</v>
      </c>
      <c r="S56" s="332" t="s">
        <v>1076</v>
      </c>
      <c r="T56" s="332" t="s">
        <v>1077</v>
      </c>
      <c r="U56" s="333">
        <v>525195.31299999997</v>
      </c>
      <c r="V56" s="333">
        <v>2673619.0630000001</v>
      </c>
      <c r="W56" s="334"/>
      <c r="X56" s="315" t="s">
        <v>1048</v>
      </c>
      <c r="Y56" s="315" t="s">
        <v>1043</v>
      </c>
      <c r="Z56" s="335" t="s">
        <v>359</v>
      </c>
      <c r="AA56" s="331"/>
      <c r="AB56" s="331"/>
      <c r="AC56" s="331"/>
      <c r="AD56" s="336"/>
    </row>
    <row r="57" spans="1:30" s="337" customFormat="1" ht="28" x14ac:dyDescent="0.35">
      <c r="A57" s="314"/>
      <c r="B57" s="331"/>
      <c r="C57" s="331"/>
      <c r="D57" s="331"/>
      <c r="E57" s="331"/>
      <c r="F57" s="331">
        <v>386</v>
      </c>
      <c r="G57" s="331"/>
      <c r="H57" s="317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332"/>
      <c r="T57" s="332"/>
      <c r="U57" s="333"/>
      <c r="V57" s="333"/>
      <c r="W57" s="334" t="s">
        <v>1078</v>
      </c>
      <c r="X57" s="323"/>
      <c r="Y57" s="323"/>
      <c r="Z57" s="335"/>
      <c r="AA57" s="331"/>
      <c r="AB57" s="331"/>
      <c r="AC57" s="331"/>
      <c r="AD57" s="336"/>
    </row>
    <row r="58" spans="1:30" s="337" customFormat="1" ht="24.75" customHeight="1" x14ac:dyDescent="0.35">
      <c r="A58" s="325">
        <v>25</v>
      </c>
      <c r="B58" s="331" t="s">
        <v>1079</v>
      </c>
      <c r="C58" s="331" t="s">
        <v>44</v>
      </c>
      <c r="D58" s="331" t="s">
        <v>40</v>
      </c>
      <c r="E58" s="331" t="s">
        <v>1080</v>
      </c>
      <c r="F58" s="331"/>
      <c r="G58" s="331">
        <f>SUM(F51:F57)</f>
        <v>1555</v>
      </c>
      <c r="H58" s="326">
        <f>H56+F57</f>
        <v>9331.4279999999999</v>
      </c>
      <c r="I58" s="331">
        <v>413.89</v>
      </c>
      <c r="J58" s="315">
        <v>70.72</v>
      </c>
      <c r="K58" s="331">
        <f>F57+F59</f>
        <v>738</v>
      </c>
      <c r="L58" s="331">
        <f>K58/2</f>
        <v>369</v>
      </c>
      <c r="M58" s="331"/>
      <c r="N58" s="331">
        <v>178</v>
      </c>
      <c r="O58" s="331">
        <v>178</v>
      </c>
      <c r="P58" s="331"/>
      <c r="Q58" s="331">
        <v>179</v>
      </c>
      <c r="R58" s="331">
        <v>179</v>
      </c>
      <c r="S58" s="332" t="s">
        <v>1081</v>
      </c>
      <c r="T58" s="332" t="s">
        <v>1082</v>
      </c>
      <c r="U58" s="333">
        <v>525485.46200000006</v>
      </c>
      <c r="V58" s="333">
        <v>2673364.497</v>
      </c>
      <c r="W58" s="334"/>
      <c r="X58" s="315" t="s">
        <v>1083</v>
      </c>
      <c r="Y58" s="315" t="s">
        <v>1043</v>
      </c>
      <c r="Z58" s="335" t="s">
        <v>359</v>
      </c>
      <c r="AA58" s="331"/>
      <c r="AB58" s="331"/>
      <c r="AC58" s="331"/>
      <c r="AD58" s="336"/>
    </row>
    <row r="59" spans="1:30" s="337" customFormat="1" ht="24.75" customHeight="1" x14ac:dyDescent="0.35">
      <c r="A59" s="314"/>
      <c r="B59" s="331"/>
      <c r="C59" s="331"/>
      <c r="D59" s="331"/>
      <c r="E59" s="331"/>
      <c r="F59" s="331">
        <v>352</v>
      </c>
      <c r="G59" s="331"/>
      <c r="H59" s="317"/>
      <c r="I59" s="331"/>
      <c r="J59" s="331"/>
      <c r="K59" s="331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 t="s">
        <v>1084</v>
      </c>
      <c r="X59" s="323"/>
      <c r="Y59" s="323"/>
      <c r="Z59" s="335"/>
      <c r="AA59" s="331"/>
      <c r="AB59" s="331"/>
      <c r="AC59" s="331"/>
      <c r="AD59" s="336"/>
    </row>
    <row r="60" spans="1:30" s="337" customFormat="1" ht="24.75" customHeight="1" x14ac:dyDescent="0.35">
      <c r="A60" s="325">
        <v>26</v>
      </c>
      <c r="B60" s="331" t="s">
        <v>1025</v>
      </c>
      <c r="C60" s="331" t="s">
        <v>45</v>
      </c>
      <c r="D60" s="331" t="s">
        <v>31</v>
      </c>
      <c r="E60" s="331" t="s">
        <v>1025</v>
      </c>
      <c r="F60" s="331"/>
      <c r="G60" s="331"/>
      <c r="H60" s="326">
        <f>H58+F59</f>
        <v>9683.4279999999999</v>
      </c>
      <c r="I60" s="338">
        <v>413.39</v>
      </c>
      <c r="J60" s="331">
        <v>72.5</v>
      </c>
      <c r="K60" s="331">
        <f>F59+F61</f>
        <v>744</v>
      </c>
      <c r="L60" s="331">
        <f>K60/2</f>
        <v>372</v>
      </c>
      <c r="M60" s="331">
        <v>174</v>
      </c>
      <c r="N60" s="331">
        <v>200</v>
      </c>
      <c r="O60" s="331">
        <v>374</v>
      </c>
      <c r="P60" s="331">
        <v>173</v>
      </c>
      <c r="Q60" s="331">
        <v>202</v>
      </c>
      <c r="R60" s="331">
        <v>375</v>
      </c>
      <c r="S60" s="331" t="s">
        <v>1085</v>
      </c>
      <c r="T60" s="331" t="s">
        <v>1086</v>
      </c>
      <c r="U60" s="331">
        <v>525817.81000000006</v>
      </c>
      <c r="V60" s="331">
        <v>2673248.52</v>
      </c>
      <c r="W60" s="331"/>
      <c r="X60" s="315" t="s">
        <v>1083</v>
      </c>
      <c r="Y60" s="315" t="s">
        <v>1043</v>
      </c>
      <c r="Z60" s="335" t="s">
        <v>359</v>
      </c>
      <c r="AA60" s="331"/>
      <c r="AB60" s="331"/>
      <c r="AC60" s="331"/>
      <c r="AD60" s="336"/>
    </row>
    <row r="61" spans="1:30" s="337" customFormat="1" ht="24.75" customHeight="1" x14ac:dyDescent="0.35">
      <c r="A61" s="314"/>
      <c r="B61" s="331"/>
      <c r="C61" s="331"/>
      <c r="D61" s="331"/>
      <c r="E61" s="331"/>
      <c r="F61" s="331">
        <v>392</v>
      </c>
      <c r="G61" s="331"/>
      <c r="H61" s="317"/>
      <c r="I61" s="331"/>
      <c r="J61" s="331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 t="s">
        <v>1087</v>
      </c>
      <c r="X61" s="323"/>
      <c r="Y61" s="323"/>
      <c r="Z61" s="335"/>
      <c r="AA61" s="331"/>
      <c r="AB61" s="331"/>
      <c r="AC61" s="331"/>
      <c r="AD61" s="336"/>
    </row>
    <row r="62" spans="1:30" s="337" customFormat="1" ht="24.75" customHeight="1" x14ac:dyDescent="0.35">
      <c r="A62" s="325">
        <v>27</v>
      </c>
      <c r="B62" s="331" t="s">
        <v>1025</v>
      </c>
      <c r="C62" s="331" t="s">
        <v>46</v>
      </c>
      <c r="D62" s="331" t="s">
        <v>31</v>
      </c>
      <c r="E62" s="331" t="s">
        <v>1025</v>
      </c>
      <c r="F62" s="331"/>
      <c r="G62" s="331"/>
      <c r="H62" s="326">
        <f>H60+F61</f>
        <v>10075.428</v>
      </c>
      <c r="I62" s="338">
        <v>412.24</v>
      </c>
      <c r="J62" s="331">
        <v>72.5</v>
      </c>
      <c r="K62" s="331">
        <f>F61+F63</f>
        <v>773</v>
      </c>
      <c r="L62" s="331">
        <f>K62/2</f>
        <v>386.5</v>
      </c>
      <c r="M62" s="331">
        <v>192</v>
      </c>
      <c r="N62" s="331">
        <v>195</v>
      </c>
      <c r="O62" s="331">
        <v>387</v>
      </c>
      <c r="P62" s="331">
        <v>190</v>
      </c>
      <c r="Q62" s="331">
        <v>198</v>
      </c>
      <c r="R62" s="331">
        <v>388</v>
      </c>
      <c r="S62" s="331" t="s">
        <v>1088</v>
      </c>
      <c r="T62" s="331" t="s">
        <v>1089</v>
      </c>
      <c r="U62" s="331">
        <v>526187.92000000004</v>
      </c>
      <c r="V62" s="331">
        <v>2673119.37</v>
      </c>
      <c r="W62" s="331"/>
      <c r="X62" s="315" t="s">
        <v>1083</v>
      </c>
      <c r="Y62" s="315" t="s">
        <v>1043</v>
      </c>
      <c r="Z62" s="335" t="s">
        <v>359</v>
      </c>
      <c r="AA62" s="331"/>
      <c r="AB62" s="331"/>
      <c r="AC62" s="331"/>
      <c r="AD62" s="336"/>
    </row>
    <row r="63" spans="1:30" s="337" customFormat="1" ht="24.75" customHeight="1" x14ac:dyDescent="0.35">
      <c r="A63" s="314"/>
      <c r="B63" s="331"/>
      <c r="C63" s="331"/>
      <c r="D63" s="331"/>
      <c r="E63" s="331"/>
      <c r="F63" s="331">
        <v>381</v>
      </c>
      <c r="G63" s="331"/>
      <c r="H63" s="317"/>
      <c r="I63" s="331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 t="s">
        <v>1090</v>
      </c>
      <c r="X63" s="323"/>
      <c r="Y63" s="323"/>
      <c r="Z63" s="335"/>
      <c r="AA63" s="331"/>
      <c r="AB63" s="331"/>
      <c r="AC63" s="331"/>
      <c r="AD63" s="336"/>
    </row>
    <row r="64" spans="1:30" s="337" customFormat="1" ht="24.75" customHeight="1" x14ac:dyDescent="0.35">
      <c r="A64" s="325">
        <v>28</v>
      </c>
      <c r="B64" s="331" t="s">
        <v>1025</v>
      </c>
      <c r="C64" s="331" t="s">
        <v>47</v>
      </c>
      <c r="D64" s="331" t="s">
        <v>31</v>
      </c>
      <c r="E64" s="331" t="s">
        <v>1025</v>
      </c>
      <c r="F64" s="331"/>
      <c r="G64" s="331"/>
      <c r="H64" s="326">
        <f>H62+F63</f>
        <v>10456.428</v>
      </c>
      <c r="I64" s="338">
        <v>410.96</v>
      </c>
      <c r="J64" s="331">
        <v>72.5</v>
      </c>
      <c r="K64" s="331">
        <f>F63+F65</f>
        <v>771</v>
      </c>
      <c r="L64" s="331">
        <f>K64/2</f>
        <v>385.5</v>
      </c>
      <c r="M64" s="331">
        <v>186</v>
      </c>
      <c r="N64" s="331">
        <v>190</v>
      </c>
      <c r="O64" s="331">
        <v>376</v>
      </c>
      <c r="P64" s="331">
        <v>183</v>
      </c>
      <c r="Q64" s="331">
        <v>187</v>
      </c>
      <c r="R64" s="331">
        <v>370</v>
      </c>
      <c r="S64" s="331" t="s">
        <v>1091</v>
      </c>
      <c r="T64" s="331" t="s">
        <v>1092</v>
      </c>
      <c r="U64" s="331">
        <v>526547.65</v>
      </c>
      <c r="V64" s="331">
        <v>2672993.84</v>
      </c>
      <c r="W64" s="331"/>
      <c r="X64" s="315" t="s">
        <v>1083</v>
      </c>
      <c r="Y64" s="315" t="s">
        <v>1043</v>
      </c>
      <c r="Z64" s="335" t="s">
        <v>359</v>
      </c>
      <c r="AA64" s="331"/>
      <c r="AB64" s="331"/>
      <c r="AC64" s="331"/>
      <c r="AD64" s="336"/>
    </row>
    <row r="65" spans="1:30" s="337" customFormat="1" ht="24.75" customHeight="1" x14ac:dyDescent="0.35">
      <c r="A65" s="314"/>
      <c r="B65" s="331"/>
      <c r="C65" s="331"/>
      <c r="D65" s="331"/>
      <c r="E65" s="331"/>
      <c r="F65" s="331">
        <v>390</v>
      </c>
      <c r="G65" s="331"/>
      <c r="H65" s="317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1"/>
      <c r="V65" s="331"/>
      <c r="W65" s="331" t="s">
        <v>1093</v>
      </c>
      <c r="X65" s="323"/>
      <c r="Y65" s="323"/>
      <c r="Z65" s="335"/>
      <c r="AA65" s="331"/>
      <c r="AB65" s="331"/>
      <c r="AC65" s="331"/>
      <c r="AD65" s="336"/>
    </row>
    <row r="66" spans="1:30" s="337" customFormat="1" ht="24.75" customHeight="1" x14ac:dyDescent="0.35">
      <c r="A66" s="325">
        <v>29</v>
      </c>
      <c r="B66" s="331" t="s">
        <v>1025</v>
      </c>
      <c r="C66" s="331" t="s">
        <v>48</v>
      </c>
      <c r="D66" s="331" t="s">
        <v>31</v>
      </c>
      <c r="E66" s="331" t="s">
        <v>1025</v>
      </c>
      <c r="F66" s="331"/>
      <c r="G66" s="331"/>
      <c r="H66" s="326">
        <f>H64+F65</f>
        <v>10846.428</v>
      </c>
      <c r="I66" s="338">
        <v>412.34</v>
      </c>
      <c r="J66" s="331">
        <v>72.5</v>
      </c>
      <c r="K66" s="331">
        <f>F65+F67</f>
        <v>781</v>
      </c>
      <c r="L66" s="331">
        <f>K66/2</f>
        <v>390.5</v>
      </c>
      <c r="M66" s="331">
        <v>200</v>
      </c>
      <c r="N66" s="331">
        <v>188</v>
      </c>
      <c r="O66" s="331">
        <v>388</v>
      </c>
      <c r="P66" s="331">
        <v>203</v>
      </c>
      <c r="Q66" s="331">
        <v>185</v>
      </c>
      <c r="R66" s="331">
        <v>388</v>
      </c>
      <c r="S66" s="331" t="s">
        <v>1094</v>
      </c>
      <c r="T66" s="331" t="s">
        <v>1095</v>
      </c>
      <c r="U66" s="331">
        <v>526915.87</v>
      </c>
      <c r="V66" s="331">
        <v>2672865.34</v>
      </c>
      <c r="W66" s="331"/>
      <c r="X66" s="315" t="s">
        <v>1083</v>
      </c>
      <c r="Y66" s="315" t="s">
        <v>1043</v>
      </c>
      <c r="Z66" s="335" t="s">
        <v>359</v>
      </c>
      <c r="AA66" s="331"/>
      <c r="AB66" s="331"/>
      <c r="AC66" s="331"/>
      <c r="AD66" s="336"/>
    </row>
    <row r="67" spans="1:30" s="337" customFormat="1" ht="24.75" customHeight="1" x14ac:dyDescent="0.35">
      <c r="A67" s="314"/>
      <c r="B67" s="331"/>
      <c r="C67" s="331"/>
      <c r="D67" s="331"/>
      <c r="E67" s="331"/>
      <c r="F67" s="331">
        <v>391</v>
      </c>
      <c r="G67" s="331"/>
      <c r="H67" s="317"/>
      <c r="I67" s="331"/>
      <c r="J67" s="331"/>
      <c r="K67" s="331"/>
      <c r="L67" s="331"/>
      <c r="M67" s="331"/>
      <c r="N67" s="331"/>
      <c r="O67" s="331"/>
      <c r="P67" s="331"/>
      <c r="Q67" s="331"/>
      <c r="R67" s="331"/>
      <c r="S67" s="331"/>
      <c r="T67" s="331"/>
      <c r="U67" s="331"/>
      <c r="V67" s="331"/>
      <c r="W67" s="331" t="s">
        <v>1096</v>
      </c>
      <c r="X67" s="323"/>
      <c r="Y67" s="323"/>
      <c r="Z67" s="335"/>
      <c r="AA67" s="331"/>
      <c r="AB67" s="331"/>
      <c r="AC67" s="331"/>
      <c r="AD67" s="336"/>
    </row>
    <row r="68" spans="1:30" s="337" customFormat="1" ht="24.75" customHeight="1" x14ac:dyDescent="0.35">
      <c r="A68" s="325">
        <v>30</v>
      </c>
      <c r="B68" s="331" t="s">
        <v>1097</v>
      </c>
      <c r="C68" s="331" t="s">
        <v>49</v>
      </c>
      <c r="D68" s="331" t="s">
        <v>28</v>
      </c>
      <c r="E68" s="331" t="s">
        <v>1098</v>
      </c>
      <c r="F68" s="331"/>
      <c r="G68" s="331">
        <f>SUM(F59:F67)</f>
        <v>1906</v>
      </c>
      <c r="H68" s="326">
        <f>H66+F67</f>
        <v>11237.428</v>
      </c>
      <c r="I68" s="331">
        <v>414.33</v>
      </c>
      <c r="J68" s="315">
        <v>70.72</v>
      </c>
      <c r="K68" s="331">
        <f>F67+F69</f>
        <v>722</v>
      </c>
      <c r="L68" s="331">
        <f>K68/2</f>
        <v>361</v>
      </c>
      <c r="M68" s="331">
        <v>203</v>
      </c>
      <c r="N68" s="331">
        <v>155</v>
      </c>
      <c r="O68" s="331">
        <v>358</v>
      </c>
      <c r="P68" s="331">
        <v>206</v>
      </c>
      <c r="Q68" s="331">
        <v>150</v>
      </c>
      <c r="R68" s="331">
        <v>356</v>
      </c>
      <c r="S68" s="331" t="s">
        <v>1099</v>
      </c>
      <c r="T68" s="331" t="s">
        <v>1100</v>
      </c>
      <c r="U68" s="331">
        <v>527284.93999999994</v>
      </c>
      <c r="V68" s="331">
        <v>2672736.5499999998</v>
      </c>
      <c r="W68" s="331"/>
      <c r="X68" s="315" t="s">
        <v>1083</v>
      </c>
      <c r="Y68" s="315" t="s">
        <v>1043</v>
      </c>
      <c r="Z68" s="335" t="s">
        <v>359</v>
      </c>
      <c r="AA68" s="331"/>
      <c r="AB68" s="331"/>
      <c r="AC68" s="331"/>
      <c r="AD68" s="336"/>
    </row>
    <row r="69" spans="1:30" s="337" customFormat="1" ht="24.75" customHeight="1" x14ac:dyDescent="0.35">
      <c r="A69" s="314"/>
      <c r="B69" s="331"/>
      <c r="C69" s="331"/>
      <c r="D69" s="331"/>
      <c r="E69" s="331"/>
      <c r="F69" s="331">
        <v>331</v>
      </c>
      <c r="G69" s="331"/>
      <c r="H69" s="317"/>
      <c r="I69" s="331"/>
      <c r="J69" s="331"/>
      <c r="K69" s="331"/>
      <c r="L69" s="331"/>
      <c r="M69" s="331"/>
      <c r="N69" s="331"/>
      <c r="O69" s="331"/>
      <c r="P69" s="331"/>
      <c r="Q69" s="331"/>
      <c r="R69" s="331"/>
      <c r="S69" s="331"/>
      <c r="T69" s="331"/>
      <c r="U69" s="331"/>
      <c r="V69" s="331"/>
      <c r="W69" s="331" t="s">
        <v>1101</v>
      </c>
      <c r="X69" s="323"/>
      <c r="Y69" s="323"/>
      <c r="Z69" s="335"/>
      <c r="AA69" s="331"/>
      <c r="AB69" s="331"/>
      <c r="AC69" s="331"/>
      <c r="AD69" s="336"/>
    </row>
    <row r="70" spans="1:30" s="337" customFormat="1" ht="24.75" customHeight="1" x14ac:dyDescent="0.35">
      <c r="A70" s="325">
        <v>31</v>
      </c>
      <c r="B70" s="331" t="s">
        <v>1025</v>
      </c>
      <c r="C70" s="331" t="s">
        <v>50</v>
      </c>
      <c r="D70" s="331" t="s">
        <v>31</v>
      </c>
      <c r="E70" s="331" t="s">
        <v>1025</v>
      </c>
      <c r="F70" s="331"/>
      <c r="G70" s="331"/>
      <c r="H70" s="326">
        <f>H68+F69</f>
        <v>11568.428</v>
      </c>
      <c r="I70" s="338">
        <v>416.74</v>
      </c>
      <c r="J70" s="331">
        <v>72.5</v>
      </c>
      <c r="K70" s="331">
        <f>F69+F71</f>
        <v>735</v>
      </c>
      <c r="L70" s="331">
        <f>K70/2</f>
        <v>367.5</v>
      </c>
      <c r="M70" s="331">
        <v>176</v>
      </c>
      <c r="N70" s="331">
        <v>177</v>
      </c>
      <c r="O70" s="331">
        <v>353</v>
      </c>
      <c r="P70" s="331">
        <v>181</v>
      </c>
      <c r="Q70" s="331">
        <v>165</v>
      </c>
      <c r="R70" s="331">
        <v>346</v>
      </c>
      <c r="S70" s="331" t="s">
        <v>1102</v>
      </c>
      <c r="T70" s="331" t="s">
        <v>1103</v>
      </c>
      <c r="U70" s="331">
        <v>527593.43999999994</v>
      </c>
      <c r="V70" s="331">
        <v>2672616.6</v>
      </c>
      <c r="W70" s="331"/>
      <c r="X70" s="315" t="s">
        <v>1083</v>
      </c>
      <c r="Y70" s="315" t="s">
        <v>1043</v>
      </c>
      <c r="Z70" s="335" t="s">
        <v>359</v>
      </c>
      <c r="AA70" s="331"/>
      <c r="AB70" s="331"/>
      <c r="AC70" s="331"/>
      <c r="AD70" s="336"/>
    </row>
    <row r="71" spans="1:30" s="337" customFormat="1" ht="24.75" customHeight="1" x14ac:dyDescent="0.35">
      <c r="A71" s="314"/>
      <c r="B71" s="331"/>
      <c r="C71" s="331"/>
      <c r="D71" s="331"/>
      <c r="E71" s="331"/>
      <c r="F71" s="331">
        <v>404</v>
      </c>
      <c r="G71" s="331"/>
      <c r="H71" s="317"/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 t="s">
        <v>1084</v>
      </c>
      <c r="X71" s="323"/>
      <c r="Y71" s="323"/>
      <c r="Z71" s="335"/>
      <c r="AA71" s="331"/>
      <c r="AB71" s="331"/>
      <c r="AC71" s="331"/>
      <c r="AD71" s="336"/>
    </row>
    <row r="72" spans="1:30" s="337" customFormat="1" ht="24.75" customHeight="1" x14ac:dyDescent="0.35">
      <c r="A72" s="325">
        <v>32</v>
      </c>
      <c r="B72" s="331" t="s">
        <v>1025</v>
      </c>
      <c r="C72" s="331" t="s">
        <v>51</v>
      </c>
      <c r="D72" s="331" t="s">
        <v>33</v>
      </c>
      <c r="E72" s="331" t="s">
        <v>1025</v>
      </c>
      <c r="F72" s="331"/>
      <c r="G72" s="331"/>
      <c r="H72" s="326">
        <f>H70+F71</f>
        <v>11972.428</v>
      </c>
      <c r="I72" s="331">
        <v>420.745</v>
      </c>
      <c r="J72" s="331">
        <v>75.5</v>
      </c>
      <c r="K72" s="331">
        <f>F71+F73</f>
        <v>814</v>
      </c>
      <c r="L72" s="331">
        <f>K72/2</f>
        <v>407</v>
      </c>
      <c r="M72" s="331">
        <v>227</v>
      </c>
      <c r="N72" s="331">
        <v>195</v>
      </c>
      <c r="O72" s="331">
        <v>422</v>
      </c>
      <c r="P72" s="331">
        <v>239</v>
      </c>
      <c r="Q72" s="331">
        <v>190</v>
      </c>
      <c r="R72" s="331">
        <v>429</v>
      </c>
      <c r="S72" s="331" t="s">
        <v>1104</v>
      </c>
      <c r="T72" s="331" t="s">
        <v>1105</v>
      </c>
      <c r="U72" s="331">
        <v>527969.98</v>
      </c>
      <c r="V72" s="331">
        <v>2672470.2000000002</v>
      </c>
      <c r="W72" s="331"/>
      <c r="X72" s="315" t="s">
        <v>1083</v>
      </c>
      <c r="Y72" s="315" t="s">
        <v>1043</v>
      </c>
      <c r="Z72" s="335" t="s">
        <v>359</v>
      </c>
      <c r="AA72" s="331"/>
      <c r="AB72" s="331"/>
      <c r="AC72" s="331"/>
      <c r="AD72" s="336"/>
    </row>
    <row r="73" spans="1:30" s="337" customFormat="1" ht="24.75" customHeight="1" x14ac:dyDescent="0.35">
      <c r="A73" s="314"/>
      <c r="B73" s="331"/>
      <c r="C73" s="331"/>
      <c r="D73" s="331"/>
      <c r="E73" s="331"/>
      <c r="F73" s="331">
        <v>410</v>
      </c>
      <c r="G73" s="331"/>
      <c r="H73" s="317"/>
      <c r="I73" s="331"/>
      <c r="J73" s="331"/>
      <c r="K73" s="331"/>
      <c r="L73" s="331"/>
      <c r="M73" s="331"/>
      <c r="N73" s="331"/>
      <c r="O73" s="331"/>
      <c r="P73" s="331"/>
      <c r="Q73" s="331"/>
      <c r="R73" s="331"/>
      <c r="S73" s="331"/>
      <c r="T73" s="331"/>
      <c r="U73" s="331"/>
      <c r="V73" s="331"/>
      <c r="W73" s="331" t="s">
        <v>1096</v>
      </c>
      <c r="X73" s="323"/>
      <c r="Y73" s="323"/>
      <c r="Z73" s="335"/>
      <c r="AA73" s="331"/>
      <c r="AB73" s="331"/>
      <c r="AC73" s="331"/>
      <c r="AD73" s="336"/>
    </row>
    <row r="74" spans="1:30" s="337" customFormat="1" ht="24.75" customHeight="1" x14ac:dyDescent="0.35">
      <c r="A74" s="325">
        <v>33</v>
      </c>
      <c r="B74" s="331" t="s">
        <v>1025</v>
      </c>
      <c r="C74" s="331" t="s">
        <v>52</v>
      </c>
      <c r="D74" s="331" t="s">
        <v>33</v>
      </c>
      <c r="E74" s="331" t="s">
        <v>1025</v>
      </c>
      <c r="F74" s="331"/>
      <c r="G74" s="331"/>
      <c r="H74" s="326">
        <f>H72+F73</f>
        <v>12382.428</v>
      </c>
      <c r="I74" s="331">
        <v>423.53</v>
      </c>
      <c r="J74" s="331">
        <v>75.5</v>
      </c>
      <c r="K74" s="331">
        <f>F73+F75</f>
        <v>808</v>
      </c>
      <c r="L74" s="331">
        <f>K74/2</f>
        <v>404</v>
      </c>
      <c r="M74" s="331">
        <v>215</v>
      </c>
      <c r="N74" s="331">
        <v>203</v>
      </c>
      <c r="O74" s="331">
        <v>418</v>
      </c>
      <c r="P74" s="331">
        <v>220</v>
      </c>
      <c r="Q74" s="331">
        <v>205</v>
      </c>
      <c r="R74" s="331">
        <v>425</v>
      </c>
      <c r="S74" s="331" t="s">
        <v>1106</v>
      </c>
      <c r="T74" s="331" t="s">
        <v>1107</v>
      </c>
      <c r="U74" s="331">
        <v>528352.12</v>
      </c>
      <c r="V74" s="331">
        <v>2672321.62</v>
      </c>
      <c r="W74" s="331"/>
      <c r="X74" s="315" t="s">
        <v>1083</v>
      </c>
      <c r="Y74" s="315" t="s">
        <v>1043</v>
      </c>
      <c r="Z74" s="335" t="s">
        <v>359</v>
      </c>
      <c r="AA74" s="331"/>
      <c r="AB74" s="331"/>
      <c r="AC74" s="331"/>
      <c r="AD74" s="336"/>
    </row>
    <row r="75" spans="1:30" s="337" customFormat="1" ht="24.75" customHeight="1" x14ac:dyDescent="0.35">
      <c r="A75" s="314"/>
      <c r="B75" s="331"/>
      <c r="C75" s="331"/>
      <c r="D75" s="331"/>
      <c r="E75" s="331"/>
      <c r="F75" s="331">
        <v>398</v>
      </c>
      <c r="G75" s="331"/>
      <c r="H75" s="317"/>
      <c r="I75" s="331"/>
      <c r="J75" s="331"/>
      <c r="K75" s="331"/>
      <c r="L75" s="331"/>
      <c r="M75" s="331"/>
      <c r="N75" s="331"/>
      <c r="O75" s="331"/>
      <c r="P75" s="331"/>
      <c r="Q75" s="331"/>
      <c r="R75" s="331"/>
      <c r="S75" s="331"/>
      <c r="T75" s="331"/>
      <c r="U75" s="331"/>
      <c r="V75" s="331"/>
      <c r="W75" s="331" t="s">
        <v>1084</v>
      </c>
      <c r="X75" s="323"/>
      <c r="Y75" s="323"/>
      <c r="Z75" s="335"/>
      <c r="AA75" s="331"/>
      <c r="AB75" s="331"/>
      <c r="AC75" s="331"/>
      <c r="AD75" s="336"/>
    </row>
    <row r="76" spans="1:30" s="337" customFormat="1" ht="24.75" customHeight="1" x14ac:dyDescent="0.35">
      <c r="A76" s="325">
        <v>34</v>
      </c>
      <c r="B76" s="331" t="s">
        <v>1025</v>
      </c>
      <c r="C76" s="331" t="s">
        <v>53</v>
      </c>
      <c r="D76" s="331" t="s">
        <v>33</v>
      </c>
      <c r="E76" s="331" t="s">
        <v>1025</v>
      </c>
      <c r="F76" s="331"/>
      <c r="G76" s="331"/>
      <c r="H76" s="326">
        <f>H74+F75</f>
        <v>12780.428</v>
      </c>
      <c r="I76" s="331">
        <v>422.4</v>
      </c>
      <c r="J76" s="331">
        <v>75.5</v>
      </c>
      <c r="K76" s="331">
        <f>F75+F77</f>
        <v>830</v>
      </c>
      <c r="L76" s="331">
        <f>K76/2</f>
        <v>415</v>
      </c>
      <c r="M76" s="331">
        <v>195</v>
      </c>
      <c r="N76" s="331">
        <v>242</v>
      </c>
      <c r="O76" s="331">
        <v>437</v>
      </c>
      <c r="P76" s="331">
        <v>193</v>
      </c>
      <c r="Q76" s="331">
        <v>254</v>
      </c>
      <c r="R76" s="331">
        <v>447</v>
      </c>
      <c r="S76" s="331" t="s">
        <v>1108</v>
      </c>
      <c r="T76" s="331" t="s">
        <v>1109</v>
      </c>
      <c r="U76" s="331">
        <v>528723.06000000006</v>
      </c>
      <c r="V76" s="331">
        <v>2672177.4</v>
      </c>
      <c r="W76" s="331"/>
      <c r="X76" s="315" t="s">
        <v>1083</v>
      </c>
      <c r="Y76" s="315" t="s">
        <v>1043</v>
      </c>
      <c r="Z76" s="335" t="s">
        <v>359</v>
      </c>
      <c r="AA76" s="331"/>
      <c r="AB76" s="331"/>
      <c r="AC76" s="331"/>
      <c r="AD76" s="336"/>
    </row>
    <row r="77" spans="1:30" s="337" customFormat="1" ht="28" x14ac:dyDescent="0.35">
      <c r="A77" s="314"/>
      <c r="B77" s="331"/>
      <c r="C77" s="331"/>
      <c r="D77" s="331"/>
      <c r="E77" s="331"/>
      <c r="F77" s="331">
        <v>432</v>
      </c>
      <c r="G77" s="331"/>
      <c r="H77" s="317"/>
      <c r="I77" s="331"/>
      <c r="J77" s="331"/>
      <c r="K77" s="331"/>
      <c r="L77" s="331"/>
      <c r="M77" s="331"/>
      <c r="N77" s="331"/>
      <c r="O77" s="331"/>
      <c r="P77" s="331"/>
      <c r="Q77" s="331"/>
      <c r="R77" s="331"/>
      <c r="S77" s="331"/>
      <c r="T77" s="331"/>
      <c r="U77" s="331"/>
      <c r="V77" s="331"/>
      <c r="W77" s="331" t="s">
        <v>1110</v>
      </c>
      <c r="X77" s="323"/>
      <c r="Y77" s="323"/>
      <c r="Z77" s="335"/>
      <c r="AA77" s="331"/>
      <c r="AB77" s="331"/>
      <c r="AC77" s="331"/>
      <c r="AD77" s="336"/>
    </row>
    <row r="78" spans="1:30" s="337" customFormat="1" ht="24.75" customHeight="1" x14ac:dyDescent="0.35">
      <c r="A78" s="325">
        <v>35</v>
      </c>
      <c r="B78" s="331" t="s">
        <v>1025</v>
      </c>
      <c r="C78" s="331" t="s">
        <v>54</v>
      </c>
      <c r="D78" s="331" t="s">
        <v>31</v>
      </c>
      <c r="E78" s="331" t="s">
        <v>1025</v>
      </c>
      <c r="F78" s="331"/>
      <c r="G78" s="331"/>
      <c r="H78" s="326">
        <f>H76+F77</f>
        <v>13212.428</v>
      </c>
      <c r="I78" s="338">
        <v>417.72</v>
      </c>
      <c r="J78" s="331">
        <v>72.5</v>
      </c>
      <c r="K78" s="331">
        <f>F77+F79</f>
        <v>788</v>
      </c>
      <c r="L78" s="331">
        <f>K78/2</f>
        <v>394</v>
      </c>
      <c r="M78" s="331">
        <v>190</v>
      </c>
      <c r="N78" s="331">
        <v>174</v>
      </c>
      <c r="O78" s="331">
        <v>364</v>
      </c>
      <c r="P78" s="331">
        <v>178</v>
      </c>
      <c r="Q78" s="331">
        <v>173</v>
      </c>
      <c r="R78" s="331">
        <v>351</v>
      </c>
      <c r="S78" s="331" t="s">
        <v>1111</v>
      </c>
      <c r="T78" s="331" t="s">
        <v>1112</v>
      </c>
      <c r="U78" s="331">
        <v>529125.69999999995</v>
      </c>
      <c r="V78" s="331">
        <v>2672020.85</v>
      </c>
      <c r="W78" s="331"/>
      <c r="X78" s="315" t="s">
        <v>1113</v>
      </c>
      <c r="Y78" s="315" t="s">
        <v>1043</v>
      </c>
      <c r="Z78" s="335" t="s">
        <v>359</v>
      </c>
      <c r="AA78" s="331"/>
      <c r="AB78" s="331"/>
      <c r="AC78" s="331"/>
      <c r="AD78" s="336"/>
    </row>
    <row r="79" spans="1:30" s="337" customFormat="1" ht="24.75" customHeight="1" x14ac:dyDescent="0.35">
      <c r="A79" s="314"/>
      <c r="B79" s="331"/>
      <c r="C79" s="331"/>
      <c r="D79" s="331"/>
      <c r="E79" s="331"/>
      <c r="F79" s="331">
        <v>356</v>
      </c>
      <c r="G79" s="331"/>
      <c r="H79" s="317"/>
      <c r="I79" s="331"/>
      <c r="J79" s="331"/>
      <c r="K79" s="331"/>
      <c r="L79" s="331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W79" s="331" t="s">
        <v>1090</v>
      </c>
      <c r="X79" s="323"/>
      <c r="Y79" s="323"/>
      <c r="Z79" s="335"/>
      <c r="AA79" s="331"/>
      <c r="AB79" s="331"/>
      <c r="AC79" s="331"/>
      <c r="AD79" s="336"/>
    </row>
    <row r="80" spans="1:30" s="337" customFormat="1" ht="24.75" customHeight="1" x14ac:dyDescent="0.35">
      <c r="A80" s="325">
        <v>36</v>
      </c>
      <c r="B80" s="331" t="s">
        <v>1025</v>
      </c>
      <c r="C80" s="331" t="s">
        <v>55</v>
      </c>
      <c r="D80" s="331" t="s">
        <v>31</v>
      </c>
      <c r="E80" s="331" t="s">
        <v>1025</v>
      </c>
      <c r="F80" s="331"/>
      <c r="G80" s="331"/>
      <c r="H80" s="326">
        <f>H78+F79</f>
        <v>13568.428</v>
      </c>
      <c r="I80" s="338">
        <v>418.57</v>
      </c>
      <c r="J80" s="331">
        <v>72.5</v>
      </c>
      <c r="K80" s="331">
        <f>F79+F81</f>
        <v>764</v>
      </c>
      <c r="L80" s="331">
        <f>K80/2</f>
        <v>382</v>
      </c>
      <c r="M80" s="331">
        <v>182</v>
      </c>
      <c r="N80" s="331">
        <v>228</v>
      </c>
      <c r="O80" s="331">
        <v>410</v>
      </c>
      <c r="P80" s="331">
        <v>183</v>
      </c>
      <c r="Q80" s="331">
        <v>238</v>
      </c>
      <c r="R80" s="331">
        <v>421</v>
      </c>
      <c r="S80" s="331" t="s">
        <v>1114</v>
      </c>
      <c r="T80" s="331" t="s">
        <v>1115</v>
      </c>
      <c r="U80" s="331">
        <v>529457.5</v>
      </c>
      <c r="V80" s="331">
        <v>2671891.84</v>
      </c>
      <c r="W80" s="331"/>
      <c r="X80" s="332" t="s">
        <v>1116</v>
      </c>
      <c r="Y80" s="315" t="s">
        <v>1043</v>
      </c>
      <c r="Z80" s="335" t="s">
        <v>359</v>
      </c>
      <c r="AA80" s="331"/>
      <c r="AB80" s="331"/>
      <c r="AC80" s="331"/>
      <c r="AD80" s="336"/>
    </row>
    <row r="81" spans="1:30" s="337" customFormat="1" ht="24.75" customHeight="1" x14ac:dyDescent="0.35">
      <c r="A81" s="314"/>
      <c r="B81" s="331"/>
      <c r="C81" s="331"/>
      <c r="D81" s="331"/>
      <c r="E81" s="331"/>
      <c r="F81" s="331">
        <v>408</v>
      </c>
      <c r="G81" s="331"/>
      <c r="H81" s="317"/>
      <c r="I81" s="331"/>
      <c r="J81" s="331"/>
      <c r="K81" s="331"/>
      <c r="L81" s="331"/>
      <c r="M81" s="331"/>
      <c r="N81" s="331"/>
      <c r="O81" s="331"/>
      <c r="P81" s="331"/>
      <c r="Q81" s="331"/>
      <c r="R81" s="331"/>
      <c r="S81" s="331"/>
      <c r="T81" s="331"/>
      <c r="U81" s="331"/>
      <c r="V81" s="331"/>
      <c r="W81" s="331" t="s">
        <v>1087</v>
      </c>
      <c r="X81" s="323"/>
      <c r="Y81" s="323"/>
      <c r="Z81" s="335"/>
      <c r="AA81" s="331"/>
      <c r="AB81" s="331"/>
      <c r="AC81" s="331"/>
      <c r="AD81" s="336"/>
    </row>
    <row r="82" spans="1:30" s="337" customFormat="1" ht="24.75" customHeight="1" x14ac:dyDescent="0.35">
      <c r="A82" s="325">
        <v>37</v>
      </c>
      <c r="B82" s="331" t="s">
        <v>1025</v>
      </c>
      <c r="C82" s="331" t="s">
        <v>56</v>
      </c>
      <c r="D82" s="331" t="s">
        <v>31</v>
      </c>
      <c r="E82" s="331" t="s">
        <v>1025</v>
      </c>
      <c r="F82" s="331"/>
      <c r="G82" s="331"/>
      <c r="H82" s="326">
        <f>H80+F81</f>
        <v>13976.428</v>
      </c>
      <c r="I82" s="338">
        <v>412</v>
      </c>
      <c r="J82" s="331">
        <v>72.5</v>
      </c>
      <c r="K82" s="331">
        <f>F81+F83</f>
        <v>823</v>
      </c>
      <c r="L82" s="331">
        <f>K82/2</f>
        <v>411.5</v>
      </c>
      <c r="M82" s="331">
        <v>180</v>
      </c>
      <c r="N82" s="331">
        <v>208</v>
      </c>
      <c r="O82" s="331">
        <v>388</v>
      </c>
      <c r="P82" s="331">
        <v>170</v>
      </c>
      <c r="Q82" s="331">
        <v>208</v>
      </c>
      <c r="R82" s="331">
        <v>378</v>
      </c>
      <c r="S82" s="331" t="s">
        <v>1117</v>
      </c>
      <c r="T82" s="331" t="s">
        <v>1118</v>
      </c>
      <c r="U82" s="331">
        <v>529837.77</v>
      </c>
      <c r="V82" s="331">
        <v>2671743.9900000002</v>
      </c>
      <c r="W82" s="331"/>
      <c r="X82" s="332" t="s">
        <v>1116</v>
      </c>
      <c r="Y82" s="315" t="s">
        <v>1043</v>
      </c>
      <c r="Z82" s="335" t="s">
        <v>359</v>
      </c>
      <c r="AA82" s="331"/>
      <c r="AB82" s="331"/>
      <c r="AC82" s="331"/>
      <c r="AD82" s="336"/>
    </row>
    <row r="83" spans="1:30" s="337" customFormat="1" ht="24.75" customHeight="1" x14ac:dyDescent="0.35">
      <c r="A83" s="314"/>
      <c r="B83" s="331"/>
      <c r="C83" s="331"/>
      <c r="D83" s="331"/>
      <c r="E83" s="331"/>
      <c r="F83" s="331">
        <v>415</v>
      </c>
      <c r="G83" s="331"/>
      <c r="H83" s="317"/>
      <c r="I83" s="331"/>
      <c r="J83" s="331"/>
      <c r="K83" s="331"/>
      <c r="L83" s="331"/>
      <c r="M83" s="331"/>
      <c r="N83" s="331"/>
      <c r="O83" s="331"/>
      <c r="P83" s="331"/>
      <c r="Q83" s="331"/>
      <c r="R83" s="331"/>
      <c r="S83" s="331"/>
      <c r="T83" s="331"/>
      <c r="U83" s="331"/>
      <c r="V83" s="331"/>
      <c r="W83" s="331" t="s">
        <v>1119</v>
      </c>
      <c r="X83" s="323"/>
      <c r="Y83" s="323"/>
      <c r="Z83" s="335"/>
      <c r="AA83" s="331"/>
      <c r="AB83" s="331"/>
      <c r="AC83" s="331"/>
      <c r="AD83" s="336"/>
    </row>
    <row r="84" spans="1:30" s="337" customFormat="1" ht="24.75" customHeight="1" x14ac:dyDescent="0.35">
      <c r="A84" s="325">
        <v>38</v>
      </c>
      <c r="B84" s="331" t="s">
        <v>1025</v>
      </c>
      <c r="C84" s="331" t="s">
        <v>57</v>
      </c>
      <c r="D84" s="331" t="s">
        <v>33</v>
      </c>
      <c r="E84" s="331" t="s">
        <v>1025</v>
      </c>
      <c r="F84" s="331"/>
      <c r="G84" s="331"/>
      <c r="H84" s="326">
        <f>H82+F83</f>
        <v>14391.428</v>
      </c>
      <c r="I84" s="331">
        <v>408.97500000000002</v>
      </c>
      <c r="J84" s="331">
        <v>75.5</v>
      </c>
      <c r="K84" s="331">
        <f>F83+F85</f>
        <v>786</v>
      </c>
      <c r="L84" s="331">
        <f>K84/2</f>
        <v>393</v>
      </c>
      <c r="M84" s="331">
        <v>207</v>
      </c>
      <c r="N84" s="331">
        <v>216</v>
      </c>
      <c r="O84" s="331">
        <v>423</v>
      </c>
      <c r="P84" s="331">
        <v>207</v>
      </c>
      <c r="Q84" s="331">
        <v>230</v>
      </c>
      <c r="R84" s="331">
        <v>437</v>
      </c>
      <c r="S84" s="331" t="s">
        <v>1120</v>
      </c>
      <c r="T84" s="331" t="s">
        <v>1121</v>
      </c>
      <c r="U84" s="331">
        <v>530224.56999999995</v>
      </c>
      <c r="V84" s="331">
        <v>2671593.6</v>
      </c>
      <c r="W84" s="331"/>
      <c r="X84" s="332" t="s">
        <v>1116</v>
      </c>
      <c r="Y84" s="315" t="s">
        <v>1043</v>
      </c>
      <c r="Z84" s="335" t="s">
        <v>359</v>
      </c>
      <c r="AA84" s="331"/>
      <c r="AB84" s="331"/>
      <c r="AC84" s="331"/>
      <c r="AD84" s="336"/>
    </row>
    <row r="85" spans="1:30" s="337" customFormat="1" ht="24.75" customHeight="1" x14ac:dyDescent="0.35">
      <c r="A85" s="314"/>
      <c r="B85" s="331"/>
      <c r="C85" s="331"/>
      <c r="D85" s="331"/>
      <c r="E85" s="331"/>
      <c r="F85" s="331">
        <v>371</v>
      </c>
      <c r="G85" s="331"/>
      <c r="H85" s="317"/>
      <c r="I85" s="331"/>
      <c r="J85" s="331"/>
      <c r="K85" s="331"/>
      <c r="L85" s="331"/>
      <c r="M85" s="331"/>
      <c r="N85" s="331"/>
      <c r="O85" s="331"/>
      <c r="P85" s="331"/>
      <c r="Q85" s="331"/>
      <c r="R85" s="331"/>
      <c r="S85" s="331"/>
      <c r="T85" s="331"/>
      <c r="U85" s="331"/>
      <c r="V85" s="331"/>
      <c r="W85" s="331" t="s">
        <v>1122</v>
      </c>
      <c r="X85" s="323"/>
      <c r="Y85" s="323"/>
      <c r="Z85" s="335"/>
      <c r="AA85" s="331"/>
      <c r="AB85" s="331"/>
      <c r="AC85" s="331"/>
      <c r="AD85" s="336"/>
    </row>
    <row r="86" spans="1:30" s="337" customFormat="1" ht="24.75" customHeight="1" x14ac:dyDescent="0.35">
      <c r="A86" s="325">
        <v>39</v>
      </c>
      <c r="B86" s="331" t="s">
        <v>1025</v>
      </c>
      <c r="C86" s="331" t="s">
        <v>58</v>
      </c>
      <c r="D86" s="331" t="s">
        <v>23</v>
      </c>
      <c r="E86" s="331" t="s">
        <v>1025</v>
      </c>
      <c r="F86" s="331"/>
      <c r="G86" s="331"/>
      <c r="H86" s="326">
        <f>H84+F85</f>
        <v>14762.428</v>
      </c>
      <c r="I86" s="331">
        <v>407.29</v>
      </c>
      <c r="J86" s="331">
        <v>69.5</v>
      </c>
      <c r="K86" s="331">
        <f>F85+F87</f>
        <v>735</v>
      </c>
      <c r="L86" s="331">
        <f>K86/2</f>
        <v>367.5</v>
      </c>
      <c r="M86" s="331">
        <v>155</v>
      </c>
      <c r="N86" s="331">
        <v>162</v>
      </c>
      <c r="O86" s="331">
        <v>317</v>
      </c>
      <c r="P86" s="331">
        <v>141</v>
      </c>
      <c r="Q86" s="331">
        <v>153</v>
      </c>
      <c r="R86" s="331">
        <v>294</v>
      </c>
      <c r="S86" s="331" t="s">
        <v>1123</v>
      </c>
      <c r="T86" s="331" t="s">
        <v>1124</v>
      </c>
      <c r="U86" s="331">
        <v>530570.35</v>
      </c>
      <c r="V86" s="331">
        <v>2671459.16</v>
      </c>
      <c r="W86" s="331"/>
      <c r="X86" s="332" t="s">
        <v>1116</v>
      </c>
      <c r="Y86" s="315" t="s">
        <v>1043</v>
      </c>
      <c r="Z86" s="335" t="s">
        <v>359</v>
      </c>
      <c r="AA86" s="331"/>
      <c r="AB86" s="331"/>
      <c r="AC86" s="331"/>
      <c r="AD86" s="336"/>
    </row>
    <row r="87" spans="1:30" s="337" customFormat="1" ht="24.75" customHeight="1" x14ac:dyDescent="0.35">
      <c r="A87" s="314"/>
      <c r="B87" s="331"/>
      <c r="C87" s="331"/>
      <c r="D87" s="331"/>
      <c r="E87" s="331"/>
      <c r="F87" s="331">
        <v>364</v>
      </c>
      <c r="G87" s="331"/>
      <c r="H87" s="317"/>
      <c r="I87" s="331"/>
      <c r="J87" s="331"/>
      <c r="K87" s="331"/>
      <c r="L87" s="331"/>
      <c r="M87" s="331"/>
      <c r="N87" s="331"/>
      <c r="O87" s="331"/>
      <c r="P87" s="331"/>
      <c r="Q87" s="331"/>
      <c r="R87" s="331"/>
      <c r="S87" s="331"/>
      <c r="T87" s="331"/>
      <c r="U87" s="331"/>
      <c r="V87" s="331"/>
      <c r="W87" s="331" t="s">
        <v>1087</v>
      </c>
      <c r="X87" s="323"/>
      <c r="Y87" s="323"/>
      <c r="Z87" s="335"/>
      <c r="AA87" s="331"/>
      <c r="AB87" s="331"/>
      <c r="AC87" s="331"/>
      <c r="AD87" s="336"/>
    </row>
    <row r="88" spans="1:30" s="337" customFormat="1" ht="24.75" customHeight="1" x14ac:dyDescent="0.35">
      <c r="A88" s="325">
        <v>40</v>
      </c>
      <c r="B88" s="331" t="s">
        <v>1025</v>
      </c>
      <c r="C88" s="331" t="s">
        <v>59</v>
      </c>
      <c r="D88" s="331" t="s">
        <v>31</v>
      </c>
      <c r="E88" s="331" t="s">
        <v>1025</v>
      </c>
      <c r="F88" s="331"/>
      <c r="G88" s="331"/>
      <c r="H88" s="326">
        <f>H86+F87</f>
        <v>15126.428</v>
      </c>
      <c r="I88" s="338">
        <v>409.2</v>
      </c>
      <c r="J88" s="331">
        <v>72.5</v>
      </c>
      <c r="K88" s="331">
        <f>F87+F89</f>
        <v>779</v>
      </c>
      <c r="L88" s="331">
        <f>K88/2</f>
        <v>389.5</v>
      </c>
      <c r="M88" s="331">
        <v>202</v>
      </c>
      <c r="N88" s="331">
        <v>205</v>
      </c>
      <c r="O88" s="331">
        <v>407</v>
      </c>
      <c r="P88" s="331">
        <v>211</v>
      </c>
      <c r="Q88" s="331">
        <v>204</v>
      </c>
      <c r="R88" s="331">
        <v>415</v>
      </c>
      <c r="S88" s="331" t="s">
        <v>1125</v>
      </c>
      <c r="T88" s="331" t="s">
        <v>1126</v>
      </c>
      <c r="U88" s="331">
        <v>530909.61</v>
      </c>
      <c r="V88" s="331">
        <v>2671327.25</v>
      </c>
      <c r="W88" s="331"/>
      <c r="X88" s="332" t="s">
        <v>1116</v>
      </c>
      <c r="Y88" s="315" t="s">
        <v>1043</v>
      </c>
      <c r="Z88" s="335" t="s">
        <v>359</v>
      </c>
      <c r="AA88" s="331"/>
      <c r="AB88" s="331"/>
      <c r="AC88" s="331"/>
      <c r="AD88" s="336"/>
    </row>
    <row r="89" spans="1:30" s="337" customFormat="1" ht="24.75" customHeight="1" x14ac:dyDescent="0.35">
      <c r="A89" s="314"/>
      <c r="B89" s="331"/>
      <c r="C89" s="331"/>
      <c r="D89" s="331"/>
      <c r="E89" s="331"/>
      <c r="F89" s="331">
        <v>415</v>
      </c>
      <c r="G89" s="331"/>
      <c r="H89" s="317"/>
      <c r="I89" s="331"/>
      <c r="J89" s="331"/>
      <c r="K89" s="331"/>
      <c r="L89" s="331"/>
      <c r="M89" s="331"/>
      <c r="N89" s="331"/>
      <c r="O89" s="331"/>
      <c r="P89" s="331"/>
      <c r="Q89" s="331"/>
      <c r="R89" s="331"/>
      <c r="S89" s="331"/>
      <c r="T89" s="331"/>
      <c r="U89" s="331"/>
      <c r="V89" s="331"/>
      <c r="W89" s="331" t="s">
        <v>1127</v>
      </c>
      <c r="X89" s="323"/>
      <c r="Y89" s="323"/>
      <c r="Z89" s="335"/>
      <c r="AA89" s="331"/>
      <c r="AB89" s="331"/>
      <c r="AC89" s="331"/>
      <c r="AD89" s="336"/>
    </row>
    <row r="90" spans="1:30" s="337" customFormat="1" ht="24.75" customHeight="1" x14ac:dyDescent="0.35">
      <c r="A90" s="325">
        <v>41</v>
      </c>
      <c r="B90" s="331" t="s">
        <v>1128</v>
      </c>
      <c r="C90" s="331" t="s">
        <v>60</v>
      </c>
      <c r="D90" s="331" t="s">
        <v>61</v>
      </c>
      <c r="E90" s="331" t="s">
        <v>1129</v>
      </c>
      <c r="F90" s="331"/>
      <c r="G90" s="331">
        <f>SUM(F69:F89)</f>
        <v>4304</v>
      </c>
      <c r="H90" s="326">
        <f>H88+F89</f>
        <v>15541.428</v>
      </c>
      <c r="I90" s="331">
        <v>409.93</v>
      </c>
      <c r="J90" s="315">
        <v>70.72</v>
      </c>
      <c r="K90" s="331">
        <f>F89+F91</f>
        <v>804</v>
      </c>
      <c r="L90" s="331">
        <f>K90/2</f>
        <v>402</v>
      </c>
      <c r="M90" s="331">
        <v>210</v>
      </c>
      <c r="N90" s="331">
        <v>181</v>
      </c>
      <c r="O90" s="331">
        <v>391</v>
      </c>
      <c r="P90" s="331">
        <v>211</v>
      </c>
      <c r="Q90" s="331">
        <v>175</v>
      </c>
      <c r="R90" s="331">
        <v>386</v>
      </c>
      <c r="S90" s="331" t="s">
        <v>1130</v>
      </c>
      <c r="T90" s="331" t="s">
        <v>1131</v>
      </c>
      <c r="U90" s="331">
        <v>531296.31000000006</v>
      </c>
      <c r="V90" s="331">
        <v>2671176.9</v>
      </c>
      <c r="W90" s="331"/>
      <c r="X90" s="315" t="s">
        <v>1132</v>
      </c>
      <c r="Y90" s="315" t="s">
        <v>1043</v>
      </c>
      <c r="Z90" s="335" t="s">
        <v>359</v>
      </c>
      <c r="AA90" s="331"/>
      <c r="AB90" s="331"/>
      <c r="AC90" s="331"/>
      <c r="AD90" s="336"/>
    </row>
    <row r="91" spans="1:30" s="337" customFormat="1" ht="24.75" customHeight="1" x14ac:dyDescent="0.35">
      <c r="A91" s="314"/>
      <c r="B91" s="331"/>
      <c r="C91" s="331"/>
      <c r="D91" s="331"/>
      <c r="E91" s="331"/>
      <c r="F91" s="331">
        <v>389</v>
      </c>
      <c r="G91" s="331"/>
      <c r="H91" s="317"/>
      <c r="I91" s="331"/>
      <c r="J91" s="331"/>
      <c r="K91" s="331"/>
      <c r="L91" s="331"/>
      <c r="M91" s="331"/>
      <c r="N91" s="331"/>
      <c r="O91" s="331"/>
      <c r="P91" s="331"/>
      <c r="Q91" s="331"/>
      <c r="R91" s="331"/>
      <c r="S91" s="331"/>
      <c r="T91" s="331"/>
      <c r="U91" s="331"/>
      <c r="V91" s="331"/>
      <c r="W91" s="331" t="s">
        <v>1133</v>
      </c>
      <c r="X91" s="323"/>
      <c r="Y91" s="323"/>
      <c r="Z91" s="335"/>
      <c r="AA91" s="331"/>
      <c r="AB91" s="331"/>
      <c r="AC91" s="331"/>
      <c r="AD91" s="336"/>
    </row>
    <row r="92" spans="1:30" s="337" customFormat="1" ht="24.75" customHeight="1" x14ac:dyDescent="0.35">
      <c r="A92" s="325">
        <v>42</v>
      </c>
      <c r="B92" s="331" t="s">
        <v>1025</v>
      </c>
      <c r="C92" s="331" t="s">
        <v>62</v>
      </c>
      <c r="D92" s="331" t="s">
        <v>33</v>
      </c>
      <c r="E92" s="331" t="s">
        <v>1025</v>
      </c>
      <c r="F92" s="331"/>
      <c r="G92" s="331"/>
      <c r="H92" s="326">
        <f>H90+F91</f>
        <v>15930.428</v>
      </c>
      <c r="I92" s="331">
        <v>410.47</v>
      </c>
      <c r="J92" s="331">
        <v>75.5</v>
      </c>
      <c r="K92" s="331">
        <f>F91+F93</f>
        <v>785</v>
      </c>
      <c r="L92" s="331">
        <f>K92/2</f>
        <v>392.5</v>
      </c>
      <c r="M92" s="331">
        <v>208</v>
      </c>
      <c r="N92" s="331">
        <v>205</v>
      </c>
      <c r="O92" s="331">
        <v>413</v>
      </c>
      <c r="P92" s="331">
        <v>214</v>
      </c>
      <c r="Q92" s="331">
        <v>209</v>
      </c>
      <c r="R92" s="331">
        <v>423</v>
      </c>
      <c r="S92" s="331" t="s">
        <v>1134</v>
      </c>
      <c r="T92" s="331" t="s">
        <v>1135</v>
      </c>
      <c r="U92" s="331">
        <v>531677.04</v>
      </c>
      <c r="V92" s="331">
        <v>2671097.15</v>
      </c>
      <c r="W92" s="331"/>
      <c r="X92" s="315" t="s">
        <v>1132</v>
      </c>
      <c r="Y92" s="315" t="s">
        <v>1043</v>
      </c>
      <c r="Z92" s="335" t="s">
        <v>359</v>
      </c>
      <c r="AA92" s="331"/>
      <c r="AB92" s="331"/>
      <c r="AC92" s="331"/>
      <c r="AD92" s="336"/>
    </row>
    <row r="93" spans="1:30" s="337" customFormat="1" ht="24.75" customHeight="1" x14ac:dyDescent="0.35">
      <c r="A93" s="314"/>
      <c r="B93" s="331"/>
      <c r="C93" s="331"/>
      <c r="D93" s="331"/>
      <c r="E93" s="331"/>
      <c r="F93" s="331">
        <v>396</v>
      </c>
      <c r="G93" s="331"/>
      <c r="H93" s="317"/>
      <c r="I93" s="331"/>
      <c r="J93" s="331"/>
      <c r="K93" s="331"/>
      <c r="L93" s="331"/>
      <c r="M93" s="331"/>
      <c r="N93" s="331"/>
      <c r="O93" s="331"/>
      <c r="P93" s="331"/>
      <c r="Q93" s="331"/>
      <c r="R93" s="331"/>
      <c r="S93" s="331"/>
      <c r="T93" s="331"/>
      <c r="U93" s="331"/>
      <c r="V93" s="331"/>
      <c r="W93" s="331" t="s">
        <v>1122</v>
      </c>
      <c r="X93" s="323"/>
      <c r="Y93" s="323"/>
      <c r="Z93" s="335"/>
      <c r="AA93" s="331"/>
      <c r="AB93" s="331"/>
      <c r="AC93" s="331"/>
      <c r="AD93" s="336"/>
    </row>
    <row r="94" spans="1:30" s="337" customFormat="1" ht="24.75" customHeight="1" x14ac:dyDescent="0.35">
      <c r="A94" s="325">
        <v>43</v>
      </c>
      <c r="B94" s="331" t="s">
        <v>1025</v>
      </c>
      <c r="C94" s="331" t="s">
        <v>63</v>
      </c>
      <c r="D94" s="331" t="s">
        <v>31</v>
      </c>
      <c r="E94" s="331" t="s">
        <v>1025</v>
      </c>
      <c r="F94" s="331"/>
      <c r="G94" s="331"/>
      <c r="H94" s="326">
        <f>H92+F93</f>
        <v>16326.428</v>
      </c>
      <c r="I94" s="338">
        <v>411.48</v>
      </c>
      <c r="J94" s="331">
        <v>72.5</v>
      </c>
      <c r="K94" s="331">
        <f>F93+F95</f>
        <v>835</v>
      </c>
      <c r="L94" s="331">
        <f>K94/2</f>
        <v>417.5</v>
      </c>
      <c r="M94" s="331">
        <v>191</v>
      </c>
      <c r="N94" s="331">
        <v>190</v>
      </c>
      <c r="O94" s="331">
        <v>381</v>
      </c>
      <c r="P94" s="331">
        <v>187</v>
      </c>
      <c r="Q94" s="331">
        <v>176</v>
      </c>
      <c r="R94" s="331">
        <v>363</v>
      </c>
      <c r="S94" s="331" t="s">
        <v>1136</v>
      </c>
      <c r="T94" s="331" t="s">
        <v>1137</v>
      </c>
      <c r="U94" s="331">
        <v>532064.63</v>
      </c>
      <c r="V94" s="331">
        <v>2671015.96</v>
      </c>
      <c r="W94" s="331"/>
      <c r="X94" s="315" t="s">
        <v>1132</v>
      </c>
      <c r="Y94" s="315" t="s">
        <v>1043</v>
      </c>
      <c r="Z94" s="335" t="s">
        <v>359</v>
      </c>
      <c r="AA94" s="331"/>
      <c r="AB94" s="331"/>
      <c r="AC94" s="331"/>
      <c r="AD94" s="336"/>
    </row>
    <row r="95" spans="1:30" s="337" customFormat="1" ht="24.75" customHeight="1" x14ac:dyDescent="0.35">
      <c r="A95" s="314"/>
      <c r="B95" s="331"/>
      <c r="C95" s="331"/>
      <c r="D95" s="331"/>
      <c r="E95" s="331"/>
      <c r="F95" s="331">
        <v>439</v>
      </c>
      <c r="G95" s="331"/>
      <c r="H95" s="317"/>
      <c r="I95" s="331"/>
      <c r="J95" s="331"/>
      <c r="K95" s="331"/>
      <c r="L95" s="331"/>
      <c r="M95" s="331"/>
      <c r="N95" s="331"/>
      <c r="O95" s="331"/>
      <c r="P95" s="331"/>
      <c r="Q95" s="331"/>
      <c r="R95" s="331"/>
      <c r="S95" s="331"/>
      <c r="T95" s="331"/>
      <c r="U95" s="331"/>
      <c r="V95" s="331"/>
      <c r="W95" s="331" t="s">
        <v>1138</v>
      </c>
      <c r="X95" s="323"/>
      <c r="Y95" s="323"/>
      <c r="Z95" s="335"/>
      <c r="AA95" s="331"/>
      <c r="AB95" s="331"/>
      <c r="AC95" s="331"/>
      <c r="AD95" s="336"/>
    </row>
    <row r="96" spans="1:30" s="337" customFormat="1" ht="24.75" customHeight="1" x14ac:dyDescent="0.35">
      <c r="A96" s="325">
        <v>44</v>
      </c>
      <c r="B96" s="331" t="s">
        <v>1025</v>
      </c>
      <c r="C96" s="331" t="s">
        <v>64</v>
      </c>
      <c r="D96" s="331" t="s">
        <v>16</v>
      </c>
      <c r="E96" s="331" t="s">
        <v>1025</v>
      </c>
      <c r="F96" s="331"/>
      <c r="G96" s="331"/>
      <c r="H96" s="326">
        <f>H94+F95</f>
        <v>16765.428</v>
      </c>
      <c r="I96" s="331">
        <v>414.42</v>
      </c>
      <c r="J96" s="331">
        <v>78.5</v>
      </c>
      <c r="K96" s="331">
        <f>F95+F97</f>
        <v>820</v>
      </c>
      <c r="L96" s="331">
        <f>K96/2</f>
        <v>410</v>
      </c>
      <c r="M96" s="331">
        <v>249</v>
      </c>
      <c r="N96" s="331">
        <v>204</v>
      </c>
      <c r="O96" s="331">
        <v>453</v>
      </c>
      <c r="P96" s="331">
        <v>263</v>
      </c>
      <c r="Q96" s="331">
        <v>210</v>
      </c>
      <c r="R96" s="331">
        <v>473</v>
      </c>
      <c r="S96" s="331" t="s">
        <v>1139</v>
      </c>
      <c r="T96" s="331" t="s">
        <v>1140</v>
      </c>
      <c r="U96" s="331">
        <v>532494.30000000005</v>
      </c>
      <c r="V96" s="331">
        <v>2670925.96</v>
      </c>
      <c r="W96" s="331"/>
      <c r="X96" s="315" t="s">
        <v>1141</v>
      </c>
      <c r="Y96" s="315" t="s">
        <v>1043</v>
      </c>
      <c r="Z96" s="335" t="s">
        <v>359</v>
      </c>
      <c r="AA96" s="331"/>
      <c r="AB96" s="331"/>
      <c r="AC96" s="331"/>
      <c r="AD96" s="336"/>
    </row>
    <row r="97" spans="1:30" s="337" customFormat="1" ht="24.75" customHeight="1" x14ac:dyDescent="0.35">
      <c r="A97" s="314"/>
      <c r="B97" s="331"/>
      <c r="C97" s="331"/>
      <c r="D97" s="331"/>
      <c r="E97" s="331"/>
      <c r="F97" s="331">
        <v>381</v>
      </c>
      <c r="G97" s="331"/>
      <c r="H97" s="317"/>
      <c r="I97" s="331"/>
      <c r="J97" s="331"/>
      <c r="K97" s="331"/>
      <c r="L97" s="331"/>
      <c r="M97" s="331"/>
      <c r="N97" s="331"/>
      <c r="O97" s="331"/>
      <c r="P97" s="331"/>
      <c r="Q97" s="331"/>
      <c r="R97" s="331"/>
      <c r="S97" s="331"/>
      <c r="T97" s="331"/>
      <c r="U97" s="331"/>
      <c r="V97" s="331"/>
      <c r="W97" s="331" t="s">
        <v>1138</v>
      </c>
      <c r="X97" s="323"/>
      <c r="Y97" s="323"/>
      <c r="Z97" s="335"/>
      <c r="AA97" s="331"/>
      <c r="AB97" s="331"/>
      <c r="AC97" s="331"/>
      <c r="AD97" s="336"/>
    </row>
    <row r="98" spans="1:30" s="337" customFormat="1" ht="24.75" customHeight="1" x14ac:dyDescent="0.35">
      <c r="A98" s="325">
        <v>45</v>
      </c>
      <c r="B98" s="331" t="s">
        <v>1142</v>
      </c>
      <c r="C98" s="331" t="s">
        <v>65</v>
      </c>
      <c r="D98" s="331" t="s">
        <v>28</v>
      </c>
      <c r="E98" s="331" t="s">
        <v>1143</v>
      </c>
      <c r="F98" s="331"/>
      <c r="G98" s="331">
        <f>SUM(F91:F97)</f>
        <v>1605</v>
      </c>
      <c r="H98" s="326">
        <f>H96+F97</f>
        <v>17146.428</v>
      </c>
      <c r="I98" s="331">
        <v>416.97500000000002</v>
      </c>
      <c r="J98" s="315">
        <v>70.72</v>
      </c>
      <c r="K98" s="331">
        <f>F97+F99</f>
        <v>767</v>
      </c>
      <c r="L98" s="331">
        <f>K98/2</f>
        <v>383.5</v>
      </c>
      <c r="M98" s="331">
        <v>220</v>
      </c>
      <c r="N98" s="331">
        <v>188</v>
      </c>
      <c r="O98" s="331">
        <v>408</v>
      </c>
      <c r="P98" s="331">
        <v>210</v>
      </c>
      <c r="Q98" s="331">
        <v>190</v>
      </c>
      <c r="R98" s="331">
        <v>400</v>
      </c>
      <c r="S98" s="331" t="s">
        <v>1144</v>
      </c>
      <c r="T98" s="331" t="s">
        <v>1145</v>
      </c>
      <c r="U98" s="331">
        <v>532867.52399999998</v>
      </c>
      <c r="V98" s="331">
        <v>2670847.7790000001</v>
      </c>
      <c r="W98" s="331"/>
      <c r="X98" s="315" t="s">
        <v>1141</v>
      </c>
      <c r="Y98" s="315" t="s">
        <v>1043</v>
      </c>
      <c r="Z98" s="335" t="s">
        <v>359</v>
      </c>
      <c r="AA98" s="331"/>
      <c r="AB98" s="331"/>
      <c r="AC98" s="331"/>
      <c r="AD98" s="336"/>
    </row>
    <row r="99" spans="1:30" s="337" customFormat="1" ht="28" x14ac:dyDescent="0.35">
      <c r="A99" s="314"/>
      <c r="B99" s="331"/>
      <c r="C99" s="331"/>
      <c r="D99" s="331"/>
      <c r="E99" s="331"/>
      <c r="F99" s="331">
        <v>386</v>
      </c>
      <c r="G99" s="331"/>
      <c r="H99" s="317"/>
      <c r="I99" s="331"/>
      <c r="J99" s="331"/>
      <c r="K99" s="331"/>
      <c r="L99" s="331"/>
      <c r="M99" s="331"/>
      <c r="N99" s="331"/>
      <c r="O99" s="331"/>
      <c r="P99" s="331"/>
      <c r="Q99" s="331"/>
      <c r="R99" s="331"/>
      <c r="S99" s="331"/>
      <c r="T99" s="331"/>
      <c r="U99" s="331"/>
      <c r="V99" s="331"/>
      <c r="W99" s="331" t="s">
        <v>1146</v>
      </c>
      <c r="X99" s="323"/>
      <c r="Y99" s="323"/>
      <c r="Z99" s="335"/>
      <c r="AA99" s="331"/>
      <c r="AB99" s="331"/>
      <c r="AC99" s="331"/>
      <c r="AD99" s="336"/>
    </row>
    <row r="100" spans="1:30" s="337" customFormat="1" ht="24.75" customHeight="1" x14ac:dyDescent="0.35">
      <c r="A100" s="325">
        <v>46</v>
      </c>
      <c r="B100" s="331" t="s">
        <v>1025</v>
      </c>
      <c r="C100" s="331" t="s">
        <v>66</v>
      </c>
      <c r="D100" s="331" t="s">
        <v>31</v>
      </c>
      <c r="E100" s="331" t="s">
        <v>1025</v>
      </c>
      <c r="F100" s="331"/>
      <c r="G100" s="331"/>
      <c r="H100" s="326">
        <f>H98+F99</f>
        <v>17532.428</v>
      </c>
      <c r="I100" s="338">
        <v>418.01799999999997</v>
      </c>
      <c r="J100" s="331">
        <v>72.5</v>
      </c>
      <c r="K100" s="331">
        <f>F99+F101</f>
        <v>742</v>
      </c>
      <c r="L100" s="331">
        <f>K100/2</f>
        <v>371</v>
      </c>
      <c r="M100" s="331">
        <v>199</v>
      </c>
      <c r="N100" s="331">
        <v>176</v>
      </c>
      <c r="O100" s="331">
        <v>375</v>
      </c>
      <c r="P100" s="331">
        <v>198</v>
      </c>
      <c r="Q100" s="331">
        <v>177</v>
      </c>
      <c r="R100" s="331">
        <v>375</v>
      </c>
      <c r="S100" s="331" t="s">
        <v>1147</v>
      </c>
      <c r="T100" s="331" t="s">
        <v>1148</v>
      </c>
      <c r="U100" s="331">
        <v>533237.91599999997</v>
      </c>
      <c r="V100" s="331">
        <v>2670739.1230000001</v>
      </c>
      <c r="W100" s="331"/>
      <c r="X100" s="315" t="s">
        <v>1141</v>
      </c>
      <c r="Y100" s="315" t="s">
        <v>1043</v>
      </c>
      <c r="Z100" s="335" t="s">
        <v>359</v>
      </c>
      <c r="AA100" s="331"/>
      <c r="AB100" s="331"/>
      <c r="AC100" s="331"/>
      <c r="AD100" s="336"/>
    </row>
    <row r="101" spans="1:30" s="337" customFormat="1" ht="24.75" customHeight="1" x14ac:dyDescent="0.35">
      <c r="A101" s="314"/>
      <c r="B101" s="331"/>
      <c r="C101" s="331"/>
      <c r="D101" s="331"/>
      <c r="E101" s="331"/>
      <c r="F101" s="331">
        <v>356</v>
      </c>
      <c r="G101" s="331"/>
      <c r="H101" s="317"/>
      <c r="I101" s="331"/>
      <c r="J101" s="331"/>
      <c r="K101" s="331"/>
      <c r="L101" s="331"/>
      <c r="M101" s="331"/>
      <c r="N101" s="331"/>
      <c r="O101" s="331"/>
      <c r="P101" s="331"/>
      <c r="Q101" s="331"/>
      <c r="R101" s="331"/>
      <c r="S101" s="331"/>
      <c r="T101" s="331"/>
      <c r="U101" s="331"/>
      <c r="V101" s="331"/>
      <c r="W101" s="331" t="s">
        <v>1149</v>
      </c>
      <c r="X101" s="323"/>
      <c r="Y101" s="323"/>
      <c r="Z101" s="335"/>
      <c r="AA101" s="331"/>
      <c r="AB101" s="331"/>
      <c r="AC101" s="331"/>
      <c r="AD101" s="336"/>
    </row>
    <row r="102" spans="1:30" s="337" customFormat="1" ht="24.75" customHeight="1" x14ac:dyDescent="0.35">
      <c r="A102" s="325">
        <v>47</v>
      </c>
      <c r="B102" s="331" t="s">
        <v>1025</v>
      </c>
      <c r="C102" s="331" t="s">
        <v>67</v>
      </c>
      <c r="D102" s="331" t="s">
        <v>23</v>
      </c>
      <c r="E102" s="331" t="s">
        <v>1025</v>
      </c>
      <c r="F102" s="331"/>
      <c r="G102" s="331"/>
      <c r="H102" s="326">
        <f>H100+F101</f>
        <v>17888.428</v>
      </c>
      <c r="I102" s="331">
        <v>421.41199999999998</v>
      </c>
      <c r="J102" s="331">
        <v>69.5</v>
      </c>
      <c r="K102" s="331">
        <f>F101+F103</f>
        <v>721</v>
      </c>
      <c r="L102" s="331">
        <f>K102/2</f>
        <v>360.5</v>
      </c>
      <c r="M102" s="331">
        <v>181</v>
      </c>
      <c r="N102" s="331">
        <v>129</v>
      </c>
      <c r="O102" s="331">
        <v>310</v>
      </c>
      <c r="P102" s="331">
        <v>180</v>
      </c>
      <c r="Q102" s="331">
        <v>146</v>
      </c>
      <c r="R102" s="331">
        <v>326</v>
      </c>
      <c r="S102" s="331" t="s">
        <v>1150</v>
      </c>
      <c r="T102" s="331" t="s">
        <v>1151</v>
      </c>
      <c r="U102" s="331">
        <v>533579.52000000002</v>
      </c>
      <c r="V102" s="331">
        <v>2670638.912</v>
      </c>
      <c r="W102" s="331"/>
      <c r="X102" s="315" t="s">
        <v>1141</v>
      </c>
      <c r="Y102" s="315" t="s">
        <v>1043</v>
      </c>
      <c r="Z102" s="335" t="s">
        <v>359</v>
      </c>
      <c r="AA102" s="331"/>
      <c r="AB102" s="331"/>
      <c r="AC102" s="331"/>
      <c r="AD102" s="336"/>
    </row>
    <row r="103" spans="1:30" s="337" customFormat="1" ht="24.75" customHeight="1" x14ac:dyDescent="0.35">
      <c r="A103" s="314"/>
      <c r="B103" s="331"/>
      <c r="C103" s="331"/>
      <c r="D103" s="331"/>
      <c r="E103" s="331"/>
      <c r="F103" s="331">
        <v>365</v>
      </c>
      <c r="G103" s="331"/>
      <c r="H103" s="317"/>
      <c r="I103" s="331"/>
      <c r="J103" s="331"/>
      <c r="K103" s="331"/>
      <c r="L103" s="331"/>
      <c r="M103" s="331"/>
      <c r="N103" s="331"/>
      <c r="O103" s="331"/>
      <c r="P103" s="331"/>
      <c r="Q103" s="331"/>
      <c r="R103" s="331"/>
      <c r="S103" s="331"/>
      <c r="T103" s="331"/>
      <c r="U103" s="331"/>
      <c r="V103" s="331"/>
      <c r="W103" s="331" t="s">
        <v>1152</v>
      </c>
      <c r="X103" s="323"/>
      <c r="Y103" s="323"/>
      <c r="Z103" s="335"/>
      <c r="AA103" s="331"/>
      <c r="AB103" s="331"/>
      <c r="AC103" s="331"/>
      <c r="AD103" s="336"/>
    </row>
    <row r="104" spans="1:30" s="337" customFormat="1" ht="24.75" customHeight="1" x14ac:dyDescent="0.35">
      <c r="A104" s="325">
        <v>48</v>
      </c>
      <c r="B104" s="331" t="s">
        <v>1025</v>
      </c>
      <c r="C104" s="331" t="s">
        <v>68</v>
      </c>
      <c r="D104" s="331" t="s">
        <v>33</v>
      </c>
      <c r="E104" s="331" t="s">
        <v>1025</v>
      </c>
      <c r="F104" s="331"/>
      <c r="G104" s="331"/>
      <c r="H104" s="326">
        <f>H102+F103</f>
        <v>18253.428</v>
      </c>
      <c r="I104" s="331">
        <v>424.56200000000001</v>
      </c>
      <c r="J104" s="331">
        <v>75.5</v>
      </c>
      <c r="K104" s="331">
        <f>F103+F105</f>
        <v>840</v>
      </c>
      <c r="L104" s="331">
        <f>K104/2</f>
        <v>420</v>
      </c>
      <c r="M104" s="331">
        <v>236</v>
      </c>
      <c r="N104" s="331">
        <v>118</v>
      </c>
      <c r="O104" s="331">
        <v>354</v>
      </c>
      <c r="P104" s="331">
        <v>220</v>
      </c>
      <c r="Q104" s="331">
        <v>155</v>
      </c>
      <c r="R104" s="331">
        <v>375</v>
      </c>
      <c r="S104" s="331" t="s">
        <v>1153</v>
      </c>
      <c r="T104" s="331" t="s">
        <v>1154</v>
      </c>
      <c r="U104" s="331">
        <v>533929.76100000006</v>
      </c>
      <c r="V104" s="331">
        <v>2670536.1669999999</v>
      </c>
      <c r="W104" s="331"/>
      <c r="X104" s="315" t="s">
        <v>1155</v>
      </c>
      <c r="Y104" s="315" t="s">
        <v>1043</v>
      </c>
      <c r="Z104" s="335" t="s">
        <v>359</v>
      </c>
      <c r="AA104" s="331"/>
      <c r="AB104" s="331"/>
      <c r="AC104" s="331"/>
      <c r="AD104" s="336"/>
    </row>
    <row r="105" spans="1:30" s="337" customFormat="1" ht="24.75" customHeight="1" x14ac:dyDescent="0.35">
      <c r="A105" s="314"/>
      <c r="B105" s="331"/>
      <c r="C105" s="331"/>
      <c r="D105" s="331"/>
      <c r="E105" s="331"/>
      <c r="F105" s="331">
        <v>475</v>
      </c>
      <c r="G105" s="331"/>
      <c r="H105" s="317"/>
      <c r="I105" s="331"/>
      <c r="J105" s="331"/>
      <c r="K105" s="331"/>
      <c r="L105" s="331"/>
      <c r="M105" s="331"/>
      <c r="N105" s="331"/>
      <c r="O105" s="331"/>
      <c r="P105" s="331"/>
      <c r="Q105" s="331"/>
      <c r="R105" s="331"/>
      <c r="S105" s="331"/>
      <c r="T105" s="331"/>
      <c r="U105" s="331"/>
      <c r="V105" s="331"/>
      <c r="W105" s="331" t="s">
        <v>1156</v>
      </c>
      <c r="X105" s="323"/>
      <c r="Y105" s="323"/>
      <c r="Z105" s="335"/>
      <c r="AA105" s="331"/>
      <c r="AB105" s="331"/>
      <c r="AC105" s="331"/>
      <c r="AD105" s="336"/>
    </row>
    <row r="106" spans="1:30" s="337" customFormat="1" ht="24.75" customHeight="1" x14ac:dyDescent="0.35">
      <c r="A106" s="325">
        <v>49</v>
      </c>
      <c r="B106" s="331" t="s">
        <v>1157</v>
      </c>
      <c r="C106" s="331" t="s">
        <v>69</v>
      </c>
      <c r="D106" s="331" t="s">
        <v>70</v>
      </c>
      <c r="E106" s="331" t="s">
        <v>1158</v>
      </c>
      <c r="F106" s="331"/>
      <c r="G106" s="331">
        <f>SUM(F99:F105)</f>
        <v>1582</v>
      </c>
      <c r="H106" s="326">
        <f>H104+F105</f>
        <v>18728.428</v>
      </c>
      <c r="I106" s="331">
        <v>429.48599999999999</v>
      </c>
      <c r="J106" s="331">
        <v>95.72</v>
      </c>
      <c r="K106" s="331">
        <f>F105+F107</f>
        <v>671</v>
      </c>
      <c r="L106" s="331">
        <f>K106/2</f>
        <v>335.5</v>
      </c>
      <c r="M106" s="331">
        <v>359</v>
      </c>
      <c r="N106" s="331">
        <v>75</v>
      </c>
      <c r="O106" s="331">
        <v>434</v>
      </c>
      <c r="P106" s="331">
        <v>323</v>
      </c>
      <c r="Q106" s="331">
        <v>89</v>
      </c>
      <c r="R106" s="331">
        <v>412</v>
      </c>
      <c r="S106" s="331" t="s">
        <v>1159</v>
      </c>
      <c r="T106" s="331" t="s">
        <v>1160</v>
      </c>
      <c r="U106" s="331">
        <v>534385.65099999995</v>
      </c>
      <c r="V106" s="331">
        <v>2670402.4300000002</v>
      </c>
      <c r="W106" s="331"/>
      <c r="X106" s="315" t="s">
        <v>1155</v>
      </c>
      <c r="Y106" s="315" t="s">
        <v>1043</v>
      </c>
      <c r="Z106" s="335" t="s">
        <v>359</v>
      </c>
      <c r="AA106" s="331"/>
      <c r="AB106" s="331"/>
      <c r="AC106" s="331"/>
      <c r="AD106" s="336"/>
    </row>
    <row r="107" spans="1:30" s="337" customFormat="1" ht="28" x14ac:dyDescent="0.35">
      <c r="A107" s="314"/>
      <c r="B107" s="331"/>
      <c r="C107" s="331"/>
      <c r="D107" s="331"/>
      <c r="E107" s="331"/>
      <c r="F107" s="331">
        <v>196</v>
      </c>
      <c r="G107" s="331"/>
      <c r="H107" s="317"/>
      <c r="I107" s="331"/>
      <c r="J107" s="331"/>
      <c r="K107" s="331"/>
      <c r="L107" s="331"/>
      <c r="M107" s="331"/>
      <c r="N107" s="331"/>
      <c r="O107" s="331"/>
      <c r="P107" s="331"/>
      <c r="Q107" s="331"/>
      <c r="R107" s="331"/>
      <c r="S107" s="331"/>
      <c r="T107" s="331"/>
      <c r="U107" s="331"/>
      <c r="V107" s="331"/>
      <c r="W107" s="339" t="s">
        <v>1161</v>
      </c>
      <c r="X107" s="323"/>
      <c r="Y107" s="323"/>
      <c r="Z107" s="335"/>
      <c r="AA107" s="331"/>
      <c r="AB107" s="331"/>
      <c r="AC107" s="331"/>
      <c r="AD107" s="336"/>
    </row>
    <row r="108" spans="1:30" s="337" customFormat="1" ht="24.75" customHeight="1" x14ac:dyDescent="0.35">
      <c r="A108" s="325">
        <v>50</v>
      </c>
      <c r="B108" s="331" t="s">
        <v>1162</v>
      </c>
      <c r="C108" s="331" t="s">
        <v>388</v>
      </c>
      <c r="D108" s="331" t="s">
        <v>70</v>
      </c>
      <c r="E108" s="331" t="s">
        <v>1163</v>
      </c>
      <c r="F108" s="331"/>
      <c r="G108" s="331">
        <f>F107</f>
        <v>196</v>
      </c>
      <c r="H108" s="326">
        <f>H106+F107</f>
        <v>18924.428</v>
      </c>
      <c r="I108" s="331">
        <v>430.03699999999998</v>
      </c>
      <c r="J108" s="331">
        <v>95.72</v>
      </c>
      <c r="K108" s="331">
        <f>F107+F109</f>
        <v>673</v>
      </c>
      <c r="L108" s="331">
        <f>K108/2</f>
        <v>336.5</v>
      </c>
      <c r="M108" s="331">
        <v>121</v>
      </c>
      <c r="N108" s="331">
        <v>349</v>
      </c>
      <c r="O108" s="331">
        <v>470</v>
      </c>
      <c r="P108" s="331">
        <v>107</v>
      </c>
      <c r="Q108" s="331">
        <v>315</v>
      </c>
      <c r="R108" s="331">
        <v>422</v>
      </c>
      <c r="S108" s="331" t="s">
        <v>1164</v>
      </c>
      <c r="T108" s="331" t="s">
        <v>1165</v>
      </c>
      <c r="U108" s="331">
        <v>534579.16299999994</v>
      </c>
      <c r="V108" s="331">
        <v>2670433.5060000001</v>
      </c>
      <c r="W108" s="339" t="s">
        <v>1166</v>
      </c>
      <c r="X108" s="315" t="s">
        <v>1155</v>
      </c>
      <c r="Y108" s="315" t="s">
        <v>1043</v>
      </c>
      <c r="Z108" s="335" t="s">
        <v>359</v>
      </c>
      <c r="AA108" s="339">
        <v>1</v>
      </c>
      <c r="AB108" s="339">
        <v>1</v>
      </c>
      <c r="AC108" s="339">
        <v>1</v>
      </c>
      <c r="AD108" s="340">
        <v>1</v>
      </c>
    </row>
    <row r="109" spans="1:30" s="337" customFormat="1" ht="24.75" customHeight="1" x14ac:dyDescent="0.35">
      <c r="A109" s="314"/>
      <c r="B109" s="331"/>
      <c r="C109" s="331"/>
      <c r="D109" s="331"/>
      <c r="E109" s="331"/>
      <c r="F109" s="331">
        <v>477</v>
      </c>
      <c r="G109" s="331"/>
      <c r="H109" s="317"/>
      <c r="I109" s="331"/>
      <c r="J109" s="331"/>
      <c r="K109" s="331"/>
      <c r="L109" s="331"/>
      <c r="M109" s="331"/>
      <c r="N109" s="331"/>
      <c r="O109" s="331"/>
      <c r="P109" s="331"/>
      <c r="Q109" s="331"/>
      <c r="R109" s="331"/>
      <c r="S109" s="331"/>
      <c r="T109" s="331"/>
      <c r="U109" s="331"/>
      <c r="V109" s="331"/>
      <c r="W109" s="331" t="s">
        <v>1152</v>
      </c>
      <c r="X109" s="323"/>
      <c r="Y109" s="323"/>
      <c r="Z109" s="335"/>
      <c r="AA109" s="331"/>
      <c r="AB109" s="331"/>
      <c r="AC109" s="331"/>
      <c r="AD109" s="336"/>
    </row>
    <row r="110" spans="1:30" s="337" customFormat="1" ht="24.75" customHeight="1" x14ac:dyDescent="0.35">
      <c r="A110" s="325">
        <v>51</v>
      </c>
      <c r="B110" s="331" t="s">
        <v>1025</v>
      </c>
      <c r="C110" s="331" t="s">
        <v>71</v>
      </c>
      <c r="D110" s="331" t="s">
        <v>33</v>
      </c>
      <c r="E110" s="331" t="s">
        <v>1025</v>
      </c>
      <c r="F110" s="331"/>
      <c r="G110" s="331"/>
      <c r="H110" s="326">
        <f>H108+F109</f>
        <v>19401.428</v>
      </c>
      <c r="I110" s="331">
        <v>428.71300000000002</v>
      </c>
      <c r="J110" s="331">
        <v>75.5</v>
      </c>
      <c r="K110" s="331">
        <f>F109+F111</f>
        <v>840</v>
      </c>
      <c r="L110" s="331">
        <f>K110/2</f>
        <v>420</v>
      </c>
      <c r="M110" s="331">
        <v>129</v>
      </c>
      <c r="N110" s="331">
        <v>219</v>
      </c>
      <c r="O110" s="331">
        <v>348</v>
      </c>
      <c r="P110" s="331">
        <v>165</v>
      </c>
      <c r="Q110" s="331">
        <v>207</v>
      </c>
      <c r="R110" s="331">
        <v>372</v>
      </c>
      <c r="S110" s="331" t="s">
        <v>1167</v>
      </c>
      <c r="T110" s="331" t="s">
        <v>1168</v>
      </c>
      <c r="U110" s="331">
        <v>535032.75800000003</v>
      </c>
      <c r="V110" s="331">
        <v>2670285.9219999998</v>
      </c>
      <c r="W110" s="331"/>
      <c r="X110" s="315" t="s">
        <v>1155</v>
      </c>
      <c r="Y110" s="315" t="s">
        <v>1043</v>
      </c>
      <c r="Z110" s="335" t="s">
        <v>359</v>
      </c>
      <c r="AA110" s="331"/>
      <c r="AB110" s="331"/>
      <c r="AC110" s="331"/>
      <c r="AD110" s="336"/>
    </row>
    <row r="111" spans="1:30" s="337" customFormat="1" ht="24.75" customHeight="1" x14ac:dyDescent="0.35">
      <c r="A111" s="314"/>
      <c r="B111" s="331"/>
      <c r="C111" s="331"/>
      <c r="D111" s="331"/>
      <c r="E111" s="331"/>
      <c r="F111" s="331">
        <v>363</v>
      </c>
      <c r="G111" s="331"/>
      <c r="H111" s="317"/>
      <c r="I111" s="331"/>
      <c r="J111" s="331"/>
      <c r="K111" s="331"/>
      <c r="L111" s="331"/>
      <c r="M111" s="331"/>
      <c r="N111" s="331"/>
      <c r="O111" s="331"/>
      <c r="P111" s="331"/>
      <c r="Q111" s="331"/>
      <c r="R111" s="331"/>
      <c r="S111" s="331"/>
      <c r="T111" s="331"/>
      <c r="U111" s="331"/>
      <c r="V111" s="331"/>
      <c r="W111" s="331" t="s">
        <v>1119</v>
      </c>
      <c r="X111" s="323"/>
      <c r="Y111" s="323"/>
      <c r="Z111" s="335"/>
      <c r="AA111" s="331"/>
      <c r="AB111" s="331"/>
      <c r="AC111" s="331"/>
      <c r="AD111" s="336"/>
    </row>
    <row r="112" spans="1:30" s="337" customFormat="1" ht="24.75" customHeight="1" x14ac:dyDescent="0.35">
      <c r="A112" s="325">
        <v>52</v>
      </c>
      <c r="B112" s="331" t="s">
        <v>1025</v>
      </c>
      <c r="C112" s="331" t="s">
        <v>72</v>
      </c>
      <c r="D112" s="331" t="s">
        <v>23</v>
      </c>
      <c r="E112" s="331" t="s">
        <v>1025</v>
      </c>
      <c r="F112" s="331"/>
      <c r="G112" s="331"/>
      <c r="H112" s="326">
        <f>H110+F111</f>
        <v>19764.428</v>
      </c>
      <c r="I112" s="331">
        <v>428.43400000000003</v>
      </c>
      <c r="J112" s="331">
        <v>69.5</v>
      </c>
      <c r="K112" s="331">
        <f>F111+F113</f>
        <v>691</v>
      </c>
      <c r="L112" s="331">
        <f>K112/2</f>
        <v>345.5</v>
      </c>
      <c r="M112" s="331">
        <v>145</v>
      </c>
      <c r="N112" s="331">
        <v>156</v>
      </c>
      <c r="O112" s="331">
        <v>301</v>
      </c>
      <c r="P112" s="331">
        <v>157</v>
      </c>
      <c r="Q112" s="331">
        <v>159</v>
      </c>
      <c r="R112" s="331">
        <v>316</v>
      </c>
      <c r="S112" s="331" t="s">
        <v>1169</v>
      </c>
      <c r="T112" s="331" t="s">
        <v>1170</v>
      </c>
      <c r="U112" s="331">
        <v>535377.946</v>
      </c>
      <c r="V112" s="331">
        <v>2670173.61</v>
      </c>
      <c r="W112" s="331"/>
      <c r="X112" s="315" t="s">
        <v>1155</v>
      </c>
      <c r="Y112" s="315" t="s">
        <v>1043</v>
      </c>
      <c r="Z112" s="335" t="s">
        <v>359</v>
      </c>
      <c r="AA112" s="331"/>
      <c r="AB112" s="331"/>
      <c r="AC112" s="331"/>
      <c r="AD112" s="336"/>
    </row>
    <row r="113" spans="1:30" s="337" customFormat="1" ht="24.75" customHeight="1" x14ac:dyDescent="0.35">
      <c r="A113" s="314"/>
      <c r="B113" s="331"/>
      <c r="C113" s="331"/>
      <c r="D113" s="331"/>
      <c r="E113" s="331"/>
      <c r="F113" s="331">
        <v>328</v>
      </c>
      <c r="G113" s="331"/>
      <c r="H113" s="317"/>
      <c r="I113" s="331"/>
      <c r="J113" s="331"/>
      <c r="K113" s="331"/>
      <c r="L113" s="331"/>
      <c r="M113" s="331"/>
      <c r="N113" s="331"/>
      <c r="O113" s="331"/>
      <c r="P113" s="331"/>
      <c r="Q113" s="331"/>
      <c r="R113" s="331"/>
      <c r="S113" s="331"/>
      <c r="T113" s="331"/>
      <c r="U113" s="331"/>
      <c r="V113" s="331"/>
      <c r="W113" s="331"/>
      <c r="X113" s="323"/>
      <c r="Y113" s="323"/>
      <c r="Z113" s="335"/>
      <c r="AA113" s="331"/>
      <c r="AB113" s="331"/>
      <c r="AC113" s="331"/>
      <c r="AD113" s="336"/>
    </row>
    <row r="114" spans="1:30" s="337" customFormat="1" ht="24.75" customHeight="1" x14ac:dyDescent="0.35">
      <c r="A114" s="325">
        <v>53</v>
      </c>
      <c r="B114" s="331" t="s">
        <v>1025</v>
      </c>
      <c r="C114" s="331" t="s">
        <v>73</v>
      </c>
      <c r="D114" s="331" t="s">
        <v>23</v>
      </c>
      <c r="E114" s="331" t="s">
        <v>1025</v>
      </c>
      <c r="F114" s="331"/>
      <c r="G114" s="331"/>
      <c r="H114" s="326">
        <f>H112+F113</f>
        <v>20092.428</v>
      </c>
      <c r="I114" s="331">
        <v>429.60700000000003</v>
      </c>
      <c r="J114" s="331">
        <v>69.5</v>
      </c>
      <c r="K114" s="331">
        <f>F113+F115</f>
        <v>704</v>
      </c>
      <c r="L114" s="331">
        <f>K114/2</f>
        <v>352</v>
      </c>
      <c r="M114" s="331">
        <v>172</v>
      </c>
      <c r="N114" s="331">
        <v>161</v>
      </c>
      <c r="O114" s="331">
        <v>333</v>
      </c>
      <c r="P114" s="331">
        <v>170</v>
      </c>
      <c r="Q114" s="331">
        <v>170</v>
      </c>
      <c r="R114" s="331">
        <v>340</v>
      </c>
      <c r="S114" s="331" t="s">
        <v>1171</v>
      </c>
      <c r="T114" s="331" t="s">
        <v>1172</v>
      </c>
      <c r="U114" s="331">
        <v>535689.85100000002</v>
      </c>
      <c r="V114" s="331">
        <v>2670072.1260000002</v>
      </c>
      <c r="W114" s="331"/>
      <c r="X114" s="315" t="s">
        <v>1155</v>
      </c>
      <c r="Y114" s="315" t="s">
        <v>1043</v>
      </c>
      <c r="Z114" s="335" t="s">
        <v>359</v>
      </c>
      <c r="AA114" s="331"/>
      <c r="AB114" s="331"/>
      <c r="AC114" s="331"/>
      <c r="AD114" s="336"/>
    </row>
    <row r="115" spans="1:30" s="337" customFormat="1" ht="24.75" customHeight="1" x14ac:dyDescent="0.35">
      <c r="A115" s="314"/>
      <c r="B115" s="331"/>
      <c r="C115" s="331"/>
      <c r="D115" s="331"/>
      <c r="E115" s="331"/>
      <c r="F115" s="331">
        <v>376</v>
      </c>
      <c r="G115" s="331"/>
      <c r="H115" s="317"/>
      <c r="I115" s="331"/>
      <c r="J115" s="331"/>
      <c r="K115" s="331"/>
      <c r="L115" s="331"/>
      <c r="M115" s="331"/>
      <c r="N115" s="331"/>
      <c r="O115" s="331"/>
      <c r="P115" s="331"/>
      <c r="Q115" s="331"/>
      <c r="R115" s="331"/>
      <c r="S115" s="331"/>
      <c r="T115" s="331"/>
      <c r="U115" s="331"/>
      <c r="V115" s="331"/>
      <c r="W115" s="331" t="s">
        <v>1101</v>
      </c>
      <c r="X115" s="323"/>
      <c r="Y115" s="323"/>
      <c r="Z115" s="335"/>
      <c r="AA115" s="331"/>
      <c r="AB115" s="331"/>
      <c r="AC115" s="331"/>
      <c r="AD115" s="336"/>
    </row>
    <row r="116" spans="1:30" s="337" customFormat="1" ht="24.75" customHeight="1" x14ac:dyDescent="0.35">
      <c r="A116" s="325">
        <v>54</v>
      </c>
      <c r="B116" s="331" t="s">
        <v>1025</v>
      </c>
      <c r="C116" s="331" t="s">
        <v>74</v>
      </c>
      <c r="D116" s="331" t="s">
        <v>31</v>
      </c>
      <c r="E116" s="331" t="s">
        <v>1025</v>
      </c>
      <c r="F116" s="331"/>
      <c r="G116" s="331"/>
      <c r="H116" s="326">
        <f>H114+F115</f>
        <v>20468.428</v>
      </c>
      <c r="I116" s="338">
        <v>431.43700000000001</v>
      </c>
      <c r="J116" s="331">
        <v>72.5</v>
      </c>
      <c r="K116" s="331">
        <f>F115+F117</f>
        <v>769</v>
      </c>
      <c r="L116" s="331">
        <f>K116/2</f>
        <v>384.5</v>
      </c>
      <c r="M116" s="331">
        <v>216</v>
      </c>
      <c r="N116" s="331">
        <v>180</v>
      </c>
      <c r="O116" s="331">
        <v>396</v>
      </c>
      <c r="P116" s="331">
        <v>207</v>
      </c>
      <c r="Q116" s="331">
        <v>185</v>
      </c>
      <c r="R116" s="331">
        <v>392</v>
      </c>
      <c r="S116" s="331" t="s">
        <v>1173</v>
      </c>
      <c r="T116" s="331" t="s">
        <v>1174</v>
      </c>
      <c r="U116" s="331">
        <v>536047.402</v>
      </c>
      <c r="V116" s="331">
        <v>2669955.7919999999</v>
      </c>
      <c r="W116" s="331"/>
      <c r="X116" s="315" t="s">
        <v>1155</v>
      </c>
      <c r="Y116" s="315" t="s">
        <v>1043</v>
      </c>
      <c r="Z116" s="335" t="s">
        <v>359</v>
      </c>
      <c r="AA116" s="331"/>
      <c r="AB116" s="331"/>
      <c r="AC116" s="331"/>
      <c r="AD116" s="336"/>
    </row>
    <row r="117" spans="1:30" s="337" customFormat="1" ht="24.75" customHeight="1" x14ac:dyDescent="0.35">
      <c r="A117" s="314"/>
      <c r="B117" s="331"/>
      <c r="C117" s="331"/>
      <c r="D117" s="331"/>
      <c r="E117" s="331"/>
      <c r="F117" s="331">
        <v>393</v>
      </c>
      <c r="G117" s="331"/>
      <c r="H117" s="317"/>
      <c r="I117" s="331"/>
      <c r="J117" s="331"/>
      <c r="K117" s="331"/>
      <c r="L117" s="331"/>
      <c r="M117" s="331"/>
      <c r="N117" s="331"/>
      <c r="O117" s="331"/>
      <c r="P117" s="331"/>
      <c r="Q117" s="331"/>
      <c r="R117" s="331"/>
      <c r="S117" s="331"/>
      <c r="T117" s="331"/>
      <c r="U117" s="331"/>
      <c r="V117" s="331"/>
      <c r="W117" s="331" t="s">
        <v>1087</v>
      </c>
      <c r="X117" s="323"/>
      <c r="Y117" s="323"/>
      <c r="Z117" s="335"/>
      <c r="AA117" s="331"/>
      <c r="AB117" s="331"/>
      <c r="AC117" s="331"/>
      <c r="AD117" s="336"/>
    </row>
    <row r="118" spans="1:30" s="337" customFormat="1" ht="24.75" customHeight="1" x14ac:dyDescent="0.35">
      <c r="A118" s="325">
        <v>55</v>
      </c>
      <c r="B118" s="331" t="s">
        <v>1025</v>
      </c>
      <c r="C118" s="331" t="s">
        <v>75</v>
      </c>
      <c r="D118" s="331" t="s">
        <v>35</v>
      </c>
      <c r="E118" s="331" t="s">
        <v>1025</v>
      </c>
      <c r="F118" s="331"/>
      <c r="G118" s="331"/>
      <c r="H118" s="326">
        <f>H116+F117</f>
        <v>20861.428</v>
      </c>
      <c r="I118" s="331">
        <v>433.06799999999998</v>
      </c>
      <c r="J118" s="331">
        <v>74</v>
      </c>
      <c r="K118" s="331">
        <f>F117+F119</f>
        <v>790</v>
      </c>
      <c r="L118" s="331">
        <f>K118/2</f>
        <v>395</v>
      </c>
      <c r="M118" s="331">
        <v>214</v>
      </c>
      <c r="N118" s="331">
        <v>209</v>
      </c>
      <c r="O118" s="331">
        <v>423</v>
      </c>
      <c r="P118" s="331">
        <v>209</v>
      </c>
      <c r="Q118" s="331">
        <v>206</v>
      </c>
      <c r="R118" s="331">
        <v>415</v>
      </c>
      <c r="S118" s="331" t="s">
        <v>1175</v>
      </c>
      <c r="T118" s="331" t="s">
        <v>1176</v>
      </c>
      <c r="U118" s="331">
        <v>536421.11800000002</v>
      </c>
      <c r="V118" s="331">
        <v>2669834.1970000002</v>
      </c>
      <c r="W118" s="331"/>
      <c r="X118" s="315" t="s">
        <v>1177</v>
      </c>
      <c r="Y118" s="315" t="s">
        <v>1043</v>
      </c>
      <c r="Z118" s="335" t="s">
        <v>359</v>
      </c>
      <c r="AA118" s="331"/>
      <c r="AB118" s="331"/>
      <c r="AC118" s="331"/>
      <c r="AD118" s="336"/>
    </row>
    <row r="119" spans="1:30" s="337" customFormat="1" ht="24.75" customHeight="1" x14ac:dyDescent="0.35">
      <c r="A119" s="314"/>
      <c r="B119" s="331"/>
      <c r="C119" s="331"/>
      <c r="D119" s="331"/>
      <c r="E119" s="331"/>
      <c r="F119" s="331">
        <v>397</v>
      </c>
      <c r="G119" s="331"/>
      <c r="H119" s="317"/>
      <c r="I119" s="331"/>
      <c r="J119" s="331"/>
      <c r="K119" s="331"/>
      <c r="L119" s="331"/>
      <c r="M119" s="331"/>
      <c r="N119" s="331"/>
      <c r="O119" s="331"/>
      <c r="P119" s="331"/>
      <c r="Q119" s="331"/>
      <c r="R119" s="331"/>
      <c r="S119" s="331"/>
      <c r="T119" s="331"/>
      <c r="U119" s="331"/>
      <c r="V119" s="331"/>
      <c r="W119" s="331" t="s">
        <v>1133</v>
      </c>
      <c r="X119" s="323"/>
      <c r="Y119" s="323"/>
      <c r="Z119" s="335"/>
      <c r="AA119" s="331"/>
      <c r="AB119" s="331"/>
      <c r="AC119" s="331"/>
      <c r="AD119" s="336"/>
    </row>
    <row r="120" spans="1:30" s="337" customFormat="1" ht="24.75" customHeight="1" x14ac:dyDescent="0.35">
      <c r="A120" s="325">
        <v>56</v>
      </c>
      <c r="B120" s="331" t="s">
        <v>1025</v>
      </c>
      <c r="C120" s="331" t="s">
        <v>76</v>
      </c>
      <c r="D120" s="331" t="s">
        <v>31</v>
      </c>
      <c r="E120" s="331" t="s">
        <v>1025</v>
      </c>
      <c r="F120" s="331"/>
      <c r="G120" s="331"/>
      <c r="H120" s="326">
        <f>H118+F119</f>
        <v>21258.428</v>
      </c>
      <c r="I120" s="338">
        <v>432.71</v>
      </c>
      <c r="J120" s="331">
        <v>72.5</v>
      </c>
      <c r="K120" s="331">
        <f>F119+F121</f>
        <v>791</v>
      </c>
      <c r="L120" s="331">
        <f>K120/2</f>
        <v>395.5</v>
      </c>
      <c r="M120" s="331">
        <v>189</v>
      </c>
      <c r="N120" s="331">
        <v>199</v>
      </c>
      <c r="O120" s="331">
        <v>388</v>
      </c>
      <c r="P120" s="331">
        <v>192</v>
      </c>
      <c r="Q120" s="331">
        <v>199</v>
      </c>
      <c r="R120" s="331">
        <v>391</v>
      </c>
      <c r="S120" s="331" t="s">
        <v>1178</v>
      </c>
      <c r="T120" s="331" t="s">
        <v>1179</v>
      </c>
      <c r="U120" s="331">
        <v>536798.63800000004</v>
      </c>
      <c r="V120" s="331">
        <v>2669711.3650000002</v>
      </c>
      <c r="W120" s="331"/>
      <c r="X120" s="315" t="s">
        <v>1177</v>
      </c>
      <c r="Y120" s="315" t="s">
        <v>1043</v>
      </c>
      <c r="Z120" s="335" t="s">
        <v>359</v>
      </c>
      <c r="AA120" s="331"/>
      <c r="AB120" s="331"/>
      <c r="AC120" s="331"/>
      <c r="AD120" s="336"/>
    </row>
    <row r="121" spans="1:30" s="337" customFormat="1" ht="24.75" customHeight="1" x14ac:dyDescent="0.35">
      <c r="A121" s="314"/>
      <c r="B121" s="331"/>
      <c r="C121" s="331"/>
      <c r="D121" s="331"/>
      <c r="E121" s="331"/>
      <c r="F121" s="331">
        <v>394</v>
      </c>
      <c r="G121" s="331"/>
      <c r="H121" s="317"/>
      <c r="I121" s="331"/>
      <c r="J121" s="331"/>
      <c r="K121" s="331"/>
      <c r="L121" s="331"/>
      <c r="M121" s="331"/>
      <c r="N121" s="331"/>
      <c r="O121" s="331"/>
      <c r="P121" s="331"/>
      <c r="Q121" s="331"/>
      <c r="R121" s="331"/>
      <c r="S121" s="331"/>
      <c r="T121" s="331"/>
      <c r="U121" s="331"/>
      <c r="V121" s="331"/>
      <c r="W121" s="331" t="s">
        <v>1180</v>
      </c>
      <c r="X121" s="323"/>
      <c r="Y121" s="323"/>
      <c r="Z121" s="335"/>
      <c r="AA121" s="331"/>
      <c r="AB121" s="331"/>
      <c r="AC121" s="331"/>
      <c r="AD121" s="336"/>
    </row>
    <row r="122" spans="1:30" s="337" customFormat="1" ht="24.75" customHeight="1" x14ac:dyDescent="0.35">
      <c r="A122" s="325">
        <v>57</v>
      </c>
      <c r="B122" s="331" t="s">
        <v>1025</v>
      </c>
      <c r="C122" s="331" t="s">
        <v>77</v>
      </c>
      <c r="D122" s="331" t="s">
        <v>31</v>
      </c>
      <c r="E122" s="331" t="s">
        <v>1025</v>
      </c>
      <c r="F122" s="331"/>
      <c r="G122" s="331"/>
      <c r="H122" s="326">
        <f>H120+F121</f>
        <v>21652.428</v>
      </c>
      <c r="I122" s="338">
        <v>432.43700000000001</v>
      </c>
      <c r="J122" s="331">
        <v>72.5</v>
      </c>
      <c r="K122" s="331">
        <f>F121+F123</f>
        <v>767</v>
      </c>
      <c r="L122" s="331">
        <f>K122/2</f>
        <v>383.5</v>
      </c>
      <c r="M122" s="331">
        <v>196</v>
      </c>
      <c r="N122" s="331">
        <v>194</v>
      </c>
      <c r="O122" s="331">
        <v>390</v>
      </c>
      <c r="P122" s="331">
        <v>197</v>
      </c>
      <c r="Q122" s="331">
        <v>192</v>
      </c>
      <c r="R122" s="331">
        <v>389</v>
      </c>
      <c r="S122" s="331" t="s">
        <v>1181</v>
      </c>
      <c r="T122" s="331" t="s">
        <v>1182</v>
      </c>
      <c r="U122" s="331">
        <v>537173.30500000005</v>
      </c>
      <c r="V122" s="331">
        <v>2669589.4619999998</v>
      </c>
      <c r="W122" s="331"/>
      <c r="X122" s="315" t="s">
        <v>1177</v>
      </c>
      <c r="Y122" s="315" t="s">
        <v>1043</v>
      </c>
      <c r="Z122" s="335" t="s">
        <v>359</v>
      </c>
      <c r="AA122" s="331"/>
      <c r="AB122" s="331"/>
      <c r="AC122" s="331"/>
      <c r="AD122" s="336"/>
    </row>
    <row r="123" spans="1:30" s="337" customFormat="1" ht="24.75" customHeight="1" x14ac:dyDescent="0.35">
      <c r="A123" s="314"/>
      <c r="B123" s="331"/>
      <c r="C123" s="331"/>
      <c r="D123" s="331"/>
      <c r="E123" s="331"/>
      <c r="F123" s="331">
        <v>373</v>
      </c>
      <c r="G123" s="331"/>
      <c r="H123" s="317"/>
      <c r="I123" s="331"/>
      <c r="J123" s="331"/>
      <c r="K123" s="331"/>
      <c r="L123" s="331"/>
      <c r="M123" s="331"/>
      <c r="N123" s="331"/>
      <c r="O123" s="331"/>
      <c r="P123" s="331"/>
      <c r="Q123" s="331"/>
      <c r="R123" s="331"/>
      <c r="S123" s="331"/>
      <c r="T123" s="331"/>
      <c r="U123" s="331"/>
      <c r="V123" s="331"/>
      <c r="W123" s="331" t="s">
        <v>1087</v>
      </c>
      <c r="X123" s="323"/>
      <c r="Y123" s="323"/>
      <c r="Z123" s="335"/>
      <c r="AA123" s="331"/>
      <c r="AB123" s="331"/>
      <c r="AC123" s="331"/>
      <c r="AD123" s="336"/>
    </row>
    <row r="124" spans="1:30" s="337" customFormat="1" ht="24.75" customHeight="1" x14ac:dyDescent="0.35">
      <c r="A124" s="325">
        <v>58</v>
      </c>
      <c r="B124" s="331" t="s">
        <v>1183</v>
      </c>
      <c r="C124" s="331" t="s">
        <v>78</v>
      </c>
      <c r="D124" s="331" t="s">
        <v>61</v>
      </c>
      <c r="E124" s="331" t="s">
        <v>1184</v>
      </c>
      <c r="F124" s="331"/>
      <c r="G124" s="331">
        <f>SUM(F109:F123)</f>
        <v>3101</v>
      </c>
      <c r="H124" s="326">
        <f>H122+F123</f>
        <v>22025.428</v>
      </c>
      <c r="I124" s="331">
        <v>431.10700000000003</v>
      </c>
      <c r="J124" s="315">
        <v>70.72</v>
      </c>
      <c r="K124" s="331">
        <f>F123+F125</f>
        <v>730</v>
      </c>
      <c r="L124" s="331">
        <f>K124/2</f>
        <v>365</v>
      </c>
      <c r="M124" s="331">
        <v>179</v>
      </c>
      <c r="N124" s="331">
        <v>194</v>
      </c>
      <c r="O124" s="331">
        <v>373</v>
      </c>
      <c r="P124" s="331">
        <v>182</v>
      </c>
      <c r="Q124" s="331">
        <v>189</v>
      </c>
      <c r="R124" s="331">
        <v>371</v>
      </c>
      <c r="S124" s="331" t="s">
        <v>1185</v>
      </c>
      <c r="T124" s="331" t="s">
        <v>1186</v>
      </c>
      <c r="U124" s="331">
        <v>537527.99100000004</v>
      </c>
      <c r="V124" s="331">
        <v>2669474.0589999999</v>
      </c>
      <c r="W124" s="331"/>
      <c r="X124" s="315" t="s">
        <v>1177</v>
      </c>
      <c r="Y124" s="315" t="s">
        <v>1043</v>
      </c>
      <c r="Z124" s="335" t="s">
        <v>359</v>
      </c>
      <c r="AA124" s="331"/>
      <c r="AB124" s="331"/>
      <c r="AC124" s="331"/>
      <c r="AD124" s="336"/>
    </row>
    <row r="125" spans="1:30" s="337" customFormat="1" ht="24.75" customHeight="1" x14ac:dyDescent="0.35">
      <c r="A125" s="314"/>
      <c r="B125" s="331"/>
      <c r="C125" s="331"/>
      <c r="D125" s="331"/>
      <c r="E125" s="331"/>
      <c r="F125" s="331">
        <v>357</v>
      </c>
      <c r="G125" s="331"/>
      <c r="H125" s="317"/>
      <c r="I125" s="331"/>
      <c r="J125" s="331"/>
      <c r="K125" s="331"/>
      <c r="L125" s="331"/>
      <c r="M125" s="331"/>
      <c r="N125" s="331"/>
      <c r="O125" s="331"/>
      <c r="P125" s="331"/>
      <c r="Q125" s="331"/>
      <c r="R125" s="331"/>
      <c r="S125" s="331"/>
      <c r="T125" s="331"/>
      <c r="U125" s="331"/>
      <c r="V125" s="331"/>
      <c r="W125" s="331" t="s">
        <v>1187</v>
      </c>
      <c r="X125" s="323"/>
      <c r="Y125" s="323"/>
      <c r="Z125" s="335"/>
      <c r="AA125" s="331"/>
      <c r="AB125" s="331"/>
      <c r="AC125" s="331"/>
      <c r="AD125" s="336"/>
    </row>
    <row r="126" spans="1:30" s="337" customFormat="1" ht="24.75" customHeight="1" x14ac:dyDescent="0.35">
      <c r="A126" s="325">
        <v>59</v>
      </c>
      <c r="B126" s="331" t="s">
        <v>1025</v>
      </c>
      <c r="C126" s="331" t="s">
        <v>79</v>
      </c>
      <c r="D126" s="331" t="s">
        <v>14</v>
      </c>
      <c r="E126" s="331" t="s">
        <v>1025</v>
      </c>
      <c r="F126" s="331"/>
      <c r="G126" s="331"/>
      <c r="H126" s="326">
        <f>H124+F125</f>
        <v>22382.428</v>
      </c>
      <c r="I126" s="331">
        <v>430.19299999999998</v>
      </c>
      <c r="J126" s="331">
        <v>71</v>
      </c>
      <c r="K126" s="331">
        <f>F125+F127</f>
        <v>731</v>
      </c>
      <c r="L126" s="331">
        <f>K126/2</f>
        <v>365.5</v>
      </c>
      <c r="M126" s="331">
        <v>164</v>
      </c>
      <c r="N126" s="331">
        <v>179</v>
      </c>
      <c r="O126" s="331">
        <v>343</v>
      </c>
      <c r="P126" s="331">
        <v>169</v>
      </c>
      <c r="Q126" s="331">
        <v>183</v>
      </c>
      <c r="R126" s="331">
        <v>352</v>
      </c>
      <c r="S126" s="331" t="s">
        <v>1188</v>
      </c>
      <c r="T126" s="331" t="s">
        <v>1189</v>
      </c>
      <c r="U126" s="331">
        <v>537844.80299999996</v>
      </c>
      <c r="V126" s="331">
        <v>2669309.4989999998</v>
      </c>
      <c r="W126" s="331"/>
      <c r="X126" s="315" t="s">
        <v>1177</v>
      </c>
      <c r="Y126" s="315" t="s">
        <v>1043</v>
      </c>
      <c r="Z126" s="335" t="s">
        <v>359</v>
      </c>
      <c r="AA126" s="331"/>
      <c r="AB126" s="331"/>
      <c r="AC126" s="331"/>
      <c r="AD126" s="336"/>
    </row>
    <row r="127" spans="1:30" s="337" customFormat="1" ht="24.75" customHeight="1" x14ac:dyDescent="0.35">
      <c r="A127" s="314"/>
      <c r="B127" s="331"/>
      <c r="C127" s="331"/>
      <c r="D127" s="331"/>
      <c r="E127" s="331"/>
      <c r="F127" s="331">
        <v>374</v>
      </c>
      <c r="G127" s="331"/>
      <c r="H127" s="317"/>
      <c r="I127" s="331"/>
      <c r="J127" s="331"/>
      <c r="K127" s="331"/>
      <c r="L127" s="331"/>
      <c r="M127" s="331"/>
      <c r="N127" s="331"/>
      <c r="O127" s="331"/>
      <c r="P127" s="331"/>
      <c r="Q127" s="331"/>
      <c r="R127" s="331"/>
      <c r="S127" s="331"/>
      <c r="T127" s="331"/>
      <c r="U127" s="331"/>
      <c r="V127" s="331"/>
      <c r="W127" s="331" t="s">
        <v>1190</v>
      </c>
      <c r="X127" s="323"/>
      <c r="Y127" s="323"/>
      <c r="Z127" s="335"/>
      <c r="AA127" s="331"/>
      <c r="AB127" s="331"/>
      <c r="AC127" s="331"/>
      <c r="AD127" s="336"/>
    </row>
    <row r="128" spans="1:30" s="337" customFormat="1" ht="24.75" customHeight="1" x14ac:dyDescent="0.35">
      <c r="A128" s="325">
        <v>60</v>
      </c>
      <c r="B128" s="331" t="s">
        <v>1025</v>
      </c>
      <c r="C128" s="331" t="s">
        <v>80</v>
      </c>
      <c r="D128" s="331" t="s">
        <v>31</v>
      </c>
      <c r="E128" s="331" t="s">
        <v>1025</v>
      </c>
      <c r="F128" s="331"/>
      <c r="G128" s="331"/>
      <c r="H128" s="326">
        <f>H126+F127</f>
        <v>22756.428</v>
      </c>
      <c r="I128" s="338">
        <v>430.005</v>
      </c>
      <c r="J128" s="331">
        <v>72.5</v>
      </c>
      <c r="K128" s="331">
        <f>F127+F129</f>
        <v>754</v>
      </c>
      <c r="L128" s="331">
        <f>K128/2</f>
        <v>377</v>
      </c>
      <c r="M128" s="331">
        <v>195</v>
      </c>
      <c r="N128" s="331">
        <v>200</v>
      </c>
      <c r="O128" s="331">
        <v>395</v>
      </c>
      <c r="P128" s="331">
        <v>193</v>
      </c>
      <c r="Q128" s="331">
        <v>197</v>
      </c>
      <c r="R128" s="331">
        <v>390</v>
      </c>
      <c r="S128" s="331" t="s">
        <v>1191</v>
      </c>
      <c r="T128" s="331" t="s">
        <v>1192</v>
      </c>
      <c r="U128" s="331">
        <v>538176.69999999995</v>
      </c>
      <c r="V128" s="331">
        <v>2669137.1039999998</v>
      </c>
      <c r="W128" s="331"/>
      <c r="X128" s="315" t="s">
        <v>1193</v>
      </c>
      <c r="Y128" s="315" t="s">
        <v>1043</v>
      </c>
      <c r="Z128" s="335" t="s">
        <v>359</v>
      </c>
      <c r="AA128" s="331"/>
      <c r="AB128" s="331"/>
      <c r="AC128" s="331"/>
      <c r="AD128" s="336"/>
    </row>
    <row r="129" spans="1:30" s="337" customFormat="1" ht="24.75" customHeight="1" x14ac:dyDescent="0.35">
      <c r="A129" s="314"/>
      <c r="B129" s="331"/>
      <c r="C129" s="331"/>
      <c r="D129" s="331"/>
      <c r="E129" s="331"/>
      <c r="F129" s="331">
        <v>380</v>
      </c>
      <c r="G129" s="331"/>
      <c r="H129" s="317"/>
      <c r="I129" s="331"/>
      <c r="J129" s="331"/>
      <c r="K129" s="331"/>
      <c r="L129" s="331"/>
      <c r="M129" s="331"/>
      <c r="N129" s="331"/>
      <c r="O129" s="331"/>
      <c r="P129" s="331"/>
      <c r="Q129" s="331"/>
      <c r="R129" s="331"/>
      <c r="S129" s="331"/>
      <c r="T129" s="331"/>
      <c r="U129" s="331"/>
      <c r="V129" s="331"/>
      <c r="W129" s="331" t="s">
        <v>1194</v>
      </c>
      <c r="X129" s="323"/>
      <c r="Y129" s="323"/>
      <c r="Z129" s="335"/>
      <c r="AA129" s="331"/>
      <c r="AB129" s="331"/>
      <c r="AC129" s="331"/>
      <c r="AD129" s="336"/>
    </row>
    <row r="130" spans="1:30" s="337" customFormat="1" ht="24.75" customHeight="1" x14ac:dyDescent="0.35">
      <c r="A130" s="325">
        <v>61</v>
      </c>
      <c r="B130" s="331" t="s">
        <v>1025</v>
      </c>
      <c r="C130" s="331" t="s">
        <v>81</v>
      </c>
      <c r="D130" s="331" t="s">
        <v>31</v>
      </c>
      <c r="E130" s="331" t="s">
        <v>1025</v>
      </c>
      <c r="F130" s="331"/>
      <c r="G130" s="331"/>
      <c r="H130" s="326">
        <f>H128+F129</f>
        <v>23136.428</v>
      </c>
      <c r="I130" s="338">
        <v>428.41300000000001</v>
      </c>
      <c r="J130" s="331">
        <v>72.5</v>
      </c>
      <c r="K130" s="331">
        <f>F129+F131</f>
        <v>724</v>
      </c>
      <c r="L130" s="331">
        <f>K130/2</f>
        <v>362</v>
      </c>
      <c r="M130" s="331">
        <v>181</v>
      </c>
      <c r="N130" s="331">
        <v>197</v>
      </c>
      <c r="O130" s="331">
        <v>378</v>
      </c>
      <c r="P130" s="331">
        <v>185</v>
      </c>
      <c r="Q130" s="331">
        <v>189</v>
      </c>
      <c r="R130" s="331">
        <v>374</v>
      </c>
      <c r="S130" s="331" t="s">
        <v>1195</v>
      </c>
      <c r="T130" s="331" t="s">
        <v>1196</v>
      </c>
      <c r="U130" s="331">
        <v>538513.92200000002</v>
      </c>
      <c r="V130" s="331">
        <v>2668961.943</v>
      </c>
      <c r="W130" s="331"/>
      <c r="X130" s="315" t="s">
        <v>1193</v>
      </c>
      <c r="Y130" s="315" t="s">
        <v>1043</v>
      </c>
      <c r="Z130" s="335" t="s">
        <v>359</v>
      </c>
      <c r="AA130" s="331"/>
      <c r="AB130" s="331"/>
      <c r="AC130" s="331"/>
      <c r="AD130" s="336"/>
    </row>
    <row r="131" spans="1:30" s="337" customFormat="1" ht="24.75" customHeight="1" x14ac:dyDescent="0.35">
      <c r="A131" s="314"/>
      <c r="B131" s="331"/>
      <c r="C131" s="331"/>
      <c r="D131" s="331"/>
      <c r="E131" s="331"/>
      <c r="F131" s="331">
        <v>344</v>
      </c>
      <c r="G131" s="331"/>
      <c r="H131" s="317"/>
      <c r="I131" s="331"/>
      <c r="J131" s="331"/>
      <c r="K131" s="331"/>
      <c r="L131" s="331"/>
      <c r="M131" s="331"/>
      <c r="N131" s="331"/>
      <c r="O131" s="331"/>
      <c r="P131" s="331"/>
      <c r="Q131" s="331"/>
      <c r="R131" s="331"/>
      <c r="S131" s="331"/>
      <c r="T131" s="331"/>
      <c r="U131" s="331"/>
      <c r="V131" s="331"/>
      <c r="W131" s="331" t="s">
        <v>1101</v>
      </c>
      <c r="X131" s="323"/>
      <c r="Y131" s="323"/>
      <c r="Z131" s="335"/>
      <c r="AA131" s="331"/>
      <c r="AB131" s="331"/>
      <c r="AC131" s="331"/>
      <c r="AD131" s="336"/>
    </row>
    <row r="132" spans="1:30" s="337" customFormat="1" ht="24.75" customHeight="1" x14ac:dyDescent="0.35">
      <c r="A132" s="325">
        <v>62</v>
      </c>
      <c r="B132" s="331" t="s">
        <v>1025</v>
      </c>
      <c r="C132" s="331" t="s">
        <v>82</v>
      </c>
      <c r="D132" s="331" t="s">
        <v>23</v>
      </c>
      <c r="E132" s="331" t="s">
        <v>1025</v>
      </c>
      <c r="F132" s="331"/>
      <c r="G132" s="331"/>
      <c r="H132" s="326">
        <f>H130+F131</f>
        <v>23480.428</v>
      </c>
      <c r="I132" s="331">
        <v>427.52600000000001</v>
      </c>
      <c r="J132" s="331">
        <v>69.5</v>
      </c>
      <c r="K132" s="331">
        <f>F131+F133</f>
        <v>674</v>
      </c>
      <c r="L132" s="331">
        <f>K132/2</f>
        <v>337</v>
      </c>
      <c r="M132" s="331">
        <v>147</v>
      </c>
      <c r="N132" s="331">
        <v>159</v>
      </c>
      <c r="O132" s="331">
        <v>306</v>
      </c>
      <c r="P132" s="331">
        <v>156</v>
      </c>
      <c r="Q132" s="331">
        <v>161</v>
      </c>
      <c r="R132" s="331">
        <v>317</v>
      </c>
      <c r="S132" s="331" t="s">
        <v>1197</v>
      </c>
      <c r="T132" s="331" t="s">
        <v>1198</v>
      </c>
      <c r="U132" s="331">
        <v>538819.19700000004</v>
      </c>
      <c r="V132" s="331">
        <v>2668803.3760000002</v>
      </c>
      <c r="W132" s="331"/>
      <c r="X132" s="315" t="s">
        <v>1193</v>
      </c>
      <c r="Y132" s="315" t="s">
        <v>1043</v>
      </c>
      <c r="Z132" s="335" t="s">
        <v>359</v>
      </c>
      <c r="AA132" s="331"/>
      <c r="AB132" s="331"/>
      <c r="AC132" s="331"/>
      <c r="AD132" s="336"/>
    </row>
    <row r="133" spans="1:30" s="337" customFormat="1" ht="24.75" customHeight="1" x14ac:dyDescent="0.35">
      <c r="A133" s="314"/>
      <c r="B133" s="331"/>
      <c r="C133" s="331"/>
      <c r="D133" s="331"/>
      <c r="E133" s="331"/>
      <c r="F133" s="331">
        <v>330</v>
      </c>
      <c r="G133" s="331"/>
      <c r="H133" s="317"/>
      <c r="I133" s="331"/>
      <c r="J133" s="331"/>
      <c r="K133" s="331"/>
      <c r="L133" s="331"/>
      <c r="M133" s="331"/>
      <c r="N133" s="331"/>
      <c r="O133" s="331"/>
      <c r="P133" s="331"/>
      <c r="Q133" s="331"/>
      <c r="R133" s="331"/>
      <c r="S133" s="331"/>
      <c r="T133" s="331"/>
      <c r="U133" s="331"/>
      <c r="V133" s="331"/>
      <c r="W133" s="331" t="s">
        <v>1087</v>
      </c>
      <c r="X133" s="323"/>
      <c r="Y133" s="323"/>
      <c r="Z133" s="335"/>
      <c r="AA133" s="331"/>
      <c r="AB133" s="331"/>
      <c r="AC133" s="331"/>
      <c r="AD133" s="336"/>
    </row>
    <row r="134" spans="1:30" s="337" customFormat="1" ht="24.75" customHeight="1" x14ac:dyDescent="0.35">
      <c r="A134" s="325">
        <v>63</v>
      </c>
      <c r="B134" s="331" t="s">
        <v>1025</v>
      </c>
      <c r="C134" s="331" t="s">
        <v>83</v>
      </c>
      <c r="D134" s="331" t="s">
        <v>31</v>
      </c>
      <c r="E134" s="331" t="s">
        <v>1025</v>
      </c>
      <c r="F134" s="331"/>
      <c r="G134" s="331"/>
      <c r="H134" s="326">
        <f>H132+F133</f>
        <v>23810.428</v>
      </c>
      <c r="I134" s="338">
        <v>425.49799999999999</v>
      </c>
      <c r="J134" s="331">
        <v>72.5</v>
      </c>
      <c r="K134" s="331">
        <f>F133+F135</f>
        <v>697</v>
      </c>
      <c r="L134" s="331">
        <f>K134/2</f>
        <v>348.5</v>
      </c>
      <c r="M134" s="331">
        <v>172</v>
      </c>
      <c r="N134" s="331">
        <v>208</v>
      </c>
      <c r="O134" s="331">
        <v>380</v>
      </c>
      <c r="P134" s="331">
        <v>170</v>
      </c>
      <c r="Q134" s="331">
        <v>200</v>
      </c>
      <c r="R134" s="331">
        <v>370</v>
      </c>
      <c r="S134" s="331" t="s">
        <v>1199</v>
      </c>
      <c r="T134" s="331" t="s">
        <v>1200</v>
      </c>
      <c r="U134" s="331">
        <v>539112.04700000002</v>
      </c>
      <c r="V134" s="331">
        <v>2668651.2620000001</v>
      </c>
      <c r="W134" s="331"/>
      <c r="X134" s="315" t="s">
        <v>1193</v>
      </c>
      <c r="Y134" s="315" t="s">
        <v>1043</v>
      </c>
      <c r="Z134" s="335" t="s">
        <v>359</v>
      </c>
      <c r="AA134" s="331"/>
      <c r="AB134" s="331"/>
      <c r="AC134" s="331"/>
      <c r="AD134" s="336"/>
    </row>
    <row r="135" spans="1:30" s="337" customFormat="1" ht="24.75" customHeight="1" x14ac:dyDescent="0.35">
      <c r="A135" s="314"/>
      <c r="B135" s="331"/>
      <c r="C135" s="331"/>
      <c r="D135" s="331"/>
      <c r="E135" s="331"/>
      <c r="F135" s="331">
        <v>367</v>
      </c>
      <c r="G135" s="331"/>
      <c r="H135" s="317"/>
      <c r="I135" s="331"/>
      <c r="J135" s="331"/>
      <c r="K135" s="331"/>
      <c r="L135" s="331"/>
      <c r="M135" s="331"/>
      <c r="N135" s="331"/>
      <c r="O135" s="331"/>
      <c r="P135" s="331"/>
      <c r="Q135" s="331"/>
      <c r="R135" s="331"/>
      <c r="S135" s="331"/>
      <c r="T135" s="331"/>
      <c r="U135" s="331"/>
      <c r="V135" s="331"/>
      <c r="W135" s="331" t="s">
        <v>1090</v>
      </c>
      <c r="X135" s="323"/>
      <c r="Y135" s="323"/>
      <c r="Z135" s="335"/>
      <c r="AA135" s="331"/>
      <c r="AB135" s="331"/>
      <c r="AC135" s="331"/>
      <c r="AD135" s="336"/>
    </row>
    <row r="136" spans="1:30" s="337" customFormat="1" ht="24.75" customHeight="1" x14ac:dyDescent="0.35">
      <c r="A136" s="325">
        <v>64</v>
      </c>
      <c r="B136" s="331" t="s">
        <v>1201</v>
      </c>
      <c r="C136" s="331" t="s">
        <v>84</v>
      </c>
      <c r="D136" s="331" t="s">
        <v>18</v>
      </c>
      <c r="E136" s="331" t="s">
        <v>1202</v>
      </c>
      <c r="F136" s="331"/>
      <c r="G136" s="331">
        <f>SUM(F125:F135)</f>
        <v>2152</v>
      </c>
      <c r="H136" s="326">
        <f>H134+F135</f>
        <v>24177.428</v>
      </c>
      <c r="I136" s="331">
        <v>421.50900000000001</v>
      </c>
      <c r="J136" s="315">
        <v>70.72</v>
      </c>
      <c r="K136" s="331">
        <f>F135+F137</f>
        <v>752</v>
      </c>
      <c r="L136" s="331">
        <f>K136/2</f>
        <v>376</v>
      </c>
      <c r="M136" s="331">
        <v>160</v>
      </c>
      <c r="N136" s="331">
        <v>173</v>
      </c>
      <c r="O136" s="331">
        <v>333</v>
      </c>
      <c r="P136" s="331">
        <v>169</v>
      </c>
      <c r="Q136" s="331">
        <v>180</v>
      </c>
      <c r="R136" s="331">
        <v>349</v>
      </c>
      <c r="S136" s="331" t="s">
        <v>1203</v>
      </c>
      <c r="T136" s="331" t="s">
        <v>1204</v>
      </c>
      <c r="U136" s="331">
        <v>539437.951</v>
      </c>
      <c r="V136" s="331">
        <v>2668481.98</v>
      </c>
      <c r="W136" s="331"/>
      <c r="X136" s="315" t="s">
        <v>1193</v>
      </c>
      <c r="Y136" s="315" t="s">
        <v>1043</v>
      </c>
      <c r="Z136" s="335" t="s">
        <v>359</v>
      </c>
      <c r="AA136" s="331"/>
      <c r="AB136" s="331"/>
      <c r="AC136" s="331"/>
      <c r="AD136" s="336"/>
    </row>
    <row r="137" spans="1:30" s="337" customFormat="1" ht="28" x14ac:dyDescent="0.35">
      <c r="A137" s="314"/>
      <c r="B137" s="331"/>
      <c r="C137" s="331"/>
      <c r="D137" s="331"/>
      <c r="E137" s="331"/>
      <c r="F137" s="331">
        <v>385</v>
      </c>
      <c r="G137" s="331"/>
      <c r="H137" s="317"/>
      <c r="I137" s="331"/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W137" s="331" t="s">
        <v>1205</v>
      </c>
      <c r="X137" s="323"/>
      <c r="Y137" s="323"/>
      <c r="Z137" s="335"/>
      <c r="AA137" s="331"/>
      <c r="AB137" s="331"/>
      <c r="AC137" s="331"/>
      <c r="AD137" s="336"/>
    </row>
    <row r="138" spans="1:30" s="337" customFormat="1" ht="24.75" customHeight="1" x14ac:dyDescent="0.35">
      <c r="A138" s="325">
        <v>65</v>
      </c>
      <c r="B138" s="331" t="s">
        <v>1025</v>
      </c>
      <c r="C138" s="331" t="s">
        <v>85</v>
      </c>
      <c r="D138" s="331" t="s">
        <v>31</v>
      </c>
      <c r="E138" s="331" t="s">
        <v>1025</v>
      </c>
      <c r="F138" s="331"/>
      <c r="G138" s="331"/>
      <c r="H138" s="326">
        <f>H136+F137</f>
        <v>24562.428</v>
      </c>
      <c r="I138" s="338">
        <v>425.07299999999998</v>
      </c>
      <c r="J138" s="331">
        <v>72.5</v>
      </c>
      <c r="K138" s="331">
        <f>F137+F139</f>
        <v>740</v>
      </c>
      <c r="L138" s="331">
        <f>K138/2</f>
        <v>370</v>
      </c>
      <c r="M138" s="331">
        <v>213</v>
      </c>
      <c r="N138" s="331">
        <v>170</v>
      </c>
      <c r="O138" s="331">
        <v>383</v>
      </c>
      <c r="P138" s="331">
        <v>206</v>
      </c>
      <c r="Q138" s="331">
        <v>173</v>
      </c>
      <c r="R138" s="331">
        <v>379</v>
      </c>
      <c r="S138" s="331" t="s">
        <v>1206</v>
      </c>
      <c r="T138" s="331" t="s">
        <v>1207</v>
      </c>
      <c r="U138" s="331">
        <v>539818.51899999997</v>
      </c>
      <c r="V138" s="331">
        <v>2668423.73</v>
      </c>
      <c r="W138" s="331"/>
      <c r="X138" s="315" t="s">
        <v>1193</v>
      </c>
      <c r="Y138" s="315" t="s">
        <v>1043</v>
      </c>
      <c r="Z138" s="335" t="s">
        <v>359</v>
      </c>
      <c r="AA138" s="331"/>
      <c r="AB138" s="331"/>
      <c r="AC138" s="331"/>
      <c r="AD138" s="336"/>
    </row>
    <row r="139" spans="1:30" s="337" customFormat="1" ht="24.75" customHeight="1" x14ac:dyDescent="0.35">
      <c r="A139" s="314"/>
      <c r="B139" s="331"/>
      <c r="C139" s="331"/>
      <c r="D139" s="331"/>
      <c r="E139" s="331"/>
      <c r="F139" s="331">
        <v>355</v>
      </c>
      <c r="G139" s="331"/>
      <c r="H139" s="317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W139" s="331" t="s">
        <v>1090</v>
      </c>
      <c r="X139" s="323"/>
      <c r="Y139" s="323"/>
      <c r="Z139" s="335"/>
      <c r="AA139" s="331"/>
      <c r="AB139" s="331"/>
      <c r="AC139" s="331"/>
      <c r="AD139" s="336"/>
    </row>
    <row r="140" spans="1:30" s="337" customFormat="1" ht="24.75" customHeight="1" x14ac:dyDescent="0.35">
      <c r="A140" s="325">
        <v>66</v>
      </c>
      <c r="B140" s="331" t="s">
        <v>1025</v>
      </c>
      <c r="C140" s="331" t="s">
        <v>86</v>
      </c>
      <c r="D140" s="331" t="s">
        <v>31</v>
      </c>
      <c r="E140" s="331" t="s">
        <v>1025</v>
      </c>
      <c r="F140" s="331"/>
      <c r="G140" s="331"/>
      <c r="H140" s="326">
        <f>H138+F139</f>
        <v>24917.428</v>
      </c>
      <c r="I140" s="338">
        <v>426.38299999999998</v>
      </c>
      <c r="J140" s="331">
        <v>72.5</v>
      </c>
      <c r="K140" s="331">
        <f>F139+F141</f>
        <v>712</v>
      </c>
      <c r="L140" s="331">
        <f>K140/2</f>
        <v>356</v>
      </c>
      <c r="M140" s="331">
        <v>186</v>
      </c>
      <c r="N140" s="331">
        <v>179</v>
      </c>
      <c r="O140" s="331">
        <v>365</v>
      </c>
      <c r="P140" s="331">
        <v>183</v>
      </c>
      <c r="Q140" s="331">
        <v>179</v>
      </c>
      <c r="R140" s="331">
        <v>362</v>
      </c>
      <c r="S140" s="331" t="s">
        <v>1208</v>
      </c>
      <c r="T140" s="331" t="s">
        <v>1209</v>
      </c>
      <c r="U140" s="331">
        <v>540169.43200000003</v>
      </c>
      <c r="V140" s="331">
        <v>2668370.02</v>
      </c>
      <c r="W140" s="331"/>
      <c r="X140" s="315" t="s">
        <v>1193</v>
      </c>
      <c r="Y140" s="315" t="s">
        <v>1043</v>
      </c>
      <c r="Z140" s="335" t="s">
        <v>359</v>
      </c>
      <c r="AA140" s="331"/>
      <c r="AB140" s="331"/>
      <c r="AC140" s="331"/>
      <c r="AD140" s="336"/>
    </row>
    <row r="141" spans="1:30" s="337" customFormat="1" ht="28" x14ac:dyDescent="0.35">
      <c r="A141" s="314"/>
      <c r="B141" s="331"/>
      <c r="C141" s="331"/>
      <c r="D141" s="331"/>
      <c r="E141" s="331"/>
      <c r="F141" s="331">
        <v>357</v>
      </c>
      <c r="G141" s="331"/>
      <c r="H141" s="317"/>
      <c r="I141" s="331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 t="s">
        <v>1210</v>
      </c>
      <c r="X141" s="323"/>
      <c r="Y141" s="323"/>
      <c r="Z141" s="335"/>
      <c r="AA141" s="331"/>
      <c r="AB141" s="331"/>
      <c r="AC141" s="331"/>
      <c r="AD141" s="336"/>
    </row>
    <row r="142" spans="1:30" s="337" customFormat="1" ht="24.75" customHeight="1" x14ac:dyDescent="0.35">
      <c r="A142" s="325">
        <v>67</v>
      </c>
      <c r="B142" s="331" t="s">
        <v>1025</v>
      </c>
      <c r="C142" s="331" t="s">
        <v>87</v>
      </c>
      <c r="D142" s="331" t="s">
        <v>23</v>
      </c>
      <c r="E142" s="331" t="s">
        <v>1025</v>
      </c>
      <c r="F142" s="331"/>
      <c r="G142" s="331"/>
      <c r="H142" s="326">
        <f>H140+F141</f>
        <v>25274.428</v>
      </c>
      <c r="I142" s="331">
        <v>429.339</v>
      </c>
      <c r="J142" s="331">
        <v>69.5</v>
      </c>
      <c r="K142" s="331">
        <f>F141+F143</f>
        <v>750</v>
      </c>
      <c r="L142" s="331">
        <f>K142/2</f>
        <v>375</v>
      </c>
      <c r="M142" s="331">
        <v>178</v>
      </c>
      <c r="N142" s="331">
        <v>169</v>
      </c>
      <c r="O142" s="331">
        <v>347</v>
      </c>
      <c r="P142" s="331">
        <v>179</v>
      </c>
      <c r="Q142" s="331">
        <v>179</v>
      </c>
      <c r="R142" s="331">
        <v>358</v>
      </c>
      <c r="S142" s="331" t="s">
        <v>1211</v>
      </c>
      <c r="T142" s="331" t="s">
        <v>1212</v>
      </c>
      <c r="U142" s="331">
        <v>540522.32299999997</v>
      </c>
      <c r="V142" s="331">
        <v>2668316.0060000001</v>
      </c>
      <c r="W142" s="331"/>
      <c r="X142" s="315" t="s">
        <v>1213</v>
      </c>
      <c r="Y142" s="315" t="s">
        <v>1043</v>
      </c>
      <c r="Z142" s="335" t="s">
        <v>359</v>
      </c>
      <c r="AA142" s="331"/>
      <c r="AB142" s="331"/>
      <c r="AC142" s="331"/>
      <c r="AD142" s="336"/>
    </row>
    <row r="143" spans="1:30" s="337" customFormat="1" ht="24.75" customHeight="1" x14ac:dyDescent="0.35">
      <c r="A143" s="314"/>
      <c r="B143" s="331"/>
      <c r="C143" s="331"/>
      <c r="D143" s="331"/>
      <c r="E143" s="331"/>
      <c r="F143" s="331">
        <v>393</v>
      </c>
      <c r="G143" s="331"/>
      <c r="H143" s="317"/>
      <c r="I143" s="331"/>
      <c r="J143" s="331"/>
      <c r="K143" s="331"/>
      <c r="L143" s="331"/>
      <c r="M143" s="331"/>
      <c r="N143" s="331"/>
      <c r="O143" s="331"/>
      <c r="P143" s="331"/>
      <c r="Q143" s="331"/>
      <c r="R143" s="331"/>
      <c r="S143" s="331"/>
      <c r="T143" s="331"/>
      <c r="U143" s="331"/>
      <c r="V143" s="331"/>
      <c r="W143" s="331" t="s">
        <v>1087</v>
      </c>
      <c r="X143" s="323"/>
      <c r="Y143" s="323"/>
      <c r="Z143" s="335"/>
      <c r="AA143" s="331"/>
      <c r="AB143" s="331"/>
      <c r="AC143" s="331"/>
      <c r="AD143" s="336"/>
    </row>
    <row r="144" spans="1:30" s="337" customFormat="1" ht="24.75" customHeight="1" x14ac:dyDescent="0.35">
      <c r="A144" s="325">
        <v>68</v>
      </c>
      <c r="B144" s="331" t="s">
        <v>1025</v>
      </c>
      <c r="C144" s="331" t="s">
        <v>88</v>
      </c>
      <c r="D144" s="331" t="s">
        <v>33</v>
      </c>
      <c r="E144" s="331" t="s">
        <v>1025</v>
      </c>
      <c r="F144" s="331"/>
      <c r="G144" s="331"/>
      <c r="H144" s="326">
        <f>H142+F143</f>
        <v>25667.428</v>
      </c>
      <c r="I144" s="331">
        <v>428.34899999999999</v>
      </c>
      <c r="J144" s="331">
        <v>75.5</v>
      </c>
      <c r="K144" s="331">
        <f>F143+F145</f>
        <v>776</v>
      </c>
      <c r="L144" s="331">
        <f>K144/2</f>
        <v>388</v>
      </c>
      <c r="M144" s="331">
        <v>225</v>
      </c>
      <c r="N144" s="331">
        <v>239</v>
      </c>
      <c r="O144" s="331">
        <v>464</v>
      </c>
      <c r="P144" s="331">
        <v>216</v>
      </c>
      <c r="Q144" s="331">
        <v>223</v>
      </c>
      <c r="R144" s="331">
        <v>439</v>
      </c>
      <c r="S144" s="331" t="s">
        <v>1214</v>
      </c>
      <c r="T144" s="331" t="s">
        <v>1215</v>
      </c>
      <c r="U144" s="331">
        <v>540910.79799999995</v>
      </c>
      <c r="V144" s="331">
        <v>2668256.5460000001</v>
      </c>
      <c r="W144" s="331"/>
      <c r="X144" s="315" t="s">
        <v>1213</v>
      </c>
      <c r="Y144" s="315" t="s">
        <v>1043</v>
      </c>
      <c r="Z144" s="335" t="s">
        <v>359</v>
      </c>
      <c r="AA144" s="331"/>
      <c r="AB144" s="331"/>
      <c r="AC144" s="331"/>
      <c r="AD144" s="336"/>
    </row>
    <row r="145" spans="1:30" s="337" customFormat="1" ht="24.75" customHeight="1" x14ac:dyDescent="0.35">
      <c r="A145" s="314"/>
      <c r="B145" s="331"/>
      <c r="C145" s="331"/>
      <c r="D145" s="331"/>
      <c r="E145" s="331"/>
      <c r="F145" s="331">
        <v>383</v>
      </c>
      <c r="G145" s="331"/>
      <c r="H145" s="317"/>
      <c r="I145" s="331"/>
      <c r="J145" s="331"/>
      <c r="K145" s="331"/>
      <c r="L145" s="331"/>
      <c r="M145" s="331"/>
      <c r="N145" s="331"/>
      <c r="O145" s="331"/>
      <c r="P145" s="331"/>
      <c r="Q145" s="331"/>
      <c r="R145" s="331"/>
      <c r="S145" s="331"/>
      <c r="T145" s="331"/>
      <c r="U145" s="331"/>
      <c r="V145" s="331"/>
      <c r="W145" s="331" t="s">
        <v>1084</v>
      </c>
      <c r="X145" s="323"/>
      <c r="Y145" s="323"/>
      <c r="Z145" s="335"/>
      <c r="AA145" s="331"/>
      <c r="AB145" s="331"/>
      <c r="AC145" s="331"/>
      <c r="AD145" s="336"/>
    </row>
    <row r="146" spans="1:30" s="337" customFormat="1" ht="24.75" customHeight="1" x14ac:dyDescent="0.35">
      <c r="A146" s="325">
        <v>69</v>
      </c>
      <c r="B146" s="331" t="s">
        <v>1025</v>
      </c>
      <c r="C146" s="331" t="s">
        <v>89</v>
      </c>
      <c r="D146" s="331" t="s">
        <v>31</v>
      </c>
      <c r="E146" s="331" t="s">
        <v>1025</v>
      </c>
      <c r="F146" s="331"/>
      <c r="G146" s="331"/>
      <c r="H146" s="326">
        <f>H144+F145</f>
        <v>26050.428</v>
      </c>
      <c r="I146" s="338">
        <v>423.12200000000001</v>
      </c>
      <c r="J146" s="331">
        <v>72.5</v>
      </c>
      <c r="K146" s="331">
        <f>F145+F147</f>
        <v>771</v>
      </c>
      <c r="L146" s="331">
        <f>K146/2</f>
        <v>385.5</v>
      </c>
      <c r="M146" s="331">
        <v>145</v>
      </c>
      <c r="N146" s="331">
        <v>218</v>
      </c>
      <c r="O146" s="331">
        <v>363</v>
      </c>
      <c r="P146" s="331">
        <v>161</v>
      </c>
      <c r="Q146" s="331">
        <v>211</v>
      </c>
      <c r="R146" s="331">
        <v>372</v>
      </c>
      <c r="S146" s="331" t="s">
        <v>1216</v>
      </c>
      <c r="T146" s="331" t="s">
        <v>1217</v>
      </c>
      <c r="U146" s="331">
        <v>541289.38899999997</v>
      </c>
      <c r="V146" s="331">
        <v>2668198.5989999999</v>
      </c>
      <c r="W146" s="331"/>
      <c r="X146" s="315" t="s">
        <v>1213</v>
      </c>
      <c r="Y146" s="315" t="s">
        <v>1043</v>
      </c>
      <c r="Z146" s="335" t="s">
        <v>359</v>
      </c>
      <c r="AA146" s="331"/>
      <c r="AB146" s="331"/>
      <c r="AC146" s="331"/>
      <c r="AD146" s="336"/>
    </row>
    <row r="147" spans="1:30" s="337" customFormat="1" ht="28" x14ac:dyDescent="0.35">
      <c r="A147" s="314"/>
      <c r="B147" s="331"/>
      <c r="C147" s="331"/>
      <c r="D147" s="331"/>
      <c r="E147" s="331"/>
      <c r="F147" s="331">
        <v>388</v>
      </c>
      <c r="G147" s="331"/>
      <c r="H147" s="317"/>
      <c r="I147" s="331"/>
      <c r="J147" s="331"/>
      <c r="K147" s="331"/>
      <c r="L147" s="331"/>
      <c r="M147" s="331"/>
      <c r="N147" s="331"/>
      <c r="O147" s="331"/>
      <c r="P147" s="331"/>
      <c r="Q147" s="331"/>
      <c r="R147" s="331"/>
      <c r="S147" s="331"/>
      <c r="T147" s="331"/>
      <c r="U147" s="331"/>
      <c r="V147" s="331"/>
      <c r="W147" s="331" t="s">
        <v>1218</v>
      </c>
      <c r="X147" s="323"/>
      <c r="Y147" s="323"/>
      <c r="Z147" s="335"/>
      <c r="AA147" s="331"/>
      <c r="AB147" s="331"/>
      <c r="AC147" s="331"/>
      <c r="AD147" s="336"/>
    </row>
    <row r="148" spans="1:30" s="337" customFormat="1" ht="24.75" customHeight="1" x14ac:dyDescent="0.35">
      <c r="A148" s="325">
        <v>70</v>
      </c>
      <c r="B148" s="331" t="s">
        <v>1219</v>
      </c>
      <c r="C148" s="331" t="s">
        <v>90</v>
      </c>
      <c r="D148" s="331" t="s">
        <v>61</v>
      </c>
      <c r="E148" s="331" t="s">
        <v>1220</v>
      </c>
      <c r="F148" s="331"/>
      <c r="G148" s="331">
        <f>SUM(F137:F147)</f>
        <v>2261</v>
      </c>
      <c r="H148" s="326">
        <f>H146+F147</f>
        <v>26438.428</v>
      </c>
      <c r="I148" s="331">
        <v>418.85399999999998</v>
      </c>
      <c r="J148" s="315">
        <v>70.72</v>
      </c>
      <c r="K148" s="331">
        <f>F147+F149</f>
        <v>756</v>
      </c>
      <c r="L148" s="331">
        <f>K148/2</f>
        <v>378</v>
      </c>
      <c r="M148" s="331">
        <v>170</v>
      </c>
      <c r="N148" s="331">
        <v>193</v>
      </c>
      <c r="O148" s="331">
        <v>363</v>
      </c>
      <c r="P148" s="331">
        <v>179</v>
      </c>
      <c r="Q148" s="331">
        <v>190</v>
      </c>
      <c r="R148" s="331">
        <v>369</v>
      </c>
      <c r="S148" s="331" t="s">
        <v>1221</v>
      </c>
      <c r="T148" s="331" t="s">
        <v>1222</v>
      </c>
      <c r="U148" s="331">
        <v>541673.01</v>
      </c>
      <c r="V148" s="331">
        <v>2668139.8820000002</v>
      </c>
      <c r="W148" s="331"/>
      <c r="X148" s="315" t="s">
        <v>1213</v>
      </c>
      <c r="Y148" s="315" t="s">
        <v>1043</v>
      </c>
      <c r="Z148" s="335" t="s">
        <v>359</v>
      </c>
      <c r="AA148" s="331"/>
      <c r="AB148" s="331"/>
      <c r="AC148" s="331"/>
      <c r="AD148" s="336"/>
    </row>
    <row r="149" spans="1:30" s="337" customFormat="1" ht="24.75" customHeight="1" x14ac:dyDescent="0.35">
      <c r="A149" s="314"/>
      <c r="B149" s="331"/>
      <c r="C149" s="331"/>
      <c r="D149" s="331"/>
      <c r="E149" s="331"/>
      <c r="F149" s="331">
        <v>368</v>
      </c>
      <c r="G149" s="331"/>
      <c r="H149" s="317"/>
      <c r="I149" s="331"/>
      <c r="J149" s="331"/>
      <c r="K149" s="331"/>
      <c r="L149" s="331"/>
      <c r="M149" s="331"/>
      <c r="N149" s="331"/>
      <c r="O149" s="331"/>
      <c r="P149" s="331"/>
      <c r="Q149" s="331"/>
      <c r="R149" s="331"/>
      <c r="S149" s="331"/>
      <c r="T149" s="331"/>
      <c r="U149" s="331"/>
      <c r="V149" s="331"/>
      <c r="W149" s="331" t="s">
        <v>1122</v>
      </c>
      <c r="X149" s="323"/>
      <c r="Y149" s="323"/>
      <c r="Z149" s="335"/>
      <c r="AA149" s="331"/>
      <c r="AB149" s="331"/>
      <c r="AC149" s="331"/>
      <c r="AD149" s="336"/>
    </row>
    <row r="150" spans="1:30" s="337" customFormat="1" ht="24.75" customHeight="1" x14ac:dyDescent="0.35">
      <c r="A150" s="325">
        <v>71</v>
      </c>
      <c r="B150" s="331" t="s">
        <v>1025</v>
      </c>
      <c r="C150" s="331" t="s">
        <v>91</v>
      </c>
      <c r="D150" s="331" t="s">
        <v>31</v>
      </c>
      <c r="E150" s="331" t="s">
        <v>1025</v>
      </c>
      <c r="F150" s="331"/>
      <c r="G150" s="331"/>
      <c r="H150" s="326">
        <f>H148+F149</f>
        <v>26806.428</v>
      </c>
      <c r="I150" s="338">
        <v>417.37299999999999</v>
      </c>
      <c r="J150" s="331">
        <v>72.5</v>
      </c>
      <c r="K150" s="331">
        <f>F149+F151</f>
        <v>780</v>
      </c>
      <c r="L150" s="331">
        <f>K150/2</f>
        <v>390</v>
      </c>
      <c r="M150" s="331">
        <v>176</v>
      </c>
      <c r="N150" s="331">
        <v>175</v>
      </c>
      <c r="O150" s="331">
        <v>351</v>
      </c>
      <c r="P150" s="331">
        <v>179</v>
      </c>
      <c r="Q150" s="331">
        <v>185</v>
      </c>
      <c r="R150" s="331">
        <v>364</v>
      </c>
      <c r="S150" s="331" t="s">
        <v>1223</v>
      </c>
      <c r="T150" s="331" t="s">
        <v>1224</v>
      </c>
      <c r="U150" s="331">
        <v>542016.86499999999</v>
      </c>
      <c r="V150" s="331">
        <v>2668008.781</v>
      </c>
      <c r="W150" s="331"/>
      <c r="X150" s="315" t="s">
        <v>1213</v>
      </c>
      <c r="Y150" s="315" t="s">
        <v>1043</v>
      </c>
      <c r="Z150" s="335" t="s">
        <v>359</v>
      </c>
      <c r="AA150" s="331"/>
      <c r="AB150" s="331"/>
      <c r="AC150" s="331"/>
      <c r="AD150" s="336"/>
    </row>
    <row r="151" spans="1:30" s="337" customFormat="1" ht="24.75" customHeight="1" x14ac:dyDescent="0.35">
      <c r="A151" s="314"/>
      <c r="B151" s="331"/>
      <c r="C151" s="331"/>
      <c r="D151" s="331"/>
      <c r="E151" s="331"/>
      <c r="F151" s="331">
        <v>412</v>
      </c>
      <c r="G151" s="331"/>
      <c r="H151" s="317"/>
      <c r="I151" s="331"/>
      <c r="J151" s="331"/>
      <c r="K151" s="331"/>
      <c r="L151" s="331"/>
      <c r="M151" s="331"/>
      <c r="N151" s="331"/>
      <c r="O151" s="331"/>
      <c r="P151" s="331"/>
      <c r="Q151" s="331"/>
      <c r="R151" s="331"/>
      <c r="S151" s="331"/>
      <c r="T151" s="331"/>
      <c r="U151" s="331"/>
      <c r="V151" s="331"/>
      <c r="W151" s="331" t="s">
        <v>1152</v>
      </c>
      <c r="X151" s="323"/>
      <c r="Y151" s="323"/>
      <c r="Z151" s="335"/>
      <c r="AA151" s="331"/>
      <c r="AB151" s="331"/>
      <c r="AC151" s="331"/>
      <c r="AD151" s="336"/>
    </row>
    <row r="152" spans="1:30" s="337" customFormat="1" ht="24.75" customHeight="1" x14ac:dyDescent="0.35">
      <c r="A152" s="325">
        <v>72</v>
      </c>
      <c r="B152" s="331" t="s">
        <v>1025</v>
      </c>
      <c r="C152" s="331" t="s">
        <v>92</v>
      </c>
      <c r="D152" s="331" t="s">
        <v>33</v>
      </c>
      <c r="E152" s="331" t="s">
        <v>1025</v>
      </c>
      <c r="F152" s="331"/>
      <c r="G152" s="331"/>
      <c r="H152" s="326">
        <f>H150+F151</f>
        <v>27218.428</v>
      </c>
      <c r="I152" s="331">
        <v>420.33</v>
      </c>
      <c r="J152" s="331">
        <v>75.5</v>
      </c>
      <c r="K152" s="331">
        <f>F151+F153</f>
        <v>828</v>
      </c>
      <c r="L152" s="331">
        <f>K152/2</f>
        <v>414</v>
      </c>
      <c r="M152" s="331">
        <v>237</v>
      </c>
      <c r="N152" s="331">
        <v>221</v>
      </c>
      <c r="O152" s="331">
        <v>458</v>
      </c>
      <c r="P152" s="331">
        <v>228</v>
      </c>
      <c r="Q152" s="331">
        <v>217</v>
      </c>
      <c r="R152" s="331">
        <v>445</v>
      </c>
      <c r="S152" s="331" t="s">
        <v>1225</v>
      </c>
      <c r="T152" s="331" t="s">
        <v>1226</v>
      </c>
      <c r="U152" s="331">
        <v>542401.83400000003</v>
      </c>
      <c r="V152" s="331">
        <v>2667862.0049999999</v>
      </c>
      <c r="W152" s="331"/>
      <c r="X152" s="315" t="s">
        <v>1213</v>
      </c>
      <c r="Y152" s="315" t="s">
        <v>1043</v>
      </c>
      <c r="Z152" s="335" t="s">
        <v>359</v>
      </c>
      <c r="AA152" s="331"/>
      <c r="AB152" s="331"/>
      <c r="AC152" s="331"/>
      <c r="AD152" s="336"/>
    </row>
    <row r="153" spans="1:30" s="337" customFormat="1" ht="24.75" customHeight="1" x14ac:dyDescent="0.35">
      <c r="A153" s="314"/>
      <c r="B153" s="331"/>
      <c r="C153" s="331"/>
      <c r="D153" s="331"/>
      <c r="E153" s="331"/>
      <c r="F153" s="331">
        <v>416</v>
      </c>
      <c r="G153" s="331"/>
      <c r="H153" s="317"/>
      <c r="I153" s="331"/>
      <c r="J153" s="331"/>
      <c r="K153" s="331"/>
      <c r="L153" s="331"/>
      <c r="M153" s="331"/>
      <c r="N153" s="331"/>
      <c r="O153" s="331"/>
      <c r="P153" s="331"/>
      <c r="Q153" s="331"/>
      <c r="R153" s="331"/>
      <c r="S153" s="331"/>
      <c r="T153" s="331"/>
      <c r="U153" s="331"/>
      <c r="V153" s="331"/>
      <c r="W153" s="331"/>
      <c r="X153" s="323"/>
      <c r="Y153" s="323"/>
      <c r="Z153" s="335"/>
      <c r="AA153" s="331"/>
      <c r="AB153" s="331"/>
      <c r="AC153" s="331"/>
      <c r="AD153" s="336"/>
    </row>
    <row r="154" spans="1:30" s="337" customFormat="1" ht="24.75" customHeight="1" x14ac:dyDescent="0.35">
      <c r="A154" s="325">
        <v>73</v>
      </c>
      <c r="B154" s="331" t="s">
        <v>1025</v>
      </c>
      <c r="C154" s="331" t="s">
        <v>93</v>
      </c>
      <c r="D154" s="331" t="s">
        <v>31</v>
      </c>
      <c r="E154" s="331" t="s">
        <v>1025</v>
      </c>
      <c r="F154" s="331"/>
      <c r="G154" s="331"/>
      <c r="H154" s="326">
        <f>H152+F153</f>
        <v>27634.428</v>
      </c>
      <c r="I154" s="338">
        <v>420.87599999999998</v>
      </c>
      <c r="J154" s="331">
        <v>72.5</v>
      </c>
      <c r="K154" s="331">
        <f>F153+F155</f>
        <v>823</v>
      </c>
      <c r="L154" s="331">
        <f>K154/2</f>
        <v>411.5</v>
      </c>
      <c r="M154" s="331">
        <v>196</v>
      </c>
      <c r="N154" s="331">
        <v>167</v>
      </c>
      <c r="O154" s="331">
        <v>363</v>
      </c>
      <c r="P154" s="331">
        <v>200</v>
      </c>
      <c r="Q154" s="331">
        <v>179</v>
      </c>
      <c r="R154" s="331">
        <v>379</v>
      </c>
      <c r="S154" s="331" t="s">
        <v>1227</v>
      </c>
      <c r="T154" s="331" t="s">
        <v>1228</v>
      </c>
      <c r="U154" s="331">
        <v>542790.54</v>
      </c>
      <c r="V154" s="331">
        <v>2667713.804</v>
      </c>
      <c r="W154" s="331"/>
      <c r="X154" s="315" t="s">
        <v>1213</v>
      </c>
      <c r="Y154" s="315" t="s">
        <v>1043</v>
      </c>
      <c r="Z154" s="335" t="s">
        <v>359</v>
      </c>
      <c r="AA154" s="331"/>
      <c r="AB154" s="331"/>
      <c r="AC154" s="331"/>
      <c r="AD154" s="336"/>
    </row>
    <row r="155" spans="1:30" s="337" customFormat="1" ht="24.75" customHeight="1" x14ac:dyDescent="0.35">
      <c r="A155" s="314"/>
      <c r="B155" s="331"/>
      <c r="C155" s="331"/>
      <c r="D155" s="331"/>
      <c r="E155" s="331"/>
      <c r="F155" s="331">
        <v>407</v>
      </c>
      <c r="G155" s="331"/>
      <c r="H155" s="317"/>
      <c r="I155" s="331"/>
      <c r="J155" s="331"/>
      <c r="K155" s="331"/>
      <c r="L155" s="331"/>
      <c r="M155" s="331"/>
      <c r="N155" s="331"/>
      <c r="O155" s="331"/>
      <c r="P155" s="331"/>
      <c r="Q155" s="331"/>
      <c r="R155" s="331"/>
      <c r="S155" s="331"/>
      <c r="T155" s="331"/>
      <c r="U155" s="331"/>
      <c r="V155" s="331"/>
      <c r="W155" s="331" t="s">
        <v>1090</v>
      </c>
      <c r="X155" s="323"/>
      <c r="Y155" s="323"/>
      <c r="Z155" s="335"/>
      <c r="AA155" s="331"/>
      <c r="AB155" s="331"/>
      <c r="AC155" s="331"/>
      <c r="AD155" s="336"/>
    </row>
    <row r="156" spans="1:30" s="337" customFormat="1" ht="24.75" customHeight="1" x14ac:dyDescent="0.35">
      <c r="A156" s="325">
        <v>74</v>
      </c>
      <c r="B156" s="331" t="s">
        <v>1025</v>
      </c>
      <c r="C156" s="331" t="s">
        <v>94</v>
      </c>
      <c r="D156" s="331" t="s">
        <v>16</v>
      </c>
      <c r="E156" s="331" t="s">
        <v>1025</v>
      </c>
      <c r="F156" s="331"/>
      <c r="G156" s="331"/>
      <c r="H156" s="326">
        <f>H154+F155</f>
        <v>28041.428</v>
      </c>
      <c r="I156" s="331">
        <v>421.79300000000001</v>
      </c>
      <c r="J156" s="331">
        <v>78.5</v>
      </c>
      <c r="K156" s="331">
        <f>F155+F157</f>
        <v>832</v>
      </c>
      <c r="L156" s="331">
        <f>K156/2</f>
        <v>416</v>
      </c>
      <c r="M156" s="331">
        <v>240</v>
      </c>
      <c r="N156" s="331">
        <v>318</v>
      </c>
      <c r="O156" s="331">
        <v>558</v>
      </c>
      <c r="P156" s="331">
        <v>229</v>
      </c>
      <c r="Q156" s="331">
        <v>285</v>
      </c>
      <c r="R156" s="331">
        <v>514</v>
      </c>
      <c r="S156" s="331" t="s">
        <v>1229</v>
      </c>
      <c r="T156" s="331" t="s">
        <v>1230</v>
      </c>
      <c r="U156" s="331">
        <v>543170.83700000006</v>
      </c>
      <c r="V156" s="331">
        <v>2667568.81</v>
      </c>
      <c r="W156" s="331"/>
      <c r="X156" s="315" t="s">
        <v>1213</v>
      </c>
      <c r="Y156" s="315" t="s">
        <v>1043</v>
      </c>
      <c r="Z156" s="335" t="s">
        <v>359</v>
      </c>
      <c r="AA156" s="331"/>
      <c r="AB156" s="331"/>
      <c r="AC156" s="331"/>
      <c r="AD156" s="336"/>
    </row>
    <row r="157" spans="1:30" s="337" customFormat="1" ht="24.75" customHeight="1" x14ac:dyDescent="0.35">
      <c r="A157" s="314"/>
      <c r="B157" s="331"/>
      <c r="C157" s="331"/>
      <c r="D157" s="331"/>
      <c r="E157" s="331"/>
      <c r="F157" s="331">
        <v>425</v>
      </c>
      <c r="G157" s="331"/>
      <c r="H157" s="317"/>
      <c r="I157" s="331"/>
      <c r="J157" s="331"/>
      <c r="K157" s="331"/>
      <c r="L157" s="331"/>
      <c r="M157" s="331"/>
      <c r="N157" s="331"/>
      <c r="O157" s="331"/>
      <c r="P157" s="331"/>
      <c r="Q157" s="331"/>
      <c r="R157" s="331"/>
      <c r="S157" s="331"/>
      <c r="T157" s="331"/>
      <c r="U157" s="331"/>
      <c r="V157" s="331"/>
      <c r="W157" s="331" t="s">
        <v>1122</v>
      </c>
      <c r="X157" s="323"/>
      <c r="Y157" s="323"/>
      <c r="Z157" s="335"/>
      <c r="AA157" s="331"/>
      <c r="AB157" s="331"/>
      <c r="AC157" s="331"/>
      <c r="AD157" s="336"/>
    </row>
    <row r="158" spans="1:30" s="337" customFormat="1" ht="24.75" customHeight="1" x14ac:dyDescent="0.35">
      <c r="A158" s="325">
        <v>75</v>
      </c>
      <c r="B158" s="331" t="s">
        <v>1025</v>
      </c>
      <c r="C158" s="331" t="s">
        <v>95</v>
      </c>
      <c r="D158" s="331" t="s">
        <v>23</v>
      </c>
      <c r="E158" s="331" t="s">
        <v>1025</v>
      </c>
      <c r="F158" s="331"/>
      <c r="G158" s="331"/>
      <c r="H158" s="326">
        <f>H156+F157</f>
        <v>28466.428</v>
      </c>
      <c r="I158" s="331">
        <v>410.07799999999997</v>
      </c>
      <c r="J158" s="331">
        <v>69.5</v>
      </c>
      <c r="K158" s="331">
        <f>F157+F159</f>
        <v>811</v>
      </c>
      <c r="L158" s="331">
        <f>K158/2</f>
        <v>405.5</v>
      </c>
      <c r="M158" s="331">
        <v>108</v>
      </c>
      <c r="N158" s="331">
        <v>150</v>
      </c>
      <c r="O158" s="331">
        <v>258</v>
      </c>
      <c r="P158" s="331">
        <v>142</v>
      </c>
      <c r="Q158" s="331">
        <v>164</v>
      </c>
      <c r="R158" s="331">
        <v>306</v>
      </c>
      <c r="S158" s="331" t="s">
        <v>1231</v>
      </c>
      <c r="T158" s="331" t="s">
        <v>1232</v>
      </c>
      <c r="U158" s="331">
        <v>543567.95299999998</v>
      </c>
      <c r="V158" s="331">
        <v>2667417.4029999999</v>
      </c>
      <c r="W158" s="331"/>
      <c r="X158" s="315" t="s">
        <v>1233</v>
      </c>
      <c r="Y158" s="315" t="s">
        <v>1043</v>
      </c>
      <c r="Z158" s="335" t="s">
        <v>359</v>
      </c>
      <c r="AA158" s="331"/>
      <c r="AB158" s="331"/>
      <c r="AC158" s="331"/>
      <c r="AD158" s="336"/>
    </row>
    <row r="159" spans="1:30" s="337" customFormat="1" ht="24.75" customHeight="1" x14ac:dyDescent="0.35">
      <c r="A159" s="314"/>
      <c r="B159" s="331"/>
      <c r="C159" s="331"/>
      <c r="D159" s="331"/>
      <c r="E159" s="331"/>
      <c r="F159" s="331">
        <v>386</v>
      </c>
      <c r="G159" s="331"/>
      <c r="H159" s="317"/>
      <c r="I159" s="331"/>
      <c r="J159" s="331"/>
      <c r="K159" s="331"/>
      <c r="L159" s="331"/>
      <c r="M159" s="331"/>
      <c r="N159" s="331"/>
      <c r="O159" s="331"/>
      <c r="P159" s="331"/>
      <c r="Q159" s="331"/>
      <c r="R159" s="331"/>
      <c r="S159" s="331"/>
      <c r="T159" s="331"/>
      <c r="U159" s="331"/>
      <c r="V159" s="331"/>
      <c r="W159" s="331" t="s">
        <v>1152</v>
      </c>
      <c r="X159" s="323"/>
      <c r="Y159" s="323"/>
      <c r="Z159" s="335"/>
      <c r="AA159" s="331"/>
      <c r="AB159" s="331"/>
      <c r="AC159" s="331"/>
      <c r="AD159" s="336"/>
    </row>
    <row r="160" spans="1:30" s="337" customFormat="1" ht="24.75" customHeight="1" x14ac:dyDescent="0.35">
      <c r="A160" s="325">
        <v>76</v>
      </c>
      <c r="B160" s="331" t="s">
        <v>1025</v>
      </c>
      <c r="C160" s="334" t="s">
        <v>96</v>
      </c>
      <c r="D160" s="331" t="s">
        <v>31</v>
      </c>
      <c r="E160" s="331" t="s">
        <v>1025</v>
      </c>
      <c r="F160" s="331"/>
      <c r="G160" s="331"/>
      <c r="H160" s="326">
        <f>H158+F159</f>
        <v>28852.428</v>
      </c>
      <c r="I160" s="338">
        <v>414.87400000000002</v>
      </c>
      <c r="J160" s="331">
        <v>72.5</v>
      </c>
      <c r="K160" s="331">
        <f>F159+F161</f>
        <v>745</v>
      </c>
      <c r="L160" s="331">
        <f>K160/2</f>
        <v>372.5</v>
      </c>
      <c r="M160" s="331">
        <v>237</v>
      </c>
      <c r="N160" s="331">
        <v>128</v>
      </c>
      <c r="O160" s="331">
        <v>365</v>
      </c>
      <c r="P160" s="331">
        <v>223</v>
      </c>
      <c r="Q160" s="331">
        <v>144</v>
      </c>
      <c r="R160" s="331">
        <v>367</v>
      </c>
      <c r="S160" s="331" t="s">
        <v>1234</v>
      </c>
      <c r="T160" s="331" t="s">
        <v>1235</v>
      </c>
      <c r="U160" s="331">
        <v>543928.62699999998</v>
      </c>
      <c r="V160" s="331">
        <v>2667279.889</v>
      </c>
      <c r="W160" s="341" t="s">
        <v>1236</v>
      </c>
      <c r="X160" s="315" t="s">
        <v>1233</v>
      </c>
      <c r="Y160" s="315" t="s">
        <v>1043</v>
      </c>
      <c r="Z160" s="335" t="s">
        <v>359</v>
      </c>
      <c r="AA160" s="339">
        <v>2</v>
      </c>
      <c r="AB160" s="339">
        <v>2</v>
      </c>
      <c r="AC160" s="342">
        <v>0</v>
      </c>
      <c r="AD160" s="343">
        <v>0</v>
      </c>
    </row>
    <row r="161" spans="1:30" s="337" customFormat="1" ht="24.75" customHeight="1" x14ac:dyDescent="0.35">
      <c r="A161" s="314"/>
      <c r="B161" s="331"/>
      <c r="C161" s="331"/>
      <c r="D161" s="331"/>
      <c r="E161" s="331"/>
      <c r="F161" s="331">
        <v>359</v>
      </c>
      <c r="G161" s="331"/>
      <c r="H161" s="317"/>
      <c r="I161" s="331"/>
      <c r="J161" s="331"/>
      <c r="K161" s="331"/>
      <c r="L161" s="331"/>
      <c r="M161" s="331"/>
      <c r="N161" s="331"/>
      <c r="O161" s="331"/>
      <c r="P161" s="331"/>
      <c r="Q161" s="331"/>
      <c r="R161" s="331"/>
      <c r="S161" s="331"/>
      <c r="T161" s="331"/>
      <c r="U161" s="331"/>
      <c r="V161" s="331"/>
      <c r="W161" s="331" t="s">
        <v>1090</v>
      </c>
      <c r="X161" s="323"/>
      <c r="Y161" s="323"/>
      <c r="Z161" s="335"/>
      <c r="AA161" s="331"/>
      <c r="AB161" s="331"/>
      <c r="AC161" s="331"/>
      <c r="AD161" s="336"/>
    </row>
    <row r="162" spans="1:30" s="337" customFormat="1" ht="24.75" customHeight="1" x14ac:dyDescent="0.35">
      <c r="A162" s="325">
        <v>77</v>
      </c>
      <c r="B162" s="331" t="s">
        <v>1025</v>
      </c>
      <c r="C162" s="331" t="s">
        <v>97</v>
      </c>
      <c r="D162" s="331" t="s">
        <v>31</v>
      </c>
      <c r="E162" s="331" t="s">
        <v>1025</v>
      </c>
      <c r="F162" s="331"/>
      <c r="G162" s="331"/>
      <c r="H162" s="326">
        <f>H160+F161</f>
        <v>29211.428</v>
      </c>
      <c r="I162" s="338">
        <v>423.54399999999998</v>
      </c>
      <c r="J162" s="331">
        <v>72.5</v>
      </c>
      <c r="K162" s="331">
        <f>F161+F163</f>
        <v>727</v>
      </c>
      <c r="L162" s="331">
        <f>K162/2</f>
        <v>363.5</v>
      </c>
      <c r="M162" s="331">
        <v>232</v>
      </c>
      <c r="N162" s="331">
        <v>157</v>
      </c>
      <c r="O162" s="331">
        <v>389</v>
      </c>
      <c r="P162" s="331">
        <v>216</v>
      </c>
      <c r="Q162" s="331">
        <v>166</v>
      </c>
      <c r="R162" s="331">
        <v>382</v>
      </c>
      <c r="S162" s="331" t="s">
        <v>1237</v>
      </c>
      <c r="T162" s="331" t="s">
        <v>1238</v>
      </c>
      <c r="U162" s="331">
        <v>544264.07299999997</v>
      </c>
      <c r="V162" s="331">
        <v>2667151.9950000001</v>
      </c>
      <c r="W162" s="331"/>
      <c r="X162" s="315" t="s">
        <v>1233</v>
      </c>
      <c r="Y162" s="315" t="s">
        <v>1043</v>
      </c>
      <c r="Z162" s="335" t="s">
        <v>359</v>
      </c>
      <c r="AA162" s="331"/>
      <c r="AB162" s="331"/>
      <c r="AC162" s="331"/>
      <c r="AD162" s="336"/>
    </row>
    <row r="163" spans="1:30" s="337" customFormat="1" ht="24.75" customHeight="1" x14ac:dyDescent="0.35">
      <c r="A163" s="314"/>
      <c r="B163" s="331"/>
      <c r="C163" s="331"/>
      <c r="D163" s="331"/>
      <c r="E163" s="331"/>
      <c r="F163" s="331">
        <v>368</v>
      </c>
      <c r="G163" s="331"/>
      <c r="H163" s="317"/>
      <c r="I163" s="331"/>
      <c r="J163" s="331"/>
      <c r="K163" s="331"/>
      <c r="L163" s="331"/>
      <c r="M163" s="331"/>
      <c r="N163" s="331"/>
      <c r="O163" s="331"/>
      <c r="P163" s="331"/>
      <c r="Q163" s="331"/>
      <c r="R163" s="331"/>
      <c r="S163" s="331"/>
      <c r="T163" s="331"/>
      <c r="U163" s="331"/>
      <c r="V163" s="331"/>
      <c r="W163" s="331" t="s">
        <v>1090</v>
      </c>
      <c r="X163" s="323"/>
      <c r="Y163" s="323"/>
      <c r="Z163" s="335"/>
      <c r="AA163" s="331"/>
      <c r="AB163" s="331"/>
      <c r="AC163" s="331"/>
      <c r="AD163" s="336"/>
    </row>
    <row r="164" spans="1:30" s="337" customFormat="1" ht="24.75" customHeight="1" x14ac:dyDescent="0.35">
      <c r="A164" s="325">
        <v>78</v>
      </c>
      <c r="B164" s="331" t="s">
        <v>1025</v>
      </c>
      <c r="C164" s="331" t="s">
        <v>98</v>
      </c>
      <c r="D164" s="331" t="s">
        <v>31</v>
      </c>
      <c r="E164" s="331" t="s">
        <v>1025</v>
      </c>
      <c r="F164" s="331"/>
      <c r="G164" s="331"/>
      <c r="H164" s="326">
        <f>H162+F163</f>
        <v>29579.428</v>
      </c>
      <c r="I164" s="338">
        <v>428.19299999999998</v>
      </c>
      <c r="J164" s="331">
        <v>72.5</v>
      </c>
      <c r="K164" s="331">
        <f>F163+F165</f>
        <v>758</v>
      </c>
      <c r="L164" s="331">
        <f>K164/2</f>
        <v>379</v>
      </c>
      <c r="M164" s="331">
        <v>211</v>
      </c>
      <c r="N164" s="331">
        <v>178</v>
      </c>
      <c r="O164" s="331">
        <v>389</v>
      </c>
      <c r="P164" s="331">
        <v>203</v>
      </c>
      <c r="Q164" s="331">
        <v>183</v>
      </c>
      <c r="R164" s="331">
        <v>386</v>
      </c>
      <c r="S164" s="331" t="s">
        <v>1239</v>
      </c>
      <c r="T164" s="331" t="s">
        <v>1240</v>
      </c>
      <c r="U164" s="331">
        <v>544607.929</v>
      </c>
      <c r="V164" s="331">
        <v>2667020.8939999999</v>
      </c>
      <c r="W164" s="331"/>
      <c r="X164" s="315" t="s">
        <v>1233</v>
      </c>
      <c r="Y164" s="315" t="s">
        <v>1043</v>
      </c>
      <c r="Z164" s="335" t="s">
        <v>359</v>
      </c>
      <c r="AA164" s="331"/>
      <c r="AB164" s="331"/>
      <c r="AC164" s="331"/>
      <c r="AD164" s="336"/>
    </row>
    <row r="165" spans="1:30" s="337" customFormat="1" ht="24.75" customHeight="1" x14ac:dyDescent="0.35">
      <c r="A165" s="314"/>
      <c r="B165" s="331"/>
      <c r="C165" s="331"/>
      <c r="D165" s="331"/>
      <c r="E165" s="331"/>
      <c r="F165" s="331">
        <v>390</v>
      </c>
      <c r="G165" s="331"/>
      <c r="H165" s="317"/>
      <c r="I165" s="331"/>
      <c r="J165" s="331"/>
      <c r="K165" s="331"/>
      <c r="L165" s="331"/>
      <c r="M165" s="331"/>
      <c r="N165" s="331"/>
      <c r="O165" s="331"/>
      <c r="P165" s="331"/>
      <c r="Q165" s="331"/>
      <c r="R165" s="331"/>
      <c r="S165" s="331"/>
      <c r="T165" s="331"/>
      <c r="U165" s="331"/>
      <c r="V165" s="331"/>
      <c r="W165" s="331" t="s">
        <v>1090</v>
      </c>
      <c r="X165" s="323"/>
      <c r="Y165" s="323"/>
      <c r="Z165" s="335"/>
      <c r="AA165" s="331"/>
      <c r="AB165" s="331"/>
      <c r="AC165" s="331"/>
      <c r="AD165" s="336"/>
    </row>
    <row r="166" spans="1:30" s="337" customFormat="1" ht="24.75" customHeight="1" x14ac:dyDescent="0.35">
      <c r="A166" s="325">
        <v>79</v>
      </c>
      <c r="B166" s="331" t="s">
        <v>1025</v>
      </c>
      <c r="C166" s="331" t="s">
        <v>99</v>
      </c>
      <c r="D166" s="331" t="s">
        <v>33</v>
      </c>
      <c r="E166" s="331" t="s">
        <v>1025</v>
      </c>
      <c r="F166" s="331"/>
      <c r="G166" s="331"/>
      <c r="H166" s="326">
        <f>H164+F165</f>
        <v>29969.428</v>
      </c>
      <c r="I166" s="331">
        <v>428.40300000000002</v>
      </c>
      <c r="J166" s="331">
        <v>75.5</v>
      </c>
      <c r="K166" s="331">
        <f>F165+F167</f>
        <v>800</v>
      </c>
      <c r="L166" s="331">
        <f>K166/2</f>
        <v>400</v>
      </c>
      <c r="M166" s="331">
        <v>213</v>
      </c>
      <c r="N166" s="331">
        <v>234</v>
      </c>
      <c r="O166" s="331">
        <v>447</v>
      </c>
      <c r="P166" s="331">
        <v>208</v>
      </c>
      <c r="Q166" s="331">
        <v>225</v>
      </c>
      <c r="R166" s="331">
        <v>433</v>
      </c>
      <c r="S166" s="331" t="s">
        <v>1241</v>
      </c>
      <c r="T166" s="331" t="s">
        <v>1242</v>
      </c>
      <c r="U166" s="331">
        <v>544972.34100000001</v>
      </c>
      <c r="V166" s="331">
        <v>2666881.9559999998</v>
      </c>
      <c r="W166" s="331"/>
      <c r="X166" s="315" t="s">
        <v>1243</v>
      </c>
      <c r="Y166" s="315" t="s">
        <v>1043</v>
      </c>
      <c r="Z166" s="335" t="s">
        <v>359</v>
      </c>
      <c r="AA166" s="331"/>
      <c r="AB166" s="331"/>
      <c r="AC166" s="331"/>
      <c r="AD166" s="336"/>
    </row>
    <row r="167" spans="1:30" s="337" customFormat="1" ht="24.75" customHeight="1" x14ac:dyDescent="0.35">
      <c r="A167" s="314"/>
      <c r="B167" s="331"/>
      <c r="C167" s="331"/>
      <c r="D167" s="331"/>
      <c r="E167" s="331"/>
      <c r="F167" s="331">
        <v>410</v>
      </c>
      <c r="G167" s="331"/>
      <c r="H167" s="317"/>
      <c r="I167" s="331"/>
      <c r="J167" s="331"/>
      <c r="K167" s="331"/>
      <c r="L167" s="331"/>
      <c r="M167" s="331"/>
      <c r="N167" s="331"/>
      <c r="O167" s="331"/>
      <c r="P167" s="331"/>
      <c r="Q167" s="331"/>
      <c r="R167" s="331"/>
      <c r="S167" s="331"/>
      <c r="T167" s="331"/>
      <c r="U167" s="331"/>
      <c r="V167" s="331"/>
      <c r="W167" s="331" t="s">
        <v>1090</v>
      </c>
      <c r="X167" s="323"/>
      <c r="Y167" s="323"/>
      <c r="Z167" s="335"/>
      <c r="AA167" s="331"/>
      <c r="AB167" s="331"/>
      <c r="AC167" s="331"/>
      <c r="AD167" s="336"/>
    </row>
    <row r="168" spans="1:30" s="337" customFormat="1" ht="24.75" customHeight="1" x14ac:dyDescent="0.35">
      <c r="A168" s="325">
        <v>80</v>
      </c>
      <c r="B168" s="331" t="s">
        <v>1244</v>
      </c>
      <c r="C168" s="331" t="s">
        <v>100</v>
      </c>
      <c r="D168" s="331" t="s">
        <v>28</v>
      </c>
      <c r="E168" s="331" t="s">
        <v>1245</v>
      </c>
      <c r="F168" s="331"/>
      <c r="G168" s="331">
        <f>SUM(F149:F167)</f>
        <v>3941</v>
      </c>
      <c r="H168" s="326">
        <f>H166+F167</f>
        <v>30379.428</v>
      </c>
      <c r="I168" s="331">
        <v>425.94900000000001</v>
      </c>
      <c r="J168" s="315">
        <v>70.72</v>
      </c>
      <c r="K168" s="331">
        <f>F167+F169</f>
        <v>790</v>
      </c>
      <c r="L168" s="331">
        <f>K168/2</f>
        <v>395</v>
      </c>
      <c r="M168" s="331">
        <v>177</v>
      </c>
      <c r="N168" s="331">
        <v>208</v>
      </c>
      <c r="O168" s="331">
        <f>M168+N168</f>
        <v>385</v>
      </c>
      <c r="P168" s="331">
        <v>186</v>
      </c>
      <c r="Q168" s="331">
        <v>216</v>
      </c>
      <c r="R168" s="331">
        <f>P168+Q168</f>
        <v>402</v>
      </c>
      <c r="S168" s="331" t="s">
        <v>1246</v>
      </c>
      <c r="T168" s="331" t="s">
        <v>1247</v>
      </c>
      <c r="U168" s="331">
        <v>545355.05000000005</v>
      </c>
      <c r="V168" s="331">
        <v>2666736.04</v>
      </c>
      <c r="W168" s="331"/>
      <c r="X168" s="315" t="s">
        <v>1243</v>
      </c>
      <c r="Y168" s="315" t="s">
        <v>1043</v>
      </c>
      <c r="Z168" s="335" t="s">
        <v>359</v>
      </c>
      <c r="AA168" s="331"/>
      <c r="AB168" s="331"/>
      <c r="AC168" s="331"/>
      <c r="AD168" s="336"/>
    </row>
    <row r="169" spans="1:30" s="337" customFormat="1" ht="24.75" customHeight="1" x14ac:dyDescent="0.35">
      <c r="A169" s="314"/>
      <c r="B169" s="331"/>
      <c r="C169" s="331"/>
      <c r="D169" s="331"/>
      <c r="E169" s="331"/>
      <c r="F169" s="331">
        <v>380</v>
      </c>
      <c r="G169" s="331"/>
      <c r="H169" s="317"/>
      <c r="I169" s="331"/>
      <c r="J169" s="331"/>
      <c r="K169" s="331"/>
      <c r="L169" s="331"/>
      <c r="M169" s="331"/>
      <c r="N169" s="331"/>
      <c r="O169" s="331"/>
      <c r="P169" s="331"/>
      <c r="Q169" s="331"/>
      <c r="R169" s="331"/>
      <c r="S169" s="331"/>
      <c r="T169" s="331"/>
      <c r="U169" s="331"/>
      <c r="V169" s="331"/>
      <c r="W169" s="331"/>
      <c r="X169" s="323"/>
      <c r="Y169" s="323"/>
      <c r="Z169" s="335"/>
      <c r="AA169" s="331"/>
      <c r="AB169" s="331"/>
      <c r="AC169" s="331"/>
      <c r="AD169" s="336"/>
    </row>
    <row r="170" spans="1:30" s="337" customFormat="1" ht="24.75" customHeight="1" x14ac:dyDescent="0.35">
      <c r="A170" s="325">
        <v>81</v>
      </c>
      <c r="B170" s="331"/>
      <c r="C170" s="331" t="s">
        <v>101</v>
      </c>
      <c r="D170" s="331" t="s">
        <v>31</v>
      </c>
      <c r="E170" s="331"/>
      <c r="F170" s="331"/>
      <c r="G170" s="331"/>
      <c r="H170" s="326">
        <f>H168+F169</f>
        <v>30759.428</v>
      </c>
      <c r="I170" s="338">
        <v>421.3</v>
      </c>
      <c r="J170" s="331">
        <v>72.5</v>
      </c>
      <c r="K170" s="331">
        <f>F169+F171</f>
        <v>747</v>
      </c>
      <c r="L170" s="331">
        <f>K170/2</f>
        <v>373.5</v>
      </c>
      <c r="M170" s="331">
        <v>171</v>
      </c>
      <c r="N170" s="331">
        <v>235</v>
      </c>
      <c r="O170" s="331">
        <v>406</v>
      </c>
      <c r="P170" s="331">
        <v>164</v>
      </c>
      <c r="Q170" s="331">
        <v>252</v>
      </c>
      <c r="R170" s="331">
        <v>416</v>
      </c>
      <c r="S170" s="331" t="s">
        <v>1248</v>
      </c>
      <c r="T170" s="331" t="s">
        <v>1249</v>
      </c>
      <c r="U170" s="331">
        <v>545711</v>
      </c>
      <c r="V170" s="331">
        <v>2666603</v>
      </c>
      <c r="W170" s="331"/>
      <c r="X170" s="315" t="s">
        <v>1243</v>
      </c>
      <c r="Y170" s="315" t="s">
        <v>1043</v>
      </c>
      <c r="Z170" s="335" t="s">
        <v>359</v>
      </c>
      <c r="AA170" s="331"/>
      <c r="AB170" s="331"/>
      <c r="AC170" s="331"/>
      <c r="AD170" s="336"/>
    </row>
    <row r="171" spans="1:30" s="337" customFormat="1" ht="24.75" customHeight="1" x14ac:dyDescent="0.35">
      <c r="A171" s="314"/>
      <c r="B171" s="331"/>
      <c r="C171" s="331"/>
      <c r="D171" s="331"/>
      <c r="E171" s="331"/>
      <c r="F171" s="331">
        <v>367</v>
      </c>
      <c r="G171" s="331"/>
      <c r="H171" s="317"/>
      <c r="I171" s="331"/>
      <c r="J171" s="331"/>
      <c r="K171" s="331"/>
      <c r="L171" s="331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W171" s="331" t="s">
        <v>1250</v>
      </c>
      <c r="X171" s="323"/>
      <c r="Y171" s="323"/>
      <c r="Z171" s="335"/>
      <c r="AA171" s="331"/>
      <c r="AB171" s="331"/>
      <c r="AC171" s="331"/>
      <c r="AD171" s="336"/>
    </row>
    <row r="172" spans="1:30" s="337" customFormat="1" ht="24.75" customHeight="1" x14ac:dyDescent="0.35">
      <c r="A172" s="325">
        <v>82</v>
      </c>
      <c r="B172" s="331"/>
      <c r="C172" s="331" t="s">
        <v>102</v>
      </c>
      <c r="D172" s="331" t="s">
        <v>31</v>
      </c>
      <c r="E172" s="331"/>
      <c r="F172" s="331"/>
      <c r="G172" s="331"/>
      <c r="H172" s="326">
        <f>H170+F171</f>
        <v>31126.428</v>
      </c>
      <c r="I172" s="338">
        <v>409.5</v>
      </c>
      <c r="J172" s="331">
        <v>72.5</v>
      </c>
      <c r="K172" s="331">
        <f>F171+F173</f>
        <v>800</v>
      </c>
      <c r="L172" s="331">
        <f>K172/2</f>
        <v>400</v>
      </c>
      <c r="M172" s="331">
        <v>132</v>
      </c>
      <c r="N172" s="331">
        <v>187</v>
      </c>
      <c r="O172" s="331">
        <v>319</v>
      </c>
      <c r="P172" s="331">
        <v>115</v>
      </c>
      <c r="Q172" s="331">
        <v>177</v>
      </c>
      <c r="R172" s="331">
        <v>292</v>
      </c>
      <c r="S172" s="331" t="s">
        <v>1251</v>
      </c>
      <c r="T172" s="331" t="s">
        <v>1252</v>
      </c>
      <c r="U172" s="331">
        <v>546054.77</v>
      </c>
      <c r="V172" s="331">
        <v>2666474.5099999998</v>
      </c>
      <c r="W172" s="331"/>
      <c r="X172" s="315" t="s">
        <v>1243</v>
      </c>
      <c r="Y172" s="315" t="s">
        <v>1043</v>
      </c>
      <c r="Z172" s="335" t="s">
        <v>359</v>
      </c>
      <c r="AA172" s="331"/>
      <c r="AB172" s="331"/>
      <c r="AC172" s="331"/>
      <c r="AD172" s="336"/>
    </row>
    <row r="173" spans="1:30" s="337" customFormat="1" ht="24.75" customHeight="1" x14ac:dyDescent="0.35">
      <c r="A173" s="314"/>
      <c r="B173" s="331"/>
      <c r="C173" s="331"/>
      <c r="D173" s="331"/>
      <c r="E173" s="331"/>
      <c r="F173" s="331">
        <v>433</v>
      </c>
      <c r="G173" s="331"/>
      <c r="H173" s="317"/>
      <c r="I173" s="331"/>
      <c r="J173" s="331"/>
      <c r="K173" s="331"/>
      <c r="L173" s="331"/>
      <c r="M173" s="331"/>
      <c r="N173" s="331"/>
      <c r="O173" s="331"/>
      <c r="P173" s="331"/>
      <c r="Q173" s="331"/>
      <c r="R173" s="331"/>
      <c r="S173" s="331"/>
      <c r="T173" s="331"/>
      <c r="U173" s="331"/>
      <c r="V173" s="331"/>
      <c r="W173" s="331" t="s">
        <v>1253</v>
      </c>
      <c r="X173" s="323"/>
      <c r="Y173" s="323"/>
      <c r="Z173" s="335"/>
      <c r="AA173" s="331"/>
      <c r="AB173" s="331"/>
      <c r="AC173" s="331"/>
      <c r="AD173" s="336"/>
    </row>
    <row r="174" spans="1:30" s="337" customFormat="1" ht="24.75" customHeight="1" x14ac:dyDescent="0.35">
      <c r="A174" s="325">
        <v>83</v>
      </c>
      <c r="B174" s="331"/>
      <c r="C174" s="331" t="s">
        <v>103</v>
      </c>
      <c r="D174" s="331" t="s">
        <v>20</v>
      </c>
      <c r="E174" s="331"/>
      <c r="F174" s="331"/>
      <c r="G174" s="331"/>
      <c r="H174" s="326">
        <f>H172+F173</f>
        <v>31559.428</v>
      </c>
      <c r="I174" s="331">
        <v>408.51100000000002</v>
      </c>
      <c r="J174" s="331">
        <v>81.5</v>
      </c>
      <c r="K174" s="331">
        <f>F173+F175</f>
        <v>833</v>
      </c>
      <c r="L174" s="331">
        <f>K174/2</f>
        <v>416.5</v>
      </c>
      <c r="M174" s="331">
        <v>246</v>
      </c>
      <c r="N174" s="331">
        <v>184</v>
      </c>
      <c r="O174" s="331">
        <v>430</v>
      </c>
      <c r="P174" s="331">
        <v>256</v>
      </c>
      <c r="Q174" s="331">
        <v>178</v>
      </c>
      <c r="R174" s="331">
        <v>434</v>
      </c>
      <c r="S174" s="331" t="s">
        <v>1254</v>
      </c>
      <c r="T174" s="331" t="s">
        <v>1255</v>
      </c>
      <c r="U174" s="331">
        <v>546460.37</v>
      </c>
      <c r="V174" s="331">
        <v>2666322.91</v>
      </c>
      <c r="W174" s="331"/>
      <c r="X174" s="315" t="s">
        <v>1243</v>
      </c>
      <c r="Y174" s="315" t="s">
        <v>1043</v>
      </c>
      <c r="Z174" s="335" t="s">
        <v>359</v>
      </c>
      <c r="AA174" s="331"/>
      <c r="AB174" s="331"/>
      <c r="AC174" s="331"/>
      <c r="AD174" s="336"/>
    </row>
    <row r="175" spans="1:30" s="337" customFormat="1" ht="24.75" customHeight="1" x14ac:dyDescent="0.35">
      <c r="A175" s="314"/>
      <c r="B175" s="331"/>
      <c r="C175" s="331"/>
      <c r="D175" s="331"/>
      <c r="E175" s="331"/>
      <c r="F175" s="331">
        <v>400</v>
      </c>
      <c r="G175" s="331"/>
      <c r="H175" s="317"/>
      <c r="I175" s="331"/>
      <c r="J175" s="331"/>
      <c r="K175" s="331"/>
      <c r="L175" s="331"/>
      <c r="M175" s="331"/>
      <c r="N175" s="331"/>
      <c r="O175" s="331"/>
      <c r="P175" s="331"/>
      <c r="Q175" s="331"/>
      <c r="R175" s="331"/>
      <c r="S175" s="331"/>
      <c r="T175" s="331"/>
      <c r="U175" s="331"/>
      <c r="V175" s="331"/>
      <c r="W175" s="331" t="s">
        <v>1256</v>
      </c>
      <c r="X175" s="323"/>
      <c r="Y175" s="323"/>
      <c r="Z175" s="335"/>
      <c r="AA175" s="331"/>
      <c r="AB175" s="331"/>
      <c r="AC175" s="331"/>
      <c r="AD175" s="336"/>
    </row>
    <row r="176" spans="1:30" s="337" customFormat="1" ht="24.75" customHeight="1" x14ac:dyDescent="0.35">
      <c r="A176" s="325">
        <v>84</v>
      </c>
      <c r="B176" s="331"/>
      <c r="C176" s="331" t="s">
        <v>104</v>
      </c>
      <c r="D176" s="331" t="s">
        <v>31</v>
      </c>
      <c r="E176" s="331"/>
      <c r="F176" s="331"/>
      <c r="G176" s="331"/>
      <c r="H176" s="326">
        <f>H174+F175</f>
        <v>31959.428</v>
      </c>
      <c r="I176" s="338">
        <v>421.58</v>
      </c>
      <c r="J176" s="331">
        <v>72.5</v>
      </c>
      <c r="K176" s="331">
        <f>F175+F177</f>
        <v>796</v>
      </c>
      <c r="L176" s="331">
        <f>K176/2</f>
        <v>398</v>
      </c>
      <c r="M176" s="331">
        <v>216</v>
      </c>
      <c r="N176" s="331">
        <v>155</v>
      </c>
      <c r="O176" s="331">
        <v>371</v>
      </c>
      <c r="P176" s="331">
        <v>222</v>
      </c>
      <c r="Q176" s="331">
        <v>140</v>
      </c>
      <c r="R176" s="331">
        <v>362</v>
      </c>
      <c r="S176" s="331" t="s">
        <v>1257</v>
      </c>
      <c r="T176" s="331" t="s">
        <v>1258</v>
      </c>
      <c r="U176" s="331">
        <v>546835.05000000005</v>
      </c>
      <c r="V176" s="331">
        <v>2666182.87</v>
      </c>
      <c r="W176" s="331"/>
      <c r="X176" s="315" t="s">
        <v>1243</v>
      </c>
      <c r="Y176" s="315" t="s">
        <v>1043</v>
      </c>
      <c r="Z176" s="335" t="s">
        <v>359</v>
      </c>
      <c r="AA176" s="331"/>
      <c r="AB176" s="331"/>
      <c r="AC176" s="331"/>
      <c r="AD176" s="336"/>
    </row>
    <row r="177" spans="1:30" s="337" customFormat="1" ht="24.75" customHeight="1" x14ac:dyDescent="0.35">
      <c r="A177" s="314"/>
      <c r="B177" s="331"/>
      <c r="C177" s="331"/>
      <c r="D177" s="331"/>
      <c r="E177" s="331"/>
      <c r="F177" s="331">
        <v>396</v>
      </c>
      <c r="G177" s="331"/>
      <c r="H177" s="317"/>
      <c r="I177" s="331"/>
      <c r="J177" s="331"/>
      <c r="K177" s="331"/>
      <c r="L177" s="331"/>
      <c r="M177" s="331"/>
      <c r="N177" s="331"/>
      <c r="O177" s="331"/>
      <c r="P177" s="331"/>
      <c r="Q177" s="331"/>
      <c r="R177" s="331"/>
      <c r="S177" s="331"/>
      <c r="T177" s="331"/>
      <c r="U177" s="331"/>
      <c r="V177" s="331"/>
      <c r="W177" s="331" t="s">
        <v>1259</v>
      </c>
      <c r="X177" s="323"/>
      <c r="Y177" s="323"/>
      <c r="Z177" s="335"/>
      <c r="AA177" s="331"/>
      <c r="AB177" s="331"/>
      <c r="AC177" s="331"/>
      <c r="AD177" s="336"/>
    </row>
    <row r="178" spans="1:30" s="337" customFormat="1" ht="24.75" customHeight="1" x14ac:dyDescent="0.35">
      <c r="A178" s="325">
        <v>85</v>
      </c>
      <c r="B178" s="331"/>
      <c r="C178" s="331" t="s">
        <v>105</v>
      </c>
      <c r="D178" s="331" t="s">
        <v>16</v>
      </c>
      <c r="E178" s="331"/>
      <c r="F178" s="331"/>
      <c r="G178" s="331"/>
      <c r="H178" s="326">
        <f>H176+F177</f>
        <v>32355.428</v>
      </c>
      <c r="I178" s="331">
        <v>426.24700000000001</v>
      </c>
      <c r="J178" s="331">
        <v>78.5</v>
      </c>
      <c r="K178" s="331">
        <f>F177+F179</f>
        <v>816</v>
      </c>
      <c r="L178" s="331">
        <f>K178/2</f>
        <v>408</v>
      </c>
      <c r="M178" s="331">
        <v>241</v>
      </c>
      <c r="N178" s="331">
        <v>255</v>
      </c>
      <c r="O178" s="331">
        <v>496</v>
      </c>
      <c r="P178" s="331">
        <v>256</v>
      </c>
      <c r="Q178" s="331">
        <v>270</v>
      </c>
      <c r="R178" s="331">
        <v>526</v>
      </c>
      <c r="S178" s="331" t="s">
        <v>1260</v>
      </c>
      <c r="T178" s="331" t="s">
        <v>1261</v>
      </c>
      <c r="U178" s="331">
        <v>547205.99</v>
      </c>
      <c r="V178" s="331">
        <v>2666044.23</v>
      </c>
      <c r="W178" s="331"/>
      <c r="X178" s="315" t="s">
        <v>1243</v>
      </c>
      <c r="Y178" s="315" t="s">
        <v>1043</v>
      </c>
      <c r="Z178" s="335" t="s">
        <v>359</v>
      </c>
      <c r="AA178" s="331"/>
      <c r="AB178" s="331"/>
      <c r="AC178" s="331"/>
      <c r="AD178" s="336"/>
    </row>
    <row r="179" spans="1:30" s="337" customFormat="1" ht="24.75" customHeight="1" x14ac:dyDescent="0.35">
      <c r="A179" s="314"/>
      <c r="B179" s="331"/>
      <c r="C179" s="331"/>
      <c r="D179" s="331"/>
      <c r="E179" s="331"/>
      <c r="F179" s="331">
        <v>420</v>
      </c>
      <c r="G179" s="331"/>
      <c r="H179" s="317"/>
      <c r="I179" s="331"/>
      <c r="J179" s="331"/>
      <c r="K179" s="331"/>
      <c r="L179" s="331"/>
      <c r="M179" s="331"/>
      <c r="N179" s="331"/>
      <c r="O179" s="331"/>
      <c r="P179" s="331"/>
      <c r="Q179" s="331"/>
      <c r="R179" s="331"/>
      <c r="S179" s="331"/>
      <c r="T179" s="331"/>
      <c r="U179" s="331"/>
      <c r="V179" s="331"/>
      <c r="W179" s="331" t="s">
        <v>1262</v>
      </c>
      <c r="X179" s="323"/>
      <c r="Y179" s="323"/>
      <c r="Z179" s="335"/>
      <c r="AA179" s="331"/>
      <c r="AB179" s="331"/>
      <c r="AC179" s="331"/>
      <c r="AD179" s="336"/>
    </row>
    <row r="180" spans="1:30" s="337" customFormat="1" ht="24.75" customHeight="1" x14ac:dyDescent="0.35">
      <c r="A180" s="325">
        <v>86</v>
      </c>
      <c r="B180" s="331"/>
      <c r="C180" s="331" t="s">
        <v>106</v>
      </c>
      <c r="D180" s="331" t="s">
        <v>23</v>
      </c>
      <c r="E180" s="331"/>
      <c r="F180" s="331"/>
      <c r="G180" s="331"/>
      <c r="H180" s="326">
        <f>H178+F179</f>
        <v>32775.428</v>
      </c>
      <c r="I180" s="331">
        <v>423.4</v>
      </c>
      <c r="J180" s="331">
        <v>69.5</v>
      </c>
      <c r="K180" s="331">
        <f>F179+F181</f>
        <v>774</v>
      </c>
      <c r="L180" s="331">
        <f>K180/2</f>
        <v>387</v>
      </c>
      <c r="M180" s="331">
        <v>165</v>
      </c>
      <c r="N180" s="331">
        <v>155</v>
      </c>
      <c r="O180" s="331">
        <v>320</v>
      </c>
      <c r="P180" s="331">
        <v>150</v>
      </c>
      <c r="Q180" s="331">
        <v>147</v>
      </c>
      <c r="R180" s="331">
        <v>297</v>
      </c>
      <c r="S180" s="331" t="s">
        <v>1263</v>
      </c>
      <c r="T180" s="331" t="s">
        <v>1264</v>
      </c>
      <c r="U180" s="331">
        <v>547599.4</v>
      </c>
      <c r="V180" s="331">
        <v>2665897.1800000002</v>
      </c>
      <c r="W180" s="331"/>
      <c r="X180" s="315" t="s">
        <v>1265</v>
      </c>
      <c r="Y180" s="315" t="s">
        <v>1043</v>
      </c>
      <c r="Z180" s="335" t="s">
        <v>359</v>
      </c>
      <c r="AA180" s="331"/>
      <c r="AB180" s="331"/>
      <c r="AC180" s="331"/>
      <c r="AD180" s="336"/>
    </row>
    <row r="181" spans="1:30" s="337" customFormat="1" ht="24.75" customHeight="1" x14ac:dyDescent="0.35">
      <c r="A181" s="314"/>
      <c r="B181" s="331"/>
      <c r="C181" s="331"/>
      <c r="D181" s="331"/>
      <c r="E181" s="331"/>
      <c r="F181" s="331">
        <v>354</v>
      </c>
      <c r="G181" s="331"/>
      <c r="H181" s="317"/>
      <c r="I181" s="331"/>
      <c r="J181" s="331"/>
      <c r="K181" s="331"/>
      <c r="L181" s="331"/>
      <c r="M181" s="331"/>
      <c r="N181" s="331"/>
      <c r="O181" s="331"/>
      <c r="P181" s="331"/>
      <c r="Q181" s="331"/>
      <c r="R181" s="331"/>
      <c r="S181" s="331"/>
      <c r="T181" s="331"/>
      <c r="U181" s="331"/>
      <c r="V181" s="331"/>
      <c r="W181" s="331" t="s">
        <v>1266</v>
      </c>
      <c r="X181" s="323"/>
      <c r="Y181" s="323"/>
      <c r="Z181" s="335"/>
      <c r="AA181" s="331"/>
      <c r="AB181" s="331"/>
      <c r="AC181" s="331"/>
      <c r="AD181" s="336"/>
    </row>
    <row r="182" spans="1:30" s="337" customFormat="1" ht="24.75" customHeight="1" x14ac:dyDescent="0.35">
      <c r="A182" s="325">
        <v>87</v>
      </c>
      <c r="B182" s="331"/>
      <c r="C182" s="331" t="s">
        <v>107</v>
      </c>
      <c r="D182" s="331" t="s">
        <v>31</v>
      </c>
      <c r="E182" s="331"/>
      <c r="F182" s="331"/>
      <c r="G182" s="331"/>
      <c r="H182" s="326">
        <f>H180+F181</f>
        <v>33129.428</v>
      </c>
      <c r="I182" s="338">
        <v>425.32</v>
      </c>
      <c r="J182" s="331">
        <v>72.5</v>
      </c>
      <c r="K182" s="331">
        <f>F181+F183</f>
        <v>702</v>
      </c>
      <c r="L182" s="331">
        <f>K182/2</f>
        <v>351</v>
      </c>
      <c r="M182" s="331">
        <v>199</v>
      </c>
      <c r="N182" s="331">
        <v>214</v>
      </c>
      <c r="O182" s="331">
        <v>413</v>
      </c>
      <c r="P182" s="331">
        <v>207</v>
      </c>
      <c r="Q182" s="331">
        <v>228</v>
      </c>
      <c r="R182" s="331">
        <v>435</v>
      </c>
      <c r="S182" s="331" t="s">
        <v>1267</v>
      </c>
      <c r="T182" s="331" t="s">
        <v>1268</v>
      </c>
      <c r="U182" s="331">
        <v>547931</v>
      </c>
      <c r="V182" s="331">
        <v>2665773.25</v>
      </c>
      <c r="W182" s="331"/>
      <c r="X182" s="315" t="s">
        <v>1265</v>
      </c>
      <c r="Y182" s="315" t="s">
        <v>1043</v>
      </c>
      <c r="Z182" s="335" t="s">
        <v>359</v>
      </c>
      <c r="AA182" s="331"/>
      <c r="AB182" s="331"/>
      <c r="AC182" s="331"/>
      <c r="AD182" s="336"/>
    </row>
    <row r="183" spans="1:30" s="337" customFormat="1" ht="24.75" customHeight="1" x14ac:dyDescent="0.35">
      <c r="A183" s="314"/>
      <c r="B183" s="331"/>
      <c r="C183" s="331"/>
      <c r="D183" s="331"/>
      <c r="E183" s="331"/>
      <c r="F183" s="331">
        <v>348</v>
      </c>
      <c r="G183" s="331"/>
      <c r="H183" s="317"/>
      <c r="I183" s="331"/>
      <c r="J183" s="331"/>
      <c r="K183" s="331"/>
      <c r="L183" s="331"/>
      <c r="M183" s="331"/>
      <c r="N183" s="331"/>
      <c r="O183" s="331"/>
      <c r="P183" s="331"/>
      <c r="Q183" s="331"/>
      <c r="R183" s="331"/>
      <c r="S183" s="331"/>
      <c r="T183" s="331"/>
      <c r="U183" s="331"/>
      <c r="V183" s="331"/>
      <c r="W183" s="331" t="s">
        <v>1269</v>
      </c>
      <c r="X183" s="323"/>
      <c r="Y183" s="323"/>
      <c r="Z183" s="335"/>
      <c r="AA183" s="331"/>
      <c r="AB183" s="331"/>
      <c r="AC183" s="331"/>
      <c r="AD183" s="336"/>
    </row>
    <row r="184" spans="1:30" s="337" customFormat="1" ht="24.75" customHeight="1" x14ac:dyDescent="0.35">
      <c r="A184" s="325">
        <v>88</v>
      </c>
      <c r="B184" s="331"/>
      <c r="C184" s="331" t="s">
        <v>108</v>
      </c>
      <c r="D184" s="331" t="s">
        <v>23</v>
      </c>
      <c r="E184" s="331"/>
      <c r="F184" s="331"/>
      <c r="G184" s="331"/>
      <c r="H184" s="326">
        <f>H182+F183</f>
        <v>33477.428</v>
      </c>
      <c r="I184" s="331">
        <v>419.483</v>
      </c>
      <c r="J184" s="331">
        <v>69.5</v>
      </c>
      <c r="K184" s="331">
        <f>F183+F185</f>
        <v>667</v>
      </c>
      <c r="L184" s="331">
        <f>K184/2</f>
        <v>333.5</v>
      </c>
      <c r="M184" s="331">
        <v>134</v>
      </c>
      <c r="N184" s="331">
        <v>146</v>
      </c>
      <c r="O184" s="331">
        <v>280</v>
      </c>
      <c r="P184" s="331">
        <v>120</v>
      </c>
      <c r="Q184" s="331">
        <v>141</v>
      </c>
      <c r="R184" s="331">
        <v>261</v>
      </c>
      <c r="S184" s="331" t="s">
        <v>1270</v>
      </c>
      <c r="T184" s="331" t="s">
        <v>1271</v>
      </c>
      <c r="U184" s="331">
        <v>548256.97</v>
      </c>
      <c r="V184" s="331">
        <v>2665651.41</v>
      </c>
      <c r="W184" s="331"/>
      <c r="X184" s="315" t="s">
        <v>1265</v>
      </c>
      <c r="Y184" s="315" t="s">
        <v>1043</v>
      </c>
      <c r="Z184" s="335" t="s">
        <v>359</v>
      </c>
      <c r="AA184" s="331"/>
      <c r="AB184" s="331"/>
      <c r="AC184" s="331"/>
      <c r="AD184" s="336"/>
    </row>
    <row r="185" spans="1:30" s="337" customFormat="1" ht="24.75" customHeight="1" x14ac:dyDescent="0.35">
      <c r="A185" s="314"/>
      <c r="B185" s="331"/>
      <c r="C185" s="331"/>
      <c r="D185" s="331"/>
      <c r="E185" s="331"/>
      <c r="F185" s="331">
        <v>319</v>
      </c>
      <c r="G185" s="331"/>
      <c r="H185" s="317"/>
      <c r="I185" s="331"/>
      <c r="J185" s="331"/>
      <c r="K185" s="331"/>
      <c r="L185" s="331"/>
      <c r="M185" s="331"/>
      <c r="N185" s="331"/>
      <c r="O185" s="331"/>
      <c r="P185" s="331"/>
      <c r="Q185" s="331"/>
      <c r="R185" s="331"/>
      <c r="S185" s="331"/>
      <c r="T185" s="331"/>
      <c r="U185" s="331"/>
      <c r="V185" s="331"/>
      <c r="W185" s="331" t="s">
        <v>1266</v>
      </c>
      <c r="X185" s="323"/>
      <c r="Y185" s="323"/>
      <c r="Z185" s="335"/>
      <c r="AA185" s="331"/>
      <c r="AB185" s="331"/>
      <c r="AC185" s="331"/>
      <c r="AD185" s="336"/>
    </row>
    <row r="186" spans="1:30" s="337" customFormat="1" ht="24.75" customHeight="1" x14ac:dyDescent="0.35">
      <c r="A186" s="325">
        <v>89</v>
      </c>
      <c r="B186" s="331"/>
      <c r="C186" s="331" t="s">
        <v>109</v>
      </c>
      <c r="D186" s="331" t="s">
        <v>31</v>
      </c>
      <c r="E186" s="331"/>
      <c r="F186" s="331"/>
      <c r="G186" s="331"/>
      <c r="H186" s="326">
        <f>H184+F185</f>
        <v>33796.428</v>
      </c>
      <c r="I186" s="338">
        <v>419.25</v>
      </c>
      <c r="J186" s="331">
        <v>72.5</v>
      </c>
      <c r="K186" s="331">
        <f>F185+F187</f>
        <v>698</v>
      </c>
      <c r="L186" s="331">
        <f>K186/2</f>
        <v>349</v>
      </c>
      <c r="M186" s="331">
        <v>173</v>
      </c>
      <c r="N186" s="331">
        <v>199</v>
      </c>
      <c r="O186" s="331">
        <v>372</v>
      </c>
      <c r="P186" s="331">
        <v>178</v>
      </c>
      <c r="Q186" s="331">
        <v>202</v>
      </c>
      <c r="R186" s="331">
        <v>380</v>
      </c>
      <c r="S186" s="331" t="s">
        <v>1272</v>
      </c>
      <c r="T186" s="331" t="s">
        <v>1273</v>
      </c>
      <c r="U186" s="331">
        <v>548555.78</v>
      </c>
      <c r="V186" s="331">
        <v>2665539.7200000002</v>
      </c>
      <c r="W186" s="331"/>
      <c r="X186" s="315" t="s">
        <v>1265</v>
      </c>
      <c r="Y186" s="315" t="s">
        <v>1043</v>
      </c>
      <c r="Z186" s="335" t="s">
        <v>359</v>
      </c>
      <c r="AA186" s="331"/>
      <c r="AB186" s="331"/>
      <c r="AC186" s="331"/>
      <c r="AD186" s="336"/>
    </row>
    <row r="187" spans="1:30" s="337" customFormat="1" ht="24.75" customHeight="1" x14ac:dyDescent="0.35">
      <c r="A187" s="314"/>
      <c r="B187" s="331"/>
      <c r="C187" s="331"/>
      <c r="D187" s="331"/>
      <c r="E187" s="331"/>
      <c r="F187" s="331">
        <v>379</v>
      </c>
      <c r="G187" s="331"/>
      <c r="H187" s="317"/>
      <c r="I187" s="331"/>
      <c r="J187" s="331"/>
      <c r="K187" s="331"/>
      <c r="L187" s="331"/>
      <c r="M187" s="331"/>
      <c r="N187" s="331"/>
      <c r="O187" s="331"/>
      <c r="P187" s="331"/>
      <c r="Q187" s="331"/>
      <c r="R187" s="331"/>
      <c r="S187" s="331"/>
      <c r="T187" s="331"/>
      <c r="U187" s="331"/>
      <c r="V187" s="331"/>
      <c r="W187" s="331" t="s">
        <v>1274</v>
      </c>
      <c r="X187" s="323"/>
      <c r="Y187" s="323"/>
      <c r="Z187" s="335"/>
      <c r="AA187" s="331"/>
      <c r="AB187" s="331"/>
      <c r="AC187" s="331"/>
      <c r="AD187" s="336"/>
    </row>
    <row r="188" spans="1:30" s="337" customFormat="1" ht="24.75" customHeight="1" x14ac:dyDescent="0.35">
      <c r="A188" s="325">
        <v>90</v>
      </c>
      <c r="B188" s="331"/>
      <c r="C188" s="331" t="s">
        <v>110</v>
      </c>
      <c r="D188" s="331" t="s">
        <v>16</v>
      </c>
      <c r="E188" s="331"/>
      <c r="F188" s="331"/>
      <c r="G188" s="331"/>
      <c r="H188" s="326">
        <f>H186+F187</f>
        <v>34175.428</v>
      </c>
      <c r="I188" s="331">
        <v>411.1</v>
      </c>
      <c r="J188" s="331">
        <v>78.5</v>
      </c>
      <c r="K188" s="331">
        <f>F187+F189</f>
        <v>807</v>
      </c>
      <c r="L188" s="331">
        <f>K188/2</f>
        <v>403.5</v>
      </c>
      <c r="M188" s="331">
        <v>180</v>
      </c>
      <c r="N188" s="331">
        <v>213</v>
      </c>
      <c r="O188" s="331">
        <v>393</v>
      </c>
      <c r="P188" s="331">
        <v>177</v>
      </c>
      <c r="Q188" s="331">
        <v>212</v>
      </c>
      <c r="R188" s="331">
        <v>389</v>
      </c>
      <c r="S188" s="331" t="s">
        <v>1275</v>
      </c>
      <c r="T188" s="331" t="s">
        <v>1276</v>
      </c>
      <c r="U188" s="331">
        <v>548910.80000000005</v>
      </c>
      <c r="V188" s="331">
        <v>2665407.0299999998</v>
      </c>
      <c r="W188" s="331"/>
      <c r="X188" s="315" t="s">
        <v>1265</v>
      </c>
      <c r="Y188" s="315" t="s">
        <v>1043</v>
      </c>
      <c r="Z188" s="335" t="s">
        <v>359</v>
      </c>
      <c r="AA188" s="331"/>
      <c r="AB188" s="331"/>
      <c r="AC188" s="331"/>
      <c r="AD188" s="336"/>
    </row>
    <row r="189" spans="1:30" s="337" customFormat="1" ht="24.75" customHeight="1" x14ac:dyDescent="0.35">
      <c r="A189" s="314"/>
      <c r="B189" s="331"/>
      <c r="C189" s="331"/>
      <c r="D189" s="331"/>
      <c r="E189" s="331"/>
      <c r="F189" s="331">
        <v>428</v>
      </c>
      <c r="G189" s="331"/>
      <c r="H189" s="317"/>
      <c r="I189" s="331"/>
      <c r="J189" s="331"/>
      <c r="K189" s="331"/>
      <c r="L189" s="331"/>
      <c r="M189" s="331"/>
      <c r="N189" s="331"/>
      <c r="O189" s="331"/>
      <c r="P189" s="331"/>
      <c r="Q189" s="331"/>
      <c r="R189" s="331"/>
      <c r="S189" s="331"/>
      <c r="T189" s="331"/>
      <c r="U189" s="331"/>
      <c r="V189" s="331"/>
      <c r="W189" s="331" t="s">
        <v>1277</v>
      </c>
      <c r="X189" s="323"/>
      <c r="Y189" s="323"/>
      <c r="Z189" s="335"/>
      <c r="AA189" s="331"/>
      <c r="AB189" s="331"/>
      <c r="AC189" s="331"/>
      <c r="AD189" s="336"/>
    </row>
    <row r="190" spans="1:30" s="337" customFormat="1" ht="24.75" customHeight="1" x14ac:dyDescent="0.35">
      <c r="A190" s="325">
        <v>91</v>
      </c>
      <c r="B190" s="331"/>
      <c r="C190" s="331" t="s">
        <v>111</v>
      </c>
      <c r="D190" s="331" t="s">
        <v>31</v>
      </c>
      <c r="E190" s="331"/>
      <c r="F190" s="331"/>
      <c r="G190" s="331"/>
      <c r="H190" s="326">
        <f>H188+F189</f>
        <v>34603.428</v>
      </c>
      <c r="I190" s="338">
        <v>417.45</v>
      </c>
      <c r="J190" s="331">
        <v>72.5</v>
      </c>
      <c r="K190" s="331">
        <f>F189+F191</f>
        <v>825</v>
      </c>
      <c r="L190" s="331">
        <f>K190/2</f>
        <v>412.5</v>
      </c>
      <c r="M190" s="331">
        <v>215</v>
      </c>
      <c r="N190" s="331">
        <v>185</v>
      </c>
      <c r="O190" s="331">
        <v>400</v>
      </c>
      <c r="P190" s="331">
        <v>216</v>
      </c>
      <c r="Q190" s="331">
        <v>181</v>
      </c>
      <c r="R190" s="331">
        <v>397</v>
      </c>
      <c r="S190" s="331" t="s">
        <v>1278</v>
      </c>
      <c r="T190" s="331" t="s">
        <v>1279</v>
      </c>
      <c r="U190" s="331">
        <v>549311.71</v>
      </c>
      <c r="V190" s="331">
        <v>2665257.19</v>
      </c>
      <c r="W190" s="331"/>
      <c r="X190" s="315" t="s">
        <v>1265</v>
      </c>
      <c r="Y190" s="315" t="s">
        <v>1043</v>
      </c>
      <c r="Z190" s="335" t="s">
        <v>359</v>
      </c>
      <c r="AA190" s="331"/>
      <c r="AB190" s="331"/>
      <c r="AC190" s="331"/>
      <c r="AD190" s="336"/>
    </row>
    <row r="191" spans="1:30" s="337" customFormat="1" ht="24.75" customHeight="1" x14ac:dyDescent="0.35">
      <c r="A191" s="314"/>
      <c r="B191" s="331"/>
      <c r="C191" s="331"/>
      <c r="D191" s="331"/>
      <c r="E191" s="331"/>
      <c r="F191" s="331">
        <v>397</v>
      </c>
      <c r="G191" s="331"/>
      <c r="H191" s="317"/>
      <c r="I191" s="331"/>
      <c r="J191" s="331"/>
      <c r="K191" s="331"/>
      <c r="L191" s="331"/>
      <c r="M191" s="331"/>
      <c r="N191" s="331"/>
      <c r="O191" s="331"/>
      <c r="P191" s="331"/>
      <c r="Q191" s="331"/>
      <c r="R191" s="331"/>
      <c r="S191" s="331"/>
      <c r="T191" s="331"/>
      <c r="U191" s="331"/>
      <c r="V191" s="331"/>
      <c r="W191" s="331" t="s">
        <v>1280</v>
      </c>
      <c r="X191" s="323"/>
      <c r="Y191" s="323"/>
      <c r="Z191" s="335"/>
      <c r="AA191" s="331"/>
      <c r="AB191" s="331"/>
      <c r="AC191" s="331"/>
      <c r="AD191" s="336"/>
    </row>
    <row r="192" spans="1:30" s="337" customFormat="1" ht="24.75" customHeight="1" x14ac:dyDescent="0.35">
      <c r="A192" s="325">
        <v>92</v>
      </c>
      <c r="B192" s="331" t="s">
        <v>1281</v>
      </c>
      <c r="C192" s="331" t="s">
        <v>112</v>
      </c>
      <c r="D192" s="331" t="s">
        <v>113</v>
      </c>
      <c r="E192" s="331" t="s">
        <v>1282</v>
      </c>
      <c r="F192" s="331"/>
      <c r="G192" s="331">
        <f>SUM(F169:F191)</f>
        <v>4621</v>
      </c>
      <c r="H192" s="326">
        <f>H190+F191</f>
        <v>35000.428</v>
      </c>
      <c r="I192" s="331">
        <v>417.72</v>
      </c>
      <c r="J192" s="331">
        <v>73.72</v>
      </c>
      <c r="K192" s="331">
        <f>F191+F193</f>
        <v>644</v>
      </c>
      <c r="L192" s="331">
        <f>K192/2</f>
        <v>322</v>
      </c>
      <c r="M192" s="331">
        <v>212</v>
      </c>
      <c r="N192" s="331">
        <v>150</v>
      </c>
      <c r="O192" s="331">
        <v>362</v>
      </c>
      <c r="P192" s="331">
        <v>216</v>
      </c>
      <c r="Q192" s="331">
        <v>159</v>
      </c>
      <c r="R192" s="331">
        <v>375</v>
      </c>
      <c r="S192" s="331" t="s">
        <v>1283</v>
      </c>
      <c r="T192" s="331" t="s">
        <v>1284</v>
      </c>
      <c r="U192" s="331">
        <v>549683.4</v>
      </c>
      <c r="V192" s="331">
        <v>2665118.2599999998</v>
      </c>
      <c r="W192" s="331"/>
      <c r="X192" s="315" t="s">
        <v>1285</v>
      </c>
      <c r="Y192" s="315" t="s">
        <v>1043</v>
      </c>
      <c r="Z192" s="335" t="s">
        <v>359</v>
      </c>
      <c r="AA192" s="331"/>
      <c r="AB192" s="331"/>
      <c r="AC192" s="331"/>
      <c r="AD192" s="336"/>
    </row>
    <row r="193" spans="1:30" s="337" customFormat="1" ht="28" x14ac:dyDescent="0.35">
      <c r="A193" s="314"/>
      <c r="B193" s="331"/>
      <c r="C193" s="331"/>
      <c r="D193" s="331"/>
      <c r="E193" s="331"/>
      <c r="F193" s="331">
        <v>247</v>
      </c>
      <c r="G193" s="331"/>
      <c r="H193" s="317"/>
      <c r="I193" s="331"/>
      <c r="J193" s="331"/>
      <c r="K193" s="331"/>
      <c r="L193" s="331"/>
      <c r="M193" s="331"/>
      <c r="N193" s="331"/>
      <c r="O193" s="331"/>
      <c r="P193" s="331"/>
      <c r="Q193" s="331"/>
      <c r="R193" s="331"/>
      <c r="S193" s="331"/>
      <c r="T193" s="331"/>
      <c r="U193" s="331"/>
      <c r="V193" s="331"/>
      <c r="W193" s="331" t="s">
        <v>2067</v>
      </c>
      <c r="X193" s="323"/>
      <c r="Y193" s="323"/>
      <c r="Z193" s="335"/>
      <c r="AA193" s="331"/>
      <c r="AB193" s="331"/>
      <c r="AC193" s="331"/>
      <c r="AD193" s="336"/>
    </row>
    <row r="194" spans="1:30" s="346" customFormat="1" ht="24.75" customHeight="1" x14ac:dyDescent="0.35">
      <c r="A194" s="325">
        <v>93</v>
      </c>
      <c r="B194" s="331" t="s">
        <v>1286</v>
      </c>
      <c r="C194" s="331" t="s">
        <v>114</v>
      </c>
      <c r="D194" s="331" t="s">
        <v>115</v>
      </c>
      <c r="E194" s="331" t="s">
        <v>1287</v>
      </c>
      <c r="F194" s="331"/>
      <c r="G194" s="331">
        <f>F193</f>
        <v>247</v>
      </c>
      <c r="H194" s="326">
        <f>H192+F193</f>
        <v>35247.428</v>
      </c>
      <c r="I194" s="331">
        <v>416.65800000000002</v>
      </c>
      <c r="J194" s="315">
        <v>70.72</v>
      </c>
      <c r="K194" s="331">
        <f>F193+F195</f>
        <v>670</v>
      </c>
      <c r="L194" s="331">
        <f>K194/2</f>
        <v>335</v>
      </c>
      <c r="M194" s="331">
        <v>82</v>
      </c>
      <c r="N194" s="331">
        <v>261</v>
      </c>
      <c r="O194" s="331">
        <v>343</v>
      </c>
      <c r="P194" s="331">
        <v>104</v>
      </c>
      <c r="Q194" s="331">
        <v>247</v>
      </c>
      <c r="R194" s="331">
        <v>351</v>
      </c>
      <c r="S194" s="331" t="s">
        <v>1288</v>
      </c>
      <c r="T194" s="331" t="s">
        <v>1289</v>
      </c>
      <c r="U194" s="331">
        <v>549890.06999999995</v>
      </c>
      <c r="V194" s="331">
        <v>2664983.1120000002</v>
      </c>
      <c r="W194" s="331"/>
      <c r="X194" s="315" t="s">
        <v>1285</v>
      </c>
      <c r="Y194" s="315" t="s">
        <v>1043</v>
      </c>
      <c r="Z194" s="335" t="s">
        <v>359</v>
      </c>
      <c r="AA194" s="344"/>
      <c r="AB194" s="344"/>
      <c r="AC194" s="344"/>
      <c r="AD194" s="345"/>
    </row>
    <row r="195" spans="1:30" s="346" customFormat="1" ht="24.75" customHeight="1" x14ac:dyDescent="0.35">
      <c r="A195" s="314"/>
      <c r="B195" s="331"/>
      <c r="C195" s="331"/>
      <c r="D195" s="331"/>
      <c r="E195" s="331"/>
      <c r="F195" s="331">
        <v>423</v>
      </c>
      <c r="G195" s="331"/>
      <c r="H195" s="317"/>
      <c r="I195" s="331"/>
      <c r="J195" s="331"/>
      <c r="K195" s="331"/>
      <c r="L195" s="331"/>
      <c r="M195" s="331"/>
      <c r="N195" s="331"/>
      <c r="O195" s="331"/>
      <c r="P195" s="331"/>
      <c r="Q195" s="331"/>
      <c r="R195" s="331"/>
      <c r="S195" s="331"/>
      <c r="T195" s="331"/>
      <c r="U195" s="331"/>
      <c r="V195" s="331"/>
      <c r="W195" s="331"/>
      <c r="X195" s="323"/>
      <c r="Y195" s="323"/>
      <c r="Z195" s="335"/>
      <c r="AA195" s="344"/>
      <c r="AB195" s="344"/>
      <c r="AC195" s="344"/>
      <c r="AD195" s="345"/>
    </row>
    <row r="196" spans="1:30" s="346" customFormat="1" ht="24.75" customHeight="1" x14ac:dyDescent="0.35">
      <c r="A196" s="325">
        <v>94</v>
      </c>
      <c r="B196" s="331" t="s">
        <v>1025</v>
      </c>
      <c r="C196" s="331" t="s">
        <v>116</v>
      </c>
      <c r="D196" s="331" t="s">
        <v>16</v>
      </c>
      <c r="E196" s="331" t="s">
        <v>1025</v>
      </c>
      <c r="F196" s="331"/>
      <c r="G196" s="331"/>
      <c r="H196" s="326">
        <f>H194+F195</f>
        <v>35670.428</v>
      </c>
      <c r="I196" s="331">
        <v>400.69099999999997</v>
      </c>
      <c r="J196" s="331">
        <v>78.5</v>
      </c>
      <c r="K196" s="331">
        <f>F195+F197</f>
        <v>818</v>
      </c>
      <c r="L196" s="331">
        <f>K196/2</f>
        <v>409</v>
      </c>
      <c r="M196" s="331">
        <v>162</v>
      </c>
      <c r="N196" s="331">
        <v>171</v>
      </c>
      <c r="O196" s="331">
        <v>333</v>
      </c>
      <c r="P196" s="331">
        <v>177</v>
      </c>
      <c r="Q196" s="331">
        <v>179</v>
      </c>
      <c r="R196" s="331">
        <v>356</v>
      </c>
      <c r="S196" s="331" t="s">
        <v>1290</v>
      </c>
      <c r="T196" s="331" t="s">
        <v>1291</v>
      </c>
      <c r="U196" s="331">
        <v>550312.69499999995</v>
      </c>
      <c r="V196" s="331">
        <v>2665000.909</v>
      </c>
      <c r="W196" s="331"/>
      <c r="X196" s="315" t="s">
        <v>1285</v>
      </c>
      <c r="Y196" s="315" t="s">
        <v>1043</v>
      </c>
      <c r="Z196" s="335" t="s">
        <v>359</v>
      </c>
      <c r="AA196" s="344"/>
      <c r="AB196" s="344"/>
      <c r="AC196" s="344"/>
      <c r="AD196" s="345"/>
    </row>
    <row r="197" spans="1:30" s="346" customFormat="1" ht="24.75" customHeight="1" x14ac:dyDescent="0.35">
      <c r="A197" s="314"/>
      <c r="B197" s="331"/>
      <c r="C197" s="331"/>
      <c r="D197" s="331"/>
      <c r="E197" s="331"/>
      <c r="F197" s="331">
        <v>395</v>
      </c>
      <c r="G197" s="331"/>
      <c r="H197" s="317"/>
      <c r="I197" s="331"/>
      <c r="J197" s="331"/>
      <c r="K197" s="331"/>
      <c r="L197" s="331"/>
      <c r="M197" s="331"/>
      <c r="N197" s="331"/>
      <c r="O197" s="331"/>
      <c r="P197" s="331"/>
      <c r="Q197" s="331"/>
      <c r="R197" s="331"/>
      <c r="S197" s="331"/>
      <c r="T197" s="331"/>
      <c r="U197" s="331"/>
      <c r="V197" s="331"/>
      <c r="W197" s="331" t="s">
        <v>1292</v>
      </c>
      <c r="X197" s="323"/>
      <c r="Y197" s="323"/>
      <c r="Z197" s="335"/>
      <c r="AA197" s="344"/>
      <c r="AB197" s="344"/>
      <c r="AC197" s="344"/>
      <c r="AD197" s="345"/>
    </row>
    <row r="198" spans="1:30" s="346" customFormat="1" ht="24.75" customHeight="1" x14ac:dyDescent="0.35">
      <c r="A198" s="325">
        <v>95</v>
      </c>
      <c r="B198" s="331" t="s">
        <v>1293</v>
      </c>
      <c r="C198" s="331" t="s">
        <v>117</v>
      </c>
      <c r="D198" s="331" t="s">
        <v>118</v>
      </c>
      <c r="E198" s="331" t="s">
        <v>1294</v>
      </c>
      <c r="F198" s="331"/>
      <c r="G198" s="331">
        <f>SUM(F195:F197)</f>
        <v>818</v>
      </c>
      <c r="H198" s="326">
        <f>H196+F197</f>
        <v>36065.428</v>
      </c>
      <c r="I198" s="331">
        <v>402.673</v>
      </c>
      <c r="J198" s="331">
        <v>79.72</v>
      </c>
      <c r="K198" s="331">
        <f>F197+F199</f>
        <v>894</v>
      </c>
      <c r="L198" s="331">
        <f>K198/2</f>
        <v>447</v>
      </c>
      <c r="M198" s="331">
        <v>224</v>
      </c>
      <c r="N198" s="331">
        <v>246</v>
      </c>
      <c r="O198" s="331">
        <v>470</v>
      </c>
      <c r="P198" s="331">
        <v>218</v>
      </c>
      <c r="Q198" s="331">
        <v>247</v>
      </c>
      <c r="R198" s="331">
        <v>465</v>
      </c>
      <c r="S198" s="331" t="s">
        <v>1295</v>
      </c>
      <c r="T198" s="331" t="s">
        <v>1296</v>
      </c>
      <c r="U198" s="331">
        <v>550707.29299999995</v>
      </c>
      <c r="V198" s="331">
        <v>2665017.5249999999</v>
      </c>
      <c r="W198" s="331" t="s">
        <v>2068</v>
      </c>
      <c r="X198" s="315" t="s">
        <v>1285</v>
      </c>
      <c r="Y198" s="315" t="s">
        <v>1043</v>
      </c>
      <c r="Z198" s="335" t="s">
        <v>359</v>
      </c>
      <c r="AA198" s="279">
        <v>0.5</v>
      </c>
      <c r="AB198" s="279">
        <v>0</v>
      </c>
      <c r="AC198" s="279">
        <v>1</v>
      </c>
      <c r="AD198" s="280">
        <v>2</v>
      </c>
    </row>
    <row r="199" spans="1:30" s="346" customFormat="1" ht="24.75" customHeight="1" x14ac:dyDescent="0.35">
      <c r="A199" s="314"/>
      <c r="B199" s="331"/>
      <c r="C199" s="331"/>
      <c r="D199" s="331"/>
      <c r="E199" s="331"/>
      <c r="F199" s="331">
        <v>499</v>
      </c>
      <c r="G199" s="331"/>
      <c r="H199" s="317"/>
      <c r="I199" s="331"/>
      <c r="J199" s="331"/>
      <c r="K199" s="331"/>
      <c r="L199" s="331"/>
      <c r="M199" s="331"/>
      <c r="N199" s="331"/>
      <c r="O199" s="331"/>
      <c r="P199" s="331"/>
      <c r="Q199" s="331"/>
      <c r="R199" s="331"/>
      <c r="S199" s="331"/>
      <c r="T199" s="331"/>
      <c r="U199" s="331"/>
      <c r="V199" s="331"/>
      <c r="W199" s="331" t="s">
        <v>2069</v>
      </c>
      <c r="X199" s="323"/>
      <c r="Y199" s="323"/>
      <c r="Z199" s="335"/>
      <c r="AA199" s="344"/>
      <c r="AB199" s="344"/>
      <c r="AC199" s="344"/>
      <c r="AD199" s="345"/>
    </row>
    <row r="200" spans="1:30" s="346" customFormat="1" ht="24.75" customHeight="1" x14ac:dyDescent="0.35">
      <c r="A200" s="325">
        <v>96</v>
      </c>
      <c r="B200" s="331" t="s">
        <v>1297</v>
      </c>
      <c r="C200" s="331" t="s">
        <v>119</v>
      </c>
      <c r="D200" s="331" t="s">
        <v>120</v>
      </c>
      <c r="E200" s="331" t="s">
        <v>1298</v>
      </c>
      <c r="F200" s="331"/>
      <c r="G200" s="331">
        <f>F199</f>
        <v>499</v>
      </c>
      <c r="H200" s="326">
        <f>H198+F199</f>
        <v>36564.428</v>
      </c>
      <c r="I200" s="331">
        <v>406.4</v>
      </c>
      <c r="J200" s="331">
        <v>76.72</v>
      </c>
      <c r="K200" s="331">
        <f>F199+F201</f>
        <v>876</v>
      </c>
      <c r="L200" s="331">
        <f>K200/2</f>
        <v>438</v>
      </c>
      <c r="M200" s="331">
        <v>253</v>
      </c>
      <c r="N200" s="331">
        <v>182</v>
      </c>
      <c r="O200" s="331">
        <v>435</v>
      </c>
      <c r="P200" s="331">
        <v>252</v>
      </c>
      <c r="Q200" s="331">
        <v>183</v>
      </c>
      <c r="R200" s="331">
        <v>435</v>
      </c>
      <c r="S200" s="331" t="s">
        <v>1299</v>
      </c>
      <c r="T200" s="331" t="s">
        <v>1300</v>
      </c>
      <c r="U200" s="331">
        <v>551091.52</v>
      </c>
      <c r="V200" s="331">
        <v>2665336.02</v>
      </c>
      <c r="W200" s="341" t="s">
        <v>1236</v>
      </c>
      <c r="X200" s="315" t="s">
        <v>1301</v>
      </c>
      <c r="Y200" s="315" t="s">
        <v>1302</v>
      </c>
      <c r="Z200" s="335" t="s">
        <v>359</v>
      </c>
      <c r="AA200" s="347">
        <v>2.5</v>
      </c>
      <c r="AB200" s="347">
        <v>1</v>
      </c>
      <c r="AC200" s="347">
        <v>0</v>
      </c>
      <c r="AD200" s="348">
        <v>1.5</v>
      </c>
    </row>
    <row r="201" spans="1:30" s="346" customFormat="1" ht="24.75" customHeight="1" x14ac:dyDescent="0.35">
      <c r="A201" s="314"/>
      <c r="B201" s="331"/>
      <c r="C201" s="331"/>
      <c r="D201" s="331"/>
      <c r="E201" s="331"/>
      <c r="F201" s="331">
        <v>377</v>
      </c>
      <c r="G201" s="331"/>
      <c r="H201" s="317"/>
      <c r="I201" s="331"/>
      <c r="J201" s="331"/>
      <c r="K201" s="331"/>
      <c r="L201" s="331"/>
      <c r="M201" s="331"/>
      <c r="N201" s="331"/>
      <c r="O201" s="331"/>
      <c r="P201" s="331"/>
      <c r="Q201" s="331"/>
      <c r="R201" s="331"/>
      <c r="S201" s="331"/>
      <c r="T201" s="331"/>
      <c r="U201" s="331"/>
      <c r="V201" s="331"/>
      <c r="W201" s="331" t="s">
        <v>1303</v>
      </c>
      <c r="X201" s="323"/>
      <c r="Y201" s="323"/>
      <c r="Z201" s="335"/>
      <c r="AA201" s="344"/>
      <c r="AB201" s="344"/>
      <c r="AC201" s="344"/>
      <c r="AD201" s="345"/>
    </row>
    <row r="202" spans="1:30" s="346" customFormat="1" ht="24.75" customHeight="1" x14ac:dyDescent="0.35">
      <c r="A202" s="325">
        <v>97</v>
      </c>
      <c r="B202" s="331" t="s">
        <v>1025</v>
      </c>
      <c r="C202" s="331" t="s">
        <v>121</v>
      </c>
      <c r="D202" s="331" t="s">
        <v>23</v>
      </c>
      <c r="E202" s="331" t="s">
        <v>1025</v>
      </c>
      <c r="F202" s="331"/>
      <c r="G202" s="331"/>
      <c r="H202" s="326">
        <f>H200+F201</f>
        <v>36941.428</v>
      </c>
      <c r="I202" s="331">
        <v>416.61</v>
      </c>
      <c r="J202" s="331">
        <v>69.5</v>
      </c>
      <c r="K202" s="331">
        <f>F201+F203</f>
        <v>820</v>
      </c>
      <c r="L202" s="331">
        <f>K202/2</f>
        <v>410</v>
      </c>
      <c r="M202" s="331">
        <v>195</v>
      </c>
      <c r="N202" s="331">
        <v>214</v>
      </c>
      <c r="O202" s="331">
        <v>409</v>
      </c>
      <c r="P202" s="331">
        <v>194</v>
      </c>
      <c r="Q202" s="331">
        <v>216</v>
      </c>
      <c r="R202" s="331">
        <v>410</v>
      </c>
      <c r="S202" s="331" t="s">
        <v>1304</v>
      </c>
      <c r="T202" s="331" t="s">
        <v>1305</v>
      </c>
      <c r="U202" s="331">
        <v>551459.57999999996</v>
      </c>
      <c r="V202" s="331">
        <v>2665254.4300000002</v>
      </c>
      <c r="W202" s="331"/>
      <c r="X202" s="315" t="s">
        <v>1301</v>
      </c>
      <c r="Y202" s="315" t="s">
        <v>1302</v>
      </c>
      <c r="Z202" s="335" t="s">
        <v>359</v>
      </c>
      <c r="AA202" s="344"/>
      <c r="AB202" s="344"/>
      <c r="AC202" s="344"/>
      <c r="AD202" s="345"/>
    </row>
    <row r="203" spans="1:30" s="346" customFormat="1" ht="24.75" customHeight="1" x14ac:dyDescent="0.35">
      <c r="A203" s="314"/>
      <c r="B203" s="331"/>
      <c r="C203" s="331"/>
      <c r="D203" s="331"/>
      <c r="E203" s="331"/>
      <c r="F203" s="331">
        <v>443</v>
      </c>
      <c r="G203" s="331"/>
      <c r="H203" s="317"/>
      <c r="I203" s="331"/>
      <c r="J203" s="331"/>
      <c r="K203" s="331"/>
      <c r="L203" s="331"/>
      <c r="M203" s="331"/>
      <c r="N203" s="331"/>
      <c r="O203" s="331"/>
      <c r="P203" s="331"/>
      <c r="Q203" s="331"/>
      <c r="R203" s="331"/>
      <c r="S203" s="331"/>
      <c r="T203" s="331"/>
      <c r="U203" s="331"/>
      <c r="V203" s="331"/>
      <c r="W203" s="331" t="s">
        <v>1306</v>
      </c>
      <c r="X203" s="323"/>
      <c r="Y203" s="323"/>
      <c r="Z203" s="335"/>
      <c r="AA203" s="344"/>
      <c r="AB203" s="344"/>
      <c r="AC203" s="344"/>
      <c r="AD203" s="345"/>
    </row>
    <row r="204" spans="1:30" s="346" customFormat="1" ht="24.75" customHeight="1" x14ac:dyDescent="0.35">
      <c r="A204" s="325">
        <v>98</v>
      </c>
      <c r="B204" s="331" t="s">
        <v>1025</v>
      </c>
      <c r="C204" s="331" t="s">
        <v>122</v>
      </c>
      <c r="D204" s="331" t="s">
        <v>23</v>
      </c>
      <c r="E204" s="331" t="s">
        <v>1025</v>
      </c>
      <c r="F204" s="331"/>
      <c r="G204" s="331"/>
      <c r="H204" s="326">
        <f>H202+F203</f>
        <v>37384.428</v>
      </c>
      <c r="I204" s="331">
        <v>418.16899999999998</v>
      </c>
      <c r="J204" s="331">
        <v>69.5</v>
      </c>
      <c r="K204" s="331">
        <f>F203+F205</f>
        <v>787</v>
      </c>
      <c r="L204" s="331">
        <f>K204/2</f>
        <v>393.5</v>
      </c>
      <c r="M204" s="331">
        <v>229</v>
      </c>
      <c r="N204" s="331">
        <v>161</v>
      </c>
      <c r="O204" s="331">
        <v>390</v>
      </c>
      <c r="P204" s="331">
        <v>227</v>
      </c>
      <c r="Q204" s="331">
        <v>164</v>
      </c>
      <c r="R204" s="331">
        <v>391</v>
      </c>
      <c r="S204" s="331" t="s">
        <v>1307</v>
      </c>
      <c r="T204" s="331" t="s">
        <v>1308</v>
      </c>
      <c r="U204" s="331">
        <v>551892.07999999996</v>
      </c>
      <c r="V204" s="331">
        <v>2665158.56</v>
      </c>
      <c r="W204" s="331"/>
      <c r="X204" s="315" t="s">
        <v>1301</v>
      </c>
      <c r="Y204" s="315" t="s">
        <v>1302</v>
      </c>
      <c r="Z204" s="335" t="s">
        <v>359</v>
      </c>
      <c r="AA204" s="344"/>
      <c r="AB204" s="344"/>
      <c r="AC204" s="344"/>
      <c r="AD204" s="345"/>
    </row>
    <row r="205" spans="1:30" s="346" customFormat="1" ht="24.75" customHeight="1" x14ac:dyDescent="0.35">
      <c r="A205" s="314"/>
      <c r="B205" s="331"/>
      <c r="C205" s="331"/>
      <c r="D205" s="331"/>
      <c r="E205" s="331"/>
      <c r="F205" s="331">
        <v>344</v>
      </c>
      <c r="G205" s="331"/>
      <c r="H205" s="317"/>
      <c r="I205" s="331"/>
      <c r="J205" s="331"/>
      <c r="K205" s="331"/>
      <c r="L205" s="331"/>
      <c r="M205" s="331"/>
      <c r="N205" s="331"/>
      <c r="O205" s="331"/>
      <c r="P205" s="331"/>
      <c r="Q205" s="331"/>
      <c r="R205" s="331"/>
      <c r="S205" s="331"/>
      <c r="T205" s="331"/>
      <c r="U205" s="331"/>
      <c r="V205" s="331"/>
      <c r="W205" s="331" t="s">
        <v>1309</v>
      </c>
      <c r="X205" s="323"/>
      <c r="Y205" s="323"/>
      <c r="Z205" s="335"/>
      <c r="AA205" s="344"/>
      <c r="AB205" s="344"/>
      <c r="AC205" s="344"/>
      <c r="AD205" s="345"/>
    </row>
    <row r="206" spans="1:30" s="346" customFormat="1" ht="24.75" customHeight="1" x14ac:dyDescent="0.35">
      <c r="A206" s="325">
        <v>99</v>
      </c>
      <c r="B206" s="331" t="s">
        <v>1310</v>
      </c>
      <c r="C206" s="331" t="s">
        <v>123</v>
      </c>
      <c r="D206" s="331" t="s">
        <v>40</v>
      </c>
      <c r="E206" s="331" t="s">
        <v>1311</v>
      </c>
      <c r="F206" s="331"/>
      <c r="G206" s="331">
        <f>SUM(F201:F205)</f>
        <v>1164</v>
      </c>
      <c r="H206" s="326">
        <f>H204+F205</f>
        <v>37728.428</v>
      </c>
      <c r="I206" s="331">
        <v>416.971</v>
      </c>
      <c r="J206" s="315">
        <v>70.72</v>
      </c>
      <c r="K206" s="331">
        <f>F205+F207</f>
        <v>734</v>
      </c>
      <c r="L206" s="331">
        <f>K206/2</f>
        <v>367</v>
      </c>
      <c r="M206" s="331">
        <v>184</v>
      </c>
      <c r="N206" s="331">
        <v>250</v>
      </c>
      <c r="O206" s="331">
        <v>434</v>
      </c>
      <c r="P206" s="331">
        <v>180</v>
      </c>
      <c r="Q206" s="331">
        <v>233</v>
      </c>
      <c r="R206" s="331">
        <v>413</v>
      </c>
      <c r="S206" s="331" t="s">
        <v>1312</v>
      </c>
      <c r="T206" s="331" t="s">
        <v>1313</v>
      </c>
      <c r="U206" s="331">
        <v>552227.86399999994</v>
      </c>
      <c r="V206" s="331">
        <v>2665084.1209999998</v>
      </c>
      <c r="W206" s="331"/>
      <c r="X206" s="315" t="s">
        <v>1301</v>
      </c>
      <c r="Y206" s="315" t="s">
        <v>1302</v>
      </c>
      <c r="Z206" s="335" t="s">
        <v>359</v>
      </c>
      <c r="AA206" s="344"/>
      <c r="AB206" s="344"/>
      <c r="AC206" s="344"/>
      <c r="AD206" s="345"/>
    </row>
    <row r="207" spans="1:30" s="346" customFormat="1" ht="24.75" customHeight="1" x14ac:dyDescent="0.35">
      <c r="A207" s="314"/>
      <c r="B207" s="331"/>
      <c r="C207" s="331"/>
      <c r="D207" s="331"/>
      <c r="E207" s="331"/>
      <c r="F207" s="331">
        <v>390</v>
      </c>
      <c r="G207" s="331"/>
      <c r="H207" s="317"/>
      <c r="I207" s="331"/>
      <c r="J207" s="331"/>
      <c r="K207" s="331"/>
      <c r="L207" s="331"/>
      <c r="M207" s="331"/>
      <c r="N207" s="331"/>
      <c r="O207" s="331"/>
      <c r="P207" s="331"/>
      <c r="Q207" s="331"/>
      <c r="R207" s="331"/>
      <c r="S207" s="331"/>
      <c r="T207" s="331"/>
      <c r="U207" s="331"/>
      <c r="V207" s="331"/>
      <c r="W207" s="331" t="s">
        <v>1314</v>
      </c>
      <c r="X207" s="323"/>
      <c r="Y207" s="323"/>
      <c r="Z207" s="335"/>
      <c r="AA207" s="344"/>
      <c r="AB207" s="344"/>
      <c r="AC207" s="344"/>
      <c r="AD207" s="345"/>
    </row>
    <row r="208" spans="1:30" s="346" customFormat="1" ht="24.75" customHeight="1" x14ac:dyDescent="0.35">
      <c r="A208" s="325">
        <v>100</v>
      </c>
      <c r="B208" s="331" t="s">
        <v>1025</v>
      </c>
      <c r="C208" s="331" t="s">
        <v>124</v>
      </c>
      <c r="D208" s="331" t="s">
        <v>23</v>
      </c>
      <c r="E208" s="331" t="s">
        <v>1025</v>
      </c>
      <c r="F208" s="331"/>
      <c r="G208" s="331"/>
      <c r="H208" s="326">
        <f>H206+F207</f>
        <v>38118.428</v>
      </c>
      <c r="I208" s="331">
        <v>410.11399999999998</v>
      </c>
      <c r="J208" s="331">
        <v>69.5</v>
      </c>
      <c r="K208" s="331">
        <f>F207+F209</f>
        <v>742</v>
      </c>
      <c r="L208" s="331">
        <f>K208/2</f>
        <v>371</v>
      </c>
      <c r="M208" s="331">
        <v>141</v>
      </c>
      <c r="N208" s="331">
        <v>160</v>
      </c>
      <c r="O208" s="331">
        <v>301</v>
      </c>
      <c r="P208" s="331">
        <v>159</v>
      </c>
      <c r="Q208" s="331">
        <v>165</v>
      </c>
      <c r="R208" s="331">
        <v>324</v>
      </c>
      <c r="S208" s="331" t="s">
        <v>1315</v>
      </c>
      <c r="T208" s="331" t="s">
        <v>1316</v>
      </c>
      <c r="U208" s="331">
        <v>552537.73</v>
      </c>
      <c r="V208" s="331">
        <v>2664847.3020000001</v>
      </c>
      <c r="W208" s="331"/>
      <c r="X208" s="315" t="s">
        <v>1317</v>
      </c>
      <c r="Y208" s="315" t="s">
        <v>1302</v>
      </c>
      <c r="Z208" s="335" t="s">
        <v>359</v>
      </c>
      <c r="AA208" s="344"/>
      <c r="AB208" s="344"/>
      <c r="AC208" s="344"/>
      <c r="AD208" s="345"/>
    </row>
    <row r="209" spans="1:30" s="346" customFormat="1" ht="24.75" customHeight="1" x14ac:dyDescent="0.35">
      <c r="A209" s="314"/>
      <c r="B209" s="331"/>
      <c r="C209" s="331"/>
      <c r="D209" s="331"/>
      <c r="E209" s="331"/>
      <c r="F209" s="331">
        <v>352</v>
      </c>
      <c r="G209" s="331"/>
      <c r="H209" s="317"/>
      <c r="I209" s="331"/>
      <c r="J209" s="331"/>
      <c r="K209" s="331"/>
      <c r="L209" s="331"/>
      <c r="M209" s="331"/>
      <c r="N209" s="331"/>
      <c r="O209" s="331"/>
      <c r="P209" s="331"/>
      <c r="Q209" s="331"/>
      <c r="R209" s="331"/>
      <c r="S209" s="331"/>
      <c r="T209" s="331"/>
      <c r="U209" s="331"/>
      <c r="V209" s="331"/>
      <c r="W209" s="331" t="s">
        <v>1037</v>
      </c>
      <c r="X209" s="323"/>
      <c r="Y209" s="323"/>
      <c r="Z209" s="335"/>
      <c r="AA209" s="344"/>
      <c r="AB209" s="344"/>
      <c r="AC209" s="344"/>
      <c r="AD209" s="345"/>
    </row>
    <row r="210" spans="1:30" s="346" customFormat="1" ht="24.75" customHeight="1" x14ac:dyDescent="0.35">
      <c r="A210" s="325">
        <v>101</v>
      </c>
      <c r="B210" s="331" t="s">
        <v>1025</v>
      </c>
      <c r="C210" s="331" t="s">
        <v>125</v>
      </c>
      <c r="D210" s="331" t="s">
        <v>31</v>
      </c>
      <c r="E210" s="331" t="s">
        <v>1025</v>
      </c>
      <c r="F210" s="331"/>
      <c r="G210" s="331"/>
      <c r="H210" s="326">
        <f>H208+F209</f>
        <v>38470.428</v>
      </c>
      <c r="I210" s="338">
        <v>409.76799999999997</v>
      </c>
      <c r="J210" s="331">
        <v>72.5</v>
      </c>
      <c r="K210" s="331">
        <f>F209+F211</f>
        <v>778</v>
      </c>
      <c r="L210" s="331">
        <f>K210/2</f>
        <v>389</v>
      </c>
      <c r="M210" s="331">
        <v>192</v>
      </c>
      <c r="N210" s="331">
        <v>204</v>
      </c>
      <c r="O210" s="331">
        <v>396</v>
      </c>
      <c r="P210" s="331">
        <v>188</v>
      </c>
      <c r="Q210" s="331">
        <v>207</v>
      </c>
      <c r="R210" s="331">
        <v>395</v>
      </c>
      <c r="S210" s="331" t="s">
        <v>1318</v>
      </c>
      <c r="T210" s="331" t="s">
        <v>1319</v>
      </c>
      <c r="U210" s="331">
        <v>552817.40399999998</v>
      </c>
      <c r="V210" s="331">
        <v>2664633.5580000002</v>
      </c>
      <c r="W210" s="331"/>
      <c r="X210" s="315" t="s">
        <v>1317</v>
      </c>
      <c r="Y210" s="315" t="s">
        <v>1302</v>
      </c>
      <c r="Z210" s="335" t="s">
        <v>359</v>
      </c>
      <c r="AA210" s="344"/>
      <c r="AB210" s="344"/>
      <c r="AC210" s="344"/>
      <c r="AD210" s="345"/>
    </row>
    <row r="211" spans="1:30" s="351" customFormat="1" ht="24.75" customHeight="1" x14ac:dyDescent="0.35">
      <c r="A211" s="314"/>
      <c r="B211" s="323"/>
      <c r="C211" s="323"/>
      <c r="D211" s="323"/>
      <c r="E211" s="323"/>
      <c r="F211" s="323">
        <v>426</v>
      </c>
      <c r="G211" s="323"/>
      <c r="H211" s="317"/>
      <c r="I211" s="323"/>
      <c r="J211" s="323"/>
      <c r="K211" s="323"/>
      <c r="L211" s="323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 t="s">
        <v>1266</v>
      </c>
      <c r="X211" s="323"/>
      <c r="Y211" s="323"/>
      <c r="Z211" s="322"/>
      <c r="AA211" s="349"/>
      <c r="AB211" s="349"/>
      <c r="AC211" s="349"/>
      <c r="AD211" s="350"/>
    </row>
    <row r="212" spans="1:30" s="351" customFormat="1" ht="24.75" customHeight="1" x14ac:dyDescent="0.35">
      <c r="A212" s="325">
        <v>102</v>
      </c>
      <c r="B212" s="323" t="s">
        <v>1025</v>
      </c>
      <c r="C212" s="323" t="s">
        <v>126</v>
      </c>
      <c r="D212" s="323" t="s">
        <v>31</v>
      </c>
      <c r="E212" s="323" t="s">
        <v>1025</v>
      </c>
      <c r="F212" s="323"/>
      <c r="G212" s="323"/>
      <c r="H212" s="326">
        <f>H210+F211</f>
        <v>38896.428</v>
      </c>
      <c r="I212" s="352">
        <v>411.60399999999998</v>
      </c>
      <c r="J212" s="323">
        <v>72.5</v>
      </c>
      <c r="K212" s="323">
        <f>F211+F213</f>
        <v>820</v>
      </c>
      <c r="L212" s="323">
        <f>K212/2</f>
        <v>410</v>
      </c>
      <c r="M212" s="323">
        <v>223</v>
      </c>
      <c r="N212" s="323">
        <v>118</v>
      </c>
      <c r="O212" s="323">
        <v>341</v>
      </c>
      <c r="P212" s="323">
        <v>220</v>
      </c>
      <c r="Q212" s="323">
        <v>143</v>
      </c>
      <c r="R212" s="323">
        <v>363</v>
      </c>
      <c r="S212" s="323" t="s">
        <v>1320</v>
      </c>
      <c r="T212" s="323" t="s">
        <v>1321</v>
      </c>
      <c r="U212" s="323">
        <v>553155.87300000002</v>
      </c>
      <c r="V212" s="323">
        <v>2664374.8790000002</v>
      </c>
      <c r="W212" s="323"/>
      <c r="X212" s="315" t="s">
        <v>1317</v>
      </c>
      <c r="Y212" s="315" t="s">
        <v>1302</v>
      </c>
      <c r="Z212" s="322" t="s">
        <v>359</v>
      </c>
      <c r="AA212" s="349"/>
      <c r="AB212" s="349"/>
      <c r="AC212" s="349"/>
      <c r="AD212" s="350"/>
    </row>
    <row r="213" spans="1:30" s="351" customFormat="1" ht="24.75" customHeight="1" x14ac:dyDescent="0.35">
      <c r="A213" s="314"/>
      <c r="B213" s="323"/>
      <c r="C213" s="323"/>
      <c r="D213" s="323"/>
      <c r="E213" s="323"/>
      <c r="F213" s="323">
        <v>394</v>
      </c>
      <c r="G213" s="323"/>
      <c r="H213" s="317"/>
      <c r="I213" s="323"/>
      <c r="J213" s="323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 t="s">
        <v>1037</v>
      </c>
      <c r="X213" s="323"/>
      <c r="Y213" s="323"/>
      <c r="Z213" s="322"/>
      <c r="AA213" s="349"/>
      <c r="AB213" s="349"/>
      <c r="AC213" s="349"/>
      <c r="AD213" s="350"/>
    </row>
    <row r="214" spans="1:30" s="351" customFormat="1" ht="24.75" customHeight="1" x14ac:dyDescent="0.35">
      <c r="A214" s="325">
        <v>103</v>
      </c>
      <c r="B214" s="323" t="s">
        <v>1025</v>
      </c>
      <c r="C214" s="323" t="s">
        <v>127</v>
      </c>
      <c r="D214" s="323" t="s">
        <v>33</v>
      </c>
      <c r="E214" s="323" t="s">
        <v>1025</v>
      </c>
      <c r="F214" s="323"/>
      <c r="G214" s="323"/>
      <c r="H214" s="326">
        <f>H212+F213</f>
        <v>39290.428</v>
      </c>
      <c r="I214" s="323">
        <v>423.21199999999999</v>
      </c>
      <c r="J214" s="323">
        <v>75.5</v>
      </c>
      <c r="K214" s="323">
        <f>F213+F215</f>
        <v>802</v>
      </c>
      <c r="L214" s="323">
        <f>K214/2</f>
        <v>401</v>
      </c>
      <c r="M214" s="323">
        <v>277</v>
      </c>
      <c r="N214" s="323">
        <v>206</v>
      </c>
      <c r="O214" s="323">
        <v>483</v>
      </c>
      <c r="P214" s="323">
        <v>252</v>
      </c>
      <c r="Q214" s="323">
        <v>206</v>
      </c>
      <c r="R214" s="323">
        <v>458</v>
      </c>
      <c r="S214" s="323" t="s">
        <v>1322</v>
      </c>
      <c r="T214" s="323" t="s">
        <v>1323</v>
      </c>
      <c r="U214" s="323">
        <v>553468.91700000002</v>
      </c>
      <c r="V214" s="323">
        <v>2664135.6320000002</v>
      </c>
      <c r="W214" s="323"/>
      <c r="X214" s="315" t="s">
        <v>1317</v>
      </c>
      <c r="Y214" s="315" t="s">
        <v>1302</v>
      </c>
      <c r="Z214" s="322" t="s">
        <v>359</v>
      </c>
      <c r="AA214" s="349"/>
      <c r="AB214" s="349"/>
      <c r="AC214" s="349"/>
      <c r="AD214" s="350"/>
    </row>
    <row r="215" spans="1:30" s="351" customFormat="1" ht="24.75" customHeight="1" x14ac:dyDescent="0.35">
      <c r="A215" s="314"/>
      <c r="B215" s="323"/>
      <c r="C215" s="323"/>
      <c r="D215" s="323"/>
      <c r="E215" s="323"/>
      <c r="F215" s="323">
        <v>408</v>
      </c>
      <c r="G215" s="323"/>
      <c r="H215" s="317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 t="s">
        <v>1037</v>
      </c>
      <c r="X215" s="323"/>
      <c r="Y215" s="323"/>
      <c r="Z215" s="322"/>
      <c r="AA215" s="349"/>
      <c r="AB215" s="349"/>
      <c r="AC215" s="349"/>
      <c r="AD215" s="350"/>
    </row>
    <row r="216" spans="1:30" s="351" customFormat="1" ht="24.75" customHeight="1" x14ac:dyDescent="0.35">
      <c r="A216" s="325">
        <v>104</v>
      </c>
      <c r="B216" s="323" t="s">
        <v>1324</v>
      </c>
      <c r="C216" s="323" t="s">
        <v>128</v>
      </c>
      <c r="D216" s="323" t="s">
        <v>115</v>
      </c>
      <c r="E216" s="323" t="s">
        <v>1325</v>
      </c>
      <c r="F216" s="323"/>
      <c r="G216" s="323">
        <f>SUM(F207:F215)</f>
        <v>1970</v>
      </c>
      <c r="H216" s="326">
        <f>H214+F215</f>
        <v>39698.428</v>
      </c>
      <c r="I216" s="323">
        <v>425.90699999999998</v>
      </c>
      <c r="J216" s="315">
        <v>70.72</v>
      </c>
      <c r="K216" s="323">
        <f>F215+F217</f>
        <v>781</v>
      </c>
      <c r="L216" s="323">
        <f>K216/2</f>
        <v>390.5</v>
      </c>
      <c r="M216" s="323">
        <v>203</v>
      </c>
      <c r="N216" s="323">
        <v>136</v>
      </c>
      <c r="O216" s="323">
        <v>339</v>
      </c>
      <c r="P216" s="323">
        <v>203</v>
      </c>
      <c r="Q216" s="323">
        <v>153</v>
      </c>
      <c r="R216" s="323">
        <v>356</v>
      </c>
      <c r="S216" s="323" t="s">
        <v>1326</v>
      </c>
      <c r="T216" s="323" t="s">
        <v>1327</v>
      </c>
      <c r="U216" s="323">
        <v>553792.88300000003</v>
      </c>
      <c r="V216" s="323">
        <v>2663888.037</v>
      </c>
      <c r="W216" s="353" t="s">
        <v>1236</v>
      </c>
      <c r="X216" s="315" t="s">
        <v>1317</v>
      </c>
      <c r="Y216" s="315" t="s">
        <v>1302</v>
      </c>
      <c r="Z216" s="322" t="s">
        <v>359</v>
      </c>
      <c r="AA216" s="354">
        <v>0</v>
      </c>
      <c r="AB216" s="354">
        <v>0</v>
      </c>
      <c r="AC216" s="354">
        <v>1</v>
      </c>
      <c r="AD216" s="355">
        <v>1</v>
      </c>
    </row>
    <row r="217" spans="1:30" s="351" customFormat="1" ht="24.75" customHeight="1" x14ac:dyDescent="0.35">
      <c r="A217" s="314"/>
      <c r="B217" s="323"/>
      <c r="C217" s="323"/>
      <c r="D217" s="323"/>
      <c r="E217" s="323"/>
      <c r="F217" s="323">
        <v>373</v>
      </c>
      <c r="G217" s="323"/>
      <c r="H217" s="317"/>
      <c r="I217" s="323"/>
      <c r="J217" s="323"/>
      <c r="K217" s="323"/>
      <c r="L217" s="323"/>
      <c r="M217" s="323"/>
      <c r="N217" s="323"/>
      <c r="O217" s="323"/>
      <c r="P217" s="323"/>
      <c r="Q217" s="323"/>
      <c r="R217" s="323"/>
      <c r="S217" s="323"/>
      <c r="T217" s="323"/>
      <c r="U217" s="323"/>
      <c r="V217" s="323"/>
      <c r="W217" s="323" t="s">
        <v>1277</v>
      </c>
      <c r="X217" s="323"/>
      <c r="Y217" s="323"/>
      <c r="Z217" s="322"/>
      <c r="AA217" s="349"/>
      <c r="AB217" s="349"/>
      <c r="AC217" s="349"/>
      <c r="AD217" s="350"/>
    </row>
    <row r="218" spans="1:30" s="351" customFormat="1" ht="24.75" customHeight="1" x14ac:dyDescent="0.35">
      <c r="A218" s="325">
        <v>105</v>
      </c>
      <c r="B218" s="323" t="s">
        <v>1025</v>
      </c>
      <c r="C218" s="323" t="s">
        <v>129</v>
      </c>
      <c r="D218" s="323" t="s">
        <v>16</v>
      </c>
      <c r="E218" s="323" t="s">
        <v>1025</v>
      </c>
      <c r="F218" s="323"/>
      <c r="G218" s="323"/>
      <c r="H218" s="326">
        <f>H216+F217</f>
        <v>40071.428</v>
      </c>
      <c r="I218" s="323">
        <v>428.62099999999998</v>
      </c>
      <c r="J218" s="323">
        <v>78.5</v>
      </c>
      <c r="K218" s="323">
        <f>F217+F219</f>
        <v>781</v>
      </c>
      <c r="L218" s="323">
        <f>K218/2</f>
        <v>390.5</v>
      </c>
      <c r="M218" s="323">
        <v>237</v>
      </c>
      <c r="N218" s="323">
        <v>201</v>
      </c>
      <c r="O218" s="323">
        <v>438</v>
      </c>
      <c r="P218" s="323">
        <v>221</v>
      </c>
      <c r="Q218" s="323">
        <v>202</v>
      </c>
      <c r="R218" s="323">
        <v>423</v>
      </c>
      <c r="S218" s="323" t="s">
        <v>1328</v>
      </c>
      <c r="T218" s="323" t="s">
        <v>1329</v>
      </c>
      <c r="U218" s="323">
        <v>554165.63399999996</v>
      </c>
      <c r="V218" s="323">
        <v>2663874.4070000001</v>
      </c>
      <c r="W218" s="323"/>
      <c r="X218" s="315" t="s">
        <v>1317</v>
      </c>
      <c r="Y218" s="315" t="s">
        <v>1302</v>
      </c>
      <c r="Z218" s="322" t="s">
        <v>359</v>
      </c>
      <c r="AA218" s="349"/>
      <c r="AB218" s="349"/>
      <c r="AC218" s="349"/>
      <c r="AD218" s="350"/>
    </row>
    <row r="219" spans="1:30" s="351" customFormat="1" ht="24.75" customHeight="1" x14ac:dyDescent="0.35">
      <c r="A219" s="314"/>
      <c r="B219" s="323"/>
      <c r="C219" s="323"/>
      <c r="D219" s="323"/>
      <c r="E219" s="323"/>
      <c r="F219" s="323">
        <v>408</v>
      </c>
      <c r="G219" s="323"/>
      <c r="H219" s="317"/>
      <c r="I219" s="323"/>
      <c r="J219" s="323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 t="s">
        <v>1330</v>
      </c>
      <c r="X219" s="323"/>
      <c r="Y219" s="323"/>
      <c r="Z219" s="322"/>
      <c r="AA219" s="349"/>
      <c r="AB219" s="349"/>
      <c r="AC219" s="349"/>
      <c r="AD219" s="350"/>
    </row>
    <row r="220" spans="1:30" s="351" customFormat="1" ht="24.75" customHeight="1" x14ac:dyDescent="0.35">
      <c r="A220" s="325">
        <v>106</v>
      </c>
      <c r="B220" s="323" t="s">
        <v>1331</v>
      </c>
      <c r="C220" s="323" t="s">
        <v>130</v>
      </c>
      <c r="D220" s="323" t="s">
        <v>12</v>
      </c>
      <c r="E220" s="323" t="s">
        <v>1332</v>
      </c>
      <c r="F220" s="323"/>
      <c r="G220" s="323">
        <f>SUM(F217:F219)</f>
        <v>781</v>
      </c>
      <c r="H220" s="326">
        <f>H218+F219</f>
        <v>40479.428</v>
      </c>
      <c r="I220" s="323">
        <v>432.286</v>
      </c>
      <c r="J220" s="323">
        <v>73.72</v>
      </c>
      <c r="K220" s="323">
        <f>F219+F221</f>
        <v>787</v>
      </c>
      <c r="L220" s="323">
        <f>K220/2</f>
        <v>393.5</v>
      </c>
      <c r="M220" s="323">
        <v>208</v>
      </c>
      <c r="N220" s="323">
        <v>183</v>
      </c>
      <c r="O220" s="323">
        <v>391</v>
      </c>
      <c r="P220" s="323">
        <v>207</v>
      </c>
      <c r="Q220" s="323">
        <v>185</v>
      </c>
      <c r="R220" s="323">
        <v>392</v>
      </c>
      <c r="S220" s="323" t="s">
        <v>1333</v>
      </c>
      <c r="T220" s="323" t="s">
        <v>1334</v>
      </c>
      <c r="U220" s="323">
        <v>554573.39300000004</v>
      </c>
      <c r="V220" s="323">
        <v>2663859.497</v>
      </c>
      <c r="W220" s="323"/>
      <c r="X220" s="315" t="s">
        <v>1317</v>
      </c>
      <c r="Y220" s="315" t="s">
        <v>1302</v>
      </c>
      <c r="Z220" s="322" t="s">
        <v>359</v>
      </c>
      <c r="AA220" s="349"/>
      <c r="AB220" s="349"/>
      <c r="AC220" s="349"/>
      <c r="AD220" s="350"/>
    </row>
    <row r="221" spans="1:30" s="351" customFormat="1" ht="24.75" customHeight="1" x14ac:dyDescent="0.35">
      <c r="A221" s="314"/>
      <c r="B221" s="323"/>
      <c r="C221" s="323"/>
      <c r="D221" s="323"/>
      <c r="E221" s="323"/>
      <c r="F221" s="323">
        <v>379</v>
      </c>
      <c r="G221" s="323"/>
      <c r="H221" s="317"/>
      <c r="I221" s="323"/>
      <c r="J221" s="323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 t="s">
        <v>1335</v>
      </c>
      <c r="X221" s="323"/>
      <c r="Y221" s="323"/>
      <c r="Z221" s="322"/>
      <c r="AA221" s="349"/>
      <c r="AB221" s="349"/>
      <c r="AC221" s="349"/>
      <c r="AD221" s="350"/>
    </row>
    <row r="222" spans="1:30" s="346" customFormat="1" ht="24.75" customHeight="1" x14ac:dyDescent="0.35">
      <c r="A222" s="325">
        <v>107</v>
      </c>
      <c r="B222" s="331" t="s">
        <v>1025</v>
      </c>
      <c r="C222" s="331" t="s">
        <v>131</v>
      </c>
      <c r="D222" s="331" t="s">
        <v>33</v>
      </c>
      <c r="E222" s="331" t="s">
        <v>1025</v>
      </c>
      <c r="F222" s="331"/>
      <c r="G222" s="331"/>
      <c r="H222" s="326">
        <f>H220+F221</f>
        <v>40858.428</v>
      </c>
      <c r="I222" s="331">
        <v>433.57799999999997</v>
      </c>
      <c r="J222" s="331">
        <v>75.5</v>
      </c>
      <c r="K222" s="331">
        <f>F221+F223</f>
        <v>785</v>
      </c>
      <c r="L222" s="331">
        <f>K222/2</f>
        <v>392.5</v>
      </c>
      <c r="M222" s="331">
        <v>197</v>
      </c>
      <c r="N222" s="331">
        <v>205</v>
      </c>
      <c r="O222" s="331">
        <v>402</v>
      </c>
      <c r="P222" s="331">
        <v>195</v>
      </c>
      <c r="Q222" s="331">
        <v>205</v>
      </c>
      <c r="R222" s="331">
        <v>400</v>
      </c>
      <c r="S222" s="331" t="s">
        <v>1336</v>
      </c>
      <c r="T222" s="331" t="s">
        <v>1337</v>
      </c>
      <c r="U222" s="331">
        <v>554855.75</v>
      </c>
      <c r="V222" s="331">
        <v>2663606.682</v>
      </c>
      <c r="W222" s="331"/>
      <c r="X222" s="315" t="s">
        <v>1317</v>
      </c>
      <c r="Y222" s="315" t="s">
        <v>1302</v>
      </c>
      <c r="Z222" s="335" t="s">
        <v>359</v>
      </c>
      <c r="AA222" s="344"/>
      <c r="AB222" s="344"/>
      <c r="AC222" s="344"/>
      <c r="AD222" s="345"/>
    </row>
    <row r="223" spans="1:30" s="346" customFormat="1" ht="24.75" customHeight="1" x14ac:dyDescent="0.35">
      <c r="A223" s="314"/>
      <c r="B223" s="331"/>
      <c r="C223" s="331"/>
      <c r="D223" s="331"/>
      <c r="E223" s="331"/>
      <c r="F223" s="331">
        <v>406</v>
      </c>
      <c r="G223" s="331"/>
      <c r="H223" s="317"/>
      <c r="I223" s="331"/>
      <c r="J223" s="331"/>
      <c r="K223" s="331"/>
      <c r="L223" s="331"/>
      <c r="M223" s="331"/>
      <c r="N223" s="331"/>
      <c r="O223" s="331"/>
      <c r="P223" s="331"/>
      <c r="Q223" s="331"/>
      <c r="R223" s="331"/>
      <c r="S223" s="331"/>
      <c r="U223" s="331"/>
      <c r="V223" s="331"/>
      <c r="W223" s="331" t="s">
        <v>1338</v>
      </c>
      <c r="X223" s="323"/>
      <c r="Y223" s="323"/>
      <c r="Z223" s="335"/>
      <c r="AA223" s="344"/>
      <c r="AB223" s="344"/>
      <c r="AC223" s="344"/>
      <c r="AD223" s="345"/>
    </row>
    <row r="224" spans="1:30" s="346" customFormat="1" ht="24.75" customHeight="1" x14ac:dyDescent="0.35">
      <c r="A224" s="325">
        <v>108</v>
      </c>
      <c r="B224" s="331" t="s">
        <v>1339</v>
      </c>
      <c r="C224" s="331" t="s">
        <v>132</v>
      </c>
      <c r="D224" s="331" t="s">
        <v>133</v>
      </c>
      <c r="E224" s="331" t="s">
        <v>1340</v>
      </c>
      <c r="F224" s="331"/>
      <c r="G224" s="331">
        <f>SUM(F221:F223)</f>
        <v>785</v>
      </c>
      <c r="H224" s="326">
        <f>H222+F223</f>
        <v>41264.428</v>
      </c>
      <c r="I224" s="331">
        <v>433.22</v>
      </c>
      <c r="J224" s="331">
        <v>73.72</v>
      </c>
      <c r="K224" s="331">
        <f>F223+F225</f>
        <v>791</v>
      </c>
      <c r="L224" s="331">
        <f>K224/2</f>
        <v>395.5</v>
      </c>
      <c r="M224" s="331">
        <v>201</v>
      </c>
      <c r="N224" s="331">
        <v>195</v>
      </c>
      <c r="O224" s="331">
        <v>396</v>
      </c>
      <c r="P224" s="331">
        <v>202</v>
      </c>
      <c r="Q224" s="331">
        <v>195</v>
      </c>
      <c r="R224" s="331">
        <v>397</v>
      </c>
      <c r="S224" s="331" t="s">
        <v>1341</v>
      </c>
      <c r="T224" s="331" t="s">
        <v>1342</v>
      </c>
      <c r="U224" s="331">
        <v>555157.95799999998</v>
      </c>
      <c r="V224" s="331">
        <v>2663336.0920000002</v>
      </c>
      <c r="W224" s="341" t="s">
        <v>1236</v>
      </c>
      <c r="X224" s="315" t="s">
        <v>1317</v>
      </c>
      <c r="Y224" s="315" t="s">
        <v>1302</v>
      </c>
      <c r="Z224" s="335" t="s">
        <v>359</v>
      </c>
      <c r="AA224" s="347">
        <v>1</v>
      </c>
      <c r="AB224" s="347">
        <v>2</v>
      </c>
      <c r="AC224" s="347">
        <v>1</v>
      </c>
      <c r="AD224" s="348">
        <v>0</v>
      </c>
    </row>
    <row r="225" spans="1:30" s="346" customFormat="1" ht="24.75" customHeight="1" x14ac:dyDescent="0.35">
      <c r="A225" s="314"/>
      <c r="B225" s="331"/>
      <c r="C225" s="331"/>
      <c r="D225" s="331"/>
      <c r="E225" s="331"/>
      <c r="F225" s="331">
        <v>385</v>
      </c>
      <c r="G225" s="331"/>
      <c r="H225" s="317"/>
      <c r="I225" s="331"/>
      <c r="J225" s="331"/>
      <c r="K225" s="331"/>
      <c r="L225" s="331"/>
      <c r="M225" s="331"/>
      <c r="N225" s="331"/>
      <c r="O225" s="331"/>
      <c r="P225" s="331"/>
      <c r="Q225" s="331"/>
      <c r="R225" s="331"/>
      <c r="S225" s="331"/>
      <c r="T225" s="331"/>
      <c r="U225" s="331"/>
      <c r="V225" s="331"/>
      <c r="W225" s="331" t="s">
        <v>1343</v>
      </c>
      <c r="X225" s="323"/>
      <c r="Y225" s="323"/>
      <c r="Z225" s="335"/>
      <c r="AA225" s="344"/>
      <c r="AB225" s="344"/>
      <c r="AC225" s="344"/>
      <c r="AD225" s="345"/>
    </row>
    <row r="226" spans="1:30" s="346" customFormat="1" ht="24.75" customHeight="1" x14ac:dyDescent="0.35">
      <c r="A226" s="325">
        <v>109</v>
      </c>
      <c r="B226" s="331" t="s">
        <v>1025</v>
      </c>
      <c r="C226" s="331" t="s">
        <v>134</v>
      </c>
      <c r="D226" s="331" t="s">
        <v>31</v>
      </c>
      <c r="E226" s="331" t="s">
        <v>1025</v>
      </c>
      <c r="F226" s="331"/>
      <c r="G226" s="331"/>
      <c r="H226" s="326">
        <f>H224+F225</f>
        <v>41649.428</v>
      </c>
      <c r="I226" s="338">
        <v>435.75099999999998</v>
      </c>
      <c r="J226" s="331">
        <v>72.5</v>
      </c>
      <c r="K226" s="331">
        <f>F225+F227</f>
        <v>785</v>
      </c>
      <c r="L226" s="331">
        <f>K226/2</f>
        <v>392.5</v>
      </c>
      <c r="M226" s="331">
        <v>190</v>
      </c>
      <c r="N226" s="331">
        <v>190</v>
      </c>
      <c r="O226" s="331">
        <v>380</v>
      </c>
      <c r="P226" s="331">
        <v>191</v>
      </c>
      <c r="Q226" s="331">
        <v>194</v>
      </c>
      <c r="R226" s="331">
        <v>385</v>
      </c>
      <c r="S226" s="331" t="s">
        <v>1344</v>
      </c>
      <c r="T226" s="331" t="s">
        <v>1345</v>
      </c>
      <c r="U226" s="331">
        <v>555522.41099999996</v>
      </c>
      <c r="V226" s="331">
        <v>2663211.9980000001</v>
      </c>
      <c r="W226" s="331"/>
      <c r="X226" s="315" t="s">
        <v>1317</v>
      </c>
      <c r="Y226" s="315" t="s">
        <v>1302</v>
      </c>
      <c r="Z226" s="335" t="s">
        <v>359</v>
      </c>
      <c r="AA226" s="344"/>
      <c r="AB226" s="344"/>
      <c r="AC226" s="344"/>
      <c r="AD226" s="345"/>
    </row>
    <row r="227" spans="1:30" s="346" customFormat="1" ht="24.75" customHeight="1" x14ac:dyDescent="0.35">
      <c r="A227" s="314"/>
      <c r="B227" s="331"/>
      <c r="C227" s="331"/>
      <c r="D227" s="331"/>
      <c r="E227" s="331"/>
      <c r="F227" s="331">
        <v>400</v>
      </c>
      <c r="G227" s="331"/>
      <c r="H227" s="317"/>
      <c r="I227" s="331"/>
      <c r="J227" s="331"/>
      <c r="K227" s="331"/>
      <c r="L227" s="331"/>
      <c r="M227" s="331"/>
      <c r="N227" s="331"/>
      <c r="O227" s="331"/>
      <c r="P227" s="331"/>
      <c r="Q227" s="331"/>
      <c r="R227" s="331"/>
      <c r="S227" s="331"/>
      <c r="T227" s="331"/>
      <c r="U227" s="331"/>
      <c r="V227" s="331"/>
      <c r="W227" s="331" t="s">
        <v>1346</v>
      </c>
      <c r="X227" s="323"/>
      <c r="Y227" s="323"/>
      <c r="Z227" s="335"/>
      <c r="AA227" s="344"/>
      <c r="AB227" s="344"/>
      <c r="AC227" s="344"/>
      <c r="AD227" s="345"/>
    </row>
    <row r="228" spans="1:30" s="346" customFormat="1" ht="24.75" customHeight="1" x14ac:dyDescent="0.35">
      <c r="A228" s="325">
        <v>110</v>
      </c>
      <c r="B228" s="331" t="s">
        <v>1025</v>
      </c>
      <c r="C228" s="331" t="s">
        <v>135</v>
      </c>
      <c r="D228" s="331" t="s">
        <v>31</v>
      </c>
      <c r="E228" s="331" t="s">
        <v>1025</v>
      </c>
      <c r="F228" s="331"/>
      <c r="G228" s="331"/>
      <c r="H228" s="326">
        <f>H226+F227</f>
        <v>42049.428</v>
      </c>
      <c r="I228" s="338">
        <v>437.64800000000002</v>
      </c>
      <c r="J228" s="331">
        <v>72.5</v>
      </c>
      <c r="K228" s="331">
        <f>F227+F229</f>
        <v>839</v>
      </c>
      <c r="L228" s="331">
        <f>K228/2</f>
        <v>419.5</v>
      </c>
      <c r="M228" s="331">
        <v>210</v>
      </c>
      <c r="N228" s="331">
        <v>174</v>
      </c>
      <c r="O228" s="331">
        <v>384</v>
      </c>
      <c r="P228" s="331">
        <v>208</v>
      </c>
      <c r="Q228" s="331">
        <v>188</v>
      </c>
      <c r="R228" s="331">
        <v>396</v>
      </c>
      <c r="S228" s="331" t="s">
        <v>1347</v>
      </c>
      <c r="T228" s="331" t="s">
        <v>1348</v>
      </c>
      <c r="U228" s="331">
        <v>555901.06299999997</v>
      </c>
      <c r="V228" s="331">
        <v>2663083.0690000001</v>
      </c>
      <c r="W228" s="331"/>
      <c r="X228" s="315" t="s">
        <v>1317</v>
      </c>
      <c r="Y228" s="315" t="s">
        <v>1302</v>
      </c>
      <c r="Z228" s="335" t="s">
        <v>359</v>
      </c>
      <c r="AA228" s="344"/>
      <c r="AB228" s="344"/>
      <c r="AC228" s="344"/>
      <c r="AD228" s="345"/>
    </row>
    <row r="229" spans="1:30" s="346" customFormat="1" ht="24.75" customHeight="1" x14ac:dyDescent="0.35">
      <c r="A229" s="314"/>
      <c r="B229" s="331"/>
      <c r="C229" s="331"/>
      <c r="D229" s="331"/>
      <c r="E229" s="331"/>
      <c r="F229" s="331">
        <v>439</v>
      </c>
      <c r="G229" s="331"/>
      <c r="H229" s="317"/>
      <c r="I229" s="331"/>
      <c r="J229" s="331"/>
      <c r="K229" s="331"/>
      <c r="L229" s="331"/>
      <c r="M229" s="331"/>
      <c r="N229" s="331"/>
      <c r="O229" s="331"/>
      <c r="P229" s="331"/>
      <c r="Q229" s="331"/>
      <c r="R229" s="331"/>
      <c r="S229" s="331"/>
      <c r="T229" s="331"/>
      <c r="U229" s="331"/>
      <c r="V229" s="331"/>
      <c r="W229" s="331" t="s">
        <v>1349</v>
      </c>
      <c r="X229" s="323"/>
      <c r="Y229" s="323"/>
      <c r="Z229" s="335"/>
      <c r="AA229" s="344"/>
      <c r="AB229" s="344"/>
      <c r="AC229" s="344"/>
      <c r="AD229" s="345"/>
    </row>
    <row r="230" spans="1:30" s="346" customFormat="1" ht="24.75" customHeight="1" x14ac:dyDescent="0.35">
      <c r="A230" s="325">
        <v>111</v>
      </c>
      <c r="B230" s="331" t="s">
        <v>1025</v>
      </c>
      <c r="C230" s="331" t="s">
        <v>136</v>
      </c>
      <c r="D230" s="331" t="s">
        <v>16</v>
      </c>
      <c r="E230" s="331" t="s">
        <v>1025</v>
      </c>
      <c r="F230" s="331"/>
      <c r="G230" s="331"/>
      <c r="H230" s="326">
        <f>H228+F229</f>
        <v>42488.428</v>
      </c>
      <c r="I230" s="331">
        <v>441.10899999999998</v>
      </c>
      <c r="J230" s="331">
        <v>78.5</v>
      </c>
      <c r="K230" s="331">
        <f>F229+F231</f>
        <v>839</v>
      </c>
      <c r="L230" s="331">
        <f>K230/2</f>
        <v>419.5</v>
      </c>
      <c r="M230" s="331">
        <v>266</v>
      </c>
      <c r="N230" s="331">
        <v>224</v>
      </c>
      <c r="O230" s="331">
        <v>490</v>
      </c>
      <c r="P230" s="331">
        <v>252</v>
      </c>
      <c r="Q230" s="331">
        <v>217</v>
      </c>
      <c r="R230" s="331">
        <v>469</v>
      </c>
      <c r="S230" s="331" t="s">
        <v>1350</v>
      </c>
      <c r="T230" s="331" t="s">
        <v>1351</v>
      </c>
      <c r="U230" s="331">
        <v>556316.63300000003</v>
      </c>
      <c r="V230" s="331">
        <v>2662941.5690000001</v>
      </c>
      <c r="W230" s="331"/>
      <c r="X230" s="315" t="s">
        <v>1317</v>
      </c>
      <c r="Y230" s="315" t="s">
        <v>1302</v>
      </c>
      <c r="Z230" s="335" t="s">
        <v>359</v>
      </c>
      <c r="AA230" s="344"/>
      <c r="AB230" s="344"/>
      <c r="AC230" s="344"/>
      <c r="AD230" s="345"/>
    </row>
    <row r="231" spans="1:30" s="346" customFormat="1" ht="24.75" customHeight="1" x14ac:dyDescent="0.35">
      <c r="A231" s="314"/>
      <c r="B231" s="331"/>
      <c r="C231" s="331"/>
      <c r="D231" s="331"/>
      <c r="E231" s="331"/>
      <c r="F231" s="331">
        <v>400</v>
      </c>
      <c r="G231" s="331"/>
      <c r="H231" s="317"/>
      <c r="I231" s="331"/>
      <c r="J231" s="331"/>
      <c r="K231" s="331"/>
      <c r="L231" s="331"/>
      <c r="M231" s="331"/>
      <c r="N231" s="331"/>
      <c r="O231" s="331"/>
      <c r="P231" s="331"/>
      <c r="Q231" s="331"/>
      <c r="R231" s="331"/>
      <c r="S231" s="331"/>
      <c r="T231" s="331"/>
      <c r="U231" s="331"/>
      <c r="V231" s="331"/>
      <c r="W231" s="331" t="s">
        <v>1352</v>
      </c>
      <c r="X231" s="323"/>
      <c r="Y231" s="323"/>
      <c r="Z231" s="335"/>
      <c r="AA231" s="344"/>
      <c r="AB231" s="344"/>
      <c r="AC231" s="344"/>
      <c r="AD231" s="345"/>
    </row>
    <row r="232" spans="1:30" s="346" customFormat="1" ht="24.75" customHeight="1" x14ac:dyDescent="0.35">
      <c r="A232" s="325">
        <v>112</v>
      </c>
      <c r="B232" s="331" t="s">
        <v>1025</v>
      </c>
      <c r="C232" s="331" t="s">
        <v>137</v>
      </c>
      <c r="D232" s="331" t="s">
        <v>23</v>
      </c>
      <c r="E232" s="331" t="s">
        <v>1025</v>
      </c>
      <c r="F232" s="331"/>
      <c r="G232" s="331"/>
      <c r="H232" s="326">
        <f>H230+F231</f>
        <v>42888.428</v>
      </c>
      <c r="I232" s="331">
        <v>445.75</v>
      </c>
      <c r="J232" s="331">
        <v>69.5</v>
      </c>
      <c r="K232" s="331">
        <f>F231+F233</f>
        <v>691</v>
      </c>
      <c r="L232" s="331">
        <f>K232/2</f>
        <v>345.5</v>
      </c>
      <c r="M232" s="331">
        <v>177</v>
      </c>
      <c r="N232" s="331">
        <v>174</v>
      </c>
      <c r="O232" s="331">
        <v>351</v>
      </c>
      <c r="P232" s="331">
        <v>185</v>
      </c>
      <c r="Q232" s="331">
        <v>166</v>
      </c>
      <c r="R232" s="331">
        <v>351</v>
      </c>
      <c r="S232" s="331" t="s">
        <v>1353</v>
      </c>
      <c r="T232" s="331" t="s">
        <v>1354</v>
      </c>
      <c r="U232" s="331">
        <v>556695.28500000003</v>
      </c>
      <c r="V232" s="331">
        <v>2662812.64</v>
      </c>
      <c r="W232" s="331"/>
      <c r="X232" s="315" t="s">
        <v>1317</v>
      </c>
      <c r="Y232" s="315" t="s">
        <v>1302</v>
      </c>
      <c r="Z232" s="335" t="s">
        <v>359</v>
      </c>
      <c r="AA232" s="344"/>
      <c r="AB232" s="344"/>
      <c r="AC232" s="344"/>
      <c r="AD232" s="345"/>
    </row>
    <row r="233" spans="1:30" s="346" customFormat="1" ht="24.75" customHeight="1" x14ac:dyDescent="0.35">
      <c r="A233" s="314"/>
      <c r="B233" s="331"/>
      <c r="C233" s="331"/>
      <c r="D233" s="331"/>
      <c r="E233" s="331"/>
      <c r="F233" s="331">
        <v>291</v>
      </c>
      <c r="G233" s="331"/>
      <c r="H233" s="317"/>
      <c r="I233" s="331"/>
      <c r="J233" s="331"/>
      <c r="K233" s="331"/>
      <c r="L233" s="331"/>
      <c r="M233" s="331"/>
      <c r="N233" s="331"/>
      <c r="O233" s="331"/>
      <c r="P233" s="331"/>
      <c r="Q233" s="331"/>
      <c r="R233" s="331"/>
      <c r="S233" s="331"/>
      <c r="T233" s="331"/>
      <c r="U233" s="331"/>
      <c r="V233" s="331"/>
      <c r="W233" s="331" t="s">
        <v>2070</v>
      </c>
      <c r="X233" s="323"/>
      <c r="Y233" s="323"/>
      <c r="Z233" s="335"/>
      <c r="AA233" s="344"/>
      <c r="AB233" s="344"/>
      <c r="AC233" s="344"/>
      <c r="AD233" s="345"/>
    </row>
    <row r="234" spans="1:30" s="346" customFormat="1" ht="24.75" customHeight="1" x14ac:dyDescent="0.35">
      <c r="A234" s="325">
        <v>113</v>
      </c>
      <c r="B234" s="331" t="s">
        <v>1025</v>
      </c>
      <c r="C234" s="331" t="s">
        <v>138</v>
      </c>
      <c r="D234" s="331" t="s">
        <v>23</v>
      </c>
      <c r="E234" s="331" t="s">
        <v>1025</v>
      </c>
      <c r="F234" s="331"/>
      <c r="G234" s="331"/>
      <c r="H234" s="326">
        <f>H232+F233</f>
        <v>43179.428</v>
      </c>
      <c r="I234" s="331">
        <v>441.82600000000002</v>
      </c>
      <c r="J234" s="331">
        <v>69.5</v>
      </c>
      <c r="K234" s="331">
        <f>F233+F235</f>
        <v>681</v>
      </c>
      <c r="L234" s="331">
        <f>K234/2</f>
        <v>340.5</v>
      </c>
      <c r="M234" s="331">
        <v>117</v>
      </c>
      <c r="N234" s="331">
        <v>172</v>
      </c>
      <c r="O234" s="331">
        <v>289</v>
      </c>
      <c r="P234" s="331">
        <v>126</v>
      </c>
      <c r="Q234" s="331">
        <v>179</v>
      </c>
      <c r="R234" s="331">
        <v>305</v>
      </c>
      <c r="S234" s="331" t="s">
        <v>1355</v>
      </c>
      <c r="T234" s="331" t="s">
        <v>1356</v>
      </c>
      <c r="U234" s="331">
        <v>556970.75399999996</v>
      </c>
      <c r="V234" s="331">
        <v>2662718.844</v>
      </c>
      <c r="W234" s="331"/>
      <c r="X234" s="315" t="s">
        <v>1317</v>
      </c>
      <c r="Y234" s="315" t="s">
        <v>1302</v>
      </c>
      <c r="Z234" s="335" t="s">
        <v>359</v>
      </c>
      <c r="AA234" s="344"/>
      <c r="AB234" s="344"/>
      <c r="AC234" s="344"/>
      <c r="AD234" s="345"/>
    </row>
    <row r="235" spans="1:30" s="346" customFormat="1" ht="24.75" customHeight="1" x14ac:dyDescent="0.35">
      <c r="A235" s="314"/>
      <c r="B235" s="331"/>
      <c r="C235" s="331"/>
      <c r="D235" s="331"/>
      <c r="E235" s="331"/>
      <c r="F235" s="331">
        <v>390</v>
      </c>
      <c r="G235" s="331"/>
      <c r="H235" s="317"/>
      <c r="I235" s="331"/>
      <c r="J235" s="331"/>
      <c r="K235" s="331"/>
      <c r="L235" s="331"/>
      <c r="M235" s="331"/>
      <c r="N235" s="331"/>
      <c r="O235" s="331"/>
      <c r="P235" s="331"/>
      <c r="Q235" s="331"/>
      <c r="R235" s="331"/>
      <c r="S235" s="331"/>
      <c r="T235" s="331"/>
      <c r="U235" s="331"/>
      <c r="V235" s="331"/>
      <c r="W235" s="331" t="s">
        <v>1357</v>
      </c>
      <c r="X235" s="323"/>
      <c r="Y235" s="323"/>
      <c r="Z235" s="335"/>
      <c r="AA235" s="344"/>
      <c r="AB235" s="344"/>
      <c r="AC235" s="344"/>
      <c r="AD235" s="345"/>
    </row>
    <row r="236" spans="1:30" s="346" customFormat="1" ht="24.75" customHeight="1" x14ac:dyDescent="0.35">
      <c r="A236" s="325">
        <v>114</v>
      </c>
      <c r="B236" s="331" t="s">
        <v>1025</v>
      </c>
      <c r="C236" s="331" t="s">
        <v>139</v>
      </c>
      <c r="D236" s="331" t="s">
        <v>33</v>
      </c>
      <c r="E236" s="331" t="s">
        <v>1025</v>
      </c>
      <c r="F236" s="331"/>
      <c r="G236" s="331"/>
      <c r="H236" s="326">
        <f>H234+F235</f>
        <v>43569.428</v>
      </c>
      <c r="I236" s="331">
        <v>440.11599999999999</v>
      </c>
      <c r="J236" s="331">
        <v>75.5</v>
      </c>
      <c r="K236" s="331">
        <f>F235+F237</f>
        <v>793</v>
      </c>
      <c r="L236" s="331">
        <f>K236/2</f>
        <v>396.5</v>
      </c>
      <c r="M236" s="331">
        <v>219</v>
      </c>
      <c r="N236" s="331">
        <v>223</v>
      </c>
      <c r="O236" s="331">
        <v>442</v>
      </c>
      <c r="P236" s="331">
        <v>212</v>
      </c>
      <c r="Q236" s="331">
        <v>217</v>
      </c>
      <c r="R236" s="331">
        <v>429</v>
      </c>
      <c r="S236" s="331" t="s">
        <v>1358</v>
      </c>
      <c r="T236" s="331" t="s">
        <v>1359</v>
      </c>
      <c r="U236" s="331">
        <v>557339.93999999994</v>
      </c>
      <c r="V236" s="331">
        <v>2662593.1379999998</v>
      </c>
      <c r="W236" s="331"/>
      <c r="X236" s="315" t="s">
        <v>1317</v>
      </c>
      <c r="Y236" s="315" t="s">
        <v>1302</v>
      </c>
      <c r="Z236" s="335" t="s">
        <v>359</v>
      </c>
      <c r="AA236" s="344"/>
      <c r="AB236" s="344"/>
      <c r="AC236" s="344"/>
      <c r="AD236" s="345"/>
    </row>
    <row r="237" spans="1:30" s="346" customFormat="1" ht="24.75" customHeight="1" x14ac:dyDescent="0.35">
      <c r="A237" s="314"/>
      <c r="B237" s="331"/>
      <c r="C237" s="331"/>
      <c r="D237" s="331"/>
      <c r="E237" s="331"/>
      <c r="F237" s="331">
        <v>403</v>
      </c>
      <c r="G237" s="331"/>
      <c r="H237" s="317"/>
      <c r="I237" s="331"/>
      <c r="J237" s="331"/>
      <c r="K237" s="331"/>
      <c r="L237" s="331"/>
      <c r="M237" s="331"/>
      <c r="N237" s="331"/>
      <c r="O237" s="331"/>
      <c r="P237" s="331"/>
      <c r="Q237" s="331"/>
      <c r="R237" s="331"/>
      <c r="S237" s="331"/>
      <c r="T237" s="331"/>
      <c r="U237" s="331"/>
      <c r="V237" s="331"/>
      <c r="W237" s="331" t="s">
        <v>1360</v>
      </c>
      <c r="X237" s="323"/>
      <c r="Y237" s="323"/>
      <c r="Z237" s="335"/>
      <c r="AA237" s="344"/>
      <c r="AB237" s="344"/>
      <c r="AC237" s="344"/>
      <c r="AD237" s="345"/>
    </row>
    <row r="238" spans="1:30" s="346" customFormat="1" ht="24.75" customHeight="1" x14ac:dyDescent="0.35">
      <c r="A238" s="325">
        <v>115</v>
      </c>
      <c r="B238" s="331" t="s">
        <v>1025</v>
      </c>
      <c r="C238" s="331" t="s">
        <v>140</v>
      </c>
      <c r="D238" s="331" t="s">
        <v>31</v>
      </c>
      <c r="E238" s="331" t="s">
        <v>1025</v>
      </c>
      <c r="F238" s="331"/>
      <c r="G238" s="331"/>
      <c r="H238" s="326">
        <f>H236+F237</f>
        <v>43972.428</v>
      </c>
      <c r="I238" s="338">
        <v>439.02300000000002</v>
      </c>
      <c r="J238" s="331">
        <v>72.5</v>
      </c>
      <c r="K238" s="331">
        <f>F237+F239</f>
        <v>825</v>
      </c>
      <c r="L238" s="331">
        <f>K238/2</f>
        <v>412.5</v>
      </c>
      <c r="M238" s="331">
        <v>180</v>
      </c>
      <c r="N238" s="331">
        <v>180</v>
      </c>
      <c r="O238" s="331">
        <v>360</v>
      </c>
      <c r="P238" s="331">
        <v>187</v>
      </c>
      <c r="Q238" s="331">
        <v>190</v>
      </c>
      <c r="R238" s="331">
        <v>377</v>
      </c>
      <c r="S238" s="331" t="s">
        <v>1361</v>
      </c>
      <c r="T238" s="331" t="s">
        <v>1362</v>
      </c>
      <c r="U238" s="331">
        <v>557721.43200000003</v>
      </c>
      <c r="V238" s="331">
        <v>2662463.2420000001</v>
      </c>
      <c r="W238" s="331"/>
      <c r="X238" s="315" t="s">
        <v>1317</v>
      </c>
      <c r="Y238" s="315" t="s">
        <v>1302</v>
      </c>
      <c r="Z238" s="335" t="s">
        <v>359</v>
      </c>
      <c r="AA238" s="344"/>
      <c r="AB238" s="344"/>
      <c r="AC238" s="344"/>
      <c r="AD238" s="345"/>
    </row>
    <row r="239" spans="1:30" s="346" customFormat="1" ht="24.75" customHeight="1" x14ac:dyDescent="0.35">
      <c r="A239" s="314"/>
      <c r="B239" s="331"/>
      <c r="C239" s="331"/>
      <c r="D239" s="331"/>
      <c r="E239" s="331"/>
      <c r="F239" s="331">
        <v>422</v>
      </c>
      <c r="G239" s="331"/>
      <c r="H239" s="317"/>
      <c r="I239" s="331"/>
      <c r="J239" s="331"/>
      <c r="K239" s="331"/>
      <c r="L239" s="331"/>
      <c r="M239" s="331"/>
      <c r="N239" s="331"/>
      <c r="O239" s="331"/>
      <c r="P239" s="331"/>
      <c r="Q239" s="331"/>
      <c r="R239" s="331"/>
      <c r="S239" s="331"/>
      <c r="T239" s="331"/>
      <c r="U239" s="331"/>
      <c r="V239" s="331"/>
      <c r="W239" s="331" t="s">
        <v>1363</v>
      </c>
      <c r="X239" s="323"/>
      <c r="Y239" s="323"/>
      <c r="Z239" s="335"/>
      <c r="AA239" s="344"/>
      <c r="AB239" s="344"/>
      <c r="AC239" s="344"/>
      <c r="AD239" s="345"/>
    </row>
    <row r="240" spans="1:30" s="346" customFormat="1" ht="24.75" customHeight="1" x14ac:dyDescent="0.35">
      <c r="A240" s="325">
        <v>116</v>
      </c>
      <c r="B240" s="331" t="s">
        <v>1025</v>
      </c>
      <c r="C240" s="331" t="s">
        <v>141</v>
      </c>
      <c r="D240" s="331" t="s">
        <v>16</v>
      </c>
      <c r="E240" s="331" t="s">
        <v>1025</v>
      </c>
      <c r="F240" s="331"/>
      <c r="G240" s="331"/>
      <c r="H240" s="326">
        <f>H238+F239</f>
        <v>44394.428</v>
      </c>
      <c r="I240" s="331">
        <v>439.161</v>
      </c>
      <c r="J240" s="331">
        <v>78.5</v>
      </c>
      <c r="K240" s="331">
        <f>F239+F241</f>
        <v>811</v>
      </c>
      <c r="L240" s="331">
        <f>K240/2</f>
        <v>405.5</v>
      </c>
      <c r="M240" s="331">
        <v>242</v>
      </c>
      <c r="N240" s="331">
        <v>257</v>
      </c>
      <c r="O240" s="331">
        <v>499</v>
      </c>
      <c r="P240" s="331">
        <v>233</v>
      </c>
      <c r="Q240" s="331">
        <v>238</v>
      </c>
      <c r="R240" s="331">
        <v>471</v>
      </c>
      <c r="S240" s="331" t="s">
        <v>1364</v>
      </c>
      <c r="T240" s="331" t="s">
        <v>1365</v>
      </c>
      <c r="U240" s="331">
        <v>558120.91</v>
      </c>
      <c r="V240" s="331">
        <v>2662327.2220000001</v>
      </c>
      <c r="W240" s="331"/>
      <c r="X240" s="315" t="s">
        <v>1366</v>
      </c>
      <c r="Y240" s="315" t="s">
        <v>1302</v>
      </c>
      <c r="Z240" s="335" t="s">
        <v>359</v>
      </c>
      <c r="AA240" s="344"/>
      <c r="AB240" s="344"/>
      <c r="AC240" s="344"/>
      <c r="AD240" s="345"/>
    </row>
    <row r="241" spans="1:30" s="346" customFormat="1" ht="24.75" customHeight="1" x14ac:dyDescent="0.35">
      <c r="A241" s="314"/>
      <c r="B241" s="331"/>
      <c r="C241" s="331"/>
      <c r="D241" s="331"/>
      <c r="E241" s="331"/>
      <c r="F241" s="331">
        <v>389</v>
      </c>
      <c r="G241" s="331"/>
      <c r="H241" s="317"/>
      <c r="I241" s="331"/>
      <c r="J241" s="331"/>
      <c r="K241" s="331"/>
      <c r="L241" s="331"/>
      <c r="M241" s="331"/>
      <c r="N241" s="331"/>
      <c r="O241" s="331"/>
      <c r="P241" s="331"/>
      <c r="Q241" s="331"/>
      <c r="R241" s="331"/>
      <c r="S241" s="331"/>
      <c r="T241" s="331"/>
      <c r="U241" s="331"/>
      <c r="V241" s="331"/>
      <c r="W241" s="331" t="s">
        <v>1367</v>
      </c>
      <c r="X241" s="323"/>
      <c r="Y241" s="323"/>
      <c r="Z241" s="335"/>
      <c r="AA241" s="344"/>
      <c r="AB241" s="344"/>
      <c r="AC241" s="344"/>
      <c r="AD241" s="345"/>
    </row>
    <row r="242" spans="1:30" s="346" customFormat="1" ht="24.75" customHeight="1" x14ac:dyDescent="0.35">
      <c r="A242" s="325">
        <v>117</v>
      </c>
      <c r="B242" s="331" t="s">
        <v>1025</v>
      </c>
      <c r="C242" s="331" t="s">
        <v>142</v>
      </c>
      <c r="D242" s="331" t="s">
        <v>14</v>
      </c>
      <c r="E242" s="331" t="s">
        <v>1025</v>
      </c>
      <c r="F242" s="331"/>
      <c r="G242" s="331"/>
      <c r="H242" s="326">
        <f>H240+F241</f>
        <v>44783.428</v>
      </c>
      <c r="I242" s="331">
        <v>435.35500000000002</v>
      </c>
      <c r="J242" s="331">
        <v>71</v>
      </c>
      <c r="K242" s="331">
        <f>F241+F243</f>
        <v>825</v>
      </c>
      <c r="L242" s="331">
        <f>K242/2</f>
        <v>412.5</v>
      </c>
      <c r="M242" s="331">
        <v>133</v>
      </c>
      <c r="N242" s="331">
        <v>206</v>
      </c>
      <c r="O242" s="331">
        <v>339</v>
      </c>
      <c r="P242" s="331">
        <v>152</v>
      </c>
      <c r="Q242" s="331">
        <v>210</v>
      </c>
      <c r="R242" s="331">
        <v>362</v>
      </c>
      <c r="S242" s="331" t="s">
        <v>1368</v>
      </c>
      <c r="T242" s="331" t="s">
        <v>1369</v>
      </c>
      <c r="U242" s="331">
        <v>558489.14899999998</v>
      </c>
      <c r="V242" s="331">
        <v>2662201.8390000002</v>
      </c>
      <c r="W242" s="331"/>
      <c r="X242" s="315" t="s">
        <v>1366</v>
      </c>
      <c r="Y242" s="315" t="s">
        <v>1302</v>
      </c>
      <c r="Z242" s="335" t="s">
        <v>359</v>
      </c>
      <c r="AA242" s="344"/>
      <c r="AB242" s="344"/>
      <c r="AC242" s="344"/>
      <c r="AD242" s="345"/>
    </row>
    <row r="243" spans="1:30" s="346" customFormat="1" ht="24.75" customHeight="1" x14ac:dyDescent="0.35">
      <c r="A243" s="314"/>
      <c r="B243" s="331"/>
      <c r="C243" s="331"/>
      <c r="D243" s="331"/>
      <c r="E243" s="331"/>
      <c r="F243" s="331">
        <v>436</v>
      </c>
      <c r="G243" s="331"/>
      <c r="H243" s="317"/>
      <c r="I243" s="331"/>
      <c r="J243" s="331"/>
      <c r="K243" s="331"/>
      <c r="L243" s="331"/>
      <c r="M243" s="331"/>
      <c r="N243" s="331"/>
      <c r="O243" s="331"/>
      <c r="P243" s="331"/>
      <c r="Q243" s="331"/>
      <c r="R243" s="331"/>
      <c r="S243" s="331"/>
      <c r="T243" s="331"/>
      <c r="U243" s="331"/>
      <c r="V243" s="331"/>
      <c r="W243" s="331" t="s">
        <v>1370</v>
      </c>
      <c r="X243" s="323"/>
      <c r="Y243" s="323"/>
      <c r="Z243" s="335"/>
      <c r="AA243" s="344"/>
      <c r="AB243" s="344"/>
      <c r="AC243" s="344"/>
      <c r="AD243" s="345"/>
    </row>
    <row r="244" spans="1:30" s="346" customFormat="1" ht="24.75" customHeight="1" x14ac:dyDescent="0.35">
      <c r="A244" s="325">
        <v>118</v>
      </c>
      <c r="B244" s="331" t="s">
        <v>1025</v>
      </c>
      <c r="C244" s="331" t="s">
        <v>143</v>
      </c>
      <c r="D244" s="331" t="s">
        <v>35</v>
      </c>
      <c r="E244" s="331" t="s">
        <v>1025</v>
      </c>
      <c r="F244" s="331"/>
      <c r="G244" s="331"/>
      <c r="H244" s="326">
        <f>H242+F243</f>
        <v>45219.428</v>
      </c>
      <c r="I244" s="331">
        <v>434.97</v>
      </c>
      <c r="J244" s="331">
        <v>74</v>
      </c>
      <c r="K244" s="331">
        <f>F243+F245</f>
        <v>816</v>
      </c>
      <c r="L244" s="331">
        <f>K244/2</f>
        <v>408</v>
      </c>
      <c r="M244" s="331">
        <v>231</v>
      </c>
      <c r="N244" s="331">
        <v>183</v>
      </c>
      <c r="O244" s="331">
        <v>414</v>
      </c>
      <c r="P244" s="331">
        <v>228</v>
      </c>
      <c r="Q244" s="331">
        <v>185</v>
      </c>
      <c r="R244" s="331">
        <v>413</v>
      </c>
      <c r="S244" s="331" t="s">
        <v>1371</v>
      </c>
      <c r="T244" s="331" t="s">
        <v>1372</v>
      </c>
      <c r="U244" s="331">
        <v>558901.87899999996</v>
      </c>
      <c r="V244" s="331">
        <v>2662061.3059999999</v>
      </c>
      <c r="W244" s="331"/>
      <c r="X244" s="315" t="s">
        <v>1366</v>
      </c>
      <c r="Y244" s="315" t="s">
        <v>1302</v>
      </c>
      <c r="Z244" s="335" t="s">
        <v>359</v>
      </c>
      <c r="AA244" s="344"/>
      <c r="AB244" s="344"/>
      <c r="AC244" s="344"/>
      <c r="AD244" s="345"/>
    </row>
    <row r="245" spans="1:30" s="346" customFormat="1" ht="24.75" customHeight="1" x14ac:dyDescent="0.35">
      <c r="A245" s="314"/>
      <c r="B245" s="331"/>
      <c r="C245" s="331"/>
      <c r="D245" s="331"/>
      <c r="E245" s="331"/>
      <c r="F245" s="331">
        <v>380</v>
      </c>
      <c r="G245" s="331"/>
      <c r="H245" s="317"/>
      <c r="I245" s="331"/>
      <c r="J245" s="331"/>
      <c r="K245" s="331"/>
      <c r="L245" s="331"/>
      <c r="M245" s="331"/>
      <c r="N245" s="331"/>
      <c r="O245" s="331"/>
      <c r="P245" s="331"/>
      <c r="Q245" s="331"/>
      <c r="R245" s="331"/>
      <c r="S245" s="331"/>
      <c r="T245" s="331"/>
      <c r="U245" s="331"/>
      <c r="V245" s="331"/>
      <c r="W245" s="331" t="s">
        <v>1373</v>
      </c>
      <c r="X245" s="323"/>
      <c r="Y245" s="323"/>
      <c r="Z245" s="335"/>
      <c r="AA245" s="344"/>
      <c r="AB245" s="344"/>
      <c r="AC245" s="344"/>
      <c r="AD245" s="345"/>
    </row>
    <row r="246" spans="1:30" s="346" customFormat="1" ht="24.75" customHeight="1" x14ac:dyDescent="0.35">
      <c r="A246" s="325">
        <v>119</v>
      </c>
      <c r="B246" s="331" t="s">
        <v>1025</v>
      </c>
      <c r="C246" s="331" t="s">
        <v>144</v>
      </c>
      <c r="D246" s="331" t="s">
        <v>31</v>
      </c>
      <c r="E246" s="331" t="s">
        <v>1025</v>
      </c>
      <c r="F246" s="331"/>
      <c r="G246" s="331"/>
      <c r="H246" s="326">
        <f>H244+F245</f>
        <v>45599.428</v>
      </c>
      <c r="I246" s="338">
        <v>437.85500000000002</v>
      </c>
      <c r="J246" s="331">
        <v>72.5</v>
      </c>
      <c r="K246" s="331">
        <f>F245+F247</f>
        <v>825</v>
      </c>
      <c r="L246" s="331">
        <f>K246/2</f>
        <v>412.5</v>
      </c>
      <c r="M246" s="331">
        <v>198</v>
      </c>
      <c r="N246" s="331">
        <v>154</v>
      </c>
      <c r="O246" s="331">
        <v>352</v>
      </c>
      <c r="P246" s="331">
        <v>196</v>
      </c>
      <c r="Q246" s="331">
        <v>175</v>
      </c>
      <c r="R246" s="331">
        <v>371</v>
      </c>
      <c r="S246" s="331" t="s">
        <v>1374</v>
      </c>
      <c r="T246" s="331" t="s">
        <v>1375</v>
      </c>
      <c r="U246" s="331">
        <v>559261.59900000005</v>
      </c>
      <c r="V246" s="331">
        <v>2661938.8229999999</v>
      </c>
      <c r="W246" s="331"/>
      <c r="X246" s="315" t="s">
        <v>1366</v>
      </c>
      <c r="Y246" s="315" t="s">
        <v>1302</v>
      </c>
      <c r="Z246" s="335" t="s">
        <v>359</v>
      </c>
      <c r="AA246" s="344"/>
      <c r="AB246" s="344"/>
      <c r="AC246" s="344"/>
      <c r="AD246" s="345"/>
    </row>
    <row r="247" spans="1:30" s="346" customFormat="1" ht="24.75" customHeight="1" x14ac:dyDescent="0.35">
      <c r="A247" s="314"/>
      <c r="B247" s="331"/>
      <c r="C247" s="331"/>
      <c r="D247" s="331"/>
      <c r="E247" s="331"/>
      <c r="F247" s="331">
        <v>445</v>
      </c>
      <c r="G247" s="331"/>
      <c r="H247" s="317"/>
      <c r="I247" s="331"/>
      <c r="J247" s="331"/>
      <c r="K247" s="331"/>
      <c r="L247" s="331"/>
      <c r="M247" s="331"/>
      <c r="N247" s="331"/>
      <c r="O247" s="331"/>
      <c r="P247" s="331"/>
      <c r="Q247" s="331"/>
      <c r="R247" s="331"/>
      <c r="S247" s="331"/>
      <c r="T247" s="331"/>
      <c r="U247" s="331"/>
      <c r="V247" s="331"/>
      <c r="W247" s="331" t="s">
        <v>1376</v>
      </c>
      <c r="X247" s="323"/>
      <c r="Y247" s="323"/>
      <c r="Z247" s="335"/>
      <c r="AA247" s="344"/>
      <c r="AB247" s="344"/>
      <c r="AC247" s="344"/>
      <c r="AD247" s="345"/>
    </row>
    <row r="248" spans="1:30" s="346" customFormat="1" ht="24.75" customHeight="1" x14ac:dyDescent="0.35">
      <c r="A248" s="325">
        <v>120</v>
      </c>
      <c r="B248" s="331" t="s">
        <v>1377</v>
      </c>
      <c r="C248" s="331" t="s">
        <v>145</v>
      </c>
      <c r="D248" s="331" t="s">
        <v>146</v>
      </c>
      <c r="E248" s="331" t="s">
        <v>1378</v>
      </c>
      <c r="F248" s="331"/>
      <c r="G248" s="331">
        <f>SUM(F225:F247)</f>
        <v>4780</v>
      </c>
      <c r="H248" s="326">
        <f>H246+F247</f>
        <v>46044.428</v>
      </c>
      <c r="I248" s="331">
        <v>434.42399999999998</v>
      </c>
      <c r="J248" s="331">
        <v>88.72</v>
      </c>
      <c r="K248" s="331">
        <f>F247+F249</f>
        <v>665</v>
      </c>
      <c r="L248" s="331">
        <f>K248/2</f>
        <v>332.5</v>
      </c>
      <c r="M248" s="331">
        <v>293</v>
      </c>
      <c r="N248" s="331">
        <v>140</v>
      </c>
      <c r="O248" s="331">
        <v>433</v>
      </c>
      <c r="P248" s="331">
        <v>272</v>
      </c>
      <c r="Q248" s="331">
        <v>123</v>
      </c>
      <c r="R248" s="331">
        <v>395</v>
      </c>
      <c r="S248" s="331" t="s">
        <v>1379</v>
      </c>
      <c r="T248" s="331" t="s">
        <v>1380</v>
      </c>
      <c r="U248" s="331">
        <v>559683.14800000004</v>
      </c>
      <c r="V248" s="331">
        <v>2661795.2880000002</v>
      </c>
      <c r="W248" s="331"/>
      <c r="X248" s="315" t="s">
        <v>1366</v>
      </c>
      <c r="Y248" s="315" t="s">
        <v>1302</v>
      </c>
      <c r="Z248" s="335" t="s">
        <v>359</v>
      </c>
      <c r="AA248" s="344"/>
      <c r="AB248" s="344"/>
      <c r="AC248" s="344"/>
      <c r="AD248" s="345"/>
    </row>
    <row r="249" spans="1:30" s="346" customFormat="1" ht="28" x14ac:dyDescent="0.35">
      <c r="A249" s="314"/>
      <c r="B249" s="331"/>
      <c r="C249" s="331"/>
      <c r="D249" s="331"/>
      <c r="E249" s="331"/>
      <c r="F249" s="331">
        <v>220</v>
      </c>
      <c r="G249" s="331"/>
      <c r="H249" s="317"/>
      <c r="I249" s="331"/>
      <c r="J249" s="331"/>
      <c r="K249" s="331"/>
      <c r="L249" s="331"/>
      <c r="M249" s="331"/>
      <c r="N249" s="331"/>
      <c r="O249" s="331"/>
      <c r="P249" s="331"/>
      <c r="Q249" s="331"/>
      <c r="R249" s="331"/>
      <c r="S249" s="331"/>
      <c r="T249" s="331"/>
      <c r="U249" s="331"/>
      <c r="V249" s="331"/>
      <c r="W249" s="339" t="s">
        <v>1381</v>
      </c>
      <c r="X249" s="323"/>
      <c r="Y249" s="323"/>
      <c r="Z249" s="335"/>
      <c r="AA249" s="344"/>
      <c r="AB249" s="344"/>
      <c r="AC249" s="344"/>
      <c r="AD249" s="345"/>
    </row>
    <row r="250" spans="1:30" s="346" customFormat="1" ht="24.75" customHeight="1" x14ac:dyDescent="0.35">
      <c r="A250" s="325">
        <v>121</v>
      </c>
      <c r="B250" s="331" t="s">
        <v>1382</v>
      </c>
      <c r="C250" s="331" t="s">
        <v>147</v>
      </c>
      <c r="D250" s="331" t="s">
        <v>148</v>
      </c>
      <c r="E250" s="331" t="s">
        <v>1383</v>
      </c>
      <c r="F250" s="331"/>
      <c r="G250" s="331">
        <f>F249</f>
        <v>220</v>
      </c>
      <c r="H250" s="326">
        <f>H248+F249</f>
        <v>46264.428</v>
      </c>
      <c r="I250" s="331">
        <v>438.09100000000001</v>
      </c>
      <c r="J250" s="331">
        <v>82.72</v>
      </c>
      <c r="K250" s="331">
        <f>F249+F251</f>
        <v>655</v>
      </c>
      <c r="L250" s="331">
        <f>K250/2</f>
        <v>327.5</v>
      </c>
      <c r="M250" s="331">
        <v>80</v>
      </c>
      <c r="N250" s="331">
        <v>252</v>
      </c>
      <c r="O250" s="331">
        <v>332</v>
      </c>
      <c r="P250" s="331">
        <v>97</v>
      </c>
      <c r="Q250" s="331">
        <v>244</v>
      </c>
      <c r="R250" s="331">
        <v>341</v>
      </c>
      <c r="S250" s="331" t="s">
        <v>1384</v>
      </c>
      <c r="T250" s="331" t="s">
        <v>1385</v>
      </c>
      <c r="U250" s="331">
        <v>559871.04500000004</v>
      </c>
      <c r="V250" s="331">
        <v>2661681.2519999999</v>
      </c>
      <c r="W250" s="331"/>
      <c r="X250" s="315" t="s">
        <v>1366</v>
      </c>
      <c r="Y250" s="315" t="s">
        <v>1302</v>
      </c>
      <c r="Z250" s="335" t="s">
        <v>359</v>
      </c>
      <c r="AA250" s="344"/>
      <c r="AB250" s="344"/>
      <c r="AC250" s="344"/>
      <c r="AD250" s="345"/>
    </row>
    <row r="251" spans="1:30" s="346" customFormat="1" ht="24.75" customHeight="1" x14ac:dyDescent="0.35">
      <c r="A251" s="314"/>
      <c r="B251" s="331"/>
      <c r="C251" s="331"/>
      <c r="D251" s="331"/>
      <c r="E251" s="331"/>
      <c r="F251" s="331">
        <v>435</v>
      </c>
      <c r="G251" s="331"/>
      <c r="H251" s="317"/>
      <c r="I251" s="331"/>
      <c r="J251" s="331"/>
      <c r="K251" s="331"/>
      <c r="L251" s="331"/>
      <c r="M251" s="331"/>
      <c r="N251" s="331"/>
      <c r="O251" s="331"/>
      <c r="P251" s="331"/>
      <c r="Q251" s="331"/>
      <c r="R251" s="331"/>
      <c r="S251" s="331"/>
      <c r="T251" s="331"/>
      <c r="U251" s="331"/>
      <c r="V251" s="331"/>
      <c r="W251" s="331" t="s">
        <v>1386</v>
      </c>
      <c r="X251" s="323"/>
      <c r="Y251" s="323"/>
      <c r="Z251" s="335"/>
      <c r="AA251" s="344"/>
      <c r="AB251" s="344"/>
      <c r="AC251" s="344"/>
      <c r="AD251" s="345"/>
    </row>
    <row r="252" spans="1:30" s="346" customFormat="1" ht="24.75" customHeight="1" x14ac:dyDescent="0.35">
      <c r="A252" s="325">
        <v>122</v>
      </c>
      <c r="B252" s="331" t="s">
        <v>1025</v>
      </c>
      <c r="C252" s="331" t="s">
        <v>149</v>
      </c>
      <c r="D252" s="331" t="s">
        <v>35</v>
      </c>
      <c r="E252" s="331" t="s">
        <v>1025</v>
      </c>
      <c r="F252" s="331"/>
      <c r="G252" s="331"/>
      <c r="H252" s="326">
        <f>H250+F251</f>
        <v>46699.428</v>
      </c>
      <c r="I252" s="331">
        <v>440.005</v>
      </c>
      <c r="J252" s="331">
        <v>74</v>
      </c>
      <c r="K252" s="331">
        <f>F251+F253</f>
        <v>840</v>
      </c>
      <c r="L252" s="331">
        <f>K252/2</f>
        <v>420</v>
      </c>
      <c r="M252" s="331">
        <v>184</v>
      </c>
      <c r="N252" s="331">
        <v>187</v>
      </c>
      <c r="O252" s="331">
        <v>371</v>
      </c>
      <c r="P252" s="331">
        <v>193</v>
      </c>
      <c r="Q252" s="331">
        <v>191</v>
      </c>
      <c r="R252" s="331">
        <v>384</v>
      </c>
      <c r="S252" s="331" t="s">
        <v>1387</v>
      </c>
      <c r="T252" s="331" t="s">
        <v>1388</v>
      </c>
      <c r="U252" s="331">
        <v>560297.29799999995</v>
      </c>
      <c r="V252" s="331">
        <v>2661594.4559999998</v>
      </c>
      <c r="W252" s="331"/>
      <c r="X252" s="315" t="s">
        <v>1389</v>
      </c>
      <c r="Y252" s="315" t="s">
        <v>1302</v>
      </c>
      <c r="Z252" s="335" t="s">
        <v>359</v>
      </c>
      <c r="AA252" s="344"/>
      <c r="AB252" s="344"/>
      <c r="AC252" s="344"/>
      <c r="AD252" s="345"/>
    </row>
    <row r="253" spans="1:30" s="346" customFormat="1" ht="24.75" customHeight="1" x14ac:dyDescent="0.35">
      <c r="A253" s="314"/>
      <c r="B253" s="331"/>
      <c r="C253" s="331"/>
      <c r="D253" s="331"/>
      <c r="E253" s="331"/>
      <c r="F253" s="331">
        <v>405</v>
      </c>
      <c r="G253" s="331"/>
      <c r="H253" s="317"/>
      <c r="I253" s="331"/>
      <c r="J253" s="331"/>
      <c r="K253" s="331"/>
      <c r="L253" s="331"/>
      <c r="M253" s="331"/>
      <c r="N253" s="331"/>
      <c r="O253" s="331"/>
      <c r="P253" s="331"/>
      <c r="Q253" s="331"/>
      <c r="R253" s="331"/>
      <c r="S253" s="331"/>
      <c r="T253" s="331"/>
      <c r="U253" s="331"/>
      <c r="V253" s="331"/>
      <c r="W253" s="331" t="s">
        <v>1390</v>
      </c>
      <c r="X253" s="323"/>
      <c r="Y253" s="323"/>
      <c r="Z253" s="335"/>
      <c r="AA253" s="344"/>
      <c r="AB253" s="344"/>
      <c r="AC253" s="344"/>
      <c r="AD253" s="345"/>
    </row>
    <row r="254" spans="1:30" s="346" customFormat="1" ht="24.75" customHeight="1" x14ac:dyDescent="0.35">
      <c r="A254" s="325">
        <v>123</v>
      </c>
      <c r="B254" s="331" t="s">
        <v>1025</v>
      </c>
      <c r="C254" s="331" t="s">
        <v>150</v>
      </c>
      <c r="D254" s="331" t="s">
        <v>16</v>
      </c>
      <c r="E254" s="331" t="s">
        <v>1025</v>
      </c>
      <c r="F254" s="331"/>
      <c r="G254" s="331"/>
      <c r="H254" s="326">
        <f>H252+F253</f>
        <v>47104.428</v>
      </c>
      <c r="I254" s="331">
        <v>439.35399999999998</v>
      </c>
      <c r="J254" s="331">
        <v>78.5</v>
      </c>
      <c r="K254" s="331">
        <f>F253+F255</f>
        <v>839</v>
      </c>
      <c r="L254" s="331">
        <f>K254/2</f>
        <v>419.5</v>
      </c>
      <c r="M254" s="331">
        <v>219</v>
      </c>
      <c r="N254" s="331">
        <v>235</v>
      </c>
      <c r="O254" s="331">
        <v>454</v>
      </c>
      <c r="P254" s="331">
        <v>216</v>
      </c>
      <c r="Q254" s="331">
        <v>231</v>
      </c>
      <c r="R254" s="331">
        <v>447</v>
      </c>
      <c r="S254" s="331" t="s">
        <v>1391</v>
      </c>
      <c r="T254" s="331" t="s">
        <v>1392</v>
      </c>
      <c r="U254" s="331">
        <v>560694.15399999998</v>
      </c>
      <c r="V254" s="331">
        <v>2661513.645</v>
      </c>
      <c r="W254" s="331"/>
      <c r="X254" s="315" t="s">
        <v>1389</v>
      </c>
      <c r="Y254" s="315" t="s">
        <v>1302</v>
      </c>
      <c r="Z254" s="335" t="s">
        <v>359</v>
      </c>
      <c r="AA254" s="344"/>
      <c r="AB254" s="344"/>
      <c r="AC254" s="344"/>
      <c r="AD254" s="345"/>
    </row>
    <row r="255" spans="1:30" s="346" customFormat="1" ht="24.75" customHeight="1" x14ac:dyDescent="0.35">
      <c r="A255" s="314"/>
      <c r="B255" s="331"/>
      <c r="C255" s="331"/>
      <c r="D255" s="331"/>
      <c r="E255" s="331"/>
      <c r="F255" s="331">
        <v>434</v>
      </c>
      <c r="G255" s="331"/>
      <c r="H255" s="317"/>
      <c r="I255" s="331"/>
      <c r="J255" s="331"/>
      <c r="K255" s="331"/>
      <c r="L255" s="331"/>
      <c r="M255" s="331"/>
      <c r="N255" s="331"/>
      <c r="O255" s="331"/>
      <c r="P255" s="331"/>
      <c r="Q255" s="331"/>
      <c r="R255" s="331"/>
      <c r="S255" s="331"/>
      <c r="T255" s="331"/>
      <c r="U255" s="331"/>
      <c r="V255" s="331"/>
      <c r="W255" s="331" t="s">
        <v>1393</v>
      </c>
      <c r="X255" s="323"/>
      <c r="Y255" s="323"/>
      <c r="Z255" s="335"/>
      <c r="AA255" s="344"/>
      <c r="AB255" s="344"/>
      <c r="AC255" s="344"/>
      <c r="AD255" s="345"/>
    </row>
    <row r="256" spans="1:30" s="346" customFormat="1" ht="24.75" customHeight="1" x14ac:dyDescent="0.35">
      <c r="A256" s="325">
        <v>124</v>
      </c>
      <c r="B256" s="331" t="s">
        <v>1025</v>
      </c>
      <c r="C256" s="331" t="s">
        <v>151</v>
      </c>
      <c r="D256" s="331" t="s">
        <v>16</v>
      </c>
      <c r="E256" s="331" t="s">
        <v>1025</v>
      </c>
      <c r="F256" s="331"/>
      <c r="G256" s="331"/>
      <c r="H256" s="326">
        <f>H254+F255</f>
        <v>47538.428</v>
      </c>
      <c r="I256" s="331">
        <v>434.87099999999998</v>
      </c>
      <c r="J256" s="331">
        <v>78.5</v>
      </c>
      <c r="K256" s="331">
        <f>F255+F257</f>
        <v>814</v>
      </c>
      <c r="L256" s="331">
        <f>K256/2</f>
        <v>407</v>
      </c>
      <c r="M256" s="331">
        <v>200</v>
      </c>
      <c r="N256" s="331">
        <v>216</v>
      </c>
      <c r="O256" s="331">
        <v>416</v>
      </c>
      <c r="P256" s="331">
        <v>205</v>
      </c>
      <c r="Q256" s="331">
        <v>210</v>
      </c>
      <c r="R256" s="331">
        <v>415</v>
      </c>
      <c r="S256" s="331" t="s">
        <v>1394</v>
      </c>
      <c r="T256" s="331" t="s">
        <v>1395</v>
      </c>
      <c r="U256" s="331">
        <v>561119.42700000003</v>
      </c>
      <c r="V256" s="331">
        <v>2661427.0490000001</v>
      </c>
      <c r="W256" s="331"/>
      <c r="X256" s="315" t="s">
        <v>1389</v>
      </c>
      <c r="Y256" s="315" t="s">
        <v>1302</v>
      </c>
      <c r="Z256" s="335" t="s">
        <v>359</v>
      </c>
      <c r="AA256" s="344"/>
      <c r="AB256" s="344"/>
      <c r="AC256" s="344"/>
      <c r="AD256" s="345"/>
    </row>
    <row r="257" spans="1:30" s="346" customFormat="1" ht="24.75" customHeight="1" x14ac:dyDescent="0.35">
      <c r="A257" s="314"/>
      <c r="B257" s="331"/>
      <c r="C257" s="331"/>
      <c r="D257" s="331"/>
      <c r="E257" s="331"/>
      <c r="F257" s="331">
        <v>380</v>
      </c>
      <c r="G257" s="331"/>
      <c r="H257" s="317"/>
      <c r="I257" s="331"/>
      <c r="J257" s="331"/>
      <c r="K257" s="331"/>
      <c r="L257" s="331"/>
      <c r="M257" s="331"/>
      <c r="N257" s="331"/>
      <c r="O257" s="331"/>
      <c r="P257" s="331"/>
      <c r="Q257" s="331"/>
      <c r="R257" s="331"/>
      <c r="S257" s="331"/>
      <c r="T257" s="331"/>
      <c r="U257" s="331"/>
      <c r="V257" s="331"/>
      <c r="W257" s="331" t="s">
        <v>1396</v>
      </c>
      <c r="X257" s="323"/>
      <c r="Y257" s="323"/>
      <c r="Z257" s="335"/>
      <c r="AA257" s="344"/>
      <c r="AB257" s="344"/>
      <c r="AC257" s="344"/>
      <c r="AD257" s="345"/>
    </row>
    <row r="258" spans="1:30" s="346" customFormat="1" ht="24.75" customHeight="1" x14ac:dyDescent="0.35">
      <c r="A258" s="325">
        <v>125</v>
      </c>
      <c r="B258" s="331" t="s">
        <v>1025</v>
      </c>
      <c r="C258" s="331" t="s">
        <v>152</v>
      </c>
      <c r="D258" s="331" t="s">
        <v>23</v>
      </c>
      <c r="E258" s="331" t="s">
        <v>1025</v>
      </c>
      <c r="F258" s="331"/>
      <c r="G258" s="331"/>
      <c r="H258" s="326">
        <f>H256+F257</f>
        <v>47918.428</v>
      </c>
      <c r="I258" s="331">
        <v>438.149</v>
      </c>
      <c r="J258" s="331">
        <v>69.5</v>
      </c>
      <c r="K258" s="331">
        <f>F257+F259</f>
        <v>759</v>
      </c>
      <c r="L258" s="331">
        <f>K258/2</f>
        <v>379.5</v>
      </c>
      <c r="M258" s="331">
        <v>165</v>
      </c>
      <c r="N258" s="331">
        <v>121</v>
      </c>
      <c r="O258" s="331">
        <v>286</v>
      </c>
      <c r="P258" s="331">
        <v>171</v>
      </c>
      <c r="Q258" s="331">
        <v>138</v>
      </c>
      <c r="R258" s="331">
        <v>309</v>
      </c>
      <c r="S258" s="331" t="s">
        <v>1397</v>
      </c>
      <c r="T258" s="331" t="s">
        <v>1398</v>
      </c>
      <c r="U258" s="331">
        <v>561491.78500000003</v>
      </c>
      <c r="V258" s="331">
        <v>2661351.227</v>
      </c>
      <c r="W258" s="331"/>
      <c r="X258" s="315" t="s">
        <v>1389</v>
      </c>
      <c r="Y258" s="315" t="s">
        <v>1302</v>
      </c>
      <c r="Z258" s="335" t="s">
        <v>359</v>
      </c>
      <c r="AA258" s="344"/>
      <c r="AB258" s="344"/>
      <c r="AC258" s="344"/>
      <c r="AD258" s="345"/>
    </row>
    <row r="259" spans="1:30" s="346" customFormat="1" ht="24.75" customHeight="1" x14ac:dyDescent="0.35">
      <c r="A259" s="314"/>
      <c r="B259" s="331"/>
      <c r="C259" s="331"/>
      <c r="D259" s="331"/>
      <c r="E259" s="331"/>
      <c r="F259" s="331">
        <v>379</v>
      </c>
      <c r="G259" s="331"/>
      <c r="H259" s="317"/>
      <c r="I259" s="331"/>
      <c r="J259" s="331"/>
      <c r="K259" s="331"/>
      <c r="L259" s="331"/>
      <c r="M259" s="331"/>
      <c r="N259" s="331"/>
      <c r="O259" s="331"/>
      <c r="P259" s="331"/>
      <c r="Q259" s="331"/>
      <c r="R259" s="331"/>
      <c r="S259" s="331"/>
      <c r="T259" s="331"/>
      <c r="U259" s="331"/>
      <c r="V259" s="331"/>
      <c r="W259" s="331"/>
      <c r="X259" s="323"/>
      <c r="Y259" s="323"/>
      <c r="Z259" s="335"/>
      <c r="AA259" s="344"/>
      <c r="AB259" s="344"/>
      <c r="AC259" s="344"/>
      <c r="AD259" s="345"/>
    </row>
    <row r="260" spans="1:30" s="346" customFormat="1" ht="24.75" customHeight="1" x14ac:dyDescent="0.35">
      <c r="A260" s="325">
        <v>126</v>
      </c>
      <c r="B260" s="331" t="s">
        <v>1399</v>
      </c>
      <c r="C260" s="331" t="s">
        <v>153</v>
      </c>
      <c r="D260" s="331" t="s">
        <v>154</v>
      </c>
      <c r="E260" s="331" t="s">
        <v>1400</v>
      </c>
      <c r="F260" s="331"/>
      <c r="G260" s="331">
        <f>SUM(F251:F259)</f>
        <v>2033</v>
      </c>
      <c r="H260" s="326">
        <f>H258+F259</f>
        <v>48297.428</v>
      </c>
      <c r="I260" s="331">
        <v>441.41800000000001</v>
      </c>
      <c r="J260" s="331">
        <v>79.72</v>
      </c>
      <c r="K260" s="331">
        <f>F259+F261</f>
        <v>857</v>
      </c>
      <c r="L260" s="331">
        <f>K260/2</f>
        <v>428.5</v>
      </c>
      <c r="M260" s="331">
        <v>275</v>
      </c>
      <c r="N260" s="331">
        <v>258</v>
      </c>
      <c r="O260" s="331">
        <v>533</v>
      </c>
      <c r="P260" s="331">
        <v>250</v>
      </c>
      <c r="Q260" s="331">
        <v>255</v>
      </c>
      <c r="R260" s="331">
        <v>505</v>
      </c>
      <c r="S260" s="331" t="s">
        <v>1401</v>
      </c>
      <c r="T260" s="331" t="s">
        <v>1402</v>
      </c>
      <c r="U260" s="331">
        <v>561863.01699999999</v>
      </c>
      <c r="V260" s="331">
        <v>2661275.6340000001</v>
      </c>
      <c r="W260" s="331"/>
      <c r="X260" s="315" t="s">
        <v>1403</v>
      </c>
      <c r="Y260" s="315" t="s">
        <v>1302</v>
      </c>
      <c r="Z260" s="335" t="s">
        <v>359</v>
      </c>
      <c r="AA260" s="344"/>
      <c r="AB260" s="344"/>
      <c r="AC260" s="344"/>
      <c r="AD260" s="345"/>
    </row>
    <row r="261" spans="1:30" s="346" customFormat="1" ht="24.75" customHeight="1" x14ac:dyDescent="0.35">
      <c r="A261" s="314"/>
      <c r="B261" s="331"/>
      <c r="C261" s="331"/>
      <c r="D261" s="331"/>
      <c r="E261" s="331"/>
      <c r="F261" s="323">
        <f>491-13</f>
        <v>478</v>
      </c>
      <c r="G261" s="331"/>
      <c r="H261" s="317"/>
      <c r="I261" s="331"/>
      <c r="J261" s="331"/>
      <c r="K261" s="331"/>
      <c r="L261" s="331"/>
      <c r="M261" s="331"/>
      <c r="N261" s="331"/>
      <c r="O261" s="331"/>
      <c r="P261" s="331"/>
      <c r="Q261" s="331"/>
      <c r="R261" s="331"/>
      <c r="S261" s="331"/>
      <c r="T261" s="331"/>
      <c r="U261" s="331"/>
      <c r="V261" s="331"/>
      <c r="W261" s="331" t="s">
        <v>1404</v>
      </c>
      <c r="X261" s="323"/>
      <c r="Y261" s="323"/>
      <c r="Z261" s="335"/>
      <c r="AA261" s="344"/>
      <c r="AB261" s="344"/>
      <c r="AC261" s="344"/>
      <c r="AD261" s="345"/>
    </row>
    <row r="262" spans="1:30" s="346" customFormat="1" ht="24.75" customHeight="1" x14ac:dyDescent="0.35">
      <c r="A262" s="325">
        <v>127</v>
      </c>
      <c r="B262" s="331" t="s">
        <v>1025</v>
      </c>
      <c r="C262" s="331" t="s">
        <v>155</v>
      </c>
      <c r="D262" s="331" t="s">
        <v>156</v>
      </c>
      <c r="E262" s="331" t="s">
        <v>1025</v>
      </c>
      <c r="F262" s="323"/>
      <c r="G262" s="331">
        <f>F261</f>
        <v>478</v>
      </c>
      <c r="H262" s="326">
        <f>H260+F261</f>
        <v>48775.428</v>
      </c>
      <c r="I262" s="331">
        <v>435.38299999999998</v>
      </c>
      <c r="J262" s="331">
        <v>79.72</v>
      </c>
      <c r="K262" s="331">
        <f>F261+F263</f>
        <v>942</v>
      </c>
      <c r="L262" s="331">
        <f>K262/2</f>
        <v>471</v>
      </c>
      <c r="M262" s="331">
        <v>221</v>
      </c>
      <c r="N262" s="331">
        <v>267</v>
      </c>
      <c r="O262" s="331">
        <v>488</v>
      </c>
      <c r="P262" s="331">
        <v>225</v>
      </c>
      <c r="Q262" s="331">
        <v>257</v>
      </c>
      <c r="R262" s="331">
        <v>482</v>
      </c>
      <c r="S262" s="331" t="s">
        <v>2071</v>
      </c>
      <c r="T262" s="331" t="s">
        <v>2072</v>
      </c>
      <c r="U262" s="331">
        <v>562296.78399999999</v>
      </c>
      <c r="V262" s="331">
        <v>2661074.8130000001</v>
      </c>
      <c r="W262" s="331"/>
      <c r="X262" s="315" t="s">
        <v>1403</v>
      </c>
      <c r="Y262" s="315" t="s">
        <v>1302</v>
      </c>
      <c r="Z262" s="335" t="s">
        <v>359</v>
      </c>
      <c r="AA262" s="344"/>
      <c r="AB262" s="344"/>
      <c r="AC262" s="344"/>
      <c r="AD262" s="345"/>
    </row>
    <row r="263" spans="1:30" s="346" customFormat="1" ht="24.75" customHeight="1" x14ac:dyDescent="0.35">
      <c r="A263" s="314"/>
      <c r="B263" s="331"/>
      <c r="C263" s="331"/>
      <c r="D263" s="331"/>
      <c r="E263" s="331"/>
      <c r="F263" s="323">
        <f>451+13</f>
        <v>464</v>
      </c>
      <c r="G263" s="331"/>
      <c r="H263" s="317"/>
      <c r="I263" s="331"/>
      <c r="J263" s="331"/>
      <c r="K263" s="331"/>
      <c r="L263" s="331"/>
      <c r="M263" s="331"/>
      <c r="N263" s="331"/>
      <c r="O263" s="331"/>
      <c r="P263" s="331"/>
      <c r="Q263" s="331"/>
      <c r="R263" s="331"/>
      <c r="S263" s="331"/>
      <c r="T263" s="331"/>
      <c r="U263" s="331"/>
      <c r="V263" s="331"/>
      <c r="W263" s="331" t="s">
        <v>1405</v>
      </c>
      <c r="X263" s="323"/>
      <c r="Y263" s="323"/>
      <c r="Z263" s="335"/>
      <c r="AA263" s="344"/>
      <c r="AB263" s="344"/>
      <c r="AC263" s="344"/>
      <c r="AD263" s="345"/>
    </row>
    <row r="264" spans="1:30" s="346" customFormat="1" ht="24.75" customHeight="1" x14ac:dyDescent="0.35">
      <c r="A264" s="325">
        <v>128</v>
      </c>
      <c r="B264" s="331" t="s">
        <v>1025</v>
      </c>
      <c r="C264" s="331" t="s">
        <v>157</v>
      </c>
      <c r="D264" s="331" t="s">
        <v>31</v>
      </c>
      <c r="E264" s="331" t="s">
        <v>1025</v>
      </c>
      <c r="F264" s="331"/>
      <c r="G264" s="331"/>
      <c r="H264" s="326">
        <f>H262+F263</f>
        <v>49239.428</v>
      </c>
      <c r="I264" s="338">
        <v>438.024</v>
      </c>
      <c r="J264" s="331">
        <v>72.5</v>
      </c>
      <c r="K264" s="331">
        <f>F263+F265</f>
        <v>840</v>
      </c>
      <c r="L264" s="331">
        <f>K264/2</f>
        <v>420</v>
      </c>
      <c r="M264" s="331">
        <v>198</v>
      </c>
      <c r="N264" s="331">
        <v>171</v>
      </c>
      <c r="O264" s="331">
        <v>369</v>
      </c>
      <c r="P264" s="331">
        <v>209</v>
      </c>
      <c r="Q264" s="331">
        <v>177</v>
      </c>
      <c r="R264" s="331">
        <v>386</v>
      </c>
      <c r="S264" s="331" t="s">
        <v>1406</v>
      </c>
      <c r="T264" s="331" t="s">
        <v>1407</v>
      </c>
      <c r="U264" s="331">
        <v>562717.84900000005</v>
      </c>
      <c r="V264" s="331">
        <v>2660879.8739999998</v>
      </c>
      <c r="W264" s="331"/>
      <c r="X264" s="315" t="s">
        <v>1403</v>
      </c>
      <c r="Y264" s="315" t="s">
        <v>1302</v>
      </c>
      <c r="Z264" s="335" t="s">
        <v>359</v>
      </c>
      <c r="AA264" s="344"/>
      <c r="AB264" s="344"/>
      <c r="AC264" s="344"/>
      <c r="AD264" s="345"/>
    </row>
    <row r="265" spans="1:30" s="346" customFormat="1" ht="42" x14ac:dyDescent="0.35">
      <c r="A265" s="314"/>
      <c r="B265" s="331"/>
      <c r="C265" s="331"/>
      <c r="D265" s="331"/>
      <c r="E265" s="331"/>
      <c r="F265" s="331">
        <v>376</v>
      </c>
      <c r="G265" s="331"/>
      <c r="H265" s="317"/>
      <c r="I265" s="331"/>
      <c r="J265" s="331"/>
      <c r="K265" s="331"/>
      <c r="L265" s="331"/>
      <c r="M265" s="331"/>
      <c r="N265" s="331"/>
      <c r="O265" s="331"/>
      <c r="P265" s="331"/>
      <c r="Q265" s="331"/>
      <c r="R265" s="331"/>
      <c r="S265" s="331"/>
      <c r="T265" s="331"/>
      <c r="U265" s="331"/>
      <c r="V265" s="331"/>
      <c r="W265" s="331" t="s">
        <v>1408</v>
      </c>
      <c r="X265" s="323"/>
      <c r="Y265" s="323"/>
      <c r="Z265" s="335"/>
      <c r="AA265" s="344"/>
      <c r="AB265" s="344"/>
      <c r="AC265" s="344"/>
      <c r="AD265" s="345"/>
    </row>
    <row r="266" spans="1:30" s="346" customFormat="1" ht="24.75" customHeight="1" x14ac:dyDescent="0.35">
      <c r="A266" s="325">
        <v>129</v>
      </c>
      <c r="B266" s="331" t="s">
        <v>1025</v>
      </c>
      <c r="C266" s="331" t="s">
        <v>158</v>
      </c>
      <c r="D266" s="331" t="s">
        <v>35</v>
      </c>
      <c r="E266" s="331" t="s">
        <v>1025</v>
      </c>
      <c r="F266" s="331"/>
      <c r="G266" s="331"/>
      <c r="H266" s="326">
        <f>H264+F265</f>
        <v>49615.428</v>
      </c>
      <c r="I266" s="331">
        <v>439.55799999999999</v>
      </c>
      <c r="J266" s="331">
        <v>74</v>
      </c>
      <c r="K266" s="331">
        <f>F265+F267</f>
        <v>756</v>
      </c>
      <c r="L266" s="331">
        <f>K266/2</f>
        <v>378</v>
      </c>
      <c r="M266" s="331">
        <v>206</v>
      </c>
      <c r="N266" s="331">
        <v>202</v>
      </c>
      <c r="O266" s="331">
        <v>408</v>
      </c>
      <c r="P266" s="331">
        <v>200</v>
      </c>
      <c r="Q266" s="331">
        <v>199</v>
      </c>
      <c r="R266" s="331">
        <v>399</v>
      </c>
      <c r="S266" s="331" t="s">
        <v>1409</v>
      </c>
      <c r="T266" s="331" t="s">
        <v>1410</v>
      </c>
      <c r="U266" s="331">
        <v>563059.05599999998</v>
      </c>
      <c r="V266" s="331">
        <v>2660721.906</v>
      </c>
      <c r="W266" s="331"/>
      <c r="X266" s="315" t="s">
        <v>1403</v>
      </c>
      <c r="Y266" s="315" t="s">
        <v>1302</v>
      </c>
      <c r="Z266" s="335" t="s">
        <v>359</v>
      </c>
      <c r="AA266" s="344"/>
      <c r="AB266" s="344"/>
      <c r="AC266" s="344"/>
      <c r="AD266" s="345"/>
    </row>
    <row r="267" spans="1:30" s="346" customFormat="1" ht="24.75" customHeight="1" x14ac:dyDescent="0.35">
      <c r="A267" s="314"/>
      <c r="B267" s="331"/>
      <c r="C267" s="331"/>
      <c r="D267" s="331"/>
      <c r="E267" s="331"/>
      <c r="F267" s="331">
        <v>380</v>
      </c>
      <c r="G267" s="331"/>
      <c r="H267" s="317"/>
      <c r="I267" s="331"/>
      <c r="J267" s="331"/>
      <c r="K267" s="331"/>
      <c r="L267" s="331"/>
      <c r="M267" s="331"/>
      <c r="N267" s="331"/>
      <c r="O267" s="331"/>
      <c r="P267" s="331"/>
      <c r="Q267" s="331"/>
      <c r="R267" s="331"/>
      <c r="S267" s="331"/>
      <c r="T267" s="331"/>
      <c r="U267" s="331"/>
      <c r="V267" s="331"/>
      <c r="W267" s="331" t="s">
        <v>1411</v>
      </c>
      <c r="X267" s="323"/>
      <c r="Y267" s="323"/>
      <c r="Z267" s="335"/>
      <c r="AA267" s="344"/>
      <c r="AB267" s="344"/>
      <c r="AC267" s="344"/>
      <c r="AD267" s="345"/>
    </row>
    <row r="268" spans="1:30" s="346" customFormat="1" ht="24.75" customHeight="1" x14ac:dyDescent="0.35">
      <c r="A268" s="325">
        <v>130</v>
      </c>
      <c r="B268" s="331" t="s">
        <v>1025</v>
      </c>
      <c r="C268" s="331" t="s">
        <v>159</v>
      </c>
      <c r="D268" s="331" t="s">
        <v>23</v>
      </c>
      <c r="E268" s="331" t="s">
        <v>1025</v>
      </c>
      <c r="F268" s="331"/>
      <c r="G268" s="331"/>
      <c r="H268" s="326">
        <f>H266+F267</f>
        <v>49995.428</v>
      </c>
      <c r="I268" s="331">
        <v>441.94</v>
      </c>
      <c r="J268" s="331">
        <v>69.5</v>
      </c>
      <c r="K268" s="331">
        <f>F267+F269</f>
        <v>732</v>
      </c>
      <c r="L268" s="331">
        <f>K268/2</f>
        <v>366</v>
      </c>
      <c r="M268" s="331">
        <v>178</v>
      </c>
      <c r="N268" s="331">
        <v>159</v>
      </c>
      <c r="O268" s="331">
        <v>337</v>
      </c>
      <c r="P268" s="331">
        <v>182</v>
      </c>
      <c r="Q268" s="331">
        <v>163</v>
      </c>
      <c r="R268" s="331">
        <v>345</v>
      </c>
      <c r="S268" s="331" t="s">
        <v>1412</v>
      </c>
      <c r="T268" s="331" t="s">
        <v>1413</v>
      </c>
      <c r="U268" s="331">
        <v>563403.89300000004</v>
      </c>
      <c r="V268" s="331">
        <v>2660562.2570000002</v>
      </c>
      <c r="W268" s="331"/>
      <c r="X268" s="315" t="s">
        <v>1403</v>
      </c>
      <c r="Y268" s="315" t="s">
        <v>1302</v>
      </c>
      <c r="Z268" s="335" t="s">
        <v>359</v>
      </c>
      <c r="AA268" s="344"/>
      <c r="AB268" s="344"/>
      <c r="AC268" s="344"/>
      <c r="AD268" s="345"/>
    </row>
    <row r="269" spans="1:30" s="346" customFormat="1" ht="24.75" customHeight="1" x14ac:dyDescent="0.35">
      <c r="A269" s="314"/>
      <c r="B269" s="331"/>
      <c r="C269" s="331"/>
      <c r="D269" s="331"/>
      <c r="E269" s="331"/>
      <c r="F269" s="331">
        <v>352</v>
      </c>
      <c r="G269" s="331"/>
      <c r="H269" s="317"/>
      <c r="I269" s="331"/>
      <c r="J269" s="331"/>
      <c r="K269" s="331"/>
      <c r="L269" s="331"/>
      <c r="M269" s="331"/>
      <c r="N269" s="331"/>
      <c r="O269" s="331"/>
      <c r="P269" s="331"/>
      <c r="Q269" s="331"/>
      <c r="R269" s="331"/>
      <c r="S269" s="331"/>
      <c r="T269" s="331"/>
      <c r="U269" s="331"/>
      <c r="V269" s="331"/>
      <c r="W269" s="331" t="s">
        <v>1414</v>
      </c>
      <c r="X269" s="323"/>
      <c r="Y269" s="323"/>
      <c r="Z269" s="335"/>
      <c r="AA269" s="344"/>
      <c r="AB269" s="344"/>
      <c r="AC269" s="344"/>
      <c r="AD269" s="345"/>
    </row>
    <row r="270" spans="1:30" s="346" customFormat="1" ht="24.75" customHeight="1" x14ac:dyDescent="0.35">
      <c r="A270" s="325">
        <v>131</v>
      </c>
      <c r="B270" s="331" t="s">
        <v>1025</v>
      </c>
      <c r="C270" s="331" t="s">
        <v>160</v>
      </c>
      <c r="D270" s="331" t="s">
        <v>14</v>
      </c>
      <c r="E270" s="331" t="s">
        <v>1025</v>
      </c>
      <c r="F270" s="331"/>
      <c r="G270" s="331"/>
      <c r="H270" s="326">
        <f>H268+F269</f>
        <v>50347.428</v>
      </c>
      <c r="I270" s="331">
        <v>443.32299999999998</v>
      </c>
      <c r="J270" s="331">
        <v>71</v>
      </c>
      <c r="K270" s="331">
        <f>F269+F271</f>
        <v>713</v>
      </c>
      <c r="L270" s="331">
        <f>K270/2</f>
        <v>356.5</v>
      </c>
      <c r="M270" s="331">
        <v>193</v>
      </c>
      <c r="N270" s="331">
        <v>122</v>
      </c>
      <c r="O270" s="331">
        <v>315</v>
      </c>
      <c r="P270" s="331">
        <v>189</v>
      </c>
      <c r="Q270" s="331">
        <v>137</v>
      </c>
      <c r="R270" s="331">
        <v>326</v>
      </c>
      <c r="S270" s="331" t="s">
        <v>1415</v>
      </c>
      <c r="T270" s="331" t="s">
        <v>1416</v>
      </c>
      <c r="U270" s="331">
        <v>563723.31999999995</v>
      </c>
      <c r="V270" s="331">
        <v>2660414.37</v>
      </c>
      <c r="W270" s="331"/>
      <c r="X270" s="315" t="s">
        <v>1403</v>
      </c>
      <c r="Y270" s="315" t="s">
        <v>1302</v>
      </c>
      <c r="Z270" s="335" t="s">
        <v>359</v>
      </c>
      <c r="AA270" s="344"/>
      <c r="AB270" s="344"/>
      <c r="AC270" s="344"/>
      <c r="AD270" s="345"/>
    </row>
    <row r="271" spans="1:30" s="346" customFormat="1" ht="24.75" customHeight="1" x14ac:dyDescent="0.35">
      <c r="A271" s="314"/>
      <c r="B271" s="331"/>
      <c r="C271" s="331"/>
      <c r="D271" s="331"/>
      <c r="E271" s="331"/>
      <c r="F271" s="331">
        <v>361</v>
      </c>
      <c r="G271" s="331"/>
      <c r="H271" s="317"/>
      <c r="I271" s="331"/>
      <c r="J271" s="331"/>
      <c r="K271" s="331"/>
      <c r="L271" s="331"/>
      <c r="M271" s="331"/>
      <c r="N271" s="331"/>
      <c r="O271" s="331"/>
      <c r="P271" s="331"/>
      <c r="Q271" s="331"/>
      <c r="R271" s="331"/>
      <c r="S271" s="331"/>
      <c r="T271" s="331"/>
      <c r="U271" s="331"/>
      <c r="V271" s="331"/>
      <c r="W271" s="331" t="s">
        <v>1417</v>
      </c>
      <c r="X271" s="323"/>
      <c r="Y271" s="323"/>
      <c r="Z271" s="335"/>
      <c r="AA271" s="344"/>
      <c r="AB271" s="344"/>
      <c r="AC271" s="344"/>
      <c r="AD271" s="345"/>
    </row>
    <row r="272" spans="1:30" s="346" customFormat="1" ht="24.75" customHeight="1" x14ac:dyDescent="0.35">
      <c r="A272" s="325">
        <v>132</v>
      </c>
      <c r="B272" s="332" t="s">
        <v>1418</v>
      </c>
      <c r="C272" s="332" t="s">
        <v>161</v>
      </c>
      <c r="D272" s="332" t="s">
        <v>162</v>
      </c>
      <c r="E272" s="332" t="s">
        <v>1419</v>
      </c>
      <c r="F272" s="356"/>
      <c r="G272" s="357">
        <f>SUM(F263:F271)</f>
        <v>1933</v>
      </c>
      <c r="H272" s="326">
        <f>H270+F271</f>
        <v>50708.428</v>
      </c>
      <c r="I272" s="358">
        <v>445.74700000000001</v>
      </c>
      <c r="J272" s="358">
        <v>76.72</v>
      </c>
      <c r="K272" s="359">
        <f>F271+F273</f>
        <v>613</v>
      </c>
      <c r="L272" s="360">
        <f>K272/2</f>
        <v>306.5</v>
      </c>
      <c r="M272" s="332">
        <v>241</v>
      </c>
      <c r="N272" s="332">
        <v>-28</v>
      </c>
      <c r="O272" s="332">
        <v>213</v>
      </c>
      <c r="P272" s="332">
        <v>222</v>
      </c>
      <c r="Q272" s="332">
        <v>53</v>
      </c>
      <c r="R272" s="332">
        <v>275</v>
      </c>
      <c r="S272" s="332" t="s">
        <v>1420</v>
      </c>
      <c r="T272" s="332" t="s">
        <v>1421</v>
      </c>
      <c r="U272" s="358">
        <v>564050.78099999996</v>
      </c>
      <c r="V272" s="358">
        <v>2660262.7680000002</v>
      </c>
      <c r="W272" s="361"/>
      <c r="X272" s="315" t="s">
        <v>1403</v>
      </c>
      <c r="Y272" s="315" t="s">
        <v>1302</v>
      </c>
      <c r="Z272" s="335" t="s">
        <v>359</v>
      </c>
      <c r="AA272" s="344"/>
      <c r="AB272" s="344"/>
      <c r="AC272" s="344"/>
      <c r="AD272" s="345"/>
    </row>
    <row r="273" spans="1:30" s="346" customFormat="1" ht="28" x14ac:dyDescent="0.35">
      <c r="A273" s="314"/>
      <c r="B273" s="332"/>
      <c r="C273" s="332"/>
      <c r="D273" s="332"/>
      <c r="E273" s="332"/>
      <c r="F273" s="362">
        <v>252</v>
      </c>
      <c r="G273" s="356"/>
      <c r="H273" s="317"/>
      <c r="I273" s="358"/>
      <c r="J273" s="358"/>
      <c r="K273" s="359"/>
      <c r="L273" s="360"/>
      <c r="M273" s="332"/>
      <c r="N273" s="332"/>
      <c r="O273" s="332"/>
      <c r="P273" s="332"/>
      <c r="Q273" s="332"/>
      <c r="R273" s="332"/>
      <c r="S273" s="332"/>
      <c r="T273" s="332"/>
      <c r="U273" s="358"/>
      <c r="V273" s="358"/>
      <c r="W273" s="339" t="s">
        <v>1422</v>
      </c>
      <c r="X273" s="323"/>
      <c r="Y273" s="323"/>
      <c r="Z273" s="335"/>
      <c r="AA273" s="344"/>
      <c r="AB273" s="344"/>
      <c r="AC273" s="344"/>
      <c r="AD273" s="345"/>
    </row>
    <row r="274" spans="1:30" s="346" customFormat="1" ht="24.75" customHeight="1" x14ac:dyDescent="0.35">
      <c r="A274" s="325">
        <v>133</v>
      </c>
      <c r="B274" s="332" t="s">
        <v>1423</v>
      </c>
      <c r="C274" s="332" t="s">
        <v>163</v>
      </c>
      <c r="D274" s="332" t="s">
        <v>164</v>
      </c>
      <c r="E274" s="332" t="s">
        <v>1424</v>
      </c>
      <c r="F274" s="362"/>
      <c r="G274" s="357">
        <f>F273</f>
        <v>252</v>
      </c>
      <c r="H274" s="326">
        <f>H272+F273</f>
        <v>50960.428</v>
      </c>
      <c r="I274" s="358">
        <v>448.05799999999999</v>
      </c>
      <c r="J274" s="358">
        <v>88.72</v>
      </c>
      <c r="K274" s="359">
        <f>F273+F275</f>
        <v>646</v>
      </c>
      <c r="L274" s="360">
        <f>K274/2</f>
        <v>323</v>
      </c>
      <c r="M274" s="332">
        <v>281</v>
      </c>
      <c r="N274" s="332">
        <v>265</v>
      </c>
      <c r="O274" s="332">
        <v>546</v>
      </c>
      <c r="P274" s="332">
        <v>199</v>
      </c>
      <c r="Q274" s="332">
        <v>244</v>
      </c>
      <c r="R274" s="332">
        <v>443</v>
      </c>
      <c r="S274" s="332" t="s">
        <v>1425</v>
      </c>
      <c r="T274" s="332" t="s">
        <v>1426</v>
      </c>
      <c r="U274" s="358">
        <v>564150.63199999998</v>
      </c>
      <c r="V274" s="358">
        <v>2660031.4900000002</v>
      </c>
      <c r="W274" s="361"/>
      <c r="X274" s="315" t="s">
        <v>1403</v>
      </c>
      <c r="Y274" s="315" t="s">
        <v>1302</v>
      </c>
      <c r="Z274" s="335" t="s">
        <v>359</v>
      </c>
      <c r="AA274" s="344"/>
      <c r="AB274" s="344"/>
      <c r="AC274" s="344"/>
      <c r="AD274" s="345"/>
    </row>
    <row r="275" spans="1:30" s="346" customFormat="1" ht="24.75" customHeight="1" x14ac:dyDescent="0.35">
      <c r="A275" s="314"/>
      <c r="B275" s="332"/>
      <c r="C275" s="332"/>
      <c r="D275" s="332"/>
      <c r="E275" s="332"/>
      <c r="F275" s="362">
        <v>394</v>
      </c>
      <c r="G275" s="356"/>
      <c r="H275" s="317"/>
      <c r="I275" s="358"/>
      <c r="J275" s="358"/>
      <c r="K275" s="359"/>
      <c r="L275" s="360"/>
      <c r="M275" s="332"/>
      <c r="N275" s="332"/>
      <c r="O275" s="332"/>
      <c r="P275" s="332"/>
      <c r="Q275" s="332"/>
      <c r="R275" s="332"/>
      <c r="S275" s="332"/>
      <c r="T275" s="332"/>
      <c r="U275" s="358"/>
      <c r="V275" s="358"/>
      <c r="W275" s="334" t="s">
        <v>1427</v>
      </c>
      <c r="X275" s="323"/>
      <c r="Y275" s="323"/>
      <c r="Z275" s="335"/>
      <c r="AA275" s="344"/>
      <c r="AB275" s="344"/>
      <c r="AC275" s="344"/>
      <c r="AD275" s="345"/>
    </row>
    <row r="276" spans="1:30" s="346" customFormat="1" ht="24.75" customHeight="1" x14ac:dyDescent="0.35">
      <c r="A276" s="325">
        <v>134</v>
      </c>
      <c r="B276" s="332" t="s">
        <v>1025</v>
      </c>
      <c r="C276" s="332" t="s">
        <v>165</v>
      </c>
      <c r="D276" s="332" t="s">
        <v>35</v>
      </c>
      <c r="E276" s="332" t="s">
        <v>1025</v>
      </c>
      <c r="F276" s="362"/>
      <c r="G276" s="356"/>
      <c r="H276" s="326">
        <f>H274+F275</f>
        <v>51354.428</v>
      </c>
      <c r="I276" s="358">
        <v>452.24200000000002</v>
      </c>
      <c r="J276" s="331">
        <v>74</v>
      </c>
      <c r="K276" s="359">
        <f>F275+F277</f>
        <v>783</v>
      </c>
      <c r="L276" s="360">
        <f>K276/2</f>
        <v>391.5</v>
      </c>
      <c r="M276" s="332">
        <v>130</v>
      </c>
      <c r="N276" s="332">
        <v>180</v>
      </c>
      <c r="O276" s="332">
        <v>310</v>
      </c>
      <c r="P276" s="332">
        <v>152</v>
      </c>
      <c r="Q276" s="332">
        <v>185</v>
      </c>
      <c r="R276" s="332">
        <v>337</v>
      </c>
      <c r="S276" s="332" t="s">
        <v>1428</v>
      </c>
      <c r="T276" s="332" t="s">
        <v>1429</v>
      </c>
      <c r="U276" s="358">
        <v>564484.75600000005</v>
      </c>
      <c r="V276" s="358">
        <v>2659822.69</v>
      </c>
      <c r="W276" s="361"/>
      <c r="X276" s="315" t="s">
        <v>1403</v>
      </c>
      <c r="Y276" s="315" t="s">
        <v>1302</v>
      </c>
      <c r="Z276" s="335" t="s">
        <v>359</v>
      </c>
      <c r="AA276" s="344"/>
      <c r="AB276" s="344"/>
      <c r="AC276" s="344"/>
      <c r="AD276" s="345"/>
    </row>
    <row r="277" spans="1:30" s="346" customFormat="1" ht="28" x14ac:dyDescent="0.35">
      <c r="A277" s="314"/>
      <c r="B277" s="332"/>
      <c r="C277" s="332"/>
      <c r="D277" s="332"/>
      <c r="E277" s="332"/>
      <c r="F277" s="362">
        <v>389</v>
      </c>
      <c r="G277" s="356"/>
      <c r="H277" s="317"/>
      <c r="I277" s="358"/>
      <c r="J277" s="358"/>
      <c r="K277" s="359"/>
      <c r="L277" s="360"/>
      <c r="M277" s="332"/>
      <c r="N277" s="332"/>
      <c r="O277" s="332"/>
      <c r="P277" s="332"/>
      <c r="Q277" s="332"/>
      <c r="R277" s="332"/>
      <c r="S277" s="332"/>
      <c r="T277" s="332"/>
      <c r="U277" s="358"/>
      <c r="V277" s="358"/>
      <c r="W277" s="334" t="s">
        <v>1430</v>
      </c>
      <c r="X277" s="323"/>
      <c r="Y277" s="323"/>
      <c r="Z277" s="335"/>
      <c r="AA277" s="344"/>
      <c r="AB277" s="344"/>
      <c r="AC277" s="344"/>
      <c r="AD277" s="345"/>
    </row>
    <row r="278" spans="1:30" s="346" customFormat="1" ht="24.75" customHeight="1" x14ac:dyDescent="0.35">
      <c r="A278" s="325">
        <v>135</v>
      </c>
      <c r="B278" s="332" t="s">
        <v>1025</v>
      </c>
      <c r="C278" s="332" t="s">
        <v>166</v>
      </c>
      <c r="D278" s="332" t="s">
        <v>35</v>
      </c>
      <c r="E278" s="332" t="s">
        <v>1025</v>
      </c>
      <c r="F278" s="362"/>
      <c r="G278" s="356"/>
      <c r="H278" s="326">
        <f>H276+F277</f>
        <v>51743.428</v>
      </c>
      <c r="I278" s="358">
        <v>454.84199999999998</v>
      </c>
      <c r="J278" s="331">
        <v>74</v>
      </c>
      <c r="K278" s="359">
        <f>F277+F279</f>
        <v>788</v>
      </c>
      <c r="L278" s="360">
        <f>K278/2</f>
        <v>394</v>
      </c>
      <c r="M278" s="332">
        <v>209</v>
      </c>
      <c r="N278" s="332">
        <v>220</v>
      </c>
      <c r="O278" s="332">
        <v>429</v>
      </c>
      <c r="P278" s="332">
        <v>205</v>
      </c>
      <c r="Q278" s="332">
        <v>214</v>
      </c>
      <c r="R278" s="332">
        <v>419</v>
      </c>
      <c r="S278" s="332" t="s">
        <v>1431</v>
      </c>
      <c r="T278" s="332" t="s">
        <v>1432</v>
      </c>
      <c r="U278" s="358">
        <v>564814.63899999997</v>
      </c>
      <c r="V278" s="358">
        <v>2659616.54</v>
      </c>
      <c r="W278" s="361"/>
      <c r="X278" s="315" t="s">
        <v>1433</v>
      </c>
      <c r="Y278" s="315" t="s">
        <v>1302</v>
      </c>
      <c r="Z278" s="335" t="s">
        <v>359</v>
      </c>
      <c r="AA278" s="344"/>
      <c r="AB278" s="344"/>
      <c r="AC278" s="344"/>
      <c r="AD278" s="345"/>
    </row>
    <row r="279" spans="1:30" s="346" customFormat="1" ht="28" x14ac:dyDescent="0.35">
      <c r="A279" s="314"/>
      <c r="B279" s="332"/>
      <c r="C279" s="332"/>
      <c r="D279" s="332"/>
      <c r="E279" s="332"/>
      <c r="F279" s="362">
        <v>399</v>
      </c>
      <c r="G279" s="356"/>
      <c r="H279" s="317"/>
      <c r="I279" s="358"/>
      <c r="J279" s="358"/>
      <c r="K279" s="359"/>
      <c r="L279" s="360"/>
      <c r="M279" s="332"/>
      <c r="N279" s="332"/>
      <c r="O279" s="332"/>
      <c r="P279" s="332"/>
      <c r="Q279" s="332"/>
      <c r="R279" s="332"/>
      <c r="S279" s="332"/>
      <c r="T279" s="332"/>
      <c r="U279" s="358"/>
      <c r="V279" s="358"/>
      <c r="W279" s="334" t="s">
        <v>1434</v>
      </c>
      <c r="X279" s="323"/>
      <c r="Y279" s="323"/>
      <c r="Z279" s="335"/>
      <c r="AA279" s="344"/>
      <c r="AB279" s="344"/>
      <c r="AC279" s="344"/>
      <c r="AD279" s="345"/>
    </row>
    <row r="280" spans="1:30" s="346" customFormat="1" ht="24.75" customHeight="1" x14ac:dyDescent="0.35">
      <c r="A280" s="325">
        <v>136</v>
      </c>
      <c r="B280" s="332" t="s">
        <v>1435</v>
      </c>
      <c r="C280" s="332" t="s">
        <v>167</v>
      </c>
      <c r="D280" s="332" t="s">
        <v>18</v>
      </c>
      <c r="E280" s="332" t="s">
        <v>1436</v>
      </c>
      <c r="F280" s="362"/>
      <c r="G280" s="357">
        <f>SUM(F275:F279)</f>
        <v>1182</v>
      </c>
      <c r="H280" s="326">
        <f>H278+F279</f>
        <v>52142.428</v>
      </c>
      <c r="I280" s="358">
        <v>452.57</v>
      </c>
      <c r="J280" s="315">
        <v>70.72</v>
      </c>
      <c r="K280" s="359">
        <f>F279+F281</f>
        <v>791</v>
      </c>
      <c r="L280" s="360">
        <f>K280/2</f>
        <v>395.5</v>
      </c>
      <c r="M280" s="332">
        <v>179</v>
      </c>
      <c r="N280" s="332">
        <v>208</v>
      </c>
      <c r="O280" s="332">
        <v>387</v>
      </c>
      <c r="P280" s="332">
        <v>186</v>
      </c>
      <c r="Q280" s="332">
        <v>204</v>
      </c>
      <c r="R280" s="332">
        <v>390</v>
      </c>
      <c r="S280" s="332" t="s">
        <v>1437</v>
      </c>
      <c r="T280" s="332" t="s">
        <v>1438</v>
      </c>
      <c r="U280" s="358">
        <v>565152.81299999997</v>
      </c>
      <c r="V280" s="358">
        <v>2659405.21</v>
      </c>
      <c r="W280" s="361"/>
      <c r="X280" s="315" t="s">
        <v>1433</v>
      </c>
      <c r="Y280" s="315" t="s">
        <v>1302</v>
      </c>
      <c r="Z280" s="335" t="s">
        <v>359</v>
      </c>
      <c r="AA280" s="344"/>
      <c r="AB280" s="344"/>
      <c r="AC280" s="344"/>
      <c r="AD280" s="345"/>
    </row>
    <row r="281" spans="1:30" s="346" customFormat="1" ht="28" x14ac:dyDescent="0.35">
      <c r="A281" s="314"/>
      <c r="B281" s="332"/>
      <c r="C281" s="332"/>
      <c r="D281" s="332"/>
      <c r="E281" s="332"/>
      <c r="F281" s="362">
        <v>392</v>
      </c>
      <c r="G281" s="356"/>
      <c r="H281" s="317"/>
      <c r="I281" s="358"/>
      <c r="J281" s="358"/>
      <c r="K281" s="359"/>
      <c r="L281" s="360"/>
      <c r="M281" s="332"/>
      <c r="N281" s="332"/>
      <c r="O281" s="332"/>
      <c r="P281" s="332"/>
      <c r="Q281" s="332"/>
      <c r="R281" s="332"/>
      <c r="S281" s="332"/>
      <c r="T281" s="332"/>
      <c r="U281" s="358"/>
      <c r="V281" s="358"/>
      <c r="W281" s="334" t="s">
        <v>1439</v>
      </c>
      <c r="X281" s="323"/>
      <c r="Y281" s="323"/>
      <c r="Z281" s="335"/>
      <c r="AA281" s="344"/>
      <c r="AB281" s="344"/>
      <c r="AC281" s="344"/>
      <c r="AD281" s="345"/>
    </row>
    <row r="282" spans="1:30" s="346" customFormat="1" ht="24.75" customHeight="1" x14ac:dyDescent="0.35">
      <c r="A282" s="325">
        <v>137</v>
      </c>
      <c r="B282" s="332" t="s">
        <v>1025</v>
      </c>
      <c r="C282" s="332" t="s">
        <v>168</v>
      </c>
      <c r="D282" s="332" t="s">
        <v>35</v>
      </c>
      <c r="E282" s="332" t="s">
        <v>1025</v>
      </c>
      <c r="F282" s="362"/>
      <c r="G282" s="356"/>
      <c r="H282" s="326">
        <f>H280+F281</f>
        <v>52534.428</v>
      </c>
      <c r="I282" s="358">
        <v>449.024</v>
      </c>
      <c r="J282" s="331">
        <v>74</v>
      </c>
      <c r="K282" s="359">
        <f>F281+F283</f>
        <v>755</v>
      </c>
      <c r="L282" s="360">
        <f>K282/2</f>
        <v>377.5</v>
      </c>
      <c r="M282" s="332">
        <v>185</v>
      </c>
      <c r="N282" s="332">
        <v>210</v>
      </c>
      <c r="O282" s="332">
        <v>395</v>
      </c>
      <c r="P282" s="332">
        <v>189</v>
      </c>
      <c r="Q282" s="332">
        <v>201</v>
      </c>
      <c r="R282" s="332">
        <v>390</v>
      </c>
      <c r="S282" s="332" t="s">
        <v>1440</v>
      </c>
      <c r="T282" s="332" t="s">
        <v>1441</v>
      </c>
      <c r="U282" s="358">
        <v>565418.73899999994</v>
      </c>
      <c r="V282" s="358">
        <v>2659117.2050000001</v>
      </c>
      <c r="W282" s="361"/>
      <c r="X282" s="315" t="s">
        <v>1433</v>
      </c>
      <c r="Y282" s="315" t="s">
        <v>1302</v>
      </c>
      <c r="Z282" s="335" t="s">
        <v>359</v>
      </c>
      <c r="AA282" s="344"/>
      <c r="AB282" s="344"/>
      <c r="AC282" s="344"/>
      <c r="AD282" s="345"/>
    </row>
    <row r="283" spans="1:30" s="346" customFormat="1" ht="24.75" customHeight="1" x14ac:dyDescent="0.35">
      <c r="A283" s="314"/>
      <c r="B283" s="332"/>
      <c r="C283" s="332"/>
      <c r="D283" s="332"/>
      <c r="E283" s="315"/>
      <c r="F283" s="363">
        <f>345+18</f>
        <v>363</v>
      </c>
      <c r="G283" s="356"/>
      <c r="H283" s="317"/>
      <c r="I283" s="358"/>
      <c r="J283" s="358"/>
      <c r="K283" s="359"/>
      <c r="L283" s="360"/>
      <c r="M283" s="332"/>
      <c r="N283" s="332"/>
      <c r="O283" s="332"/>
      <c r="P283" s="332"/>
      <c r="Q283" s="332"/>
      <c r="R283" s="332"/>
      <c r="S283" s="332"/>
      <c r="T283" s="332"/>
      <c r="U283" s="358"/>
      <c r="V283" s="358"/>
      <c r="W283" s="334" t="s">
        <v>1442</v>
      </c>
      <c r="X283" s="323"/>
      <c r="Y283" s="323"/>
      <c r="Z283" s="335"/>
      <c r="AA283" s="344"/>
      <c r="AB283" s="344"/>
      <c r="AC283" s="344"/>
      <c r="AD283" s="345"/>
    </row>
    <row r="284" spans="1:30" s="346" customFormat="1" ht="24.75" customHeight="1" x14ac:dyDescent="0.35">
      <c r="A284" s="325">
        <v>138</v>
      </c>
      <c r="B284" s="332" t="s">
        <v>1025</v>
      </c>
      <c r="C284" s="332" t="s">
        <v>169</v>
      </c>
      <c r="D284" s="332" t="s">
        <v>31</v>
      </c>
      <c r="E284" s="315" t="s">
        <v>1025</v>
      </c>
      <c r="F284" s="363"/>
      <c r="G284" s="356"/>
      <c r="H284" s="326">
        <f>H282+F283</f>
        <v>52897.428</v>
      </c>
      <c r="I284" s="358">
        <v>445.86399999999998</v>
      </c>
      <c r="J284" s="331">
        <v>72.5</v>
      </c>
      <c r="K284" s="359">
        <f>F283+F285</f>
        <v>742</v>
      </c>
      <c r="L284" s="360">
        <f>K284/2</f>
        <v>371</v>
      </c>
      <c r="M284" s="332">
        <v>154</v>
      </c>
      <c r="N284" s="332">
        <v>199</v>
      </c>
      <c r="O284" s="332">
        <v>353</v>
      </c>
      <c r="P284" s="332">
        <v>163</v>
      </c>
      <c r="Q284" s="332">
        <v>196</v>
      </c>
      <c r="R284" s="332">
        <v>359</v>
      </c>
      <c r="S284" s="332" t="s">
        <v>2073</v>
      </c>
      <c r="T284" s="332" t="s">
        <v>2074</v>
      </c>
      <c r="U284" s="332">
        <v>565664.99399999995</v>
      </c>
      <c r="V284" s="332">
        <v>2658850.5040000002</v>
      </c>
      <c r="W284" s="361"/>
      <c r="X284" s="315" t="s">
        <v>1433</v>
      </c>
      <c r="Y284" s="315" t="s">
        <v>1302</v>
      </c>
      <c r="Z284" s="335" t="s">
        <v>359</v>
      </c>
      <c r="AA284" s="344"/>
      <c r="AB284" s="344"/>
      <c r="AC284" s="344"/>
      <c r="AD284" s="345"/>
    </row>
    <row r="285" spans="1:30" s="346" customFormat="1" ht="24.75" customHeight="1" x14ac:dyDescent="0.35">
      <c r="A285" s="314"/>
      <c r="B285" s="332"/>
      <c r="C285" s="332"/>
      <c r="D285" s="332"/>
      <c r="E285" s="315"/>
      <c r="F285" s="363">
        <f>397-18</f>
        <v>379</v>
      </c>
      <c r="G285" s="356"/>
      <c r="H285" s="317"/>
      <c r="I285" s="358"/>
      <c r="J285" s="358"/>
      <c r="K285" s="359"/>
      <c r="L285" s="360"/>
      <c r="M285" s="332"/>
      <c r="N285" s="332"/>
      <c r="O285" s="332"/>
      <c r="P285" s="332"/>
      <c r="Q285" s="332"/>
      <c r="R285" s="332"/>
      <c r="S285" s="332"/>
      <c r="T285" s="332"/>
      <c r="U285" s="358"/>
      <c r="V285" s="358"/>
      <c r="W285" s="334" t="s">
        <v>1443</v>
      </c>
      <c r="X285" s="323"/>
      <c r="Y285" s="323"/>
      <c r="Z285" s="335"/>
      <c r="AA285" s="344"/>
      <c r="AB285" s="344"/>
      <c r="AC285" s="344"/>
      <c r="AD285" s="345"/>
    </row>
    <row r="286" spans="1:30" s="346" customFormat="1" ht="24.75" customHeight="1" x14ac:dyDescent="0.35">
      <c r="A286" s="325">
        <v>139</v>
      </c>
      <c r="B286" s="332" t="s">
        <v>1444</v>
      </c>
      <c r="C286" s="332" t="s">
        <v>170</v>
      </c>
      <c r="D286" s="332" t="s">
        <v>9</v>
      </c>
      <c r="E286" s="332" t="s">
        <v>1445</v>
      </c>
      <c r="F286" s="362"/>
      <c r="G286" s="357">
        <f>SUM(F281:F285)</f>
        <v>1134</v>
      </c>
      <c r="H286" s="326">
        <f>H284+F285</f>
        <v>53276.428</v>
      </c>
      <c r="I286" s="358">
        <v>444.125</v>
      </c>
      <c r="J286" s="315">
        <v>70.72</v>
      </c>
      <c r="K286" s="359">
        <f>F285+F287</f>
        <v>605</v>
      </c>
      <c r="L286" s="360">
        <f>K286/2</f>
        <v>302.5</v>
      </c>
      <c r="M286" s="332">
        <v>180</v>
      </c>
      <c r="N286" s="332">
        <v>-12</v>
      </c>
      <c r="O286" s="332">
        <v>168</v>
      </c>
      <c r="P286" s="332">
        <v>183</v>
      </c>
      <c r="Q286" s="332">
        <v>57</v>
      </c>
      <c r="R286" s="332">
        <v>240</v>
      </c>
      <c r="S286" s="332" t="s">
        <v>1446</v>
      </c>
      <c r="T286" s="332" t="s">
        <v>1447</v>
      </c>
      <c r="U286" s="358">
        <v>565921.93500000006</v>
      </c>
      <c r="V286" s="358">
        <v>2658572.2310000001</v>
      </c>
      <c r="W286" s="361"/>
      <c r="X286" s="315" t="s">
        <v>1433</v>
      </c>
      <c r="Y286" s="315" t="s">
        <v>1302</v>
      </c>
      <c r="Z286" s="335" t="s">
        <v>359</v>
      </c>
      <c r="AA286" s="344"/>
      <c r="AB286" s="344"/>
      <c r="AC286" s="344"/>
      <c r="AD286" s="345"/>
    </row>
    <row r="287" spans="1:30" s="346" customFormat="1" ht="42" x14ac:dyDescent="0.35">
      <c r="A287" s="314"/>
      <c r="B287" s="332"/>
      <c r="C287" s="332"/>
      <c r="D287" s="332"/>
      <c r="E287" s="332"/>
      <c r="F287" s="362">
        <v>226</v>
      </c>
      <c r="G287" s="356"/>
      <c r="H287" s="317"/>
      <c r="I287" s="358"/>
      <c r="J287" s="358"/>
      <c r="K287" s="359"/>
      <c r="L287" s="360"/>
      <c r="M287" s="332"/>
      <c r="N287" s="332"/>
      <c r="O287" s="332"/>
      <c r="P287" s="332"/>
      <c r="Q287" s="332"/>
      <c r="R287" s="332"/>
      <c r="S287" s="332"/>
      <c r="T287" s="332"/>
      <c r="U287" s="358"/>
      <c r="V287" s="358"/>
      <c r="W287" s="339" t="s">
        <v>1448</v>
      </c>
      <c r="X287" s="323"/>
      <c r="Y287" s="323"/>
      <c r="Z287" s="335"/>
      <c r="AA287" s="344"/>
      <c r="AB287" s="344"/>
      <c r="AC287" s="344"/>
      <c r="AD287" s="345"/>
    </row>
    <row r="288" spans="1:30" s="346" customFormat="1" ht="24.75" customHeight="1" x14ac:dyDescent="0.35">
      <c r="A288" s="325">
        <v>140</v>
      </c>
      <c r="B288" s="332" t="s">
        <v>1449</v>
      </c>
      <c r="C288" s="332" t="s">
        <v>171</v>
      </c>
      <c r="D288" s="332" t="s">
        <v>172</v>
      </c>
      <c r="E288" s="332" t="s">
        <v>1450</v>
      </c>
      <c r="F288" s="362"/>
      <c r="G288" s="357">
        <f>F287</f>
        <v>226</v>
      </c>
      <c r="H288" s="326">
        <f>H286+F287</f>
        <v>53502.428</v>
      </c>
      <c r="I288" s="358">
        <v>445.94900000000001</v>
      </c>
      <c r="J288" s="358">
        <v>79.72</v>
      </c>
      <c r="K288" s="359">
        <f>F287+F289</f>
        <v>725</v>
      </c>
      <c r="L288" s="360">
        <f>K288/2</f>
        <v>362.5</v>
      </c>
      <c r="M288" s="332">
        <v>238</v>
      </c>
      <c r="N288" s="332">
        <v>237</v>
      </c>
      <c r="O288" s="332">
        <v>475</v>
      </c>
      <c r="P288" s="332">
        <v>169</v>
      </c>
      <c r="Q288" s="332">
        <v>240</v>
      </c>
      <c r="R288" s="332">
        <v>409</v>
      </c>
      <c r="S288" s="332" t="s">
        <v>1451</v>
      </c>
      <c r="T288" s="332" t="s">
        <v>1452</v>
      </c>
      <c r="U288" s="358">
        <v>566147.57999999996</v>
      </c>
      <c r="V288" s="358">
        <v>2658558.659</v>
      </c>
      <c r="W288" s="361"/>
      <c r="X288" s="315" t="s">
        <v>1433</v>
      </c>
      <c r="Y288" s="315" t="s">
        <v>1302</v>
      </c>
      <c r="Z288" s="335" t="s">
        <v>359</v>
      </c>
      <c r="AA288" s="344"/>
      <c r="AB288" s="344"/>
      <c r="AC288" s="344"/>
      <c r="AD288" s="345"/>
    </row>
    <row r="289" spans="1:30" s="346" customFormat="1" ht="24.75" customHeight="1" x14ac:dyDescent="0.35">
      <c r="A289" s="314"/>
      <c r="B289" s="332"/>
      <c r="C289" s="332"/>
      <c r="D289" s="332"/>
      <c r="E289" s="332"/>
      <c r="F289" s="362">
        <v>499</v>
      </c>
      <c r="G289" s="356"/>
      <c r="H289" s="317"/>
      <c r="I289" s="358"/>
      <c r="J289" s="358"/>
      <c r="K289" s="359"/>
      <c r="L289" s="360"/>
      <c r="M289" s="332"/>
      <c r="N289" s="332"/>
      <c r="O289" s="332"/>
      <c r="P289" s="332"/>
      <c r="Q289" s="332"/>
      <c r="R289" s="332"/>
      <c r="S289" s="332"/>
      <c r="T289" s="332"/>
      <c r="U289" s="358"/>
      <c r="V289" s="358"/>
      <c r="W289" s="334" t="s">
        <v>1453</v>
      </c>
      <c r="X289" s="323"/>
      <c r="Y289" s="323"/>
      <c r="Z289" s="335"/>
      <c r="AA289" s="344"/>
      <c r="AB289" s="344"/>
      <c r="AC289" s="344"/>
      <c r="AD289" s="345"/>
    </row>
    <row r="290" spans="1:30" s="346" customFormat="1" ht="24.75" customHeight="1" x14ac:dyDescent="0.35">
      <c r="A290" s="325">
        <v>141</v>
      </c>
      <c r="B290" s="332" t="s">
        <v>1025</v>
      </c>
      <c r="C290" s="332" t="s">
        <v>173</v>
      </c>
      <c r="D290" s="332" t="s">
        <v>156</v>
      </c>
      <c r="E290" s="332" t="s">
        <v>1025</v>
      </c>
      <c r="F290" s="362"/>
      <c r="G290" s="356">
        <f>F289</f>
        <v>499</v>
      </c>
      <c r="H290" s="326">
        <f>H288+F289</f>
        <v>54001.428</v>
      </c>
      <c r="I290" s="358">
        <v>449.79</v>
      </c>
      <c r="J290" s="331">
        <v>79.72</v>
      </c>
      <c r="K290" s="359">
        <f>F289+F291</f>
        <v>945</v>
      </c>
      <c r="L290" s="360">
        <f>K290/2</f>
        <v>472.5</v>
      </c>
      <c r="M290" s="332">
        <v>264</v>
      </c>
      <c r="N290" s="332">
        <v>246</v>
      </c>
      <c r="O290" s="332">
        <v>510</v>
      </c>
      <c r="P290" s="332">
        <v>262</v>
      </c>
      <c r="Q290" s="332">
        <v>240</v>
      </c>
      <c r="R290" s="332">
        <v>502</v>
      </c>
      <c r="S290" s="332" t="s">
        <v>1454</v>
      </c>
      <c r="T290" s="332" t="s">
        <v>1455</v>
      </c>
      <c r="U290" s="358">
        <v>566596.71</v>
      </c>
      <c r="V290" s="358">
        <v>2658341.213</v>
      </c>
      <c r="W290" s="361"/>
      <c r="X290" s="315" t="s">
        <v>1456</v>
      </c>
      <c r="Y290" s="315" t="s">
        <v>1302</v>
      </c>
      <c r="Z290" s="335" t="s">
        <v>359</v>
      </c>
      <c r="AA290" s="344"/>
      <c r="AB290" s="344"/>
      <c r="AC290" s="344"/>
      <c r="AD290" s="345"/>
    </row>
    <row r="291" spans="1:30" s="346" customFormat="1" ht="24.75" customHeight="1" x14ac:dyDescent="0.35">
      <c r="A291" s="314"/>
      <c r="B291" s="332"/>
      <c r="C291" s="332"/>
      <c r="D291" s="332"/>
      <c r="E291" s="332"/>
      <c r="F291" s="362">
        <v>446</v>
      </c>
      <c r="G291" s="356"/>
      <c r="H291" s="317"/>
      <c r="I291" s="358"/>
      <c r="J291" s="358"/>
      <c r="K291" s="359"/>
      <c r="L291" s="360"/>
      <c r="M291" s="332"/>
      <c r="N291" s="332"/>
      <c r="O291" s="332"/>
      <c r="P291" s="332"/>
      <c r="Q291" s="332"/>
      <c r="R291" s="332"/>
      <c r="S291" s="332"/>
      <c r="T291" s="332"/>
      <c r="U291" s="358"/>
      <c r="V291" s="358"/>
      <c r="W291" s="334" t="s">
        <v>1457</v>
      </c>
      <c r="X291" s="323"/>
      <c r="Y291" s="323"/>
      <c r="Z291" s="335"/>
      <c r="AA291" s="344"/>
      <c r="AB291" s="344"/>
      <c r="AC291" s="344"/>
      <c r="AD291" s="345"/>
    </row>
    <row r="292" spans="1:30" s="346" customFormat="1" ht="24.75" customHeight="1" x14ac:dyDescent="0.35">
      <c r="A292" s="325">
        <v>142</v>
      </c>
      <c r="B292" s="332" t="s">
        <v>1025</v>
      </c>
      <c r="C292" s="332" t="s">
        <v>174</v>
      </c>
      <c r="D292" s="332" t="s">
        <v>35</v>
      </c>
      <c r="E292" s="332" t="s">
        <v>1025</v>
      </c>
      <c r="F292" s="362"/>
      <c r="G292" s="356"/>
      <c r="H292" s="326">
        <f>H290+F291</f>
        <v>54447.428</v>
      </c>
      <c r="I292" s="358">
        <v>452.46</v>
      </c>
      <c r="J292" s="331">
        <v>74</v>
      </c>
      <c r="K292" s="359">
        <f>F291+F293</f>
        <v>840</v>
      </c>
      <c r="L292" s="360">
        <f>K292/2</f>
        <v>420</v>
      </c>
      <c r="M292" s="332">
        <v>201</v>
      </c>
      <c r="N292" s="332">
        <v>207</v>
      </c>
      <c r="O292" s="332">
        <v>408</v>
      </c>
      <c r="P292" s="332">
        <v>208</v>
      </c>
      <c r="Q292" s="332">
        <v>204</v>
      </c>
      <c r="R292" s="332">
        <v>412</v>
      </c>
      <c r="S292" s="332" t="s">
        <v>1458</v>
      </c>
      <c r="T292" s="332" t="s">
        <v>1459</v>
      </c>
      <c r="U292" s="358">
        <v>566998.13800000004</v>
      </c>
      <c r="V292" s="358">
        <v>2658146.8629999999</v>
      </c>
      <c r="W292" s="361"/>
      <c r="X292" s="315" t="s">
        <v>1456</v>
      </c>
      <c r="Y292" s="315" t="s">
        <v>1302</v>
      </c>
      <c r="Z292" s="335" t="s">
        <v>359</v>
      </c>
      <c r="AA292" s="344"/>
      <c r="AB292" s="344"/>
      <c r="AC292" s="344"/>
      <c r="AD292" s="345"/>
    </row>
    <row r="293" spans="1:30" s="346" customFormat="1" ht="24.75" customHeight="1" x14ac:dyDescent="0.35">
      <c r="A293" s="314"/>
      <c r="B293" s="332"/>
      <c r="C293" s="332"/>
      <c r="D293" s="332"/>
      <c r="E293" s="332"/>
      <c r="F293" s="362">
        <v>394</v>
      </c>
      <c r="G293" s="356"/>
      <c r="H293" s="317"/>
      <c r="I293" s="358"/>
      <c r="J293" s="358"/>
      <c r="K293" s="359"/>
      <c r="L293" s="360"/>
      <c r="M293" s="332"/>
      <c r="N293" s="332"/>
      <c r="O293" s="332"/>
      <c r="P293" s="332"/>
      <c r="Q293" s="332"/>
      <c r="R293" s="332"/>
      <c r="S293" s="332"/>
      <c r="T293" s="332"/>
      <c r="U293" s="358"/>
      <c r="V293" s="358"/>
      <c r="W293" s="334" t="s">
        <v>1460</v>
      </c>
      <c r="X293" s="323"/>
      <c r="Y293" s="323"/>
      <c r="Z293" s="335"/>
      <c r="AA293" s="344"/>
      <c r="AB293" s="344"/>
      <c r="AC293" s="344"/>
      <c r="AD293" s="345"/>
    </row>
    <row r="294" spans="1:30" s="346" customFormat="1" ht="24.75" customHeight="1" x14ac:dyDescent="0.35">
      <c r="A294" s="325">
        <v>143</v>
      </c>
      <c r="B294" s="332" t="s">
        <v>1025</v>
      </c>
      <c r="C294" s="332" t="s">
        <v>175</v>
      </c>
      <c r="D294" s="332" t="s">
        <v>35</v>
      </c>
      <c r="E294" s="332" t="s">
        <v>1025</v>
      </c>
      <c r="F294" s="362"/>
      <c r="G294" s="356"/>
      <c r="H294" s="326">
        <f>H292+F293</f>
        <v>54841.428</v>
      </c>
      <c r="I294" s="358">
        <v>450.685</v>
      </c>
      <c r="J294" s="331">
        <v>74</v>
      </c>
      <c r="K294" s="359">
        <f>F293+F295</f>
        <v>785</v>
      </c>
      <c r="L294" s="360">
        <f>K294/2</f>
        <v>392.5</v>
      </c>
      <c r="M294" s="332">
        <v>188</v>
      </c>
      <c r="N294" s="332">
        <v>218</v>
      </c>
      <c r="O294" s="332">
        <v>406</v>
      </c>
      <c r="P294" s="332">
        <v>191</v>
      </c>
      <c r="Q294" s="332">
        <v>212</v>
      </c>
      <c r="R294" s="332">
        <v>403</v>
      </c>
      <c r="S294" s="332" t="s">
        <v>1461</v>
      </c>
      <c r="T294" s="332" t="s">
        <v>1462</v>
      </c>
      <c r="U294" s="358">
        <v>567352.76199999999</v>
      </c>
      <c r="V294" s="358">
        <v>2657975.1719999998</v>
      </c>
      <c r="W294" s="361"/>
      <c r="X294" s="315" t="s">
        <v>1463</v>
      </c>
      <c r="Y294" s="315" t="s">
        <v>1302</v>
      </c>
      <c r="Z294" s="335" t="s">
        <v>359</v>
      </c>
      <c r="AA294" s="344"/>
      <c r="AB294" s="344"/>
      <c r="AC294" s="344"/>
      <c r="AD294" s="345"/>
    </row>
    <row r="295" spans="1:30" s="346" customFormat="1" ht="24.75" customHeight="1" x14ac:dyDescent="0.35">
      <c r="A295" s="314"/>
      <c r="B295" s="332"/>
      <c r="C295" s="332"/>
      <c r="D295" s="332"/>
      <c r="E295" s="332"/>
      <c r="F295" s="362">
        <v>391</v>
      </c>
      <c r="G295" s="356"/>
      <c r="H295" s="317"/>
      <c r="I295" s="358"/>
      <c r="J295" s="358"/>
      <c r="K295" s="359"/>
      <c r="L295" s="360"/>
      <c r="M295" s="332"/>
      <c r="N295" s="332"/>
      <c r="O295" s="332"/>
      <c r="P295" s="332"/>
      <c r="Q295" s="332"/>
      <c r="R295" s="332"/>
      <c r="S295" s="332"/>
      <c r="T295" s="332"/>
      <c r="U295" s="358"/>
      <c r="V295" s="358"/>
      <c r="W295" s="334" t="s">
        <v>1464</v>
      </c>
      <c r="X295" s="323"/>
      <c r="Y295" s="323"/>
      <c r="Z295" s="335"/>
      <c r="AA295" s="344"/>
      <c r="AB295" s="344"/>
      <c r="AC295" s="344"/>
      <c r="AD295" s="345"/>
    </row>
    <row r="296" spans="1:30" s="346" customFormat="1" ht="24.75" customHeight="1" x14ac:dyDescent="0.35">
      <c r="A296" s="325">
        <v>144</v>
      </c>
      <c r="B296" s="332" t="s">
        <v>1025</v>
      </c>
      <c r="C296" s="332" t="s">
        <v>176</v>
      </c>
      <c r="D296" s="332" t="s">
        <v>31</v>
      </c>
      <c r="E296" s="332" t="s">
        <v>1025</v>
      </c>
      <c r="F296" s="362"/>
      <c r="G296" s="356"/>
      <c r="H296" s="326">
        <f>H294+F295</f>
        <v>55232.428</v>
      </c>
      <c r="I296" s="358">
        <v>447.98</v>
      </c>
      <c r="J296" s="331">
        <v>72.5</v>
      </c>
      <c r="K296" s="359">
        <f>F295+F297</f>
        <v>800</v>
      </c>
      <c r="L296" s="360">
        <f>K296/2</f>
        <v>400</v>
      </c>
      <c r="M296" s="332">
        <v>173</v>
      </c>
      <c r="N296" s="332">
        <v>210</v>
      </c>
      <c r="O296" s="332">
        <v>383</v>
      </c>
      <c r="P296" s="332">
        <v>180</v>
      </c>
      <c r="Q296" s="332">
        <v>209</v>
      </c>
      <c r="R296" s="332">
        <v>389</v>
      </c>
      <c r="S296" s="332" t="s">
        <v>1465</v>
      </c>
      <c r="T296" s="332" t="s">
        <v>1466</v>
      </c>
      <c r="U296" s="358">
        <v>567704.68599999999</v>
      </c>
      <c r="V296" s="358">
        <v>2657804.7889999999</v>
      </c>
      <c r="W296" s="361"/>
      <c r="X296" s="315" t="s">
        <v>1463</v>
      </c>
      <c r="Y296" s="315" t="s">
        <v>1302</v>
      </c>
      <c r="Z296" s="335" t="s">
        <v>359</v>
      </c>
      <c r="AA296" s="344"/>
      <c r="AB296" s="344"/>
      <c r="AC296" s="344"/>
      <c r="AD296" s="345"/>
    </row>
    <row r="297" spans="1:30" s="346" customFormat="1" ht="24.75" customHeight="1" x14ac:dyDescent="0.35">
      <c r="A297" s="314"/>
      <c r="B297" s="332"/>
      <c r="C297" s="332"/>
      <c r="D297" s="332"/>
      <c r="E297" s="332"/>
      <c r="F297" s="362">
        <v>409</v>
      </c>
      <c r="G297" s="356"/>
      <c r="H297" s="317"/>
      <c r="I297" s="358"/>
      <c r="J297" s="358"/>
      <c r="K297" s="359"/>
      <c r="L297" s="360"/>
      <c r="M297" s="332"/>
      <c r="N297" s="332"/>
      <c r="O297" s="332"/>
      <c r="P297" s="332"/>
      <c r="Q297" s="332"/>
      <c r="R297" s="332"/>
      <c r="S297" s="332"/>
      <c r="T297" s="332"/>
      <c r="U297" s="358"/>
      <c r="V297" s="358"/>
      <c r="W297" s="334" t="s">
        <v>1467</v>
      </c>
      <c r="X297" s="323"/>
      <c r="Y297" s="323"/>
      <c r="Z297" s="335"/>
      <c r="AA297" s="344"/>
      <c r="AB297" s="344"/>
      <c r="AC297" s="344"/>
      <c r="AD297" s="345"/>
    </row>
    <row r="298" spans="1:30" s="346" customFormat="1" ht="24.75" customHeight="1" x14ac:dyDescent="0.35">
      <c r="A298" s="325">
        <v>145</v>
      </c>
      <c r="B298" s="332" t="s">
        <v>1025</v>
      </c>
      <c r="C298" s="332" t="s">
        <v>177</v>
      </c>
      <c r="D298" s="332" t="s">
        <v>35</v>
      </c>
      <c r="E298" s="332" t="s">
        <v>1025</v>
      </c>
      <c r="F298" s="362"/>
      <c r="G298" s="356"/>
      <c r="H298" s="326">
        <f>H296+F297</f>
        <v>55641.428</v>
      </c>
      <c r="I298" s="358">
        <v>445.435</v>
      </c>
      <c r="J298" s="331">
        <v>74</v>
      </c>
      <c r="K298" s="359">
        <f>F297+F299</f>
        <v>788</v>
      </c>
      <c r="L298" s="360">
        <f>K298/2</f>
        <v>394</v>
      </c>
      <c r="M298" s="332">
        <v>199</v>
      </c>
      <c r="N298" s="332">
        <v>187</v>
      </c>
      <c r="O298" s="332">
        <v>386</v>
      </c>
      <c r="P298" s="332">
        <v>201</v>
      </c>
      <c r="Q298" s="332">
        <v>188</v>
      </c>
      <c r="R298" s="332">
        <v>389</v>
      </c>
      <c r="S298" s="332" t="s">
        <v>1468</v>
      </c>
      <c r="T298" s="332" t="s">
        <v>1469</v>
      </c>
      <c r="U298" s="358">
        <v>568072.81099999999</v>
      </c>
      <c r="V298" s="358">
        <v>2657626.5619999999</v>
      </c>
      <c r="W298" s="361"/>
      <c r="X298" s="315" t="s">
        <v>1463</v>
      </c>
      <c r="Y298" s="315" t="s">
        <v>1302</v>
      </c>
      <c r="Z298" s="335" t="s">
        <v>359</v>
      </c>
      <c r="AA298" s="344"/>
      <c r="AB298" s="344"/>
      <c r="AC298" s="344"/>
      <c r="AD298" s="345"/>
    </row>
    <row r="299" spans="1:30" s="346" customFormat="1" ht="24.75" customHeight="1" x14ac:dyDescent="0.35">
      <c r="A299" s="314"/>
      <c r="B299" s="332"/>
      <c r="C299" s="332"/>
      <c r="D299" s="332"/>
      <c r="E299" s="332"/>
      <c r="F299" s="362">
        <v>379</v>
      </c>
      <c r="G299" s="356"/>
      <c r="H299" s="317"/>
      <c r="I299" s="358"/>
      <c r="J299" s="358"/>
      <c r="K299" s="359"/>
      <c r="L299" s="360"/>
      <c r="M299" s="332"/>
      <c r="N299" s="332"/>
      <c r="O299" s="332"/>
      <c r="P299" s="332"/>
      <c r="Q299" s="332"/>
      <c r="R299" s="332"/>
      <c r="S299" s="332"/>
      <c r="T299" s="332"/>
      <c r="U299" s="358"/>
      <c r="V299" s="358"/>
      <c r="W299" s="334" t="s">
        <v>1470</v>
      </c>
      <c r="X299" s="323"/>
      <c r="Y299" s="323"/>
      <c r="Z299" s="335"/>
      <c r="AA299" s="344"/>
      <c r="AB299" s="344"/>
      <c r="AC299" s="344"/>
      <c r="AD299" s="345"/>
    </row>
    <row r="300" spans="1:30" s="346" customFormat="1" ht="24.75" customHeight="1" x14ac:dyDescent="0.35">
      <c r="A300" s="325">
        <v>146</v>
      </c>
      <c r="B300" s="332" t="s">
        <v>1025</v>
      </c>
      <c r="C300" s="332" t="s">
        <v>178</v>
      </c>
      <c r="D300" s="332" t="s">
        <v>31</v>
      </c>
      <c r="E300" s="332" t="s">
        <v>1025</v>
      </c>
      <c r="F300" s="362"/>
      <c r="G300" s="356"/>
      <c r="H300" s="326">
        <f>H298+F299</f>
        <v>56020.428</v>
      </c>
      <c r="I300" s="358">
        <v>447.45</v>
      </c>
      <c r="J300" s="331">
        <v>72.5</v>
      </c>
      <c r="K300" s="359">
        <f>F299+F301</f>
        <v>743</v>
      </c>
      <c r="L300" s="360">
        <f>K300/2</f>
        <v>371.5</v>
      </c>
      <c r="M300" s="332">
        <v>193</v>
      </c>
      <c r="N300" s="332">
        <v>209</v>
      </c>
      <c r="O300" s="332">
        <v>402</v>
      </c>
      <c r="P300" s="332">
        <v>192</v>
      </c>
      <c r="Q300" s="332">
        <v>201</v>
      </c>
      <c r="R300" s="332">
        <v>393</v>
      </c>
      <c r="S300" s="332" t="s">
        <v>1471</v>
      </c>
      <c r="T300" s="332" t="s">
        <v>1472</v>
      </c>
      <c r="U300" s="358">
        <v>568413.93400000001</v>
      </c>
      <c r="V300" s="358">
        <v>2657461.4070000001</v>
      </c>
      <c r="W300" s="361"/>
      <c r="X300" s="315" t="s">
        <v>1463</v>
      </c>
      <c r="Y300" s="315" t="s">
        <v>1302</v>
      </c>
      <c r="Z300" s="335" t="s">
        <v>359</v>
      </c>
      <c r="AA300" s="344"/>
      <c r="AB300" s="344"/>
      <c r="AC300" s="344"/>
      <c r="AD300" s="345"/>
    </row>
    <row r="301" spans="1:30" s="346" customFormat="1" ht="24.75" customHeight="1" x14ac:dyDescent="0.35">
      <c r="A301" s="314"/>
      <c r="B301" s="332"/>
      <c r="C301" s="332"/>
      <c r="D301" s="332"/>
      <c r="E301" s="332"/>
      <c r="F301" s="362">
        <v>364</v>
      </c>
      <c r="G301" s="356"/>
      <c r="H301" s="317"/>
      <c r="I301" s="358"/>
      <c r="J301" s="358"/>
      <c r="K301" s="359"/>
      <c r="L301" s="360"/>
      <c r="M301" s="332"/>
      <c r="N301" s="332"/>
      <c r="O301" s="332"/>
      <c r="P301" s="332"/>
      <c r="Q301" s="332"/>
      <c r="R301" s="332"/>
      <c r="S301" s="332"/>
      <c r="T301" s="332"/>
      <c r="U301" s="358"/>
      <c r="V301" s="358"/>
      <c r="W301" s="334" t="s">
        <v>1473</v>
      </c>
      <c r="X301" s="323"/>
      <c r="Y301" s="323"/>
      <c r="Z301" s="335"/>
      <c r="AA301" s="344"/>
      <c r="AB301" s="344"/>
      <c r="AC301" s="344"/>
      <c r="AD301" s="345"/>
    </row>
    <row r="302" spans="1:30" s="346" customFormat="1" ht="24.75" customHeight="1" x14ac:dyDescent="0.35">
      <c r="A302" s="325">
        <v>147</v>
      </c>
      <c r="B302" s="332" t="s">
        <v>1025</v>
      </c>
      <c r="C302" s="332" t="s">
        <v>179</v>
      </c>
      <c r="D302" s="332" t="s">
        <v>14</v>
      </c>
      <c r="E302" s="332" t="s">
        <v>1025</v>
      </c>
      <c r="F302" s="362"/>
      <c r="G302" s="356"/>
      <c r="H302" s="326">
        <f>H300+F301</f>
        <v>56384.428</v>
      </c>
      <c r="I302" s="358">
        <v>444.33600000000001</v>
      </c>
      <c r="J302" s="331">
        <v>71</v>
      </c>
      <c r="K302" s="359">
        <f>F301+F303</f>
        <v>811</v>
      </c>
      <c r="L302" s="360">
        <f>K302/2</f>
        <v>405.5</v>
      </c>
      <c r="M302" s="332">
        <v>156</v>
      </c>
      <c r="N302" s="332">
        <v>187</v>
      </c>
      <c r="O302" s="332">
        <v>343</v>
      </c>
      <c r="P302" s="332">
        <v>164</v>
      </c>
      <c r="Q302" s="332">
        <v>199</v>
      </c>
      <c r="R302" s="332">
        <v>363</v>
      </c>
      <c r="S302" s="332" t="s">
        <v>1474</v>
      </c>
      <c r="T302" s="332" t="s">
        <v>1475</v>
      </c>
      <c r="U302" s="358">
        <v>568741.55700000003</v>
      </c>
      <c r="V302" s="358">
        <v>2657302.79</v>
      </c>
      <c r="W302" s="361"/>
      <c r="X302" s="315" t="s">
        <v>1463</v>
      </c>
      <c r="Y302" s="315" t="s">
        <v>1302</v>
      </c>
      <c r="Z302" s="335" t="s">
        <v>359</v>
      </c>
      <c r="AA302" s="344"/>
      <c r="AB302" s="344"/>
      <c r="AC302" s="344"/>
      <c r="AD302" s="345"/>
    </row>
    <row r="303" spans="1:30" s="346" customFormat="1" ht="24.75" customHeight="1" x14ac:dyDescent="0.35">
      <c r="A303" s="314"/>
      <c r="B303" s="332"/>
      <c r="C303" s="332"/>
      <c r="D303" s="332"/>
      <c r="E303" s="332"/>
      <c r="F303" s="362">
        <v>447</v>
      </c>
      <c r="G303" s="356"/>
      <c r="H303" s="317"/>
      <c r="I303" s="358"/>
      <c r="J303" s="358"/>
      <c r="K303" s="359"/>
      <c r="L303" s="360"/>
      <c r="M303" s="332"/>
      <c r="N303" s="332"/>
      <c r="O303" s="332"/>
      <c r="P303" s="332"/>
      <c r="Q303" s="332"/>
      <c r="R303" s="332"/>
      <c r="S303" s="332"/>
      <c r="T303" s="332"/>
      <c r="U303" s="358"/>
      <c r="V303" s="358"/>
      <c r="W303" s="334" t="s">
        <v>1476</v>
      </c>
      <c r="X303" s="323"/>
      <c r="Y303" s="323"/>
      <c r="Z303" s="335"/>
      <c r="AA303" s="344"/>
      <c r="AB303" s="344"/>
      <c r="AC303" s="344"/>
      <c r="AD303" s="345"/>
    </row>
    <row r="304" spans="1:30" s="346" customFormat="1" ht="24.75" customHeight="1" x14ac:dyDescent="0.35">
      <c r="A304" s="325">
        <v>148</v>
      </c>
      <c r="B304" s="332" t="s">
        <v>1477</v>
      </c>
      <c r="C304" s="332" t="s">
        <v>180</v>
      </c>
      <c r="D304" s="332" t="s">
        <v>118</v>
      </c>
      <c r="E304" s="332" t="s">
        <v>1478</v>
      </c>
      <c r="F304" s="362"/>
      <c r="G304" s="357">
        <f>SUM(F291:F303)</f>
        <v>2830</v>
      </c>
      <c r="H304" s="326">
        <f>H302+F303</f>
        <v>56831.428</v>
      </c>
      <c r="I304" s="358">
        <v>441.52800000000002</v>
      </c>
      <c r="J304" s="331">
        <v>79.72</v>
      </c>
      <c r="K304" s="359">
        <f>F303+F305</f>
        <v>704</v>
      </c>
      <c r="L304" s="360">
        <f>K304/2</f>
        <v>352</v>
      </c>
      <c r="M304" s="332">
        <v>260</v>
      </c>
      <c r="N304" s="332">
        <v>171</v>
      </c>
      <c r="O304" s="332">
        <v>431</v>
      </c>
      <c r="P304" s="332">
        <v>250</v>
      </c>
      <c r="Q304" s="332">
        <v>150</v>
      </c>
      <c r="R304" s="332">
        <v>400</v>
      </c>
      <c r="S304" s="332" t="s">
        <v>1479</v>
      </c>
      <c r="T304" s="332" t="s">
        <v>1480</v>
      </c>
      <c r="U304" s="358">
        <v>569143.62300000002</v>
      </c>
      <c r="V304" s="358">
        <v>2657108.13</v>
      </c>
      <c r="W304" s="361"/>
      <c r="X304" s="315" t="s">
        <v>1481</v>
      </c>
      <c r="Y304" s="315" t="s">
        <v>1302</v>
      </c>
      <c r="Z304" s="335" t="s">
        <v>359</v>
      </c>
      <c r="AA304" s="344"/>
      <c r="AB304" s="344"/>
      <c r="AC304" s="344"/>
      <c r="AD304" s="345"/>
    </row>
    <row r="305" spans="1:30" s="346" customFormat="1" ht="28" x14ac:dyDescent="0.35">
      <c r="A305" s="314"/>
      <c r="B305" s="332"/>
      <c r="C305" s="332"/>
      <c r="D305" s="332"/>
      <c r="E305" s="332"/>
      <c r="F305" s="362">
        <v>257</v>
      </c>
      <c r="G305" s="356"/>
      <c r="H305" s="317"/>
      <c r="I305" s="358"/>
      <c r="J305" s="358"/>
      <c r="K305" s="359"/>
      <c r="L305" s="360"/>
      <c r="M305" s="332"/>
      <c r="N305" s="332"/>
      <c r="O305" s="332"/>
      <c r="P305" s="332"/>
      <c r="Q305" s="332"/>
      <c r="R305" s="332"/>
      <c r="S305" s="332"/>
      <c r="T305" s="332"/>
      <c r="U305" s="358"/>
      <c r="V305" s="358"/>
      <c r="W305" s="339" t="s">
        <v>1482</v>
      </c>
      <c r="X305" s="323"/>
      <c r="Y305" s="323"/>
      <c r="Z305" s="335"/>
      <c r="AA305" s="344"/>
      <c r="AB305" s="344"/>
      <c r="AC305" s="344"/>
      <c r="AD305" s="345"/>
    </row>
    <row r="306" spans="1:30" s="346" customFormat="1" ht="24.75" customHeight="1" x14ac:dyDescent="0.35">
      <c r="A306" s="325">
        <v>149</v>
      </c>
      <c r="B306" s="332" t="s">
        <v>1483</v>
      </c>
      <c r="C306" s="332" t="s">
        <v>181</v>
      </c>
      <c r="D306" s="332" t="s">
        <v>182</v>
      </c>
      <c r="E306" s="332" t="s">
        <v>1484</v>
      </c>
      <c r="F306" s="362"/>
      <c r="G306" s="357">
        <f>F305</f>
        <v>257</v>
      </c>
      <c r="H306" s="326">
        <f>H304+F305</f>
        <v>57088.428</v>
      </c>
      <c r="I306" s="358">
        <v>443.161</v>
      </c>
      <c r="J306" s="331">
        <v>73.72</v>
      </c>
      <c r="K306" s="359">
        <f>F305+F307</f>
        <v>489</v>
      </c>
      <c r="L306" s="360">
        <f>K306/2</f>
        <v>244.5</v>
      </c>
      <c r="M306" s="332">
        <v>86</v>
      </c>
      <c r="N306" s="332">
        <v>127</v>
      </c>
      <c r="O306" s="332">
        <v>213</v>
      </c>
      <c r="P306" s="332">
        <v>108</v>
      </c>
      <c r="Q306" s="332">
        <v>123</v>
      </c>
      <c r="R306" s="332">
        <v>231</v>
      </c>
      <c r="S306" s="332" t="s">
        <v>1485</v>
      </c>
      <c r="T306" s="332" t="s">
        <v>1486</v>
      </c>
      <c r="U306" s="358">
        <v>569399.84600000002</v>
      </c>
      <c r="V306" s="358">
        <v>2657128.6910000001</v>
      </c>
      <c r="W306" s="361"/>
      <c r="X306" s="315" t="s">
        <v>1481</v>
      </c>
      <c r="Y306" s="315" t="s">
        <v>1302</v>
      </c>
      <c r="Z306" s="335" t="s">
        <v>359</v>
      </c>
      <c r="AA306" s="344"/>
      <c r="AB306" s="344"/>
      <c r="AC306" s="344"/>
      <c r="AD306" s="345"/>
    </row>
    <row r="307" spans="1:30" s="346" customFormat="1" ht="24.75" customHeight="1" x14ac:dyDescent="0.35">
      <c r="A307" s="314"/>
      <c r="B307" s="332"/>
      <c r="C307" s="332"/>
      <c r="D307" s="332"/>
      <c r="E307" s="332"/>
      <c r="F307" s="362">
        <v>232</v>
      </c>
      <c r="G307" s="356"/>
      <c r="H307" s="317"/>
      <c r="I307" s="358"/>
      <c r="J307" s="358"/>
      <c r="K307" s="359"/>
      <c r="L307" s="360"/>
      <c r="M307" s="332"/>
      <c r="N307" s="332"/>
      <c r="O307" s="332"/>
      <c r="P307" s="332"/>
      <c r="Q307" s="332"/>
      <c r="R307" s="332"/>
      <c r="S307" s="332"/>
      <c r="T307" s="332"/>
      <c r="U307" s="358"/>
      <c r="V307" s="358"/>
      <c r="W307" s="334" t="s">
        <v>1487</v>
      </c>
      <c r="X307" s="323"/>
      <c r="Y307" s="323"/>
      <c r="Z307" s="335"/>
      <c r="AA307" s="344"/>
      <c r="AB307" s="344"/>
      <c r="AC307" s="344"/>
      <c r="AD307" s="345"/>
    </row>
    <row r="308" spans="1:30" s="346" customFormat="1" ht="24.75" customHeight="1" x14ac:dyDescent="0.35">
      <c r="A308" s="325">
        <v>150</v>
      </c>
      <c r="B308" s="332" t="s">
        <v>1025</v>
      </c>
      <c r="C308" s="332" t="s">
        <v>183</v>
      </c>
      <c r="D308" s="332" t="s">
        <v>33</v>
      </c>
      <c r="E308" s="332" t="s">
        <v>1025</v>
      </c>
      <c r="F308" s="362"/>
      <c r="G308" s="356"/>
      <c r="H308" s="326">
        <f>H306+F307</f>
        <v>57320.428</v>
      </c>
      <c r="I308" s="358">
        <v>442.05200000000002</v>
      </c>
      <c r="J308" s="331">
        <v>75.5</v>
      </c>
      <c r="K308" s="359">
        <f>F307+F309</f>
        <v>597</v>
      </c>
      <c r="L308" s="360">
        <f>K308/2</f>
        <v>298.5</v>
      </c>
      <c r="M308" s="332">
        <v>106</v>
      </c>
      <c r="N308" s="332">
        <v>214</v>
      </c>
      <c r="O308" s="332">
        <v>320</v>
      </c>
      <c r="P308" s="332">
        <v>109</v>
      </c>
      <c r="Q308" s="332">
        <v>204</v>
      </c>
      <c r="R308" s="332">
        <v>313</v>
      </c>
      <c r="S308" s="332" t="s">
        <v>1488</v>
      </c>
      <c r="T308" s="332" t="s">
        <v>1489</v>
      </c>
      <c r="U308" s="358">
        <v>569625.23499999999</v>
      </c>
      <c r="V308" s="358">
        <v>2657073.702</v>
      </c>
      <c r="W308" s="361"/>
      <c r="X308" s="315" t="s">
        <v>1481</v>
      </c>
      <c r="Y308" s="315" t="s">
        <v>1302</v>
      </c>
      <c r="Z308" s="335" t="s">
        <v>359</v>
      </c>
      <c r="AA308" s="344"/>
      <c r="AB308" s="344"/>
      <c r="AC308" s="344"/>
      <c r="AD308" s="345"/>
    </row>
    <row r="309" spans="1:30" s="346" customFormat="1" ht="24.75" customHeight="1" x14ac:dyDescent="0.35">
      <c r="A309" s="314"/>
      <c r="B309" s="332"/>
      <c r="C309" s="332"/>
      <c r="D309" s="332"/>
      <c r="E309" s="332"/>
      <c r="F309" s="362">
        <v>365</v>
      </c>
      <c r="G309" s="356"/>
      <c r="H309" s="317"/>
      <c r="I309" s="358"/>
      <c r="J309" s="358"/>
      <c r="K309" s="359"/>
      <c r="L309" s="360"/>
      <c r="M309" s="332"/>
      <c r="N309" s="332"/>
      <c r="O309" s="332"/>
      <c r="P309" s="332"/>
      <c r="Q309" s="332"/>
      <c r="R309" s="332"/>
      <c r="S309" s="332"/>
      <c r="T309" s="332"/>
      <c r="U309" s="358"/>
      <c r="V309" s="358"/>
      <c r="W309" s="334" t="s">
        <v>1490</v>
      </c>
      <c r="X309" s="323"/>
      <c r="Y309" s="323"/>
      <c r="Z309" s="335"/>
      <c r="AA309" s="344"/>
      <c r="AB309" s="344"/>
      <c r="AC309" s="344"/>
      <c r="AD309" s="345"/>
    </row>
    <row r="310" spans="1:30" s="346" customFormat="1" ht="24.75" customHeight="1" x14ac:dyDescent="0.35">
      <c r="A310" s="325">
        <v>151</v>
      </c>
      <c r="B310" s="332" t="s">
        <v>1025</v>
      </c>
      <c r="C310" s="332" t="s">
        <v>184</v>
      </c>
      <c r="D310" s="332" t="s">
        <v>23</v>
      </c>
      <c r="E310" s="332" t="s">
        <v>1025</v>
      </c>
      <c r="F310" s="362"/>
      <c r="G310" s="356"/>
      <c r="H310" s="326">
        <f>H308+F309</f>
        <v>57685.428</v>
      </c>
      <c r="I310" s="358">
        <v>442.80500000000001</v>
      </c>
      <c r="J310" s="331">
        <v>69.5</v>
      </c>
      <c r="K310" s="359">
        <f>F309+F311</f>
        <v>744</v>
      </c>
      <c r="L310" s="360">
        <f>K310/2</f>
        <v>372</v>
      </c>
      <c r="M310" s="332">
        <v>151</v>
      </c>
      <c r="N310" s="332">
        <v>134</v>
      </c>
      <c r="O310" s="332">
        <v>285</v>
      </c>
      <c r="P310" s="332">
        <v>162</v>
      </c>
      <c r="Q310" s="332">
        <v>153</v>
      </c>
      <c r="R310" s="332">
        <v>315</v>
      </c>
      <c r="S310" s="332" t="s">
        <v>1491</v>
      </c>
      <c r="T310" s="332" t="s">
        <v>1492</v>
      </c>
      <c r="U310" s="358">
        <v>569979.83499999996</v>
      </c>
      <c r="V310" s="358">
        <v>2656987.1889999998</v>
      </c>
      <c r="W310" s="361"/>
      <c r="X310" s="315" t="s">
        <v>1481</v>
      </c>
      <c r="Y310" s="315" t="s">
        <v>1302</v>
      </c>
      <c r="Z310" s="335" t="s">
        <v>359</v>
      </c>
      <c r="AA310" s="344"/>
      <c r="AB310" s="344"/>
      <c r="AC310" s="344"/>
      <c r="AD310" s="345"/>
    </row>
    <row r="311" spans="1:30" s="346" customFormat="1" ht="24.75" customHeight="1" x14ac:dyDescent="0.35">
      <c r="A311" s="314"/>
      <c r="B311" s="332"/>
      <c r="C311" s="332"/>
      <c r="D311" s="332"/>
      <c r="E311" s="332"/>
      <c r="F311" s="362">
        <v>379</v>
      </c>
      <c r="G311" s="356"/>
      <c r="H311" s="317"/>
      <c r="I311" s="358"/>
      <c r="J311" s="358"/>
      <c r="K311" s="359"/>
      <c r="L311" s="360"/>
      <c r="M311" s="332"/>
      <c r="N311" s="332"/>
      <c r="O311" s="332"/>
      <c r="P311" s="332"/>
      <c r="Q311" s="332"/>
      <c r="R311" s="332"/>
      <c r="S311" s="332"/>
      <c r="T311" s="332"/>
      <c r="U311" s="358"/>
      <c r="V311" s="358"/>
      <c r="W311" s="334" t="s">
        <v>1493</v>
      </c>
      <c r="X311" s="323"/>
      <c r="Y311" s="323"/>
      <c r="Z311" s="335"/>
      <c r="AA311" s="344"/>
      <c r="AB311" s="344"/>
      <c r="AC311" s="344"/>
      <c r="AD311" s="345"/>
    </row>
    <row r="312" spans="1:30" s="346" customFormat="1" ht="24.75" customHeight="1" x14ac:dyDescent="0.35">
      <c r="A312" s="325">
        <v>152</v>
      </c>
      <c r="B312" s="332" t="s">
        <v>1025</v>
      </c>
      <c r="C312" s="332" t="s">
        <v>185</v>
      </c>
      <c r="D312" s="332" t="s">
        <v>16</v>
      </c>
      <c r="E312" s="332" t="s">
        <v>1025</v>
      </c>
      <c r="F312" s="362"/>
      <c r="G312" s="356"/>
      <c r="H312" s="326">
        <f>H310+F311</f>
        <v>58064.428</v>
      </c>
      <c r="I312" s="358">
        <v>443.48099999999999</v>
      </c>
      <c r="J312" s="331">
        <v>78.5</v>
      </c>
      <c r="K312" s="359">
        <f>F311+F313</f>
        <v>819</v>
      </c>
      <c r="L312" s="360">
        <f>K312/2</f>
        <v>409.5</v>
      </c>
      <c r="M312" s="332">
        <v>246</v>
      </c>
      <c r="N312" s="332">
        <v>221</v>
      </c>
      <c r="O312" s="332">
        <v>467</v>
      </c>
      <c r="P312" s="332">
        <v>227</v>
      </c>
      <c r="Q312" s="332">
        <v>221</v>
      </c>
      <c r="R312" s="332">
        <v>448</v>
      </c>
      <c r="S312" s="332" t="s">
        <v>1494</v>
      </c>
      <c r="T312" s="332" t="s">
        <v>1495</v>
      </c>
      <c r="U312" s="358">
        <v>570348.03500000003</v>
      </c>
      <c r="V312" s="358">
        <v>2656897.3569999998</v>
      </c>
      <c r="W312" s="361"/>
      <c r="X312" s="315" t="s">
        <v>1481</v>
      </c>
      <c r="Y312" s="315" t="s">
        <v>1302</v>
      </c>
      <c r="Z312" s="335" t="s">
        <v>359</v>
      </c>
      <c r="AA312" s="344"/>
      <c r="AB312" s="344"/>
      <c r="AC312" s="344"/>
      <c r="AD312" s="345"/>
    </row>
    <row r="313" spans="1:30" s="346" customFormat="1" ht="24.75" customHeight="1" x14ac:dyDescent="0.35">
      <c r="A313" s="314"/>
      <c r="B313" s="332"/>
      <c r="C313" s="332"/>
      <c r="D313" s="332"/>
      <c r="E313" s="332"/>
      <c r="F313" s="362">
        <v>440</v>
      </c>
      <c r="G313" s="356"/>
      <c r="H313" s="317"/>
      <c r="I313" s="358"/>
      <c r="J313" s="358"/>
      <c r="K313" s="359"/>
      <c r="L313" s="360"/>
      <c r="M313" s="332"/>
      <c r="N313" s="332"/>
      <c r="O313" s="332"/>
      <c r="P313" s="332"/>
      <c r="Q313" s="332"/>
      <c r="R313" s="332"/>
      <c r="S313" s="332"/>
      <c r="T313" s="332"/>
      <c r="U313" s="358"/>
      <c r="V313" s="358"/>
      <c r="W313" s="334" t="s">
        <v>1496</v>
      </c>
      <c r="X313" s="323"/>
      <c r="Y313" s="323"/>
      <c r="Z313" s="335"/>
      <c r="AA313" s="344"/>
      <c r="AB313" s="344"/>
      <c r="AC313" s="344"/>
      <c r="AD313" s="345"/>
    </row>
    <row r="314" spans="1:30" s="346" customFormat="1" ht="24.75" customHeight="1" x14ac:dyDescent="0.35">
      <c r="A314" s="325">
        <v>153</v>
      </c>
      <c r="B314" s="332" t="s">
        <v>1497</v>
      </c>
      <c r="C314" s="332" t="s">
        <v>186</v>
      </c>
      <c r="D314" s="332" t="s">
        <v>113</v>
      </c>
      <c r="E314" s="332" t="s">
        <v>1498</v>
      </c>
      <c r="F314" s="362"/>
      <c r="G314" s="357">
        <f>SUM(F307:F313)</f>
        <v>1416</v>
      </c>
      <c r="H314" s="326">
        <f>H312+F313</f>
        <v>58504.428</v>
      </c>
      <c r="I314" s="358">
        <v>446.279</v>
      </c>
      <c r="J314" s="331">
        <v>73.72</v>
      </c>
      <c r="K314" s="359">
        <f>F313+F315</f>
        <v>661</v>
      </c>
      <c r="L314" s="360">
        <f>K314/2</f>
        <v>330.5</v>
      </c>
      <c r="M314" s="332">
        <v>219</v>
      </c>
      <c r="N314" s="332">
        <v>155</v>
      </c>
      <c r="O314" s="332">
        <v>374</v>
      </c>
      <c r="P314" s="332">
        <v>220</v>
      </c>
      <c r="Q314" s="332">
        <v>130</v>
      </c>
      <c r="R314" s="332">
        <v>350</v>
      </c>
      <c r="S314" s="332" t="s">
        <v>1499</v>
      </c>
      <c r="T314" s="332" t="s">
        <v>1500</v>
      </c>
      <c r="U314" s="358">
        <v>570775.33100000001</v>
      </c>
      <c r="V314" s="358">
        <v>2656793.108</v>
      </c>
      <c r="W314" s="361"/>
      <c r="X314" s="315" t="s">
        <v>1501</v>
      </c>
      <c r="Y314" s="315" t="s">
        <v>1302</v>
      </c>
      <c r="Z314" s="335" t="s">
        <v>359</v>
      </c>
      <c r="AA314" s="344"/>
      <c r="AB314" s="344"/>
      <c r="AC314" s="344"/>
      <c r="AD314" s="345"/>
    </row>
    <row r="315" spans="1:30" s="346" customFormat="1" ht="24.75" customHeight="1" x14ac:dyDescent="0.35">
      <c r="A315" s="314"/>
      <c r="B315" s="332"/>
      <c r="C315" s="332"/>
      <c r="D315" s="332"/>
      <c r="E315" s="332"/>
      <c r="F315" s="362">
        <v>221</v>
      </c>
      <c r="G315" s="356"/>
      <c r="H315" s="317"/>
      <c r="I315" s="358"/>
      <c r="J315" s="358"/>
      <c r="K315" s="359"/>
      <c r="L315" s="360"/>
      <c r="M315" s="332"/>
      <c r="N315" s="332"/>
      <c r="O315" s="332"/>
      <c r="P315" s="332"/>
      <c r="Q315" s="332"/>
      <c r="R315" s="332"/>
      <c r="S315" s="332"/>
      <c r="T315" s="332"/>
      <c r="U315" s="358"/>
      <c r="V315" s="358"/>
      <c r="W315" s="339" t="s">
        <v>1502</v>
      </c>
      <c r="X315" s="323"/>
      <c r="Y315" s="323"/>
      <c r="Z315" s="335"/>
      <c r="AA315" s="344"/>
      <c r="AB315" s="344"/>
      <c r="AC315" s="344"/>
      <c r="AD315" s="345"/>
    </row>
    <row r="316" spans="1:30" s="346" customFormat="1" ht="24.75" customHeight="1" x14ac:dyDescent="0.35">
      <c r="A316" s="325">
        <v>154</v>
      </c>
      <c r="B316" s="332" t="s">
        <v>1503</v>
      </c>
      <c r="C316" s="332" t="s">
        <v>187</v>
      </c>
      <c r="D316" s="332" t="s">
        <v>40</v>
      </c>
      <c r="E316" s="332" t="s">
        <v>1504</v>
      </c>
      <c r="F316" s="332"/>
      <c r="G316" s="362">
        <f>F315</f>
        <v>221</v>
      </c>
      <c r="H316" s="326">
        <f>H314+F315</f>
        <v>58725.428</v>
      </c>
      <c r="I316" s="332">
        <v>445.52</v>
      </c>
      <c r="J316" s="315">
        <v>70.72</v>
      </c>
      <c r="K316" s="359">
        <f>F315+F317</f>
        <v>616</v>
      </c>
      <c r="L316" s="360">
        <f>K316/2</f>
        <v>308</v>
      </c>
      <c r="M316" s="332">
        <v>77</v>
      </c>
      <c r="N316" s="332">
        <v>163</v>
      </c>
      <c r="O316" s="332">
        <f>N316+M316</f>
        <v>240</v>
      </c>
      <c r="P316" s="332">
        <v>89</v>
      </c>
      <c r="Q316" s="332">
        <v>173</v>
      </c>
      <c r="R316" s="332">
        <f>Q316+P316</f>
        <v>262</v>
      </c>
      <c r="S316" s="332" t="s">
        <v>1505</v>
      </c>
      <c r="T316" s="332" t="s">
        <v>1506</v>
      </c>
      <c r="U316" s="333">
        <v>570996.14</v>
      </c>
      <c r="V316" s="333">
        <v>2656783.42</v>
      </c>
      <c r="W316" s="334"/>
      <c r="X316" s="315" t="s">
        <v>1501</v>
      </c>
      <c r="Y316" s="315" t="s">
        <v>1302</v>
      </c>
      <c r="Z316" s="335" t="s">
        <v>359</v>
      </c>
      <c r="AA316" s="344"/>
      <c r="AB316" s="344"/>
      <c r="AC316" s="344"/>
      <c r="AD316" s="345"/>
    </row>
    <row r="317" spans="1:30" s="346" customFormat="1" ht="28" x14ac:dyDescent="0.35">
      <c r="A317" s="314"/>
      <c r="B317" s="332"/>
      <c r="C317" s="332"/>
      <c r="D317" s="332"/>
      <c r="E317" s="332"/>
      <c r="F317" s="332">
        <v>395</v>
      </c>
      <c r="G317" s="332"/>
      <c r="H317" s="317"/>
      <c r="I317" s="332"/>
      <c r="J317" s="332"/>
      <c r="K317" s="331"/>
      <c r="L317" s="331"/>
      <c r="M317" s="332"/>
      <c r="N317" s="332"/>
      <c r="O317" s="332"/>
      <c r="P317" s="332"/>
      <c r="Q317" s="332"/>
      <c r="R317" s="332"/>
      <c r="S317" s="332"/>
      <c r="T317" s="332"/>
      <c r="U317" s="333"/>
      <c r="V317" s="333"/>
      <c r="W317" s="334" t="s">
        <v>1507</v>
      </c>
      <c r="X317" s="323"/>
      <c r="Y317" s="323"/>
      <c r="Z317" s="335"/>
      <c r="AA317" s="344"/>
      <c r="AB317" s="344"/>
      <c r="AC317" s="344"/>
      <c r="AD317" s="345"/>
    </row>
    <row r="318" spans="1:30" s="346" customFormat="1" ht="24.75" customHeight="1" x14ac:dyDescent="0.35">
      <c r="A318" s="325">
        <v>155</v>
      </c>
      <c r="B318" s="332" t="s">
        <v>1025</v>
      </c>
      <c r="C318" s="332" t="s">
        <v>188</v>
      </c>
      <c r="D318" s="332" t="s">
        <v>31</v>
      </c>
      <c r="E318" s="332" t="s">
        <v>1025</v>
      </c>
      <c r="F318" s="332"/>
      <c r="G318" s="332"/>
      <c r="H318" s="326">
        <f>H316+F317</f>
        <v>59120.428</v>
      </c>
      <c r="I318" s="358">
        <v>451.59100000000001</v>
      </c>
      <c r="J318" s="331">
        <v>72.5</v>
      </c>
      <c r="K318" s="331">
        <f>F317+F319</f>
        <v>751</v>
      </c>
      <c r="L318" s="331">
        <f>K318/2</f>
        <v>375.5</v>
      </c>
      <c r="M318" s="332">
        <v>232</v>
      </c>
      <c r="N318" s="332">
        <v>176</v>
      </c>
      <c r="O318" s="332">
        <f>N318+M318</f>
        <v>408</v>
      </c>
      <c r="P318" s="332">
        <v>222</v>
      </c>
      <c r="Q318" s="332">
        <v>177</v>
      </c>
      <c r="R318" s="332">
        <f>Q318+P318</f>
        <v>399</v>
      </c>
      <c r="S318" s="332" t="s">
        <v>1508</v>
      </c>
      <c r="T318" s="332" t="s">
        <v>1509</v>
      </c>
      <c r="U318" s="333">
        <v>571354.28700000001</v>
      </c>
      <c r="V318" s="333">
        <v>2656616.8080000002</v>
      </c>
      <c r="W318" s="334"/>
      <c r="X318" s="315" t="s">
        <v>1501</v>
      </c>
      <c r="Y318" s="315" t="s">
        <v>1302</v>
      </c>
      <c r="Z318" s="335" t="s">
        <v>359</v>
      </c>
      <c r="AA318" s="344"/>
      <c r="AB318" s="344"/>
      <c r="AC318" s="344"/>
      <c r="AD318" s="345"/>
    </row>
    <row r="319" spans="1:30" s="346" customFormat="1" ht="24.75" customHeight="1" x14ac:dyDescent="0.35">
      <c r="A319" s="314"/>
      <c r="B319" s="332"/>
      <c r="C319" s="332"/>
      <c r="D319" s="332"/>
      <c r="E319" s="332"/>
      <c r="F319" s="332">
        <v>356</v>
      </c>
      <c r="G319" s="332"/>
      <c r="H319" s="317"/>
      <c r="I319" s="332"/>
      <c r="J319" s="332"/>
      <c r="K319" s="331"/>
      <c r="L319" s="331"/>
      <c r="M319" s="332"/>
      <c r="N319" s="332"/>
      <c r="O319" s="332"/>
      <c r="P319" s="332"/>
      <c r="Q319" s="332"/>
      <c r="R319" s="332"/>
      <c r="S319" s="332"/>
      <c r="T319" s="332"/>
      <c r="U319" s="333"/>
      <c r="V319" s="333"/>
      <c r="W319" s="334" t="s">
        <v>1069</v>
      </c>
      <c r="X319" s="323"/>
      <c r="Y319" s="323"/>
      <c r="Z319" s="335"/>
      <c r="AA319" s="344"/>
      <c r="AB319" s="344"/>
      <c r="AC319" s="344"/>
      <c r="AD319" s="345"/>
    </row>
    <row r="320" spans="1:30" s="346" customFormat="1" ht="24.75" customHeight="1" x14ac:dyDescent="0.35">
      <c r="A320" s="325">
        <v>156</v>
      </c>
      <c r="B320" s="332" t="s">
        <v>1025</v>
      </c>
      <c r="C320" s="332" t="s">
        <v>189</v>
      </c>
      <c r="D320" s="332" t="s">
        <v>31</v>
      </c>
      <c r="E320" s="332" t="s">
        <v>1025</v>
      </c>
      <c r="F320" s="332"/>
      <c r="G320" s="332"/>
      <c r="H320" s="326">
        <f>H318+F319</f>
        <v>59476.428</v>
      </c>
      <c r="I320" s="358">
        <v>451.99299999999999</v>
      </c>
      <c r="J320" s="331">
        <v>72.5</v>
      </c>
      <c r="K320" s="331">
        <f>F319+F321</f>
        <v>760</v>
      </c>
      <c r="L320" s="331">
        <f>K320/2</f>
        <v>380</v>
      </c>
      <c r="M320" s="332">
        <v>181</v>
      </c>
      <c r="N320" s="332">
        <v>204</v>
      </c>
      <c r="O320" s="332">
        <v>385</v>
      </c>
      <c r="P320" s="332">
        <v>180</v>
      </c>
      <c r="Q320" s="332">
        <v>204</v>
      </c>
      <c r="R320" s="332">
        <v>384</v>
      </c>
      <c r="S320" s="332" t="s">
        <v>1510</v>
      </c>
      <c r="T320" s="332" t="s">
        <v>1511</v>
      </c>
      <c r="U320" s="333">
        <v>571677.06900000002</v>
      </c>
      <c r="V320" s="333">
        <v>2656466.6490000002</v>
      </c>
      <c r="W320" s="334"/>
      <c r="X320" s="315" t="s">
        <v>1512</v>
      </c>
      <c r="Y320" s="315" t="s">
        <v>1302</v>
      </c>
      <c r="Z320" s="335" t="s">
        <v>359</v>
      </c>
      <c r="AA320" s="344"/>
      <c r="AB320" s="344"/>
      <c r="AC320" s="344"/>
      <c r="AD320" s="345"/>
    </row>
    <row r="321" spans="1:30" s="346" customFormat="1" ht="28" x14ac:dyDescent="0.35">
      <c r="A321" s="314"/>
      <c r="B321" s="332"/>
      <c r="C321" s="332"/>
      <c r="D321" s="332"/>
      <c r="E321" s="332"/>
      <c r="F321" s="332">
        <v>404</v>
      </c>
      <c r="G321" s="332"/>
      <c r="H321" s="317"/>
      <c r="I321" s="332"/>
      <c r="J321" s="332"/>
      <c r="K321" s="331"/>
      <c r="L321" s="331"/>
      <c r="M321" s="332"/>
      <c r="N321" s="332"/>
      <c r="O321" s="332"/>
      <c r="P321" s="332"/>
      <c r="Q321" s="332"/>
      <c r="R321" s="332"/>
      <c r="S321" s="332"/>
      <c r="T321" s="332"/>
      <c r="U321" s="333"/>
      <c r="V321" s="333"/>
      <c r="W321" s="334" t="s">
        <v>1513</v>
      </c>
      <c r="X321" s="323"/>
      <c r="Y321" s="323"/>
      <c r="Z321" s="335"/>
      <c r="AA321" s="344"/>
      <c r="AB321" s="344"/>
      <c r="AC321" s="344"/>
      <c r="AD321" s="345"/>
    </row>
    <row r="322" spans="1:30" s="346" customFormat="1" ht="24.75" customHeight="1" x14ac:dyDescent="0.35">
      <c r="A322" s="325">
        <v>157</v>
      </c>
      <c r="B322" s="332" t="s">
        <v>1025</v>
      </c>
      <c r="C322" s="332" t="s">
        <v>190</v>
      </c>
      <c r="D322" s="332" t="s">
        <v>31</v>
      </c>
      <c r="E322" s="332" t="s">
        <v>1025</v>
      </c>
      <c r="F322" s="332"/>
      <c r="G322" s="332"/>
      <c r="H322" s="326">
        <f>H320+F321</f>
        <v>59880.428</v>
      </c>
      <c r="I322" s="358">
        <v>451.70699999999999</v>
      </c>
      <c r="J322" s="331">
        <v>72.5</v>
      </c>
      <c r="K322" s="331">
        <f>F321+F323</f>
        <v>784</v>
      </c>
      <c r="L322" s="331">
        <f>K322/2</f>
        <v>392</v>
      </c>
      <c r="M322" s="332">
        <v>201</v>
      </c>
      <c r="N322" s="332">
        <v>163</v>
      </c>
      <c r="O322" s="332">
        <v>364</v>
      </c>
      <c r="P322" s="332">
        <v>202</v>
      </c>
      <c r="Q322" s="332">
        <v>171</v>
      </c>
      <c r="R322" s="332">
        <v>373</v>
      </c>
      <c r="S322" s="332" t="s">
        <v>1514</v>
      </c>
      <c r="T322" s="332" t="s">
        <v>1515</v>
      </c>
      <c r="U322" s="333">
        <v>572043.37300000002</v>
      </c>
      <c r="V322" s="333">
        <v>2656296.2450000001</v>
      </c>
      <c r="W322" s="334"/>
      <c r="X322" s="315" t="s">
        <v>1512</v>
      </c>
      <c r="Y322" s="315" t="s">
        <v>1302</v>
      </c>
      <c r="Z322" s="335" t="s">
        <v>359</v>
      </c>
      <c r="AA322" s="344"/>
      <c r="AB322" s="344"/>
      <c r="AC322" s="344"/>
      <c r="AD322" s="345"/>
    </row>
    <row r="323" spans="1:30" s="346" customFormat="1" ht="24.75" customHeight="1" x14ac:dyDescent="0.35">
      <c r="A323" s="314"/>
      <c r="B323" s="332"/>
      <c r="C323" s="332"/>
      <c r="D323" s="332"/>
      <c r="E323" s="332"/>
      <c r="F323" s="332">
        <v>380</v>
      </c>
      <c r="G323" s="332"/>
      <c r="H323" s="317"/>
      <c r="I323" s="332"/>
      <c r="J323" s="332"/>
      <c r="K323" s="331"/>
      <c r="L323" s="331"/>
      <c r="M323" s="332"/>
      <c r="N323" s="332"/>
      <c r="O323" s="332"/>
      <c r="P323" s="332"/>
      <c r="Q323" s="332"/>
      <c r="R323" s="332"/>
      <c r="S323" s="332"/>
      <c r="T323" s="332"/>
      <c r="U323" s="333"/>
      <c r="V323" s="333"/>
      <c r="W323" s="334" t="s">
        <v>1516</v>
      </c>
      <c r="X323" s="323"/>
      <c r="Y323" s="323"/>
      <c r="Z323" s="335"/>
      <c r="AA323" s="344"/>
      <c r="AB323" s="344"/>
      <c r="AC323" s="344"/>
      <c r="AD323" s="345"/>
    </row>
    <row r="324" spans="1:30" s="346" customFormat="1" ht="24.75" customHeight="1" x14ac:dyDescent="0.35">
      <c r="A324" s="325">
        <v>158</v>
      </c>
      <c r="B324" s="332" t="s">
        <v>1025</v>
      </c>
      <c r="C324" s="332" t="s">
        <v>191</v>
      </c>
      <c r="D324" s="332" t="s">
        <v>33</v>
      </c>
      <c r="E324" s="332" t="s">
        <v>1025</v>
      </c>
      <c r="F324" s="332"/>
      <c r="G324" s="332"/>
      <c r="H324" s="326">
        <f>H322+F323</f>
        <v>60260.428</v>
      </c>
      <c r="I324" s="332">
        <v>453.65800000000002</v>
      </c>
      <c r="J324" s="331">
        <v>75.5</v>
      </c>
      <c r="K324" s="331">
        <f>F323+F325</f>
        <v>840</v>
      </c>
      <c r="L324" s="331">
        <f>K324/2</f>
        <v>420</v>
      </c>
      <c r="M324" s="332">
        <v>218</v>
      </c>
      <c r="N324" s="332">
        <v>211</v>
      </c>
      <c r="O324" s="332">
        <v>429</v>
      </c>
      <c r="P324" s="332">
        <v>210</v>
      </c>
      <c r="Q324" s="332">
        <v>218</v>
      </c>
      <c r="R324" s="332">
        <v>428</v>
      </c>
      <c r="S324" s="332" t="s">
        <v>1517</v>
      </c>
      <c r="T324" s="332" t="s">
        <v>1518</v>
      </c>
      <c r="U324" s="333">
        <v>572387.91599999997</v>
      </c>
      <c r="V324" s="333">
        <v>2656135.9640000002</v>
      </c>
      <c r="W324" s="334"/>
      <c r="X324" s="315" t="s">
        <v>1512</v>
      </c>
      <c r="Y324" s="315" t="s">
        <v>1302</v>
      </c>
      <c r="Z324" s="335" t="s">
        <v>359</v>
      </c>
      <c r="AA324" s="344"/>
      <c r="AB324" s="344"/>
      <c r="AC324" s="344"/>
      <c r="AD324" s="345"/>
    </row>
    <row r="325" spans="1:30" s="346" customFormat="1" ht="28" x14ac:dyDescent="0.35">
      <c r="A325" s="314"/>
      <c r="B325" s="332"/>
      <c r="C325" s="332"/>
      <c r="D325" s="332"/>
      <c r="E325" s="332"/>
      <c r="F325" s="332">
        <v>460</v>
      </c>
      <c r="G325" s="332"/>
      <c r="H325" s="317"/>
      <c r="I325" s="332"/>
      <c r="J325" s="332"/>
      <c r="K325" s="331"/>
      <c r="L325" s="331"/>
      <c r="M325" s="332"/>
      <c r="N325" s="332"/>
      <c r="O325" s="332"/>
      <c r="P325" s="332"/>
      <c r="Q325" s="332"/>
      <c r="R325" s="332"/>
      <c r="S325" s="332"/>
      <c r="T325" s="332"/>
      <c r="U325" s="333"/>
      <c r="V325" s="333"/>
      <c r="W325" s="334" t="s">
        <v>1519</v>
      </c>
      <c r="X325" s="323"/>
      <c r="Y325" s="323"/>
      <c r="Z325" s="335"/>
      <c r="AA325" s="344"/>
      <c r="AB325" s="344"/>
      <c r="AC325" s="344"/>
      <c r="AD325" s="345"/>
    </row>
    <row r="326" spans="1:30" s="346" customFormat="1" ht="24.75" customHeight="1" x14ac:dyDescent="0.35">
      <c r="A326" s="325">
        <v>159</v>
      </c>
      <c r="B326" s="332" t="s">
        <v>1025</v>
      </c>
      <c r="C326" s="332" t="s">
        <v>192</v>
      </c>
      <c r="D326" s="332" t="s">
        <v>16</v>
      </c>
      <c r="E326" s="332" t="s">
        <v>1025</v>
      </c>
      <c r="F326" s="332"/>
      <c r="G326" s="332"/>
      <c r="H326" s="326">
        <f>H324+F325</f>
        <v>60720.428</v>
      </c>
      <c r="I326" s="332">
        <v>454.81400000000002</v>
      </c>
      <c r="J326" s="331">
        <v>78.5</v>
      </c>
      <c r="K326" s="331">
        <f>F325+F327</f>
        <v>840</v>
      </c>
      <c r="L326" s="331">
        <f>K326/2</f>
        <v>420</v>
      </c>
      <c r="M326" s="332">
        <v>250</v>
      </c>
      <c r="N326" s="332">
        <v>209</v>
      </c>
      <c r="O326" s="332">
        <v>459</v>
      </c>
      <c r="P326" s="332">
        <v>244</v>
      </c>
      <c r="Q326" s="332">
        <v>204</v>
      </c>
      <c r="R326" s="332">
        <v>448</v>
      </c>
      <c r="S326" s="332" t="s">
        <v>1520</v>
      </c>
      <c r="T326" s="332" t="s">
        <v>1521</v>
      </c>
      <c r="U326" s="333">
        <v>572804.995</v>
      </c>
      <c r="V326" s="333">
        <v>2655941.9389999998</v>
      </c>
      <c r="W326" s="334"/>
      <c r="X326" s="315" t="s">
        <v>1512</v>
      </c>
      <c r="Y326" s="315" t="s">
        <v>1302</v>
      </c>
      <c r="Z326" s="335" t="s">
        <v>359</v>
      </c>
      <c r="AA326" s="344"/>
      <c r="AB326" s="344"/>
      <c r="AC326" s="344"/>
      <c r="AD326" s="345"/>
    </row>
    <row r="327" spans="1:30" s="346" customFormat="1" ht="24.75" customHeight="1" x14ac:dyDescent="0.35">
      <c r="A327" s="314"/>
      <c r="B327" s="332"/>
      <c r="C327" s="332"/>
      <c r="D327" s="332"/>
      <c r="E327" s="332"/>
      <c r="F327" s="332">
        <v>380</v>
      </c>
      <c r="G327" s="332"/>
      <c r="H327" s="317"/>
      <c r="I327" s="332"/>
      <c r="J327" s="332"/>
      <c r="K327" s="331"/>
      <c r="L327" s="331"/>
      <c r="M327" s="332"/>
      <c r="N327" s="332"/>
      <c r="O327" s="332"/>
      <c r="P327" s="332"/>
      <c r="Q327" s="332"/>
      <c r="R327" s="332"/>
      <c r="S327" s="332"/>
      <c r="T327" s="332"/>
      <c r="U327" s="333"/>
      <c r="V327" s="333"/>
      <c r="W327" s="334" t="s">
        <v>1277</v>
      </c>
      <c r="X327" s="323"/>
      <c r="Y327" s="323"/>
      <c r="Z327" s="335"/>
      <c r="AA327" s="344"/>
      <c r="AB327" s="344"/>
      <c r="AC327" s="344"/>
      <c r="AD327" s="345"/>
    </row>
    <row r="328" spans="1:30" s="346" customFormat="1" ht="24.75" customHeight="1" x14ac:dyDescent="0.35">
      <c r="A328" s="325">
        <v>160</v>
      </c>
      <c r="B328" s="332" t="s">
        <v>1025</v>
      </c>
      <c r="C328" s="332" t="s">
        <v>193</v>
      </c>
      <c r="D328" s="332" t="s">
        <v>14</v>
      </c>
      <c r="E328" s="332" t="s">
        <v>1025</v>
      </c>
      <c r="F328" s="332"/>
      <c r="G328" s="332"/>
      <c r="H328" s="326">
        <f>H326+F327</f>
        <v>61100.428</v>
      </c>
      <c r="I328" s="332">
        <v>458.85199999999998</v>
      </c>
      <c r="J328" s="331">
        <v>71</v>
      </c>
      <c r="K328" s="331">
        <f>F327+F329</f>
        <v>793</v>
      </c>
      <c r="L328" s="331">
        <f>K328/2</f>
        <v>396.5</v>
      </c>
      <c r="M328" s="332">
        <v>171</v>
      </c>
      <c r="N328" s="332">
        <v>155</v>
      </c>
      <c r="O328" s="332">
        <v>326</v>
      </c>
      <c r="P328" s="332">
        <v>177</v>
      </c>
      <c r="Q328" s="332">
        <v>171</v>
      </c>
      <c r="R328" s="332">
        <v>348</v>
      </c>
      <c r="S328" s="332" t="s">
        <v>1522</v>
      </c>
      <c r="T328" s="332" t="s">
        <v>1523</v>
      </c>
      <c r="U328" s="333">
        <v>573149.53799999994</v>
      </c>
      <c r="V328" s="333">
        <v>2655781.6579999998</v>
      </c>
      <c r="W328" s="334"/>
      <c r="X328" s="315" t="s">
        <v>1512</v>
      </c>
      <c r="Y328" s="315" t="s">
        <v>1302</v>
      </c>
      <c r="Z328" s="335" t="s">
        <v>359</v>
      </c>
      <c r="AA328" s="344"/>
      <c r="AB328" s="344"/>
      <c r="AC328" s="344"/>
      <c r="AD328" s="345"/>
    </row>
    <row r="329" spans="1:30" s="346" customFormat="1" ht="24.75" customHeight="1" x14ac:dyDescent="0.35">
      <c r="A329" s="314"/>
      <c r="B329" s="332"/>
      <c r="C329" s="332"/>
      <c r="D329" s="332"/>
      <c r="E329" s="332"/>
      <c r="F329" s="332">
        <v>413</v>
      </c>
      <c r="G329" s="332"/>
      <c r="H329" s="317"/>
      <c r="I329" s="332"/>
      <c r="J329" s="332"/>
      <c r="K329" s="331"/>
      <c r="L329" s="331"/>
      <c r="M329" s="332"/>
      <c r="N329" s="332"/>
      <c r="O329" s="332"/>
      <c r="P329" s="332"/>
      <c r="Q329" s="332"/>
      <c r="R329" s="332"/>
      <c r="S329" s="332"/>
      <c r="T329" s="332"/>
      <c r="U329" s="333"/>
      <c r="V329" s="333"/>
      <c r="W329" s="334" t="s">
        <v>1524</v>
      </c>
      <c r="X329" s="323"/>
      <c r="Y329" s="323"/>
      <c r="Z329" s="335"/>
      <c r="AA329" s="344"/>
      <c r="AB329" s="344"/>
      <c r="AC329" s="344"/>
      <c r="AD329" s="345"/>
    </row>
    <row r="330" spans="1:30" s="346" customFormat="1" ht="24.75" customHeight="1" x14ac:dyDescent="0.35">
      <c r="A330" s="325">
        <v>161</v>
      </c>
      <c r="B330" s="332" t="s">
        <v>1025</v>
      </c>
      <c r="C330" s="332" t="s">
        <v>194</v>
      </c>
      <c r="D330" s="332" t="s">
        <v>33</v>
      </c>
      <c r="E330" s="332" t="s">
        <v>1025</v>
      </c>
      <c r="F330" s="332"/>
      <c r="G330" s="332"/>
      <c r="H330" s="326">
        <f>H328+F329</f>
        <v>61513.428</v>
      </c>
      <c r="I330" s="332">
        <v>464.541</v>
      </c>
      <c r="J330" s="331">
        <v>75.5</v>
      </c>
      <c r="K330" s="331">
        <f>F329+F331</f>
        <v>826</v>
      </c>
      <c r="L330" s="331">
        <f>K330/2</f>
        <v>413</v>
      </c>
      <c r="M330" s="332">
        <v>259</v>
      </c>
      <c r="N330" s="332">
        <v>221</v>
      </c>
      <c r="O330" s="332">
        <v>480</v>
      </c>
      <c r="P330" s="332">
        <v>244</v>
      </c>
      <c r="Q330" s="332">
        <v>217</v>
      </c>
      <c r="R330" s="332">
        <v>461</v>
      </c>
      <c r="S330" s="332" t="s">
        <v>1525</v>
      </c>
      <c r="T330" s="332" t="s">
        <v>1526</v>
      </c>
      <c r="U330" s="333">
        <v>573524.00199999998</v>
      </c>
      <c r="V330" s="333">
        <v>2655607.4580000001</v>
      </c>
      <c r="W330" s="334"/>
      <c r="X330" s="315" t="s">
        <v>1512</v>
      </c>
      <c r="Y330" s="315" t="s">
        <v>1302</v>
      </c>
      <c r="Z330" s="335" t="s">
        <v>359</v>
      </c>
      <c r="AA330" s="344"/>
      <c r="AB330" s="344"/>
      <c r="AC330" s="344"/>
      <c r="AD330" s="345"/>
    </row>
    <row r="331" spans="1:30" s="346" customFormat="1" ht="24.75" customHeight="1" x14ac:dyDescent="0.35">
      <c r="A331" s="314"/>
      <c r="B331" s="332"/>
      <c r="C331" s="332"/>
      <c r="D331" s="332"/>
      <c r="E331" s="332"/>
      <c r="F331" s="332">
        <v>413</v>
      </c>
      <c r="G331" s="332"/>
      <c r="H331" s="317"/>
      <c r="I331" s="332"/>
      <c r="J331" s="332"/>
      <c r="K331" s="331"/>
      <c r="L331" s="331"/>
      <c r="M331" s="332"/>
      <c r="N331" s="332"/>
      <c r="O331" s="332"/>
      <c r="P331" s="332"/>
      <c r="Q331" s="332"/>
      <c r="R331" s="332"/>
      <c r="S331" s="332"/>
      <c r="T331" s="332"/>
      <c r="U331" s="333"/>
      <c r="V331" s="333"/>
      <c r="W331" s="334" t="s">
        <v>1277</v>
      </c>
      <c r="X331" s="323"/>
      <c r="Y331" s="323"/>
      <c r="Z331" s="335"/>
      <c r="AA331" s="344"/>
      <c r="AB331" s="344"/>
      <c r="AC331" s="344"/>
      <c r="AD331" s="345"/>
    </row>
    <row r="332" spans="1:30" s="346" customFormat="1" ht="24.75" customHeight="1" x14ac:dyDescent="0.35">
      <c r="A332" s="325">
        <v>162</v>
      </c>
      <c r="B332" s="332" t="s">
        <v>1025</v>
      </c>
      <c r="C332" s="332" t="s">
        <v>195</v>
      </c>
      <c r="D332" s="332" t="s">
        <v>31</v>
      </c>
      <c r="E332" s="332" t="s">
        <v>1025</v>
      </c>
      <c r="F332" s="332"/>
      <c r="G332" s="332"/>
      <c r="H332" s="326">
        <f>H330+F331</f>
        <v>61926.428</v>
      </c>
      <c r="I332" s="358">
        <v>464.78899999999999</v>
      </c>
      <c r="J332" s="331">
        <v>72.5</v>
      </c>
      <c r="K332" s="331">
        <f>F331+F333</f>
        <v>840</v>
      </c>
      <c r="L332" s="331">
        <f>K332/2</f>
        <v>420</v>
      </c>
      <c r="M332" s="332">
        <v>193</v>
      </c>
      <c r="N332" s="332">
        <v>136</v>
      </c>
      <c r="O332" s="332">
        <v>329</v>
      </c>
      <c r="P332" s="332">
        <v>197</v>
      </c>
      <c r="Q332" s="332">
        <v>160</v>
      </c>
      <c r="R332" s="332">
        <v>357</v>
      </c>
      <c r="S332" s="332" t="s">
        <v>1527</v>
      </c>
      <c r="T332" s="332" t="s">
        <v>1528</v>
      </c>
      <c r="U332" s="333">
        <v>573898.46600000001</v>
      </c>
      <c r="V332" s="333">
        <v>2655433.2570000002</v>
      </c>
      <c r="W332" s="334"/>
      <c r="X332" s="315" t="s">
        <v>1529</v>
      </c>
      <c r="Y332" s="315" t="s">
        <v>1302</v>
      </c>
      <c r="Z332" s="335" t="s">
        <v>359</v>
      </c>
      <c r="AA332" s="344"/>
      <c r="AB332" s="344"/>
      <c r="AC332" s="344"/>
      <c r="AD332" s="345"/>
    </row>
    <row r="333" spans="1:30" s="346" customFormat="1" ht="24.75" customHeight="1" x14ac:dyDescent="0.35">
      <c r="A333" s="314"/>
      <c r="B333" s="332"/>
      <c r="C333" s="332"/>
      <c r="D333" s="332"/>
      <c r="E333" s="332"/>
      <c r="F333" s="332">
        <v>427</v>
      </c>
      <c r="G333" s="332"/>
      <c r="H333" s="317"/>
      <c r="I333" s="332"/>
      <c r="J333" s="332"/>
      <c r="K333" s="331"/>
      <c r="L333" s="331"/>
      <c r="M333" s="332"/>
      <c r="N333" s="332"/>
      <c r="O333" s="332"/>
      <c r="P333" s="332"/>
      <c r="Q333" s="332"/>
      <c r="R333" s="332"/>
      <c r="S333" s="332"/>
      <c r="T333" s="332"/>
      <c r="U333" s="333"/>
      <c r="V333" s="333"/>
      <c r="W333" s="334" t="s">
        <v>1530</v>
      </c>
      <c r="X333" s="323"/>
      <c r="Y333" s="323"/>
      <c r="Z333" s="335"/>
      <c r="AA333" s="344"/>
      <c r="AB333" s="344"/>
      <c r="AC333" s="344"/>
      <c r="AD333" s="345"/>
    </row>
    <row r="334" spans="1:30" s="346" customFormat="1" ht="24.75" customHeight="1" x14ac:dyDescent="0.35">
      <c r="A334" s="325">
        <v>163</v>
      </c>
      <c r="B334" s="332" t="s">
        <v>1531</v>
      </c>
      <c r="C334" s="332" t="s">
        <v>196</v>
      </c>
      <c r="D334" s="332" t="s">
        <v>197</v>
      </c>
      <c r="E334" s="332" t="s">
        <v>1532</v>
      </c>
      <c r="F334" s="332"/>
      <c r="G334" s="332">
        <f>SUM(F317:F333)</f>
        <v>3628</v>
      </c>
      <c r="H334" s="326">
        <f>H332+F333</f>
        <v>62353.428</v>
      </c>
      <c r="I334" s="332">
        <v>468.46</v>
      </c>
      <c r="J334" s="332">
        <v>82.72</v>
      </c>
      <c r="K334" s="331">
        <f>F333+F335</f>
        <v>647</v>
      </c>
      <c r="L334" s="331">
        <f>K334/2</f>
        <v>323.5</v>
      </c>
      <c r="M334" s="332">
        <v>291</v>
      </c>
      <c r="N334" s="332">
        <v>148</v>
      </c>
      <c r="O334" s="332">
        <v>439</v>
      </c>
      <c r="P334" s="332">
        <v>269</v>
      </c>
      <c r="Q334" s="332">
        <v>127</v>
      </c>
      <c r="R334" s="332">
        <v>396</v>
      </c>
      <c r="S334" s="332" t="s">
        <v>1533</v>
      </c>
      <c r="T334" s="332" t="s">
        <v>1534</v>
      </c>
      <c r="U334" s="333">
        <v>574285.62300000002</v>
      </c>
      <c r="V334" s="333">
        <v>2655253.1519999998</v>
      </c>
      <c r="W334" s="334"/>
      <c r="X334" s="315" t="s">
        <v>1529</v>
      </c>
      <c r="Y334" s="315" t="s">
        <v>1302</v>
      </c>
      <c r="Z334" s="335" t="s">
        <v>359</v>
      </c>
      <c r="AA334" s="344"/>
      <c r="AB334" s="344"/>
      <c r="AC334" s="344"/>
      <c r="AD334" s="345"/>
    </row>
    <row r="335" spans="1:30" s="346" customFormat="1" ht="28" x14ac:dyDescent="0.35">
      <c r="A335" s="314"/>
      <c r="B335" s="332"/>
      <c r="C335" s="332"/>
      <c r="D335" s="332"/>
      <c r="E335" s="332"/>
      <c r="F335" s="332">
        <v>220</v>
      </c>
      <c r="G335" s="332"/>
      <c r="H335" s="317"/>
      <c r="I335" s="332"/>
      <c r="J335" s="332"/>
      <c r="K335" s="331"/>
      <c r="L335" s="331"/>
      <c r="M335" s="332"/>
      <c r="N335" s="332"/>
      <c r="O335" s="332"/>
      <c r="P335" s="332"/>
      <c r="Q335" s="332"/>
      <c r="R335" s="332"/>
      <c r="S335" s="332"/>
      <c r="T335" s="332"/>
      <c r="U335" s="333"/>
      <c r="V335" s="333"/>
      <c r="W335" s="339" t="s">
        <v>1535</v>
      </c>
      <c r="X335" s="323"/>
      <c r="Y335" s="323"/>
      <c r="Z335" s="335"/>
      <c r="AA335" s="344"/>
      <c r="AB335" s="344"/>
      <c r="AC335" s="344"/>
      <c r="AD335" s="345"/>
    </row>
    <row r="336" spans="1:30" s="346" customFormat="1" ht="24.75" customHeight="1" x14ac:dyDescent="0.35">
      <c r="A336" s="325">
        <v>164</v>
      </c>
      <c r="B336" s="332" t="s">
        <v>1536</v>
      </c>
      <c r="C336" s="332" t="s">
        <v>198</v>
      </c>
      <c r="D336" s="332" t="s">
        <v>118</v>
      </c>
      <c r="E336" s="332" t="s">
        <v>1537</v>
      </c>
      <c r="F336" s="332"/>
      <c r="G336" s="332">
        <f>F335</f>
        <v>220</v>
      </c>
      <c r="H336" s="326">
        <f>H334+F335</f>
        <v>62573.428</v>
      </c>
      <c r="I336" s="332">
        <v>468.33499999999998</v>
      </c>
      <c r="J336" s="331">
        <v>79.72</v>
      </c>
      <c r="K336" s="331">
        <f>F335+F337</f>
        <v>650</v>
      </c>
      <c r="L336" s="331">
        <f>K336/2</f>
        <v>325</v>
      </c>
      <c r="M336" s="332">
        <v>73</v>
      </c>
      <c r="N336" s="332">
        <v>273</v>
      </c>
      <c r="O336" s="332">
        <v>346</v>
      </c>
      <c r="P336" s="332">
        <v>94</v>
      </c>
      <c r="Q336" s="332">
        <v>255</v>
      </c>
      <c r="R336" s="332">
        <v>349</v>
      </c>
      <c r="S336" s="332" t="s">
        <v>1538</v>
      </c>
      <c r="T336" s="332" t="s">
        <v>1539</v>
      </c>
      <c r="U336" s="333">
        <v>574496.58499999996</v>
      </c>
      <c r="V336" s="333">
        <v>2655315.5630000001</v>
      </c>
      <c r="W336" s="334"/>
      <c r="X336" s="315" t="s">
        <v>1529</v>
      </c>
      <c r="Y336" s="315" t="s">
        <v>1302</v>
      </c>
      <c r="Z336" s="335" t="s">
        <v>359</v>
      </c>
      <c r="AA336" s="344"/>
      <c r="AB336" s="344"/>
      <c r="AC336" s="344"/>
      <c r="AD336" s="345"/>
    </row>
    <row r="337" spans="1:30" s="346" customFormat="1" ht="24.75" customHeight="1" x14ac:dyDescent="0.35">
      <c r="A337" s="314"/>
      <c r="B337" s="332"/>
      <c r="C337" s="332"/>
      <c r="D337" s="332"/>
      <c r="E337" s="332"/>
      <c r="F337" s="332">
        <v>430</v>
      </c>
      <c r="G337" s="332"/>
      <c r="H337" s="317"/>
      <c r="I337" s="332"/>
      <c r="J337" s="332"/>
      <c r="K337" s="331"/>
      <c r="L337" s="331"/>
      <c r="M337" s="332"/>
      <c r="N337" s="332"/>
      <c r="O337" s="332"/>
      <c r="P337" s="332"/>
      <c r="Q337" s="332"/>
      <c r="R337" s="332"/>
      <c r="S337" s="332"/>
      <c r="T337" s="332"/>
      <c r="U337" s="333"/>
      <c r="V337" s="333"/>
      <c r="W337" s="334" t="s">
        <v>1540</v>
      </c>
      <c r="X337" s="323"/>
      <c r="Y337" s="323"/>
      <c r="Z337" s="335"/>
      <c r="AA337" s="344"/>
      <c r="AB337" s="344"/>
      <c r="AC337" s="344"/>
      <c r="AD337" s="345"/>
    </row>
    <row r="338" spans="1:30" s="346" customFormat="1" ht="24.75" customHeight="1" x14ac:dyDescent="0.35">
      <c r="A338" s="325">
        <v>165</v>
      </c>
      <c r="B338" s="332" t="s">
        <v>1025</v>
      </c>
      <c r="C338" s="332" t="s">
        <v>199</v>
      </c>
      <c r="D338" s="332" t="s">
        <v>23</v>
      </c>
      <c r="E338" s="332" t="s">
        <v>1025</v>
      </c>
      <c r="F338" s="332"/>
      <c r="G338" s="332"/>
      <c r="H338" s="326">
        <f>H336+F337</f>
        <v>63003.428</v>
      </c>
      <c r="I338" s="332">
        <v>468.90199999999999</v>
      </c>
      <c r="J338" s="331">
        <v>69.5</v>
      </c>
      <c r="K338" s="331">
        <f>F337+F339</f>
        <v>774</v>
      </c>
      <c r="L338" s="331">
        <f>K338/2</f>
        <v>387</v>
      </c>
      <c r="M338" s="332">
        <v>158</v>
      </c>
      <c r="N338" s="332">
        <v>149</v>
      </c>
      <c r="O338" s="332">
        <v>307</v>
      </c>
      <c r="P338" s="332">
        <v>177</v>
      </c>
      <c r="Q338" s="332">
        <v>157</v>
      </c>
      <c r="R338" s="332">
        <v>334</v>
      </c>
      <c r="S338" s="332" t="s">
        <v>1541</v>
      </c>
      <c r="T338" s="332" t="s">
        <v>1542</v>
      </c>
      <c r="U338" s="333">
        <v>574897.53500000003</v>
      </c>
      <c r="V338" s="333">
        <v>2655160.1940000001</v>
      </c>
      <c r="W338" s="334"/>
      <c r="X338" s="315" t="s">
        <v>1529</v>
      </c>
      <c r="Y338" s="315" t="s">
        <v>1302</v>
      </c>
      <c r="Z338" s="335" t="s">
        <v>359</v>
      </c>
      <c r="AA338" s="344"/>
      <c r="AB338" s="344"/>
      <c r="AC338" s="344"/>
      <c r="AD338" s="345"/>
    </row>
    <row r="339" spans="1:30" s="346" customFormat="1" ht="24.75" customHeight="1" x14ac:dyDescent="0.35">
      <c r="A339" s="314"/>
      <c r="B339" s="332"/>
      <c r="C339" s="332"/>
      <c r="D339" s="332"/>
      <c r="E339" s="332"/>
      <c r="F339" s="332">
        <v>344</v>
      </c>
      <c r="G339" s="332"/>
      <c r="H339" s="317"/>
      <c r="I339" s="332"/>
      <c r="J339" s="332"/>
      <c r="K339" s="331"/>
      <c r="L339" s="331"/>
      <c r="M339" s="332"/>
      <c r="N339" s="332"/>
      <c r="O339" s="332"/>
      <c r="P339" s="332"/>
      <c r="Q339" s="332"/>
      <c r="R339" s="332"/>
      <c r="S339" s="332"/>
      <c r="T339" s="332"/>
      <c r="U339" s="333"/>
      <c r="V339" s="333"/>
      <c r="W339" s="334" t="s">
        <v>1069</v>
      </c>
      <c r="X339" s="323"/>
      <c r="Y339" s="323"/>
      <c r="Z339" s="335"/>
      <c r="AA339" s="344"/>
      <c r="AB339" s="344"/>
      <c r="AC339" s="344"/>
      <c r="AD339" s="345"/>
    </row>
    <row r="340" spans="1:30" s="346" customFormat="1" ht="24.75" customHeight="1" x14ac:dyDescent="0.35">
      <c r="A340" s="325">
        <v>166</v>
      </c>
      <c r="B340" s="332" t="s">
        <v>1025</v>
      </c>
      <c r="C340" s="332" t="s">
        <v>200</v>
      </c>
      <c r="D340" s="332" t="s">
        <v>31</v>
      </c>
      <c r="E340" s="332" t="s">
        <v>1025</v>
      </c>
      <c r="F340" s="332"/>
      <c r="G340" s="332"/>
      <c r="H340" s="326">
        <f>H338+F339</f>
        <v>63347.428</v>
      </c>
      <c r="I340" s="358">
        <v>469.53</v>
      </c>
      <c r="J340" s="331">
        <v>72.5</v>
      </c>
      <c r="K340" s="331">
        <f>F339+F341</f>
        <v>717</v>
      </c>
      <c r="L340" s="331">
        <f>K340/2</f>
        <v>358.5</v>
      </c>
      <c r="M340" s="332">
        <v>195</v>
      </c>
      <c r="N340" s="332">
        <v>191</v>
      </c>
      <c r="O340" s="332">
        <v>386</v>
      </c>
      <c r="P340" s="332">
        <v>188</v>
      </c>
      <c r="Q340" s="332">
        <v>190</v>
      </c>
      <c r="R340" s="332">
        <v>378</v>
      </c>
      <c r="S340" s="332" t="s">
        <v>1543</v>
      </c>
      <c r="T340" s="332" t="s">
        <v>1544</v>
      </c>
      <c r="U340" s="333">
        <v>575218.29399999999</v>
      </c>
      <c r="V340" s="333">
        <v>2655035.8990000002</v>
      </c>
      <c r="W340" s="334"/>
      <c r="X340" s="315" t="s">
        <v>1545</v>
      </c>
      <c r="Y340" s="315" t="s">
        <v>1302</v>
      </c>
      <c r="Z340" s="335" t="s">
        <v>359</v>
      </c>
      <c r="AA340" s="344"/>
      <c r="AB340" s="344"/>
      <c r="AC340" s="344"/>
      <c r="AD340" s="345"/>
    </row>
    <row r="341" spans="1:30" s="346" customFormat="1" ht="24.75" customHeight="1" x14ac:dyDescent="0.35">
      <c r="A341" s="314"/>
      <c r="B341" s="332"/>
      <c r="C341" s="332"/>
      <c r="D341" s="332"/>
      <c r="E341" s="332"/>
      <c r="F341" s="332">
        <v>373</v>
      </c>
      <c r="G341" s="332"/>
      <c r="H341" s="317"/>
      <c r="I341" s="332"/>
      <c r="J341" s="332"/>
      <c r="K341" s="331"/>
      <c r="L341" s="331"/>
      <c r="M341" s="332"/>
      <c r="N341" s="332"/>
      <c r="O341" s="332"/>
      <c r="P341" s="332"/>
      <c r="Q341" s="332"/>
      <c r="R341" s="332"/>
      <c r="S341" s="332"/>
      <c r="T341" s="332"/>
      <c r="U341" s="333"/>
      <c r="V341" s="333"/>
      <c r="W341" s="334" t="s">
        <v>1546</v>
      </c>
      <c r="X341" s="323"/>
      <c r="Y341" s="323"/>
      <c r="Z341" s="335"/>
      <c r="AA341" s="344"/>
      <c r="AB341" s="344"/>
      <c r="AC341" s="344"/>
      <c r="AD341" s="345"/>
    </row>
    <row r="342" spans="1:30" s="346" customFormat="1" ht="24.75" customHeight="1" x14ac:dyDescent="0.35">
      <c r="A342" s="325">
        <v>167</v>
      </c>
      <c r="B342" s="332" t="s">
        <v>1025</v>
      </c>
      <c r="C342" s="332" t="s">
        <v>201</v>
      </c>
      <c r="D342" s="332" t="s">
        <v>23</v>
      </c>
      <c r="E342" s="332" t="s">
        <v>1025</v>
      </c>
      <c r="F342" s="332"/>
      <c r="G342" s="332"/>
      <c r="H342" s="326">
        <f>H340+F341</f>
        <v>63720.428</v>
      </c>
      <c r="I342" s="332">
        <v>471.87</v>
      </c>
      <c r="J342" s="331">
        <v>69.5</v>
      </c>
      <c r="K342" s="331">
        <f>F341+F343</f>
        <v>762</v>
      </c>
      <c r="L342" s="331">
        <f>K342/2</f>
        <v>381</v>
      </c>
      <c r="M342" s="332">
        <v>183</v>
      </c>
      <c r="N342" s="332">
        <v>157</v>
      </c>
      <c r="O342" s="332">
        <v>340</v>
      </c>
      <c r="P342" s="332">
        <v>184</v>
      </c>
      <c r="Q342" s="332">
        <v>169</v>
      </c>
      <c r="R342" s="332">
        <v>353</v>
      </c>
      <c r="S342" s="332" t="s">
        <v>1547</v>
      </c>
      <c r="T342" s="332" t="s">
        <v>1548</v>
      </c>
      <c r="U342" s="333">
        <v>575566.09499999997</v>
      </c>
      <c r="V342" s="333">
        <v>2654901.1260000002</v>
      </c>
      <c r="W342" s="334"/>
      <c r="X342" s="315" t="s">
        <v>1545</v>
      </c>
      <c r="Y342" s="315" t="s">
        <v>1302</v>
      </c>
      <c r="Z342" s="335" t="s">
        <v>359</v>
      </c>
      <c r="AA342" s="344"/>
      <c r="AB342" s="344"/>
      <c r="AC342" s="344"/>
      <c r="AD342" s="345"/>
    </row>
    <row r="343" spans="1:30" s="346" customFormat="1" ht="24.75" customHeight="1" x14ac:dyDescent="0.35">
      <c r="A343" s="314"/>
      <c r="B343" s="332"/>
      <c r="C343" s="332"/>
      <c r="D343" s="332"/>
      <c r="E343" s="332"/>
      <c r="F343" s="332">
        <v>389</v>
      </c>
      <c r="G343" s="332"/>
      <c r="H343" s="317"/>
      <c r="I343" s="332"/>
      <c r="J343" s="332"/>
      <c r="K343" s="331"/>
      <c r="L343" s="331"/>
      <c r="M343" s="332"/>
      <c r="N343" s="332"/>
      <c r="O343" s="332"/>
      <c r="P343" s="332"/>
      <c r="Q343" s="332"/>
      <c r="R343" s="332"/>
      <c r="S343" s="332"/>
      <c r="T343" s="332"/>
      <c r="U343" s="333"/>
      <c r="V343" s="333"/>
      <c r="W343" s="334" t="s">
        <v>1549</v>
      </c>
      <c r="X343" s="323"/>
      <c r="Y343" s="323"/>
      <c r="Z343" s="335"/>
      <c r="AA343" s="344"/>
      <c r="AB343" s="344"/>
      <c r="AC343" s="344"/>
      <c r="AD343" s="345"/>
    </row>
    <row r="344" spans="1:30" s="346" customFormat="1" ht="24.75" customHeight="1" x14ac:dyDescent="0.35">
      <c r="A344" s="325">
        <v>168</v>
      </c>
      <c r="B344" s="332" t="s">
        <v>1025</v>
      </c>
      <c r="C344" s="332" t="s">
        <v>202</v>
      </c>
      <c r="D344" s="332" t="s">
        <v>33</v>
      </c>
      <c r="E344" s="332" t="s">
        <v>1025</v>
      </c>
      <c r="F344" s="332"/>
      <c r="G344" s="332"/>
      <c r="H344" s="326">
        <f>H342+F343</f>
        <v>64109.428</v>
      </c>
      <c r="I344" s="332">
        <v>472.76100000000002</v>
      </c>
      <c r="J344" s="331">
        <v>75.5</v>
      </c>
      <c r="K344" s="331">
        <f>F343+F345</f>
        <v>833</v>
      </c>
      <c r="L344" s="331">
        <f>K344/2</f>
        <v>416.5</v>
      </c>
      <c r="M344" s="332">
        <v>233</v>
      </c>
      <c r="N344" s="332">
        <v>196</v>
      </c>
      <c r="O344" s="332">
        <v>429</v>
      </c>
      <c r="P344" s="332">
        <v>221</v>
      </c>
      <c r="Q344" s="332">
        <v>205</v>
      </c>
      <c r="R344" s="332">
        <v>426</v>
      </c>
      <c r="S344" s="332" t="s">
        <v>1550</v>
      </c>
      <c r="T344" s="332" t="s">
        <v>1551</v>
      </c>
      <c r="U344" s="333">
        <v>575928.81400000001</v>
      </c>
      <c r="V344" s="333">
        <v>2654760.571</v>
      </c>
      <c r="W344" s="334"/>
      <c r="X344" s="315" t="s">
        <v>1545</v>
      </c>
      <c r="Y344" s="315" t="s">
        <v>1302</v>
      </c>
      <c r="Z344" s="335" t="s">
        <v>359</v>
      </c>
      <c r="AA344" s="344"/>
      <c r="AB344" s="344"/>
      <c r="AC344" s="344"/>
      <c r="AD344" s="345"/>
    </row>
    <row r="345" spans="1:30" s="346" customFormat="1" ht="28" x14ac:dyDescent="0.35">
      <c r="A345" s="314"/>
      <c r="B345" s="332"/>
      <c r="C345" s="332"/>
      <c r="D345" s="332"/>
      <c r="E345" s="332"/>
      <c r="F345" s="332">
        <v>444</v>
      </c>
      <c r="G345" s="332"/>
      <c r="H345" s="317"/>
      <c r="I345" s="332"/>
      <c r="J345" s="332"/>
      <c r="K345" s="331"/>
      <c r="L345" s="331"/>
      <c r="M345" s="332"/>
      <c r="N345" s="332"/>
      <c r="O345" s="332"/>
      <c r="P345" s="332"/>
      <c r="Q345" s="332"/>
      <c r="R345" s="332"/>
      <c r="S345" s="332"/>
      <c r="T345" s="332"/>
      <c r="U345" s="333"/>
      <c r="V345" s="333"/>
      <c r="W345" s="334" t="s">
        <v>1552</v>
      </c>
      <c r="X345" s="323"/>
      <c r="Y345" s="323"/>
      <c r="Z345" s="335"/>
      <c r="AA345" s="344"/>
      <c r="AB345" s="344"/>
      <c r="AC345" s="344"/>
      <c r="AD345" s="345"/>
    </row>
    <row r="346" spans="1:30" s="346" customFormat="1" ht="24.75" customHeight="1" x14ac:dyDescent="0.35">
      <c r="A346" s="325">
        <v>169</v>
      </c>
      <c r="B346" s="332" t="s">
        <v>1025</v>
      </c>
      <c r="C346" s="332" t="s">
        <v>203</v>
      </c>
      <c r="D346" s="332" t="s">
        <v>16</v>
      </c>
      <c r="E346" s="332" t="s">
        <v>1025</v>
      </c>
      <c r="F346" s="332"/>
      <c r="G346" s="332"/>
      <c r="H346" s="326">
        <f>H344+F345</f>
        <v>64553.428</v>
      </c>
      <c r="I346" s="332">
        <v>475.15699999999998</v>
      </c>
      <c r="J346" s="331">
        <v>78.5</v>
      </c>
      <c r="K346" s="331">
        <f>F345+F347</f>
        <v>752</v>
      </c>
      <c r="L346" s="331">
        <f>K346/2</f>
        <v>376</v>
      </c>
      <c r="M346" s="332">
        <v>249</v>
      </c>
      <c r="N346" s="332">
        <v>203</v>
      </c>
      <c r="O346" s="332">
        <v>452</v>
      </c>
      <c r="P346" s="332">
        <v>241</v>
      </c>
      <c r="Q346" s="332">
        <v>188</v>
      </c>
      <c r="R346" s="332">
        <v>429</v>
      </c>
      <c r="S346" s="332" t="s">
        <v>1553</v>
      </c>
      <c r="T346" s="332" t="s">
        <v>1554</v>
      </c>
      <c r="U346" s="333">
        <v>576342.81799999997</v>
      </c>
      <c r="V346" s="333">
        <v>2654600.1439999999</v>
      </c>
      <c r="W346" s="341" t="s">
        <v>1236</v>
      </c>
      <c r="X346" s="315" t="s">
        <v>1545</v>
      </c>
      <c r="Y346" s="315" t="s">
        <v>1302</v>
      </c>
      <c r="Z346" s="335" t="s">
        <v>359</v>
      </c>
      <c r="AA346" s="347">
        <v>2</v>
      </c>
      <c r="AB346" s="347">
        <v>1</v>
      </c>
      <c r="AC346" s="347">
        <v>0</v>
      </c>
      <c r="AD346" s="348">
        <v>1</v>
      </c>
    </row>
    <row r="347" spans="1:30" s="346" customFormat="1" ht="28" x14ac:dyDescent="0.35">
      <c r="A347" s="314"/>
      <c r="B347" s="332"/>
      <c r="C347" s="332"/>
      <c r="D347" s="332"/>
      <c r="E347" s="332"/>
      <c r="F347" s="332">
        <v>308</v>
      </c>
      <c r="G347" s="332"/>
      <c r="H347" s="317"/>
      <c r="I347" s="332"/>
      <c r="J347" s="332"/>
      <c r="K347" s="331"/>
      <c r="L347" s="331"/>
      <c r="M347" s="332"/>
      <c r="N347" s="332"/>
      <c r="O347" s="332"/>
      <c r="P347" s="332"/>
      <c r="Q347" s="332"/>
      <c r="R347" s="332"/>
      <c r="S347" s="332"/>
      <c r="T347" s="332"/>
      <c r="U347" s="333"/>
      <c r="V347" s="333"/>
      <c r="W347" s="334" t="s">
        <v>1555</v>
      </c>
      <c r="X347" s="323"/>
      <c r="Y347" s="323"/>
      <c r="Z347" s="335"/>
      <c r="AA347" s="344"/>
      <c r="AB347" s="344"/>
      <c r="AC347" s="344"/>
      <c r="AD347" s="345"/>
    </row>
    <row r="348" spans="1:30" s="346" customFormat="1" ht="24.75" customHeight="1" x14ac:dyDescent="0.35">
      <c r="A348" s="325">
        <v>170</v>
      </c>
      <c r="B348" s="332" t="s">
        <v>1025</v>
      </c>
      <c r="C348" s="332" t="s">
        <v>204</v>
      </c>
      <c r="D348" s="332" t="s">
        <v>23</v>
      </c>
      <c r="E348" s="332" t="s">
        <v>1025</v>
      </c>
      <c r="F348" s="332"/>
      <c r="G348" s="332"/>
      <c r="H348" s="326">
        <f>H346+F347</f>
        <v>64861.428</v>
      </c>
      <c r="I348" s="332">
        <v>477.11700000000002</v>
      </c>
      <c r="J348" s="331">
        <v>69.5</v>
      </c>
      <c r="K348" s="331">
        <f>F347+F349</f>
        <v>653</v>
      </c>
      <c r="L348" s="331">
        <f>K348/2</f>
        <v>326.5</v>
      </c>
      <c r="M348" s="332">
        <v>105</v>
      </c>
      <c r="N348" s="332">
        <v>133</v>
      </c>
      <c r="O348" s="332">
        <v>238</v>
      </c>
      <c r="P348" s="332">
        <v>121</v>
      </c>
      <c r="Q348" s="332">
        <v>146</v>
      </c>
      <c r="R348" s="332">
        <v>267</v>
      </c>
      <c r="S348" s="332" t="s">
        <v>1556</v>
      </c>
      <c r="T348" s="332" t="s">
        <v>1557</v>
      </c>
      <c r="U348" s="333">
        <v>576630.00899999996</v>
      </c>
      <c r="V348" s="333">
        <v>2654488.8560000001</v>
      </c>
      <c r="W348" s="334"/>
      <c r="X348" s="315" t="s">
        <v>1545</v>
      </c>
      <c r="Y348" s="315" t="s">
        <v>1302</v>
      </c>
      <c r="Z348" s="335" t="s">
        <v>359</v>
      </c>
      <c r="AA348" s="344"/>
      <c r="AB348" s="344"/>
      <c r="AC348" s="344"/>
      <c r="AD348" s="345"/>
    </row>
    <row r="349" spans="1:30" s="346" customFormat="1" ht="24.75" customHeight="1" x14ac:dyDescent="0.35">
      <c r="A349" s="314"/>
      <c r="B349" s="332"/>
      <c r="C349" s="332"/>
      <c r="D349" s="332"/>
      <c r="E349" s="332"/>
      <c r="F349" s="332">
        <v>345</v>
      </c>
      <c r="G349" s="332"/>
      <c r="H349" s="317"/>
      <c r="I349" s="332"/>
      <c r="J349" s="332"/>
      <c r="K349" s="331"/>
      <c r="L349" s="331"/>
      <c r="M349" s="332"/>
      <c r="N349" s="332"/>
      <c r="O349" s="332"/>
      <c r="P349" s="332"/>
      <c r="Q349" s="332"/>
      <c r="R349" s="332"/>
      <c r="S349" s="332"/>
      <c r="T349" s="332"/>
      <c r="U349" s="333"/>
      <c r="V349" s="333"/>
      <c r="W349" s="334" t="s">
        <v>1558</v>
      </c>
      <c r="X349" s="323"/>
      <c r="Y349" s="323"/>
      <c r="Z349" s="335"/>
      <c r="AA349" s="344"/>
      <c r="AB349" s="344"/>
      <c r="AC349" s="344"/>
      <c r="AD349" s="345"/>
    </row>
    <row r="350" spans="1:30" s="346" customFormat="1" ht="24.75" customHeight="1" x14ac:dyDescent="0.35">
      <c r="A350" s="325">
        <v>171</v>
      </c>
      <c r="B350" s="332" t="s">
        <v>1025</v>
      </c>
      <c r="C350" s="332" t="s">
        <v>205</v>
      </c>
      <c r="D350" s="332" t="s">
        <v>31</v>
      </c>
      <c r="E350" s="332" t="s">
        <v>1025</v>
      </c>
      <c r="F350" s="332"/>
      <c r="G350" s="332"/>
      <c r="H350" s="326">
        <f>H348+F349</f>
        <v>65206.428</v>
      </c>
      <c r="I350" s="358">
        <v>480.41300000000001</v>
      </c>
      <c r="J350" s="331">
        <v>72.5</v>
      </c>
      <c r="K350" s="331">
        <f>F349+F351</f>
        <v>770</v>
      </c>
      <c r="L350" s="331">
        <f>K350/2</f>
        <v>385</v>
      </c>
      <c r="M350" s="332">
        <v>212</v>
      </c>
      <c r="N350" s="332">
        <v>173</v>
      </c>
      <c r="O350" s="332">
        <v>385</v>
      </c>
      <c r="P350" s="332">
        <v>200</v>
      </c>
      <c r="Q350" s="332">
        <v>186</v>
      </c>
      <c r="R350" s="332">
        <v>386</v>
      </c>
      <c r="S350" s="332" t="s">
        <v>1559</v>
      </c>
      <c r="T350" s="332" t="s">
        <v>1560</v>
      </c>
      <c r="U350" s="333">
        <v>576951.701</v>
      </c>
      <c r="V350" s="333">
        <v>2654364.2000000002</v>
      </c>
      <c r="W350" s="334"/>
      <c r="X350" s="315" t="s">
        <v>1545</v>
      </c>
      <c r="Y350" s="315" t="s">
        <v>1302</v>
      </c>
      <c r="Z350" s="335" t="s">
        <v>359</v>
      </c>
      <c r="AA350" s="344"/>
      <c r="AB350" s="344"/>
      <c r="AC350" s="344"/>
      <c r="AD350" s="345"/>
    </row>
    <row r="351" spans="1:30" s="346" customFormat="1" ht="24.75" customHeight="1" x14ac:dyDescent="0.35">
      <c r="A351" s="314"/>
      <c r="B351" s="332"/>
      <c r="C351" s="332"/>
      <c r="D351" s="332"/>
      <c r="E351" s="332"/>
      <c r="F351" s="332">
        <v>425</v>
      </c>
      <c r="G351" s="332"/>
      <c r="H351" s="317"/>
      <c r="I351" s="332"/>
      <c r="J351" s="332"/>
      <c r="K351" s="331"/>
      <c r="L351" s="331"/>
      <c r="M351" s="332"/>
      <c r="N351" s="332"/>
      <c r="O351" s="332"/>
      <c r="P351" s="332"/>
      <c r="Q351" s="332"/>
      <c r="R351" s="332"/>
      <c r="S351" s="332"/>
      <c r="T351" s="332"/>
      <c r="U351" s="333"/>
      <c r="V351" s="333"/>
      <c r="W351" s="334" t="s">
        <v>1561</v>
      </c>
      <c r="X351" s="323"/>
      <c r="Y351" s="323"/>
      <c r="Z351" s="335"/>
      <c r="AA351" s="344"/>
      <c r="AB351" s="344"/>
      <c r="AC351" s="344"/>
      <c r="AD351" s="345"/>
    </row>
    <row r="352" spans="1:30" s="346" customFormat="1" ht="24.75" customHeight="1" x14ac:dyDescent="0.35">
      <c r="A352" s="325">
        <v>172</v>
      </c>
      <c r="B352" s="332" t="s">
        <v>1025</v>
      </c>
      <c r="C352" s="332" t="s">
        <v>206</v>
      </c>
      <c r="D352" s="332" t="s">
        <v>16</v>
      </c>
      <c r="E352" s="332" t="s">
        <v>1025</v>
      </c>
      <c r="F352" s="332"/>
      <c r="G352" s="332"/>
      <c r="H352" s="326">
        <f>H350+F351</f>
        <v>65631.428</v>
      </c>
      <c r="I352" s="332">
        <v>482.346</v>
      </c>
      <c r="J352" s="331">
        <v>78.5</v>
      </c>
      <c r="K352" s="331">
        <f>F351+F353</f>
        <v>837</v>
      </c>
      <c r="L352" s="331">
        <f>K352/2</f>
        <v>418.5</v>
      </c>
      <c r="M352" s="332">
        <v>253</v>
      </c>
      <c r="N352" s="332">
        <v>217</v>
      </c>
      <c r="O352" s="332">
        <v>470</v>
      </c>
      <c r="P352" s="332">
        <v>241</v>
      </c>
      <c r="Q352" s="332">
        <v>214</v>
      </c>
      <c r="R352" s="332">
        <v>455</v>
      </c>
      <c r="S352" s="332" t="s">
        <v>1562</v>
      </c>
      <c r="T352" s="332" t="s">
        <v>1563</v>
      </c>
      <c r="U352" s="333">
        <v>577347.98899999994</v>
      </c>
      <c r="V352" s="333">
        <v>2654210.6379999998</v>
      </c>
      <c r="W352" s="334"/>
      <c r="X352" s="315" t="s">
        <v>1545</v>
      </c>
      <c r="Y352" s="315" t="s">
        <v>1302</v>
      </c>
      <c r="Z352" s="335" t="s">
        <v>359</v>
      </c>
      <c r="AA352" s="344"/>
      <c r="AB352" s="344"/>
      <c r="AC352" s="344"/>
      <c r="AD352" s="345"/>
    </row>
    <row r="353" spans="1:30" s="346" customFormat="1" ht="24.75" customHeight="1" x14ac:dyDescent="0.35">
      <c r="A353" s="314"/>
      <c r="B353" s="332"/>
      <c r="C353" s="332"/>
      <c r="D353" s="332"/>
      <c r="E353" s="332"/>
      <c r="F353" s="332">
        <v>412</v>
      </c>
      <c r="G353" s="332"/>
      <c r="H353" s="317"/>
      <c r="I353" s="332"/>
      <c r="J353" s="332"/>
      <c r="K353" s="331"/>
      <c r="L353" s="331"/>
      <c r="M353" s="332"/>
      <c r="N353" s="332"/>
      <c r="O353" s="332"/>
      <c r="P353" s="332"/>
      <c r="Q353" s="332"/>
      <c r="R353" s="332"/>
      <c r="S353" s="332"/>
      <c r="T353" s="332"/>
      <c r="U353" s="333"/>
      <c r="V353" s="333"/>
      <c r="W353" s="334" t="s">
        <v>1564</v>
      </c>
      <c r="X353" s="323"/>
      <c r="Y353" s="323"/>
      <c r="Z353" s="335"/>
      <c r="AA353" s="344"/>
      <c r="AB353" s="344"/>
      <c r="AC353" s="344"/>
      <c r="AD353" s="345"/>
    </row>
    <row r="354" spans="1:30" s="346" customFormat="1" ht="24.75" customHeight="1" x14ac:dyDescent="0.35">
      <c r="A354" s="325">
        <v>173</v>
      </c>
      <c r="B354" s="332" t="s">
        <v>1565</v>
      </c>
      <c r="C354" s="332" t="s">
        <v>207</v>
      </c>
      <c r="D354" s="332" t="s">
        <v>18</v>
      </c>
      <c r="E354" s="332" t="s">
        <v>1566</v>
      </c>
      <c r="F354" s="332"/>
      <c r="G354" s="332">
        <f>SUM(F337:F353)</f>
        <v>3470</v>
      </c>
      <c r="H354" s="326">
        <f>H352+F353</f>
        <v>66043.428</v>
      </c>
      <c r="I354" s="332">
        <v>486.32100000000003</v>
      </c>
      <c r="J354" s="315">
        <v>70.72</v>
      </c>
      <c r="K354" s="331">
        <f>F353+F355</f>
        <v>811</v>
      </c>
      <c r="L354" s="331">
        <f>K354/2</f>
        <v>405.5</v>
      </c>
      <c r="M354" s="332">
        <v>196</v>
      </c>
      <c r="N354" s="332">
        <v>156</v>
      </c>
      <c r="O354" s="332">
        <v>352</v>
      </c>
      <c r="P354" s="332">
        <v>200</v>
      </c>
      <c r="Q354" s="332">
        <v>170</v>
      </c>
      <c r="R354" s="332">
        <v>370</v>
      </c>
      <c r="S354" s="332" t="s">
        <v>1567</v>
      </c>
      <c r="T354" s="332" t="s">
        <v>1568</v>
      </c>
      <c r="U354" s="333">
        <v>577732.02399999998</v>
      </c>
      <c r="V354" s="333">
        <v>2654061.8229999999</v>
      </c>
      <c r="W354" s="334"/>
      <c r="X354" s="315" t="s">
        <v>1545</v>
      </c>
      <c r="Y354" s="315" t="s">
        <v>1302</v>
      </c>
      <c r="Z354" s="335" t="s">
        <v>359</v>
      </c>
      <c r="AA354" s="344"/>
      <c r="AB354" s="344"/>
      <c r="AC354" s="344"/>
      <c r="AD354" s="345"/>
    </row>
    <row r="355" spans="1:30" s="346" customFormat="1" ht="24.75" customHeight="1" x14ac:dyDescent="0.35">
      <c r="A355" s="314"/>
      <c r="B355" s="331"/>
      <c r="C355" s="331"/>
      <c r="D355" s="332"/>
      <c r="E355" s="331"/>
      <c r="F355" s="331">
        <v>399</v>
      </c>
      <c r="G355" s="331"/>
      <c r="H355" s="317"/>
      <c r="I355" s="331"/>
      <c r="J355" s="331"/>
      <c r="K355" s="331"/>
      <c r="L355" s="331"/>
      <c r="M355" s="331"/>
      <c r="N355" s="331"/>
      <c r="O355" s="331"/>
      <c r="P355" s="331"/>
      <c r="Q355" s="331"/>
      <c r="R355" s="331"/>
      <c r="S355" s="331"/>
      <c r="T355" s="331"/>
      <c r="U355" s="331"/>
      <c r="V355" s="331"/>
      <c r="W355" s="331" t="s">
        <v>1569</v>
      </c>
      <c r="X355" s="323"/>
      <c r="Y355" s="323"/>
      <c r="Z355" s="364"/>
      <c r="AA355" s="344"/>
      <c r="AB355" s="344"/>
      <c r="AC355" s="344"/>
      <c r="AD355" s="345"/>
    </row>
    <row r="356" spans="1:30" s="346" customFormat="1" ht="24.75" customHeight="1" x14ac:dyDescent="0.35">
      <c r="A356" s="325">
        <v>174</v>
      </c>
      <c r="B356" s="331" t="s">
        <v>1025</v>
      </c>
      <c r="C356" s="331" t="s">
        <v>208</v>
      </c>
      <c r="D356" s="332" t="s">
        <v>33</v>
      </c>
      <c r="E356" s="331" t="s">
        <v>1025</v>
      </c>
      <c r="F356" s="331"/>
      <c r="G356" s="331" t="s">
        <v>1025</v>
      </c>
      <c r="H356" s="326">
        <f>H354+F355</f>
        <v>66442.428</v>
      </c>
      <c r="I356" s="331">
        <v>491.54300000000001</v>
      </c>
      <c r="J356" s="331">
        <v>75.5</v>
      </c>
      <c r="K356" s="331">
        <f>F355+F357</f>
        <v>819</v>
      </c>
      <c r="L356" s="331">
        <f>K356/2</f>
        <v>409.5</v>
      </c>
      <c r="M356" s="331">
        <v>244</v>
      </c>
      <c r="N356" s="331">
        <v>235</v>
      </c>
      <c r="O356" s="331">
        <v>479</v>
      </c>
      <c r="P356" s="331">
        <v>231</v>
      </c>
      <c r="Q356" s="331">
        <v>228</v>
      </c>
      <c r="R356" s="331">
        <v>459</v>
      </c>
      <c r="S356" s="331" t="s">
        <v>1570</v>
      </c>
      <c r="T356" s="331" t="s">
        <v>1571</v>
      </c>
      <c r="U356" s="331">
        <v>578043.28899999999</v>
      </c>
      <c r="V356" s="331">
        <v>2653812.193</v>
      </c>
      <c r="W356" s="331"/>
      <c r="X356" s="315" t="s">
        <v>1572</v>
      </c>
      <c r="Y356" s="315" t="s">
        <v>1573</v>
      </c>
      <c r="Z356" s="335" t="s">
        <v>1574</v>
      </c>
      <c r="AA356" s="344"/>
      <c r="AB356" s="344"/>
      <c r="AC356" s="344"/>
      <c r="AD356" s="345"/>
    </row>
    <row r="357" spans="1:30" s="346" customFormat="1" ht="24.75" customHeight="1" x14ac:dyDescent="0.35">
      <c r="A357" s="314"/>
      <c r="B357" s="331"/>
      <c r="C357" s="331"/>
      <c r="D357" s="332"/>
      <c r="E357" s="331"/>
      <c r="F357" s="331">
        <v>420</v>
      </c>
      <c r="G357" s="331"/>
      <c r="H357" s="317"/>
      <c r="I357" s="331"/>
      <c r="J357" s="331"/>
      <c r="K357" s="331"/>
      <c r="L357" s="331"/>
      <c r="M357" s="331"/>
      <c r="N357" s="331"/>
      <c r="O357" s="331"/>
      <c r="P357" s="331"/>
      <c r="Q357" s="331"/>
      <c r="R357" s="331"/>
      <c r="S357" s="331"/>
      <c r="T357" s="331"/>
      <c r="U357" s="331"/>
      <c r="V357" s="331"/>
      <c r="W357" s="331" t="s">
        <v>1575</v>
      </c>
      <c r="X357" s="323"/>
      <c r="Y357" s="323"/>
      <c r="Z357" s="364"/>
      <c r="AA357" s="344"/>
      <c r="AB357" s="344"/>
      <c r="AC357" s="344"/>
      <c r="AD357" s="345"/>
    </row>
    <row r="358" spans="1:30" s="346" customFormat="1" ht="24.75" customHeight="1" x14ac:dyDescent="0.35">
      <c r="A358" s="325">
        <v>175</v>
      </c>
      <c r="B358" s="331" t="s">
        <v>1025</v>
      </c>
      <c r="C358" s="331" t="s">
        <v>209</v>
      </c>
      <c r="D358" s="332" t="s">
        <v>31</v>
      </c>
      <c r="E358" s="331" t="s">
        <v>1025</v>
      </c>
      <c r="F358" s="331"/>
      <c r="G358" s="331" t="s">
        <v>1025</v>
      </c>
      <c r="H358" s="326">
        <f>H356+F357</f>
        <v>66862.428</v>
      </c>
      <c r="I358" s="338">
        <v>489.733</v>
      </c>
      <c r="J358" s="331">
        <v>72.5</v>
      </c>
      <c r="K358" s="331">
        <f>F357+F359</f>
        <v>787</v>
      </c>
      <c r="L358" s="331">
        <f>K358/2</f>
        <v>393.5</v>
      </c>
      <c r="M358" s="331">
        <v>186</v>
      </c>
      <c r="N358" s="331">
        <v>175</v>
      </c>
      <c r="O358" s="331">
        <v>361</v>
      </c>
      <c r="P358" s="331">
        <v>194</v>
      </c>
      <c r="Q358" s="331">
        <v>178</v>
      </c>
      <c r="R358" s="331">
        <v>372</v>
      </c>
      <c r="S358" s="331" t="s">
        <v>1576</v>
      </c>
      <c r="T358" s="331" t="s">
        <v>1577</v>
      </c>
      <c r="U358" s="331">
        <v>578370.93599999999</v>
      </c>
      <c r="V358" s="331">
        <v>2653549.4240000001</v>
      </c>
      <c r="W358" s="331"/>
      <c r="X358" s="315" t="s">
        <v>1572</v>
      </c>
      <c r="Y358" s="315" t="s">
        <v>1573</v>
      </c>
      <c r="Z358" s="335" t="s">
        <v>1574</v>
      </c>
      <c r="AA358" s="344"/>
      <c r="AB358" s="344"/>
      <c r="AC358" s="344"/>
      <c r="AD358" s="345"/>
    </row>
    <row r="359" spans="1:30" s="346" customFormat="1" ht="24.75" customHeight="1" x14ac:dyDescent="0.35">
      <c r="A359" s="314"/>
      <c r="B359" s="331"/>
      <c r="C359" s="331"/>
      <c r="D359" s="332"/>
      <c r="E359" s="331"/>
      <c r="F359" s="331">
        <v>367</v>
      </c>
      <c r="G359" s="331"/>
      <c r="H359" s="317"/>
      <c r="I359" s="331"/>
      <c r="J359" s="331"/>
      <c r="K359" s="331"/>
      <c r="L359" s="331"/>
      <c r="M359" s="331"/>
      <c r="N359" s="331"/>
      <c r="O359" s="331"/>
      <c r="P359" s="331"/>
      <c r="Q359" s="331"/>
      <c r="R359" s="331"/>
      <c r="S359" s="331"/>
      <c r="T359" s="331"/>
      <c r="U359" s="331"/>
      <c r="V359" s="331"/>
      <c r="W359" s="331" t="s">
        <v>1122</v>
      </c>
      <c r="X359" s="323"/>
      <c r="Y359" s="323"/>
      <c r="Z359" s="364"/>
      <c r="AA359" s="344"/>
      <c r="AB359" s="344"/>
      <c r="AC359" s="344"/>
      <c r="AD359" s="345"/>
    </row>
    <row r="360" spans="1:30" s="346" customFormat="1" ht="24.75" customHeight="1" x14ac:dyDescent="0.35">
      <c r="A360" s="325">
        <v>176</v>
      </c>
      <c r="B360" s="331" t="s">
        <v>1025</v>
      </c>
      <c r="C360" s="331" t="s">
        <v>210</v>
      </c>
      <c r="D360" s="332" t="s">
        <v>31</v>
      </c>
      <c r="E360" s="331" t="s">
        <v>1025</v>
      </c>
      <c r="F360" s="331"/>
      <c r="G360" s="331" t="s">
        <v>1025</v>
      </c>
      <c r="H360" s="326">
        <f>H358+F359</f>
        <v>67229.428</v>
      </c>
      <c r="I360" s="338">
        <v>491.245</v>
      </c>
      <c r="J360" s="331">
        <v>72.5</v>
      </c>
      <c r="K360" s="331">
        <f>F359+F361</f>
        <v>721</v>
      </c>
      <c r="L360" s="331">
        <f>K360/2</f>
        <v>360.5</v>
      </c>
      <c r="M360" s="331">
        <v>193</v>
      </c>
      <c r="N360" s="331">
        <v>151</v>
      </c>
      <c r="O360" s="331">
        <v>344</v>
      </c>
      <c r="P360" s="331">
        <v>190</v>
      </c>
      <c r="Q360" s="331">
        <v>159</v>
      </c>
      <c r="R360" s="331">
        <v>349</v>
      </c>
      <c r="S360" s="331" t="s">
        <v>1578</v>
      </c>
      <c r="T360" s="331" t="s">
        <v>1579</v>
      </c>
      <c r="U360" s="331">
        <v>578657.23699999996</v>
      </c>
      <c r="V360" s="331">
        <v>2653319.8139999998</v>
      </c>
      <c r="W360" s="331"/>
      <c r="X360" s="315" t="s">
        <v>1572</v>
      </c>
      <c r="Y360" s="315" t="s">
        <v>1573</v>
      </c>
      <c r="Z360" s="335" t="s">
        <v>1574</v>
      </c>
      <c r="AA360" s="344"/>
      <c r="AB360" s="344"/>
      <c r="AC360" s="344"/>
      <c r="AD360" s="345"/>
    </row>
    <row r="361" spans="1:30" s="346" customFormat="1" ht="24.75" customHeight="1" x14ac:dyDescent="0.35">
      <c r="A361" s="314"/>
      <c r="B361" s="331"/>
      <c r="C361" s="331"/>
      <c r="D361" s="332"/>
      <c r="E361" s="331"/>
      <c r="F361" s="331">
        <v>354</v>
      </c>
      <c r="G361" s="331"/>
      <c r="H361" s="317"/>
      <c r="I361" s="331"/>
      <c r="J361" s="331"/>
      <c r="K361" s="331"/>
      <c r="L361" s="331"/>
      <c r="M361" s="331"/>
      <c r="N361" s="331"/>
      <c r="O361" s="331"/>
      <c r="P361" s="331"/>
      <c r="Q361" s="331"/>
      <c r="R361" s="331"/>
      <c r="S361" s="331"/>
      <c r="T361" s="331"/>
      <c r="U361" s="331"/>
      <c r="V361" s="331"/>
      <c r="W361" s="331" t="s">
        <v>1090</v>
      </c>
      <c r="X361" s="323"/>
      <c r="Y361" s="323"/>
      <c r="Z361" s="364"/>
      <c r="AA361" s="344"/>
      <c r="AB361" s="344"/>
      <c r="AC361" s="344"/>
      <c r="AD361" s="345"/>
    </row>
    <row r="362" spans="1:30" s="346" customFormat="1" ht="24.75" customHeight="1" x14ac:dyDescent="0.35">
      <c r="A362" s="325">
        <v>177</v>
      </c>
      <c r="B362" s="331" t="s">
        <v>1025</v>
      </c>
      <c r="C362" s="331" t="s">
        <v>211</v>
      </c>
      <c r="D362" s="332" t="s">
        <v>31</v>
      </c>
      <c r="E362" s="331" t="s">
        <v>1025</v>
      </c>
      <c r="F362" s="331"/>
      <c r="G362" s="331" t="s">
        <v>1025</v>
      </c>
      <c r="H362" s="326">
        <f>H360+F361</f>
        <v>67583.428</v>
      </c>
      <c r="I362" s="338">
        <v>495.56900000000002</v>
      </c>
      <c r="J362" s="331">
        <v>72.5</v>
      </c>
      <c r="K362" s="331">
        <f>F361+F363</f>
        <v>753</v>
      </c>
      <c r="L362" s="331">
        <f>K362/2</f>
        <v>376.5</v>
      </c>
      <c r="M362" s="331">
        <v>203</v>
      </c>
      <c r="N362" s="331">
        <v>221</v>
      </c>
      <c r="O362" s="331">
        <v>424</v>
      </c>
      <c r="P362" s="331">
        <v>195</v>
      </c>
      <c r="Q362" s="331">
        <v>214</v>
      </c>
      <c r="R362" s="331">
        <v>409</v>
      </c>
      <c r="S362" s="331" t="s">
        <v>1580</v>
      </c>
      <c r="T362" s="331" t="s">
        <v>1581</v>
      </c>
      <c r="U362" s="331">
        <v>578933.39599999995</v>
      </c>
      <c r="V362" s="331">
        <v>2653098.3369999998</v>
      </c>
      <c r="W362" s="331"/>
      <c r="X362" s="315" t="s">
        <v>1572</v>
      </c>
      <c r="Y362" s="315" t="s">
        <v>1573</v>
      </c>
      <c r="Z362" s="335" t="s">
        <v>1574</v>
      </c>
      <c r="AA362" s="344"/>
      <c r="AB362" s="344"/>
      <c r="AC362" s="344"/>
      <c r="AD362" s="345"/>
    </row>
    <row r="363" spans="1:30" s="346" customFormat="1" ht="24.75" customHeight="1" x14ac:dyDescent="0.35">
      <c r="A363" s="314"/>
      <c r="B363" s="331"/>
      <c r="C363" s="331"/>
      <c r="D363" s="332"/>
      <c r="E363" s="331"/>
      <c r="F363" s="331">
        <v>399</v>
      </c>
      <c r="G363" s="331"/>
      <c r="H363" s="317"/>
      <c r="I363" s="331"/>
      <c r="J363" s="331"/>
      <c r="K363" s="331"/>
      <c r="L363" s="331"/>
      <c r="M363" s="331"/>
      <c r="N363" s="331"/>
      <c r="O363" s="331"/>
      <c r="P363" s="331"/>
      <c r="Q363" s="331"/>
      <c r="R363" s="331"/>
      <c r="S363" s="331"/>
      <c r="T363" s="331"/>
      <c r="U363" s="331"/>
      <c r="V363" s="331"/>
      <c r="W363" s="331" t="s">
        <v>1090</v>
      </c>
      <c r="X363" s="323"/>
      <c r="Y363" s="323"/>
      <c r="Z363" s="364"/>
      <c r="AA363" s="344"/>
      <c r="AB363" s="344"/>
      <c r="AC363" s="344"/>
      <c r="AD363" s="345"/>
    </row>
    <row r="364" spans="1:30" s="346" customFormat="1" ht="24.75" customHeight="1" x14ac:dyDescent="0.35">
      <c r="A364" s="325">
        <v>178</v>
      </c>
      <c r="B364" s="331" t="s">
        <v>1025</v>
      </c>
      <c r="C364" s="331" t="s">
        <v>212</v>
      </c>
      <c r="D364" s="332" t="s">
        <v>31</v>
      </c>
      <c r="E364" s="331" t="s">
        <v>1025</v>
      </c>
      <c r="F364" s="331"/>
      <c r="G364" s="331" t="s">
        <v>1025</v>
      </c>
      <c r="H364" s="326">
        <f>H362+F363</f>
        <v>67982.428</v>
      </c>
      <c r="I364" s="338">
        <v>491.70699999999999</v>
      </c>
      <c r="J364" s="331">
        <v>72.5</v>
      </c>
      <c r="K364" s="331">
        <f>F363+F365</f>
        <v>774</v>
      </c>
      <c r="L364" s="331">
        <f>K364/2</f>
        <v>387</v>
      </c>
      <c r="M364" s="331">
        <v>179</v>
      </c>
      <c r="N364" s="331">
        <v>209</v>
      </c>
      <c r="O364" s="331">
        <v>388</v>
      </c>
      <c r="P364" s="331">
        <v>186</v>
      </c>
      <c r="Q364" s="331">
        <v>202</v>
      </c>
      <c r="R364" s="331">
        <v>388</v>
      </c>
      <c r="S364" s="331" t="s">
        <v>1582</v>
      </c>
      <c r="T364" s="331" t="s">
        <v>1583</v>
      </c>
      <c r="U364" s="331">
        <v>579244.66099999996</v>
      </c>
      <c r="V364" s="331">
        <v>2652848.7069999999</v>
      </c>
      <c r="W364" s="331"/>
      <c r="X364" s="315" t="s">
        <v>1572</v>
      </c>
      <c r="Y364" s="315" t="s">
        <v>1573</v>
      </c>
      <c r="Z364" s="335" t="s">
        <v>1574</v>
      </c>
      <c r="AA364" s="344"/>
      <c r="AB364" s="344"/>
      <c r="AC364" s="344"/>
      <c r="AD364" s="345"/>
    </row>
    <row r="365" spans="1:30" s="346" customFormat="1" ht="24.75" customHeight="1" x14ac:dyDescent="0.35">
      <c r="A365" s="314"/>
      <c r="B365" s="331"/>
      <c r="C365" s="331"/>
      <c r="D365" s="332"/>
      <c r="E365" s="331"/>
      <c r="F365" s="331">
        <v>375</v>
      </c>
      <c r="G365" s="331"/>
      <c r="H365" s="317"/>
      <c r="I365" s="331"/>
      <c r="J365" s="331"/>
      <c r="K365" s="331"/>
      <c r="L365" s="331"/>
      <c r="M365" s="331"/>
      <c r="N365" s="331"/>
      <c r="O365" s="331"/>
      <c r="P365" s="331"/>
      <c r="Q365" s="331"/>
      <c r="R365" s="331"/>
      <c r="S365" s="331"/>
      <c r="T365" s="331"/>
      <c r="U365" s="331"/>
      <c r="V365" s="331"/>
      <c r="W365" s="331" t="s">
        <v>1133</v>
      </c>
      <c r="X365" s="323"/>
      <c r="Y365" s="323"/>
      <c r="Z365" s="364"/>
      <c r="AA365" s="344"/>
      <c r="AB365" s="344"/>
      <c r="AC365" s="344"/>
      <c r="AD365" s="345"/>
    </row>
    <row r="366" spans="1:30" s="346" customFormat="1" ht="24.75" customHeight="1" x14ac:dyDescent="0.35">
      <c r="A366" s="325">
        <v>179</v>
      </c>
      <c r="B366" s="331" t="s">
        <v>1025</v>
      </c>
      <c r="C366" s="323" t="s">
        <v>213</v>
      </c>
      <c r="D366" s="315" t="s">
        <v>40</v>
      </c>
      <c r="E366" s="323" t="s">
        <v>1584</v>
      </c>
      <c r="F366" s="331"/>
      <c r="G366" s="331" t="s">
        <v>1025</v>
      </c>
      <c r="H366" s="326">
        <f>H364+F365</f>
        <v>68357.428</v>
      </c>
      <c r="I366" s="338">
        <v>488.04899999999998</v>
      </c>
      <c r="J366" s="331">
        <v>70.72</v>
      </c>
      <c r="K366" s="331">
        <f>F365+F367</f>
        <v>755</v>
      </c>
      <c r="L366" s="331">
        <f>K366/2</f>
        <v>377.5</v>
      </c>
      <c r="M366" s="331">
        <v>167</v>
      </c>
      <c r="N366" s="331">
        <v>206</v>
      </c>
      <c r="O366" s="331">
        <v>373</v>
      </c>
      <c r="P366" s="331">
        <v>174</v>
      </c>
      <c r="Q366" s="331">
        <v>201</v>
      </c>
      <c r="R366" s="331">
        <v>375</v>
      </c>
      <c r="S366" s="331" t="s">
        <v>1585</v>
      </c>
      <c r="T366" s="331" t="s">
        <v>1586</v>
      </c>
      <c r="U366" s="331">
        <v>579537.20299999998</v>
      </c>
      <c r="V366" s="331">
        <v>2652614.0920000002</v>
      </c>
      <c r="W366" s="331"/>
      <c r="X366" s="315" t="s">
        <v>1572</v>
      </c>
      <c r="Y366" s="315" t="s">
        <v>1573</v>
      </c>
      <c r="Z366" s="335" t="s">
        <v>1574</v>
      </c>
      <c r="AA366" s="344"/>
      <c r="AB366" s="344"/>
      <c r="AC366" s="344"/>
      <c r="AD366" s="345"/>
    </row>
    <row r="367" spans="1:30" s="346" customFormat="1" ht="24.75" customHeight="1" x14ac:dyDescent="0.35">
      <c r="A367" s="314"/>
      <c r="B367" s="331"/>
      <c r="C367" s="331"/>
      <c r="D367" s="332"/>
      <c r="E367" s="331"/>
      <c r="F367" s="331">
        <v>380</v>
      </c>
      <c r="G367" s="331"/>
      <c r="H367" s="317"/>
      <c r="I367" s="331"/>
      <c r="J367" s="331"/>
      <c r="K367" s="331"/>
      <c r="L367" s="331"/>
      <c r="M367" s="331"/>
      <c r="N367" s="331"/>
      <c r="O367" s="331"/>
      <c r="P367" s="331"/>
      <c r="Q367" s="331"/>
      <c r="R367" s="331"/>
      <c r="S367" s="331"/>
      <c r="T367" s="331"/>
      <c r="U367" s="331"/>
      <c r="V367" s="331"/>
      <c r="W367" s="331" t="s">
        <v>1138</v>
      </c>
      <c r="X367" s="323"/>
      <c r="Y367" s="323"/>
      <c r="Z367" s="364"/>
      <c r="AA367" s="344"/>
      <c r="AB367" s="344"/>
      <c r="AC367" s="344"/>
      <c r="AD367" s="345"/>
    </row>
    <row r="368" spans="1:30" s="346" customFormat="1" ht="24.75" customHeight="1" x14ac:dyDescent="0.35">
      <c r="A368" s="325">
        <v>180</v>
      </c>
      <c r="B368" s="331" t="s">
        <v>1025</v>
      </c>
      <c r="C368" s="331" t="s">
        <v>214</v>
      </c>
      <c r="D368" s="332" t="s">
        <v>31</v>
      </c>
      <c r="E368" s="331" t="s">
        <v>1025</v>
      </c>
      <c r="F368" s="331"/>
      <c r="G368" s="331" t="s">
        <v>1025</v>
      </c>
      <c r="H368" s="326">
        <f>H366+F367</f>
        <v>68737.428</v>
      </c>
      <c r="I368" s="338">
        <v>485.3</v>
      </c>
      <c r="J368" s="331">
        <v>72.5</v>
      </c>
      <c r="K368" s="331">
        <f>F367+F369</f>
        <v>785</v>
      </c>
      <c r="L368" s="331">
        <f>K368/2</f>
        <v>392.5</v>
      </c>
      <c r="M368" s="331">
        <v>175</v>
      </c>
      <c r="N368" s="331">
        <v>207</v>
      </c>
      <c r="O368" s="331">
        <v>382</v>
      </c>
      <c r="P368" s="331">
        <v>180</v>
      </c>
      <c r="Q368" s="331">
        <v>206</v>
      </c>
      <c r="R368" s="331">
        <v>386</v>
      </c>
      <c r="S368" s="331" t="s">
        <v>1587</v>
      </c>
      <c r="T368" s="331" t="s">
        <v>1588</v>
      </c>
      <c r="U368" s="331">
        <v>579833.64500000002</v>
      </c>
      <c r="V368" s="331">
        <v>2652376.3489999999</v>
      </c>
      <c r="W368" s="331"/>
      <c r="X368" s="315" t="s">
        <v>1589</v>
      </c>
      <c r="Y368" s="315" t="s">
        <v>1573</v>
      </c>
      <c r="Z368" s="335" t="s">
        <v>1574</v>
      </c>
      <c r="AA368" s="344"/>
      <c r="AB368" s="344"/>
      <c r="AC368" s="344"/>
      <c r="AD368" s="345"/>
    </row>
    <row r="369" spans="1:30" s="346" customFormat="1" ht="24.75" customHeight="1" x14ac:dyDescent="0.35">
      <c r="A369" s="314"/>
      <c r="B369" s="331"/>
      <c r="C369" s="331"/>
      <c r="D369" s="332"/>
      <c r="E369" s="331"/>
      <c r="F369" s="331">
        <v>405</v>
      </c>
      <c r="G369" s="331"/>
      <c r="H369" s="317"/>
      <c r="I369" s="331"/>
      <c r="J369" s="331"/>
      <c r="K369" s="331"/>
      <c r="L369" s="331"/>
      <c r="M369" s="331"/>
      <c r="N369" s="331"/>
      <c r="O369" s="331"/>
      <c r="P369" s="331"/>
      <c r="Q369" s="331"/>
      <c r="R369" s="331"/>
      <c r="S369" s="331"/>
      <c r="T369" s="331"/>
      <c r="U369" s="331"/>
      <c r="V369" s="331"/>
      <c r="W369" s="331" t="s">
        <v>1138</v>
      </c>
      <c r="X369" s="323"/>
      <c r="Y369" s="323"/>
      <c r="Z369" s="364"/>
      <c r="AA369" s="344"/>
      <c r="AB369" s="344"/>
      <c r="AC369" s="344"/>
      <c r="AD369" s="345"/>
    </row>
    <row r="370" spans="1:30" s="346" customFormat="1" ht="24.75" customHeight="1" x14ac:dyDescent="0.35">
      <c r="A370" s="325">
        <v>181</v>
      </c>
      <c r="B370" s="331" t="s">
        <v>1025</v>
      </c>
      <c r="C370" s="331" t="s">
        <v>215</v>
      </c>
      <c r="D370" s="332" t="s">
        <v>33</v>
      </c>
      <c r="E370" s="331" t="s">
        <v>1025</v>
      </c>
      <c r="F370" s="331"/>
      <c r="G370" s="331" t="s">
        <v>1025</v>
      </c>
      <c r="H370" s="326">
        <f>H368+F369</f>
        <v>69142.428</v>
      </c>
      <c r="I370" s="331">
        <v>481.55799999999999</v>
      </c>
      <c r="J370" s="331">
        <v>75.5</v>
      </c>
      <c r="K370" s="331">
        <f>F369+F371</f>
        <v>825</v>
      </c>
      <c r="L370" s="331">
        <f>K370/2</f>
        <v>412.5</v>
      </c>
      <c r="M370" s="331">
        <v>199</v>
      </c>
      <c r="N370" s="331">
        <v>225</v>
      </c>
      <c r="O370" s="331">
        <v>424</v>
      </c>
      <c r="P370" s="331">
        <v>200</v>
      </c>
      <c r="Q370" s="331">
        <v>221</v>
      </c>
      <c r="R370" s="331">
        <v>421</v>
      </c>
      <c r="S370" s="331" t="s">
        <v>1590</v>
      </c>
      <c r="T370" s="331" t="s">
        <v>1591</v>
      </c>
      <c r="U370" s="331">
        <v>580149.59100000001</v>
      </c>
      <c r="V370" s="331">
        <v>2652122.9649999999</v>
      </c>
      <c r="W370" s="331"/>
      <c r="X370" s="315" t="s">
        <v>1592</v>
      </c>
      <c r="Y370" s="315" t="s">
        <v>1573</v>
      </c>
      <c r="Z370" s="335" t="s">
        <v>1574</v>
      </c>
      <c r="AA370" s="344"/>
      <c r="AB370" s="344"/>
      <c r="AC370" s="344"/>
      <c r="AD370" s="345"/>
    </row>
    <row r="371" spans="1:30" s="346" customFormat="1" ht="24.75" customHeight="1" x14ac:dyDescent="0.35">
      <c r="A371" s="314"/>
      <c r="B371" s="331"/>
      <c r="C371" s="331"/>
      <c r="D371" s="332"/>
      <c r="E371" s="331"/>
      <c r="F371" s="331">
        <v>420</v>
      </c>
      <c r="G371" s="331"/>
      <c r="H371" s="317"/>
      <c r="I371" s="331"/>
      <c r="J371" s="331"/>
      <c r="K371" s="331"/>
      <c r="L371" s="331"/>
      <c r="M371" s="331"/>
      <c r="N371" s="331"/>
      <c r="O371" s="331"/>
      <c r="P371" s="331"/>
      <c r="Q371" s="331"/>
      <c r="R371" s="331"/>
      <c r="S371" s="331"/>
      <c r="T371" s="331"/>
      <c r="U371" s="331"/>
      <c r="V371" s="331"/>
      <c r="W371" s="331"/>
      <c r="X371" s="323"/>
      <c r="Y371" s="323"/>
      <c r="Z371" s="364"/>
      <c r="AA371" s="344"/>
      <c r="AB371" s="344"/>
      <c r="AC371" s="344"/>
      <c r="AD371" s="345"/>
    </row>
    <row r="372" spans="1:30" s="346" customFormat="1" ht="24.75" customHeight="1" x14ac:dyDescent="0.35">
      <c r="A372" s="325">
        <v>182</v>
      </c>
      <c r="B372" s="331" t="s">
        <v>1025</v>
      </c>
      <c r="C372" s="331" t="s">
        <v>216</v>
      </c>
      <c r="D372" s="332" t="s">
        <v>33</v>
      </c>
      <c r="E372" s="331" t="s">
        <v>1025</v>
      </c>
      <c r="F372" s="331"/>
      <c r="G372" s="331" t="s">
        <v>1025</v>
      </c>
      <c r="H372" s="326">
        <f>H370+F371</f>
        <v>69562.428</v>
      </c>
      <c r="I372" s="331">
        <v>478.63799999999998</v>
      </c>
      <c r="J372" s="331">
        <v>75.5</v>
      </c>
      <c r="K372" s="331">
        <f>F371+F373</f>
        <v>819</v>
      </c>
      <c r="L372" s="331">
        <f>K372/2</f>
        <v>409.5</v>
      </c>
      <c r="M372" s="331">
        <v>195</v>
      </c>
      <c r="N372" s="331">
        <v>231</v>
      </c>
      <c r="O372" s="331">
        <v>426</v>
      </c>
      <c r="P372" s="331">
        <v>200</v>
      </c>
      <c r="Q372" s="331">
        <v>222</v>
      </c>
      <c r="R372" s="331">
        <v>422</v>
      </c>
      <c r="S372" s="331" t="s">
        <v>1593</v>
      </c>
      <c r="T372" s="331" t="s">
        <v>1594</v>
      </c>
      <c r="U372" s="331">
        <v>580477.23800000001</v>
      </c>
      <c r="V372" s="331">
        <v>2651860.196</v>
      </c>
      <c r="W372" s="331"/>
      <c r="X372" s="315" t="s">
        <v>1592</v>
      </c>
      <c r="Y372" s="315" t="s">
        <v>1573</v>
      </c>
      <c r="Z372" s="335" t="s">
        <v>1574</v>
      </c>
      <c r="AA372" s="344"/>
      <c r="AB372" s="344"/>
      <c r="AC372" s="344"/>
      <c r="AD372" s="345"/>
    </row>
    <row r="373" spans="1:30" s="346" customFormat="1" ht="24.75" customHeight="1" x14ac:dyDescent="0.35">
      <c r="A373" s="314"/>
      <c r="B373" s="331"/>
      <c r="C373" s="331"/>
      <c r="D373" s="332"/>
      <c r="E373" s="331"/>
      <c r="F373" s="331">
        <v>399</v>
      </c>
      <c r="G373" s="331"/>
      <c r="H373" s="317"/>
      <c r="I373" s="331"/>
      <c r="J373" s="331"/>
      <c r="K373" s="331"/>
      <c r="L373" s="331"/>
      <c r="M373" s="331"/>
      <c r="N373" s="331"/>
      <c r="O373" s="331"/>
      <c r="P373" s="331"/>
      <c r="Q373" s="331"/>
      <c r="R373" s="331"/>
      <c r="S373" s="331"/>
      <c r="T373" s="331"/>
      <c r="U373" s="331"/>
      <c r="V373" s="331"/>
      <c r="W373" s="331" t="s">
        <v>1138</v>
      </c>
      <c r="X373" s="323"/>
      <c r="Y373" s="323"/>
      <c r="Z373" s="364"/>
      <c r="AA373" s="344"/>
      <c r="AB373" s="344"/>
      <c r="AC373" s="344"/>
      <c r="AD373" s="345"/>
    </row>
    <row r="374" spans="1:30" s="346" customFormat="1" ht="24.75" customHeight="1" x14ac:dyDescent="0.35">
      <c r="A374" s="325">
        <v>183</v>
      </c>
      <c r="B374" s="331" t="s">
        <v>1025</v>
      </c>
      <c r="C374" s="331" t="s">
        <v>217</v>
      </c>
      <c r="D374" s="332" t="s">
        <v>31</v>
      </c>
      <c r="E374" s="331" t="s">
        <v>1025</v>
      </c>
      <c r="F374" s="331"/>
      <c r="G374" s="331" t="s">
        <v>1025</v>
      </c>
      <c r="H374" s="326">
        <f>H372+F373</f>
        <v>69961.428</v>
      </c>
      <c r="I374" s="338">
        <v>475.78</v>
      </c>
      <c r="J374" s="331">
        <v>72.5</v>
      </c>
      <c r="K374" s="331">
        <f>F373+F375</f>
        <v>779</v>
      </c>
      <c r="L374" s="331">
        <f>K374/2</f>
        <v>389.5</v>
      </c>
      <c r="M374" s="331">
        <v>168</v>
      </c>
      <c r="N374" s="331">
        <v>184</v>
      </c>
      <c r="O374" s="331">
        <v>352</v>
      </c>
      <c r="P374" s="331">
        <v>179</v>
      </c>
      <c r="Q374" s="331">
        <v>186</v>
      </c>
      <c r="R374" s="331">
        <v>365</v>
      </c>
      <c r="S374" s="331" t="s">
        <v>1595</v>
      </c>
      <c r="T374" s="331" t="s">
        <v>1596</v>
      </c>
      <c r="U374" s="331">
        <v>580788.50199999998</v>
      </c>
      <c r="V374" s="331">
        <v>2651610.5649999999</v>
      </c>
      <c r="W374" s="331"/>
      <c r="X374" s="315" t="s">
        <v>1592</v>
      </c>
      <c r="Y374" s="315" t="s">
        <v>1573</v>
      </c>
      <c r="Z374" s="335" t="s">
        <v>1574</v>
      </c>
      <c r="AA374" s="344"/>
      <c r="AB374" s="344"/>
      <c r="AC374" s="344"/>
      <c r="AD374" s="345"/>
    </row>
    <row r="375" spans="1:30" s="346" customFormat="1" ht="24.75" customHeight="1" x14ac:dyDescent="0.35">
      <c r="A375" s="314"/>
      <c r="B375" s="331"/>
      <c r="C375" s="331"/>
      <c r="D375" s="332"/>
      <c r="E375" s="331"/>
      <c r="F375" s="331">
        <v>380</v>
      </c>
      <c r="G375" s="331"/>
      <c r="H375" s="317"/>
      <c r="I375" s="331"/>
      <c r="J375" s="331"/>
      <c r="K375" s="331"/>
      <c r="L375" s="331"/>
      <c r="M375" s="331"/>
      <c r="N375" s="331"/>
      <c r="O375" s="331"/>
      <c r="P375" s="331"/>
      <c r="Q375" s="331"/>
      <c r="R375" s="331"/>
      <c r="S375" s="331"/>
      <c r="T375" s="331"/>
      <c r="U375" s="331"/>
      <c r="V375" s="331"/>
      <c r="W375" s="331" t="s">
        <v>1096</v>
      </c>
      <c r="X375" s="323"/>
      <c r="Y375" s="323"/>
      <c r="Z375" s="364"/>
      <c r="AA375" s="344"/>
      <c r="AB375" s="344"/>
      <c r="AC375" s="344"/>
      <c r="AD375" s="345"/>
    </row>
    <row r="376" spans="1:30" s="346" customFormat="1" ht="24.75" customHeight="1" x14ac:dyDescent="0.35">
      <c r="A376" s="325">
        <v>184</v>
      </c>
      <c r="B376" s="331" t="s">
        <v>1025</v>
      </c>
      <c r="C376" s="331" t="s">
        <v>218</v>
      </c>
      <c r="D376" s="332" t="s">
        <v>33</v>
      </c>
      <c r="E376" s="331" t="s">
        <v>1025</v>
      </c>
      <c r="F376" s="331"/>
      <c r="G376" s="331" t="s">
        <v>1025</v>
      </c>
      <c r="H376" s="326">
        <f>H374+F375</f>
        <v>70341.428</v>
      </c>
      <c r="I376" s="331">
        <v>473.95299999999997</v>
      </c>
      <c r="J376" s="331">
        <v>75.5</v>
      </c>
      <c r="K376" s="331">
        <f>F375+F377</f>
        <v>795</v>
      </c>
      <c r="L376" s="331">
        <f>K376/2</f>
        <v>397.5</v>
      </c>
      <c r="M376" s="331">
        <v>197</v>
      </c>
      <c r="N376" s="331">
        <v>220</v>
      </c>
      <c r="O376" s="331">
        <v>417</v>
      </c>
      <c r="P376" s="331">
        <v>195</v>
      </c>
      <c r="Q376" s="331">
        <v>217</v>
      </c>
      <c r="R376" s="331">
        <v>412</v>
      </c>
      <c r="S376" s="331" t="s">
        <v>1597</v>
      </c>
      <c r="T376" s="331" t="s">
        <v>1598</v>
      </c>
      <c r="U376" s="331">
        <v>581084.94499999995</v>
      </c>
      <c r="V376" s="331">
        <v>2651372.8220000002</v>
      </c>
      <c r="W376" s="331"/>
      <c r="X376" s="315" t="s">
        <v>1592</v>
      </c>
      <c r="Y376" s="315" t="s">
        <v>1573</v>
      </c>
      <c r="Z376" s="335" t="s">
        <v>1574</v>
      </c>
      <c r="AA376" s="344"/>
      <c r="AB376" s="344"/>
      <c r="AC376" s="344"/>
      <c r="AD376" s="345"/>
    </row>
    <row r="377" spans="1:30" s="346" customFormat="1" ht="24.75" customHeight="1" x14ac:dyDescent="0.35">
      <c r="A377" s="314"/>
      <c r="B377" s="331"/>
      <c r="C377" s="331"/>
      <c r="D377" s="332"/>
      <c r="E377" s="331"/>
      <c r="F377" s="331">
        <v>415</v>
      </c>
      <c r="G377" s="331"/>
      <c r="H377" s="317"/>
      <c r="I377" s="331"/>
      <c r="J377" s="331"/>
      <c r="K377" s="331"/>
      <c r="L377" s="331"/>
      <c r="M377" s="331"/>
      <c r="N377" s="331"/>
      <c r="O377" s="331"/>
      <c r="P377" s="331"/>
      <c r="Q377" s="331"/>
      <c r="R377" s="331"/>
      <c r="S377" s="331"/>
      <c r="T377" s="331"/>
      <c r="U377" s="331"/>
      <c r="V377" s="331"/>
      <c r="W377" s="331" t="s">
        <v>1575</v>
      </c>
      <c r="X377" s="323"/>
      <c r="Y377" s="323"/>
      <c r="Z377" s="364"/>
      <c r="AA377" s="344"/>
      <c r="AB377" s="344"/>
      <c r="AC377" s="344"/>
      <c r="AD377" s="345"/>
    </row>
    <row r="378" spans="1:30" s="346" customFormat="1" ht="24.75" customHeight="1" x14ac:dyDescent="0.35">
      <c r="A378" s="325">
        <v>185</v>
      </c>
      <c r="B378" s="331" t="s">
        <v>1599</v>
      </c>
      <c r="C378" s="331" t="s">
        <v>219</v>
      </c>
      <c r="D378" s="332" t="s">
        <v>18</v>
      </c>
      <c r="E378" s="331" t="s">
        <v>1600</v>
      </c>
      <c r="F378" s="331"/>
      <c r="G378" s="331">
        <f>SUM(F355:F377)</f>
        <v>4713</v>
      </c>
      <c r="H378" s="326">
        <f>H376+F377</f>
        <v>70756.428</v>
      </c>
      <c r="I378" s="331">
        <v>474.642</v>
      </c>
      <c r="J378" s="315">
        <v>70.72</v>
      </c>
      <c r="K378" s="331">
        <f>F377+F379</f>
        <v>815</v>
      </c>
      <c r="L378" s="331">
        <f>K378/2</f>
        <v>407.5</v>
      </c>
      <c r="M378" s="331">
        <v>196</v>
      </c>
      <c r="N378" s="331">
        <v>175</v>
      </c>
      <c r="O378" s="331">
        <v>371</v>
      </c>
      <c r="P378" s="331">
        <v>200</v>
      </c>
      <c r="Q378" s="331">
        <v>184</v>
      </c>
      <c r="R378" s="331">
        <v>384</v>
      </c>
      <c r="S378" s="331" t="s">
        <v>1601</v>
      </c>
      <c r="T378" s="331" t="s">
        <v>1602</v>
      </c>
      <c r="U378" s="331">
        <v>581408.91299999994</v>
      </c>
      <c r="V378" s="331">
        <v>2651113.0040000002</v>
      </c>
      <c r="W378" s="331"/>
      <c r="X378" s="315" t="s">
        <v>1592</v>
      </c>
      <c r="Y378" s="315" t="s">
        <v>1573</v>
      </c>
      <c r="Z378" s="335" t="s">
        <v>1574</v>
      </c>
      <c r="AA378" s="344"/>
      <c r="AB378" s="344"/>
      <c r="AC378" s="344"/>
      <c r="AD378" s="345"/>
    </row>
    <row r="379" spans="1:30" s="346" customFormat="1" ht="24.75" customHeight="1" x14ac:dyDescent="0.35">
      <c r="A379" s="314"/>
      <c r="B379" s="331"/>
      <c r="C379" s="331"/>
      <c r="D379" s="332"/>
      <c r="E379" s="331"/>
      <c r="F379" s="331">
        <v>400</v>
      </c>
      <c r="G379" s="331"/>
      <c r="H379" s="317"/>
      <c r="I379" s="331"/>
      <c r="J379" s="331"/>
      <c r="K379" s="331"/>
      <c r="L379" s="331"/>
      <c r="M379" s="331"/>
      <c r="N379" s="331"/>
      <c r="O379" s="331"/>
      <c r="P379" s="331"/>
      <c r="Q379" s="331"/>
      <c r="R379" s="331"/>
      <c r="S379" s="331"/>
      <c r="T379" s="331"/>
      <c r="U379" s="331"/>
      <c r="V379" s="331"/>
      <c r="W379" s="331" t="s">
        <v>1603</v>
      </c>
      <c r="X379" s="323"/>
      <c r="Y379" s="323"/>
      <c r="Z379" s="364"/>
      <c r="AA379" s="344"/>
      <c r="AB379" s="344"/>
      <c r="AC379" s="344"/>
      <c r="AD379" s="345"/>
    </row>
    <row r="380" spans="1:30" s="346" customFormat="1" ht="24.75" customHeight="1" x14ac:dyDescent="0.35">
      <c r="A380" s="325">
        <v>186</v>
      </c>
      <c r="B380" s="331" t="s">
        <v>1025</v>
      </c>
      <c r="C380" s="331" t="s">
        <v>220</v>
      </c>
      <c r="D380" s="332" t="s">
        <v>33</v>
      </c>
      <c r="E380" s="331" t="s">
        <v>1025</v>
      </c>
      <c r="F380" s="331"/>
      <c r="G380" s="331" t="s">
        <v>1025</v>
      </c>
      <c r="H380" s="326">
        <f>H378+F379</f>
        <v>71156.428</v>
      </c>
      <c r="I380" s="331">
        <v>476.33199999999999</v>
      </c>
      <c r="J380" s="331">
        <v>75.5</v>
      </c>
      <c r="K380" s="331">
        <f>F379+F381</f>
        <v>792</v>
      </c>
      <c r="L380" s="331">
        <f>K380/2</f>
        <v>396</v>
      </c>
      <c r="M380" s="331">
        <v>226</v>
      </c>
      <c r="N380" s="331">
        <v>201</v>
      </c>
      <c r="O380" s="331">
        <v>427</v>
      </c>
      <c r="P380" s="331">
        <v>218</v>
      </c>
      <c r="Q380" s="331">
        <v>199</v>
      </c>
      <c r="R380" s="331">
        <v>417</v>
      </c>
      <c r="S380" s="331" t="s">
        <v>1604</v>
      </c>
      <c r="T380" s="331" t="s">
        <v>1605</v>
      </c>
      <c r="U380" s="331">
        <v>581636.16</v>
      </c>
      <c r="V380" s="331">
        <v>2650783.8250000002</v>
      </c>
      <c r="W380" s="331"/>
      <c r="X380" s="315" t="s">
        <v>1592</v>
      </c>
      <c r="Y380" s="315" t="s">
        <v>1573</v>
      </c>
      <c r="Z380" s="335" t="s">
        <v>1574</v>
      </c>
      <c r="AA380" s="344"/>
      <c r="AB380" s="344"/>
      <c r="AC380" s="344"/>
      <c r="AD380" s="345"/>
    </row>
    <row r="381" spans="1:30" s="346" customFormat="1" ht="24.75" customHeight="1" x14ac:dyDescent="0.35">
      <c r="A381" s="314"/>
      <c r="B381" s="331"/>
      <c r="C381" s="331"/>
      <c r="D381" s="332"/>
      <c r="E381" s="331"/>
      <c r="F381" s="331">
        <v>392</v>
      </c>
      <c r="G381" s="331"/>
      <c r="H381" s="317"/>
      <c r="I381" s="331"/>
      <c r="J381" s="331"/>
      <c r="K381" s="331"/>
      <c r="L381" s="331"/>
      <c r="M381" s="331"/>
      <c r="N381" s="331"/>
      <c r="O381" s="331"/>
      <c r="P381" s="331"/>
      <c r="Q381" s="331"/>
      <c r="R381" s="331"/>
      <c r="S381" s="331"/>
      <c r="T381" s="331"/>
      <c r="U381" s="331"/>
      <c r="V381" s="331"/>
      <c r="W381" s="331" t="s">
        <v>1133</v>
      </c>
      <c r="X381" s="323"/>
      <c r="Y381" s="323"/>
      <c r="Z381" s="364"/>
      <c r="AA381" s="344"/>
      <c r="AB381" s="344"/>
      <c r="AC381" s="344"/>
      <c r="AD381" s="345"/>
    </row>
    <row r="382" spans="1:30" s="346" customFormat="1" ht="24.75" customHeight="1" x14ac:dyDescent="0.35">
      <c r="A382" s="325">
        <v>187</v>
      </c>
      <c r="B382" s="331" t="s">
        <v>1025</v>
      </c>
      <c r="C382" s="331" t="s">
        <v>221</v>
      </c>
      <c r="D382" s="332" t="s">
        <v>31</v>
      </c>
      <c r="E382" s="331" t="s">
        <v>1025</v>
      </c>
      <c r="F382" s="331"/>
      <c r="G382" s="331" t="s">
        <v>1025</v>
      </c>
      <c r="H382" s="326">
        <f>H380+F381</f>
        <v>71548.428</v>
      </c>
      <c r="I382" s="338">
        <v>478.56200000000001</v>
      </c>
      <c r="J382" s="331">
        <v>72.5</v>
      </c>
      <c r="K382" s="331">
        <f>F381+F383</f>
        <v>779</v>
      </c>
      <c r="L382" s="331">
        <f>K382/2</f>
        <v>389.5</v>
      </c>
      <c r="M382" s="331">
        <v>192</v>
      </c>
      <c r="N382" s="331">
        <v>210</v>
      </c>
      <c r="O382" s="331">
        <v>402</v>
      </c>
      <c r="P382" s="331">
        <v>194</v>
      </c>
      <c r="Q382" s="331">
        <v>205</v>
      </c>
      <c r="R382" s="331">
        <v>399</v>
      </c>
      <c r="S382" s="331" t="s">
        <v>1606</v>
      </c>
      <c r="T382" s="331" t="s">
        <v>1607</v>
      </c>
      <c r="U382" s="331">
        <v>581858.86199999996</v>
      </c>
      <c r="V382" s="331">
        <v>2650461.2289999998</v>
      </c>
      <c r="W382" s="331"/>
      <c r="X382" s="315" t="s">
        <v>1592</v>
      </c>
      <c r="Y382" s="315" t="s">
        <v>1573</v>
      </c>
      <c r="Z382" s="335" t="s">
        <v>1574</v>
      </c>
      <c r="AA382" s="344"/>
      <c r="AB382" s="344"/>
      <c r="AC382" s="344"/>
      <c r="AD382" s="345"/>
    </row>
    <row r="383" spans="1:30" s="346" customFormat="1" ht="24.75" customHeight="1" x14ac:dyDescent="0.35">
      <c r="A383" s="314"/>
      <c r="B383" s="331"/>
      <c r="C383" s="331"/>
      <c r="D383" s="332"/>
      <c r="E383" s="331"/>
      <c r="F383" s="331">
        <v>387</v>
      </c>
      <c r="G383" s="331"/>
      <c r="H383" s="317"/>
      <c r="I383" s="331"/>
      <c r="J383" s="331"/>
      <c r="K383" s="331"/>
      <c r="L383" s="331"/>
      <c r="M383" s="331"/>
      <c r="N383" s="331"/>
      <c r="O383" s="331"/>
      <c r="P383" s="331"/>
      <c r="Q383" s="331"/>
      <c r="R383" s="331"/>
      <c r="S383" s="331"/>
      <c r="T383" s="331"/>
      <c r="U383" s="331"/>
      <c r="V383" s="331"/>
      <c r="W383" s="331" t="s">
        <v>1608</v>
      </c>
      <c r="X383" s="323"/>
      <c r="Y383" s="323"/>
      <c r="Z383" s="364"/>
      <c r="AA383" s="344"/>
      <c r="AB383" s="344"/>
      <c r="AC383" s="344"/>
      <c r="AD383" s="345"/>
    </row>
    <row r="384" spans="1:30" s="346" customFormat="1" ht="24.75" customHeight="1" x14ac:dyDescent="0.35">
      <c r="A384" s="325">
        <v>188</v>
      </c>
      <c r="B384" s="331" t="s">
        <v>1025</v>
      </c>
      <c r="C384" s="331" t="s">
        <v>222</v>
      </c>
      <c r="D384" s="332" t="s">
        <v>31</v>
      </c>
      <c r="E384" s="331" t="s">
        <v>1025</v>
      </c>
      <c r="F384" s="331"/>
      <c r="G384" s="331" t="s">
        <v>1025</v>
      </c>
      <c r="H384" s="326">
        <f>H382+F383</f>
        <v>71935.428</v>
      </c>
      <c r="I384" s="338">
        <v>475.59</v>
      </c>
      <c r="J384" s="331">
        <v>72.5</v>
      </c>
      <c r="K384" s="331">
        <f>F383+F385</f>
        <v>733</v>
      </c>
      <c r="L384" s="331">
        <f>K384/2</f>
        <v>366.5</v>
      </c>
      <c r="M384" s="331">
        <v>177</v>
      </c>
      <c r="N384" s="331">
        <v>178</v>
      </c>
      <c r="O384" s="331">
        <v>355</v>
      </c>
      <c r="P384" s="331">
        <v>183</v>
      </c>
      <c r="Q384" s="331">
        <v>177</v>
      </c>
      <c r="R384" s="331">
        <v>360</v>
      </c>
      <c r="S384" s="331" t="s">
        <v>1609</v>
      </c>
      <c r="T384" s="331" t="s">
        <v>1610</v>
      </c>
      <c r="U384" s="331">
        <v>582078.723</v>
      </c>
      <c r="V384" s="331">
        <v>2650142.7480000001</v>
      </c>
      <c r="W384" s="331"/>
      <c r="X384" s="315" t="s">
        <v>1611</v>
      </c>
      <c r="Y384" s="315" t="s">
        <v>1573</v>
      </c>
      <c r="Z384" s="335" t="s">
        <v>1574</v>
      </c>
      <c r="AA384" s="344"/>
      <c r="AB384" s="344"/>
      <c r="AC384" s="344"/>
      <c r="AD384" s="345"/>
    </row>
    <row r="385" spans="1:30" s="346" customFormat="1" ht="24.75" customHeight="1" x14ac:dyDescent="0.35">
      <c r="A385" s="314"/>
      <c r="B385" s="331"/>
      <c r="C385" s="331"/>
      <c r="D385" s="332"/>
      <c r="E385" s="331"/>
      <c r="F385" s="331">
        <v>346</v>
      </c>
      <c r="G385" s="331"/>
      <c r="H385" s="317"/>
      <c r="I385" s="331"/>
      <c r="J385" s="331"/>
      <c r="K385" s="331"/>
      <c r="L385" s="331"/>
      <c r="M385" s="331"/>
      <c r="N385" s="331"/>
      <c r="O385" s="331"/>
      <c r="P385" s="331"/>
      <c r="Q385" s="331"/>
      <c r="R385" s="331"/>
      <c r="S385" s="331"/>
      <c r="T385" s="331"/>
      <c r="U385" s="331"/>
      <c r="V385" s="331"/>
      <c r="W385" s="331"/>
      <c r="X385" s="323"/>
      <c r="Y385" s="323"/>
      <c r="Z385" s="364"/>
      <c r="AA385" s="344"/>
      <c r="AB385" s="344"/>
      <c r="AC385" s="344"/>
      <c r="AD385" s="345"/>
    </row>
    <row r="386" spans="1:30" s="346" customFormat="1" ht="24.75" customHeight="1" x14ac:dyDescent="0.35">
      <c r="A386" s="325">
        <v>189</v>
      </c>
      <c r="B386" s="331" t="s">
        <v>1612</v>
      </c>
      <c r="C386" s="331" t="s">
        <v>223</v>
      </c>
      <c r="D386" s="332" t="s">
        <v>115</v>
      </c>
      <c r="E386" s="331" t="s">
        <v>1613</v>
      </c>
      <c r="F386" s="331"/>
      <c r="G386" s="331">
        <f>SUM(F379:F385)</f>
        <v>1525</v>
      </c>
      <c r="H386" s="326">
        <f>H384+F385</f>
        <v>72281.428</v>
      </c>
      <c r="I386" s="331">
        <v>474.76</v>
      </c>
      <c r="J386" s="315">
        <v>70.72</v>
      </c>
      <c r="K386" s="331">
        <f>F385+F387</f>
        <v>746</v>
      </c>
      <c r="L386" s="331">
        <f>K386/2</f>
        <v>373</v>
      </c>
      <c r="M386" s="331">
        <v>168</v>
      </c>
      <c r="N386" s="331">
        <v>168</v>
      </c>
      <c r="O386" s="331">
        <v>336</v>
      </c>
      <c r="P386" s="331">
        <v>170</v>
      </c>
      <c r="Q386" s="331">
        <v>178</v>
      </c>
      <c r="R386" s="331">
        <v>348</v>
      </c>
      <c r="S386" s="331" t="s">
        <v>1614</v>
      </c>
      <c r="T386" s="331" t="s">
        <v>1615</v>
      </c>
      <c r="U386" s="331">
        <v>582275.36199999996</v>
      </c>
      <c r="V386" s="331">
        <v>2649857.906</v>
      </c>
      <c r="W386" s="331"/>
      <c r="X386" s="315" t="s">
        <v>1611</v>
      </c>
      <c r="Y386" s="315" t="s">
        <v>1573</v>
      </c>
      <c r="Z386" s="335" t="s">
        <v>1574</v>
      </c>
      <c r="AA386" s="344"/>
      <c r="AB386" s="344"/>
      <c r="AC386" s="344"/>
      <c r="AD386" s="345"/>
    </row>
    <row r="387" spans="1:30" s="346" customFormat="1" ht="28" x14ac:dyDescent="0.35">
      <c r="A387" s="314"/>
      <c r="B387" s="331"/>
      <c r="C387" s="331"/>
      <c r="D387" s="332"/>
      <c r="E387" s="331"/>
      <c r="F387" s="331">
        <v>400</v>
      </c>
      <c r="G387" s="331"/>
      <c r="H387" s="317"/>
      <c r="I387" s="331"/>
      <c r="J387" s="331"/>
      <c r="K387" s="331"/>
      <c r="L387" s="331"/>
      <c r="M387" s="331"/>
      <c r="N387" s="331"/>
      <c r="O387" s="331"/>
      <c r="P387" s="331"/>
      <c r="Q387" s="331"/>
      <c r="R387" s="331"/>
      <c r="S387" s="331"/>
      <c r="T387" s="331"/>
      <c r="U387" s="331"/>
      <c r="V387" s="331"/>
      <c r="W387" s="331" t="s">
        <v>1616</v>
      </c>
      <c r="X387" s="323"/>
      <c r="Y387" s="323"/>
      <c r="Z387" s="364"/>
      <c r="AA387" s="344"/>
      <c r="AB387" s="344"/>
      <c r="AC387" s="344"/>
      <c r="AD387" s="345"/>
    </row>
    <row r="388" spans="1:30" s="346" customFormat="1" ht="24.75" customHeight="1" x14ac:dyDescent="0.35">
      <c r="A388" s="325">
        <v>190</v>
      </c>
      <c r="B388" s="331" t="s">
        <v>1025</v>
      </c>
      <c r="C388" s="331" t="s">
        <v>224</v>
      </c>
      <c r="D388" s="332" t="s">
        <v>16</v>
      </c>
      <c r="E388" s="331" t="s">
        <v>1025</v>
      </c>
      <c r="F388" s="331"/>
      <c r="G388" s="331" t="s">
        <v>1025</v>
      </c>
      <c r="H388" s="326">
        <f>H386+F387</f>
        <v>72681.428</v>
      </c>
      <c r="I388" s="331">
        <v>474.81</v>
      </c>
      <c r="J388" s="331">
        <v>78.5</v>
      </c>
      <c r="K388" s="331">
        <f>F387+F389</f>
        <v>818</v>
      </c>
      <c r="L388" s="331">
        <f>K388/2</f>
        <v>409</v>
      </c>
      <c r="M388" s="331">
        <v>232</v>
      </c>
      <c r="N388" s="331">
        <v>240</v>
      </c>
      <c r="O388" s="331">
        <v>472</v>
      </c>
      <c r="P388" s="331">
        <v>223</v>
      </c>
      <c r="Q388" s="331">
        <v>231</v>
      </c>
      <c r="R388" s="331">
        <v>454</v>
      </c>
      <c r="S388" s="331" t="s">
        <v>1617</v>
      </c>
      <c r="T388" s="331" t="s">
        <v>1618</v>
      </c>
      <c r="U388" s="331">
        <v>582664.16399999999</v>
      </c>
      <c r="V388" s="331">
        <v>2649763.92</v>
      </c>
      <c r="W388" s="331"/>
      <c r="X388" s="315" t="s">
        <v>1611</v>
      </c>
      <c r="Y388" s="315" t="s">
        <v>1573</v>
      </c>
      <c r="Z388" s="335" t="s">
        <v>1574</v>
      </c>
      <c r="AA388" s="344"/>
      <c r="AB388" s="344"/>
      <c r="AC388" s="344"/>
      <c r="AD388" s="345"/>
    </row>
    <row r="389" spans="1:30" s="346" customFormat="1" ht="42" x14ac:dyDescent="0.35">
      <c r="A389" s="314"/>
      <c r="B389" s="331"/>
      <c r="C389" s="331"/>
      <c r="D389" s="332"/>
      <c r="E389" s="331"/>
      <c r="F389" s="331">
        <v>418</v>
      </c>
      <c r="G389" s="331"/>
      <c r="H389" s="317"/>
      <c r="I389" s="331"/>
      <c r="J389" s="331"/>
      <c r="K389" s="331"/>
      <c r="L389" s="331"/>
      <c r="M389" s="331"/>
      <c r="N389" s="331"/>
      <c r="O389" s="331"/>
      <c r="P389" s="331"/>
      <c r="Q389" s="331"/>
      <c r="R389" s="331"/>
      <c r="S389" s="331"/>
      <c r="T389" s="331"/>
      <c r="U389" s="331"/>
      <c r="V389" s="331"/>
      <c r="W389" s="331" t="s">
        <v>1619</v>
      </c>
      <c r="X389" s="323"/>
      <c r="Y389" s="323"/>
      <c r="Z389" s="364"/>
      <c r="AA389" s="344"/>
      <c r="AB389" s="344"/>
      <c r="AC389" s="344"/>
      <c r="AD389" s="345"/>
    </row>
    <row r="390" spans="1:30" s="346" customFormat="1" ht="24.75" customHeight="1" x14ac:dyDescent="0.35">
      <c r="A390" s="325">
        <v>191</v>
      </c>
      <c r="B390" s="331" t="s">
        <v>1025</v>
      </c>
      <c r="C390" s="331" t="s">
        <v>225</v>
      </c>
      <c r="D390" s="332" t="s">
        <v>14</v>
      </c>
      <c r="E390" s="331" t="s">
        <v>1025</v>
      </c>
      <c r="F390" s="331"/>
      <c r="G390" s="331" t="s">
        <v>1025</v>
      </c>
      <c r="H390" s="326">
        <f>H388+F389</f>
        <v>73099.428</v>
      </c>
      <c r="I390" s="331">
        <v>476.48700000000002</v>
      </c>
      <c r="J390" s="331">
        <v>71</v>
      </c>
      <c r="K390" s="331">
        <f>F389+F391</f>
        <v>769</v>
      </c>
      <c r="L390" s="331">
        <f>K390/2</f>
        <v>384.5</v>
      </c>
      <c r="M390" s="331">
        <v>179</v>
      </c>
      <c r="N390" s="331">
        <v>153</v>
      </c>
      <c r="O390" s="331">
        <v>332</v>
      </c>
      <c r="P390" s="331">
        <v>188</v>
      </c>
      <c r="Q390" s="331">
        <v>160</v>
      </c>
      <c r="R390" s="331">
        <v>348</v>
      </c>
      <c r="S390" s="331" t="s">
        <v>1620</v>
      </c>
      <c r="T390" s="331" t="s">
        <v>1621</v>
      </c>
      <c r="U390" s="331">
        <v>583070.46100000001</v>
      </c>
      <c r="V390" s="331">
        <v>2649665.7050000001</v>
      </c>
      <c r="W390" s="331"/>
      <c r="X390" s="315" t="s">
        <v>1611</v>
      </c>
      <c r="Y390" s="315" t="s">
        <v>1573</v>
      </c>
      <c r="Z390" s="335" t="s">
        <v>1574</v>
      </c>
      <c r="AA390" s="344"/>
      <c r="AB390" s="344"/>
      <c r="AC390" s="344"/>
      <c r="AD390" s="345"/>
    </row>
    <row r="391" spans="1:30" s="346" customFormat="1" ht="24.75" customHeight="1" x14ac:dyDescent="0.35">
      <c r="A391" s="314"/>
      <c r="B391" s="331"/>
      <c r="C391" s="331"/>
      <c r="D391" s="332"/>
      <c r="E391" s="331"/>
      <c r="F391" s="331">
        <v>351</v>
      </c>
      <c r="G391" s="331"/>
      <c r="H391" s="317"/>
      <c r="I391" s="331"/>
      <c r="J391" s="331"/>
      <c r="K391" s="331"/>
      <c r="L391" s="331"/>
      <c r="M391" s="331"/>
      <c r="N391" s="331"/>
      <c r="O391" s="331"/>
      <c r="P391" s="331"/>
      <c r="Q391" s="331"/>
      <c r="R391" s="331"/>
      <c r="S391" s="331"/>
      <c r="T391" s="331"/>
      <c r="U391" s="331"/>
      <c r="V391" s="331"/>
      <c r="W391" s="331" t="s">
        <v>1622</v>
      </c>
      <c r="X391" s="323"/>
      <c r="Y391" s="323"/>
      <c r="Z391" s="364"/>
      <c r="AA391" s="344"/>
      <c r="AB391" s="344"/>
      <c r="AC391" s="344"/>
      <c r="AD391" s="345"/>
    </row>
    <row r="392" spans="1:30" s="346" customFormat="1" ht="24.75" customHeight="1" x14ac:dyDescent="0.35">
      <c r="A392" s="325">
        <v>192</v>
      </c>
      <c r="B392" s="331" t="s">
        <v>1025</v>
      </c>
      <c r="C392" s="331" t="s">
        <v>226</v>
      </c>
      <c r="D392" s="332" t="s">
        <v>35</v>
      </c>
      <c r="E392" s="331"/>
      <c r="F392" s="331"/>
      <c r="G392" s="331" t="s">
        <v>1025</v>
      </c>
      <c r="H392" s="326">
        <f>H390+F391</f>
        <v>73450.428</v>
      </c>
      <c r="I392" s="331">
        <v>477.26100000000002</v>
      </c>
      <c r="J392" s="331">
        <v>74</v>
      </c>
      <c r="K392" s="331">
        <f>F391+F393</f>
        <v>780</v>
      </c>
      <c r="L392" s="331">
        <f>K392/2</f>
        <v>390</v>
      </c>
      <c r="M392" s="331">
        <v>198</v>
      </c>
      <c r="N392" s="331">
        <v>200</v>
      </c>
      <c r="O392" s="331">
        <v>398</v>
      </c>
      <c r="P392" s="331">
        <v>192</v>
      </c>
      <c r="Q392" s="331">
        <v>204</v>
      </c>
      <c r="R392" s="331">
        <v>396</v>
      </c>
      <c r="S392" s="331" t="s">
        <v>1623</v>
      </c>
      <c r="T392" s="331" t="s">
        <v>1624</v>
      </c>
      <c r="U392" s="331">
        <v>583411.63500000001</v>
      </c>
      <c r="V392" s="331">
        <v>2649583.233</v>
      </c>
      <c r="W392" s="331"/>
      <c r="X392" s="315" t="s">
        <v>1611</v>
      </c>
      <c r="Y392" s="315" t="s">
        <v>1573</v>
      </c>
      <c r="Z392" s="335" t="s">
        <v>1574</v>
      </c>
      <c r="AA392" s="344"/>
      <c r="AB392" s="344"/>
      <c r="AC392" s="344"/>
      <c r="AD392" s="345"/>
    </row>
    <row r="393" spans="1:30" s="346" customFormat="1" ht="24.75" customHeight="1" x14ac:dyDescent="0.35">
      <c r="A393" s="314"/>
      <c r="B393" s="331"/>
      <c r="C393" s="331"/>
      <c r="D393" s="332"/>
      <c r="E393" s="331"/>
      <c r="F393" s="331">
        <v>429</v>
      </c>
      <c r="G393" s="331"/>
      <c r="H393" s="317"/>
      <c r="I393" s="331"/>
      <c r="J393" s="331"/>
      <c r="K393" s="331"/>
      <c r="L393" s="331"/>
      <c r="M393" s="331"/>
      <c r="N393" s="331"/>
      <c r="O393" s="331"/>
      <c r="P393" s="331"/>
      <c r="Q393" s="331"/>
      <c r="R393" s="331"/>
      <c r="S393" s="331"/>
      <c r="T393" s="331"/>
      <c r="U393" s="331"/>
      <c r="V393" s="331"/>
      <c r="W393" s="331" t="s">
        <v>1625</v>
      </c>
      <c r="X393" s="323"/>
      <c r="Y393" s="323"/>
      <c r="Z393" s="364"/>
      <c r="AA393" s="344"/>
      <c r="AB393" s="344"/>
      <c r="AC393" s="344"/>
      <c r="AD393" s="345"/>
    </row>
    <row r="394" spans="1:30" s="346" customFormat="1" ht="24.75" customHeight="1" x14ac:dyDescent="0.35">
      <c r="A394" s="325">
        <v>193</v>
      </c>
      <c r="B394" s="331" t="s">
        <v>1025</v>
      </c>
      <c r="C394" s="331" t="s">
        <v>227</v>
      </c>
      <c r="D394" s="332" t="s">
        <v>33</v>
      </c>
      <c r="E394" s="331" t="s">
        <v>1025</v>
      </c>
      <c r="F394" s="331"/>
      <c r="G394" s="331" t="s">
        <v>1025</v>
      </c>
      <c r="H394" s="326">
        <f>H392+F393</f>
        <v>73879.428</v>
      </c>
      <c r="I394" s="331">
        <v>478.63499999999999</v>
      </c>
      <c r="J394" s="331">
        <v>75.5</v>
      </c>
      <c r="K394" s="331">
        <f>F393+F395</f>
        <v>840</v>
      </c>
      <c r="L394" s="331">
        <f>K394/2</f>
        <v>420</v>
      </c>
      <c r="M394" s="331">
        <v>230</v>
      </c>
      <c r="N394" s="331">
        <v>213</v>
      </c>
      <c r="O394" s="331">
        <v>443</v>
      </c>
      <c r="P394" s="331">
        <v>226</v>
      </c>
      <c r="Q394" s="331">
        <v>211</v>
      </c>
      <c r="R394" s="331">
        <v>437</v>
      </c>
      <c r="S394" s="331" t="s">
        <v>1626</v>
      </c>
      <c r="T394" s="331" t="s">
        <v>1627</v>
      </c>
      <c r="U394" s="331">
        <v>583828.62399999995</v>
      </c>
      <c r="V394" s="331">
        <v>2649482.4330000002</v>
      </c>
      <c r="W394" s="331"/>
      <c r="X394" s="315" t="s">
        <v>1628</v>
      </c>
      <c r="Y394" s="315" t="s">
        <v>1573</v>
      </c>
      <c r="Z394" s="335" t="s">
        <v>1574</v>
      </c>
      <c r="AA394" s="344"/>
      <c r="AB394" s="344"/>
      <c r="AC394" s="344"/>
      <c r="AD394" s="345"/>
    </row>
    <row r="395" spans="1:30" s="346" customFormat="1" ht="24.75" customHeight="1" x14ac:dyDescent="0.35">
      <c r="A395" s="314"/>
      <c r="B395" s="331"/>
      <c r="C395" s="331"/>
      <c r="D395" s="332"/>
      <c r="E395" s="331"/>
      <c r="F395" s="331">
        <v>411</v>
      </c>
      <c r="G395" s="331"/>
      <c r="H395" s="317"/>
      <c r="I395" s="331"/>
      <c r="J395" s="331"/>
      <c r="K395" s="331"/>
      <c r="L395" s="331"/>
      <c r="M395" s="331"/>
      <c r="N395" s="331"/>
      <c r="O395" s="331"/>
      <c r="P395" s="331"/>
      <c r="Q395" s="331"/>
      <c r="R395" s="331"/>
      <c r="S395" s="331"/>
      <c r="T395" s="331"/>
      <c r="U395" s="331"/>
      <c r="V395" s="331"/>
      <c r="W395" s="331" t="s">
        <v>1629</v>
      </c>
      <c r="X395" s="323"/>
      <c r="Y395" s="323"/>
      <c r="Z395" s="364"/>
      <c r="AA395" s="344"/>
      <c r="AB395" s="344"/>
      <c r="AC395" s="344"/>
      <c r="AD395" s="345"/>
    </row>
    <row r="396" spans="1:30" s="346" customFormat="1" ht="24.75" customHeight="1" x14ac:dyDescent="0.35">
      <c r="A396" s="325">
        <v>194</v>
      </c>
      <c r="B396" s="331" t="s">
        <v>1025</v>
      </c>
      <c r="C396" s="331" t="s">
        <v>228</v>
      </c>
      <c r="D396" s="332" t="s">
        <v>31</v>
      </c>
      <c r="E396" s="331" t="s">
        <v>1025</v>
      </c>
      <c r="F396" s="331"/>
      <c r="G396" s="331" t="s">
        <v>1025</v>
      </c>
      <c r="H396" s="326">
        <f>H394+F395</f>
        <v>74290.428</v>
      </c>
      <c r="I396" s="338">
        <v>480.44099999999997</v>
      </c>
      <c r="J396" s="331">
        <v>72.5</v>
      </c>
      <c r="K396" s="331">
        <f>F395+F397</f>
        <v>792</v>
      </c>
      <c r="L396" s="331">
        <f>K396/2</f>
        <v>396</v>
      </c>
      <c r="M396" s="331">
        <v>199</v>
      </c>
      <c r="N396" s="331">
        <v>151</v>
      </c>
      <c r="O396" s="331">
        <v>350</v>
      </c>
      <c r="P396" s="331">
        <v>201</v>
      </c>
      <c r="Q396" s="331">
        <v>163</v>
      </c>
      <c r="R396" s="331">
        <v>364</v>
      </c>
      <c r="S396" s="331" t="s">
        <v>1630</v>
      </c>
      <c r="T396" s="331" t="s">
        <v>1631</v>
      </c>
      <c r="U396" s="331">
        <v>584228.11800000002</v>
      </c>
      <c r="V396" s="331">
        <v>2649385.8629999999</v>
      </c>
      <c r="W396" s="331"/>
      <c r="X396" s="315" t="s">
        <v>1628</v>
      </c>
      <c r="Y396" s="315" t="s">
        <v>1573</v>
      </c>
      <c r="Z396" s="335" t="s">
        <v>1574</v>
      </c>
      <c r="AA396" s="344"/>
      <c r="AB396" s="344"/>
      <c r="AC396" s="344"/>
      <c r="AD396" s="345"/>
    </row>
    <row r="397" spans="1:30" s="346" customFormat="1" ht="28" x14ac:dyDescent="0.35">
      <c r="A397" s="314"/>
      <c r="B397" s="331"/>
      <c r="C397" s="331"/>
      <c r="D397" s="332"/>
      <c r="E397" s="331"/>
      <c r="F397" s="331">
        <v>381</v>
      </c>
      <c r="G397" s="331"/>
      <c r="H397" s="317"/>
      <c r="I397" s="331"/>
      <c r="J397" s="331"/>
      <c r="K397" s="331"/>
      <c r="L397" s="331"/>
      <c r="M397" s="331"/>
      <c r="N397" s="331"/>
      <c r="O397" s="331"/>
      <c r="P397" s="331"/>
      <c r="Q397" s="331"/>
      <c r="R397" s="331"/>
      <c r="S397" s="331"/>
      <c r="T397" s="331"/>
      <c r="U397" s="331"/>
      <c r="V397" s="331"/>
      <c r="W397" s="331" t="s">
        <v>1632</v>
      </c>
      <c r="X397" s="323"/>
      <c r="Y397" s="323"/>
      <c r="Z397" s="364"/>
      <c r="AA397" s="344"/>
      <c r="AB397" s="344"/>
      <c r="AC397" s="344"/>
      <c r="AD397" s="345"/>
    </row>
    <row r="398" spans="1:30" s="346" customFormat="1" ht="24.75" customHeight="1" x14ac:dyDescent="0.35">
      <c r="A398" s="325">
        <v>195</v>
      </c>
      <c r="B398" s="331" t="s">
        <v>1025</v>
      </c>
      <c r="C398" s="331" t="s">
        <v>229</v>
      </c>
      <c r="D398" s="332" t="s">
        <v>16</v>
      </c>
      <c r="E398" s="331" t="s">
        <v>1025</v>
      </c>
      <c r="F398" s="331"/>
      <c r="G398" s="331" t="s">
        <v>1025</v>
      </c>
      <c r="H398" s="326">
        <f>H396+F397</f>
        <v>74671.428</v>
      </c>
      <c r="I398" s="331">
        <v>481.36599999999999</v>
      </c>
      <c r="J398" s="331">
        <v>78.5</v>
      </c>
      <c r="K398" s="331">
        <f>F397+F399</f>
        <v>840</v>
      </c>
      <c r="L398" s="331">
        <f>K398/2</f>
        <v>420</v>
      </c>
      <c r="M398" s="331">
        <v>231</v>
      </c>
      <c r="N398" s="331">
        <v>215</v>
      </c>
      <c r="O398" s="331">
        <v>446</v>
      </c>
      <c r="P398" s="331">
        <v>219</v>
      </c>
      <c r="Q398" s="331">
        <v>220</v>
      </c>
      <c r="R398" s="331">
        <v>439</v>
      </c>
      <c r="S398" s="331" t="s">
        <v>1633</v>
      </c>
      <c r="T398" s="331" t="s">
        <v>1634</v>
      </c>
      <c r="U398" s="331">
        <v>584598.45200000005</v>
      </c>
      <c r="V398" s="331">
        <v>2649296.341</v>
      </c>
      <c r="W398" s="331"/>
      <c r="X398" s="315" t="s">
        <v>1628</v>
      </c>
      <c r="Y398" s="315" t="s">
        <v>1573</v>
      </c>
      <c r="Z398" s="335" t="s">
        <v>1574</v>
      </c>
      <c r="AA398" s="344"/>
      <c r="AB398" s="344"/>
      <c r="AC398" s="344"/>
      <c r="AD398" s="345"/>
    </row>
    <row r="399" spans="1:30" s="346" customFormat="1" ht="24.75" customHeight="1" x14ac:dyDescent="0.35">
      <c r="A399" s="314"/>
      <c r="B399" s="331"/>
      <c r="C399" s="331"/>
      <c r="D399" s="332"/>
      <c r="E399" s="331"/>
      <c r="F399" s="331">
        <v>459</v>
      </c>
      <c r="G399" s="331"/>
      <c r="H399" s="317"/>
      <c r="I399" s="331"/>
      <c r="J399" s="331"/>
      <c r="K399" s="331"/>
      <c r="L399" s="331"/>
      <c r="M399" s="331"/>
      <c r="N399" s="331"/>
      <c r="O399" s="331"/>
      <c r="P399" s="331"/>
      <c r="Q399" s="331"/>
      <c r="R399" s="331"/>
      <c r="S399" s="331"/>
      <c r="T399" s="331"/>
      <c r="U399" s="331"/>
      <c r="V399" s="331"/>
      <c r="W399" s="331" t="s">
        <v>1635</v>
      </c>
      <c r="X399" s="323"/>
      <c r="Y399" s="323"/>
      <c r="Z399" s="364"/>
      <c r="AA399" s="344"/>
      <c r="AB399" s="344"/>
      <c r="AC399" s="344"/>
      <c r="AD399" s="345"/>
    </row>
    <row r="400" spans="1:30" s="346" customFormat="1" ht="24.75" customHeight="1" x14ac:dyDescent="0.35">
      <c r="A400" s="325">
        <v>196</v>
      </c>
      <c r="B400" s="331" t="s">
        <v>1025</v>
      </c>
      <c r="C400" s="331" t="s">
        <v>230</v>
      </c>
      <c r="D400" s="332" t="s">
        <v>16</v>
      </c>
      <c r="E400" s="331" t="s">
        <v>1025</v>
      </c>
      <c r="F400" s="331"/>
      <c r="G400" s="331" t="s">
        <v>1025</v>
      </c>
      <c r="H400" s="326">
        <f>H398+F399</f>
        <v>75130.428</v>
      </c>
      <c r="I400" s="331">
        <v>484.916</v>
      </c>
      <c r="J400" s="331">
        <v>78.5</v>
      </c>
      <c r="K400" s="331">
        <f>F399+F401</f>
        <v>829</v>
      </c>
      <c r="L400" s="331">
        <f>K400/2</f>
        <v>414.5</v>
      </c>
      <c r="M400" s="331">
        <v>245</v>
      </c>
      <c r="N400" s="331">
        <v>192</v>
      </c>
      <c r="O400" s="331">
        <v>437</v>
      </c>
      <c r="P400" s="331">
        <v>241</v>
      </c>
      <c r="Q400" s="331">
        <v>190</v>
      </c>
      <c r="R400" s="331">
        <v>431</v>
      </c>
      <c r="S400" s="331" t="s">
        <v>1636</v>
      </c>
      <c r="T400" s="331" t="s">
        <v>1637</v>
      </c>
      <c r="U400" s="331">
        <v>585044.60100000002</v>
      </c>
      <c r="V400" s="331">
        <v>2649188.4929999998</v>
      </c>
      <c r="W400" s="331"/>
      <c r="X400" s="315" t="s">
        <v>1573</v>
      </c>
      <c r="Y400" s="315" t="s">
        <v>1573</v>
      </c>
      <c r="Z400" s="335" t="s">
        <v>1574</v>
      </c>
      <c r="AA400" s="344"/>
      <c r="AB400" s="344"/>
      <c r="AC400" s="344"/>
      <c r="AD400" s="345"/>
    </row>
    <row r="401" spans="1:30" s="346" customFormat="1" ht="24.75" customHeight="1" x14ac:dyDescent="0.35">
      <c r="A401" s="314"/>
      <c r="B401" s="331"/>
      <c r="C401" s="331"/>
      <c r="D401" s="332"/>
      <c r="E401" s="331"/>
      <c r="F401" s="331">
        <v>370</v>
      </c>
      <c r="G401" s="331"/>
      <c r="H401" s="317"/>
      <c r="I401" s="331"/>
      <c r="J401" s="331"/>
      <c r="K401" s="331"/>
      <c r="L401" s="331"/>
      <c r="M401" s="331"/>
      <c r="N401" s="331"/>
      <c r="O401" s="331"/>
      <c r="P401" s="331"/>
      <c r="Q401" s="331"/>
      <c r="R401" s="331"/>
      <c r="S401" s="331"/>
      <c r="T401" s="331"/>
      <c r="U401" s="331"/>
      <c r="V401" s="331"/>
      <c r="W401" s="331" t="s">
        <v>1087</v>
      </c>
      <c r="X401" s="323"/>
      <c r="Y401" s="323"/>
      <c r="Z401" s="364"/>
      <c r="AA401" s="344"/>
      <c r="AB401" s="344"/>
      <c r="AC401" s="344"/>
      <c r="AD401" s="345"/>
    </row>
    <row r="402" spans="1:30" s="346" customFormat="1" ht="24.75" customHeight="1" x14ac:dyDescent="0.35">
      <c r="A402" s="325">
        <v>197</v>
      </c>
      <c r="B402" s="331" t="s">
        <v>1025</v>
      </c>
      <c r="C402" s="331" t="s">
        <v>231</v>
      </c>
      <c r="D402" s="332" t="s">
        <v>33</v>
      </c>
      <c r="E402" s="331" t="s">
        <v>1025</v>
      </c>
      <c r="F402" s="331"/>
      <c r="G402" s="331" t="s">
        <v>1025</v>
      </c>
      <c r="H402" s="326">
        <f>H400+F401</f>
        <v>75500.428</v>
      </c>
      <c r="I402" s="331">
        <v>486.70699999999999</v>
      </c>
      <c r="J402" s="331">
        <v>75.5</v>
      </c>
      <c r="K402" s="331">
        <f>F401+F403</f>
        <v>795</v>
      </c>
      <c r="L402" s="331">
        <f>K402/2</f>
        <v>397.5</v>
      </c>
      <c r="M402" s="331">
        <v>179</v>
      </c>
      <c r="N402" s="331">
        <v>195</v>
      </c>
      <c r="O402" s="331">
        <v>374</v>
      </c>
      <c r="P402" s="331">
        <v>181</v>
      </c>
      <c r="Q402" s="331">
        <v>201</v>
      </c>
      <c r="R402" s="331">
        <v>382</v>
      </c>
      <c r="S402" s="331" t="s">
        <v>1638</v>
      </c>
      <c r="T402" s="331" t="s">
        <v>1639</v>
      </c>
      <c r="U402" s="331">
        <v>585404.24300000002</v>
      </c>
      <c r="V402" s="331">
        <v>2649101.5559999999</v>
      </c>
      <c r="W402" s="331"/>
      <c r="X402" s="315" t="s">
        <v>1573</v>
      </c>
      <c r="Y402" s="315" t="s">
        <v>1573</v>
      </c>
      <c r="Z402" s="335" t="s">
        <v>1574</v>
      </c>
      <c r="AA402" s="344"/>
      <c r="AB402" s="344"/>
      <c r="AC402" s="344"/>
      <c r="AD402" s="345"/>
    </row>
    <row r="403" spans="1:30" s="346" customFormat="1" ht="28" x14ac:dyDescent="0.35">
      <c r="A403" s="314"/>
      <c r="B403" s="331"/>
      <c r="C403" s="331"/>
      <c r="D403" s="332"/>
      <c r="E403" s="331"/>
      <c r="F403" s="331">
        <v>425</v>
      </c>
      <c r="G403" s="331"/>
      <c r="H403" s="317"/>
      <c r="I403" s="331"/>
      <c r="J403" s="331"/>
      <c r="K403" s="331"/>
      <c r="L403" s="331"/>
      <c r="M403" s="331"/>
      <c r="N403" s="331"/>
      <c r="O403" s="331"/>
      <c r="P403" s="331"/>
      <c r="Q403" s="331"/>
      <c r="R403" s="331"/>
      <c r="S403" s="331"/>
      <c r="T403" s="331"/>
      <c r="U403" s="331"/>
      <c r="V403" s="331"/>
      <c r="W403" s="331" t="s">
        <v>1640</v>
      </c>
      <c r="X403" s="323"/>
      <c r="Y403" s="323"/>
      <c r="Z403" s="364"/>
      <c r="AA403" s="344"/>
      <c r="AB403" s="344"/>
      <c r="AC403" s="344"/>
      <c r="AD403" s="345"/>
    </row>
    <row r="404" spans="1:30" s="351" customFormat="1" ht="24.75" customHeight="1" x14ac:dyDescent="0.35">
      <c r="A404" s="325">
        <v>198</v>
      </c>
      <c r="B404" s="323" t="s">
        <v>1641</v>
      </c>
      <c r="C404" s="323" t="s">
        <v>232</v>
      </c>
      <c r="D404" s="315" t="s">
        <v>182</v>
      </c>
      <c r="E404" s="323" t="s">
        <v>1642</v>
      </c>
      <c r="F404" s="323"/>
      <c r="G404" s="323">
        <f>SUM(F387:F403)</f>
        <v>3644</v>
      </c>
      <c r="H404" s="326">
        <f>H402+F403</f>
        <v>75925.428</v>
      </c>
      <c r="I404" s="323">
        <v>490.24599999999998</v>
      </c>
      <c r="J404" s="323">
        <v>73.72</v>
      </c>
      <c r="K404" s="323">
        <f>F403+F405</f>
        <v>681</v>
      </c>
      <c r="L404" s="323">
        <f>K404/2</f>
        <v>340.5</v>
      </c>
      <c r="M404" s="323">
        <v>231</v>
      </c>
      <c r="N404" s="323">
        <v>73</v>
      </c>
      <c r="O404" s="323">
        <v>304</v>
      </c>
      <c r="P404" s="323">
        <v>226</v>
      </c>
      <c r="Q404" s="323">
        <v>101</v>
      </c>
      <c r="R404" s="323">
        <v>327</v>
      </c>
      <c r="S404" s="323" t="s">
        <v>1643</v>
      </c>
      <c r="T404" s="323" t="s">
        <v>1644</v>
      </c>
      <c r="U404" s="323">
        <v>585817.67599999998</v>
      </c>
      <c r="V404" s="323">
        <v>2649001.6159999999</v>
      </c>
      <c r="W404" s="323"/>
      <c r="X404" s="315" t="s">
        <v>1573</v>
      </c>
      <c r="Y404" s="315" t="s">
        <v>1573</v>
      </c>
      <c r="Z404" s="322" t="s">
        <v>1574</v>
      </c>
      <c r="AA404" s="349"/>
      <c r="AB404" s="349"/>
      <c r="AC404" s="349"/>
      <c r="AD404" s="350"/>
    </row>
    <row r="405" spans="1:30" s="351" customFormat="1" ht="28" x14ac:dyDescent="0.35">
      <c r="A405" s="314"/>
      <c r="B405" s="323"/>
      <c r="C405" s="323"/>
      <c r="D405" s="315"/>
      <c r="E405" s="323"/>
      <c r="F405" s="323">
        <v>256</v>
      </c>
      <c r="G405" s="323"/>
      <c r="H405" s="317"/>
      <c r="I405" s="323"/>
      <c r="J405" s="323"/>
      <c r="K405" s="323"/>
      <c r="L405" s="323"/>
      <c r="M405" s="323"/>
      <c r="N405" s="323"/>
      <c r="O405" s="323"/>
      <c r="P405" s="323"/>
      <c r="Q405" s="323"/>
      <c r="R405" s="323"/>
      <c r="S405" s="323"/>
      <c r="T405" s="323"/>
      <c r="U405" s="323"/>
      <c r="V405" s="323"/>
      <c r="W405" s="323" t="s">
        <v>2075</v>
      </c>
      <c r="X405" s="323"/>
      <c r="Y405" s="323"/>
      <c r="Z405" s="365"/>
      <c r="AA405" s="349"/>
      <c r="AB405" s="349"/>
      <c r="AC405" s="349"/>
      <c r="AD405" s="350"/>
    </row>
    <row r="406" spans="1:30" s="351" customFormat="1" ht="24.75" customHeight="1" x14ac:dyDescent="0.35">
      <c r="A406" s="325">
        <v>199</v>
      </c>
      <c r="B406" s="323" t="s">
        <v>1645</v>
      </c>
      <c r="C406" s="323" t="s">
        <v>233</v>
      </c>
      <c r="D406" s="315" t="s">
        <v>234</v>
      </c>
      <c r="E406" s="323" t="s">
        <v>1646</v>
      </c>
      <c r="F406" s="323"/>
      <c r="G406" s="323">
        <f>F405</f>
        <v>256</v>
      </c>
      <c r="H406" s="326">
        <f>H404+F405</f>
        <v>76181.428</v>
      </c>
      <c r="I406" s="323">
        <v>492.83300000000003</v>
      </c>
      <c r="J406" s="323">
        <v>76.72</v>
      </c>
      <c r="K406" s="323">
        <f>F405+F407</f>
        <v>699</v>
      </c>
      <c r="L406" s="323">
        <f>K406/2</f>
        <v>349.5</v>
      </c>
      <c r="M406" s="323">
        <v>183</v>
      </c>
      <c r="N406" s="323">
        <v>223</v>
      </c>
      <c r="O406" s="323">
        <v>406</v>
      </c>
      <c r="P406" s="323">
        <v>155</v>
      </c>
      <c r="Q406" s="323">
        <v>223</v>
      </c>
      <c r="R406" s="323">
        <v>378</v>
      </c>
      <c r="S406" s="323" t="s">
        <v>1647</v>
      </c>
      <c r="T406" s="323" t="s">
        <v>1648</v>
      </c>
      <c r="U406" s="323">
        <v>586026.87</v>
      </c>
      <c r="V406" s="323">
        <v>2648854.1179999998</v>
      </c>
      <c r="W406" s="323"/>
      <c r="X406" s="315" t="s">
        <v>1573</v>
      </c>
      <c r="Y406" s="315" t="s">
        <v>1573</v>
      </c>
      <c r="Z406" s="322" t="s">
        <v>1574</v>
      </c>
      <c r="AA406" s="349"/>
      <c r="AB406" s="349"/>
      <c r="AC406" s="349"/>
      <c r="AD406" s="350"/>
    </row>
    <row r="407" spans="1:30" s="351" customFormat="1" ht="28" x14ac:dyDescent="0.35">
      <c r="A407" s="314"/>
      <c r="B407" s="323"/>
      <c r="C407" s="323"/>
      <c r="D407" s="315"/>
      <c r="E407" s="323"/>
      <c r="F407" s="323">
        <v>443</v>
      </c>
      <c r="G407" s="323"/>
      <c r="H407" s="317"/>
      <c r="I407" s="323"/>
      <c r="J407" s="323"/>
      <c r="K407" s="323"/>
      <c r="L407" s="323"/>
      <c r="M407" s="323"/>
      <c r="N407" s="323"/>
      <c r="O407" s="323"/>
      <c r="P407" s="323"/>
      <c r="Q407" s="323"/>
      <c r="R407" s="323"/>
      <c r="S407" s="323"/>
      <c r="T407" s="323"/>
      <c r="U407" s="323"/>
      <c r="V407" s="323"/>
      <c r="W407" s="323" t="s">
        <v>1649</v>
      </c>
      <c r="X407" s="323"/>
      <c r="Y407" s="323"/>
      <c r="Z407" s="365"/>
      <c r="AA407" s="349"/>
      <c r="AB407" s="349"/>
      <c r="AC407" s="349"/>
      <c r="AD407" s="350"/>
    </row>
    <row r="408" spans="1:30" s="351" customFormat="1" ht="24.75" customHeight="1" x14ac:dyDescent="0.35">
      <c r="A408" s="325">
        <v>200</v>
      </c>
      <c r="B408" s="323" t="s">
        <v>1650</v>
      </c>
      <c r="C408" s="323" t="s">
        <v>235</v>
      </c>
      <c r="D408" s="315" t="s">
        <v>236</v>
      </c>
      <c r="E408" s="323" t="s">
        <v>1651</v>
      </c>
      <c r="F408" s="323"/>
      <c r="G408" s="323">
        <f>F407</f>
        <v>443</v>
      </c>
      <c r="H408" s="326">
        <f>H406+F407</f>
        <v>76624.428</v>
      </c>
      <c r="I408" s="323">
        <v>492.49700000000001</v>
      </c>
      <c r="J408" s="323">
        <v>76.72</v>
      </c>
      <c r="K408" s="323">
        <f>F407+F409</f>
        <v>894</v>
      </c>
      <c r="L408" s="323">
        <f>K408/2</f>
        <v>447</v>
      </c>
      <c r="M408" s="323">
        <v>220</v>
      </c>
      <c r="N408" s="323">
        <v>240</v>
      </c>
      <c r="O408" s="323">
        <v>460</v>
      </c>
      <c r="P408" s="323">
        <v>221</v>
      </c>
      <c r="Q408" s="323">
        <v>237</v>
      </c>
      <c r="R408" s="323">
        <v>458</v>
      </c>
      <c r="S408" s="323" t="s">
        <v>1652</v>
      </c>
      <c r="T408" s="323" t="s">
        <v>1653</v>
      </c>
      <c r="U408" s="323">
        <v>586457.28300000005</v>
      </c>
      <c r="V408" s="323">
        <v>2648749.003</v>
      </c>
      <c r="W408" s="323"/>
      <c r="X408" s="315" t="s">
        <v>1573</v>
      </c>
      <c r="Y408" s="315" t="s">
        <v>1573</v>
      </c>
      <c r="Z408" s="322" t="s">
        <v>1574</v>
      </c>
      <c r="AA408" s="349"/>
      <c r="AB408" s="349"/>
      <c r="AC408" s="349"/>
      <c r="AD408" s="350"/>
    </row>
    <row r="409" spans="1:30" s="351" customFormat="1" ht="24.75" customHeight="1" x14ac:dyDescent="0.35">
      <c r="A409" s="314"/>
      <c r="B409" s="323"/>
      <c r="C409" s="323"/>
      <c r="D409" s="315"/>
      <c r="E409" s="323"/>
      <c r="F409" s="323">
        <v>451</v>
      </c>
      <c r="G409" s="323"/>
      <c r="H409" s="317"/>
      <c r="I409" s="323"/>
      <c r="J409" s="323"/>
      <c r="K409" s="323"/>
      <c r="L409" s="323"/>
      <c r="M409" s="323"/>
      <c r="N409" s="323"/>
      <c r="O409" s="323"/>
      <c r="P409" s="323"/>
      <c r="Q409" s="323"/>
      <c r="R409" s="323"/>
      <c r="S409" s="323"/>
      <c r="T409" s="323"/>
      <c r="U409" s="323"/>
      <c r="V409" s="323"/>
      <c r="W409" s="323" t="s">
        <v>1575</v>
      </c>
      <c r="X409" s="323"/>
      <c r="Y409" s="323"/>
      <c r="Z409" s="365"/>
      <c r="AA409" s="349"/>
      <c r="AB409" s="349"/>
      <c r="AC409" s="349"/>
      <c r="AD409" s="350"/>
    </row>
    <row r="410" spans="1:30" s="351" customFormat="1" ht="24.75" customHeight="1" x14ac:dyDescent="0.35">
      <c r="A410" s="325">
        <v>201</v>
      </c>
      <c r="B410" s="323" t="s">
        <v>1025</v>
      </c>
      <c r="C410" s="323" t="s">
        <v>237</v>
      </c>
      <c r="D410" s="315" t="s">
        <v>238</v>
      </c>
      <c r="E410" s="323" t="s">
        <v>1025</v>
      </c>
      <c r="F410" s="323"/>
      <c r="G410" s="323">
        <f>F409</f>
        <v>451</v>
      </c>
      <c r="H410" s="326">
        <f>H408+F409</f>
        <v>77075.428</v>
      </c>
      <c r="I410" s="323">
        <v>492.18099999999998</v>
      </c>
      <c r="J410" s="323">
        <v>73.72</v>
      </c>
      <c r="K410" s="323">
        <f>F409+F411</f>
        <v>871</v>
      </c>
      <c r="L410" s="323">
        <f>K410/2</f>
        <v>435.5</v>
      </c>
      <c r="M410" s="323">
        <v>212</v>
      </c>
      <c r="N410" s="323">
        <v>211</v>
      </c>
      <c r="O410" s="323">
        <v>423</v>
      </c>
      <c r="P410" s="323">
        <v>216</v>
      </c>
      <c r="Q410" s="323">
        <v>212</v>
      </c>
      <c r="R410" s="323">
        <v>428</v>
      </c>
      <c r="S410" s="323" t="s">
        <v>1654</v>
      </c>
      <c r="T410" s="323" t="s">
        <v>1655</v>
      </c>
      <c r="U410" s="323">
        <v>586865.07400000002</v>
      </c>
      <c r="V410" s="323">
        <v>2648556.3689999999</v>
      </c>
      <c r="W410" s="323"/>
      <c r="X410" s="315" t="s">
        <v>1573</v>
      </c>
      <c r="Y410" s="315" t="s">
        <v>1573</v>
      </c>
      <c r="Z410" s="322" t="s">
        <v>1574</v>
      </c>
      <c r="AA410" s="349"/>
      <c r="AB410" s="349"/>
      <c r="AC410" s="349"/>
      <c r="AD410" s="350"/>
    </row>
    <row r="411" spans="1:30" s="351" customFormat="1" ht="24.75" customHeight="1" x14ac:dyDescent="0.35">
      <c r="A411" s="314"/>
      <c r="B411" s="323"/>
      <c r="C411" s="323"/>
      <c r="D411" s="315"/>
      <c r="E411" s="323"/>
      <c r="F411" s="323">
        <v>420</v>
      </c>
      <c r="G411" s="323"/>
      <c r="H411" s="317"/>
      <c r="I411" s="323"/>
      <c r="J411" s="323"/>
      <c r="K411" s="323"/>
      <c r="L411" s="323"/>
      <c r="M411" s="323"/>
      <c r="N411" s="323"/>
      <c r="O411" s="323"/>
      <c r="P411" s="323"/>
      <c r="Q411" s="323"/>
      <c r="R411" s="323"/>
      <c r="S411" s="323"/>
      <c r="T411" s="323"/>
      <c r="U411" s="323"/>
      <c r="V411" s="323"/>
      <c r="W411" s="323" t="s">
        <v>1575</v>
      </c>
      <c r="X411" s="323"/>
      <c r="Y411" s="323"/>
      <c r="Z411" s="365"/>
      <c r="AA411" s="349"/>
      <c r="AB411" s="349"/>
      <c r="AC411" s="349"/>
      <c r="AD411" s="350"/>
    </row>
    <row r="412" spans="1:30" s="351" customFormat="1" ht="24.75" customHeight="1" x14ac:dyDescent="0.35">
      <c r="A412" s="325">
        <v>202</v>
      </c>
      <c r="B412" s="323" t="s">
        <v>1025</v>
      </c>
      <c r="C412" s="323" t="s">
        <v>239</v>
      </c>
      <c r="D412" s="315" t="s">
        <v>33</v>
      </c>
      <c r="E412" s="323" t="s">
        <v>1025</v>
      </c>
      <c r="F412" s="323"/>
      <c r="G412" s="323"/>
      <c r="H412" s="326">
        <f>H410+F411</f>
        <v>77495.428</v>
      </c>
      <c r="I412" s="323">
        <v>491.96699999999998</v>
      </c>
      <c r="J412" s="323">
        <v>75.5</v>
      </c>
      <c r="K412" s="323">
        <f>F411+F413</f>
        <v>838</v>
      </c>
      <c r="L412" s="323">
        <f>K412/2</f>
        <v>419</v>
      </c>
      <c r="M412" s="323">
        <v>209</v>
      </c>
      <c r="N412" s="323">
        <v>188</v>
      </c>
      <c r="O412" s="323">
        <v>397</v>
      </c>
      <c r="P412" s="323">
        <v>210</v>
      </c>
      <c r="Q412" s="323">
        <v>195</v>
      </c>
      <c r="R412" s="323">
        <v>405</v>
      </c>
      <c r="S412" s="323" t="s">
        <v>1656</v>
      </c>
      <c r="T412" s="323" t="s">
        <v>1657</v>
      </c>
      <c r="U412" s="323">
        <v>587244.83499999996</v>
      </c>
      <c r="V412" s="323">
        <v>2648376.977</v>
      </c>
      <c r="W412" s="323"/>
      <c r="X412" s="315" t="s">
        <v>1573</v>
      </c>
      <c r="Y412" s="315" t="s">
        <v>1573</v>
      </c>
      <c r="Z412" s="322" t="s">
        <v>1574</v>
      </c>
      <c r="AA412" s="349"/>
      <c r="AB412" s="349"/>
      <c r="AC412" s="349"/>
      <c r="AD412" s="350"/>
    </row>
    <row r="413" spans="1:30" s="346" customFormat="1" ht="24.75" customHeight="1" x14ac:dyDescent="0.35">
      <c r="A413" s="314"/>
      <c r="B413" s="331"/>
      <c r="C413" s="331"/>
      <c r="D413" s="332"/>
      <c r="E413" s="331"/>
      <c r="F413" s="331">
        <v>418</v>
      </c>
      <c r="G413" s="331"/>
      <c r="H413" s="317"/>
      <c r="I413" s="331"/>
      <c r="J413" s="331"/>
      <c r="K413" s="331"/>
      <c r="L413" s="331"/>
      <c r="M413" s="331"/>
      <c r="N413" s="331"/>
      <c r="O413" s="331"/>
      <c r="P413" s="331"/>
      <c r="Q413" s="331"/>
      <c r="R413" s="331"/>
      <c r="S413" s="331"/>
      <c r="T413" s="331"/>
      <c r="U413" s="331"/>
      <c r="V413" s="331"/>
      <c r="W413" s="331" t="s">
        <v>1090</v>
      </c>
      <c r="X413" s="323"/>
      <c r="Y413" s="323"/>
      <c r="Z413" s="364"/>
      <c r="AA413" s="344"/>
      <c r="AB413" s="344"/>
      <c r="AC413" s="344"/>
      <c r="AD413" s="345"/>
    </row>
    <row r="414" spans="1:30" s="346" customFormat="1" ht="24.75" customHeight="1" x14ac:dyDescent="0.35">
      <c r="A414" s="325">
        <v>203</v>
      </c>
      <c r="B414" s="331" t="s">
        <v>1025</v>
      </c>
      <c r="C414" s="331" t="s">
        <v>240</v>
      </c>
      <c r="D414" s="332" t="s">
        <v>31</v>
      </c>
      <c r="E414" s="331" t="s">
        <v>1025</v>
      </c>
      <c r="F414" s="331"/>
      <c r="G414" s="331" t="s">
        <v>1025</v>
      </c>
      <c r="H414" s="326">
        <f>H412+F413</f>
        <v>77913.428</v>
      </c>
      <c r="I414" s="338">
        <v>499.12</v>
      </c>
      <c r="J414" s="331">
        <v>72.5</v>
      </c>
      <c r="K414" s="331">
        <f>F413+F415</f>
        <v>767</v>
      </c>
      <c r="L414" s="331">
        <f>K414/2</f>
        <v>383.5</v>
      </c>
      <c r="M414" s="331">
        <v>231</v>
      </c>
      <c r="N414" s="331">
        <v>181</v>
      </c>
      <c r="O414" s="331">
        <v>412</v>
      </c>
      <c r="P414" s="331">
        <v>224</v>
      </c>
      <c r="Q414" s="331">
        <v>179</v>
      </c>
      <c r="R414" s="331">
        <v>403</v>
      </c>
      <c r="S414" s="331" t="s">
        <v>1658</v>
      </c>
      <c r="T414" s="331" t="s">
        <v>1659</v>
      </c>
      <c r="U414" s="331">
        <v>587622.78700000001</v>
      </c>
      <c r="V414" s="331">
        <v>2648198.4380000001</v>
      </c>
      <c r="W414" s="331"/>
      <c r="X414" s="315" t="s">
        <v>1573</v>
      </c>
      <c r="Y414" s="315" t="s">
        <v>1573</v>
      </c>
      <c r="Z414" s="335" t="s">
        <v>1574</v>
      </c>
      <c r="AA414" s="344"/>
      <c r="AB414" s="344"/>
      <c r="AC414" s="344"/>
      <c r="AD414" s="345"/>
    </row>
    <row r="415" spans="1:30" s="346" customFormat="1" ht="24.75" customHeight="1" x14ac:dyDescent="0.35">
      <c r="A415" s="314"/>
      <c r="B415" s="331"/>
      <c r="C415" s="331"/>
      <c r="D415" s="332"/>
      <c r="E415" s="331"/>
      <c r="F415" s="331">
        <v>349</v>
      </c>
      <c r="G415" s="331"/>
      <c r="H415" s="317"/>
      <c r="I415" s="331"/>
      <c r="J415" s="331"/>
      <c r="K415" s="331"/>
      <c r="L415" s="331"/>
      <c r="M415" s="331"/>
      <c r="N415" s="331"/>
      <c r="O415" s="331"/>
      <c r="P415" s="331"/>
      <c r="Q415" s="331"/>
      <c r="R415" s="331"/>
      <c r="S415" s="331"/>
      <c r="T415" s="331"/>
      <c r="U415" s="331"/>
      <c r="V415" s="331"/>
      <c r="W415" s="331" t="s">
        <v>1087</v>
      </c>
      <c r="X415" s="323"/>
      <c r="Y415" s="323"/>
      <c r="Z415" s="364"/>
      <c r="AA415" s="344"/>
      <c r="AB415" s="344"/>
      <c r="AC415" s="344"/>
      <c r="AD415" s="345"/>
    </row>
    <row r="416" spans="1:30" s="346" customFormat="1" ht="24.75" customHeight="1" x14ac:dyDescent="0.35">
      <c r="A416" s="325">
        <v>204</v>
      </c>
      <c r="B416" s="315" t="s">
        <v>1660</v>
      </c>
      <c r="C416" s="315" t="s">
        <v>241</v>
      </c>
      <c r="D416" s="315" t="s">
        <v>18</v>
      </c>
      <c r="E416" s="315" t="s">
        <v>1661</v>
      </c>
      <c r="F416" s="316"/>
      <c r="G416" s="315">
        <f>SUM(F411:F415)</f>
        <v>1187</v>
      </c>
      <c r="H416" s="326">
        <f>H414+F415</f>
        <v>78262.428</v>
      </c>
      <c r="I416" s="316">
        <v>498.14800000000002</v>
      </c>
      <c r="J416" s="315">
        <v>70.72</v>
      </c>
      <c r="K416" s="316">
        <v>756.01499999999999</v>
      </c>
      <c r="L416" s="316">
        <v>378.00749999999999</v>
      </c>
      <c r="M416" s="315">
        <v>169</v>
      </c>
      <c r="N416" s="315">
        <v>216</v>
      </c>
      <c r="O416" s="315">
        <v>385</v>
      </c>
      <c r="P416" s="315">
        <v>171</v>
      </c>
      <c r="Q416" s="315">
        <v>213</v>
      </c>
      <c r="R416" s="315">
        <v>384</v>
      </c>
      <c r="S416" s="315" t="s">
        <v>2076</v>
      </c>
      <c r="T416" s="315" t="s">
        <v>2077</v>
      </c>
      <c r="U416" s="318">
        <v>587938.36399999994</v>
      </c>
      <c r="V416" s="318">
        <v>2648049.3650000002</v>
      </c>
      <c r="W416" s="320"/>
      <c r="X416" s="315" t="s">
        <v>1573</v>
      </c>
      <c r="Y416" s="315" t="s">
        <v>1573</v>
      </c>
      <c r="Z416" s="335" t="s">
        <v>1574</v>
      </c>
      <c r="AA416" s="344"/>
      <c r="AB416" s="344"/>
      <c r="AC416" s="344"/>
      <c r="AD416" s="345"/>
    </row>
    <row r="417" spans="1:30" s="346" customFormat="1" ht="24.75" customHeight="1" x14ac:dyDescent="0.35">
      <c r="A417" s="314"/>
      <c r="B417" s="315"/>
      <c r="C417" s="315"/>
      <c r="D417" s="315"/>
      <c r="E417" s="315"/>
      <c r="F417" s="363">
        <v>407</v>
      </c>
      <c r="G417" s="315"/>
      <c r="H417" s="317"/>
      <c r="I417" s="316"/>
      <c r="J417" s="316"/>
      <c r="K417" s="316"/>
      <c r="L417" s="316"/>
      <c r="M417" s="315"/>
      <c r="N417" s="315"/>
      <c r="O417" s="315"/>
      <c r="P417" s="315"/>
      <c r="Q417" s="315"/>
      <c r="R417" s="315"/>
      <c r="S417" s="315"/>
      <c r="T417" s="315"/>
      <c r="U417" s="318"/>
      <c r="V417" s="318"/>
      <c r="W417" s="320" t="s">
        <v>1662</v>
      </c>
      <c r="X417" s="323"/>
      <c r="Y417" s="323"/>
      <c r="Z417" s="364"/>
      <c r="AA417" s="344"/>
      <c r="AB417" s="344"/>
      <c r="AC417" s="344"/>
      <c r="AD417" s="345"/>
    </row>
    <row r="418" spans="1:30" s="346" customFormat="1" ht="24.75" customHeight="1" x14ac:dyDescent="0.35">
      <c r="A418" s="325">
        <v>205</v>
      </c>
      <c r="B418" s="315" t="s">
        <v>1025</v>
      </c>
      <c r="C418" s="315" t="s">
        <v>242</v>
      </c>
      <c r="D418" s="315" t="s">
        <v>23</v>
      </c>
      <c r="E418" s="315" t="s">
        <v>1025</v>
      </c>
      <c r="F418" s="363"/>
      <c r="G418" s="315" t="s">
        <v>1025</v>
      </c>
      <c r="H418" s="326">
        <f>H416+F417</f>
        <v>78669.428</v>
      </c>
      <c r="I418" s="316">
        <v>498.83600000000001</v>
      </c>
      <c r="J418" s="316">
        <v>69.5</v>
      </c>
      <c r="K418" s="316">
        <v>730</v>
      </c>
      <c r="L418" s="316">
        <v>365</v>
      </c>
      <c r="M418" s="315">
        <v>192</v>
      </c>
      <c r="N418" s="315">
        <v>147</v>
      </c>
      <c r="O418" s="315">
        <v>339</v>
      </c>
      <c r="P418" s="315">
        <v>196</v>
      </c>
      <c r="Q418" s="315">
        <v>152</v>
      </c>
      <c r="R418" s="315">
        <v>348</v>
      </c>
      <c r="S418" s="315" t="s">
        <v>2078</v>
      </c>
      <c r="T418" s="315" t="s">
        <v>2079</v>
      </c>
      <c r="U418" s="318">
        <v>588215.74399999995</v>
      </c>
      <c r="V418" s="318">
        <v>2647751.5240000002</v>
      </c>
      <c r="W418" s="320"/>
      <c r="X418" s="315" t="s">
        <v>1663</v>
      </c>
      <c r="Y418" s="315" t="s">
        <v>1573</v>
      </c>
      <c r="Z418" s="335" t="s">
        <v>1574</v>
      </c>
      <c r="AA418" s="344"/>
      <c r="AB418" s="344"/>
      <c r="AC418" s="344"/>
      <c r="AD418" s="345"/>
    </row>
    <row r="419" spans="1:30" s="346" customFormat="1" ht="24.75" customHeight="1" x14ac:dyDescent="0.35">
      <c r="A419" s="314"/>
      <c r="B419" s="315"/>
      <c r="C419" s="315"/>
      <c r="D419" s="315"/>
      <c r="E419" s="315"/>
      <c r="F419" s="363">
        <v>323</v>
      </c>
      <c r="G419" s="315"/>
      <c r="H419" s="317"/>
      <c r="I419" s="316"/>
      <c r="J419" s="316"/>
      <c r="K419" s="316"/>
      <c r="L419" s="316"/>
      <c r="M419" s="315"/>
      <c r="N419" s="315"/>
      <c r="O419" s="315"/>
      <c r="P419" s="315"/>
      <c r="Q419" s="315"/>
      <c r="R419" s="315"/>
      <c r="S419" s="315"/>
      <c r="T419" s="315"/>
      <c r="U419" s="318"/>
      <c r="V419" s="318"/>
      <c r="W419" s="320"/>
      <c r="X419" s="323"/>
      <c r="Y419" s="323"/>
      <c r="Z419" s="364"/>
      <c r="AA419" s="344"/>
      <c r="AB419" s="344"/>
      <c r="AC419" s="344"/>
      <c r="AD419" s="345"/>
    </row>
    <row r="420" spans="1:30" s="346" customFormat="1" ht="24.75" customHeight="1" x14ac:dyDescent="0.35">
      <c r="A420" s="325">
        <v>206</v>
      </c>
      <c r="B420" s="315" t="s">
        <v>1025</v>
      </c>
      <c r="C420" s="315" t="s">
        <v>243</v>
      </c>
      <c r="D420" s="315" t="s">
        <v>31</v>
      </c>
      <c r="E420" s="315" t="s">
        <v>1025</v>
      </c>
      <c r="F420" s="363"/>
      <c r="G420" s="315" t="s">
        <v>1025</v>
      </c>
      <c r="H420" s="326">
        <f>H418+F419</f>
        <v>78992.428</v>
      </c>
      <c r="I420" s="316">
        <v>498.06799999999998</v>
      </c>
      <c r="J420" s="331">
        <v>72.5</v>
      </c>
      <c r="K420" s="316">
        <v>742</v>
      </c>
      <c r="L420" s="316">
        <v>371</v>
      </c>
      <c r="M420" s="315">
        <v>177</v>
      </c>
      <c r="N420" s="315">
        <v>184</v>
      </c>
      <c r="O420" s="315">
        <v>361</v>
      </c>
      <c r="P420" s="315">
        <v>172</v>
      </c>
      <c r="Q420" s="315">
        <v>192</v>
      </c>
      <c r="R420" s="315">
        <v>364</v>
      </c>
      <c r="S420" s="315" t="s">
        <v>2080</v>
      </c>
      <c r="T420" s="315" t="s">
        <v>2081</v>
      </c>
      <c r="U420" s="318">
        <v>588435.87600000005</v>
      </c>
      <c r="V420" s="318">
        <v>2647515.1529999999</v>
      </c>
      <c r="W420" s="320"/>
      <c r="X420" s="315" t="s">
        <v>1663</v>
      </c>
      <c r="Y420" s="315" t="s">
        <v>1573</v>
      </c>
      <c r="Z420" s="335" t="s">
        <v>1574</v>
      </c>
      <c r="AA420" s="344"/>
      <c r="AB420" s="344"/>
      <c r="AC420" s="344"/>
      <c r="AD420" s="345"/>
    </row>
    <row r="421" spans="1:30" s="346" customFormat="1" ht="24.75" customHeight="1" x14ac:dyDescent="0.35">
      <c r="A421" s="314"/>
      <c r="B421" s="315"/>
      <c r="C421" s="315"/>
      <c r="D421" s="315"/>
      <c r="E421" s="315"/>
      <c r="F421" s="363">
        <v>419</v>
      </c>
      <c r="G421" s="315"/>
      <c r="H421" s="317"/>
      <c r="I421" s="316"/>
      <c r="J421" s="316"/>
      <c r="K421" s="316"/>
      <c r="L421" s="316"/>
      <c r="M421" s="315"/>
      <c r="N421" s="315"/>
      <c r="O421" s="315"/>
      <c r="P421" s="315"/>
      <c r="Q421" s="315"/>
      <c r="R421" s="315"/>
      <c r="S421" s="315"/>
      <c r="T421" s="315"/>
      <c r="U421" s="318"/>
      <c r="V421" s="318"/>
      <c r="W421" s="320" t="s">
        <v>1664</v>
      </c>
      <c r="X421" s="323"/>
      <c r="Y421" s="323"/>
      <c r="Z421" s="364"/>
      <c r="AA421" s="344"/>
      <c r="AB421" s="344"/>
      <c r="AC421" s="344"/>
      <c r="AD421" s="345"/>
    </row>
    <row r="422" spans="1:30" s="346" customFormat="1" ht="24.75" customHeight="1" x14ac:dyDescent="0.35">
      <c r="A422" s="325">
        <v>207</v>
      </c>
      <c r="B422" s="315" t="s">
        <v>1025</v>
      </c>
      <c r="C422" s="315" t="s">
        <v>244</v>
      </c>
      <c r="D422" s="315" t="s">
        <v>31</v>
      </c>
      <c r="E422" s="315" t="s">
        <v>1025</v>
      </c>
      <c r="F422" s="363"/>
      <c r="G422" s="315" t="s">
        <v>1025</v>
      </c>
      <c r="H422" s="326">
        <f>H420+F421</f>
        <v>79411.428</v>
      </c>
      <c r="I422" s="316">
        <v>503.173</v>
      </c>
      <c r="J422" s="331">
        <v>72.5</v>
      </c>
      <c r="K422" s="316">
        <v>821</v>
      </c>
      <c r="L422" s="316">
        <v>410.5</v>
      </c>
      <c r="M422" s="315">
        <v>236</v>
      </c>
      <c r="N422" s="315">
        <v>186</v>
      </c>
      <c r="O422" s="315">
        <v>422</v>
      </c>
      <c r="P422" s="315">
        <v>228</v>
      </c>
      <c r="Q422" s="315">
        <v>191</v>
      </c>
      <c r="R422" s="315">
        <v>419</v>
      </c>
      <c r="S422" s="315" t="s">
        <v>2082</v>
      </c>
      <c r="T422" s="315" t="s">
        <v>2083</v>
      </c>
      <c r="U422" s="318">
        <v>588721.43400000001</v>
      </c>
      <c r="V422" s="318">
        <v>2647208.531</v>
      </c>
      <c r="W422" s="320"/>
      <c r="X422" s="315" t="s">
        <v>1663</v>
      </c>
      <c r="Y422" s="315" t="s">
        <v>1573</v>
      </c>
      <c r="Z422" s="335" t="s">
        <v>1574</v>
      </c>
      <c r="AA422" s="344"/>
      <c r="AB422" s="344"/>
      <c r="AC422" s="344"/>
      <c r="AD422" s="345"/>
    </row>
    <row r="423" spans="1:30" s="346" customFormat="1" ht="24.75" customHeight="1" x14ac:dyDescent="0.35">
      <c r="A423" s="314"/>
      <c r="B423" s="315"/>
      <c r="C423" s="315"/>
      <c r="D423" s="315"/>
      <c r="E423" s="315"/>
      <c r="F423" s="363">
        <v>402</v>
      </c>
      <c r="G423" s="315"/>
      <c r="H423" s="317"/>
      <c r="I423" s="316"/>
      <c r="J423" s="316"/>
      <c r="K423" s="316"/>
      <c r="L423" s="316"/>
      <c r="M423" s="315"/>
      <c r="N423" s="315"/>
      <c r="O423" s="315"/>
      <c r="P423" s="315"/>
      <c r="Q423" s="315"/>
      <c r="R423" s="315"/>
      <c r="S423" s="315"/>
      <c r="T423" s="315"/>
      <c r="U423" s="318"/>
      <c r="V423" s="318"/>
      <c r="W423" s="320" t="s">
        <v>1665</v>
      </c>
      <c r="X423" s="323"/>
      <c r="Y423" s="323"/>
      <c r="Z423" s="364"/>
      <c r="AA423" s="344"/>
      <c r="AB423" s="344"/>
      <c r="AC423" s="344"/>
      <c r="AD423" s="345"/>
    </row>
    <row r="424" spans="1:30" s="346" customFormat="1" ht="24.75" customHeight="1" x14ac:dyDescent="0.35">
      <c r="A424" s="325">
        <v>208</v>
      </c>
      <c r="B424" s="315" t="s">
        <v>1025</v>
      </c>
      <c r="C424" s="315" t="s">
        <v>245</v>
      </c>
      <c r="D424" s="315" t="s">
        <v>35</v>
      </c>
      <c r="E424" s="315" t="s">
        <v>1025</v>
      </c>
      <c r="F424" s="316"/>
      <c r="G424" s="315" t="s">
        <v>1025</v>
      </c>
      <c r="H424" s="326">
        <f>H422+F423</f>
        <v>79813.428</v>
      </c>
      <c r="I424" s="316">
        <v>504.47199999999998</v>
      </c>
      <c r="J424" s="331">
        <v>74</v>
      </c>
      <c r="K424" s="316">
        <v>804.30600000000004</v>
      </c>
      <c r="L424" s="316">
        <v>402.15300000000002</v>
      </c>
      <c r="M424" s="315">
        <v>216</v>
      </c>
      <c r="N424" s="315">
        <v>219</v>
      </c>
      <c r="O424" s="315">
        <v>435</v>
      </c>
      <c r="P424" s="315">
        <v>212</v>
      </c>
      <c r="Q424" s="315">
        <v>214</v>
      </c>
      <c r="R424" s="315">
        <v>426</v>
      </c>
      <c r="S424" s="315" t="s">
        <v>2084</v>
      </c>
      <c r="T424" s="315" t="s">
        <v>2085</v>
      </c>
      <c r="U424" s="318">
        <v>588995.40599999996</v>
      </c>
      <c r="V424" s="318">
        <v>2646914.3480000002</v>
      </c>
      <c r="W424" s="320"/>
      <c r="X424" s="315" t="s">
        <v>1666</v>
      </c>
      <c r="Y424" s="315" t="s">
        <v>1573</v>
      </c>
      <c r="Z424" s="335" t="s">
        <v>1574</v>
      </c>
      <c r="AA424" s="344"/>
      <c r="AB424" s="344"/>
      <c r="AC424" s="344"/>
      <c r="AD424" s="345"/>
    </row>
    <row r="425" spans="1:30" s="346" customFormat="1" ht="24.75" customHeight="1" x14ac:dyDescent="0.35">
      <c r="A425" s="314"/>
      <c r="B425" s="315"/>
      <c r="C425" s="315"/>
      <c r="D425" s="315"/>
      <c r="E425" s="315"/>
      <c r="F425" s="363">
        <v>402.30599999999998</v>
      </c>
      <c r="G425" s="315"/>
      <c r="H425" s="317"/>
      <c r="I425" s="316"/>
      <c r="J425" s="316"/>
      <c r="K425" s="316"/>
      <c r="L425" s="316"/>
      <c r="M425" s="315"/>
      <c r="N425" s="315"/>
      <c r="O425" s="315"/>
      <c r="P425" s="315"/>
      <c r="Q425" s="315"/>
      <c r="R425" s="315"/>
      <c r="S425" s="315"/>
      <c r="T425" s="315"/>
      <c r="U425" s="318"/>
      <c r="V425" s="318"/>
      <c r="W425" s="320" t="s">
        <v>1667</v>
      </c>
      <c r="X425" s="323"/>
      <c r="Y425" s="323"/>
      <c r="Z425" s="364"/>
      <c r="AA425" s="344"/>
      <c r="AB425" s="344"/>
      <c r="AC425" s="344"/>
      <c r="AD425" s="345"/>
    </row>
    <row r="426" spans="1:30" s="346" customFormat="1" ht="24.75" customHeight="1" x14ac:dyDescent="0.35">
      <c r="A426" s="325">
        <v>209</v>
      </c>
      <c r="B426" s="315" t="s">
        <v>1668</v>
      </c>
      <c r="C426" s="315" t="s">
        <v>246</v>
      </c>
      <c r="D426" s="315" t="s">
        <v>40</v>
      </c>
      <c r="E426" s="315" t="s">
        <v>1669</v>
      </c>
      <c r="F426" s="316"/>
      <c r="G426" s="315">
        <v>1953.31</v>
      </c>
      <c r="H426" s="326">
        <f>H424+F425</f>
        <v>80215.733999999997</v>
      </c>
      <c r="I426" s="316">
        <v>502.71</v>
      </c>
      <c r="J426" s="315">
        <v>70.72</v>
      </c>
      <c r="K426" s="316">
        <v>818.30600000000004</v>
      </c>
      <c r="L426" s="316">
        <v>409.15300000000002</v>
      </c>
      <c r="M426" s="315">
        <v>184</v>
      </c>
      <c r="N426" s="315">
        <v>233</v>
      </c>
      <c r="O426" s="315">
        <v>417</v>
      </c>
      <c r="P426" s="315">
        <v>190</v>
      </c>
      <c r="Q426" s="315">
        <v>226</v>
      </c>
      <c r="R426" s="315">
        <v>416</v>
      </c>
      <c r="S426" s="315" t="s">
        <v>2086</v>
      </c>
      <c r="T426" s="315" t="s">
        <v>2087</v>
      </c>
      <c r="U426" s="318">
        <v>589269.58700000006</v>
      </c>
      <c r="V426" s="318">
        <v>2646619.9419999998</v>
      </c>
      <c r="W426" s="320"/>
      <c r="X426" s="315" t="s">
        <v>1670</v>
      </c>
      <c r="Y426" s="315" t="s">
        <v>1573</v>
      </c>
      <c r="Z426" s="335" t="s">
        <v>1574</v>
      </c>
      <c r="AA426" s="344"/>
      <c r="AB426" s="344"/>
      <c r="AC426" s="344"/>
      <c r="AD426" s="345"/>
    </row>
    <row r="427" spans="1:30" s="346" customFormat="1" ht="24.75" customHeight="1" x14ac:dyDescent="0.35">
      <c r="A427" s="314"/>
      <c r="B427" s="315"/>
      <c r="C427" s="315"/>
      <c r="D427" s="315"/>
      <c r="E427" s="315"/>
      <c r="F427" s="363">
        <v>416</v>
      </c>
      <c r="G427" s="315"/>
      <c r="H427" s="317"/>
      <c r="I427" s="316"/>
      <c r="J427" s="316"/>
      <c r="K427" s="316"/>
      <c r="L427" s="316"/>
      <c r="M427" s="315"/>
      <c r="N427" s="315"/>
      <c r="O427" s="315"/>
      <c r="P427" s="315"/>
      <c r="Q427" s="315"/>
      <c r="R427" s="315"/>
      <c r="S427" s="315"/>
      <c r="T427" s="315"/>
      <c r="U427" s="318"/>
      <c r="V427" s="318"/>
      <c r="W427" s="320" t="s">
        <v>1671</v>
      </c>
      <c r="X427" s="323"/>
      <c r="Y427" s="323"/>
      <c r="Z427" s="364"/>
      <c r="AA427" s="344"/>
      <c r="AB427" s="344"/>
      <c r="AC427" s="344"/>
      <c r="AD427" s="345"/>
    </row>
    <row r="428" spans="1:30" s="346" customFormat="1" ht="24.75" customHeight="1" x14ac:dyDescent="0.35">
      <c r="A428" s="325">
        <v>210</v>
      </c>
      <c r="B428" s="315" t="s">
        <v>1025</v>
      </c>
      <c r="C428" s="315" t="s">
        <v>247</v>
      </c>
      <c r="D428" s="315" t="s">
        <v>35</v>
      </c>
      <c r="E428" s="315" t="s">
        <v>1025</v>
      </c>
      <c r="F428" s="363"/>
      <c r="G428" s="315" t="s">
        <v>1025</v>
      </c>
      <c r="H428" s="326">
        <f>H426+F427</f>
        <v>80631.733999999997</v>
      </c>
      <c r="I428" s="316">
        <v>496.255</v>
      </c>
      <c r="J428" s="331">
        <v>74</v>
      </c>
      <c r="K428" s="316">
        <v>834.75199999999995</v>
      </c>
      <c r="L428" s="316">
        <v>417.37599999999998</v>
      </c>
      <c r="M428" s="315">
        <v>184</v>
      </c>
      <c r="N428" s="315">
        <v>217</v>
      </c>
      <c r="O428" s="315">
        <v>401</v>
      </c>
      <c r="P428" s="315">
        <v>191</v>
      </c>
      <c r="Q428" s="315">
        <v>215</v>
      </c>
      <c r="R428" s="315">
        <v>406</v>
      </c>
      <c r="S428" s="315" t="s">
        <v>2088</v>
      </c>
      <c r="T428" s="315" t="s">
        <v>2089</v>
      </c>
      <c r="U428" s="318">
        <v>589652.54</v>
      </c>
      <c r="V428" s="318">
        <v>2646457.4509999999</v>
      </c>
      <c r="W428" s="366" t="s">
        <v>1672</v>
      </c>
      <c r="X428" s="315" t="s">
        <v>1670</v>
      </c>
      <c r="Y428" s="315" t="s">
        <v>1573</v>
      </c>
      <c r="Z428" s="335" t="s">
        <v>1574</v>
      </c>
      <c r="AA428" s="347">
        <v>2.5</v>
      </c>
      <c r="AB428" s="347">
        <v>1</v>
      </c>
      <c r="AC428" s="347">
        <v>0</v>
      </c>
      <c r="AD428" s="348">
        <v>0.5</v>
      </c>
    </row>
    <row r="429" spans="1:30" s="346" customFormat="1" ht="24.75" customHeight="1" x14ac:dyDescent="0.35">
      <c r="A429" s="314"/>
      <c r="B429" s="315"/>
      <c r="C429" s="315"/>
      <c r="D429" s="315"/>
      <c r="E429" s="315"/>
      <c r="F429" s="363">
        <v>418.75200000000001</v>
      </c>
      <c r="G429" s="315"/>
      <c r="H429" s="317"/>
      <c r="I429" s="316"/>
      <c r="J429" s="316"/>
      <c r="K429" s="316"/>
      <c r="L429" s="316"/>
      <c r="M429" s="315"/>
      <c r="N429" s="315"/>
      <c r="O429" s="315"/>
      <c r="P429" s="315"/>
      <c r="Q429" s="315"/>
      <c r="R429" s="315"/>
      <c r="S429" s="315"/>
      <c r="T429" s="315"/>
      <c r="U429" s="318"/>
      <c r="V429" s="318"/>
      <c r="W429" s="320"/>
      <c r="X429" s="323"/>
      <c r="Y429" s="323"/>
      <c r="Z429" s="364"/>
      <c r="AA429" s="344"/>
      <c r="AB429" s="344"/>
      <c r="AC429" s="344"/>
      <c r="AD429" s="345"/>
    </row>
    <row r="430" spans="1:30" s="346" customFormat="1" ht="24.75" customHeight="1" x14ac:dyDescent="0.35">
      <c r="A430" s="325">
        <v>211</v>
      </c>
      <c r="B430" s="315" t="s">
        <v>1673</v>
      </c>
      <c r="C430" s="315" t="s">
        <v>248</v>
      </c>
      <c r="D430" s="315" t="s">
        <v>115</v>
      </c>
      <c r="E430" s="315" t="s">
        <v>1674</v>
      </c>
      <c r="F430" s="363"/>
      <c r="G430" s="315">
        <v>834.75</v>
      </c>
      <c r="H430" s="326">
        <f>H428+F429</f>
        <v>81050.48599999999</v>
      </c>
      <c r="I430" s="316">
        <v>496.24</v>
      </c>
      <c r="J430" s="315">
        <v>70.72</v>
      </c>
      <c r="K430" s="316">
        <v>795.75199999999995</v>
      </c>
      <c r="L430" s="316">
        <v>397.87599999999998</v>
      </c>
      <c r="M430" s="315">
        <v>202</v>
      </c>
      <c r="N430" s="315">
        <v>193</v>
      </c>
      <c r="O430" s="315">
        <v>395</v>
      </c>
      <c r="P430" s="315">
        <v>205</v>
      </c>
      <c r="Q430" s="315">
        <v>192</v>
      </c>
      <c r="R430" s="315">
        <v>397</v>
      </c>
      <c r="S430" s="315" t="s">
        <v>2090</v>
      </c>
      <c r="T430" s="315" t="s">
        <v>2091</v>
      </c>
      <c r="U430" s="318">
        <v>590038.02599999995</v>
      </c>
      <c r="V430" s="318">
        <v>2646293.8859999999</v>
      </c>
      <c r="W430" s="366"/>
      <c r="X430" s="315" t="s">
        <v>1573</v>
      </c>
      <c r="Y430" s="315" t="s">
        <v>1573</v>
      </c>
      <c r="Z430" s="335" t="s">
        <v>1574</v>
      </c>
      <c r="AA430" s="344"/>
      <c r="AB430" s="344"/>
      <c r="AC430" s="344"/>
      <c r="AD430" s="345"/>
    </row>
    <row r="431" spans="1:30" s="346" customFormat="1" ht="24.75" customHeight="1" x14ac:dyDescent="0.35">
      <c r="A431" s="314"/>
      <c r="B431" s="315"/>
      <c r="C431" s="315"/>
      <c r="D431" s="315"/>
      <c r="E431" s="315"/>
      <c r="F431" s="363">
        <v>377</v>
      </c>
      <c r="G431" s="315"/>
      <c r="H431" s="317"/>
      <c r="I431" s="316"/>
      <c r="J431" s="316"/>
      <c r="K431" s="316"/>
      <c r="L431" s="316"/>
      <c r="M431" s="315"/>
      <c r="N431" s="315"/>
      <c r="O431" s="315"/>
      <c r="P431" s="315"/>
      <c r="Q431" s="315"/>
      <c r="R431" s="315"/>
      <c r="S431" s="315"/>
      <c r="T431" s="315"/>
      <c r="U431" s="318"/>
      <c r="V431" s="318"/>
      <c r="W431" s="320"/>
      <c r="X431" s="323"/>
      <c r="Y431" s="323"/>
      <c r="Z431" s="364"/>
      <c r="AA431" s="344"/>
      <c r="AB431" s="344"/>
      <c r="AC431" s="344"/>
      <c r="AD431" s="345"/>
    </row>
    <row r="432" spans="1:30" s="346" customFormat="1" ht="24.75" customHeight="1" x14ac:dyDescent="0.35">
      <c r="A432" s="325">
        <v>212</v>
      </c>
      <c r="B432" s="315" t="s">
        <v>1025</v>
      </c>
      <c r="C432" s="315" t="s">
        <v>249</v>
      </c>
      <c r="D432" s="315" t="s">
        <v>35</v>
      </c>
      <c r="E432" s="315" t="s">
        <v>1025</v>
      </c>
      <c r="F432" s="363"/>
      <c r="G432" s="315" t="s">
        <v>1025</v>
      </c>
      <c r="H432" s="326">
        <f>H430+F431</f>
        <v>81427.48599999999</v>
      </c>
      <c r="I432" s="316">
        <v>494.03300000000002</v>
      </c>
      <c r="J432" s="331">
        <v>74</v>
      </c>
      <c r="K432" s="316">
        <v>817</v>
      </c>
      <c r="L432" s="316">
        <v>408.5</v>
      </c>
      <c r="M432" s="315">
        <v>185</v>
      </c>
      <c r="N432" s="315">
        <v>279</v>
      </c>
      <c r="O432" s="315">
        <v>464</v>
      </c>
      <c r="P432" s="315">
        <v>186</v>
      </c>
      <c r="Q432" s="315">
        <v>262</v>
      </c>
      <c r="R432" s="315">
        <v>448</v>
      </c>
      <c r="S432" s="315" t="s">
        <v>2092</v>
      </c>
      <c r="T432" s="315" t="s">
        <v>2093</v>
      </c>
      <c r="U432" s="318">
        <v>590411.35600000003</v>
      </c>
      <c r="V432" s="318">
        <v>2646346.3650000002</v>
      </c>
      <c r="W432" s="366" t="s">
        <v>1672</v>
      </c>
      <c r="X432" s="315" t="s">
        <v>1573</v>
      </c>
      <c r="Y432" s="315" t="s">
        <v>1573</v>
      </c>
      <c r="Z432" s="335" t="s">
        <v>1574</v>
      </c>
      <c r="AA432" s="281">
        <v>1</v>
      </c>
      <c r="AB432" s="281">
        <v>1.5</v>
      </c>
      <c r="AC432" s="281">
        <v>0</v>
      </c>
      <c r="AD432" s="282">
        <v>0</v>
      </c>
    </row>
    <row r="433" spans="1:30" s="346" customFormat="1" ht="24.75" customHeight="1" x14ac:dyDescent="0.35">
      <c r="A433" s="314"/>
      <c r="B433" s="315"/>
      <c r="C433" s="315"/>
      <c r="D433" s="315"/>
      <c r="E433" s="315"/>
      <c r="F433" s="363">
        <v>440</v>
      </c>
      <c r="G433" s="315"/>
      <c r="H433" s="317"/>
      <c r="I433" s="316"/>
      <c r="J433" s="316"/>
      <c r="K433" s="316"/>
      <c r="L433" s="316"/>
      <c r="M433" s="315"/>
      <c r="N433" s="315"/>
      <c r="O433" s="315"/>
      <c r="P433" s="315"/>
      <c r="Q433" s="315"/>
      <c r="R433" s="315"/>
      <c r="S433" s="315"/>
      <c r="T433" s="315"/>
      <c r="U433" s="318"/>
      <c r="V433" s="318"/>
      <c r="W433" s="320"/>
      <c r="X433" s="323"/>
      <c r="Y433" s="323"/>
      <c r="Z433" s="364"/>
      <c r="AA433" s="344"/>
      <c r="AB433" s="344"/>
      <c r="AC433" s="344"/>
      <c r="AD433" s="345"/>
    </row>
    <row r="434" spans="1:30" s="346" customFormat="1" ht="24.75" customHeight="1" x14ac:dyDescent="0.35">
      <c r="A434" s="325">
        <v>213</v>
      </c>
      <c r="B434" s="315" t="s">
        <v>1025</v>
      </c>
      <c r="C434" s="315" t="s">
        <v>250</v>
      </c>
      <c r="D434" s="315" t="s">
        <v>33</v>
      </c>
      <c r="E434" s="315" t="s">
        <v>1025</v>
      </c>
      <c r="F434" s="363"/>
      <c r="G434" s="315" t="s">
        <v>1025</v>
      </c>
      <c r="H434" s="326">
        <f>H432+F433</f>
        <v>81867.48599999999</v>
      </c>
      <c r="I434" s="316">
        <v>480.38</v>
      </c>
      <c r="J434" s="331">
        <v>75.5</v>
      </c>
      <c r="K434" s="316">
        <v>840.28</v>
      </c>
      <c r="L434" s="316">
        <v>420.14</v>
      </c>
      <c r="M434" s="315">
        <v>162</v>
      </c>
      <c r="N434" s="315">
        <v>237</v>
      </c>
      <c r="O434" s="315">
        <v>399</v>
      </c>
      <c r="P434" s="315">
        <v>180</v>
      </c>
      <c r="Q434" s="315">
        <v>226</v>
      </c>
      <c r="R434" s="315">
        <v>406</v>
      </c>
      <c r="S434" s="315" t="s">
        <v>2094</v>
      </c>
      <c r="T434" s="315" t="s">
        <v>2095</v>
      </c>
      <c r="U434" s="318">
        <v>590847.07200000004</v>
      </c>
      <c r="V434" s="318">
        <v>2646407.6129999999</v>
      </c>
      <c r="W434" s="320"/>
      <c r="X434" s="315" t="s">
        <v>1675</v>
      </c>
      <c r="Y434" s="315" t="s">
        <v>1573</v>
      </c>
      <c r="Z434" s="335" t="s">
        <v>1574</v>
      </c>
      <c r="AA434" s="344"/>
      <c r="AB434" s="344"/>
      <c r="AC434" s="344"/>
      <c r="AD434" s="345"/>
    </row>
    <row r="435" spans="1:30" s="346" customFormat="1" ht="24.75" customHeight="1" x14ac:dyDescent="0.35">
      <c r="A435" s="314"/>
      <c r="B435" s="315"/>
      <c r="C435" s="315"/>
      <c r="D435" s="315"/>
      <c r="E435" s="315"/>
      <c r="F435" s="363">
        <v>400.28</v>
      </c>
      <c r="G435" s="315"/>
      <c r="H435" s="317"/>
      <c r="I435" s="316"/>
      <c r="J435" s="316"/>
      <c r="K435" s="316"/>
      <c r="L435" s="316"/>
      <c r="M435" s="315"/>
      <c r="N435" s="315"/>
      <c r="O435" s="315"/>
      <c r="P435" s="315"/>
      <c r="Q435" s="315"/>
      <c r="R435" s="315"/>
      <c r="S435" s="315"/>
      <c r="T435" s="315"/>
      <c r="U435" s="318"/>
      <c r="V435" s="318"/>
      <c r="W435" s="320" t="s">
        <v>1676</v>
      </c>
      <c r="X435" s="323"/>
      <c r="Y435" s="323"/>
      <c r="Z435" s="364"/>
      <c r="AA435" s="344"/>
      <c r="AB435" s="344"/>
      <c r="AC435" s="344"/>
      <c r="AD435" s="345"/>
    </row>
    <row r="436" spans="1:30" s="346" customFormat="1" ht="24.75" customHeight="1" x14ac:dyDescent="0.35">
      <c r="A436" s="325">
        <v>214</v>
      </c>
      <c r="B436" s="315" t="s">
        <v>1677</v>
      </c>
      <c r="C436" s="315" t="s">
        <v>251</v>
      </c>
      <c r="D436" s="315" t="s">
        <v>18</v>
      </c>
      <c r="E436" s="315" t="s">
        <v>1678</v>
      </c>
      <c r="F436" s="363"/>
      <c r="G436" s="315">
        <v>1217.28</v>
      </c>
      <c r="H436" s="326">
        <f>H434+F435</f>
        <v>82267.765999999989</v>
      </c>
      <c r="I436" s="316">
        <v>476.42899999999997</v>
      </c>
      <c r="J436" s="315">
        <v>70.72</v>
      </c>
      <c r="K436" s="316">
        <v>786.28</v>
      </c>
      <c r="L436" s="316">
        <v>393.14</v>
      </c>
      <c r="M436" s="315">
        <v>164</v>
      </c>
      <c r="N436" s="315">
        <v>170</v>
      </c>
      <c r="O436" s="315">
        <v>334</v>
      </c>
      <c r="P436" s="315">
        <v>175</v>
      </c>
      <c r="Q436" s="315">
        <v>178</v>
      </c>
      <c r="R436" s="315">
        <v>353</v>
      </c>
      <c r="S436" s="315" t="s">
        <v>2096</v>
      </c>
      <c r="T436" s="315" t="s">
        <v>2097</v>
      </c>
      <c r="U436" s="318">
        <v>591243.45499999996</v>
      </c>
      <c r="V436" s="318">
        <v>2646463.3330000001</v>
      </c>
      <c r="W436" s="320"/>
      <c r="X436" s="315" t="s">
        <v>1675</v>
      </c>
      <c r="Y436" s="315" t="s">
        <v>1573</v>
      </c>
      <c r="Z436" s="335" t="s">
        <v>1574</v>
      </c>
      <c r="AA436" s="344"/>
      <c r="AB436" s="344"/>
      <c r="AC436" s="344"/>
      <c r="AD436" s="345"/>
    </row>
    <row r="437" spans="1:30" s="346" customFormat="1" ht="24.75" customHeight="1" x14ac:dyDescent="0.35">
      <c r="A437" s="314"/>
      <c r="B437" s="315"/>
      <c r="C437" s="315"/>
      <c r="D437" s="315"/>
      <c r="E437" s="315"/>
      <c r="F437" s="363">
        <v>386</v>
      </c>
      <c r="G437" s="315"/>
      <c r="H437" s="317"/>
      <c r="I437" s="316"/>
      <c r="J437" s="316"/>
      <c r="K437" s="316"/>
      <c r="L437" s="316"/>
      <c r="M437" s="315"/>
      <c r="N437" s="315"/>
      <c r="O437" s="315"/>
      <c r="P437" s="315"/>
      <c r="Q437" s="315"/>
      <c r="R437" s="315"/>
      <c r="S437" s="315"/>
      <c r="T437" s="315"/>
      <c r="U437" s="318"/>
      <c r="V437" s="318"/>
      <c r="W437" s="320"/>
      <c r="X437" s="323"/>
      <c r="Y437" s="323"/>
      <c r="Z437" s="364"/>
      <c r="AA437" s="344"/>
      <c r="AB437" s="344"/>
      <c r="AC437" s="344"/>
      <c r="AD437" s="345"/>
    </row>
    <row r="438" spans="1:30" s="346" customFormat="1" ht="24.75" customHeight="1" x14ac:dyDescent="0.35">
      <c r="A438" s="325">
        <v>215</v>
      </c>
      <c r="B438" s="315" t="s">
        <v>1025</v>
      </c>
      <c r="C438" s="315" t="s">
        <v>252</v>
      </c>
      <c r="D438" s="315" t="s">
        <v>33</v>
      </c>
      <c r="E438" s="315" t="s">
        <v>1025</v>
      </c>
      <c r="F438" s="363"/>
      <c r="G438" s="315" t="s">
        <v>1025</v>
      </c>
      <c r="H438" s="326">
        <f>H436+F437</f>
        <v>82653.765999999989</v>
      </c>
      <c r="I438" s="316">
        <v>477.49200000000002</v>
      </c>
      <c r="J438" s="331">
        <v>75.5</v>
      </c>
      <c r="K438" s="316">
        <v>806</v>
      </c>
      <c r="L438" s="316">
        <v>403</v>
      </c>
      <c r="M438" s="315">
        <v>216</v>
      </c>
      <c r="N438" s="315">
        <v>274</v>
      </c>
      <c r="O438" s="315">
        <v>490</v>
      </c>
      <c r="P438" s="315">
        <v>209</v>
      </c>
      <c r="Q438" s="315">
        <v>253</v>
      </c>
      <c r="R438" s="315">
        <v>462</v>
      </c>
      <c r="S438" s="315" t="s">
        <v>2098</v>
      </c>
      <c r="T438" s="315" t="s">
        <v>2099</v>
      </c>
      <c r="U438" s="318">
        <v>591626.31299999997</v>
      </c>
      <c r="V438" s="318">
        <v>2646414.1860000002</v>
      </c>
      <c r="W438" s="320"/>
      <c r="X438" s="315" t="s">
        <v>1675</v>
      </c>
      <c r="Y438" s="315" t="s">
        <v>1573</v>
      </c>
      <c r="Z438" s="335" t="s">
        <v>1574</v>
      </c>
      <c r="AA438" s="344"/>
      <c r="AB438" s="344"/>
      <c r="AC438" s="344"/>
      <c r="AD438" s="345"/>
    </row>
    <row r="439" spans="1:30" s="346" customFormat="1" ht="24.75" customHeight="1" x14ac:dyDescent="0.35">
      <c r="A439" s="314"/>
      <c r="B439" s="315"/>
      <c r="C439" s="315"/>
      <c r="D439" s="315"/>
      <c r="E439" s="315"/>
      <c r="F439" s="363">
        <v>420</v>
      </c>
      <c r="G439" s="315"/>
      <c r="H439" s="317"/>
      <c r="I439" s="316"/>
      <c r="J439" s="316"/>
      <c r="K439" s="316"/>
      <c r="L439" s="316"/>
      <c r="M439" s="315"/>
      <c r="N439" s="315"/>
      <c r="O439" s="315"/>
      <c r="P439" s="315"/>
      <c r="Q439" s="315"/>
      <c r="R439" s="315"/>
      <c r="S439" s="315"/>
      <c r="T439" s="315"/>
      <c r="U439" s="318"/>
      <c r="V439" s="318"/>
      <c r="W439" s="320" t="s">
        <v>1152</v>
      </c>
      <c r="X439" s="323"/>
      <c r="Y439" s="323"/>
      <c r="Z439" s="364"/>
      <c r="AA439" s="344"/>
      <c r="AB439" s="344"/>
      <c r="AC439" s="344"/>
      <c r="AD439" s="345"/>
    </row>
    <row r="440" spans="1:30" s="346" customFormat="1" ht="24.75" customHeight="1" x14ac:dyDescent="0.35">
      <c r="A440" s="325">
        <v>216</v>
      </c>
      <c r="B440" s="315" t="s">
        <v>1025</v>
      </c>
      <c r="C440" s="315" t="s">
        <v>253</v>
      </c>
      <c r="D440" s="315" t="s">
        <v>23</v>
      </c>
      <c r="E440" s="315" t="s">
        <v>1025</v>
      </c>
      <c r="F440" s="363"/>
      <c r="G440" s="315" t="s">
        <v>1025</v>
      </c>
      <c r="H440" s="326">
        <f>H438+F439</f>
        <v>83073.765999999989</v>
      </c>
      <c r="I440" s="316">
        <v>471.28899999999999</v>
      </c>
      <c r="J440" s="316">
        <v>69.5</v>
      </c>
      <c r="K440" s="316">
        <v>757</v>
      </c>
      <c r="L440" s="316">
        <v>378.5</v>
      </c>
      <c r="M440" s="315">
        <v>147</v>
      </c>
      <c r="N440" s="315">
        <v>167</v>
      </c>
      <c r="O440" s="315">
        <v>314</v>
      </c>
      <c r="P440" s="315">
        <v>169</v>
      </c>
      <c r="Q440" s="315">
        <v>168</v>
      </c>
      <c r="R440" s="315">
        <v>337</v>
      </c>
      <c r="S440" s="315" t="s">
        <v>2100</v>
      </c>
      <c r="T440" s="315" t="s">
        <v>2101</v>
      </c>
      <c r="U440" s="318">
        <v>592042.89500000002</v>
      </c>
      <c r="V440" s="318">
        <v>2646360.71</v>
      </c>
      <c r="W440" s="320"/>
      <c r="X440" s="315" t="s">
        <v>1675</v>
      </c>
      <c r="Y440" s="315" t="s">
        <v>1573</v>
      </c>
      <c r="Z440" s="335" t="s">
        <v>1574</v>
      </c>
      <c r="AA440" s="344"/>
      <c r="AB440" s="344"/>
      <c r="AC440" s="344"/>
      <c r="AD440" s="345"/>
    </row>
    <row r="441" spans="1:30" s="346" customFormat="1" ht="24.75" customHeight="1" x14ac:dyDescent="0.35">
      <c r="A441" s="314"/>
      <c r="B441" s="315"/>
      <c r="C441" s="315"/>
      <c r="D441" s="315"/>
      <c r="E441" s="315"/>
      <c r="F441" s="363">
        <v>337</v>
      </c>
      <c r="G441" s="315"/>
      <c r="H441" s="317"/>
      <c r="I441" s="316"/>
      <c r="J441" s="316"/>
      <c r="K441" s="316"/>
      <c r="L441" s="316"/>
      <c r="M441" s="315"/>
      <c r="N441" s="315"/>
      <c r="O441" s="315"/>
      <c r="P441" s="315"/>
      <c r="Q441" s="315"/>
      <c r="R441" s="315"/>
      <c r="S441" s="315"/>
      <c r="T441" s="315"/>
      <c r="U441" s="318"/>
      <c r="V441" s="318"/>
      <c r="W441" s="320" t="s">
        <v>1122</v>
      </c>
      <c r="X441" s="323"/>
      <c r="Y441" s="323"/>
      <c r="Z441" s="364"/>
      <c r="AA441" s="344"/>
      <c r="AB441" s="344"/>
      <c r="AC441" s="344"/>
      <c r="AD441" s="345"/>
    </row>
    <row r="442" spans="1:30" s="346" customFormat="1" ht="24.75" customHeight="1" x14ac:dyDescent="0.35">
      <c r="A442" s="325">
        <v>217</v>
      </c>
      <c r="B442" s="315" t="s">
        <v>1025</v>
      </c>
      <c r="C442" s="315" t="s">
        <v>254</v>
      </c>
      <c r="D442" s="315" t="s">
        <v>23</v>
      </c>
      <c r="E442" s="315" t="s">
        <v>1025</v>
      </c>
      <c r="F442" s="363"/>
      <c r="G442" s="315" t="s">
        <v>1025</v>
      </c>
      <c r="H442" s="326">
        <f>H440+F441</f>
        <v>83410.765999999989</v>
      </c>
      <c r="I442" s="316">
        <v>471.47399999999999</v>
      </c>
      <c r="J442" s="316">
        <v>69.5</v>
      </c>
      <c r="K442" s="316">
        <v>673.51199999999994</v>
      </c>
      <c r="L442" s="316">
        <v>336.75599999999997</v>
      </c>
      <c r="M442" s="315">
        <v>170</v>
      </c>
      <c r="N442" s="315">
        <v>126</v>
      </c>
      <c r="O442" s="315">
        <v>296</v>
      </c>
      <c r="P442" s="315">
        <v>170</v>
      </c>
      <c r="Q442" s="315">
        <v>141</v>
      </c>
      <c r="R442" s="315">
        <v>311</v>
      </c>
      <c r="S442" s="315" t="s">
        <v>2102</v>
      </c>
      <c r="T442" s="315" t="s">
        <v>2103</v>
      </c>
      <c r="U442" s="318">
        <v>592377.152</v>
      </c>
      <c r="V442" s="318">
        <v>2646317.8020000001</v>
      </c>
      <c r="W442" s="320"/>
      <c r="X442" s="315" t="s">
        <v>1675</v>
      </c>
      <c r="Y442" s="315" t="s">
        <v>1573</v>
      </c>
      <c r="Z442" s="335" t="s">
        <v>1574</v>
      </c>
      <c r="AA442" s="344"/>
      <c r="AB442" s="344"/>
      <c r="AC442" s="344"/>
      <c r="AD442" s="345"/>
    </row>
    <row r="443" spans="1:30" s="346" customFormat="1" ht="24.75" customHeight="1" x14ac:dyDescent="0.35">
      <c r="A443" s="314"/>
      <c r="B443" s="315"/>
      <c r="C443" s="315"/>
      <c r="D443" s="315"/>
      <c r="E443" s="315"/>
      <c r="F443" s="363">
        <v>336.512</v>
      </c>
      <c r="G443" s="315"/>
      <c r="H443" s="317"/>
      <c r="I443" s="316"/>
      <c r="J443" s="316"/>
      <c r="K443" s="316"/>
      <c r="L443" s="316"/>
      <c r="M443" s="315"/>
      <c r="N443" s="315"/>
      <c r="O443" s="315"/>
      <c r="P443" s="315"/>
      <c r="Q443" s="315"/>
      <c r="R443" s="315"/>
      <c r="S443" s="315"/>
      <c r="T443" s="315"/>
      <c r="U443" s="318"/>
      <c r="V443" s="318"/>
      <c r="W443" s="320" t="s">
        <v>1679</v>
      </c>
      <c r="X443" s="323"/>
      <c r="Y443" s="323"/>
      <c r="Z443" s="364"/>
      <c r="AA443" s="344"/>
      <c r="AB443" s="344"/>
      <c r="AC443" s="344"/>
      <c r="AD443" s="345"/>
    </row>
    <row r="444" spans="1:30" s="346" customFormat="1" ht="24.75" customHeight="1" x14ac:dyDescent="0.35">
      <c r="A444" s="325">
        <v>218</v>
      </c>
      <c r="B444" s="315" t="s">
        <v>1680</v>
      </c>
      <c r="C444" s="315" t="s">
        <v>255</v>
      </c>
      <c r="D444" s="315" t="s">
        <v>182</v>
      </c>
      <c r="E444" s="315" t="s">
        <v>1681</v>
      </c>
      <c r="F444" s="316"/>
      <c r="G444" s="315">
        <v>1479.51</v>
      </c>
      <c r="H444" s="326">
        <f>H442+F443</f>
        <v>83747.277999999991</v>
      </c>
      <c r="I444" s="316">
        <v>471.99299999999999</v>
      </c>
      <c r="J444" s="331">
        <v>73.72</v>
      </c>
      <c r="K444" s="316">
        <v>748.51199999999994</v>
      </c>
      <c r="L444" s="316">
        <v>374.25599999999997</v>
      </c>
      <c r="M444" s="315">
        <v>211</v>
      </c>
      <c r="N444" s="315">
        <v>222</v>
      </c>
      <c r="O444" s="315">
        <v>433</v>
      </c>
      <c r="P444" s="315">
        <v>197</v>
      </c>
      <c r="Q444" s="315">
        <v>217</v>
      </c>
      <c r="R444" s="315">
        <v>414</v>
      </c>
      <c r="S444" s="315" t="s">
        <v>2104</v>
      </c>
      <c r="T444" s="315" t="s">
        <v>2105</v>
      </c>
      <c r="U444" s="318">
        <v>592710.92599999998</v>
      </c>
      <c r="V444" s="318">
        <v>2646274.9559999998</v>
      </c>
      <c r="W444" s="320"/>
      <c r="X444" s="315" t="s">
        <v>1675</v>
      </c>
      <c r="Y444" s="315" t="s">
        <v>1573</v>
      </c>
      <c r="Z444" s="335" t="s">
        <v>1574</v>
      </c>
      <c r="AA444" s="344"/>
      <c r="AB444" s="344"/>
      <c r="AC444" s="344"/>
      <c r="AD444" s="345"/>
    </row>
    <row r="445" spans="1:30" s="346" customFormat="1" ht="24.75" customHeight="1" x14ac:dyDescent="0.35">
      <c r="A445" s="314"/>
      <c r="B445" s="331"/>
      <c r="C445" s="323"/>
      <c r="D445" s="332"/>
      <c r="E445" s="331"/>
      <c r="F445" s="331">
        <v>412</v>
      </c>
      <c r="G445" s="331"/>
      <c r="H445" s="317"/>
      <c r="I445" s="331"/>
      <c r="J445" s="331"/>
      <c r="K445" s="331"/>
      <c r="L445" s="331"/>
      <c r="M445" s="331"/>
      <c r="N445" s="331"/>
      <c r="O445" s="331"/>
      <c r="P445" s="331"/>
      <c r="Q445" s="331"/>
      <c r="R445" s="331"/>
      <c r="S445" s="331"/>
      <c r="T445" s="331"/>
      <c r="U445" s="331"/>
      <c r="V445" s="331"/>
      <c r="W445" s="331" t="s">
        <v>1122</v>
      </c>
      <c r="X445" s="315"/>
      <c r="Y445" s="323"/>
      <c r="Z445" s="364"/>
      <c r="AA445" s="344"/>
      <c r="AB445" s="344"/>
      <c r="AC445" s="344"/>
      <c r="AD445" s="345"/>
    </row>
    <row r="446" spans="1:30" s="346" customFormat="1" ht="24.75" customHeight="1" x14ac:dyDescent="0.35">
      <c r="A446" s="325">
        <v>219</v>
      </c>
      <c r="B446" s="331" t="s">
        <v>1025</v>
      </c>
      <c r="C446" s="323" t="s">
        <v>256</v>
      </c>
      <c r="D446" s="332" t="s">
        <v>31</v>
      </c>
      <c r="E446" s="331" t="s">
        <v>1025</v>
      </c>
      <c r="F446" s="331"/>
      <c r="G446" s="331" t="s">
        <v>1025</v>
      </c>
      <c r="H446" s="326">
        <f>H444+F445</f>
        <v>84159.277999999991</v>
      </c>
      <c r="I446" s="338">
        <v>472.10899999999998</v>
      </c>
      <c r="J446" s="331">
        <v>72.5</v>
      </c>
      <c r="K446" s="331">
        <f>F445+F447</f>
        <v>820</v>
      </c>
      <c r="L446" s="331">
        <f>K446/2</f>
        <v>410</v>
      </c>
      <c r="M446" s="331">
        <v>191</v>
      </c>
      <c r="N446" s="331">
        <v>168</v>
      </c>
      <c r="O446" s="331">
        <v>359</v>
      </c>
      <c r="P446" s="331">
        <v>196</v>
      </c>
      <c r="Q446" s="331">
        <v>180</v>
      </c>
      <c r="R446" s="331">
        <v>376</v>
      </c>
      <c r="S446" s="331" t="s">
        <v>1682</v>
      </c>
      <c r="T446" s="331" t="s">
        <v>1683</v>
      </c>
      <c r="U446" s="331">
        <v>593091.10400000005</v>
      </c>
      <c r="V446" s="331">
        <v>2646116.1830000002</v>
      </c>
      <c r="W446" s="331"/>
      <c r="X446" s="315" t="s">
        <v>1684</v>
      </c>
      <c r="Y446" s="315" t="s">
        <v>1573</v>
      </c>
      <c r="Z446" s="335" t="s">
        <v>1574</v>
      </c>
      <c r="AA446" s="344"/>
      <c r="AB446" s="344"/>
      <c r="AC446" s="344"/>
      <c r="AD446" s="345"/>
    </row>
    <row r="447" spans="1:30" s="346" customFormat="1" ht="24.75" customHeight="1" x14ac:dyDescent="0.35">
      <c r="A447" s="314"/>
      <c r="B447" s="331"/>
      <c r="C447" s="323"/>
      <c r="D447" s="332"/>
      <c r="E447" s="331"/>
      <c r="F447" s="331">
        <v>408</v>
      </c>
      <c r="G447" s="331"/>
      <c r="H447" s="317"/>
      <c r="I447" s="331"/>
      <c r="J447" s="331"/>
      <c r="K447" s="331"/>
      <c r="L447" s="331"/>
      <c r="M447" s="331"/>
      <c r="N447" s="331"/>
      <c r="O447" s="331"/>
      <c r="P447" s="331"/>
      <c r="Q447" s="331"/>
      <c r="R447" s="331"/>
      <c r="S447" s="331"/>
      <c r="T447" s="331"/>
      <c r="U447" s="331"/>
      <c r="V447" s="331"/>
      <c r="W447" s="331" t="s">
        <v>1101</v>
      </c>
      <c r="X447" s="315"/>
      <c r="Y447" s="323"/>
      <c r="Z447" s="364"/>
      <c r="AA447" s="344"/>
      <c r="AB447" s="344"/>
      <c r="AC447" s="344"/>
      <c r="AD447" s="345"/>
    </row>
    <row r="448" spans="1:30" s="346" customFormat="1" ht="24.75" customHeight="1" x14ac:dyDescent="0.35">
      <c r="A448" s="325">
        <v>220</v>
      </c>
      <c r="B448" s="331" t="s">
        <v>1025</v>
      </c>
      <c r="C448" s="323" t="s">
        <v>257</v>
      </c>
      <c r="D448" s="332" t="s">
        <v>16</v>
      </c>
      <c r="E448" s="331" t="s">
        <v>1025</v>
      </c>
      <c r="F448" s="331"/>
      <c r="G448" s="331" t="s">
        <v>1025</v>
      </c>
      <c r="H448" s="326">
        <f>H446+F447</f>
        <v>84567.277999999991</v>
      </c>
      <c r="I448" s="331">
        <v>472.952</v>
      </c>
      <c r="J448" s="331">
        <v>78.5</v>
      </c>
      <c r="K448" s="331">
        <f>F447+F449</f>
        <v>821</v>
      </c>
      <c r="L448" s="331">
        <f>K448/2</f>
        <v>410.5</v>
      </c>
      <c r="M448" s="331">
        <v>240</v>
      </c>
      <c r="N448" s="331">
        <v>251</v>
      </c>
      <c r="O448" s="331">
        <v>491</v>
      </c>
      <c r="P448" s="331">
        <v>229</v>
      </c>
      <c r="Q448" s="331">
        <v>237</v>
      </c>
      <c r="R448" s="331">
        <v>466</v>
      </c>
      <c r="S448" s="331" t="s">
        <v>1685</v>
      </c>
      <c r="T448" s="331" t="s">
        <v>1686</v>
      </c>
      <c r="U448" s="331">
        <v>593467.59100000001</v>
      </c>
      <c r="V448" s="331">
        <v>2645958.952</v>
      </c>
      <c r="W448" s="331"/>
      <c r="X448" s="315" t="s">
        <v>1684</v>
      </c>
      <c r="Y448" s="315" t="s">
        <v>1573</v>
      </c>
      <c r="Z448" s="335" t="s">
        <v>1574</v>
      </c>
      <c r="AA448" s="344"/>
      <c r="AB448" s="344"/>
      <c r="AC448" s="344"/>
      <c r="AD448" s="345"/>
    </row>
    <row r="449" spans="1:30" s="346" customFormat="1" ht="24.75" customHeight="1" x14ac:dyDescent="0.35">
      <c r="A449" s="314"/>
      <c r="B449" s="331"/>
      <c r="C449" s="323"/>
      <c r="D449" s="332"/>
      <c r="E449" s="331"/>
      <c r="F449" s="331">
        <v>413</v>
      </c>
      <c r="G449" s="331"/>
      <c r="H449" s="317"/>
      <c r="I449" s="331"/>
      <c r="J449" s="331"/>
      <c r="K449" s="331"/>
      <c r="L449" s="331"/>
      <c r="M449" s="331"/>
      <c r="N449" s="331"/>
      <c r="O449" s="331"/>
      <c r="P449" s="331"/>
      <c r="Q449" s="331"/>
      <c r="R449" s="331"/>
      <c r="S449" s="331"/>
      <c r="T449" s="331"/>
      <c r="U449" s="331"/>
      <c r="V449" s="331"/>
      <c r="W449" s="331" t="s">
        <v>1101</v>
      </c>
      <c r="X449" s="323"/>
      <c r="Y449" s="323"/>
      <c r="Z449" s="364"/>
      <c r="AA449" s="344"/>
      <c r="AB449" s="344"/>
      <c r="AC449" s="344"/>
      <c r="AD449" s="345"/>
    </row>
    <row r="450" spans="1:30" s="346" customFormat="1" ht="24.75" customHeight="1" x14ac:dyDescent="0.35">
      <c r="A450" s="325">
        <v>221</v>
      </c>
      <c r="B450" s="331" t="s">
        <v>1025</v>
      </c>
      <c r="C450" s="323" t="s">
        <v>258</v>
      </c>
      <c r="D450" s="332" t="s">
        <v>31</v>
      </c>
      <c r="E450" s="331" t="s">
        <v>1025</v>
      </c>
      <c r="F450" s="331"/>
      <c r="G450" s="331" t="s">
        <v>1025</v>
      </c>
      <c r="H450" s="326">
        <f>H448+F449</f>
        <v>84980.277999999991</v>
      </c>
      <c r="I450" s="338">
        <v>470.50900000000001</v>
      </c>
      <c r="J450" s="331">
        <v>72.5</v>
      </c>
      <c r="K450" s="331">
        <f>F449+F451</f>
        <v>823</v>
      </c>
      <c r="L450" s="331">
        <f>K450/2</f>
        <v>411.5</v>
      </c>
      <c r="M450" s="331">
        <v>163</v>
      </c>
      <c r="N450" s="331">
        <v>206</v>
      </c>
      <c r="O450" s="331">
        <v>369</v>
      </c>
      <c r="P450" s="331">
        <v>177</v>
      </c>
      <c r="Q450" s="331">
        <v>206</v>
      </c>
      <c r="R450" s="331">
        <v>383</v>
      </c>
      <c r="S450" s="331" t="s">
        <v>1687</v>
      </c>
      <c r="T450" s="331" t="s">
        <v>1688</v>
      </c>
      <c r="U450" s="331">
        <v>593848.69200000004</v>
      </c>
      <c r="V450" s="331">
        <v>2645799.7940000002</v>
      </c>
      <c r="W450" s="331"/>
      <c r="X450" s="315" t="s">
        <v>1666</v>
      </c>
      <c r="Y450" s="315" t="s">
        <v>1573</v>
      </c>
      <c r="Z450" s="335" t="s">
        <v>1574</v>
      </c>
      <c r="AA450" s="344"/>
      <c r="AB450" s="344"/>
      <c r="AC450" s="344"/>
      <c r="AD450" s="345"/>
    </row>
    <row r="451" spans="1:30" s="346" customFormat="1" ht="24.75" customHeight="1" x14ac:dyDescent="0.35">
      <c r="A451" s="314"/>
      <c r="B451" s="331"/>
      <c r="C451" s="323"/>
      <c r="D451" s="332"/>
      <c r="E451" s="331"/>
      <c r="F451" s="331">
        <v>410</v>
      </c>
      <c r="G451" s="331"/>
      <c r="H451" s="317"/>
      <c r="I451" s="331"/>
      <c r="J451" s="331"/>
      <c r="K451" s="331"/>
      <c r="L451" s="331"/>
      <c r="M451" s="331"/>
      <c r="N451" s="331"/>
      <c r="O451" s="331"/>
      <c r="P451" s="331"/>
      <c r="Q451" s="331"/>
      <c r="R451" s="331"/>
      <c r="S451" s="331"/>
      <c r="T451" s="331"/>
      <c r="U451" s="331"/>
      <c r="V451" s="331"/>
      <c r="W451" s="331" t="s">
        <v>1138</v>
      </c>
      <c r="X451" s="323"/>
      <c r="Y451" s="323"/>
      <c r="Z451" s="364"/>
      <c r="AA451" s="344"/>
      <c r="AB451" s="344"/>
      <c r="AC451" s="344"/>
      <c r="AD451" s="345"/>
    </row>
    <row r="452" spans="1:30" s="346" customFormat="1" ht="24.75" customHeight="1" x14ac:dyDescent="0.35">
      <c r="A452" s="325">
        <v>222</v>
      </c>
      <c r="B452" s="331" t="s">
        <v>1025</v>
      </c>
      <c r="C452" s="323" t="s">
        <v>259</v>
      </c>
      <c r="D452" s="332" t="s">
        <v>33</v>
      </c>
      <c r="E452" s="331" t="s">
        <v>1025</v>
      </c>
      <c r="F452" s="331"/>
      <c r="G452" s="331" t="s">
        <v>1025</v>
      </c>
      <c r="H452" s="326">
        <f>H450+F451</f>
        <v>85390.277999999991</v>
      </c>
      <c r="I452" s="331">
        <v>467.30799999999999</v>
      </c>
      <c r="J452" s="331">
        <v>75.5</v>
      </c>
      <c r="K452" s="331">
        <f>F451+F453</f>
        <v>816</v>
      </c>
      <c r="L452" s="331">
        <f>K452/2</f>
        <v>408</v>
      </c>
      <c r="M452" s="331">
        <v>204</v>
      </c>
      <c r="N452" s="331">
        <v>212</v>
      </c>
      <c r="O452" s="331">
        <v>416</v>
      </c>
      <c r="P452" s="331">
        <v>205</v>
      </c>
      <c r="Q452" s="331">
        <v>209</v>
      </c>
      <c r="R452" s="331">
        <v>414</v>
      </c>
      <c r="S452" s="331" t="s">
        <v>1689</v>
      </c>
      <c r="T452" s="331" t="s">
        <v>1690</v>
      </c>
      <c r="U452" s="331">
        <v>594227.02399999998</v>
      </c>
      <c r="V452" s="331">
        <v>2645641.7919999999</v>
      </c>
      <c r="W452" s="331"/>
      <c r="X452" s="315" t="s">
        <v>1666</v>
      </c>
      <c r="Y452" s="315" t="s">
        <v>1573</v>
      </c>
      <c r="Z452" s="335" t="s">
        <v>1574</v>
      </c>
      <c r="AA452" s="344"/>
      <c r="AB452" s="344"/>
      <c r="AC452" s="344"/>
      <c r="AD452" s="345"/>
    </row>
    <row r="453" spans="1:30" s="346" customFormat="1" ht="24.75" customHeight="1" x14ac:dyDescent="0.35">
      <c r="A453" s="314"/>
      <c r="B453" s="331"/>
      <c r="C453" s="323"/>
      <c r="D453" s="332"/>
      <c r="E453" s="331"/>
      <c r="F453" s="331">
        <v>406</v>
      </c>
      <c r="G453" s="331"/>
      <c r="H453" s="317"/>
      <c r="I453" s="331"/>
      <c r="J453" s="331"/>
      <c r="K453" s="331"/>
      <c r="L453" s="331"/>
      <c r="M453" s="331"/>
      <c r="N453" s="331"/>
      <c r="O453" s="331"/>
      <c r="P453" s="331"/>
      <c r="Q453" s="331"/>
      <c r="R453" s="331"/>
      <c r="S453" s="331"/>
      <c r="T453" s="331"/>
      <c r="U453" s="331"/>
      <c r="V453" s="331"/>
      <c r="W453" s="331" t="s">
        <v>1122</v>
      </c>
      <c r="X453" s="323"/>
      <c r="Y453" s="323"/>
      <c r="Z453" s="364"/>
      <c r="AA453" s="344"/>
      <c r="AB453" s="344"/>
      <c r="AC453" s="344"/>
      <c r="AD453" s="345"/>
    </row>
    <row r="454" spans="1:30" s="346" customFormat="1" ht="24.75" customHeight="1" x14ac:dyDescent="0.35">
      <c r="A454" s="325">
        <v>223</v>
      </c>
      <c r="B454" s="331" t="s">
        <v>1025</v>
      </c>
      <c r="C454" s="323" t="s">
        <v>260</v>
      </c>
      <c r="D454" s="332" t="s">
        <v>33</v>
      </c>
      <c r="E454" s="331" t="s">
        <v>1025</v>
      </c>
      <c r="F454" s="331"/>
      <c r="G454" s="331" t="s">
        <v>1025</v>
      </c>
      <c r="H454" s="326">
        <f>H452+F453</f>
        <v>85796.277999999991</v>
      </c>
      <c r="I454" s="331">
        <v>465.73399999999998</v>
      </c>
      <c r="J454" s="331">
        <v>75.5</v>
      </c>
      <c r="K454" s="331">
        <f>F453+F455</f>
        <v>817</v>
      </c>
      <c r="L454" s="331">
        <f>K454/2</f>
        <v>408.5</v>
      </c>
      <c r="M454" s="331">
        <v>195</v>
      </c>
      <c r="N454" s="331">
        <v>226</v>
      </c>
      <c r="O454" s="331">
        <v>421</v>
      </c>
      <c r="P454" s="331">
        <v>198</v>
      </c>
      <c r="Q454" s="331">
        <v>220</v>
      </c>
      <c r="R454" s="331">
        <v>418</v>
      </c>
      <c r="S454" s="331" t="s">
        <v>1691</v>
      </c>
      <c r="T454" s="331" t="s">
        <v>1692</v>
      </c>
      <c r="U454" s="331">
        <v>594601.66500000004</v>
      </c>
      <c r="V454" s="331">
        <v>2645485.3319999999</v>
      </c>
      <c r="W454" s="331"/>
      <c r="X454" s="315" t="s">
        <v>1666</v>
      </c>
      <c r="Y454" s="315" t="s">
        <v>1573</v>
      </c>
      <c r="Z454" s="335" t="s">
        <v>1574</v>
      </c>
      <c r="AA454" s="344"/>
      <c r="AB454" s="344"/>
      <c r="AC454" s="344"/>
      <c r="AD454" s="345"/>
    </row>
    <row r="455" spans="1:30" s="346" customFormat="1" ht="24.75" customHeight="1" x14ac:dyDescent="0.35">
      <c r="A455" s="314"/>
      <c r="B455" s="331"/>
      <c r="C455" s="323"/>
      <c r="D455" s="332"/>
      <c r="E455" s="331"/>
      <c r="F455" s="331">
        <v>411</v>
      </c>
      <c r="G455" s="331"/>
      <c r="H455" s="317"/>
      <c r="I455" s="331"/>
      <c r="J455" s="331"/>
      <c r="K455" s="331"/>
      <c r="L455" s="331"/>
      <c r="M455" s="331"/>
      <c r="N455" s="331"/>
      <c r="O455" s="331"/>
      <c r="P455" s="331"/>
      <c r="Q455" s="331"/>
      <c r="R455" s="331"/>
      <c r="S455" s="331"/>
      <c r="T455" s="331"/>
      <c r="U455" s="331"/>
      <c r="V455" s="331"/>
      <c r="W455" s="331" t="s">
        <v>1138</v>
      </c>
      <c r="X455" s="323"/>
      <c r="Y455" s="323"/>
      <c r="Z455" s="364"/>
      <c r="AA455" s="344"/>
      <c r="AB455" s="344"/>
      <c r="AC455" s="344"/>
      <c r="AD455" s="345"/>
    </row>
    <row r="456" spans="1:30" s="346" customFormat="1" ht="24.75" customHeight="1" x14ac:dyDescent="0.35">
      <c r="A456" s="325">
        <v>224</v>
      </c>
      <c r="B456" s="331" t="s">
        <v>1025</v>
      </c>
      <c r="C456" s="323" t="s">
        <v>261</v>
      </c>
      <c r="D456" s="332" t="s">
        <v>33</v>
      </c>
      <c r="E456" s="331" t="s">
        <v>1025</v>
      </c>
      <c r="F456" s="331"/>
      <c r="G456" s="331" t="s">
        <v>1025</v>
      </c>
      <c r="H456" s="326">
        <f>H454+F455</f>
        <v>86207.277999999991</v>
      </c>
      <c r="I456" s="331">
        <v>461.97199999999998</v>
      </c>
      <c r="J456" s="331">
        <v>75.5</v>
      </c>
      <c r="K456" s="331">
        <f>F455+F457</f>
        <v>783</v>
      </c>
      <c r="L456" s="331">
        <f>K456/2</f>
        <v>391.5</v>
      </c>
      <c r="M456" s="331">
        <v>186</v>
      </c>
      <c r="N456" s="331">
        <v>215</v>
      </c>
      <c r="O456" s="331">
        <v>401</v>
      </c>
      <c r="P456" s="331">
        <v>193</v>
      </c>
      <c r="Q456" s="331">
        <v>207</v>
      </c>
      <c r="R456" s="331">
        <v>400</v>
      </c>
      <c r="S456" s="331" t="s">
        <v>1693</v>
      </c>
      <c r="T456" s="331" t="s">
        <v>1694</v>
      </c>
      <c r="U456" s="331">
        <v>594980.92000000004</v>
      </c>
      <c r="V456" s="331">
        <v>2645326.9449999998</v>
      </c>
      <c r="W456" s="331"/>
      <c r="X456" s="315" t="s">
        <v>1666</v>
      </c>
      <c r="Y456" s="315" t="s">
        <v>1573</v>
      </c>
      <c r="Z456" s="335" t="s">
        <v>1574</v>
      </c>
      <c r="AA456" s="344"/>
      <c r="AB456" s="344"/>
      <c r="AC456" s="344"/>
      <c r="AD456" s="345"/>
    </row>
    <row r="457" spans="1:30" s="346" customFormat="1" ht="24.75" customHeight="1" x14ac:dyDescent="0.35">
      <c r="A457" s="314"/>
      <c r="B457" s="331"/>
      <c r="C457" s="323"/>
      <c r="D457" s="332"/>
      <c r="E457" s="331"/>
      <c r="F457" s="331">
        <v>372</v>
      </c>
      <c r="G457" s="331"/>
      <c r="H457" s="317"/>
      <c r="I457" s="331"/>
      <c r="J457" s="331"/>
      <c r="K457" s="331"/>
      <c r="L457" s="331"/>
      <c r="M457" s="331"/>
      <c r="N457" s="331"/>
      <c r="O457" s="331"/>
      <c r="P457" s="331"/>
      <c r="Q457" s="331"/>
      <c r="R457" s="331"/>
      <c r="S457" s="331"/>
      <c r="T457" s="331"/>
      <c r="U457" s="331"/>
      <c r="V457" s="331"/>
      <c r="W457" s="331" t="s">
        <v>1122</v>
      </c>
      <c r="X457" s="323"/>
      <c r="Y457" s="323"/>
      <c r="Z457" s="364"/>
      <c r="AA457" s="344"/>
      <c r="AB457" s="344"/>
      <c r="AC457" s="344"/>
      <c r="AD457" s="345"/>
    </row>
    <row r="458" spans="1:30" s="346" customFormat="1" ht="24.75" customHeight="1" x14ac:dyDescent="0.35">
      <c r="A458" s="325">
        <v>225</v>
      </c>
      <c r="B458" s="331" t="s">
        <v>1025</v>
      </c>
      <c r="C458" s="323" t="s">
        <v>262</v>
      </c>
      <c r="D458" s="332" t="s">
        <v>31</v>
      </c>
      <c r="E458" s="331" t="s">
        <v>1025</v>
      </c>
      <c r="F458" s="331"/>
      <c r="G458" s="331" t="s">
        <v>1025</v>
      </c>
      <c r="H458" s="326">
        <f>H456+F457</f>
        <v>86579.277999999991</v>
      </c>
      <c r="I458" s="338">
        <v>459.92</v>
      </c>
      <c r="J458" s="331">
        <v>72.5</v>
      </c>
      <c r="K458" s="331">
        <f>F457+F459</f>
        <v>758</v>
      </c>
      <c r="L458" s="331">
        <f>K458/2</f>
        <v>379</v>
      </c>
      <c r="M458" s="331">
        <v>157</v>
      </c>
      <c r="N458" s="331">
        <v>175</v>
      </c>
      <c r="O458" s="331">
        <v>332</v>
      </c>
      <c r="P458" s="331">
        <v>167</v>
      </c>
      <c r="Q458" s="331">
        <v>181</v>
      </c>
      <c r="R458" s="331">
        <v>348</v>
      </c>
      <c r="S458" s="331" t="s">
        <v>1695</v>
      </c>
      <c r="T458" s="331" t="s">
        <v>1696</v>
      </c>
      <c r="U458" s="331">
        <v>595324.18799999997</v>
      </c>
      <c r="V458" s="331">
        <v>2645183.5869999998</v>
      </c>
      <c r="W458" s="331"/>
      <c r="X458" s="315" t="s">
        <v>1666</v>
      </c>
      <c r="Y458" s="315" t="s">
        <v>1573</v>
      </c>
      <c r="Z458" s="335" t="s">
        <v>1574</v>
      </c>
      <c r="AA458" s="344"/>
      <c r="AB458" s="344"/>
      <c r="AC458" s="344"/>
      <c r="AD458" s="345"/>
    </row>
    <row r="459" spans="1:30" s="346" customFormat="1" ht="24.75" customHeight="1" x14ac:dyDescent="0.35">
      <c r="A459" s="314"/>
      <c r="B459" s="331"/>
      <c r="C459" s="323"/>
      <c r="D459" s="332"/>
      <c r="E459" s="331"/>
      <c r="F459" s="331">
        <v>386</v>
      </c>
      <c r="G459" s="331"/>
      <c r="H459" s="317"/>
      <c r="I459" s="331"/>
      <c r="J459" s="331"/>
      <c r="K459" s="331"/>
      <c r="L459" s="331"/>
      <c r="M459" s="331"/>
      <c r="N459" s="331"/>
      <c r="O459" s="331"/>
      <c r="P459" s="331"/>
      <c r="Q459" s="331"/>
      <c r="R459" s="331"/>
      <c r="S459" s="331"/>
      <c r="T459" s="331"/>
      <c r="U459" s="331"/>
      <c r="V459" s="331"/>
      <c r="W459" s="331" t="s">
        <v>1087</v>
      </c>
      <c r="X459" s="323"/>
      <c r="Y459" s="323"/>
      <c r="Z459" s="364"/>
      <c r="AA459" s="344"/>
      <c r="AB459" s="344"/>
      <c r="AC459" s="344"/>
      <c r="AD459" s="345"/>
    </row>
    <row r="460" spans="1:30" s="346" customFormat="1" ht="24.75" customHeight="1" x14ac:dyDescent="0.35">
      <c r="A460" s="325">
        <v>226</v>
      </c>
      <c r="B460" s="331" t="s">
        <v>1025</v>
      </c>
      <c r="C460" s="323" t="s">
        <v>263</v>
      </c>
      <c r="D460" s="332" t="s">
        <v>31</v>
      </c>
      <c r="E460" s="331" t="s">
        <v>1025</v>
      </c>
      <c r="F460" s="331"/>
      <c r="G460" s="331" t="s">
        <v>1025</v>
      </c>
      <c r="H460" s="326">
        <f>H458+F459</f>
        <v>86965.277999999991</v>
      </c>
      <c r="I460" s="338">
        <v>463.28399999999999</v>
      </c>
      <c r="J460" s="331">
        <v>72.5</v>
      </c>
      <c r="K460" s="331">
        <f>F459+F461</f>
        <v>756</v>
      </c>
      <c r="L460" s="331">
        <f>K460/2</f>
        <v>378</v>
      </c>
      <c r="M460" s="331">
        <v>212</v>
      </c>
      <c r="N460" s="331">
        <v>241</v>
      </c>
      <c r="O460" s="331">
        <v>453</v>
      </c>
      <c r="P460" s="331">
        <v>206</v>
      </c>
      <c r="Q460" s="331">
        <v>224</v>
      </c>
      <c r="R460" s="331">
        <v>430</v>
      </c>
      <c r="S460" s="331" t="s">
        <v>1697</v>
      </c>
      <c r="T460" s="331" t="s">
        <v>1698</v>
      </c>
      <c r="U460" s="331">
        <v>595680.37399999995</v>
      </c>
      <c r="V460" s="331">
        <v>2645034.8339999998</v>
      </c>
      <c r="W460" s="331"/>
      <c r="X460" s="315" t="s">
        <v>1666</v>
      </c>
      <c r="Y460" s="315" t="s">
        <v>1573</v>
      </c>
      <c r="Z460" s="335" t="s">
        <v>1574</v>
      </c>
      <c r="AA460" s="344"/>
      <c r="AB460" s="344"/>
      <c r="AC460" s="344"/>
      <c r="AD460" s="345"/>
    </row>
    <row r="461" spans="1:30" s="346" customFormat="1" ht="24.75" customHeight="1" x14ac:dyDescent="0.35">
      <c r="A461" s="314"/>
      <c r="B461" s="331"/>
      <c r="C461" s="323"/>
      <c r="D461" s="332"/>
      <c r="E461" s="331"/>
      <c r="F461" s="331">
        <v>370</v>
      </c>
      <c r="G461" s="331"/>
      <c r="H461" s="317"/>
      <c r="I461" s="331"/>
      <c r="J461" s="331"/>
      <c r="K461" s="331"/>
      <c r="L461" s="331"/>
      <c r="M461" s="331"/>
      <c r="N461" s="331"/>
      <c r="O461" s="331"/>
      <c r="P461" s="331"/>
      <c r="Q461" s="331"/>
      <c r="R461" s="331"/>
      <c r="S461" s="331"/>
      <c r="T461" s="331"/>
      <c r="U461" s="331"/>
      <c r="V461" s="331"/>
      <c r="W461" s="331" t="s">
        <v>1090</v>
      </c>
      <c r="X461" s="323"/>
      <c r="Y461" s="323"/>
      <c r="Z461" s="364"/>
      <c r="AA461" s="344"/>
      <c r="AB461" s="344"/>
      <c r="AC461" s="344"/>
      <c r="AD461" s="345"/>
    </row>
    <row r="462" spans="1:30" s="346" customFormat="1" ht="24.75" customHeight="1" x14ac:dyDescent="0.35">
      <c r="A462" s="325">
        <v>227</v>
      </c>
      <c r="B462" s="331" t="s">
        <v>1025</v>
      </c>
      <c r="C462" s="323" t="s">
        <v>264</v>
      </c>
      <c r="D462" s="332" t="s">
        <v>31</v>
      </c>
      <c r="E462" s="331" t="s">
        <v>1025</v>
      </c>
      <c r="F462" s="331"/>
      <c r="G462" s="331" t="s">
        <v>1025</v>
      </c>
      <c r="H462" s="326">
        <f>H460+F461</f>
        <v>87335.277999999991</v>
      </c>
      <c r="I462" s="338">
        <v>453.68</v>
      </c>
      <c r="J462" s="331">
        <v>72.5</v>
      </c>
      <c r="K462" s="331">
        <f>F461+F463</f>
        <v>752</v>
      </c>
      <c r="L462" s="331">
        <f>K462/2</f>
        <v>376</v>
      </c>
      <c r="M462" s="331">
        <v>130</v>
      </c>
      <c r="N462" s="331">
        <v>196</v>
      </c>
      <c r="O462" s="331">
        <v>326</v>
      </c>
      <c r="P462" s="331">
        <v>147</v>
      </c>
      <c r="Q462" s="331">
        <v>195</v>
      </c>
      <c r="R462" s="331">
        <v>342</v>
      </c>
      <c r="S462" s="331" t="s">
        <v>1699</v>
      </c>
      <c r="T462" s="331" t="s">
        <v>1700</v>
      </c>
      <c r="U462" s="331">
        <v>596021.79599999997</v>
      </c>
      <c r="V462" s="331">
        <v>2644892.247</v>
      </c>
      <c r="W462" s="331"/>
      <c r="X462" s="315" t="s">
        <v>1666</v>
      </c>
      <c r="Y462" s="315" t="s">
        <v>1573</v>
      </c>
      <c r="Z462" s="335" t="s">
        <v>1574</v>
      </c>
      <c r="AA462" s="344"/>
      <c r="AB462" s="344"/>
      <c r="AC462" s="344"/>
      <c r="AD462" s="345"/>
    </row>
    <row r="463" spans="1:30" s="346" customFormat="1" ht="24.75" customHeight="1" x14ac:dyDescent="0.35">
      <c r="A463" s="314"/>
      <c r="B463" s="331"/>
      <c r="C463" s="323"/>
      <c r="D463" s="332"/>
      <c r="E463" s="331"/>
      <c r="F463" s="331">
        <v>382</v>
      </c>
      <c r="G463" s="331"/>
      <c r="H463" s="317"/>
      <c r="I463" s="331"/>
      <c r="J463" s="331"/>
      <c r="K463" s="331"/>
      <c r="L463" s="331"/>
      <c r="M463" s="331"/>
      <c r="N463" s="331"/>
      <c r="O463" s="331"/>
      <c r="P463" s="331"/>
      <c r="Q463" s="331"/>
      <c r="R463" s="331"/>
      <c r="S463" s="331"/>
      <c r="T463" s="331"/>
      <c r="U463" s="331"/>
      <c r="V463" s="331"/>
      <c r="W463" s="331" t="s">
        <v>1087</v>
      </c>
      <c r="X463" s="323"/>
      <c r="Y463" s="323"/>
      <c r="Z463" s="364"/>
      <c r="AA463" s="344"/>
      <c r="AB463" s="344"/>
      <c r="AC463" s="344"/>
      <c r="AD463" s="345"/>
    </row>
    <row r="464" spans="1:30" s="346" customFormat="1" ht="24.75" customHeight="1" x14ac:dyDescent="0.35">
      <c r="A464" s="325">
        <v>228</v>
      </c>
      <c r="B464" s="331" t="s">
        <v>1025</v>
      </c>
      <c r="C464" s="323" t="s">
        <v>265</v>
      </c>
      <c r="D464" s="332" t="s">
        <v>33</v>
      </c>
      <c r="E464" s="331" t="s">
        <v>1025</v>
      </c>
      <c r="F464" s="331"/>
      <c r="G464" s="331" t="s">
        <v>1025</v>
      </c>
      <c r="H464" s="326">
        <f>H462+F463</f>
        <v>87717.277999999991</v>
      </c>
      <c r="I464" s="331">
        <v>449.80599999999998</v>
      </c>
      <c r="J464" s="331">
        <v>75.5</v>
      </c>
      <c r="K464" s="331">
        <f>F463+F465</f>
        <v>766</v>
      </c>
      <c r="L464" s="331">
        <f>K464/2</f>
        <v>383</v>
      </c>
      <c r="M464" s="331">
        <v>186</v>
      </c>
      <c r="N464" s="331">
        <v>152</v>
      </c>
      <c r="O464" s="331">
        <v>338</v>
      </c>
      <c r="P464" s="331">
        <v>188</v>
      </c>
      <c r="Q464" s="331">
        <v>165</v>
      </c>
      <c r="R464" s="331">
        <v>353</v>
      </c>
      <c r="S464" s="331" t="s">
        <v>1701</v>
      </c>
      <c r="T464" s="331" t="s">
        <v>1702</v>
      </c>
      <c r="U464" s="331">
        <v>596374.29099999997</v>
      </c>
      <c r="V464" s="331">
        <v>2644745.0359999998</v>
      </c>
      <c r="W464" s="331"/>
      <c r="X464" s="315" t="s">
        <v>1666</v>
      </c>
      <c r="Y464" s="315" t="s">
        <v>1573</v>
      </c>
      <c r="Z464" s="335" t="s">
        <v>1574</v>
      </c>
      <c r="AA464" s="344"/>
      <c r="AB464" s="344"/>
      <c r="AC464" s="344"/>
      <c r="AD464" s="345"/>
    </row>
    <row r="465" spans="1:30" s="346" customFormat="1" ht="24.75" customHeight="1" x14ac:dyDescent="0.35">
      <c r="A465" s="314"/>
      <c r="B465" s="331"/>
      <c r="C465" s="323"/>
      <c r="D465" s="332"/>
      <c r="E465" s="331"/>
      <c r="F465" s="331">
        <v>384</v>
      </c>
      <c r="G465" s="331"/>
      <c r="H465" s="317"/>
      <c r="I465" s="331"/>
      <c r="J465" s="331"/>
      <c r="K465" s="331"/>
      <c r="L465" s="331"/>
      <c r="M465" s="331"/>
      <c r="N465" s="331"/>
      <c r="O465" s="331"/>
      <c r="P465" s="331"/>
      <c r="Q465" s="331"/>
      <c r="R465" s="331"/>
      <c r="S465" s="331"/>
      <c r="T465" s="331"/>
      <c r="U465" s="331"/>
      <c r="V465" s="331"/>
      <c r="W465" s="331" t="s">
        <v>1122</v>
      </c>
      <c r="X465" s="323"/>
      <c r="Y465" s="323"/>
      <c r="Z465" s="364"/>
      <c r="AA465" s="344"/>
      <c r="AB465" s="344"/>
      <c r="AC465" s="344"/>
      <c r="AD465" s="345"/>
    </row>
    <row r="466" spans="1:30" s="346" customFormat="1" ht="24.75" customHeight="1" x14ac:dyDescent="0.35">
      <c r="A466" s="325">
        <v>229</v>
      </c>
      <c r="B466" s="331" t="s">
        <v>1025</v>
      </c>
      <c r="C466" s="323" t="s">
        <v>266</v>
      </c>
      <c r="D466" s="332" t="s">
        <v>16</v>
      </c>
      <c r="E466" s="331" t="s">
        <v>1025</v>
      </c>
      <c r="F466" s="331"/>
      <c r="G466" s="331" t="s">
        <v>1025</v>
      </c>
      <c r="H466" s="326">
        <f>H464+F465</f>
        <v>88101.277999999991</v>
      </c>
      <c r="I466" s="331">
        <v>453.99299999999999</v>
      </c>
      <c r="J466" s="331">
        <v>78.5</v>
      </c>
      <c r="K466" s="331">
        <f>F465+F467</f>
        <v>766</v>
      </c>
      <c r="L466" s="331">
        <f>K466/2</f>
        <v>383</v>
      </c>
      <c r="M466" s="331">
        <v>233</v>
      </c>
      <c r="N466" s="331">
        <v>208</v>
      </c>
      <c r="O466" s="331">
        <v>441</v>
      </c>
      <c r="P466" s="331">
        <v>220</v>
      </c>
      <c r="Q466" s="331">
        <v>203</v>
      </c>
      <c r="R466" s="331">
        <v>423</v>
      </c>
      <c r="S466" s="331" t="s">
        <v>1703</v>
      </c>
      <c r="T466" s="331" t="s">
        <v>1704</v>
      </c>
      <c r="U466" s="331">
        <v>596728.63199999998</v>
      </c>
      <c r="V466" s="331">
        <v>2644597.0529999998</v>
      </c>
      <c r="W466" s="331"/>
      <c r="X466" s="315" t="s">
        <v>1705</v>
      </c>
      <c r="Y466" s="315" t="s">
        <v>1706</v>
      </c>
      <c r="Z466" s="335" t="s">
        <v>359</v>
      </c>
      <c r="AA466" s="344"/>
      <c r="AB466" s="344"/>
      <c r="AC466" s="344"/>
      <c r="AD466" s="345"/>
    </row>
    <row r="467" spans="1:30" s="346" customFormat="1" ht="24.75" customHeight="1" x14ac:dyDescent="0.35">
      <c r="A467" s="314"/>
      <c r="B467" s="331"/>
      <c r="C467" s="323"/>
      <c r="D467" s="332"/>
      <c r="E467" s="331"/>
      <c r="F467" s="331">
        <v>382</v>
      </c>
      <c r="G467" s="331"/>
      <c r="H467" s="317"/>
      <c r="I467" s="331"/>
      <c r="J467" s="331"/>
      <c r="K467" s="331"/>
      <c r="L467" s="331"/>
      <c r="M467" s="331"/>
      <c r="N467" s="331"/>
      <c r="O467" s="331"/>
      <c r="P467" s="331"/>
      <c r="Q467" s="331"/>
      <c r="R467" s="331"/>
      <c r="S467" s="331"/>
      <c r="T467" s="331"/>
      <c r="U467" s="331"/>
      <c r="V467" s="331"/>
      <c r="W467" s="331" t="s">
        <v>1087</v>
      </c>
      <c r="X467" s="323"/>
      <c r="Y467" s="323"/>
      <c r="Z467" s="364"/>
      <c r="AA467" s="344"/>
      <c r="AB467" s="344"/>
      <c r="AC467" s="344"/>
      <c r="AD467" s="345"/>
    </row>
    <row r="468" spans="1:30" s="346" customFormat="1" ht="24.75" customHeight="1" x14ac:dyDescent="0.35">
      <c r="A468" s="325">
        <v>230</v>
      </c>
      <c r="B468" s="332" t="s">
        <v>1707</v>
      </c>
      <c r="C468" s="315" t="s">
        <v>267</v>
      </c>
      <c r="D468" s="332" t="s">
        <v>28</v>
      </c>
      <c r="E468" s="332" t="s">
        <v>1708</v>
      </c>
      <c r="F468" s="358"/>
      <c r="G468" s="331">
        <f>SUM(F445:F467)</f>
        <v>4736</v>
      </c>
      <c r="H468" s="326">
        <f>H466+F467</f>
        <v>88483.277999999991</v>
      </c>
      <c r="I468" s="358">
        <v>457.08800000000002</v>
      </c>
      <c r="J468" s="315">
        <v>70.72</v>
      </c>
      <c r="K468" s="331">
        <f>F467+F469</f>
        <v>739</v>
      </c>
      <c r="L468" s="331">
        <f>K468/2</f>
        <v>369.5</v>
      </c>
      <c r="M468" s="332">
        <v>175</v>
      </c>
      <c r="N468" s="332">
        <v>157</v>
      </c>
      <c r="O468" s="332">
        <v>332</v>
      </c>
      <c r="P468" s="332">
        <v>180</v>
      </c>
      <c r="Q468" s="332">
        <v>164</v>
      </c>
      <c r="R468" s="332">
        <v>344</v>
      </c>
      <c r="S468" s="332" t="s">
        <v>1709</v>
      </c>
      <c r="T468" s="332" t="s">
        <v>1710</v>
      </c>
      <c r="U468" s="333">
        <v>597081.15300000005</v>
      </c>
      <c r="V468" s="333">
        <v>2644449.8309999998</v>
      </c>
      <c r="W468" s="334"/>
      <c r="X468" s="315" t="s">
        <v>1705</v>
      </c>
      <c r="Y468" s="315" t="s">
        <v>1706</v>
      </c>
      <c r="Z468" s="335" t="s">
        <v>359</v>
      </c>
      <c r="AA468" s="344"/>
      <c r="AB468" s="344"/>
      <c r="AC468" s="344"/>
      <c r="AD468" s="345"/>
    </row>
    <row r="469" spans="1:30" s="346" customFormat="1" ht="24.75" customHeight="1" x14ac:dyDescent="0.35">
      <c r="A469" s="314"/>
      <c r="B469" s="332"/>
      <c r="C469" s="332"/>
      <c r="D469" s="332"/>
      <c r="E469" s="332"/>
      <c r="F469" s="362">
        <v>357</v>
      </c>
      <c r="G469" s="332"/>
      <c r="H469" s="317"/>
      <c r="I469" s="358"/>
      <c r="J469" s="358"/>
      <c r="K469" s="331"/>
      <c r="L469" s="331"/>
      <c r="M469" s="332"/>
      <c r="N469" s="332"/>
      <c r="O469" s="332"/>
      <c r="P469" s="332"/>
      <c r="Q469" s="332"/>
      <c r="R469" s="332"/>
      <c r="S469" s="332"/>
      <c r="T469" s="332"/>
      <c r="U469" s="333"/>
      <c r="V469" s="333"/>
      <c r="W469" s="334" t="s">
        <v>1711</v>
      </c>
      <c r="X469" s="323"/>
      <c r="Y469" s="323"/>
      <c r="Z469" s="364"/>
      <c r="AA469" s="344"/>
      <c r="AB469" s="344"/>
      <c r="AC469" s="344"/>
      <c r="AD469" s="345"/>
    </row>
    <row r="470" spans="1:30" s="346" customFormat="1" ht="24.75" customHeight="1" x14ac:dyDescent="0.35">
      <c r="A470" s="325">
        <v>231</v>
      </c>
      <c r="B470" s="332" t="s">
        <v>1025</v>
      </c>
      <c r="C470" s="332" t="s">
        <v>268</v>
      </c>
      <c r="D470" s="332" t="s">
        <v>31</v>
      </c>
      <c r="E470" s="332" t="s">
        <v>1025</v>
      </c>
      <c r="F470" s="362"/>
      <c r="G470" s="332" t="s">
        <v>1025</v>
      </c>
      <c r="H470" s="326">
        <f>H468+F469</f>
        <v>88840.277999999991</v>
      </c>
      <c r="I470" s="358">
        <v>460.63499999999999</v>
      </c>
      <c r="J470" s="331">
        <v>72.5</v>
      </c>
      <c r="K470" s="331">
        <f>F469+F471</f>
        <v>708</v>
      </c>
      <c r="L470" s="331">
        <f>K470/2</f>
        <v>354</v>
      </c>
      <c r="M470" s="332">
        <v>200</v>
      </c>
      <c r="N470" s="332">
        <v>165</v>
      </c>
      <c r="O470" s="332">
        <v>365</v>
      </c>
      <c r="P470" s="332">
        <v>194</v>
      </c>
      <c r="Q470" s="332">
        <v>168</v>
      </c>
      <c r="R470" s="332">
        <v>362</v>
      </c>
      <c r="S470" s="332" t="s">
        <v>1712</v>
      </c>
      <c r="T470" s="332" t="s">
        <v>1713</v>
      </c>
      <c r="U470" s="333">
        <v>597422.68700000003</v>
      </c>
      <c r="V470" s="333">
        <v>2644345.89</v>
      </c>
      <c r="W470" s="334"/>
      <c r="X470" s="315" t="s">
        <v>1705</v>
      </c>
      <c r="Y470" s="315" t="s">
        <v>1706</v>
      </c>
      <c r="Z470" s="335" t="s">
        <v>359</v>
      </c>
      <c r="AA470" s="344"/>
      <c r="AB470" s="344"/>
      <c r="AC470" s="344"/>
      <c r="AD470" s="345"/>
    </row>
    <row r="471" spans="1:30" s="346" customFormat="1" ht="24.75" customHeight="1" x14ac:dyDescent="0.35">
      <c r="A471" s="314"/>
      <c r="B471" s="332"/>
      <c r="C471" s="332"/>
      <c r="D471" s="332"/>
      <c r="E471" s="332"/>
      <c r="F471" s="362">
        <v>351</v>
      </c>
      <c r="G471" s="332"/>
      <c r="H471" s="317"/>
      <c r="I471" s="358"/>
      <c r="J471" s="358"/>
      <c r="K471" s="331"/>
      <c r="L471" s="331"/>
      <c r="M471" s="332"/>
      <c r="N471" s="332"/>
      <c r="O471" s="332"/>
      <c r="P471" s="332"/>
      <c r="Q471" s="332"/>
      <c r="R471" s="332"/>
      <c r="S471" s="332"/>
      <c r="T471" s="332"/>
      <c r="U471" s="333"/>
      <c r="V471" s="333"/>
      <c r="W471" s="334" t="s">
        <v>1714</v>
      </c>
      <c r="X471" s="323"/>
      <c r="Y471" s="323"/>
      <c r="Z471" s="364"/>
      <c r="AA471" s="344"/>
      <c r="AB471" s="344"/>
      <c r="AC471" s="344"/>
      <c r="AD471" s="345"/>
    </row>
    <row r="472" spans="1:30" s="346" customFormat="1" ht="24.75" customHeight="1" x14ac:dyDescent="0.35">
      <c r="A472" s="325">
        <v>232</v>
      </c>
      <c r="B472" s="332" t="s">
        <v>1025</v>
      </c>
      <c r="C472" s="332" t="s">
        <v>269</v>
      </c>
      <c r="D472" s="332" t="s">
        <v>14</v>
      </c>
      <c r="E472" s="332" t="s">
        <v>1025</v>
      </c>
      <c r="F472" s="362"/>
      <c r="G472" s="332" t="s">
        <v>1025</v>
      </c>
      <c r="H472" s="326">
        <f>H470+F471</f>
        <v>89191.277999999991</v>
      </c>
      <c r="I472" s="358">
        <v>463.93400000000003</v>
      </c>
      <c r="J472" s="331">
        <v>71</v>
      </c>
      <c r="K472" s="331">
        <f>F471+F473</f>
        <v>764</v>
      </c>
      <c r="L472" s="331">
        <f>K472/2</f>
        <v>382</v>
      </c>
      <c r="M472" s="332">
        <v>187</v>
      </c>
      <c r="N472" s="332">
        <v>212</v>
      </c>
      <c r="O472" s="332">
        <v>399</v>
      </c>
      <c r="P472" s="332">
        <v>183</v>
      </c>
      <c r="Q472" s="332">
        <v>210</v>
      </c>
      <c r="R472" s="332">
        <v>393</v>
      </c>
      <c r="S472" s="332" t="s">
        <v>1715</v>
      </c>
      <c r="T472" s="332" t="s">
        <v>1716</v>
      </c>
      <c r="U472" s="333">
        <v>597758.48</v>
      </c>
      <c r="V472" s="333">
        <v>2644243.696</v>
      </c>
      <c r="W472" s="334"/>
      <c r="X472" s="315" t="s">
        <v>1705</v>
      </c>
      <c r="Y472" s="315" t="s">
        <v>1706</v>
      </c>
      <c r="Z472" s="335" t="s">
        <v>359</v>
      </c>
      <c r="AA472" s="344"/>
      <c r="AB472" s="344"/>
      <c r="AC472" s="344"/>
      <c r="AD472" s="345"/>
    </row>
    <row r="473" spans="1:30" s="346" customFormat="1" ht="28" x14ac:dyDescent="0.35">
      <c r="A473" s="314"/>
      <c r="B473" s="332"/>
      <c r="C473" s="332"/>
      <c r="D473" s="332"/>
      <c r="E473" s="332"/>
      <c r="F473" s="362">
        <v>413</v>
      </c>
      <c r="G473" s="332"/>
      <c r="H473" s="317"/>
      <c r="I473" s="358"/>
      <c r="J473" s="358"/>
      <c r="K473" s="331"/>
      <c r="L473" s="331"/>
      <c r="M473" s="332"/>
      <c r="N473" s="332"/>
      <c r="O473" s="332"/>
      <c r="P473" s="332"/>
      <c r="Q473" s="332"/>
      <c r="R473" s="332"/>
      <c r="S473" s="332"/>
      <c r="T473" s="332"/>
      <c r="U473" s="333"/>
      <c r="V473" s="333"/>
      <c r="W473" s="334" t="s">
        <v>1717</v>
      </c>
      <c r="X473" s="323"/>
      <c r="Y473" s="323"/>
      <c r="Z473" s="364"/>
      <c r="AA473" s="344"/>
      <c r="AB473" s="344"/>
      <c r="AC473" s="344"/>
      <c r="AD473" s="345"/>
    </row>
    <row r="474" spans="1:30" s="346" customFormat="1" ht="24.75" customHeight="1" x14ac:dyDescent="0.35">
      <c r="A474" s="325">
        <v>233</v>
      </c>
      <c r="B474" s="332" t="s">
        <v>1025</v>
      </c>
      <c r="C474" s="332" t="s">
        <v>270</v>
      </c>
      <c r="D474" s="332" t="s">
        <v>33</v>
      </c>
      <c r="E474" s="332" t="s">
        <v>1025</v>
      </c>
      <c r="F474" s="362"/>
      <c r="G474" s="332" t="s">
        <v>1025</v>
      </c>
      <c r="H474" s="326">
        <f>H472+F473</f>
        <v>89604.277999999991</v>
      </c>
      <c r="I474" s="358">
        <v>458.51100000000002</v>
      </c>
      <c r="J474" s="331">
        <v>75.5</v>
      </c>
      <c r="K474" s="331">
        <f>F473+F475</f>
        <v>836</v>
      </c>
      <c r="L474" s="331">
        <f>K474/2</f>
        <v>418</v>
      </c>
      <c r="M474" s="332">
        <v>202</v>
      </c>
      <c r="N474" s="332">
        <v>202</v>
      </c>
      <c r="O474" s="332">
        <v>404</v>
      </c>
      <c r="P474" s="332">
        <v>204</v>
      </c>
      <c r="Q474" s="332">
        <v>206</v>
      </c>
      <c r="R474" s="332">
        <v>410</v>
      </c>
      <c r="S474" s="332" t="s">
        <v>1718</v>
      </c>
      <c r="T474" s="332" t="s">
        <v>1719</v>
      </c>
      <c r="U474" s="333">
        <v>598153.58799999999</v>
      </c>
      <c r="V474" s="333">
        <v>2644123.4509999999</v>
      </c>
      <c r="W474" s="334"/>
      <c r="X474" s="315" t="s">
        <v>1705</v>
      </c>
      <c r="Y474" s="315" t="s">
        <v>1706</v>
      </c>
      <c r="Z474" s="335" t="s">
        <v>359</v>
      </c>
      <c r="AA474" s="344"/>
      <c r="AB474" s="344"/>
      <c r="AC474" s="344"/>
      <c r="AD474" s="345"/>
    </row>
    <row r="475" spans="1:30" s="346" customFormat="1" ht="24.75" customHeight="1" x14ac:dyDescent="0.35">
      <c r="A475" s="314"/>
      <c r="B475" s="332"/>
      <c r="C475" s="332"/>
      <c r="D475" s="332"/>
      <c r="E475" s="332"/>
      <c r="F475" s="362">
        <v>423</v>
      </c>
      <c r="G475" s="332"/>
      <c r="H475" s="317"/>
      <c r="I475" s="358"/>
      <c r="J475" s="358"/>
      <c r="K475" s="331"/>
      <c r="L475" s="331"/>
      <c r="M475" s="332"/>
      <c r="N475" s="332"/>
      <c r="O475" s="332"/>
      <c r="P475" s="332"/>
      <c r="Q475" s="332"/>
      <c r="R475" s="332"/>
      <c r="S475" s="332"/>
      <c r="T475" s="332"/>
      <c r="U475" s="333"/>
      <c r="V475" s="333"/>
      <c r="W475" s="334" t="s">
        <v>1720</v>
      </c>
      <c r="X475" s="323"/>
      <c r="Y475" s="323"/>
      <c r="Z475" s="364"/>
      <c r="AA475" s="344"/>
      <c r="AB475" s="344"/>
      <c r="AC475" s="344"/>
      <c r="AD475" s="345"/>
    </row>
    <row r="476" spans="1:30" s="346" customFormat="1" ht="24.75" customHeight="1" x14ac:dyDescent="0.35">
      <c r="A476" s="325">
        <v>234</v>
      </c>
      <c r="B476" s="332" t="s">
        <v>1025</v>
      </c>
      <c r="C476" s="332" t="s">
        <v>271</v>
      </c>
      <c r="D476" s="332" t="s">
        <v>14</v>
      </c>
      <c r="E476" s="332" t="s">
        <v>1025</v>
      </c>
      <c r="F476" s="362"/>
      <c r="G476" s="332" t="s">
        <v>1025</v>
      </c>
      <c r="H476" s="326">
        <f>H474+F475</f>
        <v>90027.277999999991</v>
      </c>
      <c r="I476" s="358">
        <v>464.90300000000002</v>
      </c>
      <c r="J476" s="331">
        <v>71</v>
      </c>
      <c r="K476" s="331">
        <f>F475+F477</f>
        <v>813</v>
      </c>
      <c r="L476" s="331">
        <f>K476/2</f>
        <v>406.5</v>
      </c>
      <c r="M476" s="332">
        <v>221</v>
      </c>
      <c r="N476" s="332">
        <v>184</v>
      </c>
      <c r="O476" s="332">
        <v>405</v>
      </c>
      <c r="P476" s="332">
        <v>219</v>
      </c>
      <c r="Q476" s="332">
        <v>188</v>
      </c>
      <c r="R476" s="332">
        <v>407</v>
      </c>
      <c r="S476" s="332" t="s">
        <v>1721</v>
      </c>
      <c r="T476" s="332" t="s">
        <v>1722</v>
      </c>
      <c r="U476" s="333">
        <v>598558.26199999999</v>
      </c>
      <c r="V476" s="333">
        <v>2644000.2940000002</v>
      </c>
      <c r="W476" s="334"/>
      <c r="X476" s="315" t="s">
        <v>1705</v>
      </c>
      <c r="Y476" s="315" t="s">
        <v>1706</v>
      </c>
      <c r="Z476" s="335" t="s">
        <v>359</v>
      </c>
      <c r="AA476" s="344"/>
      <c r="AB476" s="344"/>
      <c r="AC476" s="344"/>
      <c r="AD476" s="345"/>
    </row>
    <row r="477" spans="1:30" s="346" customFormat="1" ht="28" x14ac:dyDescent="0.35">
      <c r="A477" s="314"/>
      <c r="B477" s="332"/>
      <c r="C477" s="332"/>
      <c r="D477" s="332"/>
      <c r="E477" s="332"/>
      <c r="F477" s="362">
        <v>390</v>
      </c>
      <c r="G477" s="332"/>
      <c r="H477" s="317"/>
      <c r="I477" s="358"/>
      <c r="J477" s="358"/>
      <c r="K477" s="331"/>
      <c r="L477" s="331"/>
      <c r="M477" s="332"/>
      <c r="N477" s="332"/>
      <c r="O477" s="332"/>
      <c r="P477" s="332"/>
      <c r="Q477" s="332"/>
      <c r="R477" s="332"/>
      <c r="S477" s="332"/>
      <c r="T477" s="332"/>
      <c r="U477" s="333"/>
      <c r="V477" s="333"/>
      <c r="W477" s="334" t="s">
        <v>1723</v>
      </c>
      <c r="X477" s="323"/>
      <c r="Y477" s="323"/>
      <c r="Z477" s="364"/>
      <c r="AA477" s="344"/>
      <c r="AB477" s="344"/>
      <c r="AC477" s="344"/>
      <c r="AD477" s="345"/>
    </row>
    <row r="478" spans="1:30" s="346" customFormat="1" ht="24.75" customHeight="1" x14ac:dyDescent="0.35">
      <c r="A478" s="325">
        <v>235</v>
      </c>
      <c r="B478" s="332" t="s">
        <v>1025</v>
      </c>
      <c r="C478" s="332" t="s">
        <v>272</v>
      </c>
      <c r="D478" s="332" t="s">
        <v>31</v>
      </c>
      <c r="E478" s="332" t="s">
        <v>1025</v>
      </c>
      <c r="F478" s="362"/>
      <c r="G478" s="332" t="s">
        <v>1025</v>
      </c>
      <c r="H478" s="326">
        <f>H476+F477</f>
        <v>90417.277999999991</v>
      </c>
      <c r="I478" s="358">
        <v>465.40499999999997</v>
      </c>
      <c r="J478" s="331">
        <v>72.5</v>
      </c>
      <c r="K478" s="331">
        <f>F477+F479</f>
        <v>796</v>
      </c>
      <c r="L478" s="331">
        <f>K478/2</f>
        <v>398</v>
      </c>
      <c r="M478" s="332">
        <v>206</v>
      </c>
      <c r="N478" s="332">
        <v>165</v>
      </c>
      <c r="O478" s="332">
        <v>371</v>
      </c>
      <c r="P478" s="332">
        <v>203</v>
      </c>
      <c r="Q478" s="332">
        <v>177</v>
      </c>
      <c r="R478" s="332">
        <v>380</v>
      </c>
      <c r="S478" s="332" t="s">
        <v>1724</v>
      </c>
      <c r="T478" s="332" t="s">
        <v>1725</v>
      </c>
      <c r="U478" s="333">
        <v>598931.36699999997</v>
      </c>
      <c r="V478" s="333">
        <v>2643886.7450000001</v>
      </c>
      <c r="W478" s="334"/>
      <c r="X478" s="315" t="s">
        <v>1705</v>
      </c>
      <c r="Y478" s="315" t="s">
        <v>1706</v>
      </c>
      <c r="Z478" s="335" t="s">
        <v>359</v>
      </c>
      <c r="AA478" s="344"/>
      <c r="AB478" s="344"/>
      <c r="AC478" s="344"/>
      <c r="AD478" s="345"/>
    </row>
    <row r="479" spans="1:30" s="346" customFormat="1" ht="24.75" customHeight="1" x14ac:dyDescent="0.35">
      <c r="A479" s="314"/>
      <c r="B479" s="332"/>
      <c r="C479" s="332"/>
      <c r="D479" s="332"/>
      <c r="E479" s="332"/>
      <c r="F479" s="362">
        <v>406</v>
      </c>
      <c r="G479" s="332"/>
      <c r="H479" s="317"/>
      <c r="I479" s="358"/>
      <c r="J479" s="358"/>
      <c r="K479" s="331"/>
      <c r="L479" s="331"/>
      <c r="M479" s="332"/>
      <c r="N479" s="332"/>
      <c r="O479" s="332"/>
      <c r="P479" s="332"/>
      <c r="Q479" s="332"/>
      <c r="R479" s="332"/>
      <c r="S479" s="332"/>
      <c r="T479" s="332"/>
      <c r="U479" s="333"/>
      <c r="V479" s="333"/>
      <c r="W479" s="334"/>
      <c r="X479" s="323"/>
      <c r="Y479" s="323"/>
      <c r="Z479" s="364"/>
      <c r="AA479" s="344"/>
      <c r="AB479" s="344"/>
      <c r="AC479" s="344"/>
      <c r="AD479" s="345"/>
    </row>
    <row r="480" spans="1:30" s="346" customFormat="1" ht="24.75" customHeight="1" x14ac:dyDescent="0.35">
      <c r="A480" s="325">
        <v>236</v>
      </c>
      <c r="B480" s="332" t="s">
        <v>1025</v>
      </c>
      <c r="C480" s="332" t="s">
        <v>273</v>
      </c>
      <c r="D480" s="332" t="s">
        <v>33</v>
      </c>
      <c r="E480" s="332" t="s">
        <v>1025</v>
      </c>
      <c r="F480" s="362"/>
      <c r="G480" s="332" t="s">
        <v>1025</v>
      </c>
      <c r="H480" s="326">
        <f>H478+F479</f>
        <v>90823.277999999991</v>
      </c>
      <c r="I480" s="358">
        <v>469.71199999999999</v>
      </c>
      <c r="J480" s="331">
        <v>75.5</v>
      </c>
      <c r="K480" s="331">
        <f>F479+F481</f>
        <v>796</v>
      </c>
      <c r="L480" s="331">
        <f>K480/2</f>
        <v>398</v>
      </c>
      <c r="M480" s="332">
        <v>242</v>
      </c>
      <c r="N480" s="332">
        <v>257</v>
      </c>
      <c r="O480" s="332">
        <v>499</v>
      </c>
      <c r="P480" s="332">
        <v>230</v>
      </c>
      <c r="Q480" s="332">
        <v>238</v>
      </c>
      <c r="R480" s="332">
        <v>468</v>
      </c>
      <c r="S480" s="332" t="s">
        <v>1726</v>
      </c>
      <c r="T480" s="332" t="s">
        <v>1727</v>
      </c>
      <c r="U480" s="333">
        <v>599319.777</v>
      </c>
      <c r="V480" s="333">
        <v>2643768.5380000002</v>
      </c>
      <c r="W480" s="334"/>
      <c r="X480" s="315" t="s">
        <v>1705</v>
      </c>
      <c r="Y480" s="315" t="s">
        <v>1706</v>
      </c>
      <c r="Z480" s="335" t="s">
        <v>359</v>
      </c>
      <c r="AA480" s="344"/>
      <c r="AB480" s="344"/>
      <c r="AC480" s="344"/>
      <c r="AD480" s="345"/>
    </row>
    <row r="481" spans="1:30" s="346" customFormat="1" ht="24.75" customHeight="1" x14ac:dyDescent="0.35">
      <c r="A481" s="314"/>
      <c r="B481" s="332"/>
      <c r="C481" s="332"/>
      <c r="D481" s="332"/>
      <c r="E481" s="332"/>
      <c r="F481" s="362">
        <v>390</v>
      </c>
      <c r="G481" s="332"/>
      <c r="H481" s="317"/>
      <c r="I481" s="358"/>
      <c r="J481" s="358"/>
      <c r="K481" s="331"/>
      <c r="L481" s="331"/>
      <c r="M481" s="332"/>
      <c r="N481" s="332"/>
      <c r="O481" s="332"/>
      <c r="P481" s="332"/>
      <c r="Q481" s="332"/>
      <c r="R481" s="332"/>
      <c r="S481" s="332"/>
      <c r="T481" s="332"/>
      <c r="U481" s="333"/>
      <c r="V481" s="333"/>
      <c r="W481" s="334" t="s">
        <v>1728</v>
      </c>
      <c r="X481" s="323"/>
      <c r="Y481" s="323"/>
      <c r="Z481" s="364"/>
      <c r="AA481" s="344"/>
      <c r="AB481" s="344"/>
      <c r="AC481" s="344"/>
      <c r="AD481" s="345"/>
    </row>
    <row r="482" spans="1:30" s="346" customFormat="1" ht="24.75" customHeight="1" x14ac:dyDescent="0.35">
      <c r="A482" s="325">
        <v>237</v>
      </c>
      <c r="B482" s="332" t="s">
        <v>1025</v>
      </c>
      <c r="C482" s="332" t="s">
        <v>274</v>
      </c>
      <c r="D482" s="332" t="s">
        <v>14</v>
      </c>
      <c r="E482" s="332" t="s">
        <v>1025</v>
      </c>
      <c r="F482" s="362"/>
      <c r="G482" s="332" t="s">
        <v>1025</v>
      </c>
      <c r="H482" s="326">
        <f>H480+F481</f>
        <v>91213.277999999991</v>
      </c>
      <c r="I482" s="358">
        <v>462.94099999999997</v>
      </c>
      <c r="J482" s="331">
        <v>71</v>
      </c>
      <c r="K482" s="331">
        <f>F481+F483</f>
        <v>783</v>
      </c>
      <c r="L482" s="331">
        <f>K482/2</f>
        <v>391.5</v>
      </c>
      <c r="M482" s="332">
        <v>133</v>
      </c>
      <c r="N482" s="332">
        <v>224</v>
      </c>
      <c r="O482" s="332">
        <v>357</v>
      </c>
      <c r="P482" s="332">
        <v>153</v>
      </c>
      <c r="Q482" s="332">
        <v>216</v>
      </c>
      <c r="R482" s="332">
        <v>369</v>
      </c>
      <c r="S482" s="332" t="s">
        <v>1729</v>
      </c>
      <c r="T482" s="332" t="s">
        <v>1730</v>
      </c>
      <c r="U482" s="333">
        <v>599692.88199999998</v>
      </c>
      <c r="V482" s="333">
        <v>2643654.9890000001</v>
      </c>
      <c r="W482" s="341" t="s">
        <v>1236</v>
      </c>
      <c r="X482" s="315" t="s">
        <v>1731</v>
      </c>
      <c r="Y482" s="315" t="s">
        <v>1706</v>
      </c>
      <c r="Z482" s="335" t="s">
        <v>359</v>
      </c>
      <c r="AA482" s="347">
        <v>0</v>
      </c>
      <c r="AB482" s="347">
        <v>0</v>
      </c>
      <c r="AC482" s="347">
        <v>1.5</v>
      </c>
      <c r="AD482" s="367">
        <v>2</v>
      </c>
    </row>
    <row r="483" spans="1:30" s="346" customFormat="1" ht="24.75" customHeight="1" x14ac:dyDescent="0.35">
      <c r="A483" s="314"/>
      <c r="B483" s="332"/>
      <c r="C483" s="332"/>
      <c r="D483" s="332"/>
      <c r="E483" s="332"/>
      <c r="F483" s="362">
        <v>393</v>
      </c>
      <c r="G483" s="332"/>
      <c r="H483" s="317"/>
      <c r="I483" s="358"/>
      <c r="J483" s="358"/>
      <c r="K483" s="331"/>
      <c r="L483" s="331"/>
      <c r="M483" s="332"/>
      <c r="N483" s="332"/>
      <c r="O483" s="332"/>
      <c r="P483" s="332"/>
      <c r="Q483" s="332"/>
      <c r="R483" s="332"/>
      <c r="S483" s="332"/>
      <c r="T483" s="332"/>
      <c r="U483" s="333"/>
      <c r="V483" s="333"/>
      <c r="W483" s="334" t="s">
        <v>1037</v>
      </c>
      <c r="X483" s="323"/>
      <c r="Y483" s="323"/>
      <c r="Z483" s="364"/>
      <c r="AA483" s="344"/>
      <c r="AB483" s="344"/>
      <c r="AC483" s="344"/>
      <c r="AD483" s="345"/>
    </row>
    <row r="484" spans="1:30" s="346" customFormat="1" ht="24.75" customHeight="1" x14ac:dyDescent="0.35">
      <c r="A484" s="325">
        <v>238</v>
      </c>
      <c r="B484" s="332" t="s">
        <v>1025</v>
      </c>
      <c r="C484" s="332" t="s">
        <v>275</v>
      </c>
      <c r="D484" s="332" t="s">
        <v>31</v>
      </c>
      <c r="E484" s="332" t="s">
        <v>1025</v>
      </c>
      <c r="F484" s="362"/>
      <c r="G484" s="332" t="s">
        <v>1025</v>
      </c>
      <c r="H484" s="326">
        <f>H482+F483</f>
        <v>91606.277999999991</v>
      </c>
      <c r="I484" s="358">
        <v>456.47500000000002</v>
      </c>
      <c r="J484" s="331">
        <v>72.5</v>
      </c>
      <c r="K484" s="331">
        <f>F483+F485</f>
        <v>819</v>
      </c>
      <c r="L484" s="331">
        <f>K484/2</f>
        <v>409.5</v>
      </c>
      <c r="M484" s="332">
        <v>170</v>
      </c>
      <c r="N484" s="332">
        <v>208</v>
      </c>
      <c r="O484" s="332">
        <v>378</v>
      </c>
      <c r="P484" s="332">
        <v>178</v>
      </c>
      <c r="Q484" s="332">
        <v>210</v>
      </c>
      <c r="R484" s="332">
        <v>388</v>
      </c>
      <c r="S484" s="332" t="s">
        <v>1732</v>
      </c>
      <c r="T484" s="332" t="s">
        <v>1733</v>
      </c>
      <c r="U484" s="333">
        <v>600068.85600000003</v>
      </c>
      <c r="V484" s="333">
        <v>2643540.5669999998</v>
      </c>
      <c r="W484" s="334"/>
      <c r="X484" s="315" t="s">
        <v>1731</v>
      </c>
      <c r="Y484" s="315" t="s">
        <v>1706</v>
      </c>
      <c r="Z484" s="335" t="s">
        <v>359</v>
      </c>
      <c r="AA484" s="344"/>
      <c r="AB484" s="344"/>
      <c r="AC484" s="344"/>
      <c r="AD484" s="345"/>
    </row>
    <row r="485" spans="1:30" s="346" customFormat="1" ht="28" x14ac:dyDescent="0.35">
      <c r="A485" s="314"/>
      <c r="B485" s="332"/>
      <c r="C485" s="332"/>
      <c r="D485" s="332"/>
      <c r="E485" s="332"/>
      <c r="F485" s="362">
        <v>426</v>
      </c>
      <c r="G485" s="332"/>
      <c r="H485" s="317"/>
      <c r="I485" s="358"/>
      <c r="J485" s="358"/>
      <c r="K485" s="331"/>
      <c r="L485" s="331"/>
      <c r="M485" s="332"/>
      <c r="N485" s="332"/>
      <c r="O485" s="332"/>
      <c r="P485" s="332"/>
      <c r="Q485" s="332"/>
      <c r="R485" s="332"/>
      <c r="S485" s="332"/>
      <c r="T485" s="332"/>
      <c r="U485" s="333"/>
      <c r="V485" s="333"/>
      <c r="W485" s="334" t="s">
        <v>1734</v>
      </c>
      <c r="X485" s="323"/>
      <c r="Y485" s="323"/>
      <c r="Z485" s="364"/>
      <c r="AA485" s="344"/>
      <c r="AB485" s="344"/>
      <c r="AC485" s="344"/>
      <c r="AD485" s="345"/>
    </row>
    <row r="486" spans="1:30" s="346" customFormat="1" ht="24.75" customHeight="1" x14ac:dyDescent="0.35">
      <c r="A486" s="325">
        <v>239</v>
      </c>
      <c r="B486" s="332" t="s">
        <v>1025</v>
      </c>
      <c r="C486" s="332" t="s">
        <v>276</v>
      </c>
      <c r="D486" s="332" t="s">
        <v>33</v>
      </c>
      <c r="E486" s="332" t="s">
        <v>1025</v>
      </c>
      <c r="F486" s="362"/>
      <c r="G486" s="332" t="s">
        <v>1025</v>
      </c>
      <c r="H486" s="326">
        <f>H484+F485</f>
        <v>92032.277999999991</v>
      </c>
      <c r="I486" s="358">
        <v>454.55900000000003</v>
      </c>
      <c r="J486" s="331">
        <v>75.5</v>
      </c>
      <c r="K486" s="331">
        <f>F485+F487</f>
        <v>833</v>
      </c>
      <c r="L486" s="331">
        <f>K486/2</f>
        <v>416.5</v>
      </c>
      <c r="M486" s="332">
        <v>219</v>
      </c>
      <c r="N486" s="332">
        <v>231</v>
      </c>
      <c r="O486" s="332">
        <v>450</v>
      </c>
      <c r="P486" s="332">
        <v>218</v>
      </c>
      <c r="Q486" s="332">
        <v>223</v>
      </c>
      <c r="R486" s="332">
        <v>441</v>
      </c>
      <c r="S486" s="332" t="s">
        <v>1735</v>
      </c>
      <c r="T486" s="332" t="s">
        <v>1736</v>
      </c>
      <c r="U486" s="333">
        <v>600476.4</v>
      </c>
      <c r="V486" s="333">
        <v>2643416.5359999998</v>
      </c>
      <c r="W486" s="334"/>
      <c r="X486" s="315" t="s">
        <v>1737</v>
      </c>
      <c r="Y486" s="315" t="s">
        <v>1706</v>
      </c>
      <c r="Z486" s="335" t="s">
        <v>359</v>
      </c>
      <c r="AA486" s="344"/>
      <c r="AB486" s="344"/>
      <c r="AC486" s="344"/>
      <c r="AD486" s="345"/>
    </row>
    <row r="487" spans="1:30" s="346" customFormat="1" ht="24.75" customHeight="1" x14ac:dyDescent="0.35">
      <c r="A487" s="314"/>
      <c r="B487" s="332"/>
      <c r="C487" s="332"/>
      <c r="D487" s="332"/>
      <c r="E487" s="332"/>
      <c r="F487" s="362">
        <v>407</v>
      </c>
      <c r="G487" s="332"/>
      <c r="H487" s="317"/>
      <c r="I487" s="358"/>
      <c r="J487" s="358"/>
      <c r="K487" s="331"/>
      <c r="L487" s="331"/>
      <c r="M487" s="332"/>
      <c r="N487" s="332"/>
      <c r="O487" s="332"/>
      <c r="P487" s="332"/>
      <c r="Q487" s="332"/>
      <c r="R487" s="332"/>
      <c r="S487" s="332"/>
      <c r="T487" s="332"/>
      <c r="U487" s="333"/>
      <c r="V487" s="333"/>
      <c r="W487" s="334" t="s">
        <v>1738</v>
      </c>
      <c r="X487" s="323"/>
      <c r="Y487" s="323"/>
      <c r="Z487" s="364"/>
      <c r="AA487" s="344"/>
      <c r="AB487" s="344"/>
      <c r="AC487" s="344"/>
      <c r="AD487" s="345"/>
    </row>
    <row r="488" spans="1:30" s="346" customFormat="1" ht="24.75" customHeight="1" x14ac:dyDescent="0.35">
      <c r="A488" s="325">
        <v>240</v>
      </c>
      <c r="B488" s="332" t="s">
        <v>1739</v>
      </c>
      <c r="C488" s="332" t="s">
        <v>277</v>
      </c>
      <c r="D488" s="332" t="s">
        <v>28</v>
      </c>
      <c r="E488" s="332" t="s">
        <v>1740</v>
      </c>
      <c r="F488" s="362"/>
      <c r="G488" s="362">
        <f>SUM(F469:F487)</f>
        <v>3956</v>
      </c>
      <c r="H488" s="326">
        <f>H486+F487</f>
        <v>92439.277999999991</v>
      </c>
      <c r="I488" s="358">
        <v>452.43700000000001</v>
      </c>
      <c r="J488" s="315">
        <v>70.72</v>
      </c>
      <c r="K488" s="331">
        <f>F487+F489</f>
        <v>811</v>
      </c>
      <c r="L488" s="331">
        <f>K488/2</f>
        <v>405.5</v>
      </c>
      <c r="M488" s="332">
        <v>177</v>
      </c>
      <c r="N488" s="332">
        <v>164</v>
      </c>
      <c r="O488" s="332">
        <v>341</v>
      </c>
      <c r="P488" s="332">
        <v>186</v>
      </c>
      <c r="Q488" s="332">
        <v>175</v>
      </c>
      <c r="R488" s="332">
        <v>361</v>
      </c>
      <c r="S488" s="332" t="s">
        <v>1741</v>
      </c>
      <c r="T488" s="332" t="s">
        <v>1742</v>
      </c>
      <c r="U488" s="333">
        <v>600865.78399999999</v>
      </c>
      <c r="V488" s="333">
        <v>2643298.0329999998</v>
      </c>
      <c r="W488" s="334"/>
      <c r="X488" s="315" t="s">
        <v>1737</v>
      </c>
      <c r="Y488" s="315" t="s">
        <v>1706</v>
      </c>
      <c r="Z488" s="335" t="s">
        <v>359</v>
      </c>
      <c r="AA488" s="344"/>
      <c r="AB488" s="344"/>
      <c r="AC488" s="344"/>
      <c r="AD488" s="345"/>
    </row>
    <row r="489" spans="1:30" s="346" customFormat="1" ht="24.75" customHeight="1" x14ac:dyDescent="0.35">
      <c r="A489" s="314"/>
      <c r="B489" s="332"/>
      <c r="C489" s="332"/>
      <c r="D489" s="332"/>
      <c r="E489" s="332"/>
      <c r="F489" s="362">
        <v>404</v>
      </c>
      <c r="G489" s="362"/>
      <c r="H489" s="317"/>
      <c r="I489" s="358"/>
      <c r="J489" s="358"/>
      <c r="K489" s="331"/>
      <c r="L489" s="331"/>
      <c r="M489" s="332"/>
      <c r="N489" s="332"/>
      <c r="O489" s="332"/>
      <c r="P489" s="332"/>
      <c r="Q489" s="332"/>
      <c r="R489" s="332"/>
      <c r="S489" s="332"/>
      <c r="T489" s="332"/>
      <c r="U489" s="333"/>
      <c r="V489" s="333"/>
      <c r="W489" s="334" t="s">
        <v>1743</v>
      </c>
      <c r="X489" s="323"/>
      <c r="Y489" s="323"/>
      <c r="Z489" s="364"/>
      <c r="AA489" s="344"/>
      <c r="AB489" s="344"/>
      <c r="AC489" s="344"/>
      <c r="AD489" s="345"/>
    </row>
    <row r="490" spans="1:30" s="346" customFormat="1" ht="24.75" customHeight="1" x14ac:dyDescent="0.35">
      <c r="A490" s="325">
        <v>241</v>
      </c>
      <c r="B490" s="332" t="s">
        <v>1025</v>
      </c>
      <c r="C490" s="332" t="s">
        <v>278</v>
      </c>
      <c r="D490" s="332" t="s">
        <v>16</v>
      </c>
      <c r="E490" s="332" t="s">
        <v>1025</v>
      </c>
      <c r="F490" s="362"/>
      <c r="G490" s="362" t="s">
        <v>1025</v>
      </c>
      <c r="H490" s="326">
        <f>H488+F489</f>
        <v>92843.277999999991</v>
      </c>
      <c r="I490" s="358">
        <v>453.94200000000001</v>
      </c>
      <c r="J490" s="331">
        <v>78.5</v>
      </c>
      <c r="K490" s="331">
        <f>F489+F491</f>
        <v>822</v>
      </c>
      <c r="L490" s="331">
        <f>K490/2</f>
        <v>411</v>
      </c>
      <c r="M490" s="332">
        <v>241</v>
      </c>
      <c r="N490" s="332">
        <v>251</v>
      </c>
      <c r="O490" s="332">
        <v>492</v>
      </c>
      <c r="P490" s="332">
        <v>230</v>
      </c>
      <c r="Q490" s="332">
        <v>239</v>
      </c>
      <c r="R490" s="332">
        <v>469</v>
      </c>
      <c r="S490" s="332" t="s">
        <v>1744</v>
      </c>
      <c r="T490" s="332" t="s">
        <v>1745</v>
      </c>
      <c r="U490" s="333">
        <v>601239.1</v>
      </c>
      <c r="V490" s="333">
        <v>2643143.594</v>
      </c>
      <c r="W490" s="334"/>
      <c r="X490" s="315" t="s">
        <v>1737</v>
      </c>
      <c r="Y490" s="315" t="s">
        <v>1706</v>
      </c>
      <c r="Z490" s="335" t="s">
        <v>359</v>
      </c>
      <c r="AA490" s="344"/>
      <c r="AB490" s="344"/>
      <c r="AC490" s="344"/>
      <c r="AD490" s="345"/>
    </row>
    <row r="491" spans="1:30" s="346" customFormat="1" ht="24.75" customHeight="1" x14ac:dyDescent="0.35">
      <c r="A491" s="314"/>
      <c r="B491" s="332"/>
      <c r="C491" s="332"/>
      <c r="D491" s="332"/>
      <c r="E491" s="332"/>
      <c r="F491" s="362">
        <v>418</v>
      </c>
      <c r="G491" s="362"/>
      <c r="H491" s="317"/>
      <c r="I491" s="358"/>
      <c r="J491" s="358"/>
      <c r="K491" s="331"/>
      <c r="L491" s="331"/>
      <c r="M491" s="332"/>
      <c r="N491" s="332"/>
      <c r="O491" s="332"/>
      <c r="P491" s="332"/>
      <c r="Q491" s="332"/>
      <c r="R491" s="332"/>
      <c r="S491" s="332"/>
      <c r="T491" s="332"/>
      <c r="U491" s="333"/>
      <c r="V491" s="333"/>
      <c r="W491" s="334" t="s">
        <v>1037</v>
      </c>
      <c r="X491" s="323"/>
      <c r="Y491" s="323"/>
      <c r="Z491" s="364"/>
      <c r="AA491" s="344"/>
      <c r="AB491" s="344"/>
      <c r="AC491" s="344"/>
      <c r="AD491" s="345"/>
    </row>
    <row r="492" spans="1:30" s="346" customFormat="1" ht="24.75" customHeight="1" x14ac:dyDescent="0.35">
      <c r="A492" s="325">
        <v>242</v>
      </c>
      <c r="B492" s="332" t="s">
        <v>1025</v>
      </c>
      <c r="C492" s="332" t="s">
        <v>279</v>
      </c>
      <c r="D492" s="332" t="s">
        <v>31</v>
      </c>
      <c r="E492" s="332" t="s">
        <v>1025</v>
      </c>
      <c r="F492" s="362"/>
      <c r="G492" s="362" t="s">
        <v>1025</v>
      </c>
      <c r="H492" s="326">
        <f>H490+F491</f>
        <v>93261.277999999991</v>
      </c>
      <c r="I492" s="358">
        <v>451.64600000000002</v>
      </c>
      <c r="J492" s="331">
        <v>72.5</v>
      </c>
      <c r="K492" s="331">
        <f>F491+F493</f>
        <v>831</v>
      </c>
      <c r="L492" s="331">
        <f>K492/2</f>
        <v>415.5</v>
      </c>
      <c r="M492" s="332">
        <v>168</v>
      </c>
      <c r="N492" s="332">
        <v>189</v>
      </c>
      <c r="O492" s="332">
        <v>357</v>
      </c>
      <c r="P492" s="332">
        <v>180</v>
      </c>
      <c r="Q492" s="332">
        <v>195</v>
      </c>
      <c r="R492" s="332">
        <v>375</v>
      </c>
      <c r="S492" s="332" t="s">
        <v>1746</v>
      </c>
      <c r="T492" s="332" t="s">
        <v>1747</v>
      </c>
      <c r="U492" s="333">
        <v>601625.35199999996</v>
      </c>
      <c r="V492" s="333">
        <v>2642983.804</v>
      </c>
      <c r="W492" s="334"/>
      <c r="X492" s="315" t="s">
        <v>1737</v>
      </c>
      <c r="Y492" s="315" t="s">
        <v>1706</v>
      </c>
      <c r="Z492" s="335" t="s">
        <v>359</v>
      </c>
      <c r="AA492" s="344"/>
      <c r="AB492" s="344"/>
      <c r="AC492" s="344"/>
      <c r="AD492" s="345"/>
    </row>
    <row r="493" spans="1:30" s="346" customFormat="1" ht="24.75" customHeight="1" x14ac:dyDescent="0.35">
      <c r="A493" s="314"/>
      <c r="B493" s="332"/>
      <c r="C493" s="332"/>
      <c r="D493" s="332"/>
      <c r="E493" s="332"/>
      <c r="F493" s="362">
        <v>413</v>
      </c>
      <c r="G493" s="362"/>
      <c r="H493" s="317"/>
      <c r="I493" s="358"/>
      <c r="J493" s="358"/>
      <c r="K493" s="331"/>
      <c r="L493" s="331"/>
      <c r="M493" s="332"/>
      <c r="N493" s="332"/>
      <c r="O493" s="332"/>
      <c r="P493" s="332"/>
      <c r="Q493" s="332"/>
      <c r="R493" s="332"/>
      <c r="S493" s="332"/>
      <c r="T493" s="332"/>
      <c r="U493" s="333"/>
      <c r="V493" s="333"/>
      <c r="W493" s="334" t="s">
        <v>1748</v>
      </c>
      <c r="X493" s="323"/>
      <c r="Y493" s="323"/>
      <c r="Z493" s="364"/>
      <c r="AA493" s="344"/>
      <c r="AB493" s="344"/>
      <c r="AC493" s="344"/>
      <c r="AD493" s="345"/>
    </row>
    <row r="494" spans="1:30" s="346" customFormat="1" ht="24.75" customHeight="1" x14ac:dyDescent="0.35">
      <c r="A494" s="325">
        <v>243</v>
      </c>
      <c r="B494" s="332" t="s">
        <v>1025</v>
      </c>
      <c r="C494" s="332" t="s">
        <v>280</v>
      </c>
      <c r="D494" s="332" t="s">
        <v>33</v>
      </c>
      <c r="E494" s="332" t="s">
        <v>1025</v>
      </c>
      <c r="F494" s="362"/>
      <c r="G494" s="362" t="s">
        <v>1025</v>
      </c>
      <c r="H494" s="326">
        <f>H492+F493</f>
        <v>93674.277999999991</v>
      </c>
      <c r="I494" s="358">
        <v>452.11399999999998</v>
      </c>
      <c r="J494" s="331">
        <v>75.5</v>
      </c>
      <c r="K494" s="331">
        <f>F493+F495</f>
        <v>823</v>
      </c>
      <c r="L494" s="331">
        <f>K494/2</f>
        <v>411.5</v>
      </c>
      <c r="M494" s="332">
        <v>224</v>
      </c>
      <c r="N494" s="332">
        <v>220</v>
      </c>
      <c r="O494" s="332">
        <v>444</v>
      </c>
      <c r="P494" s="332">
        <v>220</v>
      </c>
      <c r="Q494" s="332">
        <v>216</v>
      </c>
      <c r="R494" s="332">
        <v>436</v>
      </c>
      <c r="S494" s="332" t="s">
        <v>1749</v>
      </c>
      <c r="T494" s="332" t="s">
        <v>1750</v>
      </c>
      <c r="U494" s="333">
        <v>602006.98499999999</v>
      </c>
      <c r="V494" s="333">
        <v>2642825.9249999998</v>
      </c>
      <c r="W494" s="334"/>
      <c r="X494" s="315" t="s">
        <v>1737</v>
      </c>
      <c r="Y494" s="315" t="s">
        <v>1706</v>
      </c>
      <c r="Z494" s="335" t="s">
        <v>359</v>
      </c>
      <c r="AA494" s="344"/>
      <c r="AB494" s="344"/>
      <c r="AC494" s="344"/>
      <c r="AD494" s="345"/>
    </row>
    <row r="495" spans="1:30" s="346" customFormat="1" ht="24.75" customHeight="1" x14ac:dyDescent="0.35">
      <c r="A495" s="314"/>
      <c r="B495" s="332"/>
      <c r="C495" s="332"/>
      <c r="D495" s="332"/>
      <c r="E495" s="332"/>
      <c r="F495" s="362">
        <v>410</v>
      </c>
      <c r="G495" s="362"/>
      <c r="H495" s="317"/>
      <c r="I495" s="358"/>
      <c r="J495" s="358"/>
      <c r="K495" s="331"/>
      <c r="L495" s="331"/>
      <c r="M495" s="332"/>
      <c r="N495" s="332"/>
      <c r="O495" s="332"/>
      <c r="P495" s="332"/>
      <c r="Q495" s="332"/>
      <c r="R495" s="332"/>
      <c r="S495" s="332"/>
      <c r="T495" s="332"/>
      <c r="U495" s="333"/>
      <c r="V495" s="333"/>
      <c r="W495" s="334" t="s">
        <v>1751</v>
      </c>
      <c r="X495" s="323"/>
      <c r="Y495" s="323"/>
      <c r="Z495" s="364"/>
      <c r="AA495" s="344"/>
      <c r="AB495" s="344"/>
      <c r="AC495" s="344"/>
      <c r="AD495" s="345"/>
    </row>
    <row r="496" spans="1:30" s="346" customFormat="1" ht="24.75" customHeight="1" x14ac:dyDescent="0.35">
      <c r="A496" s="325">
        <v>244</v>
      </c>
      <c r="B496" s="332" t="s">
        <v>1025</v>
      </c>
      <c r="C496" s="332" t="s">
        <v>281</v>
      </c>
      <c r="D496" s="332" t="s">
        <v>31</v>
      </c>
      <c r="E496" s="332" t="s">
        <v>1025</v>
      </c>
      <c r="F496" s="362"/>
      <c r="G496" s="362" t="s">
        <v>1025</v>
      </c>
      <c r="H496" s="326">
        <f>H494+F495</f>
        <v>94084.277999999991</v>
      </c>
      <c r="I496" s="358">
        <v>452.14699999999999</v>
      </c>
      <c r="J496" s="331">
        <v>72.5</v>
      </c>
      <c r="K496" s="331">
        <f>F495+F497</f>
        <v>836</v>
      </c>
      <c r="L496" s="331">
        <f>K496/2</f>
        <v>418</v>
      </c>
      <c r="M496" s="332">
        <v>190</v>
      </c>
      <c r="N496" s="332">
        <v>226</v>
      </c>
      <c r="O496" s="332">
        <v>416</v>
      </c>
      <c r="P496" s="332">
        <v>195</v>
      </c>
      <c r="Q496" s="332">
        <v>222</v>
      </c>
      <c r="R496" s="332">
        <v>417</v>
      </c>
      <c r="S496" s="332" t="s">
        <v>1752</v>
      </c>
      <c r="T496" s="332" t="s">
        <v>1753</v>
      </c>
      <c r="U496" s="333">
        <v>602385.84499999997</v>
      </c>
      <c r="V496" s="333">
        <v>2642669.1919999998</v>
      </c>
      <c r="W496" s="334"/>
      <c r="X496" s="315" t="s">
        <v>1737</v>
      </c>
      <c r="Y496" s="315" t="s">
        <v>1706</v>
      </c>
      <c r="Z496" s="335" t="s">
        <v>359</v>
      </c>
      <c r="AA496" s="344"/>
      <c r="AB496" s="344"/>
      <c r="AC496" s="344"/>
      <c r="AD496" s="345"/>
    </row>
    <row r="497" spans="1:30" s="346" customFormat="1" ht="24.75" customHeight="1" x14ac:dyDescent="0.35">
      <c r="A497" s="314"/>
      <c r="B497" s="332"/>
      <c r="C497" s="332"/>
      <c r="D497" s="332"/>
      <c r="E497" s="332"/>
      <c r="F497" s="362">
        <v>426</v>
      </c>
      <c r="G497" s="362"/>
      <c r="H497" s="317"/>
      <c r="I497" s="358"/>
      <c r="J497" s="358"/>
      <c r="K497" s="331"/>
      <c r="L497" s="331"/>
      <c r="M497" s="332"/>
      <c r="N497" s="332"/>
      <c r="O497" s="332"/>
      <c r="P497" s="332"/>
      <c r="Q497" s="332"/>
      <c r="R497" s="332"/>
      <c r="S497" s="332"/>
      <c r="T497" s="332"/>
      <c r="U497" s="333"/>
      <c r="V497" s="333"/>
      <c r="W497" s="334" t="s">
        <v>1277</v>
      </c>
      <c r="X497" s="323"/>
      <c r="Y497" s="323"/>
      <c r="Z497" s="364"/>
      <c r="AA497" s="344"/>
      <c r="AB497" s="344"/>
      <c r="AC497" s="344"/>
      <c r="AD497" s="345"/>
    </row>
    <row r="498" spans="1:30" s="346" customFormat="1" ht="24.75" customHeight="1" x14ac:dyDescent="0.35">
      <c r="A498" s="325">
        <v>245</v>
      </c>
      <c r="B498" s="332" t="s">
        <v>1025</v>
      </c>
      <c r="C498" s="332" t="s">
        <v>282</v>
      </c>
      <c r="D498" s="332" t="s">
        <v>31</v>
      </c>
      <c r="E498" s="332" t="s">
        <v>1025</v>
      </c>
      <c r="F498" s="362"/>
      <c r="G498" s="362" t="s">
        <v>1025</v>
      </c>
      <c r="H498" s="326">
        <f>H496+F497</f>
        <v>94510.277999999991</v>
      </c>
      <c r="I498" s="358">
        <v>449.67</v>
      </c>
      <c r="J498" s="331">
        <v>72.5</v>
      </c>
      <c r="K498" s="331">
        <f>F497+F499</f>
        <v>823</v>
      </c>
      <c r="L498" s="331">
        <f>K498/2</f>
        <v>411.5</v>
      </c>
      <c r="M498" s="332">
        <v>201</v>
      </c>
      <c r="N498" s="332">
        <v>167</v>
      </c>
      <c r="O498" s="332">
        <v>368</v>
      </c>
      <c r="P498" s="332">
        <v>205</v>
      </c>
      <c r="Q498" s="332">
        <v>176</v>
      </c>
      <c r="R498" s="332">
        <v>381</v>
      </c>
      <c r="S498" s="332" t="s">
        <v>1754</v>
      </c>
      <c r="T498" s="332" t="s">
        <v>1755</v>
      </c>
      <c r="U498" s="333">
        <v>602779.49</v>
      </c>
      <c r="V498" s="333">
        <v>2642506.344</v>
      </c>
      <c r="W498" s="334"/>
      <c r="X498" s="315" t="s">
        <v>1756</v>
      </c>
      <c r="Y498" s="315" t="s">
        <v>1706</v>
      </c>
      <c r="Z498" s="335" t="s">
        <v>359</v>
      </c>
      <c r="AA498" s="344"/>
      <c r="AB498" s="344"/>
      <c r="AC498" s="344"/>
      <c r="AD498" s="345"/>
    </row>
    <row r="499" spans="1:30" s="346" customFormat="1" ht="24.75" customHeight="1" x14ac:dyDescent="0.35">
      <c r="A499" s="314"/>
      <c r="B499" s="332"/>
      <c r="C499" s="332"/>
      <c r="D499" s="332"/>
      <c r="E499" s="332"/>
      <c r="F499" s="362">
        <v>397</v>
      </c>
      <c r="G499" s="362"/>
      <c r="H499" s="317"/>
      <c r="I499" s="358"/>
      <c r="J499" s="358"/>
      <c r="K499" s="331"/>
      <c r="L499" s="331"/>
      <c r="M499" s="332"/>
      <c r="N499" s="332"/>
      <c r="O499" s="332"/>
      <c r="P499" s="332"/>
      <c r="Q499" s="332"/>
      <c r="R499" s="332"/>
      <c r="S499" s="332"/>
      <c r="T499" s="332"/>
      <c r="U499" s="333"/>
      <c r="V499" s="333"/>
      <c r="W499" s="334" t="s">
        <v>1757</v>
      </c>
      <c r="X499" s="323"/>
      <c r="Y499" s="323"/>
      <c r="Z499" s="364"/>
      <c r="AA499" s="344"/>
      <c r="AB499" s="344"/>
      <c r="AC499" s="344"/>
      <c r="AD499" s="345"/>
    </row>
    <row r="500" spans="1:30" s="346" customFormat="1" ht="24.75" customHeight="1" x14ac:dyDescent="0.35">
      <c r="A500" s="325">
        <v>246</v>
      </c>
      <c r="B500" s="332" t="s">
        <v>1025</v>
      </c>
      <c r="C500" s="332" t="s">
        <v>283</v>
      </c>
      <c r="D500" s="332" t="s">
        <v>16</v>
      </c>
      <c r="E500" s="332" t="s">
        <v>1025</v>
      </c>
      <c r="F500" s="362"/>
      <c r="G500" s="362" t="s">
        <v>1025</v>
      </c>
      <c r="H500" s="326">
        <f>H498+F499</f>
        <v>94907.277999999991</v>
      </c>
      <c r="I500" s="358">
        <v>449.78</v>
      </c>
      <c r="J500" s="331">
        <v>78.5</v>
      </c>
      <c r="K500" s="331">
        <f>F499+F501</f>
        <v>801</v>
      </c>
      <c r="L500" s="331">
        <f>K500/2</f>
        <v>400.5</v>
      </c>
      <c r="M500" s="332">
        <v>231</v>
      </c>
      <c r="N500" s="332">
        <v>108</v>
      </c>
      <c r="O500" s="332">
        <v>339</v>
      </c>
      <c r="P500" s="332">
        <v>222</v>
      </c>
      <c r="Q500" s="332" t="s">
        <v>1758</v>
      </c>
      <c r="R500" s="332">
        <v>358</v>
      </c>
      <c r="S500" s="332" t="s">
        <v>1759</v>
      </c>
      <c r="T500" s="332" t="s">
        <v>1760</v>
      </c>
      <c r="U500" s="333">
        <v>603146.33700000006</v>
      </c>
      <c r="V500" s="333">
        <v>2642354.5809999998</v>
      </c>
      <c r="W500" s="334"/>
      <c r="X500" s="315" t="s">
        <v>1761</v>
      </c>
      <c r="Y500" s="315" t="s">
        <v>1706</v>
      </c>
      <c r="Z500" s="335" t="s">
        <v>359</v>
      </c>
      <c r="AA500" s="344"/>
      <c r="AB500" s="344"/>
      <c r="AC500" s="344"/>
      <c r="AD500" s="345"/>
    </row>
    <row r="501" spans="1:30" s="346" customFormat="1" ht="24.75" customHeight="1" x14ac:dyDescent="0.35">
      <c r="A501" s="314"/>
      <c r="B501" s="332"/>
      <c r="C501" s="332"/>
      <c r="D501" s="332"/>
      <c r="E501" s="332"/>
      <c r="F501" s="362">
        <v>404</v>
      </c>
      <c r="G501" s="362"/>
      <c r="H501" s="317"/>
      <c r="I501" s="358"/>
      <c r="J501" s="358"/>
      <c r="K501" s="331"/>
      <c r="L501" s="331"/>
      <c r="M501" s="332"/>
      <c r="N501" s="332"/>
      <c r="O501" s="332"/>
      <c r="P501" s="332"/>
      <c r="Q501" s="332"/>
      <c r="R501" s="332"/>
      <c r="S501" s="332"/>
      <c r="T501" s="332"/>
      <c r="U501" s="333"/>
      <c r="V501" s="333"/>
      <c r="W501" s="334" t="s">
        <v>1464</v>
      </c>
      <c r="X501" s="323"/>
      <c r="Y501" s="323"/>
      <c r="Z501" s="364"/>
      <c r="AA501" s="344"/>
      <c r="AB501" s="344"/>
      <c r="AC501" s="344"/>
      <c r="AD501" s="345"/>
    </row>
    <row r="502" spans="1:30" s="346" customFormat="1" ht="24.75" customHeight="1" x14ac:dyDescent="0.35">
      <c r="A502" s="325">
        <v>247</v>
      </c>
      <c r="B502" s="332" t="s">
        <v>1762</v>
      </c>
      <c r="C502" s="332" t="s">
        <v>284</v>
      </c>
      <c r="D502" s="332" t="s">
        <v>146</v>
      </c>
      <c r="E502" s="332" t="s">
        <v>1763</v>
      </c>
      <c r="F502" s="362"/>
      <c r="G502" s="362">
        <f>SUM(F489:F501)</f>
        <v>2872</v>
      </c>
      <c r="H502" s="326">
        <f>H500+F501</f>
        <v>95311.277999999991</v>
      </c>
      <c r="I502" s="358">
        <v>455.99200000000002</v>
      </c>
      <c r="J502" s="358">
        <v>88.72</v>
      </c>
      <c r="K502" s="331">
        <f>F501+F503</f>
        <v>628</v>
      </c>
      <c r="L502" s="331">
        <f>K502/2</f>
        <v>314</v>
      </c>
      <c r="M502" s="332">
        <v>297</v>
      </c>
      <c r="N502" s="332">
        <v>166</v>
      </c>
      <c r="O502" s="332">
        <v>463</v>
      </c>
      <c r="P502" s="332">
        <v>269</v>
      </c>
      <c r="Q502" s="332">
        <v>136</v>
      </c>
      <c r="R502" s="332">
        <v>405</v>
      </c>
      <c r="S502" s="332" t="s">
        <v>1764</v>
      </c>
      <c r="T502" s="332" t="s">
        <v>1765</v>
      </c>
      <c r="U502" s="333">
        <v>603519.99399999995</v>
      </c>
      <c r="V502" s="333">
        <v>2642200.0010000002</v>
      </c>
      <c r="W502" s="334"/>
      <c r="X502" s="315" t="s">
        <v>1761</v>
      </c>
      <c r="Y502" s="315" t="s">
        <v>1706</v>
      </c>
      <c r="Z502" s="335" t="s">
        <v>359</v>
      </c>
      <c r="AA502" s="344"/>
      <c r="AB502" s="344"/>
      <c r="AC502" s="344"/>
      <c r="AD502" s="345"/>
    </row>
    <row r="503" spans="1:30" s="346" customFormat="1" ht="24.75" customHeight="1" x14ac:dyDescent="0.35">
      <c r="A503" s="314"/>
      <c r="B503" s="332"/>
      <c r="C503" s="332"/>
      <c r="D503" s="332"/>
      <c r="E503" s="332"/>
      <c r="F503" s="362">
        <v>224</v>
      </c>
      <c r="G503" s="362"/>
      <c r="H503" s="317"/>
      <c r="I503" s="358"/>
      <c r="J503" s="358"/>
      <c r="K503" s="331"/>
      <c r="L503" s="331"/>
      <c r="M503" s="332"/>
      <c r="N503" s="332"/>
      <c r="O503" s="332"/>
      <c r="P503" s="332"/>
      <c r="Q503" s="332"/>
      <c r="R503" s="332"/>
      <c r="S503" s="332"/>
      <c r="T503" s="332"/>
      <c r="U503" s="333"/>
      <c r="V503" s="333"/>
      <c r="W503" s="339" t="s">
        <v>1766</v>
      </c>
      <c r="X503" s="323"/>
      <c r="Y503" s="323"/>
      <c r="Z503" s="364"/>
      <c r="AA503" s="344"/>
      <c r="AB503" s="344"/>
      <c r="AC503" s="344"/>
      <c r="AD503" s="345"/>
    </row>
    <row r="504" spans="1:30" s="346" customFormat="1" ht="24.75" customHeight="1" x14ac:dyDescent="0.35">
      <c r="A504" s="325">
        <v>248</v>
      </c>
      <c r="B504" s="332" t="s">
        <v>1767</v>
      </c>
      <c r="C504" s="332" t="s">
        <v>285</v>
      </c>
      <c r="D504" s="332" t="s">
        <v>118</v>
      </c>
      <c r="E504" s="332" t="s">
        <v>1768</v>
      </c>
      <c r="F504" s="362"/>
      <c r="G504" s="362">
        <v>224</v>
      </c>
      <c r="H504" s="326">
        <f>H502+F503</f>
        <v>95535.277999999991</v>
      </c>
      <c r="I504" s="358">
        <v>460.38099999999997</v>
      </c>
      <c r="J504" s="358">
        <v>79.72</v>
      </c>
      <c r="K504" s="331">
        <f>F503+F505</f>
        <v>646</v>
      </c>
      <c r="L504" s="331">
        <f>K504/2</f>
        <v>323</v>
      </c>
      <c r="M504" s="332">
        <v>58</v>
      </c>
      <c r="N504" s="332">
        <v>269</v>
      </c>
      <c r="O504" s="332">
        <v>327</v>
      </c>
      <c r="P504" s="332">
        <v>88</v>
      </c>
      <c r="Q504" s="332">
        <v>250</v>
      </c>
      <c r="R504" s="332">
        <v>338</v>
      </c>
      <c r="S504" s="332" t="s">
        <v>1769</v>
      </c>
      <c r="T504" s="332" t="s">
        <v>1770</v>
      </c>
      <c r="U504" s="333">
        <v>603743.63100000005</v>
      </c>
      <c r="V504" s="333">
        <v>2642190.9309999999</v>
      </c>
      <c r="W504" s="334"/>
      <c r="X504" s="315" t="s">
        <v>1761</v>
      </c>
      <c r="Y504" s="315" t="s">
        <v>1706</v>
      </c>
      <c r="Z504" s="335" t="s">
        <v>359</v>
      </c>
      <c r="AA504" s="344"/>
      <c r="AB504" s="344"/>
      <c r="AC504" s="344"/>
      <c r="AD504" s="345"/>
    </row>
    <row r="505" spans="1:30" s="346" customFormat="1" ht="24.75" customHeight="1" x14ac:dyDescent="0.35">
      <c r="A505" s="314"/>
      <c r="B505" s="332"/>
      <c r="C505" s="332"/>
      <c r="D505" s="332"/>
      <c r="E505" s="332"/>
      <c r="F505" s="362">
        <v>422</v>
      </c>
      <c r="G505" s="362"/>
      <c r="H505" s="317"/>
      <c r="I505" s="358"/>
      <c r="J505" s="358"/>
      <c r="K505" s="331"/>
      <c r="L505" s="331"/>
      <c r="M505" s="332"/>
      <c r="N505" s="332"/>
      <c r="O505" s="332"/>
      <c r="P505" s="332"/>
      <c r="Q505" s="332"/>
      <c r="R505" s="332"/>
      <c r="S505" s="332"/>
      <c r="T505" s="332"/>
      <c r="U505" s="333"/>
      <c r="V505" s="333"/>
      <c r="W505" s="334" t="s">
        <v>1277</v>
      </c>
      <c r="X505" s="323"/>
      <c r="Y505" s="323"/>
      <c r="Z505" s="364"/>
      <c r="AA505" s="344"/>
      <c r="AB505" s="344"/>
      <c r="AC505" s="344"/>
      <c r="AD505" s="345"/>
    </row>
    <row r="506" spans="1:30" s="346" customFormat="1" ht="24.75" customHeight="1" x14ac:dyDescent="0.35">
      <c r="A506" s="325">
        <v>249</v>
      </c>
      <c r="B506" s="332" t="s">
        <v>1025</v>
      </c>
      <c r="C506" s="332" t="s">
        <v>286</v>
      </c>
      <c r="D506" s="332" t="s">
        <v>31</v>
      </c>
      <c r="E506" s="332" t="s">
        <v>1025</v>
      </c>
      <c r="F506" s="362"/>
      <c r="G506" s="362" t="s">
        <v>1025</v>
      </c>
      <c r="H506" s="326">
        <f>H504+F505</f>
        <v>95957.277999999991</v>
      </c>
      <c r="I506" s="358">
        <v>458.358</v>
      </c>
      <c r="J506" s="331">
        <v>72.5</v>
      </c>
      <c r="K506" s="331">
        <f>F505+F507</f>
        <v>765</v>
      </c>
      <c r="L506" s="331">
        <f>K506/2</f>
        <v>382.5</v>
      </c>
      <c r="M506" s="332">
        <v>154</v>
      </c>
      <c r="N506" s="332">
        <v>174</v>
      </c>
      <c r="O506" s="332">
        <v>328</v>
      </c>
      <c r="P506" s="332">
        <v>174</v>
      </c>
      <c r="Q506" s="332">
        <v>173</v>
      </c>
      <c r="R506" s="332">
        <v>347</v>
      </c>
      <c r="S506" s="332" t="s">
        <v>1771</v>
      </c>
      <c r="T506" s="332" t="s">
        <v>1772</v>
      </c>
      <c r="U506" s="333">
        <v>604093.49899999995</v>
      </c>
      <c r="V506" s="333">
        <v>2641954.9730000002</v>
      </c>
      <c r="W506" s="334"/>
      <c r="X506" s="315" t="s">
        <v>1761</v>
      </c>
      <c r="Y506" s="315" t="s">
        <v>1706</v>
      </c>
      <c r="Z506" s="335" t="s">
        <v>359</v>
      </c>
      <c r="AA506" s="344"/>
      <c r="AB506" s="344"/>
      <c r="AC506" s="344"/>
      <c r="AD506" s="345"/>
    </row>
    <row r="507" spans="1:30" s="346" customFormat="1" ht="24.75" customHeight="1" x14ac:dyDescent="0.35">
      <c r="A507" s="314"/>
      <c r="B507" s="332"/>
      <c r="C507" s="332"/>
      <c r="D507" s="332"/>
      <c r="E507" s="332"/>
      <c r="F507" s="362">
        <v>343</v>
      </c>
      <c r="G507" s="362"/>
      <c r="H507" s="317"/>
      <c r="I507" s="358"/>
      <c r="J507" s="358"/>
      <c r="K507" s="331"/>
      <c r="L507" s="331"/>
      <c r="M507" s="332"/>
      <c r="N507" s="332"/>
      <c r="O507" s="332"/>
      <c r="P507" s="332"/>
      <c r="Q507" s="332"/>
      <c r="R507" s="332"/>
      <c r="S507" s="332"/>
      <c r="T507" s="332"/>
      <c r="U507" s="333"/>
      <c r="V507" s="333"/>
      <c r="W507" s="334" t="s">
        <v>1773</v>
      </c>
      <c r="X507" s="323"/>
      <c r="Y507" s="323"/>
      <c r="Z507" s="364"/>
      <c r="AA507" s="344"/>
      <c r="AB507" s="344"/>
      <c r="AC507" s="344"/>
      <c r="AD507" s="345"/>
    </row>
    <row r="508" spans="1:30" s="346" customFormat="1" ht="24.75" customHeight="1" x14ac:dyDescent="0.35">
      <c r="A508" s="325">
        <v>250</v>
      </c>
      <c r="B508" s="332" t="s">
        <v>1025</v>
      </c>
      <c r="C508" s="332" t="s">
        <v>287</v>
      </c>
      <c r="D508" s="332" t="s">
        <v>23</v>
      </c>
      <c r="E508" s="332" t="s">
        <v>1025</v>
      </c>
      <c r="F508" s="362"/>
      <c r="G508" s="362" t="s">
        <v>1025</v>
      </c>
      <c r="H508" s="326">
        <f>H506+F507</f>
        <v>96300.277999999991</v>
      </c>
      <c r="I508" s="358">
        <v>461.041</v>
      </c>
      <c r="J508" s="331">
        <v>69.5</v>
      </c>
      <c r="K508" s="331">
        <f>F507+F509</f>
        <v>703</v>
      </c>
      <c r="L508" s="331">
        <f>K508/2</f>
        <v>351.5</v>
      </c>
      <c r="M508" s="332">
        <v>170</v>
      </c>
      <c r="N508" s="332">
        <v>189</v>
      </c>
      <c r="O508" s="332">
        <v>359</v>
      </c>
      <c r="P508" s="332">
        <v>171</v>
      </c>
      <c r="Q508" s="332">
        <v>186</v>
      </c>
      <c r="R508" s="332">
        <v>357</v>
      </c>
      <c r="S508" s="332" t="s">
        <v>1774</v>
      </c>
      <c r="T508" s="332" t="s">
        <v>1775</v>
      </c>
      <c r="U508" s="333">
        <v>604377.87100000004</v>
      </c>
      <c r="V508" s="333">
        <v>2641763.1869999999</v>
      </c>
      <c r="W508" s="334"/>
      <c r="X508" s="315" t="s">
        <v>1761</v>
      </c>
      <c r="Y508" s="315" t="s">
        <v>1706</v>
      </c>
      <c r="Z508" s="335" t="s">
        <v>359</v>
      </c>
      <c r="AA508" s="344"/>
      <c r="AB508" s="344"/>
      <c r="AC508" s="344"/>
      <c r="AD508" s="345"/>
    </row>
    <row r="509" spans="1:30" s="346" customFormat="1" ht="24.75" customHeight="1" x14ac:dyDescent="0.35">
      <c r="A509" s="314"/>
      <c r="B509" s="332"/>
      <c r="C509" s="332"/>
      <c r="D509" s="332"/>
      <c r="E509" s="332"/>
      <c r="F509" s="363">
        <f>350+10</f>
        <v>360</v>
      </c>
      <c r="G509" s="362"/>
      <c r="H509" s="317"/>
      <c r="I509" s="358"/>
      <c r="J509" s="358"/>
      <c r="K509" s="331"/>
      <c r="L509" s="331"/>
      <c r="M509" s="332"/>
      <c r="N509" s="332"/>
      <c r="O509" s="332"/>
      <c r="P509" s="332"/>
      <c r="Q509" s="332"/>
      <c r="R509" s="332"/>
      <c r="S509" s="332"/>
      <c r="T509" s="332"/>
      <c r="U509" s="333"/>
      <c r="V509" s="333"/>
      <c r="W509" s="334" t="s">
        <v>1314</v>
      </c>
      <c r="X509" s="323"/>
      <c r="Y509" s="323"/>
      <c r="Z509" s="364"/>
      <c r="AA509" s="344"/>
      <c r="AB509" s="344"/>
      <c r="AC509" s="344"/>
      <c r="AD509" s="345"/>
    </row>
    <row r="510" spans="1:30" s="346" customFormat="1" ht="24.75" customHeight="1" x14ac:dyDescent="0.35">
      <c r="A510" s="325">
        <v>251</v>
      </c>
      <c r="B510" s="332" t="s">
        <v>1025</v>
      </c>
      <c r="C510" s="332" t="s">
        <v>288</v>
      </c>
      <c r="D510" s="332" t="s">
        <v>23</v>
      </c>
      <c r="E510" s="332" t="s">
        <v>1025</v>
      </c>
      <c r="F510" s="363"/>
      <c r="G510" s="362" t="s">
        <v>1025</v>
      </c>
      <c r="H510" s="326">
        <f>H508+F509</f>
        <v>96660.277999999991</v>
      </c>
      <c r="I510" s="358">
        <v>459.48500000000001</v>
      </c>
      <c r="J510" s="331">
        <v>69.5</v>
      </c>
      <c r="K510" s="359">
        <f>F509+F511</f>
        <v>699.68200000000002</v>
      </c>
      <c r="L510" s="360">
        <f>K510/2</f>
        <v>349.84100000000001</v>
      </c>
      <c r="M510" s="332">
        <v>171</v>
      </c>
      <c r="N510" s="332">
        <v>121</v>
      </c>
      <c r="O510" s="332">
        <v>292</v>
      </c>
      <c r="P510" s="332">
        <v>175</v>
      </c>
      <c r="Q510" s="332">
        <v>138</v>
      </c>
      <c r="R510" s="332">
        <v>313</v>
      </c>
      <c r="S510" s="332" t="s">
        <v>2106</v>
      </c>
      <c r="T510" s="332" t="s">
        <v>2107</v>
      </c>
      <c r="U510" s="332">
        <v>604676.33400000003</v>
      </c>
      <c r="V510" s="332">
        <v>2641561.8969999999</v>
      </c>
      <c r="W510" s="334"/>
      <c r="X510" s="315" t="s">
        <v>1776</v>
      </c>
      <c r="Y510" s="315" t="s">
        <v>1706</v>
      </c>
      <c r="Z510" s="335" t="s">
        <v>359</v>
      </c>
      <c r="AA510" s="344"/>
      <c r="AB510" s="344"/>
      <c r="AC510" s="344"/>
      <c r="AD510" s="345"/>
    </row>
    <row r="511" spans="1:30" s="346" customFormat="1" ht="24.75" customHeight="1" x14ac:dyDescent="0.35">
      <c r="A511" s="314"/>
      <c r="B511" s="332"/>
      <c r="C511" s="332"/>
      <c r="D511" s="332"/>
      <c r="E511" s="332"/>
      <c r="F511" s="363">
        <f>349.682-10</f>
        <v>339.68200000000002</v>
      </c>
      <c r="G511" s="362"/>
      <c r="H511" s="317"/>
      <c r="I511" s="358"/>
      <c r="J511" s="358"/>
      <c r="K511" s="359"/>
      <c r="L511" s="360"/>
      <c r="M511" s="332"/>
      <c r="N511" s="332"/>
      <c r="O511" s="332"/>
      <c r="P511" s="332"/>
      <c r="Q511" s="332"/>
      <c r="R511" s="332"/>
      <c r="S511" s="332"/>
      <c r="T511" s="332"/>
      <c r="U511" s="333"/>
      <c r="V511" s="333"/>
      <c r="W511" s="334" t="s">
        <v>1777</v>
      </c>
      <c r="X511" s="323"/>
      <c r="Y511" s="323"/>
      <c r="Z511" s="364"/>
      <c r="AA511" s="344"/>
      <c r="AB511" s="344"/>
      <c r="AC511" s="344"/>
      <c r="AD511" s="345"/>
    </row>
    <row r="512" spans="1:30" s="351" customFormat="1" ht="24.75" customHeight="1" x14ac:dyDescent="0.35">
      <c r="A512" s="325">
        <v>252</v>
      </c>
      <c r="B512" s="315" t="s">
        <v>1778</v>
      </c>
      <c r="C512" s="315" t="s">
        <v>289</v>
      </c>
      <c r="D512" s="315" t="s">
        <v>40</v>
      </c>
      <c r="E512" s="315" t="s">
        <v>1779</v>
      </c>
      <c r="F512" s="316"/>
      <c r="G512" s="363">
        <f>SUM(F505:F511)</f>
        <v>1464.682</v>
      </c>
      <c r="H512" s="326">
        <f>H510+F511</f>
        <v>96999.959999999992</v>
      </c>
      <c r="I512" s="316">
        <v>464.21</v>
      </c>
      <c r="J512" s="315">
        <v>70.72</v>
      </c>
      <c r="K512" s="359">
        <f>F511+F513</f>
        <v>748.68200000000002</v>
      </c>
      <c r="L512" s="360">
        <f>K512/2</f>
        <v>374.34100000000001</v>
      </c>
      <c r="M512" s="332">
        <v>219</v>
      </c>
      <c r="N512" s="332">
        <v>152</v>
      </c>
      <c r="O512" s="332">
        <v>371</v>
      </c>
      <c r="P512" s="332">
        <v>203</v>
      </c>
      <c r="Q512" s="332">
        <v>168</v>
      </c>
      <c r="R512" s="332">
        <v>371</v>
      </c>
      <c r="S512" s="315" t="s">
        <v>2108</v>
      </c>
      <c r="T512" s="315" t="s">
        <v>2109</v>
      </c>
      <c r="U512" s="318">
        <v>604957.95700000005</v>
      </c>
      <c r="V512" s="318">
        <v>2641371.9649999999</v>
      </c>
      <c r="W512" s="320"/>
      <c r="X512" s="315" t="s">
        <v>1776</v>
      </c>
      <c r="Y512" s="315" t="s">
        <v>1706</v>
      </c>
      <c r="Z512" s="322" t="s">
        <v>359</v>
      </c>
      <c r="AA512" s="349"/>
      <c r="AB512" s="349"/>
      <c r="AC512" s="349"/>
      <c r="AD512" s="350"/>
    </row>
    <row r="513" spans="1:30" s="351" customFormat="1" ht="24.75" customHeight="1" x14ac:dyDescent="0.35">
      <c r="A513" s="314"/>
      <c r="B513" s="315"/>
      <c r="C513" s="315"/>
      <c r="D513" s="315"/>
      <c r="E513" s="315"/>
      <c r="F513" s="316">
        <v>409</v>
      </c>
      <c r="G513" s="316"/>
      <c r="H513" s="317"/>
      <c r="I513" s="316"/>
      <c r="J513" s="315"/>
      <c r="K513" s="316"/>
      <c r="L513" s="316"/>
      <c r="M513" s="315"/>
      <c r="N513" s="315"/>
      <c r="O513" s="315"/>
      <c r="P513" s="315"/>
      <c r="Q513" s="315"/>
      <c r="R513" s="315"/>
      <c r="S513" s="315"/>
      <c r="T513" s="315"/>
      <c r="U513" s="318"/>
      <c r="V513" s="318"/>
      <c r="W513" s="320" t="s">
        <v>1780</v>
      </c>
      <c r="X513" s="323"/>
      <c r="Y513" s="323"/>
      <c r="Z513" s="365"/>
      <c r="AA513" s="349"/>
      <c r="AB513" s="349"/>
      <c r="AC513" s="349"/>
      <c r="AD513" s="350"/>
    </row>
    <row r="514" spans="1:30" s="351" customFormat="1" ht="24.75" customHeight="1" x14ac:dyDescent="0.35">
      <c r="A514" s="325">
        <v>253</v>
      </c>
      <c r="B514" s="315" t="s">
        <v>1025</v>
      </c>
      <c r="C514" s="315" t="s">
        <v>290</v>
      </c>
      <c r="D514" s="315" t="s">
        <v>35</v>
      </c>
      <c r="E514" s="315" t="s">
        <v>1025</v>
      </c>
      <c r="F514" s="316"/>
      <c r="G514" s="316"/>
      <c r="H514" s="326">
        <f>H512+F513</f>
        <v>97408.959999999992</v>
      </c>
      <c r="I514" s="316">
        <v>472.85399999999998</v>
      </c>
      <c r="J514" s="315">
        <v>74</v>
      </c>
      <c r="K514" s="316">
        <v>800.06299999999999</v>
      </c>
      <c r="L514" s="316">
        <v>400.03149999999999</v>
      </c>
      <c r="M514" s="315">
        <v>258</v>
      </c>
      <c r="N514" s="315">
        <v>197</v>
      </c>
      <c r="O514" s="315">
        <v>455</v>
      </c>
      <c r="P514" s="315">
        <v>242</v>
      </c>
      <c r="Q514" s="315">
        <v>197</v>
      </c>
      <c r="R514" s="315">
        <v>439</v>
      </c>
      <c r="S514" s="315" t="s">
        <v>2110</v>
      </c>
      <c r="T514" s="315" t="s">
        <v>2111</v>
      </c>
      <c r="U514" s="318">
        <v>605361.56299999997</v>
      </c>
      <c r="V514" s="318">
        <v>2641305.7590000001</v>
      </c>
      <c r="W514" s="320"/>
      <c r="X514" s="315" t="s">
        <v>1776</v>
      </c>
      <c r="Y514" s="315" t="s">
        <v>1706</v>
      </c>
      <c r="Z514" s="322" t="s">
        <v>359</v>
      </c>
      <c r="AA514" s="349"/>
      <c r="AB514" s="349"/>
      <c r="AC514" s="349"/>
      <c r="AD514" s="350"/>
    </row>
    <row r="515" spans="1:30" s="351" customFormat="1" ht="24.75" customHeight="1" x14ac:dyDescent="0.35">
      <c r="A515" s="314"/>
      <c r="B515" s="315"/>
      <c r="C515" s="315"/>
      <c r="D515" s="315"/>
      <c r="E515" s="315"/>
      <c r="F515" s="316">
        <v>391.06299999999999</v>
      </c>
      <c r="G515" s="316"/>
      <c r="H515" s="317"/>
      <c r="I515" s="316"/>
      <c r="J515" s="315"/>
      <c r="K515" s="316"/>
      <c r="L515" s="316"/>
      <c r="M515" s="315"/>
      <c r="N515" s="315"/>
      <c r="O515" s="315"/>
      <c r="P515" s="315"/>
      <c r="Q515" s="315"/>
      <c r="R515" s="315"/>
      <c r="S515" s="315"/>
      <c r="T515" s="315"/>
      <c r="U515" s="318"/>
      <c r="V515" s="318"/>
      <c r="W515" s="320" t="s">
        <v>1069</v>
      </c>
      <c r="X515" s="323"/>
      <c r="Y515" s="323"/>
      <c r="Z515" s="365"/>
      <c r="AA515" s="349"/>
      <c r="AB515" s="349"/>
      <c r="AC515" s="349"/>
      <c r="AD515" s="350"/>
    </row>
    <row r="516" spans="1:30" s="351" customFormat="1" ht="24.75" customHeight="1" x14ac:dyDescent="0.35">
      <c r="A516" s="325">
        <v>254</v>
      </c>
      <c r="B516" s="315" t="s">
        <v>1781</v>
      </c>
      <c r="C516" s="315" t="s">
        <v>291</v>
      </c>
      <c r="D516" s="315" t="s">
        <v>113</v>
      </c>
      <c r="E516" s="315" t="s">
        <v>1782</v>
      </c>
      <c r="F516" s="368"/>
      <c r="G516" s="316">
        <f>SUM(F513:F515)</f>
        <v>800.06299999999999</v>
      </c>
      <c r="H516" s="326">
        <f>H514+F515</f>
        <v>97800.022999999986</v>
      </c>
      <c r="I516" s="316">
        <v>471.11700000000002</v>
      </c>
      <c r="J516" s="331">
        <v>73.72</v>
      </c>
      <c r="K516" s="316">
        <v>777.13799999999992</v>
      </c>
      <c r="L516" s="316">
        <v>388.56899999999996</v>
      </c>
      <c r="M516" s="315">
        <v>195</v>
      </c>
      <c r="N516" s="315">
        <v>251</v>
      </c>
      <c r="O516" s="315">
        <v>446</v>
      </c>
      <c r="P516" s="315">
        <v>195</v>
      </c>
      <c r="Q516" s="315">
        <v>233</v>
      </c>
      <c r="R516" s="315">
        <v>428</v>
      </c>
      <c r="S516" s="315" t="s">
        <v>2112</v>
      </c>
      <c r="T516" s="315" t="s">
        <v>2113</v>
      </c>
      <c r="U516" s="318">
        <v>605747.46799999999</v>
      </c>
      <c r="V516" s="318">
        <v>2641242.4559999998</v>
      </c>
      <c r="W516" s="320"/>
      <c r="X516" s="315" t="s">
        <v>1776</v>
      </c>
      <c r="Y516" s="315" t="s">
        <v>1706</v>
      </c>
      <c r="Z516" s="322" t="s">
        <v>359</v>
      </c>
      <c r="AA516" s="349"/>
      <c r="AB516" s="349"/>
      <c r="AC516" s="349"/>
      <c r="AD516" s="350"/>
    </row>
    <row r="517" spans="1:30" s="351" customFormat="1" ht="42" x14ac:dyDescent="0.35">
      <c r="A517" s="314"/>
      <c r="B517" s="315"/>
      <c r="C517" s="315"/>
      <c r="D517" s="315"/>
      <c r="E517" s="315"/>
      <c r="F517" s="316">
        <v>386.07499999999999</v>
      </c>
      <c r="G517" s="316"/>
      <c r="H517" s="317"/>
      <c r="I517" s="316"/>
      <c r="J517" s="315"/>
      <c r="K517" s="316"/>
      <c r="L517" s="316"/>
      <c r="M517" s="315"/>
      <c r="N517" s="315"/>
      <c r="O517" s="315"/>
      <c r="P517" s="315"/>
      <c r="Q517" s="315"/>
      <c r="R517" s="315"/>
      <c r="S517" s="315"/>
      <c r="T517" s="315"/>
      <c r="U517" s="318"/>
      <c r="V517" s="318"/>
      <c r="W517" s="320" t="s">
        <v>1783</v>
      </c>
      <c r="X517" s="323"/>
      <c r="Y517" s="323"/>
      <c r="Z517" s="365"/>
      <c r="AA517" s="349"/>
      <c r="AB517" s="349"/>
      <c r="AC517" s="349"/>
      <c r="AD517" s="350"/>
    </row>
    <row r="518" spans="1:30" s="351" customFormat="1" ht="24.75" customHeight="1" x14ac:dyDescent="0.35">
      <c r="A518" s="325">
        <v>255</v>
      </c>
      <c r="B518" s="315" t="s">
        <v>1784</v>
      </c>
      <c r="C518" s="315" t="s">
        <v>292</v>
      </c>
      <c r="D518" s="315" t="s">
        <v>803</v>
      </c>
      <c r="E518" s="315" t="s">
        <v>1785</v>
      </c>
      <c r="F518" s="316"/>
      <c r="G518" s="316">
        <f>SUM(F517)</f>
        <v>386.07499999999999</v>
      </c>
      <c r="H518" s="326">
        <f>H516+F517</f>
        <v>98186.097999999984</v>
      </c>
      <c r="I518" s="316">
        <v>465.35899999999998</v>
      </c>
      <c r="J518" s="315">
        <v>70.72</v>
      </c>
      <c r="K518" s="316">
        <v>758.96199999999999</v>
      </c>
      <c r="L518" s="316">
        <v>379.48099999999999</v>
      </c>
      <c r="M518" s="315">
        <v>136</v>
      </c>
      <c r="N518" s="315">
        <v>203</v>
      </c>
      <c r="O518" s="315">
        <v>339</v>
      </c>
      <c r="P518" s="315">
        <v>155</v>
      </c>
      <c r="Q518" s="315">
        <v>198</v>
      </c>
      <c r="R518" s="315">
        <v>353</v>
      </c>
      <c r="S518" s="315" t="s">
        <v>2114</v>
      </c>
      <c r="T518" s="315" t="s">
        <v>2115</v>
      </c>
      <c r="U518" s="318">
        <v>606109</v>
      </c>
      <c r="V518" s="318">
        <v>2641107</v>
      </c>
      <c r="W518" s="320"/>
      <c r="X518" s="315" t="s">
        <v>1786</v>
      </c>
      <c r="Y518" s="315" t="s">
        <v>1706</v>
      </c>
      <c r="Z518" s="322" t="s">
        <v>359</v>
      </c>
      <c r="AA518" s="349"/>
      <c r="AB518" s="349"/>
      <c r="AC518" s="349"/>
      <c r="AD518" s="350"/>
    </row>
    <row r="519" spans="1:30" s="351" customFormat="1" ht="28" x14ac:dyDescent="0.35">
      <c r="A519" s="314"/>
      <c r="B519" s="315"/>
      <c r="C519" s="315"/>
      <c r="D519" s="315"/>
      <c r="E519" s="315"/>
      <c r="F519" s="316">
        <v>372.887</v>
      </c>
      <c r="G519" s="316"/>
      <c r="H519" s="317"/>
      <c r="I519" s="316"/>
      <c r="J519" s="315"/>
      <c r="K519" s="316"/>
      <c r="L519" s="316"/>
      <c r="M519" s="315"/>
      <c r="N519" s="315"/>
      <c r="O519" s="315"/>
      <c r="P519" s="315"/>
      <c r="Q519" s="315"/>
      <c r="R519" s="315"/>
      <c r="S519" s="315"/>
      <c r="T519" s="315"/>
      <c r="U519" s="318"/>
      <c r="V519" s="318"/>
      <c r="W519" s="366" t="s">
        <v>1787</v>
      </c>
      <c r="X519" s="323"/>
      <c r="Y519" s="323"/>
      <c r="Z519" s="365"/>
      <c r="AA519" s="349"/>
      <c r="AB519" s="349"/>
      <c r="AC519" s="349"/>
      <c r="AD519" s="350"/>
    </row>
    <row r="520" spans="1:30" s="351" customFormat="1" ht="24.75" customHeight="1" x14ac:dyDescent="0.35">
      <c r="A520" s="325">
        <v>256</v>
      </c>
      <c r="B520" s="315" t="s">
        <v>1788</v>
      </c>
      <c r="C520" s="315" t="s">
        <v>391</v>
      </c>
      <c r="D520" s="315" t="s">
        <v>804</v>
      </c>
      <c r="E520" s="315" t="s">
        <v>1789</v>
      </c>
      <c r="F520" s="316"/>
      <c r="G520" s="316">
        <f>SUM(F519)</f>
        <v>372.887</v>
      </c>
      <c r="H520" s="326">
        <f>H518+F519</f>
        <v>98558.984999999986</v>
      </c>
      <c r="I520" s="316">
        <v>462.53699999999998</v>
      </c>
      <c r="J520" s="315">
        <v>70.72</v>
      </c>
      <c r="K520" s="316">
        <v>705.88699999999994</v>
      </c>
      <c r="L520" s="316">
        <v>352.94349999999997</v>
      </c>
      <c r="M520" s="315">
        <v>170</v>
      </c>
      <c r="N520" s="315">
        <v>90</v>
      </c>
      <c r="O520" s="315">
        <v>260</v>
      </c>
      <c r="P520" s="315">
        <v>176</v>
      </c>
      <c r="Q520" s="315">
        <v>119</v>
      </c>
      <c r="R520" s="315">
        <v>295</v>
      </c>
      <c r="S520" s="315" t="s">
        <v>2116</v>
      </c>
      <c r="T520" s="315" t="s">
        <v>2117</v>
      </c>
      <c r="U520" s="318">
        <v>606446.73</v>
      </c>
      <c r="V520" s="318">
        <v>2640948.9389999998</v>
      </c>
      <c r="W520" s="320"/>
      <c r="X520" s="315" t="s">
        <v>1786</v>
      </c>
      <c r="Y520" s="315" t="s">
        <v>1706</v>
      </c>
      <c r="Z520" s="322" t="s">
        <v>359</v>
      </c>
      <c r="AA520" s="349"/>
      <c r="AB520" s="349"/>
      <c r="AC520" s="349"/>
      <c r="AD520" s="350"/>
    </row>
    <row r="521" spans="1:30" s="351" customFormat="1" ht="24.75" customHeight="1" x14ac:dyDescent="0.35">
      <c r="A521" s="314"/>
      <c r="B521" s="315"/>
      <c r="C521" s="315"/>
      <c r="D521" s="315"/>
      <c r="E521" s="315"/>
      <c r="F521" s="316">
        <v>333</v>
      </c>
      <c r="G521" s="316"/>
      <c r="H521" s="317"/>
      <c r="I521" s="316"/>
      <c r="J521" s="315"/>
      <c r="K521" s="316"/>
      <c r="L521" s="316"/>
      <c r="M521" s="315"/>
      <c r="N521" s="315"/>
      <c r="O521" s="315"/>
      <c r="P521" s="315"/>
      <c r="Q521" s="315"/>
      <c r="R521" s="315"/>
      <c r="S521" s="315"/>
      <c r="T521" s="315"/>
      <c r="U521" s="318"/>
      <c r="V521" s="318"/>
      <c r="W521" s="320" t="s">
        <v>1069</v>
      </c>
      <c r="X521" s="323"/>
      <c r="Y521" s="323"/>
      <c r="Z521" s="365"/>
      <c r="AA521" s="349"/>
      <c r="AB521" s="349"/>
      <c r="AC521" s="349"/>
      <c r="AD521" s="350"/>
    </row>
    <row r="522" spans="1:30" s="351" customFormat="1" ht="24.75" customHeight="1" x14ac:dyDescent="0.35">
      <c r="A522" s="325">
        <v>257</v>
      </c>
      <c r="B522" s="315" t="s">
        <v>1025</v>
      </c>
      <c r="C522" s="315" t="s">
        <v>392</v>
      </c>
      <c r="D522" s="315" t="s">
        <v>33</v>
      </c>
      <c r="E522" s="315" t="s">
        <v>1025</v>
      </c>
      <c r="F522" s="316"/>
      <c r="G522" s="316"/>
      <c r="H522" s="326">
        <f>H520+F521</f>
        <v>98891.984999999986</v>
      </c>
      <c r="I522" s="316">
        <v>469.40100000000001</v>
      </c>
      <c r="J522" s="315">
        <v>75.5</v>
      </c>
      <c r="K522" s="316">
        <v>690.14200000000005</v>
      </c>
      <c r="L522" s="316">
        <v>345.07100000000003</v>
      </c>
      <c r="M522" s="315">
        <v>243</v>
      </c>
      <c r="N522" s="315">
        <v>100</v>
      </c>
      <c r="O522" s="315">
        <v>343</v>
      </c>
      <c r="P522" s="315">
        <v>215</v>
      </c>
      <c r="Q522" s="315">
        <v>129</v>
      </c>
      <c r="R522" s="315">
        <v>344</v>
      </c>
      <c r="S522" s="315" t="s">
        <v>2118</v>
      </c>
      <c r="T522" s="315" t="s">
        <v>2119</v>
      </c>
      <c r="U522" s="318">
        <v>606704.12</v>
      </c>
      <c r="V522" s="318">
        <v>2640737.6579999998</v>
      </c>
      <c r="W522" s="320"/>
      <c r="X522" s="315" t="s">
        <v>1786</v>
      </c>
      <c r="Y522" s="315" t="s">
        <v>1706</v>
      </c>
      <c r="Z522" s="322" t="s">
        <v>359</v>
      </c>
      <c r="AA522" s="349"/>
      <c r="AB522" s="349"/>
      <c r="AC522" s="349"/>
      <c r="AD522" s="350"/>
    </row>
    <row r="523" spans="1:30" s="351" customFormat="1" ht="24.75" customHeight="1" x14ac:dyDescent="0.35">
      <c r="A523" s="314"/>
      <c r="B523" s="315"/>
      <c r="C523" s="315"/>
      <c r="D523" s="315"/>
      <c r="E523" s="315"/>
      <c r="F523" s="316">
        <v>357.142</v>
      </c>
      <c r="G523" s="316"/>
      <c r="H523" s="317"/>
      <c r="I523" s="316"/>
      <c r="J523" s="315"/>
      <c r="K523" s="316"/>
      <c r="L523" s="316"/>
      <c r="M523" s="315"/>
      <c r="N523" s="315"/>
      <c r="O523" s="315"/>
      <c r="P523" s="315"/>
      <c r="Q523" s="315"/>
      <c r="R523" s="315"/>
      <c r="S523" s="315"/>
      <c r="T523" s="315"/>
      <c r="U523" s="318"/>
      <c r="V523" s="318"/>
      <c r="W523" s="320" t="s">
        <v>1790</v>
      </c>
      <c r="X523" s="323"/>
      <c r="Y523" s="323"/>
      <c r="Z523" s="365"/>
      <c r="AA523" s="349"/>
      <c r="AB523" s="349"/>
      <c r="AC523" s="349"/>
      <c r="AD523" s="350"/>
    </row>
    <row r="524" spans="1:30" s="351" customFormat="1" ht="24.75" customHeight="1" x14ac:dyDescent="0.35">
      <c r="A524" s="325">
        <v>258</v>
      </c>
      <c r="B524" s="315" t="s">
        <v>1791</v>
      </c>
      <c r="C524" s="315" t="s">
        <v>293</v>
      </c>
      <c r="D524" s="315" t="s">
        <v>146</v>
      </c>
      <c r="E524" s="315" t="s">
        <v>1792</v>
      </c>
      <c r="F524" s="316"/>
      <c r="G524" s="316">
        <f>SUM(F521:F523)</f>
        <v>690.14200000000005</v>
      </c>
      <c r="H524" s="326">
        <f>H522+F523</f>
        <v>99249.126999999993</v>
      </c>
      <c r="I524" s="316">
        <v>467.149</v>
      </c>
      <c r="J524" s="315">
        <v>88.72</v>
      </c>
      <c r="K524" s="316">
        <v>591.31299999999999</v>
      </c>
      <c r="L524" s="316">
        <v>295.65649999999999</v>
      </c>
      <c r="M524" s="315">
        <v>259</v>
      </c>
      <c r="N524" s="315">
        <v>199</v>
      </c>
      <c r="O524" s="315">
        <v>458</v>
      </c>
      <c r="P524" s="315">
        <v>230</v>
      </c>
      <c r="Q524" s="315">
        <v>155</v>
      </c>
      <c r="R524" s="315">
        <v>385</v>
      </c>
      <c r="S524" s="315" t="s">
        <v>2120</v>
      </c>
      <c r="T524" s="315" t="s">
        <v>2121</v>
      </c>
      <c r="U524" s="318">
        <v>606980.17000000004</v>
      </c>
      <c r="V524" s="318">
        <v>2640511.06</v>
      </c>
      <c r="W524" s="320"/>
      <c r="X524" s="315" t="s">
        <v>1793</v>
      </c>
      <c r="Y524" s="315" t="s">
        <v>1706</v>
      </c>
      <c r="Z524" s="322" t="s">
        <v>359</v>
      </c>
      <c r="AA524" s="349"/>
      <c r="AB524" s="349"/>
      <c r="AC524" s="349"/>
      <c r="AD524" s="350"/>
    </row>
    <row r="525" spans="1:30" s="351" customFormat="1" ht="28" x14ac:dyDescent="0.35">
      <c r="A525" s="314"/>
      <c r="B525" s="315"/>
      <c r="C525" s="315"/>
      <c r="D525" s="315"/>
      <c r="E525" s="315"/>
      <c r="F525" s="316">
        <v>234.17099999999999</v>
      </c>
      <c r="G525" s="316"/>
      <c r="H525" s="317"/>
      <c r="I525" s="316"/>
      <c r="J525" s="315"/>
      <c r="K525" s="316"/>
      <c r="L525" s="316"/>
      <c r="M525" s="315"/>
      <c r="N525" s="315"/>
      <c r="O525" s="315"/>
      <c r="P525" s="315"/>
      <c r="Q525" s="315"/>
      <c r="R525" s="315"/>
      <c r="S525" s="315"/>
      <c r="T525" s="315"/>
      <c r="U525" s="318"/>
      <c r="V525" s="318"/>
      <c r="W525" s="366" t="s">
        <v>1794</v>
      </c>
      <c r="X525" s="323"/>
      <c r="Y525" s="323"/>
      <c r="Z525" s="365"/>
      <c r="AA525" s="349"/>
      <c r="AB525" s="349"/>
      <c r="AC525" s="349"/>
      <c r="AD525" s="350"/>
    </row>
    <row r="526" spans="1:30" s="351" customFormat="1" ht="24.75" customHeight="1" x14ac:dyDescent="0.35">
      <c r="A526" s="325">
        <v>259</v>
      </c>
      <c r="B526" s="315" t="s">
        <v>1795</v>
      </c>
      <c r="C526" s="315" t="s">
        <v>294</v>
      </c>
      <c r="D526" s="315" t="s">
        <v>172</v>
      </c>
      <c r="E526" s="315" t="s">
        <v>1796</v>
      </c>
      <c r="F526" s="315"/>
      <c r="G526" s="315">
        <v>234.17</v>
      </c>
      <c r="H526" s="315">
        <f>H524+F525</f>
        <v>99483.297999999995</v>
      </c>
      <c r="I526" s="315">
        <v>467.78500000000003</v>
      </c>
      <c r="J526" s="315">
        <v>79.72</v>
      </c>
      <c r="K526" s="315">
        <v>586.17100000000005</v>
      </c>
      <c r="L526" s="315">
        <v>293.08550000000002</v>
      </c>
      <c r="M526" s="315">
        <v>36</v>
      </c>
      <c r="N526" s="315">
        <v>193</v>
      </c>
      <c r="O526" s="315">
        <v>229</v>
      </c>
      <c r="P526" s="315">
        <v>80</v>
      </c>
      <c r="Q526" s="315">
        <v>187</v>
      </c>
      <c r="R526" s="315">
        <v>267</v>
      </c>
      <c r="S526" s="315" t="s">
        <v>1797</v>
      </c>
      <c r="T526" s="315" t="s">
        <v>1798</v>
      </c>
      <c r="U526" s="315">
        <v>607070.10199999996</v>
      </c>
      <c r="V526" s="315">
        <v>2640294.8459999999</v>
      </c>
      <c r="W526" s="366" t="s">
        <v>1799</v>
      </c>
      <c r="X526" s="315" t="s">
        <v>1793</v>
      </c>
      <c r="Y526" s="315" t="s">
        <v>1706</v>
      </c>
      <c r="Z526" s="322" t="s">
        <v>359</v>
      </c>
      <c r="AA526" s="339">
        <v>1</v>
      </c>
      <c r="AB526" s="339">
        <v>1</v>
      </c>
      <c r="AC526" s="339">
        <v>1</v>
      </c>
      <c r="AD526" s="340">
        <v>1</v>
      </c>
    </row>
    <row r="527" spans="1:30" s="351" customFormat="1" ht="24.75" customHeight="1" x14ac:dyDescent="0.35">
      <c r="A527" s="314"/>
      <c r="B527" s="315"/>
      <c r="C527" s="315"/>
      <c r="D527" s="315"/>
      <c r="E527" s="315"/>
      <c r="F527" s="315">
        <v>352</v>
      </c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20" t="s">
        <v>1800</v>
      </c>
      <c r="X527" s="323"/>
      <c r="Y527" s="323"/>
      <c r="Z527" s="365"/>
      <c r="AA527" s="349"/>
      <c r="AB527" s="349"/>
      <c r="AC527" s="349"/>
      <c r="AD527" s="350"/>
    </row>
    <row r="528" spans="1:30" s="351" customFormat="1" ht="24.75" customHeight="1" x14ac:dyDescent="0.35">
      <c r="A528" s="325">
        <v>260</v>
      </c>
      <c r="B528" s="315" t="s">
        <v>1025</v>
      </c>
      <c r="C528" s="315" t="s">
        <v>295</v>
      </c>
      <c r="D528" s="315" t="s">
        <v>16</v>
      </c>
      <c r="E528" s="315" t="s">
        <v>1025</v>
      </c>
      <c r="F528" s="315"/>
      <c r="G528" s="315" t="s">
        <v>1025</v>
      </c>
      <c r="H528" s="315">
        <f>H526+F527</f>
        <v>99835.297999999995</v>
      </c>
      <c r="I528" s="315">
        <v>469.09300000000002</v>
      </c>
      <c r="J528" s="315">
        <v>78.5</v>
      </c>
      <c r="K528" s="315">
        <v>705</v>
      </c>
      <c r="L528" s="315">
        <v>352.5</v>
      </c>
      <c r="M528" s="315">
        <v>159</v>
      </c>
      <c r="N528" s="315">
        <v>118</v>
      </c>
      <c r="O528" s="315">
        <v>277</v>
      </c>
      <c r="P528" s="315">
        <v>166</v>
      </c>
      <c r="Q528" s="315">
        <v>140</v>
      </c>
      <c r="R528" s="315">
        <v>306</v>
      </c>
      <c r="S528" s="315" t="s">
        <v>1801</v>
      </c>
      <c r="T528" s="315" t="s">
        <v>1802</v>
      </c>
      <c r="U528" s="315">
        <v>607403.304</v>
      </c>
      <c r="V528" s="315">
        <v>2640181.355</v>
      </c>
      <c r="W528" s="320"/>
      <c r="X528" s="315" t="s">
        <v>1793</v>
      </c>
      <c r="Y528" s="315" t="s">
        <v>1706</v>
      </c>
      <c r="Z528" s="322" t="s">
        <v>359</v>
      </c>
      <c r="AA528" s="349"/>
      <c r="AB528" s="349"/>
      <c r="AC528" s="349"/>
      <c r="AD528" s="350"/>
    </row>
    <row r="529" spans="1:30" s="351" customFormat="1" ht="24.75" customHeight="1" x14ac:dyDescent="0.35">
      <c r="A529" s="314"/>
      <c r="B529" s="315"/>
      <c r="C529" s="315"/>
      <c r="D529" s="315"/>
      <c r="E529" s="315"/>
      <c r="F529" s="315">
        <v>353</v>
      </c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66"/>
      <c r="X529" s="323"/>
      <c r="Y529" s="323"/>
      <c r="Z529" s="365"/>
      <c r="AA529" s="349"/>
      <c r="AB529" s="349"/>
      <c r="AC529" s="349"/>
      <c r="AD529" s="350"/>
    </row>
    <row r="530" spans="1:30" s="351" customFormat="1" ht="24.75" customHeight="1" x14ac:dyDescent="0.35">
      <c r="A530" s="325">
        <v>261</v>
      </c>
      <c r="B530" s="315" t="s">
        <v>1025</v>
      </c>
      <c r="C530" s="315" t="s">
        <v>296</v>
      </c>
      <c r="D530" s="315" t="s">
        <v>33</v>
      </c>
      <c r="E530" s="315" t="s">
        <v>1025</v>
      </c>
      <c r="F530" s="315"/>
      <c r="G530" s="315" t="s">
        <v>1025</v>
      </c>
      <c r="H530" s="315">
        <f>H528+F529</f>
        <v>100188.298</v>
      </c>
      <c r="I530" s="315">
        <v>481.40100000000001</v>
      </c>
      <c r="J530" s="315">
        <v>75.5</v>
      </c>
      <c r="K530" s="315">
        <v>705.60599999999999</v>
      </c>
      <c r="L530" s="315">
        <v>352.803</v>
      </c>
      <c r="M530" s="315">
        <v>236</v>
      </c>
      <c r="N530" s="315">
        <v>106</v>
      </c>
      <c r="O530" s="315">
        <v>342</v>
      </c>
      <c r="P530" s="315">
        <v>214</v>
      </c>
      <c r="Q530" s="315">
        <v>132</v>
      </c>
      <c r="R530" s="315">
        <v>346</v>
      </c>
      <c r="S530" s="315" t="s">
        <v>1803</v>
      </c>
      <c r="T530" s="315" t="s">
        <v>1804</v>
      </c>
      <c r="U530" s="315">
        <v>607737.45299999998</v>
      </c>
      <c r="V530" s="315">
        <v>2640067.5410000002</v>
      </c>
      <c r="W530" s="369"/>
      <c r="X530" s="315" t="s">
        <v>1793</v>
      </c>
      <c r="Y530" s="315" t="s">
        <v>1706</v>
      </c>
      <c r="Z530" s="322" t="s">
        <v>359</v>
      </c>
      <c r="AA530" s="349"/>
      <c r="AB530" s="349"/>
      <c r="AC530" s="349"/>
      <c r="AD530" s="350"/>
    </row>
    <row r="531" spans="1:30" s="351" customFormat="1" ht="24.75" customHeight="1" x14ac:dyDescent="0.35">
      <c r="A531" s="314"/>
      <c r="B531" s="315"/>
      <c r="C531" s="315"/>
      <c r="D531" s="315"/>
      <c r="E531" s="315"/>
      <c r="F531" s="315">
        <v>352.60599999999999</v>
      </c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20" t="s">
        <v>1805</v>
      </c>
      <c r="X531" s="323"/>
      <c r="Y531" s="323"/>
      <c r="Z531" s="365"/>
      <c r="AA531" s="349"/>
      <c r="AB531" s="349"/>
      <c r="AC531" s="349"/>
      <c r="AD531" s="350"/>
    </row>
    <row r="532" spans="1:30" s="351" customFormat="1" ht="24.75" customHeight="1" x14ac:dyDescent="0.35">
      <c r="A532" s="325">
        <v>262</v>
      </c>
      <c r="B532" s="315" t="s">
        <v>1806</v>
      </c>
      <c r="C532" s="315" t="s">
        <v>297</v>
      </c>
      <c r="D532" s="315" t="s">
        <v>154</v>
      </c>
      <c r="E532" s="315" t="s">
        <v>1807</v>
      </c>
      <c r="F532" s="315"/>
      <c r="G532" s="315">
        <v>1057.6100000000001</v>
      </c>
      <c r="H532" s="315">
        <f>H530+F531</f>
        <v>100540.90399999999</v>
      </c>
      <c r="I532" s="315">
        <v>486.48700000000002</v>
      </c>
      <c r="J532" s="315">
        <v>79.72</v>
      </c>
      <c r="K532" s="315">
        <v>620.60599999999999</v>
      </c>
      <c r="L532" s="315">
        <v>310.303</v>
      </c>
      <c r="M532" s="315">
        <v>247</v>
      </c>
      <c r="N532" s="315">
        <v>117</v>
      </c>
      <c r="O532" s="315">
        <v>364</v>
      </c>
      <c r="P532" s="315">
        <v>221</v>
      </c>
      <c r="Q532" s="315">
        <v>126</v>
      </c>
      <c r="R532" s="315">
        <v>347</v>
      </c>
      <c r="S532" s="315" t="s">
        <v>1808</v>
      </c>
      <c r="T532" s="315" t="s">
        <v>1809</v>
      </c>
      <c r="U532" s="315">
        <v>608071.22900000005</v>
      </c>
      <c r="V532" s="315">
        <v>2639953.855</v>
      </c>
      <c r="W532" s="366" t="s">
        <v>1810</v>
      </c>
      <c r="X532" s="315" t="s">
        <v>1811</v>
      </c>
      <c r="Y532" s="315" t="s">
        <v>1706</v>
      </c>
      <c r="Z532" s="322" t="s">
        <v>359</v>
      </c>
      <c r="AA532" s="370">
        <v>0.5</v>
      </c>
      <c r="AB532" s="370">
        <v>2</v>
      </c>
      <c r="AC532" s="370">
        <v>1</v>
      </c>
      <c r="AD532" s="371">
        <v>0</v>
      </c>
    </row>
    <row r="533" spans="1:30" s="351" customFormat="1" ht="24.75" customHeight="1" x14ac:dyDescent="0.35">
      <c r="A533" s="314"/>
      <c r="B533" s="315"/>
      <c r="C533" s="315"/>
      <c r="D533" s="315"/>
      <c r="E533" s="315"/>
      <c r="F533" s="315">
        <v>268</v>
      </c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20" t="s">
        <v>1812</v>
      </c>
      <c r="X533" s="323"/>
      <c r="Y533" s="323"/>
      <c r="Z533" s="365"/>
      <c r="AA533" s="349"/>
      <c r="AB533" s="349"/>
      <c r="AC533" s="349"/>
      <c r="AD533" s="350"/>
    </row>
    <row r="534" spans="1:30" s="351" customFormat="1" ht="24.75" customHeight="1" x14ac:dyDescent="0.35">
      <c r="A534" s="325">
        <v>263</v>
      </c>
      <c r="B534" s="315" t="s">
        <v>1025</v>
      </c>
      <c r="C534" s="315" t="s">
        <v>298</v>
      </c>
      <c r="D534" s="315" t="s">
        <v>299</v>
      </c>
      <c r="E534" s="315" t="s">
        <v>1025</v>
      </c>
      <c r="F534" s="315"/>
      <c r="G534" s="315">
        <v>268</v>
      </c>
      <c r="H534" s="315">
        <f>H532+F533</f>
        <v>100808.90399999999</v>
      </c>
      <c r="I534" s="315">
        <v>479.29</v>
      </c>
      <c r="J534" s="315">
        <v>88.72</v>
      </c>
      <c r="K534" s="315">
        <v>574</v>
      </c>
      <c r="L534" s="315">
        <v>287</v>
      </c>
      <c r="M534" s="315">
        <v>151</v>
      </c>
      <c r="N534" s="315">
        <v>340</v>
      </c>
      <c r="O534" s="315">
        <v>491</v>
      </c>
      <c r="P534" s="315">
        <v>143</v>
      </c>
      <c r="Q534" s="315">
        <v>261</v>
      </c>
      <c r="R534" s="315">
        <v>404</v>
      </c>
      <c r="S534" s="315" t="s">
        <v>1813</v>
      </c>
      <c r="T534" s="315" t="s">
        <v>1814</v>
      </c>
      <c r="U534" s="315">
        <v>608336.17000000004</v>
      </c>
      <c r="V534" s="315">
        <v>2639913.4789999998</v>
      </c>
      <c r="W534" s="366" t="s">
        <v>1810</v>
      </c>
      <c r="X534" s="315" t="s">
        <v>1811</v>
      </c>
      <c r="Y534" s="315" t="s">
        <v>1706</v>
      </c>
      <c r="Z534" s="322" t="s">
        <v>359</v>
      </c>
      <c r="AA534" s="370">
        <v>0</v>
      </c>
      <c r="AB534" s="370">
        <v>0</v>
      </c>
      <c r="AC534" s="370">
        <v>2</v>
      </c>
      <c r="AD534" s="371">
        <v>3</v>
      </c>
    </row>
    <row r="535" spans="1:30" s="351" customFormat="1" ht="28" x14ac:dyDescent="0.35">
      <c r="A535" s="314"/>
      <c r="B535" s="315"/>
      <c r="C535" s="315"/>
      <c r="D535" s="315"/>
      <c r="E535" s="315"/>
      <c r="F535" s="315">
        <v>306</v>
      </c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20" t="s">
        <v>1815</v>
      </c>
      <c r="X535" s="323"/>
      <c r="Y535" s="323"/>
      <c r="Z535" s="365"/>
      <c r="AA535" s="349"/>
      <c r="AB535" s="349"/>
      <c r="AC535" s="349"/>
      <c r="AD535" s="350"/>
    </row>
    <row r="536" spans="1:30" s="351" customFormat="1" ht="24.75" customHeight="1" x14ac:dyDescent="0.35">
      <c r="A536" s="325">
        <v>264</v>
      </c>
      <c r="B536" s="315" t="s">
        <v>1025</v>
      </c>
      <c r="C536" s="315" t="s">
        <v>300</v>
      </c>
      <c r="D536" s="315" t="s">
        <v>390</v>
      </c>
      <c r="E536" s="315" t="s">
        <v>1025</v>
      </c>
      <c r="F536" s="315"/>
      <c r="G536" s="315">
        <v>306</v>
      </c>
      <c r="H536" s="315">
        <f>H534+F535</f>
        <v>101114.90399999999</v>
      </c>
      <c r="I536" s="315">
        <v>466.95</v>
      </c>
      <c r="J536" s="315">
        <v>76.72</v>
      </c>
      <c r="K536" s="315">
        <v>603</v>
      </c>
      <c r="L536" s="315">
        <v>301.5</v>
      </c>
      <c r="M536" s="315">
        <v>-33</v>
      </c>
      <c r="N536" s="315">
        <v>77</v>
      </c>
      <c r="O536" s="315">
        <v>44</v>
      </c>
      <c r="P536" s="315">
        <v>47</v>
      </c>
      <c r="Q536" s="315">
        <v>102</v>
      </c>
      <c r="R536" s="315">
        <v>149</v>
      </c>
      <c r="S536" s="315" t="s">
        <v>1816</v>
      </c>
      <c r="T536" s="315" t="s">
        <v>1817</v>
      </c>
      <c r="U536" s="315">
        <v>608638.67700000003</v>
      </c>
      <c r="V536" s="315">
        <v>2639867.3769999999</v>
      </c>
      <c r="W536" s="320"/>
      <c r="X536" s="315" t="s">
        <v>1811</v>
      </c>
      <c r="Y536" s="315" t="s">
        <v>1706</v>
      </c>
      <c r="Z536" s="322" t="s">
        <v>359</v>
      </c>
      <c r="AA536" s="349"/>
      <c r="AB536" s="349"/>
      <c r="AC536" s="349"/>
      <c r="AD536" s="350"/>
    </row>
    <row r="537" spans="1:30" s="351" customFormat="1" ht="24.75" customHeight="1" x14ac:dyDescent="0.35">
      <c r="A537" s="314"/>
      <c r="B537" s="315"/>
      <c r="C537" s="315"/>
      <c r="D537" s="315"/>
      <c r="E537" s="315"/>
      <c r="F537" s="315">
        <v>297</v>
      </c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20" t="s">
        <v>1266</v>
      </c>
      <c r="X537" s="323"/>
      <c r="Y537" s="323"/>
      <c r="Z537" s="365"/>
      <c r="AA537" s="349"/>
      <c r="AB537" s="349"/>
      <c r="AC537" s="349"/>
      <c r="AD537" s="350"/>
    </row>
    <row r="538" spans="1:30" s="351" customFormat="1" ht="24.75" customHeight="1" x14ac:dyDescent="0.35">
      <c r="A538" s="325">
        <v>265</v>
      </c>
      <c r="B538" s="315" t="s">
        <v>1025</v>
      </c>
      <c r="C538" s="315" t="s">
        <v>301</v>
      </c>
      <c r="D538" s="315" t="s">
        <v>23</v>
      </c>
      <c r="E538" s="315" t="s">
        <v>1025</v>
      </c>
      <c r="F538" s="315"/>
      <c r="G538" s="315" t="s">
        <v>1025</v>
      </c>
      <c r="H538" s="315">
        <f>H536+F537</f>
        <v>101411.90399999999</v>
      </c>
      <c r="I538" s="315">
        <v>485.7</v>
      </c>
      <c r="J538" s="315">
        <v>69.5</v>
      </c>
      <c r="K538" s="315">
        <v>711.40300000000002</v>
      </c>
      <c r="L538" s="315">
        <v>355.70150000000001</v>
      </c>
      <c r="M538" s="315">
        <v>221</v>
      </c>
      <c r="N538" s="315">
        <v>185</v>
      </c>
      <c r="O538" s="315">
        <v>406</v>
      </c>
      <c r="P538" s="315">
        <v>196</v>
      </c>
      <c r="Q538" s="315">
        <v>193</v>
      </c>
      <c r="R538" s="315">
        <v>389</v>
      </c>
      <c r="S538" s="315" t="s">
        <v>1818</v>
      </c>
      <c r="T538" s="315" t="s">
        <v>1819</v>
      </c>
      <c r="U538" s="315">
        <v>608932.28700000001</v>
      </c>
      <c r="V538" s="315">
        <v>2639822.6320000002</v>
      </c>
      <c r="W538" s="366" t="s">
        <v>1810</v>
      </c>
      <c r="X538" s="315" t="s">
        <v>1811</v>
      </c>
      <c r="Y538" s="315" t="s">
        <v>1706</v>
      </c>
      <c r="Z538" s="322" t="s">
        <v>359</v>
      </c>
      <c r="AA538" s="370">
        <v>0</v>
      </c>
      <c r="AB538" s="370">
        <v>3</v>
      </c>
      <c r="AC538" s="370">
        <v>2.5</v>
      </c>
      <c r="AD538" s="371">
        <v>1</v>
      </c>
    </row>
    <row r="539" spans="1:30" s="351" customFormat="1" ht="24.75" customHeight="1" x14ac:dyDescent="0.35">
      <c r="A539" s="314"/>
      <c r="B539" s="315"/>
      <c r="C539" s="315"/>
      <c r="D539" s="315"/>
      <c r="E539" s="315"/>
      <c r="F539" s="315">
        <v>414.40300000000002</v>
      </c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20" t="s">
        <v>1820</v>
      </c>
      <c r="X539" s="323"/>
      <c r="Y539" s="323"/>
      <c r="Z539" s="365"/>
      <c r="AA539" s="349"/>
      <c r="AB539" s="349"/>
      <c r="AC539" s="349"/>
      <c r="AD539" s="350"/>
    </row>
    <row r="540" spans="1:30" s="351" customFormat="1" ht="24.75" customHeight="1" x14ac:dyDescent="0.35">
      <c r="A540" s="325">
        <v>266</v>
      </c>
      <c r="B540" s="315" t="s">
        <v>1821</v>
      </c>
      <c r="C540" s="315" t="s">
        <v>302</v>
      </c>
      <c r="D540" s="315" t="s">
        <v>61</v>
      </c>
      <c r="E540" s="315" t="s">
        <v>1822</v>
      </c>
      <c r="F540" s="315"/>
      <c r="G540" s="315">
        <v>711.4</v>
      </c>
      <c r="H540" s="315">
        <f>H538+F539</f>
        <v>101826.307</v>
      </c>
      <c r="I540" s="315">
        <v>486.92899999999997</v>
      </c>
      <c r="J540" s="315">
        <v>70.72</v>
      </c>
      <c r="K540" s="315">
        <v>746.40300000000002</v>
      </c>
      <c r="L540" s="315">
        <v>373.20150000000001</v>
      </c>
      <c r="M540" s="315">
        <v>230</v>
      </c>
      <c r="N540" s="315">
        <v>349</v>
      </c>
      <c r="O540" s="315">
        <v>579</v>
      </c>
      <c r="P540" s="315">
        <v>223</v>
      </c>
      <c r="Q540" s="315">
        <v>278</v>
      </c>
      <c r="R540" s="315">
        <v>501</v>
      </c>
      <c r="S540" s="315" t="s">
        <v>1823</v>
      </c>
      <c r="T540" s="315" t="s">
        <v>1824</v>
      </c>
      <c r="U540" s="315">
        <v>609341.96</v>
      </c>
      <c r="V540" s="315">
        <v>2639760.199</v>
      </c>
      <c r="W540" s="366" t="s">
        <v>1810</v>
      </c>
      <c r="X540" s="315" t="s">
        <v>1811</v>
      </c>
      <c r="Y540" s="315" t="s">
        <v>1706</v>
      </c>
      <c r="Z540" s="322" t="s">
        <v>359</v>
      </c>
      <c r="AA540" s="370">
        <v>0.5</v>
      </c>
      <c r="AB540" s="370">
        <v>0</v>
      </c>
      <c r="AC540" s="370">
        <v>1</v>
      </c>
      <c r="AD540" s="371">
        <v>1</v>
      </c>
    </row>
    <row r="541" spans="1:30" s="351" customFormat="1" ht="24.75" customHeight="1" x14ac:dyDescent="0.35">
      <c r="A541" s="314"/>
      <c r="B541" s="315"/>
      <c r="C541" s="315"/>
      <c r="D541" s="315"/>
      <c r="E541" s="315"/>
      <c r="F541" s="315">
        <v>332</v>
      </c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20" t="s">
        <v>1825</v>
      </c>
      <c r="X541" s="323"/>
      <c r="Y541" s="323"/>
      <c r="Z541" s="365"/>
      <c r="AA541" s="349"/>
      <c r="AB541" s="349"/>
      <c r="AC541" s="349"/>
      <c r="AD541" s="350"/>
    </row>
    <row r="542" spans="1:30" s="351" customFormat="1" ht="24.75" customHeight="1" x14ac:dyDescent="0.35">
      <c r="A542" s="325">
        <v>267</v>
      </c>
      <c r="B542" s="315" t="s">
        <v>1025</v>
      </c>
      <c r="C542" s="315" t="s">
        <v>303</v>
      </c>
      <c r="D542" s="315" t="s">
        <v>238</v>
      </c>
      <c r="E542" s="315" t="s">
        <v>1025</v>
      </c>
      <c r="F542" s="315"/>
      <c r="G542" s="315">
        <v>332</v>
      </c>
      <c r="H542" s="315">
        <f>H540+F541</f>
        <v>102158.307</v>
      </c>
      <c r="I542" s="315">
        <v>457.34800000000001</v>
      </c>
      <c r="J542" s="315">
        <v>73.72</v>
      </c>
      <c r="K542" s="315">
        <v>742</v>
      </c>
      <c r="L542" s="315">
        <v>371</v>
      </c>
      <c r="M542" s="315">
        <v>-16</v>
      </c>
      <c r="N542" s="315">
        <v>202</v>
      </c>
      <c r="O542" s="315">
        <v>186</v>
      </c>
      <c r="P542" s="315">
        <v>56</v>
      </c>
      <c r="Q542" s="315">
        <v>203</v>
      </c>
      <c r="R542" s="315">
        <v>259</v>
      </c>
      <c r="S542" s="315" t="s">
        <v>1826</v>
      </c>
      <c r="T542" s="315" t="s">
        <v>1827</v>
      </c>
      <c r="U542" s="315">
        <v>609659.03599999996</v>
      </c>
      <c r="V542" s="315">
        <v>2639661.7779999999</v>
      </c>
      <c r="W542" s="320"/>
      <c r="X542" s="315" t="s">
        <v>1811</v>
      </c>
      <c r="Y542" s="315" t="s">
        <v>1706</v>
      </c>
      <c r="Z542" s="322" t="s">
        <v>359</v>
      </c>
      <c r="AA542" s="349"/>
      <c r="AB542" s="349"/>
      <c r="AC542" s="349"/>
      <c r="AD542" s="350"/>
    </row>
    <row r="543" spans="1:30" s="351" customFormat="1" ht="24.75" customHeight="1" x14ac:dyDescent="0.35">
      <c r="A543" s="314"/>
      <c r="B543" s="315"/>
      <c r="C543" s="315"/>
      <c r="D543" s="315"/>
      <c r="E543" s="315"/>
      <c r="F543" s="315">
        <v>410</v>
      </c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20" t="s">
        <v>1069</v>
      </c>
      <c r="X543" s="323"/>
      <c r="Y543" s="323"/>
      <c r="Z543" s="365"/>
      <c r="AA543" s="349"/>
      <c r="AB543" s="349"/>
      <c r="AC543" s="349"/>
      <c r="AD543" s="350"/>
    </row>
    <row r="544" spans="1:30" s="351" customFormat="1" ht="24.75" customHeight="1" x14ac:dyDescent="0.35">
      <c r="A544" s="325">
        <v>268</v>
      </c>
      <c r="B544" s="315" t="s">
        <v>1025</v>
      </c>
      <c r="C544" s="315" t="s">
        <v>304</v>
      </c>
      <c r="D544" s="315" t="s">
        <v>35</v>
      </c>
      <c r="E544" s="315" t="s">
        <v>1025</v>
      </c>
      <c r="F544" s="315"/>
      <c r="G544" s="315" t="s">
        <v>1025</v>
      </c>
      <c r="H544" s="315">
        <f>H542+F543</f>
        <v>102568.307</v>
      </c>
      <c r="I544" s="315">
        <v>459.58199999999999</v>
      </c>
      <c r="J544" s="315">
        <v>74</v>
      </c>
      <c r="K544" s="315">
        <v>824</v>
      </c>
      <c r="L544" s="315">
        <v>412</v>
      </c>
      <c r="M544" s="315">
        <v>209</v>
      </c>
      <c r="N544" s="315">
        <v>170</v>
      </c>
      <c r="O544" s="315">
        <v>379</v>
      </c>
      <c r="P544" s="315">
        <v>208</v>
      </c>
      <c r="Q544" s="315">
        <v>181</v>
      </c>
      <c r="R544" s="315">
        <v>389</v>
      </c>
      <c r="S544" s="315" t="s">
        <v>1828</v>
      </c>
      <c r="T544" s="315" t="s">
        <v>1829</v>
      </c>
      <c r="U544" s="315">
        <v>610050.60600000003</v>
      </c>
      <c r="V544" s="315">
        <v>2639540.233</v>
      </c>
      <c r="W544" s="320"/>
      <c r="X544" s="315" t="s">
        <v>1811</v>
      </c>
      <c r="Y544" s="315" t="s">
        <v>1706</v>
      </c>
      <c r="Z544" s="322" t="s">
        <v>359</v>
      </c>
      <c r="AA544" s="349"/>
      <c r="AB544" s="349"/>
      <c r="AC544" s="349"/>
      <c r="AD544" s="350"/>
    </row>
    <row r="545" spans="1:30" s="351" customFormat="1" ht="28" x14ac:dyDescent="0.35">
      <c r="A545" s="314"/>
      <c r="B545" s="315"/>
      <c r="C545" s="315"/>
      <c r="D545" s="315"/>
      <c r="E545" s="315"/>
      <c r="F545" s="315">
        <v>414</v>
      </c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20" t="s">
        <v>1830</v>
      </c>
      <c r="X545" s="323"/>
      <c r="Y545" s="323"/>
      <c r="Z545" s="365"/>
      <c r="AA545" s="349"/>
      <c r="AB545" s="349"/>
      <c r="AC545" s="349"/>
      <c r="AD545" s="350"/>
    </row>
    <row r="546" spans="1:30" s="351" customFormat="1" ht="24.75" customHeight="1" x14ac:dyDescent="0.35">
      <c r="A546" s="325">
        <v>269</v>
      </c>
      <c r="B546" s="315" t="s">
        <v>1025</v>
      </c>
      <c r="C546" s="315" t="s">
        <v>305</v>
      </c>
      <c r="D546" s="315" t="s">
        <v>33</v>
      </c>
      <c r="E546" s="315" t="s">
        <v>1025</v>
      </c>
      <c r="F546" s="315"/>
      <c r="G546" s="315" t="s">
        <v>1025</v>
      </c>
      <c r="H546" s="315">
        <f>H544+F545</f>
        <v>102982.307</v>
      </c>
      <c r="I546" s="315">
        <v>465.57</v>
      </c>
      <c r="J546" s="315">
        <v>75.5</v>
      </c>
      <c r="K546" s="315">
        <v>821</v>
      </c>
      <c r="L546" s="315">
        <v>410.5</v>
      </c>
      <c r="M546" s="315">
        <v>245</v>
      </c>
      <c r="N546" s="315">
        <v>235</v>
      </c>
      <c r="O546" s="315">
        <v>480</v>
      </c>
      <c r="P546" s="315">
        <v>234</v>
      </c>
      <c r="Q546" s="315">
        <v>226</v>
      </c>
      <c r="R546" s="315">
        <v>460</v>
      </c>
      <c r="S546" s="315" t="s">
        <v>1831</v>
      </c>
      <c r="T546" s="315" t="s">
        <v>1832</v>
      </c>
      <c r="U546" s="315">
        <v>610445.99600000004</v>
      </c>
      <c r="V546" s="315">
        <v>2639417.503</v>
      </c>
      <c r="W546" s="320"/>
      <c r="X546" s="315" t="s">
        <v>1811</v>
      </c>
      <c r="Y546" s="315" t="s">
        <v>1706</v>
      </c>
      <c r="Z546" s="322" t="s">
        <v>359</v>
      </c>
      <c r="AA546" s="349"/>
      <c r="AB546" s="349"/>
      <c r="AC546" s="349"/>
      <c r="AD546" s="350"/>
    </row>
    <row r="547" spans="1:30" s="351" customFormat="1" ht="28" x14ac:dyDescent="0.35">
      <c r="A547" s="314"/>
      <c r="B547" s="315"/>
      <c r="C547" s="315"/>
      <c r="D547" s="315"/>
      <c r="E547" s="315"/>
      <c r="F547" s="315">
        <v>407</v>
      </c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20" t="s">
        <v>1833</v>
      </c>
      <c r="X547" s="323"/>
      <c r="Y547" s="323"/>
      <c r="Z547" s="365"/>
      <c r="AA547" s="349"/>
      <c r="AB547" s="349"/>
      <c r="AC547" s="349"/>
      <c r="AD547" s="350"/>
    </row>
    <row r="548" spans="1:30" s="351" customFormat="1" ht="24.75" customHeight="1" x14ac:dyDescent="0.35">
      <c r="A548" s="325">
        <v>270</v>
      </c>
      <c r="B548" s="315" t="s">
        <v>1025</v>
      </c>
      <c r="C548" s="315" t="s">
        <v>306</v>
      </c>
      <c r="D548" s="315" t="s">
        <v>31</v>
      </c>
      <c r="E548" s="315" t="s">
        <v>1025</v>
      </c>
      <c r="F548" s="315"/>
      <c r="G548" s="315" t="s">
        <v>1025</v>
      </c>
      <c r="H548" s="315">
        <f>H546+F547</f>
        <v>103389.307</v>
      </c>
      <c r="I548" s="315">
        <v>462.423</v>
      </c>
      <c r="J548" s="315">
        <v>72.5</v>
      </c>
      <c r="K548" s="315">
        <v>828.88400000000001</v>
      </c>
      <c r="L548" s="315">
        <v>414.44200000000001</v>
      </c>
      <c r="M548" s="315">
        <v>173</v>
      </c>
      <c r="N548" s="315">
        <v>178</v>
      </c>
      <c r="O548" s="315">
        <v>351</v>
      </c>
      <c r="P548" s="315">
        <v>182</v>
      </c>
      <c r="Q548" s="315">
        <v>188</v>
      </c>
      <c r="R548" s="315">
        <v>370</v>
      </c>
      <c r="S548" s="315" t="s">
        <v>1834</v>
      </c>
      <c r="T548" s="315" t="s">
        <v>1835</v>
      </c>
      <c r="U548" s="315">
        <v>610834.701</v>
      </c>
      <c r="V548" s="315">
        <v>2639296.8470000001</v>
      </c>
      <c r="W548" s="320"/>
      <c r="X548" s="315" t="s">
        <v>1811</v>
      </c>
      <c r="Y548" s="315" t="s">
        <v>1706</v>
      </c>
      <c r="Z548" s="322" t="s">
        <v>359</v>
      </c>
      <c r="AA548" s="349"/>
      <c r="AB548" s="349"/>
      <c r="AC548" s="349"/>
      <c r="AD548" s="350"/>
    </row>
    <row r="549" spans="1:30" s="351" customFormat="1" ht="24.75" customHeight="1" x14ac:dyDescent="0.35">
      <c r="A549" s="314"/>
      <c r="B549" s="315"/>
      <c r="C549" s="315"/>
      <c r="D549" s="315"/>
      <c r="E549" s="315"/>
      <c r="F549" s="315">
        <v>421.88400000000001</v>
      </c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20" t="s">
        <v>1836</v>
      </c>
      <c r="X549" s="323"/>
      <c r="Y549" s="323"/>
      <c r="Z549" s="365"/>
      <c r="AA549" s="349"/>
      <c r="AB549" s="349"/>
      <c r="AC549" s="349"/>
      <c r="AD549" s="350"/>
    </row>
    <row r="550" spans="1:30" s="351" customFormat="1" ht="24.75" customHeight="1" x14ac:dyDescent="0.35">
      <c r="A550" s="325">
        <v>271</v>
      </c>
      <c r="B550" s="315" t="s">
        <v>1837</v>
      </c>
      <c r="C550" s="315" t="s">
        <v>307</v>
      </c>
      <c r="D550" s="315" t="s">
        <v>234</v>
      </c>
      <c r="E550" s="315" t="s">
        <v>1838</v>
      </c>
      <c r="F550" s="315"/>
      <c r="G550" s="315">
        <v>1652.88</v>
      </c>
      <c r="H550" s="315">
        <f>H548+F549</f>
        <v>103811.19100000001</v>
      </c>
      <c r="I550" s="315">
        <v>463.25200000000001</v>
      </c>
      <c r="J550" s="315">
        <v>76.72</v>
      </c>
      <c r="K550" s="315">
        <v>954.07799999999997</v>
      </c>
      <c r="L550" s="315">
        <v>477.03899999999999</v>
      </c>
      <c r="M550" s="315">
        <v>245</v>
      </c>
      <c r="N550" s="315">
        <v>254</v>
      </c>
      <c r="O550" s="315">
        <v>499</v>
      </c>
      <c r="P550" s="315">
        <v>236</v>
      </c>
      <c r="Q550" s="315">
        <v>257</v>
      </c>
      <c r="R550" s="315">
        <v>493</v>
      </c>
      <c r="S550" s="315" t="s">
        <v>1839</v>
      </c>
      <c r="T550" s="315" t="s">
        <v>1840</v>
      </c>
      <c r="U550" s="315">
        <v>611237.62</v>
      </c>
      <c r="V550" s="315">
        <v>2639171.7799999998</v>
      </c>
      <c r="W550" s="366" t="s">
        <v>2122</v>
      </c>
      <c r="X550" s="315" t="s">
        <v>1811</v>
      </c>
      <c r="Y550" s="315" t="s">
        <v>1706</v>
      </c>
      <c r="Z550" s="322" t="s">
        <v>359</v>
      </c>
      <c r="AA550" s="349"/>
      <c r="AB550" s="349"/>
      <c r="AC550" s="349"/>
      <c r="AD550" s="355"/>
    </row>
    <row r="551" spans="1:30" s="346" customFormat="1" ht="24.75" customHeight="1" x14ac:dyDescent="0.35">
      <c r="A551" s="314"/>
      <c r="B551" s="332"/>
      <c r="C551" s="315"/>
      <c r="D551" s="315"/>
      <c r="E551" s="315"/>
      <c r="F551" s="315">
        <v>532.19200000000001</v>
      </c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34" t="s">
        <v>1841</v>
      </c>
      <c r="X551" s="323"/>
      <c r="Y551" s="323"/>
      <c r="Z551" s="364"/>
      <c r="AA551" s="344"/>
      <c r="AB551" s="344"/>
      <c r="AC551" s="344"/>
      <c r="AD551" s="345"/>
    </row>
    <row r="552" spans="1:30" s="346" customFormat="1" ht="24.75" customHeight="1" x14ac:dyDescent="0.35">
      <c r="A552" s="325">
        <v>272</v>
      </c>
      <c r="B552" s="332" t="s">
        <v>1842</v>
      </c>
      <c r="C552" s="332" t="s">
        <v>308</v>
      </c>
      <c r="D552" s="315" t="s">
        <v>164</v>
      </c>
      <c r="E552" s="332" t="s">
        <v>1843</v>
      </c>
      <c r="F552" s="362"/>
      <c r="G552" s="362">
        <f>F551</f>
        <v>532.19200000000001</v>
      </c>
      <c r="H552" s="326">
        <f>H550+F551</f>
        <v>104343.383</v>
      </c>
      <c r="I552" s="332">
        <v>455.45</v>
      </c>
      <c r="J552" s="332">
        <v>88.72</v>
      </c>
      <c r="K552" s="331">
        <f>F551+F553</f>
        <v>947.19200000000001</v>
      </c>
      <c r="L552" s="331">
        <f>K552/2</f>
        <v>473.596</v>
      </c>
      <c r="M552" s="332">
        <v>284</v>
      </c>
      <c r="N552" s="332">
        <v>314</v>
      </c>
      <c r="O552" s="332">
        <v>598</v>
      </c>
      <c r="P552" s="332">
        <v>282</v>
      </c>
      <c r="Q552" s="332">
        <v>280</v>
      </c>
      <c r="R552" s="332">
        <v>562</v>
      </c>
      <c r="S552" s="332" t="s">
        <v>1844</v>
      </c>
      <c r="T552" s="332" t="s">
        <v>1845</v>
      </c>
      <c r="U552" s="333">
        <v>611681.46400000004</v>
      </c>
      <c r="V552" s="333">
        <v>2638878.1260000002</v>
      </c>
      <c r="W552" s="339" t="s">
        <v>1236</v>
      </c>
      <c r="X552" s="315" t="s">
        <v>1811</v>
      </c>
      <c r="Y552" s="315" t="s">
        <v>1706</v>
      </c>
      <c r="Z552" s="335" t="s">
        <v>359</v>
      </c>
      <c r="AA552" s="370">
        <v>0</v>
      </c>
      <c r="AB552" s="370">
        <v>1</v>
      </c>
      <c r="AC552" s="370">
        <v>1</v>
      </c>
      <c r="AD552" s="371">
        <v>2.5</v>
      </c>
    </row>
    <row r="553" spans="1:30" s="346" customFormat="1" ht="24.75" customHeight="1" x14ac:dyDescent="0.35">
      <c r="A553" s="314"/>
      <c r="B553" s="332"/>
      <c r="C553" s="332"/>
      <c r="D553" s="332"/>
      <c r="E553" s="332"/>
      <c r="F553" s="362">
        <v>415</v>
      </c>
      <c r="G553" s="332"/>
      <c r="H553" s="317"/>
      <c r="I553" s="332"/>
      <c r="J553" s="332"/>
      <c r="K553" s="331"/>
      <c r="L553" s="331"/>
      <c r="M553" s="332"/>
      <c r="N553" s="332"/>
      <c r="O553" s="332"/>
      <c r="P553" s="332"/>
      <c r="Q553" s="332"/>
      <c r="R553" s="332"/>
      <c r="S553" s="332"/>
      <c r="T553" s="332"/>
      <c r="U553" s="333"/>
      <c r="V553" s="333"/>
      <c r="W553" s="334" t="s">
        <v>1846</v>
      </c>
      <c r="X553" s="323"/>
      <c r="Y553" s="323"/>
      <c r="Z553" s="364"/>
      <c r="AA553" s="344"/>
      <c r="AB553" s="344"/>
      <c r="AC553" s="344"/>
      <c r="AD553" s="345"/>
    </row>
    <row r="554" spans="1:30" s="346" customFormat="1" ht="24.75" customHeight="1" x14ac:dyDescent="0.35">
      <c r="A554" s="325">
        <v>273</v>
      </c>
      <c r="B554" s="332" t="s">
        <v>1025</v>
      </c>
      <c r="C554" s="332" t="s">
        <v>309</v>
      </c>
      <c r="D554" s="332" t="s">
        <v>20</v>
      </c>
      <c r="E554" s="332" t="s">
        <v>1025</v>
      </c>
      <c r="F554" s="362"/>
      <c r="G554" s="332" t="s">
        <v>1025</v>
      </c>
      <c r="H554" s="326">
        <f>H552+F553</f>
        <v>104758.383</v>
      </c>
      <c r="I554" s="332">
        <v>444.12400000000002</v>
      </c>
      <c r="J554" s="331">
        <v>81.5</v>
      </c>
      <c r="K554" s="363">
        <v>764.86099999999999</v>
      </c>
      <c r="L554" s="316">
        <v>382.43049999999999</v>
      </c>
      <c r="M554" s="315">
        <v>102</v>
      </c>
      <c r="N554" s="315">
        <v>221</v>
      </c>
      <c r="O554" s="315">
        <v>323</v>
      </c>
      <c r="P554" s="315">
        <v>137</v>
      </c>
      <c r="Q554" s="315">
        <v>207</v>
      </c>
      <c r="R554" s="315">
        <v>344</v>
      </c>
      <c r="S554" s="315" t="s">
        <v>2011</v>
      </c>
      <c r="T554" s="315" t="s">
        <v>2012</v>
      </c>
      <c r="U554" s="318">
        <v>612091.07400000002</v>
      </c>
      <c r="V554" s="318">
        <v>2638811.4559999998</v>
      </c>
      <c r="W554" s="331"/>
      <c r="X554" s="315" t="s">
        <v>1847</v>
      </c>
      <c r="Y554" s="315" t="s">
        <v>1848</v>
      </c>
      <c r="Z554" s="335" t="s">
        <v>359</v>
      </c>
      <c r="AA554" s="344"/>
      <c r="AB554" s="344"/>
      <c r="AC554" s="344"/>
      <c r="AD554" s="345"/>
    </row>
    <row r="555" spans="1:30" s="346" customFormat="1" ht="24.75" customHeight="1" x14ac:dyDescent="0.35">
      <c r="A555" s="314"/>
      <c r="B555" s="332"/>
      <c r="C555" s="332"/>
      <c r="D555" s="332"/>
      <c r="E555" s="332"/>
      <c r="F555" s="362">
        <v>350</v>
      </c>
      <c r="G555" s="332"/>
      <c r="H555" s="317"/>
      <c r="I555" s="332"/>
      <c r="J555" s="332"/>
      <c r="K555" s="363"/>
      <c r="L555" s="316"/>
      <c r="M555" s="315"/>
      <c r="N555" s="315"/>
      <c r="O555" s="315"/>
      <c r="P555" s="315"/>
      <c r="Q555" s="315"/>
      <c r="R555" s="315"/>
      <c r="S555" s="315"/>
      <c r="T555" s="315"/>
      <c r="U555" s="318"/>
      <c r="V555" s="318"/>
      <c r="W555" s="334" t="s">
        <v>1849</v>
      </c>
      <c r="X555" s="323"/>
      <c r="Y555" s="323"/>
      <c r="Z555" s="364"/>
      <c r="AA555" s="344"/>
      <c r="AB555" s="344"/>
      <c r="AC555" s="344"/>
      <c r="AD555" s="345"/>
    </row>
    <row r="556" spans="1:30" s="346" customFormat="1" ht="24.75" customHeight="1" x14ac:dyDescent="0.35">
      <c r="A556" s="325">
        <v>274</v>
      </c>
      <c r="B556" s="332" t="s">
        <v>1850</v>
      </c>
      <c r="C556" s="332" t="s">
        <v>310</v>
      </c>
      <c r="D556" s="315" t="s">
        <v>2013</v>
      </c>
      <c r="E556" s="332" t="s">
        <v>1851</v>
      </c>
      <c r="F556" s="362"/>
      <c r="G556" s="359">
        <f>SUM(F553:F555)</f>
        <v>765</v>
      </c>
      <c r="H556" s="326">
        <f>H554+F555</f>
        <v>105108.383</v>
      </c>
      <c r="I556" s="332">
        <v>439.64</v>
      </c>
      <c r="J556" s="315">
        <v>70.72</v>
      </c>
      <c r="K556" s="363">
        <v>598.87400000000002</v>
      </c>
      <c r="L556" s="316">
        <v>299.43700000000001</v>
      </c>
      <c r="M556" s="315">
        <v>129</v>
      </c>
      <c r="N556" s="315">
        <v>121</v>
      </c>
      <c r="O556" s="315">
        <v>250</v>
      </c>
      <c r="P556" s="315">
        <v>144</v>
      </c>
      <c r="Q556" s="315">
        <v>123</v>
      </c>
      <c r="R556" s="315">
        <v>267</v>
      </c>
      <c r="S556" s="315" t="s">
        <v>2014</v>
      </c>
      <c r="T556" s="315" t="s">
        <v>2015</v>
      </c>
      <c r="U556" s="318">
        <v>612436.39</v>
      </c>
      <c r="V556" s="318">
        <v>2638755.25</v>
      </c>
      <c r="W556" s="331"/>
      <c r="X556" s="315" t="s">
        <v>1847</v>
      </c>
      <c r="Y556" s="315" t="s">
        <v>1848</v>
      </c>
      <c r="Z556" s="335" t="s">
        <v>359</v>
      </c>
      <c r="AA556" s="344"/>
      <c r="AB556" s="344"/>
      <c r="AC556" s="344"/>
      <c r="AD556" s="345"/>
    </row>
    <row r="557" spans="1:30" s="346" customFormat="1" ht="24.75" customHeight="1" x14ac:dyDescent="0.35">
      <c r="A557" s="314"/>
      <c r="B557" s="332"/>
      <c r="C557" s="332"/>
      <c r="D557" s="315"/>
      <c r="E557" s="332"/>
      <c r="F557" s="362">
        <v>249.01300000000001</v>
      </c>
      <c r="G557" s="332"/>
      <c r="H557" s="317"/>
      <c r="I557" s="332"/>
      <c r="J557" s="332"/>
      <c r="K557" s="363"/>
      <c r="L557" s="316"/>
      <c r="M557" s="315"/>
      <c r="N557" s="315"/>
      <c r="O557" s="315"/>
      <c r="P557" s="315"/>
      <c r="Q557" s="315"/>
      <c r="R557" s="315"/>
      <c r="S557" s="315"/>
      <c r="T557" s="315"/>
      <c r="U557" s="318"/>
      <c r="V557" s="318"/>
      <c r="W557" s="339" t="s">
        <v>1852</v>
      </c>
      <c r="X557" s="323"/>
      <c r="Y557" s="323"/>
      <c r="Z557" s="364"/>
      <c r="AA557" s="344"/>
      <c r="AB557" s="344"/>
      <c r="AC557" s="344"/>
      <c r="AD557" s="345"/>
    </row>
    <row r="558" spans="1:30" s="346" customFormat="1" ht="24.75" customHeight="1" x14ac:dyDescent="0.35">
      <c r="A558" s="325">
        <v>275</v>
      </c>
      <c r="B558" s="332" t="s">
        <v>1853</v>
      </c>
      <c r="C558" s="332" t="s">
        <v>311</v>
      </c>
      <c r="D558" s="315" t="s">
        <v>156</v>
      </c>
      <c r="E558" s="332" t="s">
        <v>1854</v>
      </c>
      <c r="F558" s="362"/>
      <c r="G558" s="362">
        <f>F557</f>
        <v>249.01300000000001</v>
      </c>
      <c r="H558" s="326">
        <f>H556+F557</f>
        <v>105357.39600000001</v>
      </c>
      <c r="I558" s="332">
        <v>436.98</v>
      </c>
      <c r="J558" s="315">
        <v>70.72</v>
      </c>
      <c r="K558" s="363">
        <v>600.01300000000003</v>
      </c>
      <c r="L558" s="316">
        <v>300.00650000000002</v>
      </c>
      <c r="M558" s="315">
        <v>128</v>
      </c>
      <c r="N558" s="315">
        <v>176</v>
      </c>
      <c r="O558" s="315">
        <v>304</v>
      </c>
      <c r="P558" s="315">
        <v>127</v>
      </c>
      <c r="Q558" s="315">
        <v>176</v>
      </c>
      <c r="R558" s="315">
        <v>303</v>
      </c>
      <c r="S558" s="315" t="s">
        <v>2016</v>
      </c>
      <c r="T558" s="315" t="s">
        <v>2017</v>
      </c>
      <c r="U558" s="318">
        <v>612639.11</v>
      </c>
      <c r="V558" s="318">
        <v>2638610.64</v>
      </c>
      <c r="W558" s="331"/>
      <c r="X558" s="315" t="s">
        <v>1847</v>
      </c>
      <c r="Y558" s="315" t="s">
        <v>1848</v>
      </c>
      <c r="Z558" s="335" t="s">
        <v>359</v>
      </c>
      <c r="AA558" s="344"/>
      <c r="AB558" s="344"/>
      <c r="AC558" s="344"/>
      <c r="AD558" s="345"/>
    </row>
    <row r="559" spans="1:30" s="346" customFormat="1" ht="24.75" customHeight="1" x14ac:dyDescent="0.35">
      <c r="A559" s="314"/>
      <c r="B559" s="332"/>
      <c r="C559" s="332"/>
      <c r="D559" s="332"/>
      <c r="E559" s="332"/>
      <c r="F559" s="362">
        <v>351</v>
      </c>
      <c r="G559" s="332"/>
      <c r="H559" s="317"/>
      <c r="I559" s="332"/>
      <c r="J559" s="332"/>
      <c r="K559" s="363"/>
      <c r="L559" s="316"/>
      <c r="M559" s="315"/>
      <c r="N559" s="315"/>
      <c r="O559" s="315"/>
      <c r="P559" s="315"/>
      <c r="Q559" s="315"/>
      <c r="R559" s="315"/>
      <c r="S559" s="315"/>
      <c r="T559" s="315"/>
      <c r="U559" s="318"/>
      <c r="V559" s="318"/>
      <c r="W559" s="334" t="s">
        <v>1855</v>
      </c>
      <c r="X559" s="323"/>
      <c r="Y559" s="323"/>
      <c r="Z559" s="364"/>
      <c r="AA559" s="344"/>
      <c r="AB559" s="344"/>
      <c r="AC559" s="344"/>
      <c r="AD559" s="345"/>
    </row>
    <row r="560" spans="1:30" s="346" customFormat="1" ht="24.75" customHeight="1" x14ac:dyDescent="0.35">
      <c r="A560" s="325">
        <v>276</v>
      </c>
      <c r="B560" s="332" t="s">
        <v>1025</v>
      </c>
      <c r="C560" s="332" t="s">
        <v>312</v>
      </c>
      <c r="D560" s="332" t="s">
        <v>16</v>
      </c>
      <c r="E560" s="332" t="s">
        <v>1025</v>
      </c>
      <c r="F560" s="362"/>
      <c r="G560" s="332" t="s">
        <v>1025</v>
      </c>
      <c r="H560" s="326">
        <f>H558+F559</f>
        <v>105708.39600000001</v>
      </c>
      <c r="I560" s="332">
        <v>439.892</v>
      </c>
      <c r="J560" s="331">
        <v>78.5</v>
      </c>
      <c r="K560" s="363">
        <v>658.26</v>
      </c>
      <c r="L560" s="316">
        <v>329.13</v>
      </c>
      <c r="M560" s="315">
        <v>175</v>
      </c>
      <c r="N560" s="315">
        <v>99</v>
      </c>
      <c r="O560" s="315">
        <v>274</v>
      </c>
      <c r="P560" s="315">
        <v>176</v>
      </c>
      <c r="Q560" s="315">
        <v>121</v>
      </c>
      <c r="R560" s="315">
        <v>297</v>
      </c>
      <c r="S560" s="315" t="s">
        <v>2018</v>
      </c>
      <c r="T560" s="315" t="s">
        <v>2019</v>
      </c>
      <c r="U560" s="318">
        <v>612934.94799999997</v>
      </c>
      <c r="V560" s="318">
        <v>2638421.7450000001</v>
      </c>
      <c r="W560" s="331"/>
      <c r="X560" s="315" t="s">
        <v>1847</v>
      </c>
      <c r="Y560" s="315" t="s">
        <v>1848</v>
      </c>
      <c r="Z560" s="335" t="s">
        <v>359</v>
      </c>
      <c r="AA560" s="344"/>
      <c r="AB560" s="344"/>
      <c r="AC560" s="344"/>
      <c r="AD560" s="345"/>
    </row>
    <row r="561" spans="1:30" s="346" customFormat="1" ht="24.75" customHeight="1" x14ac:dyDescent="0.35">
      <c r="A561" s="314"/>
      <c r="B561" s="332"/>
      <c r="C561" s="332"/>
      <c r="D561" s="332"/>
      <c r="E561" s="332"/>
      <c r="F561" s="362">
        <v>307.26100000000002</v>
      </c>
      <c r="G561" s="332"/>
      <c r="H561" s="317"/>
      <c r="I561" s="332"/>
      <c r="J561" s="332"/>
      <c r="K561" s="331"/>
      <c r="L561" s="331"/>
      <c r="M561" s="332"/>
      <c r="N561" s="332"/>
      <c r="O561" s="332"/>
      <c r="P561" s="332"/>
      <c r="Q561" s="332"/>
      <c r="R561" s="332"/>
      <c r="S561" s="332"/>
      <c r="T561" s="332"/>
      <c r="U561" s="333"/>
      <c r="V561" s="333"/>
      <c r="W561" s="334" t="s">
        <v>1856</v>
      </c>
      <c r="X561" s="323"/>
      <c r="Y561" s="323"/>
      <c r="Z561" s="364"/>
      <c r="AA561" s="344"/>
      <c r="AB561" s="344"/>
      <c r="AC561" s="344"/>
      <c r="AD561" s="345"/>
    </row>
    <row r="562" spans="1:30" s="346" customFormat="1" ht="24.75" customHeight="1" x14ac:dyDescent="0.35">
      <c r="A562" s="325">
        <v>277</v>
      </c>
      <c r="B562" s="332" t="s">
        <v>1857</v>
      </c>
      <c r="C562" s="332" t="s">
        <v>313</v>
      </c>
      <c r="D562" s="332" t="s">
        <v>314</v>
      </c>
      <c r="E562" s="332" t="s">
        <v>1858</v>
      </c>
      <c r="F562" s="362"/>
      <c r="G562" s="359">
        <f>SUM(F559:F561)</f>
        <v>658.26099999999997</v>
      </c>
      <c r="H562" s="326">
        <f>H560+F561</f>
        <v>106015.65700000001</v>
      </c>
      <c r="I562" s="332">
        <v>441.3</v>
      </c>
      <c r="J562" s="332">
        <v>82.72</v>
      </c>
      <c r="K562" s="331">
        <f>F561+F563</f>
        <v>557.81799999999998</v>
      </c>
      <c r="L562" s="331">
        <f>K562/2</f>
        <v>278.90899999999999</v>
      </c>
      <c r="M562" s="332">
        <v>209</v>
      </c>
      <c r="N562" s="332">
        <v>182</v>
      </c>
      <c r="O562" s="332">
        <v>391</v>
      </c>
      <c r="P562" s="332">
        <v>187</v>
      </c>
      <c r="Q562" s="332">
        <v>152</v>
      </c>
      <c r="R562" s="332">
        <v>339</v>
      </c>
      <c r="S562" s="332" t="s">
        <v>1859</v>
      </c>
      <c r="T562" s="332" t="s">
        <v>1860</v>
      </c>
      <c r="U562" s="333">
        <v>613193.92000000004</v>
      </c>
      <c r="V562" s="333">
        <v>2638256.39</v>
      </c>
      <c r="W562" s="331"/>
      <c r="X562" s="315" t="s">
        <v>1847</v>
      </c>
      <c r="Y562" s="315" t="s">
        <v>1848</v>
      </c>
      <c r="Z562" s="335" t="s">
        <v>359</v>
      </c>
      <c r="AA562" s="344"/>
      <c r="AB562" s="344"/>
      <c r="AC562" s="344"/>
      <c r="AD562" s="345"/>
    </row>
    <row r="563" spans="1:30" s="346" customFormat="1" ht="42" x14ac:dyDescent="0.35">
      <c r="A563" s="314"/>
      <c r="B563" s="332"/>
      <c r="C563" s="332"/>
      <c r="D563" s="332"/>
      <c r="E563" s="332"/>
      <c r="F563" s="362">
        <v>250.55699999999999</v>
      </c>
      <c r="G563" s="332"/>
      <c r="H563" s="317"/>
      <c r="I563" s="332"/>
      <c r="J563" s="332"/>
      <c r="K563" s="331"/>
      <c r="L563" s="331"/>
      <c r="M563" s="332"/>
      <c r="N563" s="332"/>
      <c r="O563" s="332"/>
      <c r="P563" s="332"/>
      <c r="Q563" s="332"/>
      <c r="R563" s="332"/>
      <c r="S563" s="332"/>
      <c r="T563" s="332"/>
      <c r="U563" s="333"/>
      <c r="V563" s="333"/>
      <c r="W563" s="339" t="s">
        <v>1861</v>
      </c>
      <c r="X563" s="323"/>
      <c r="Y563" s="323"/>
      <c r="Z563" s="364"/>
      <c r="AA563" s="344"/>
      <c r="AB563" s="344"/>
      <c r="AC563" s="344"/>
      <c r="AD563" s="345"/>
    </row>
    <row r="564" spans="1:30" s="346" customFormat="1" ht="24.75" customHeight="1" x14ac:dyDescent="0.35">
      <c r="A564" s="325">
        <v>278</v>
      </c>
      <c r="B564" s="332" t="s">
        <v>1862</v>
      </c>
      <c r="C564" s="332" t="s">
        <v>315</v>
      </c>
      <c r="D564" s="332" t="s">
        <v>148</v>
      </c>
      <c r="E564" s="332" t="s">
        <v>1863</v>
      </c>
      <c r="F564" s="362"/>
      <c r="G564" s="362">
        <f>F563</f>
        <v>250.55699999999999</v>
      </c>
      <c r="H564" s="326">
        <f>H562+F563</f>
        <v>106266.21400000001</v>
      </c>
      <c r="I564" s="332">
        <v>436.10599999999999</v>
      </c>
      <c r="J564" s="332">
        <v>82.72</v>
      </c>
      <c r="K564" s="331">
        <f>F563+F565</f>
        <v>673.55700000000002</v>
      </c>
      <c r="L564" s="331">
        <f>K564/2</f>
        <v>336.77850000000001</v>
      </c>
      <c r="M564" s="332">
        <v>69</v>
      </c>
      <c r="N564" s="332">
        <v>324</v>
      </c>
      <c r="O564" s="332">
        <v>393</v>
      </c>
      <c r="P564" s="332">
        <v>99</v>
      </c>
      <c r="Q564" s="332">
        <v>286</v>
      </c>
      <c r="R564" s="332">
        <v>385</v>
      </c>
      <c r="S564" s="332" t="s">
        <v>1864</v>
      </c>
      <c r="T564" s="332" t="s">
        <v>1865</v>
      </c>
      <c r="U564" s="333">
        <v>613410.22</v>
      </c>
      <c r="V564" s="333">
        <v>2638129.9270000001</v>
      </c>
      <c r="W564" s="331"/>
      <c r="X564" s="315" t="s">
        <v>1847</v>
      </c>
      <c r="Y564" s="315" t="s">
        <v>1848</v>
      </c>
      <c r="Z564" s="335" t="s">
        <v>359</v>
      </c>
      <c r="AA564" s="344"/>
      <c r="AB564" s="344"/>
      <c r="AC564" s="344"/>
      <c r="AD564" s="345"/>
    </row>
    <row r="565" spans="1:30" s="346" customFormat="1" ht="24.75" customHeight="1" x14ac:dyDescent="0.35">
      <c r="A565" s="314"/>
      <c r="B565" s="332"/>
      <c r="C565" s="332"/>
      <c r="D565" s="332"/>
      <c r="E565" s="332"/>
      <c r="F565" s="362">
        <v>423</v>
      </c>
      <c r="G565" s="332"/>
      <c r="H565" s="317"/>
      <c r="I565" s="332"/>
      <c r="J565" s="332"/>
      <c r="K565" s="331"/>
      <c r="L565" s="331"/>
      <c r="M565" s="332"/>
      <c r="N565" s="332"/>
      <c r="O565" s="332"/>
      <c r="P565" s="332"/>
      <c r="Q565" s="332"/>
      <c r="R565" s="332"/>
      <c r="S565" s="332"/>
      <c r="T565" s="332"/>
      <c r="U565" s="333"/>
      <c r="V565" s="333"/>
      <c r="W565" s="334" t="s">
        <v>1122</v>
      </c>
      <c r="X565" s="323"/>
      <c r="Y565" s="323"/>
      <c r="Z565" s="364"/>
      <c r="AA565" s="344"/>
      <c r="AB565" s="344"/>
      <c r="AC565" s="344"/>
      <c r="AD565" s="345"/>
    </row>
    <row r="566" spans="1:30" s="346" customFormat="1" ht="24.75" customHeight="1" x14ac:dyDescent="0.35">
      <c r="A566" s="325">
        <v>279</v>
      </c>
      <c r="B566" s="332" t="s">
        <v>1025</v>
      </c>
      <c r="C566" s="332" t="s">
        <v>316</v>
      </c>
      <c r="D566" s="332" t="s">
        <v>23</v>
      </c>
      <c r="E566" s="332" t="s">
        <v>1025</v>
      </c>
      <c r="F566" s="362"/>
      <c r="G566" s="332" t="s">
        <v>1025</v>
      </c>
      <c r="H566" s="326">
        <f>H564+F565</f>
        <v>106689.21400000001</v>
      </c>
      <c r="I566" s="332">
        <v>429.56799999999998</v>
      </c>
      <c r="J566" s="331">
        <v>69.5</v>
      </c>
      <c r="K566" s="331">
        <f>F565+F567</f>
        <v>762</v>
      </c>
      <c r="L566" s="331">
        <f>K566/2</f>
        <v>381</v>
      </c>
      <c r="M566" s="332">
        <v>100</v>
      </c>
      <c r="N566" s="332">
        <v>163</v>
      </c>
      <c r="O566" s="332">
        <v>263</v>
      </c>
      <c r="P566" s="332">
        <v>139</v>
      </c>
      <c r="Q566" s="332">
        <v>166</v>
      </c>
      <c r="R566" s="332">
        <v>305</v>
      </c>
      <c r="S566" s="332" t="s">
        <v>1866</v>
      </c>
      <c r="T566" s="332" t="s">
        <v>1867</v>
      </c>
      <c r="U566" s="333">
        <v>613831.07499999995</v>
      </c>
      <c r="V566" s="333">
        <v>2638087.3829999999</v>
      </c>
      <c r="W566" s="331"/>
      <c r="X566" s="315" t="s">
        <v>1847</v>
      </c>
      <c r="Y566" s="315" t="s">
        <v>1848</v>
      </c>
      <c r="Z566" s="335" t="s">
        <v>359</v>
      </c>
      <c r="AA566" s="344"/>
      <c r="AB566" s="344"/>
      <c r="AC566" s="344"/>
      <c r="AD566" s="345"/>
    </row>
    <row r="567" spans="1:30" s="346" customFormat="1" ht="24.75" customHeight="1" x14ac:dyDescent="0.35">
      <c r="A567" s="314"/>
      <c r="B567" s="332"/>
      <c r="C567" s="332"/>
      <c r="D567" s="332"/>
      <c r="E567" s="332"/>
      <c r="F567" s="362">
        <v>339</v>
      </c>
      <c r="G567" s="332"/>
      <c r="H567" s="317"/>
      <c r="I567" s="332"/>
      <c r="J567" s="332"/>
      <c r="K567" s="331"/>
      <c r="L567" s="331"/>
      <c r="M567" s="332"/>
      <c r="N567" s="332"/>
      <c r="O567" s="332"/>
      <c r="P567" s="332"/>
      <c r="Q567" s="332"/>
      <c r="R567" s="332"/>
      <c r="S567" s="332"/>
      <c r="T567" s="332"/>
      <c r="U567" s="333"/>
      <c r="V567" s="333"/>
      <c r="W567" s="334" t="s">
        <v>1868</v>
      </c>
      <c r="X567" s="323"/>
      <c r="Y567" s="323"/>
      <c r="Z567" s="364"/>
      <c r="AA567" s="344"/>
      <c r="AB567" s="344"/>
      <c r="AC567" s="344"/>
      <c r="AD567" s="345"/>
    </row>
    <row r="568" spans="1:30" s="346" customFormat="1" ht="24.75" customHeight="1" x14ac:dyDescent="0.35">
      <c r="A568" s="325">
        <v>280</v>
      </c>
      <c r="B568" s="332" t="s">
        <v>1025</v>
      </c>
      <c r="C568" s="332" t="s">
        <v>317</v>
      </c>
      <c r="D568" s="332" t="s">
        <v>23</v>
      </c>
      <c r="E568" s="332" t="s">
        <v>1025</v>
      </c>
      <c r="F568" s="362"/>
      <c r="G568" s="332" t="s">
        <v>1025</v>
      </c>
      <c r="H568" s="326">
        <f>H566+F567</f>
        <v>107028.21400000001</v>
      </c>
      <c r="I568" s="332">
        <v>430.53800000000001</v>
      </c>
      <c r="J568" s="331">
        <v>69.5</v>
      </c>
      <c r="K568" s="331">
        <f>F567+F569</f>
        <v>679</v>
      </c>
      <c r="L568" s="331">
        <f>K568/2</f>
        <v>339.5</v>
      </c>
      <c r="M568" s="332">
        <v>176</v>
      </c>
      <c r="N568" s="332">
        <v>194</v>
      </c>
      <c r="O568" s="332">
        <v>370</v>
      </c>
      <c r="P568" s="332">
        <v>174</v>
      </c>
      <c r="Q568" s="332">
        <v>186</v>
      </c>
      <c r="R568" s="332">
        <v>360</v>
      </c>
      <c r="S568" s="332" t="s">
        <v>1869</v>
      </c>
      <c r="T568" s="332" t="s">
        <v>1870</v>
      </c>
      <c r="U568" s="333">
        <v>614168.35600000003</v>
      </c>
      <c r="V568" s="333">
        <v>2638053.2880000002</v>
      </c>
      <c r="W568" s="331"/>
      <c r="X568" s="315" t="s">
        <v>1847</v>
      </c>
      <c r="Y568" s="315" t="s">
        <v>1848</v>
      </c>
      <c r="Z568" s="335" t="s">
        <v>359</v>
      </c>
      <c r="AA568" s="344"/>
      <c r="AB568" s="344"/>
      <c r="AC568" s="344"/>
      <c r="AD568" s="345"/>
    </row>
    <row r="569" spans="1:30" s="346" customFormat="1" ht="24.75" customHeight="1" x14ac:dyDescent="0.35">
      <c r="A569" s="314"/>
      <c r="B569" s="332"/>
      <c r="C569" s="332"/>
      <c r="D569" s="332"/>
      <c r="E569" s="332"/>
      <c r="F569" s="362">
        <v>340</v>
      </c>
      <c r="G569" s="332"/>
      <c r="H569" s="317"/>
      <c r="I569" s="332"/>
      <c r="J569" s="332"/>
      <c r="K569" s="331"/>
      <c r="L569" s="331"/>
      <c r="M569" s="332"/>
      <c r="N569" s="332"/>
      <c r="O569" s="332"/>
      <c r="P569" s="332"/>
      <c r="Q569" s="332"/>
      <c r="R569" s="332"/>
      <c r="S569" s="332"/>
      <c r="T569" s="332"/>
      <c r="U569" s="333"/>
      <c r="V569" s="333"/>
      <c r="W569" s="334" t="s">
        <v>1871</v>
      </c>
      <c r="X569" s="323"/>
      <c r="Y569" s="323"/>
      <c r="Z569" s="364"/>
      <c r="AA569" s="344"/>
      <c r="AB569" s="344"/>
      <c r="AC569" s="344"/>
      <c r="AD569" s="345"/>
    </row>
    <row r="570" spans="1:30" s="346" customFormat="1" ht="24.75" customHeight="1" x14ac:dyDescent="0.35">
      <c r="A570" s="325">
        <v>281</v>
      </c>
      <c r="B570" s="332" t="s">
        <v>1025</v>
      </c>
      <c r="C570" s="332" t="s">
        <v>318</v>
      </c>
      <c r="D570" s="332" t="s">
        <v>23</v>
      </c>
      <c r="E570" s="332" t="s">
        <v>1025</v>
      </c>
      <c r="F570" s="362"/>
      <c r="G570" s="332" t="s">
        <v>1025</v>
      </c>
      <c r="H570" s="326">
        <f>H568+F569</f>
        <v>107368.21400000001</v>
      </c>
      <c r="I570" s="332">
        <v>426.827</v>
      </c>
      <c r="J570" s="331">
        <v>69.5</v>
      </c>
      <c r="K570" s="331">
        <f>F569+F571</f>
        <v>679.06099999999992</v>
      </c>
      <c r="L570" s="331">
        <f>K570/2</f>
        <v>339.53049999999996</v>
      </c>
      <c r="M570" s="332">
        <v>146</v>
      </c>
      <c r="N570" s="332">
        <v>159</v>
      </c>
      <c r="O570" s="332">
        <v>305</v>
      </c>
      <c r="P570" s="332">
        <v>155</v>
      </c>
      <c r="Q570" s="332">
        <v>163</v>
      </c>
      <c r="R570" s="332">
        <v>318</v>
      </c>
      <c r="S570" s="332" t="s">
        <v>1872</v>
      </c>
      <c r="T570" s="332" t="s">
        <v>1873</v>
      </c>
      <c r="U570" s="333">
        <v>614506.63199999998</v>
      </c>
      <c r="V570" s="333">
        <v>2638019.0920000002</v>
      </c>
      <c r="W570" s="331"/>
      <c r="X570" s="315" t="s">
        <v>1874</v>
      </c>
      <c r="Y570" s="315" t="s">
        <v>1848</v>
      </c>
      <c r="Z570" s="335" t="s">
        <v>359</v>
      </c>
      <c r="AA570" s="344"/>
      <c r="AB570" s="344"/>
      <c r="AC570" s="344"/>
      <c r="AD570" s="345"/>
    </row>
    <row r="571" spans="1:30" s="346" customFormat="1" ht="24.75" customHeight="1" x14ac:dyDescent="0.35">
      <c r="A571" s="314"/>
      <c r="B571" s="332"/>
      <c r="C571" s="332"/>
      <c r="D571" s="332"/>
      <c r="E571" s="332"/>
      <c r="F571" s="362">
        <v>339.06099999999998</v>
      </c>
      <c r="G571" s="332"/>
      <c r="H571" s="317"/>
      <c r="I571" s="332"/>
      <c r="J571" s="332"/>
      <c r="K571" s="331"/>
      <c r="L571" s="331"/>
      <c r="M571" s="332"/>
      <c r="N571" s="332"/>
      <c r="O571" s="332"/>
      <c r="P571" s="332"/>
      <c r="Q571" s="332"/>
      <c r="R571" s="332"/>
      <c r="S571" s="332"/>
      <c r="T571" s="332"/>
      <c r="U571" s="333"/>
      <c r="V571" s="333"/>
      <c r="W571" s="334"/>
      <c r="X571" s="323"/>
      <c r="Y571" s="323"/>
      <c r="Z571" s="364"/>
      <c r="AA571" s="344"/>
      <c r="AB571" s="344"/>
      <c r="AC571" s="344"/>
      <c r="AD571" s="345"/>
    </row>
    <row r="572" spans="1:30" s="346" customFormat="1" ht="24.75" customHeight="1" x14ac:dyDescent="0.35">
      <c r="A572" s="325">
        <v>282</v>
      </c>
      <c r="B572" s="332" t="s">
        <v>1875</v>
      </c>
      <c r="C572" s="332" t="s">
        <v>319</v>
      </c>
      <c r="D572" s="332" t="s">
        <v>115</v>
      </c>
      <c r="E572" s="332" t="s">
        <v>1876</v>
      </c>
      <c r="F572" s="362"/>
      <c r="G572" s="359">
        <f>SUM(F565:F571)</f>
        <v>1441.0609999999999</v>
      </c>
      <c r="H572" s="326">
        <f>H570+F571</f>
        <v>107707.27500000001</v>
      </c>
      <c r="I572" s="332">
        <v>425.40199999999999</v>
      </c>
      <c r="J572" s="315">
        <v>70.72</v>
      </c>
      <c r="K572" s="331">
        <f>F571+F573</f>
        <v>722.06099999999992</v>
      </c>
      <c r="L572" s="331">
        <f>K572/2</f>
        <v>361.03049999999996</v>
      </c>
      <c r="M572" s="332">
        <v>180</v>
      </c>
      <c r="N572" s="332">
        <v>202</v>
      </c>
      <c r="O572" s="332">
        <v>382</v>
      </c>
      <c r="P572" s="332">
        <v>177</v>
      </c>
      <c r="Q572" s="332">
        <v>199</v>
      </c>
      <c r="R572" s="332">
        <v>376</v>
      </c>
      <c r="S572" s="332" t="s">
        <v>1877</v>
      </c>
      <c r="T572" s="332" t="s">
        <v>1878</v>
      </c>
      <c r="U572" s="333">
        <v>614843.97400000005</v>
      </c>
      <c r="V572" s="333">
        <v>2637984.9909999999</v>
      </c>
      <c r="W572" s="334"/>
      <c r="X572" s="315" t="s">
        <v>1874</v>
      </c>
      <c r="Y572" s="315" t="s">
        <v>1848</v>
      </c>
      <c r="Z572" s="335" t="s">
        <v>359</v>
      </c>
      <c r="AA572" s="344"/>
      <c r="AB572" s="344"/>
      <c r="AC572" s="344"/>
      <c r="AD572" s="345"/>
    </row>
    <row r="573" spans="1:30" s="346" customFormat="1" ht="24.75" customHeight="1" x14ac:dyDescent="0.35">
      <c r="A573" s="314"/>
      <c r="B573" s="332"/>
      <c r="C573" s="332"/>
      <c r="D573" s="332"/>
      <c r="E573" s="332"/>
      <c r="F573" s="362">
        <v>383</v>
      </c>
      <c r="G573" s="332"/>
      <c r="H573" s="317"/>
      <c r="I573" s="332"/>
      <c r="J573" s="332"/>
      <c r="K573" s="331"/>
      <c r="L573" s="331"/>
      <c r="M573" s="332"/>
      <c r="N573" s="332"/>
      <c r="O573" s="332"/>
      <c r="P573" s="332"/>
      <c r="Q573" s="332"/>
      <c r="R573" s="332"/>
      <c r="S573" s="332"/>
      <c r="T573" s="332"/>
      <c r="U573" s="333"/>
      <c r="V573" s="333"/>
      <c r="W573" s="334" t="s">
        <v>1122</v>
      </c>
      <c r="X573" s="323"/>
      <c r="Y573" s="323"/>
      <c r="Z573" s="364"/>
      <c r="AA573" s="344"/>
      <c r="AB573" s="344"/>
      <c r="AC573" s="344"/>
      <c r="AD573" s="345"/>
    </row>
    <row r="574" spans="1:30" s="346" customFormat="1" ht="24.75" customHeight="1" x14ac:dyDescent="0.35">
      <c r="A574" s="325">
        <v>283</v>
      </c>
      <c r="B574" s="332" t="s">
        <v>1025</v>
      </c>
      <c r="C574" s="332" t="s">
        <v>320</v>
      </c>
      <c r="D574" s="332" t="s">
        <v>16</v>
      </c>
      <c r="E574" s="332" t="s">
        <v>1025</v>
      </c>
      <c r="F574" s="362"/>
      <c r="G574" s="332" t="s">
        <v>1025</v>
      </c>
      <c r="H574" s="326">
        <f>H572+F573</f>
        <v>108090.27500000001</v>
      </c>
      <c r="I574" s="332">
        <v>417.62700000000001</v>
      </c>
      <c r="J574" s="331">
        <v>78.5</v>
      </c>
      <c r="K574" s="331">
        <f>F573+F575</f>
        <v>783</v>
      </c>
      <c r="L574" s="331">
        <f>K574/2</f>
        <v>391.5</v>
      </c>
      <c r="M574" s="332">
        <v>182</v>
      </c>
      <c r="N574" s="332">
        <v>263</v>
      </c>
      <c r="O574" s="332">
        <v>445</v>
      </c>
      <c r="P574" s="332">
        <v>185</v>
      </c>
      <c r="Q574" s="332">
        <v>243</v>
      </c>
      <c r="R574" s="332">
        <v>428</v>
      </c>
      <c r="S574" s="332" t="s">
        <v>1879</v>
      </c>
      <c r="T574" s="332" t="s">
        <v>1880</v>
      </c>
      <c r="U574" s="333">
        <v>615102.804</v>
      </c>
      <c r="V574" s="333">
        <v>2637702.6860000002</v>
      </c>
      <c r="W574" s="331"/>
      <c r="X574" s="315" t="s">
        <v>1874</v>
      </c>
      <c r="Y574" s="315" t="s">
        <v>1848</v>
      </c>
      <c r="Z574" s="335" t="s">
        <v>359</v>
      </c>
      <c r="AA574" s="344"/>
      <c r="AB574" s="344"/>
      <c r="AC574" s="344"/>
      <c r="AD574" s="345"/>
    </row>
    <row r="575" spans="1:30" s="346" customFormat="1" ht="24.75" customHeight="1" x14ac:dyDescent="0.35">
      <c r="A575" s="314"/>
      <c r="B575" s="332"/>
      <c r="C575" s="332"/>
      <c r="D575" s="332"/>
      <c r="E575" s="332"/>
      <c r="F575" s="362">
        <v>400</v>
      </c>
      <c r="G575" s="332"/>
      <c r="H575" s="317"/>
      <c r="I575" s="332"/>
      <c r="J575" s="332"/>
      <c r="K575" s="331"/>
      <c r="L575" s="331"/>
      <c r="M575" s="332"/>
      <c r="N575" s="332"/>
      <c r="O575" s="332"/>
      <c r="P575" s="332"/>
      <c r="Q575" s="332"/>
      <c r="R575" s="332"/>
      <c r="S575" s="332"/>
      <c r="T575" s="332"/>
      <c r="U575" s="333"/>
      <c r="V575" s="333"/>
      <c r="W575" s="334" t="s">
        <v>1881</v>
      </c>
      <c r="X575" s="323"/>
      <c r="Y575" s="323"/>
      <c r="Z575" s="364"/>
      <c r="AA575" s="344"/>
      <c r="AB575" s="344"/>
      <c r="AC575" s="344"/>
      <c r="AD575" s="345"/>
    </row>
    <row r="576" spans="1:30" s="346" customFormat="1" ht="24.75" customHeight="1" x14ac:dyDescent="0.35">
      <c r="A576" s="325">
        <v>284</v>
      </c>
      <c r="B576" s="332" t="s">
        <v>1882</v>
      </c>
      <c r="C576" s="332" t="s">
        <v>321</v>
      </c>
      <c r="D576" s="332" t="s">
        <v>40</v>
      </c>
      <c r="E576" s="332" t="s">
        <v>1883</v>
      </c>
      <c r="F576" s="362"/>
      <c r="G576" s="359">
        <f>SUM(F573:F575)</f>
        <v>783</v>
      </c>
      <c r="H576" s="326">
        <f>H574+F575</f>
        <v>108490.27500000001</v>
      </c>
      <c r="I576" s="332">
        <v>411.959</v>
      </c>
      <c r="J576" s="315">
        <v>70.72</v>
      </c>
      <c r="K576" s="331">
        <f>F575+F577</f>
        <v>786</v>
      </c>
      <c r="L576" s="331">
        <f>K576/2</f>
        <v>393</v>
      </c>
      <c r="M576" s="332">
        <v>137</v>
      </c>
      <c r="N576" s="332">
        <v>197</v>
      </c>
      <c r="O576" s="332">
        <v>334</v>
      </c>
      <c r="P576" s="332">
        <v>158</v>
      </c>
      <c r="Q576" s="332">
        <v>196</v>
      </c>
      <c r="R576" s="332">
        <v>354</v>
      </c>
      <c r="S576" s="332" t="s">
        <v>1884</v>
      </c>
      <c r="T576" s="332" t="s">
        <v>1885</v>
      </c>
      <c r="U576" s="333">
        <v>615372.95400000003</v>
      </c>
      <c r="V576" s="333">
        <v>2637408.0359999998</v>
      </c>
      <c r="W576" s="331"/>
      <c r="X576" s="315" t="s">
        <v>1874</v>
      </c>
      <c r="Y576" s="315" t="s">
        <v>1848</v>
      </c>
      <c r="Z576" s="335" t="s">
        <v>359</v>
      </c>
      <c r="AA576" s="344"/>
      <c r="AB576" s="344"/>
      <c r="AC576" s="344"/>
      <c r="AD576" s="345"/>
    </row>
    <row r="577" spans="1:30" s="346" customFormat="1" ht="24.75" customHeight="1" x14ac:dyDescent="0.35">
      <c r="A577" s="314"/>
      <c r="B577" s="332"/>
      <c r="C577" s="332"/>
      <c r="D577" s="332"/>
      <c r="E577" s="332"/>
      <c r="F577" s="362">
        <v>386</v>
      </c>
      <c r="G577" s="332"/>
      <c r="H577" s="317"/>
      <c r="I577" s="332"/>
      <c r="J577" s="332"/>
      <c r="K577" s="331"/>
      <c r="L577" s="331"/>
      <c r="M577" s="332"/>
      <c r="N577" s="332"/>
      <c r="O577" s="332"/>
      <c r="P577" s="332"/>
      <c r="Q577" s="332"/>
      <c r="R577" s="332"/>
      <c r="S577" s="332"/>
      <c r="T577" s="332"/>
      <c r="U577" s="333"/>
      <c r="V577" s="333"/>
      <c r="W577" s="334" t="s">
        <v>1886</v>
      </c>
      <c r="X577" s="323"/>
      <c r="Y577" s="323"/>
      <c r="Z577" s="364"/>
      <c r="AA577" s="344"/>
      <c r="AB577" s="344"/>
      <c r="AC577" s="344"/>
      <c r="AD577" s="345"/>
    </row>
    <row r="578" spans="1:30" s="346" customFormat="1" ht="24.75" customHeight="1" x14ac:dyDescent="0.35">
      <c r="A578" s="325">
        <v>285</v>
      </c>
      <c r="B578" s="332" t="s">
        <v>1025</v>
      </c>
      <c r="C578" s="332" t="s">
        <v>322</v>
      </c>
      <c r="D578" s="332" t="s">
        <v>14</v>
      </c>
      <c r="E578" s="332" t="s">
        <v>1025</v>
      </c>
      <c r="F578" s="362"/>
      <c r="G578" s="332" t="s">
        <v>1025</v>
      </c>
      <c r="H578" s="326">
        <f>H576+F577</f>
        <v>108876.27500000001</v>
      </c>
      <c r="I578" s="332">
        <v>412.71</v>
      </c>
      <c r="J578" s="331">
        <v>71</v>
      </c>
      <c r="K578" s="331">
        <f>F577+F579</f>
        <v>779</v>
      </c>
      <c r="L578" s="331">
        <f>K578/2</f>
        <v>389.5</v>
      </c>
      <c r="M578" s="332">
        <v>189</v>
      </c>
      <c r="N578" s="332">
        <v>169</v>
      </c>
      <c r="O578" s="332">
        <v>358</v>
      </c>
      <c r="P578" s="332">
        <v>191</v>
      </c>
      <c r="Q578" s="332">
        <v>178</v>
      </c>
      <c r="R578" s="332">
        <v>369</v>
      </c>
      <c r="S578" s="332" t="s">
        <v>1887</v>
      </c>
      <c r="T578" s="332" t="s">
        <v>1888</v>
      </c>
      <c r="U578" s="333">
        <v>615722.85900000005</v>
      </c>
      <c r="V578" s="333">
        <v>2637245.0559999999</v>
      </c>
      <c r="W578" s="331"/>
      <c r="X578" s="315" t="s">
        <v>1874</v>
      </c>
      <c r="Y578" s="315" t="s">
        <v>1848</v>
      </c>
      <c r="Z578" s="335" t="s">
        <v>359</v>
      </c>
      <c r="AA578" s="344"/>
      <c r="AB578" s="344"/>
      <c r="AC578" s="344"/>
      <c r="AD578" s="345"/>
    </row>
    <row r="579" spans="1:30" s="346" customFormat="1" ht="24.75" customHeight="1" x14ac:dyDescent="0.35">
      <c r="A579" s="314"/>
      <c r="B579" s="332"/>
      <c r="C579" s="332"/>
      <c r="D579" s="332"/>
      <c r="E579" s="332"/>
      <c r="F579" s="362">
        <v>393</v>
      </c>
      <c r="G579" s="332"/>
      <c r="H579" s="317"/>
      <c r="I579" s="332"/>
      <c r="J579" s="332"/>
      <c r="K579" s="331"/>
      <c r="L579" s="331"/>
      <c r="M579" s="332"/>
      <c r="N579" s="332"/>
      <c r="O579" s="332"/>
      <c r="P579" s="332"/>
      <c r="Q579" s="332"/>
      <c r="R579" s="332"/>
      <c r="S579" s="332"/>
      <c r="T579" s="332"/>
      <c r="U579" s="333"/>
      <c r="V579" s="333"/>
      <c r="W579" s="334" t="s">
        <v>1122</v>
      </c>
      <c r="X579" s="323"/>
      <c r="Y579" s="323"/>
      <c r="Z579" s="364"/>
      <c r="AA579" s="344"/>
      <c r="AB579" s="344"/>
      <c r="AC579" s="344"/>
      <c r="AD579" s="345"/>
    </row>
    <row r="580" spans="1:30" s="346" customFormat="1" ht="24.75" customHeight="1" x14ac:dyDescent="0.35">
      <c r="A580" s="325">
        <v>286</v>
      </c>
      <c r="B580" s="332" t="s">
        <v>1025</v>
      </c>
      <c r="C580" s="332" t="s">
        <v>323</v>
      </c>
      <c r="D580" s="332" t="s">
        <v>31</v>
      </c>
      <c r="E580" s="332" t="s">
        <v>1025</v>
      </c>
      <c r="F580" s="362"/>
      <c r="G580" s="332" t="s">
        <v>1025</v>
      </c>
      <c r="H580" s="326">
        <f>H578+F579</f>
        <v>109269.27500000001</v>
      </c>
      <c r="I580" s="358">
        <v>416.226</v>
      </c>
      <c r="J580" s="331">
        <v>72.5</v>
      </c>
      <c r="K580" s="331">
        <f>F579+F581</f>
        <v>815</v>
      </c>
      <c r="L580" s="331">
        <f>K580/2</f>
        <v>407.5</v>
      </c>
      <c r="M580" s="332">
        <v>224</v>
      </c>
      <c r="N580" s="332">
        <v>174</v>
      </c>
      <c r="O580" s="332">
        <v>398</v>
      </c>
      <c r="P580" s="332">
        <v>216</v>
      </c>
      <c r="Q580" s="332">
        <v>186</v>
      </c>
      <c r="R580" s="332">
        <v>402</v>
      </c>
      <c r="S580" s="332" t="s">
        <v>1889</v>
      </c>
      <c r="T580" s="332" t="s">
        <v>1890</v>
      </c>
      <c r="U580" s="333">
        <v>616079.11</v>
      </c>
      <c r="V580" s="333">
        <v>2637079.1209999998</v>
      </c>
      <c r="W580" s="331"/>
      <c r="X580" s="315" t="s">
        <v>1874</v>
      </c>
      <c r="Y580" s="315" t="s">
        <v>1848</v>
      </c>
      <c r="Z580" s="335" t="s">
        <v>359</v>
      </c>
      <c r="AA580" s="344"/>
      <c r="AB580" s="344"/>
      <c r="AC580" s="344"/>
      <c r="AD580" s="345"/>
    </row>
    <row r="581" spans="1:30" s="346" customFormat="1" ht="24.75" customHeight="1" x14ac:dyDescent="0.35">
      <c r="A581" s="314"/>
      <c r="B581" s="332"/>
      <c r="C581" s="332"/>
      <c r="D581" s="332"/>
      <c r="E581" s="332"/>
      <c r="F581" s="362">
        <v>422</v>
      </c>
      <c r="G581" s="332"/>
      <c r="H581" s="317"/>
      <c r="I581" s="332"/>
      <c r="J581" s="332"/>
      <c r="K581" s="331"/>
      <c r="L581" s="331"/>
      <c r="M581" s="332"/>
      <c r="N581" s="332"/>
      <c r="O581" s="332"/>
      <c r="P581" s="332"/>
      <c r="Q581" s="332"/>
      <c r="R581" s="332"/>
      <c r="S581" s="332"/>
      <c r="T581" s="332"/>
      <c r="U581" s="333"/>
      <c r="V581" s="333"/>
      <c r="W581" s="334" t="s">
        <v>1891</v>
      </c>
      <c r="X581" s="323"/>
      <c r="Y581" s="323"/>
      <c r="Z581" s="364"/>
      <c r="AA581" s="344"/>
      <c r="AB581" s="344"/>
      <c r="AC581" s="344"/>
      <c r="AD581" s="345"/>
    </row>
    <row r="582" spans="1:30" s="346" customFormat="1" ht="24.75" customHeight="1" x14ac:dyDescent="0.35">
      <c r="A582" s="325">
        <v>287</v>
      </c>
      <c r="B582" s="332" t="s">
        <v>1025</v>
      </c>
      <c r="C582" s="332" t="s">
        <v>324</v>
      </c>
      <c r="D582" s="332" t="s">
        <v>16</v>
      </c>
      <c r="E582" s="332" t="s">
        <v>1025</v>
      </c>
      <c r="F582" s="362"/>
      <c r="G582" s="332" t="s">
        <v>1025</v>
      </c>
      <c r="H582" s="326">
        <f>H580+F581</f>
        <v>109691.27500000001</v>
      </c>
      <c r="I582" s="332">
        <v>417.548</v>
      </c>
      <c r="J582" s="331">
        <v>78.5</v>
      </c>
      <c r="K582" s="331">
        <f>F581+F583</f>
        <v>830</v>
      </c>
      <c r="L582" s="331">
        <f>K582/2</f>
        <v>415</v>
      </c>
      <c r="M582" s="332">
        <v>249</v>
      </c>
      <c r="N582" s="332">
        <v>242</v>
      </c>
      <c r="O582" s="332">
        <v>491</v>
      </c>
      <c r="P582" s="332">
        <v>237</v>
      </c>
      <c r="Q582" s="332">
        <v>230</v>
      </c>
      <c r="R582" s="332">
        <v>467</v>
      </c>
      <c r="S582" s="332" t="s">
        <v>1892</v>
      </c>
      <c r="T582" s="332" t="s">
        <v>1893</v>
      </c>
      <c r="U582" s="333">
        <v>616461.64899999998</v>
      </c>
      <c r="V582" s="333">
        <v>2636900.9410000001</v>
      </c>
      <c r="W582" s="331"/>
      <c r="X582" s="315" t="s">
        <v>1894</v>
      </c>
      <c r="Y582" s="315" t="s">
        <v>1848</v>
      </c>
      <c r="Z582" s="335" t="s">
        <v>359</v>
      </c>
      <c r="AA582" s="344"/>
      <c r="AB582" s="344"/>
      <c r="AC582" s="344"/>
      <c r="AD582" s="345"/>
    </row>
    <row r="583" spans="1:30" s="346" customFormat="1" ht="24.75" customHeight="1" x14ac:dyDescent="0.35">
      <c r="A583" s="314"/>
      <c r="B583" s="332"/>
      <c r="C583" s="332"/>
      <c r="D583" s="332"/>
      <c r="E583" s="332"/>
      <c r="F583" s="362">
        <v>408</v>
      </c>
      <c r="G583" s="332"/>
      <c r="H583" s="317"/>
      <c r="I583" s="332"/>
      <c r="J583" s="332"/>
      <c r="K583" s="331"/>
      <c r="L583" s="331"/>
      <c r="M583" s="332"/>
      <c r="N583" s="332"/>
      <c r="O583" s="332"/>
      <c r="P583" s="332"/>
      <c r="Q583" s="332"/>
      <c r="R583" s="332"/>
      <c r="S583" s="332"/>
      <c r="T583" s="332"/>
      <c r="U583" s="333"/>
      <c r="V583" s="333"/>
      <c r="W583" s="334"/>
      <c r="X583" s="323"/>
      <c r="Y583" s="323"/>
      <c r="Z583" s="364"/>
      <c r="AA583" s="344"/>
      <c r="AB583" s="344"/>
      <c r="AC583" s="344"/>
      <c r="AD583" s="345"/>
    </row>
    <row r="584" spans="1:30" s="346" customFormat="1" ht="24.75" customHeight="1" x14ac:dyDescent="0.35">
      <c r="A584" s="325">
        <v>288</v>
      </c>
      <c r="B584" s="332" t="s">
        <v>1025</v>
      </c>
      <c r="C584" s="332" t="s">
        <v>325</v>
      </c>
      <c r="D584" s="332" t="s">
        <v>14</v>
      </c>
      <c r="E584" s="332" t="s">
        <v>1025</v>
      </c>
      <c r="F584" s="362"/>
      <c r="G584" s="332" t="s">
        <v>1025</v>
      </c>
      <c r="H584" s="326">
        <f>H582+F583</f>
        <v>110099.27500000001</v>
      </c>
      <c r="I584" s="332">
        <v>417.93900000000002</v>
      </c>
      <c r="J584" s="331">
        <v>71</v>
      </c>
      <c r="K584" s="331">
        <f>F583+F585</f>
        <v>778</v>
      </c>
      <c r="L584" s="331">
        <f>K584/2</f>
        <v>389</v>
      </c>
      <c r="M584" s="332">
        <v>167</v>
      </c>
      <c r="N584" s="332">
        <v>195</v>
      </c>
      <c r="O584" s="332">
        <v>362</v>
      </c>
      <c r="P584" s="332">
        <v>179</v>
      </c>
      <c r="Q584" s="332">
        <v>193</v>
      </c>
      <c r="R584" s="332">
        <v>372</v>
      </c>
      <c r="S584" s="332" t="s">
        <v>1895</v>
      </c>
      <c r="T584" s="332" t="s">
        <v>1896</v>
      </c>
      <c r="U584" s="333">
        <v>616831.49699999997</v>
      </c>
      <c r="V584" s="333">
        <v>2636728.673</v>
      </c>
      <c r="W584" s="331"/>
      <c r="X584" s="315" t="s">
        <v>1894</v>
      </c>
      <c r="Y584" s="315" t="s">
        <v>1848</v>
      </c>
      <c r="Z584" s="335" t="s">
        <v>359</v>
      </c>
      <c r="AA584" s="344"/>
      <c r="AB584" s="344"/>
      <c r="AC584" s="344"/>
      <c r="AD584" s="345"/>
    </row>
    <row r="585" spans="1:30" s="346" customFormat="1" ht="28" x14ac:dyDescent="0.35">
      <c r="A585" s="314"/>
      <c r="B585" s="332"/>
      <c r="C585" s="332"/>
      <c r="D585" s="332"/>
      <c r="E585" s="332"/>
      <c r="F585" s="362">
        <v>370</v>
      </c>
      <c r="G585" s="332"/>
      <c r="H585" s="317"/>
      <c r="I585" s="332"/>
      <c r="J585" s="332"/>
      <c r="K585" s="331"/>
      <c r="L585" s="331"/>
      <c r="M585" s="332"/>
      <c r="N585" s="332"/>
      <c r="O585" s="332"/>
      <c r="P585" s="332"/>
      <c r="Q585" s="332"/>
      <c r="R585" s="332"/>
      <c r="S585" s="332"/>
      <c r="T585" s="332"/>
      <c r="U585" s="333"/>
      <c r="V585" s="333"/>
      <c r="W585" s="334" t="s">
        <v>1897</v>
      </c>
      <c r="X585" s="323"/>
      <c r="Y585" s="323"/>
      <c r="Z585" s="364"/>
      <c r="AA585" s="344"/>
      <c r="AB585" s="344"/>
      <c r="AC585" s="344"/>
      <c r="AD585" s="345"/>
    </row>
    <row r="586" spans="1:30" s="346" customFormat="1" ht="24.75" customHeight="1" x14ac:dyDescent="0.35">
      <c r="A586" s="325">
        <v>289</v>
      </c>
      <c r="B586" s="332" t="s">
        <v>1025</v>
      </c>
      <c r="C586" s="332" t="s">
        <v>326</v>
      </c>
      <c r="D586" s="332" t="s">
        <v>23</v>
      </c>
      <c r="E586" s="332" t="s">
        <v>1025</v>
      </c>
      <c r="F586" s="362"/>
      <c r="G586" s="332" t="s">
        <v>1025</v>
      </c>
      <c r="H586" s="326">
        <f>H584+F585</f>
        <v>110469.27500000001</v>
      </c>
      <c r="I586" s="332">
        <v>417.67599999999999</v>
      </c>
      <c r="J586" s="331">
        <v>69.5</v>
      </c>
      <c r="K586" s="331">
        <f>F585+F587</f>
        <v>715</v>
      </c>
      <c r="L586" s="331">
        <f>K586/2</f>
        <v>357.5</v>
      </c>
      <c r="M586" s="332">
        <v>175</v>
      </c>
      <c r="N586" s="332">
        <v>144</v>
      </c>
      <c r="O586" s="332">
        <v>319</v>
      </c>
      <c r="P586" s="332">
        <v>178</v>
      </c>
      <c r="Q586" s="332">
        <v>153</v>
      </c>
      <c r="R586" s="332">
        <v>331</v>
      </c>
      <c r="S586" s="332" t="s">
        <v>1898</v>
      </c>
      <c r="T586" s="332" t="s">
        <v>1899</v>
      </c>
      <c r="U586" s="333">
        <v>617166.89800000004</v>
      </c>
      <c r="V586" s="333">
        <v>2636572.449</v>
      </c>
      <c r="W586" s="331"/>
      <c r="X586" s="315" t="s">
        <v>1894</v>
      </c>
      <c r="Y586" s="315" t="s">
        <v>1848</v>
      </c>
      <c r="Z586" s="335" t="s">
        <v>359</v>
      </c>
      <c r="AA586" s="344"/>
      <c r="AB586" s="344"/>
      <c r="AC586" s="344"/>
      <c r="AD586" s="345"/>
    </row>
    <row r="587" spans="1:30" s="346" customFormat="1" ht="24.75" customHeight="1" x14ac:dyDescent="0.35">
      <c r="A587" s="314"/>
      <c r="B587" s="332"/>
      <c r="C587" s="332"/>
      <c r="D587" s="332"/>
      <c r="E587" s="332"/>
      <c r="F587" s="362">
        <v>345</v>
      </c>
      <c r="G587" s="332"/>
      <c r="H587" s="317"/>
      <c r="I587" s="332"/>
      <c r="J587" s="332"/>
      <c r="K587" s="331"/>
      <c r="L587" s="331"/>
      <c r="M587" s="332"/>
      <c r="N587" s="332"/>
      <c r="O587" s="332"/>
      <c r="P587" s="332"/>
      <c r="Q587" s="332"/>
      <c r="R587" s="332"/>
      <c r="S587" s="332"/>
      <c r="T587" s="332"/>
      <c r="U587" s="333"/>
      <c r="V587" s="333"/>
      <c r="W587" s="334" t="s">
        <v>1122</v>
      </c>
      <c r="X587" s="323"/>
      <c r="Y587" s="323"/>
      <c r="Z587" s="364"/>
      <c r="AA587" s="344"/>
      <c r="AB587" s="344"/>
      <c r="AC587" s="344"/>
      <c r="AD587" s="345"/>
    </row>
    <row r="588" spans="1:30" s="346" customFormat="1" ht="24.75" customHeight="1" x14ac:dyDescent="0.35">
      <c r="A588" s="325">
        <v>290</v>
      </c>
      <c r="B588" s="332" t="s">
        <v>1025</v>
      </c>
      <c r="C588" s="332" t="s">
        <v>327</v>
      </c>
      <c r="D588" s="332" t="s">
        <v>31</v>
      </c>
      <c r="E588" s="332" t="s">
        <v>1025</v>
      </c>
      <c r="F588" s="362"/>
      <c r="G588" s="332" t="s">
        <v>1025</v>
      </c>
      <c r="H588" s="326">
        <f>H586+F587</f>
        <v>110814.27500000001</v>
      </c>
      <c r="I588" s="358">
        <v>419.33</v>
      </c>
      <c r="J588" s="331">
        <v>72.5</v>
      </c>
      <c r="K588" s="331">
        <f>F587+F589</f>
        <v>697</v>
      </c>
      <c r="L588" s="331">
        <f>K588/2</f>
        <v>348.5</v>
      </c>
      <c r="M588" s="332">
        <v>202</v>
      </c>
      <c r="N588" s="332">
        <v>100</v>
      </c>
      <c r="O588" s="332">
        <v>302</v>
      </c>
      <c r="P588" s="332">
        <v>193</v>
      </c>
      <c r="Q588" s="332">
        <v>124</v>
      </c>
      <c r="R588" s="332">
        <v>317</v>
      </c>
      <c r="S588" s="332" t="s">
        <v>1900</v>
      </c>
      <c r="T588" s="332" t="s">
        <v>1901</v>
      </c>
      <c r="U588" s="333">
        <v>617479.63699999999</v>
      </c>
      <c r="V588" s="333">
        <v>2636426.7799999998</v>
      </c>
      <c r="W588" s="331"/>
      <c r="X588" s="315" t="s">
        <v>1894</v>
      </c>
      <c r="Y588" s="315" t="s">
        <v>1848</v>
      </c>
      <c r="Z588" s="335" t="s">
        <v>359</v>
      </c>
      <c r="AA588" s="344"/>
      <c r="AB588" s="344"/>
      <c r="AC588" s="344"/>
      <c r="AD588" s="345"/>
    </row>
    <row r="589" spans="1:30" s="346" customFormat="1" ht="24.75" customHeight="1" x14ac:dyDescent="0.35">
      <c r="A589" s="314"/>
      <c r="B589" s="332"/>
      <c r="C589" s="332"/>
      <c r="D589" s="332"/>
      <c r="E589" s="332"/>
      <c r="F589" s="362">
        <v>352</v>
      </c>
      <c r="G589" s="332"/>
      <c r="H589" s="317"/>
      <c r="I589" s="332"/>
      <c r="J589" s="332"/>
      <c r="K589" s="331"/>
      <c r="L589" s="331"/>
      <c r="M589" s="332"/>
      <c r="N589" s="332"/>
      <c r="O589" s="332"/>
      <c r="P589" s="332"/>
      <c r="Q589" s="332"/>
      <c r="R589" s="332"/>
      <c r="S589" s="332"/>
      <c r="T589" s="332"/>
      <c r="U589" s="333"/>
      <c r="V589" s="333"/>
      <c r="W589" s="334"/>
      <c r="X589" s="323"/>
      <c r="Y589" s="323"/>
      <c r="Z589" s="364"/>
      <c r="AA589" s="344"/>
      <c r="AB589" s="344"/>
      <c r="AC589" s="344"/>
      <c r="AD589" s="345"/>
    </row>
    <row r="590" spans="1:30" s="346" customFormat="1" ht="24.75" customHeight="1" x14ac:dyDescent="0.35">
      <c r="A590" s="325">
        <v>291</v>
      </c>
      <c r="B590" s="332" t="s">
        <v>1025</v>
      </c>
      <c r="C590" s="332" t="s">
        <v>328</v>
      </c>
      <c r="D590" s="332" t="s">
        <v>23</v>
      </c>
      <c r="E590" s="332" t="s">
        <v>1025</v>
      </c>
      <c r="F590" s="362"/>
      <c r="G590" s="332" t="s">
        <v>1025</v>
      </c>
      <c r="H590" s="326">
        <f>H588+F589</f>
        <v>111166.27500000001</v>
      </c>
      <c r="I590" s="332">
        <v>434.78399999999999</v>
      </c>
      <c r="J590" s="331">
        <v>69.5</v>
      </c>
      <c r="K590" s="331">
        <f>F589+F591</f>
        <v>792</v>
      </c>
      <c r="L590" s="331">
        <f>K590/2</f>
        <v>396</v>
      </c>
      <c r="M590" s="332">
        <v>252</v>
      </c>
      <c r="N590" s="332">
        <v>273</v>
      </c>
      <c r="O590" s="332">
        <v>525</v>
      </c>
      <c r="P590" s="332">
        <v>229</v>
      </c>
      <c r="Q590" s="332">
        <v>257</v>
      </c>
      <c r="R590" s="332">
        <v>486</v>
      </c>
      <c r="S590" s="332" t="s">
        <v>1902</v>
      </c>
      <c r="T590" s="332" t="s">
        <v>1903</v>
      </c>
      <c r="U590" s="333">
        <v>617798.72199999995</v>
      </c>
      <c r="V590" s="333">
        <v>2636278.156</v>
      </c>
      <c r="W590" s="334"/>
      <c r="X590" s="315" t="s">
        <v>1894</v>
      </c>
      <c r="Y590" s="315" t="s">
        <v>1848</v>
      </c>
      <c r="Z590" s="335" t="s">
        <v>359</v>
      </c>
      <c r="AA590" s="344"/>
      <c r="AB590" s="344"/>
      <c r="AC590" s="344"/>
      <c r="AD590" s="345"/>
    </row>
    <row r="591" spans="1:30" s="346" customFormat="1" ht="24.75" customHeight="1" x14ac:dyDescent="0.35">
      <c r="A591" s="314"/>
      <c r="B591" s="332"/>
      <c r="C591" s="332"/>
      <c r="D591" s="332"/>
      <c r="E591" s="332"/>
      <c r="F591" s="362">
        <v>440</v>
      </c>
      <c r="G591" s="332"/>
      <c r="H591" s="317"/>
      <c r="I591" s="332"/>
      <c r="J591" s="332"/>
      <c r="K591" s="331"/>
      <c r="L591" s="331"/>
      <c r="M591" s="332"/>
      <c r="N591" s="332"/>
      <c r="O591" s="332"/>
      <c r="P591" s="332"/>
      <c r="Q591" s="332"/>
      <c r="R591" s="332"/>
      <c r="S591" s="332"/>
      <c r="T591" s="332"/>
      <c r="U591" s="333"/>
      <c r="V591" s="333"/>
      <c r="W591" s="334"/>
      <c r="X591" s="323"/>
      <c r="Y591" s="323"/>
      <c r="Z591" s="364"/>
      <c r="AA591" s="344"/>
      <c r="AB591" s="344"/>
      <c r="AC591" s="344"/>
      <c r="AD591" s="345"/>
    </row>
    <row r="592" spans="1:30" s="346" customFormat="1" ht="24.75" customHeight="1" x14ac:dyDescent="0.35">
      <c r="A592" s="325">
        <v>292</v>
      </c>
      <c r="B592" s="332" t="s">
        <v>1025</v>
      </c>
      <c r="C592" s="332" t="s">
        <v>329</v>
      </c>
      <c r="D592" s="332" t="s">
        <v>35</v>
      </c>
      <c r="E592" s="332" t="s">
        <v>1025</v>
      </c>
      <c r="F592" s="362"/>
      <c r="G592" s="332" t="s">
        <v>1025</v>
      </c>
      <c r="H592" s="326">
        <f>H590+F591</f>
        <v>111606.27500000001</v>
      </c>
      <c r="I592" s="332">
        <v>419.428</v>
      </c>
      <c r="J592" s="331">
        <v>74</v>
      </c>
      <c r="K592" s="331">
        <f>F591+F593</f>
        <v>820</v>
      </c>
      <c r="L592" s="331">
        <f>K592/2</f>
        <v>410</v>
      </c>
      <c r="M592" s="332">
        <v>167</v>
      </c>
      <c r="N592" s="332">
        <v>199</v>
      </c>
      <c r="O592" s="332">
        <v>366</v>
      </c>
      <c r="P592" s="332">
        <v>184</v>
      </c>
      <c r="Q592" s="332">
        <v>196</v>
      </c>
      <c r="R592" s="332">
        <v>380</v>
      </c>
      <c r="S592" s="332" t="s">
        <v>1904</v>
      </c>
      <c r="T592" s="332" t="s">
        <v>1905</v>
      </c>
      <c r="U592" s="333">
        <v>618197.57700000005</v>
      </c>
      <c r="V592" s="333">
        <v>2636092.3760000002</v>
      </c>
      <c r="W592" s="331"/>
      <c r="X592" s="315" t="s">
        <v>1894</v>
      </c>
      <c r="Y592" s="315" t="s">
        <v>1848</v>
      </c>
      <c r="Z592" s="335" t="s">
        <v>359</v>
      </c>
      <c r="AA592" s="344"/>
      <c r="AB592" s="344"/>
      <c r="AC592" s="344"/>
      <c r="AD592" s="345"/>
    </row>
    <row r="593" spans="1:30" s="346" customFormat="1" ht="24.75" customHeight="1" x14ac:dyDescent="0.35">
      <c r="A593" s="314"/>
      <c r="B593" s="332"/>
      <c r="C593" s="332"/>
      <c r="D593" s="332"/>
      <c r="E593" s="332"/>
      <c r="F593" s="362">
        <v>380</v>
      </c>
      <c r="G593" s="332"/>
      <c r="H593" s="317"/>
      <c r="I593" s="332"/>
      <c r="J593" s="332"/>
      <c r="K593" s="331"/>
      <c r="L593" s="331"/>
      <c r="M593" s="332"/>
      <c r="N593" s="332"/>
      <c r="O593" s="332"/>
      <c r="P593" s="332"/>
      <c r="Q593" s="332"/>
      <c r="R593" s="332"/>
      <c r="S593" s="332"/>
      <c r="T593" s="332"/>
      <c r="U593" s="333"/>
      <c r="V593" s="333"/>
      <c r="W593" s="334" t="s">
        <v>1868</v>
      </c>
      <c r="X593" s="323"/>
      <c r="Y593" s="323"/>
      <c r="Z593" s="364"/>
      <c r="AA593" s="344"/>
      <c r="AB593" s="344"/>
      <c r="AC593" s="344"/>
      <c r="AD593" s="345"/>
    </row>
    <row r="594" spans="1:30" s="346" customFormat="1" ht="24.75" customHeight="1" x14ac:dyDescent="0.35">
      <c r="A594" s="325">
        <v>293</v>
      </c>
      <c r="B594" s="332" t="s">
        <v>1025</v>
      </c>
      <c r="C594" s="332" t="s">
        <v>330</v>
      </c>
      <c r="D594" s="332" t="s">
        <v>23</v>
      </c>
      <c r="E594" s="332" t="s">
        <v>1025</v>
      </c>
      <c r="F594" s="362"/>
      <c r="G594" s="332" t="s">
        <v>1025</v>
      </c>
      <c r="H594" s="326">
        <f>H592+F593</f>
        <v>111986.27500000001</v>
      </c>
      <c r="I594" s="332">
        <v>422.44200000000001</v>
      </c>
      <c r="J594" s="331">
        <v>69.5</v>
      </c>
      <c r="K594" s="331">
        <f>F593+F595</f>
        <v>796</v>
      </c>
      <c r="L594" s="331">
        <f>K594/2</f>
        <v>398</v>
      </c>
      <c r="M594" s="332">
        <v>182</v>
      </c>
      <c r="N594" s="332">
        <v>127</v>
      </c>
      <c r="O594" s="332">
        <v>309</v>
      </c>
      <c r="P594" s="332">
        <v>185</v>
      </c>
      <c r="Q594" s="332">
        <v>153</v>
      </c>
      <c r="R594" s="332">
        <v>338</v>
      </c>
      <c r="S594" s="332" t="s">
        <v>1906</v>
      </c>
      <c r="T594" s="332" t="s">
        <v>1907</v>
      </c>
      <c r="U594" s="333">
        <v>618542.04299999995</v>
      </c>
      <c r="V594" s="333">
        <v>2635931.9300000002</v>
      </c>
      <c r="W594" s="331"/>
      <c r="X594" s="315" t="s">
        <v>1894</v>
      </c>
      <c r="Y594" s="315" t="s">
        <v>1848</v>
      </c>
      <c r="Z594" s="335" t="s">
        <v>359</v>
      </c>
      <c r="AA594" s="344"/>
      <c r="AB594" s="344"/>
      <c r="AC594" s="344"/>
      <c r="AD594" s="345"/>
    </row>
    <row r="595" spans="1:30" s="346" customFormat="1" ht="24.75" customHeight="1" x14ac:dyDescent="0.35">
      <c r="A595" s="314"/>
      <c r="B595" s="332"/>
      <c r="C595" s="332"/>
      <c r="D595" s="332"/>
      <c r="E595" s="332"/>
      <c r="F595" s="362">
        <v>416</v>
      </c>
      <c r="G595" s="332"/>
      <c r="H595" s="317"/>
      <c r="I595" s="332"/>
      <c r="J595" s="332"/>
      <c r="K595" s="331"/>
      <c r="L595" s="331"/>
      <c r="M595" s="332"/>
      <c r="N595" s="332"/>
      <c r="O595" s="332"/>
      <c r="P595" s="332"/>
      <c r="Q595" s="332"/>
      <c r="R595" s="332"/>
      <c r="S595" s="332"/>
      <c r="T595" s="332"/>
      <c r="U595" s="333"/>
      <c r="V595" s="333"/>
      <c r="W595" s="334" t="s">
        <v>1908</v>
      </c>
      <c r="X595" s="323"/>
      <c r="Y595" s="323"/>
      <c r="Z595" s="364"/>
      <c r="AA595" s="344"/>
      <c r="AB595" s="344"/>
      <c r="AC595" s="344"/>
      <c r="AD595" s="345"/>
    </row>
    <row r="596" spans="1:30" s="346" customFormat="1" ht="24.75" customHeight="1" x14ac:dyDescent="0.35">
      <c r="A596" s="325">
        <v>294</v>
      </c>
      <c r="B596" s="332" t="s">
        <v>1025</v>
      </c>
      <c r="C596" s="332" t="s">
        <v>331</v>
      </c>
      <c r="D596" s="332" t="s">
        <v>20</v>
      </c>
      <c r="E596" s="332" t="s">
        <v>1025</v>
      </c>
      <c r="F596" s="362"/>
      <c r="G596" s="332" t="s">
        <v>1025</v>
      </c>
      <c r="H596" s="326">
        <f>H594+F595</f>
        <v>112402.27500000001</v>
      </c>
      <c r="I596" s="332">
        <v>426.214</v>
      </c>
      <c r="J596" s="331">
        <v>81.5</v>
      </c>
      <c r="K596" s="331">
        <f>F595+F597</f>
        <v>822</v>
      </c>
      <c r="L596" s="331">
        <f>K596/2</f>
        <v>411</v>
      </c>
      <c r="M596" s="332">
        <v>290</v>
      </c>
      <c r="N596" s="332">
        <v>284</v>
      </c>
      <c r="O596" s="332">
        <v>574</v>
      </c>
      <c r="P596" s="332">
        <v>265</v>
      </c>
      <c r="Q596" s="332">
        <v>259</v>
      </c>
      <c r="R596" s="332">
        <v>524</v>
      </c>
      <c r="S596" s="332" t="s">
        <v>1909</v>
      </c>
      <c r="T596" s="332" t="s">
        <v>1910</v>
      </c>
      <c r="U596" s="333">
        <v>618919.14300000004</v>
      </c>
      <c r="V596" s="333">
        <v>2635756.284</v>
      </c>
      <c r="W596" s="339" t="s">
        <v>1236</v>
      </c>
      <c r="X596" s="315" t="s">
        <v>1911</v>
      </c>
      <c r="Y596" s="315" t="s">
        <v>1848</v>
      </c>
      <c r="Z596" s="335" t="s">
        <v>359</v>
      </c>
      <c r="AA596" s="347">
        <v>1</v>
      </c>
      <c r="AB596" s="347">
        <v>0</v>
      </c>
      <c r="AC596" s="347">
        <v>0</v>
      </c>
      <c r="AD596" s="348">
        <v>0</v>
      </c>
    </row>
    <row r="597" spans="1:30" s="346" customFormat="1" ht="24.75" customHeight="1" x14ac:dyDescent="0.35">
      <c r="A597" s="314"/>
      <c r="B597" s="332"/>
      <c r="C597" s="332"/>
      <c r="D597" s="332"/>
      <c r="E597" s="332"/>
      <c r="F597" s="362">
        <v>406</v>
      </c>
      <c r="G597" s="332"/>
      <c r="H597" s="317"/>
      <c r="I597" s="332"/>
      <c r="J597" s="332"/>
      <c r="K597" s="331"/>
      <c r="L597" s="331"/>
      <c r="M597" s="332"/>
      <c r="N597" s="332"/>
      <c r="O597" s="332"/>
      <c r="P597" s="332"/>
      <c r="Q597" s="332"/>
      <c r="R597" s="332"/>
      <c r="S597" s="332"/>
      <c r="T597" s="332"/>
      <c r="U597" s="333"/>
      <c r="V597" s="333"/>
      <c r="W597" s="334" t="s">
        <v>1569</v>
      </c>
      <c r="X597" s="323"/>
      <c r="Y597" s="323"/>
      <c r="Z597" s="364"/>
      <c r="AA597" s="344"/>
      <c r="AB597" s="344"/>
      <c r="AC597" s="344"/>
      <c r="AD597" s="345"/>
    </row>
    <row r="598" spans="1:30" s="346" customFormat="1" ht="24.75" customHeight="1" x14ac:dyDescent="0.35">
      <c r="A598" s="325">
        <v>295</v>
      </c>
      <c r="B598" s="332" t="s">
        <v>1025</v>
      </c>
      <c r="C598" s="332" t="s">
        <v>332</v>
      </c>
      <c r="D598" s="332" t="s">
        <v>16</v>
      </c>
      <c r="E598" s="332" t="s">
        <v>1025</v>
      </c>
      <c r="F598" s="362"/>
      <c r="G598" s="332" t="s">
        <v>1025</v>
      </c>
      <c r="H598" s="326">
        <f>H596+F597</f>
        <v>112808.27500000001</v>
      </c>
      <c r="I598" s="332">
        <v>414.05900000000003</v>
      </c>
      <c r="J598" s="331">
        <v>78.5</v>
      </c>
      <c r="K598" s="331">
        <f>F597+F599</f>
        <v>839.178</v>
      </c>
      <c r="L598" s="331">
        <f>K598/2</f>
        <v>419.589</v>
      </c>
      <c r="M598" s="332">
        <v>123</v>
      </c>
      <c r="N598" s="332">
        <v>249</v>
      </c>
      <c r="O598" s="332">
        <v>372</v>
      </c>
      <c r="P598" s="332">
        <v>149</v>
      </c>
      <c r="Q598" s="332">
        <v>239</v>
      </c>
      <c r="R598" s="332">
        <v>388</v>
      </c>
      <c r="S598" s="332" t="s">
        <v>1912</v>
      </c>
      <c r="T598" s="332" t="s">
        <v>1913</v>
      </c>
      <c r="U598" s="333">
        <v>619287.17799999996</v>
      </c>
      <c r="V598" s="333">
        <v>2635584.86</v>
      </c>
      <c r="X598" s="315" t="s">
        <v>1911</v>
      </c>
      <c r="Y598" s="315" t="s">
        <v>1848</v>
      </c>
      <c r="Z598" s="335" t="s">
        <v>359</v>
      </c>
      <c r="AA598" s="344"/>
      <c r="AB598" s="344"/>
      <c r="AC598" s="344"/>
      <c r="AD598" s="345"/>
    </row>
    <row r="599" spans="1:30" s="346" customFormat="1" ht="24.75" customHeight="1" x14ac:dyDescent="0.35">
      <c r="A599" s="314"/>
      <c r="B599" s="332"/>
      <c r="C599" s="332"/>
      <c r="D599" s="332"/>
      <c r="E599" s="332"/>
      <c r="F599" s="362">
        <v>433.178</v>
      </c>
      <c r="G599" s="332"/>
      <c r="H599" s="317"/>
      <c r="I599" s="332"/>
      <c r="J599" s="332"/>
      <c r="K599" s="331"/>
      <c r="L599" s="331"/>
      <c r="M599" s="332"/>
      <c r="N599" s="332"/>
      <c r="O599" s="332"/>
      <c r="P599" s="332"/>
      <c r="Q599" s="332"/>
      <c r="R599" s="332"/>
      <c r="S599" s="332"/>
      <c r="T599" s="332"/>
      <c r="U599" s="333"/>
      <c r="V599" s="333"/>
      <c r="W599" s="334" t="s">
        <v>1914</v>
      </c>
      <c r="X599" s="323"/>
      <c r="Y599" s="323"/>
      <c r="Z599" s="364"/>
      <c r="AA599" s="344"/>
      <c r="AB599" s="344"/>
      <c r="AC599" s="344"/>
      <c r="AD599" s="345"/>
    </row>
    <row r="600" spans="1:30" s="346" customFormat="1" ht="24.75" customHeight="1" x14ac:dyDescent="0.35">
      <c r="A600" s="325">
        <v>296</v>
      </c>
      <c r="B600" s="332" t="s">
        <v>1915</v>
      </c>
      <c r="C600" s="332" t="s">
        <v>333</v>
      </c>
      <c r="D600" s="332" t="s">
        <v>28</v>
      </c>
      <c r="E600" s="332" t="s">
        <v>1916</v>
      </c>
      <c r="F600" s="362"/>
      <c r="G600" s="359">
        <f>SUM(F577:F599)</f>
        <v>4751.1779999999999</v>
      </c>
      <c r="H600" s="326">
        <f>H598+F599</f>
        <v>113241.45300000001</v>
      </c>
      <c r="I600" s="332">
        <v>413.6</v>
      </c>
      <c r="J600" s="315">
        <v>70.72</v>
      </c>
      <c r="K600" s="331">
        <f>F599+F601</f>
        <v>786.42599999999993</v>
      </c>
      <c r="L600" s="331">
        <f>K600/2</f>
        <v>393.21299999999997</v>
      </c>
      <c r="M600" s="332">
        <v>185</v>
      </c>
      <c r="N600" s="332">
        <v>116</v>
      </c>
      <c r="O600" s="332">
        <v>301</v>
      </c>
      <c r="P600" s="332">
        <v>195</v>
      </c>
      <c r="Q600" s="332">
        <v>135</v>
      </c>
      <c r="R600" s="332">
        <v>330</v>
      </c>
      <c r="S600" s="332" t="s">
        <v>1917</v>
      </c>
      <c r="T600" s="332" t="s">
        <v>1918</v>
      </c>
      <c r="U600" s="333">
        <v>619679.85</v>
      </c>
      <c r="V600" s="333">
        <v>2635401.96</v>
      </c>
      <c r="W600" s="334"/>
      <c r="X600" s="315" t="s">
        <v>1911</v>
      </c>
      <c r="Y600" s="315" t="s">
        <v>1848</v>
      </c>
      <c r="Z600" s="335" t="s">
        <v>359</v>
      </c>
      <c r="AA600" s="344"/>
      <c r="AB600" s="344"/>
      <c r="AC600" s="344"/>
      <c r="AD600" s="345"/>
    </row>
    <row r="601" spans="1:30" s="346" customFormat="1" ht="24.75" customHeight="1" x14ac:dyDescent="0.35">
      <c r="A601" s="314"/>
      <c r="B601" s="332"/>
      <c r="C601" s="332"/>
      <c r="D601" s="332"/>
      <c r="E601" s="332"/>
      <c r="F601" s="362">
        <v>353.24799999999999</v>
      </c>
      <c r="G601" s="332"/>
      <c r="H601" s="317"/>
      <c r="I601" s="332"/>
      <c r="J601" s="332"/>
      <c r="K601" s="331"/>
      <c r="L601" s="331"/>
      <c r="M601" s="332"/>
      <c r="N601" s="332"/>
      <c r="O601" s="332"/>
      <c r="P601" s="332"/>
      <c r="Q601" s="332"/>
      <c r="R601" s="332"/>
      <c r="S601" s="332"/>
      <c r="T601" s="332"/>
      <c r="U601" s="333"/>
      <c r="V601" s="333"/>
      <c r="W601" s="334" t="s">
        <v>1919</v>
      </c>
      <c r="X601" s="323"/>
      <c r="Y601" s="323"/>
      <c r="Z601" s="364"/>
      <c r="AA601" s="344"/>
      <c r="AB601" s="344"/>
      <c r="AC601" s="344"/>
      <c r="AD601" s="345"/>
    </row>
    <row r="602" spans="1:30" s="346" customFormat="1" ht="24.75" customHeight="1" x14ac:dyDescent="0.35">
      <c r="A602" s="325">
        <v>297</v>
      </c>
      <c r="B602" s="332" t="s">
        <v>1025</v>
      </c>
      <c r="C602" s="332" t="s">
        <v>334</v>
      </c>
      <c r="D602" s="332" t="s">
        <v>16</v>
      </c>
      <c r="E602" s="332" t="s">
        <v>1920</v>
      </c>
      <c r="F602" s="362"/>
      <c r="G602" s="332" t="s">
        <v>1025</v>
      </c>
      <c r="H602" s="326">
        <f>H600+F601</f>
        <v>113594.70100000002</v>
      </c>
      <c r="I602" s="332">
        <v>417.697</v>
      </c>
      <c r="J602" s="331">
        <v>78.5</v>
      </c>
      <c r="K602" s="331">
        <f>F601+F603</f>
        <v>760.24800000000005</v>
      </c>
      <c r="L602" s="331">
        <f>K602/2</f>
        <v>380.12400000000002</v>
      </c>
      <c r="M602" s="332">
        <v>238</v>
      </c>
      <c r="N602" s="332">
        <v>301</v>
      </c>
      <c r="O602" s="332">
        <v>539</v>
      </c>
      <c r="P602" s="332">
        <v>219</v>
      </c>
      <c r="Q602" s="332">
        <v>271</v>
      </c>
      <c r="R602" s="332">
        <v>490</v>
      </c>
      <c r="S602" s="332" t="s">
        <v>1921</v>
      </c>
      <c r="T602" s="332" t="s">
        <v>1922</v>
      </c>
      <c r="U602" s="333">
        <v>619995.38899999997</v>
      </c>
      <c r="V602" s="333">
        <v>2635243.1540000001</v>
      </c>
      <c r="W602" s="339" t="s">
        <v>1236</v>
      </c>
      <c r="X602" s="315" t="s">
        <v>1923</v>
      </c>
      <c r="Y602" s="315" t="s">
        <v>1848</v>
      </c>
      <c r="Z602" s="335" t="s">
        <v>359</v>
      </c>
      <c r="AA602" s="347">
        <v>2.5</v>
      </c>
      <c r="AB602" s="372">
        <v>2.5</v>
      </c>
      <c r="AC602" s="347">
        <v>0</v>
      </c>
      <c r="AD602" s="348">
        <v>0</v>
      </c>
    </row>
    <row r="603" spans="1:30" s="346" customFormat="1" ht="24.75" customHeight="1" x14ac:dyDescent="0.35">
      <c r="A603" s="314"/>
      <c r="B603" s="332"/>
      <c r="C603" s="332"/>
      <c r="D603" s="332"/>
      <c r="E603" s="332"/>
      <c r="F603" s="362">
        <v>407</v>
      </c>
      <c r="G603" s="332"/>
      <c r="H603" s="317"/>
      <c r="I603" s="332"/>
      <c r="J603" s="332"/>
      <c r="K603" s="331"/>
      <c r="L603" s="331"/>
      <c r="M603" s="332"/>
      <c r="N603" s="332"/>
      <c r="O603" s="332"/>
      <c r="P603" s="332"/>
      <c r="Q603" s="332"/>
      <c r="R603" s="332"/>
      <c r="S603" s="332"/>
      <c r="T603" s="332"/>
      <c r="U603" s="333"/>
      <c r="V603" s="333"/>
      <c r="W603" s="334" t="s">
        <v>1924</v>
      </c>
      <c r="X603" s="323"/>
      <c r="Y603" s="323"/>
      <c r="Z603" s="364"/>
      <c r="AA603" s="344"/>
      <c r="AB603" s="344"/>
      <c r="AC603" s="344"/>
      <c r="AD603" s="345"/>
    </row>
    <row r="604" spans="1:30" s="346" customFormat="1" ht="24.75" customHeight="1" x14ac:dyDescent="0.35">
      <c r="A604" s="325">
        <v>298</v>
      </c>
      <c r="B604" s="332" t="s">
        <v>1025</v>
      </c>
      <c r="C604" s="332" t="s">
        <v>335</v>
      </c>
      <c r="D604" s="332" t="s">
        <v>14</v>
      </c>
      <c r="E604" s="332" t="s">
        <v>1925</v>
      </c>
      <c r="F604" s="362"/>
      <c r="G604" s="332" t="s">
        <v>1025</v>
      </c>
      <c r="H604" s="326">
        <f>H602+F603</f>
        <v>114001.70100000002</v>
      </c>
      <c r="I604" s="332">
        <v>406.74700000000001</v>
      </c>
      <c r="J604" s="331">
        <v>71</v>
      </c>
      <c r="K604" s="331">
        <f>F603+F605</f>
        <v>823</v>
      </c>
      <c r="L604" s="331">
        <f>K604/2</f>
        <v>411.5</v>
      </c>
      <c r="M604" s="332">
        <v>107</v>
      </c>
      <c r="N604" s="332">
        <v>187</v>
      </c>
      <c r="O604" s="332">
        <v>294</v>
      </c>
      <c r="P604" s="332">
        <v>137</v>
      </c>
      <c r="Q604" s="332">
        <v>194</v>
      </c>
      <c r="R604" s="332">
        <v>331</v>
      </c>
      <c r="S604" s="332" t="s">
        <v>1926</v>
      </c>
      <c r="T604" s="332" t="s">
        <v>1927</v>
      </c>
      <c r="U604" s="333">
        <v>620356.505</v>
      </c>
      <c r="V604" s="333">
        <v>2635055.5490000001</v>
      </c>
      <c r="W604" s="331"/>
      <c r="X604" s="315" t="s">
        <v>1923</v>
      </c>
      <c r="Y604" s="315" t="s">
        <v>1848</v>
      </c>
      <c r="Z604" s="335" t="s">
        <v>359</v>
      </c>
      <c r="AA604" s="344"/>
      <c r="AB604" s="344"/>
      <c r="AC604" s="344"/>
      <c r="AD604" s="345"/>
    </row>
    <row r="605" spans="1:30" s="346" customFormat="1" ht="24.75" customHeight="1" x14ac:dyDescent="0.35">
      <c r="A605" s="314"/>
      <c r="B605" s="332"/>
      <c r="C605" s="332"/>
      <c r="D605" s="332"/>
      <c r="E605" s="332"/>
      <c r="F605" s="362">
        <v>416</v>
      </c>
      <c r="G605" s="332"/>
      <c r="H605" s="317"/>
      <c r="I605" s="332"/>
      <c r="J605" s="332"/>
      <c r="K605" s="331"/>
      <c r="L605" s="331"/>
      <c r="M605" s="332"/>
      <c r="N605" s="332"/>
      <c r="O605" s="332"/>
      <c r="P605" s="332"/>
      <c r="Q605" s="332"/>
      <c r="R605" s="332"/>
      <c r="S605" s="332"/>
      <c r="T605" s="332"/>
      <c r="U605" s="333"/>
      <c r="V605" s="333"/>
      <c r="W605" s="334" t="s">
        <v>1928</v>
      </c>
      <c r="X605" s="323"/>
      <c r="Y605" s="323"/>
      <c r="Z605" s="364"/>
      <c r="AA605" s="344"/>
      <c r="AB605" s="344"/>
      <c r="AC605" s="344"/>
      <c r="AD605" s="345"/>
    </row>
    <row r="606" spans="1:30" s="346" customFormat="1" ht="24.75" customHeight="1" x14ac:dyDescent="0.35">
      <c r="A606" s="325">
        <v>299</v>
      </c>
      <c r="B606" s="332" t="s">
        <v>1025</v>
      </c>
      <c r="C606" s="332" t="s">
        <v>336</v>
      </c>
      <c r="D606" s="332" t="s">
        <v>16</v>
      </c>
      <c r="E606" s="332" t="s">
        <v>1025</v>
      </c>
      <c r="F606" s="362"/>
      <c r="G606" s="332" t="s">
        <v>1025</v>
      </c>
      <c r="H606" s="326">
        <f>H604+F605</f>
        <v>114417.70100000002</v>
      </c>
      <c r="I606" s="332">
        <v>403.34899999999999</v>
      </c>
      <c r="J606" s="331">
        <v>78.5</v>
      </c>
      <c r="K606" s="331">
        <f>F605+F607</f>
        <v>789</v>
      </c>
      <c r="L606" s="331">
        <f>K606/2</f>
        <v>394.5</v>
      </c>
      <c r="M606" s="332">
        <v>230</v>
      </c>
      <c r="N606" s="332">
        <v>245</v>
      </c>
      <c r="O606" s="332">
        <v>475</v>
      </c>
      <c r="P606" s="332">
        <v>223</v>
      </c>
      <c r="Q606" s="332">
        <v>227</v>
      </c>
      <c r="R606" s="332">
        <v>450</v>
      </c>
      <c r="S606" s="332" t="s">
        <v>1929</v>
      </c>
      <c r="T606" s="332" t="s">
        <v>1930</v>
      </c>
      <c r="U606" s="333">
        <v>620728.44700000004</v>
      </c>
      <c r="V606" s="333">
        <v>2634869.23</v>
      </c>
      <c r="W606" s="331"/>
      <c r="X606" s="315" t="s">
        <v>1923</v>
      </c>
      <c r="Y606" s="315" t="s">
        <v>1848</v>
      </c>
      <c r="Z606" s="335" t="s">
        <v>359</v>
      </c>
      <c r="AA606" s="344"/>
      <c r="AB606" s="344"/>
      <c r="AC606" s="344"/>
      <c r="AD606" s="345"/>
    </row>
    <row r="607" spans="1:30" s="346" customFormat="1" ht="28" x14ac:dyDescent="0.35">
      <c r="A607" s="314"/>
      <c r="B607" s="332"/>
      <c r="C607" s="332"/>
      <c r="D607" s="332"/>
      <c r="E607" s="332"/>
      <c r="F607" s="362">
        <v>373</v>
      </c>
      <c r="G607" s="332"/>
      <c r="H607" s="317"/>
      <c r="I607" s="332"/>
      <c r="J607" s="332"/>
      <c r="K607" s="331"/>
      <c r="L607" s="331"/>
      <c r="M607" s="332"/>
      <c r="N607" s="332"/>
      <c r="O607" s="332"/>
      <c r="P607" s="332"/>
      <c r="Q607" s="332"/>
      <c r="R607" s="332"/>
      <c r="S607" s="332"/>
      <c r="T607" s="332"/>
      <c r="U607" s="333"/>
      <c r="V607" s="333"/>
      <c r="W607" s="334" t="s">
        <v>1931</v>
      </c>
      <c r="X607" s="323"/>
      <c r="Y607" s="323"/>
      <c r="Z607" s="364"/>
      <c r="AA607" s="344"/>
      <c r="AB607" s="344"/>
      <c r="AC607" s="344"/>
      <c r="AD607" s="345"/>
    </row>
    <row r="608" spans="1:30" s="346" customFormat="1" ht="24.75" customHeight="1" x14ac:dyDescent="0.35">
      <c r="A608" s="325">
        <v>300</v>
      </c>
      <c r="B608" s="332" t="s">
        <v>1025</v>
      </c>
      <c r="C608" s="332" t="s">
        <v>337</v>
      </c>
      <c r="D608" s="332" t="s">
        <v>23</v>
      </c>
      <c r="E608" s="332" t="s">
        <v>1025</v>
      </c>
      <c r="F608" s="362"/>
      <c r="G608" s="332" t="s">
        <v>1025</v>
      </c>
      <c r="H608" s="326">
        <f>H606+F607</f>
        <v>114790.70100000002</v>
      </c>
      <c r="I608" s="332">
        <v>402.19600000000003</v>
      </c>
      <c r="J608" s="331">
        <v>69.5</v>
      </c>
      <c r="K608" s="331">
        <f>F607+F609</f>
        <v>762</v>
      </c>
      <c r="L608" s="331">
        <f>K608/2</f>
        <v>381</v>
      </c>
      <c r="M608" s="332">
        <v>128</v>
      </c>
      <c r="N608" s="332">
        <v>165</v>
      </c>
      <c r="O608" s="332">
        <v>293</v>
      </c>
      <c r="P608" s="332">
        <v>147</v>
      </c>
      <c r="Q608" s="332">
        <v>175</v>
      </c>
      <c r="R608" s="332">
        <v>322</v>
      </c>
      <c r="S608" s="332" t="s">
        <v>1932</v>
      </c>
      <c r="T608" s="332" t="s">
        <v>1933</v>
      </c>
      <c r="U608" s="333">
        <v>621061.94400000002</v>
      </c>
      <c r="V608" s="333">
        <v>2634702.1690000002</v>
      </c>
      <c r="W608" s="331"/>
      <c r="X608" s="315" t="s">
        <v>1923</v>
      </c>
      <c r="Y608" s="315" t="s">
        <v>1848</v>
      </c>
      <c r="Z608" s="335" t="s">
        <v>359</v>
      </c>
      <c r="AA608" s="344"/>
      <c r="AB608" s="344"/>
      <c r="AC608" s="344"/>
      <c r="AD608" s="345"/>
    </row>
    <row r="609" spans="1:30" s="346" customFormat="1" ht="24.75" customHeight="1" x14ac:dyDescent="0.35">
      <c r="A609" s="314"/>
      <c r="B609" s="332"/>
      <c r="C609" s="332"/>
      <c r="D609" s="332"/>
      <c r="E609" s="332"/>
      <c r="F609" s="362">
        <v>389</v>
      </c>
      <c r="G609" s="332"/>
      <c r="H609" s="317"/>
      <c r="I609" s="332"/>
      <c r="J609" s="332"/>
      <c r="K609" s="331"/>
      <c r="L609" s="331"/>
      <c r="M609" s="332"/>
      <c r="N609" s="332"/>
      <c r="O609" s="332"/>
      <c r="P609" s="332"/>
      <c r="Q609" s="332"/>
      <c r="R609" s="332"/>
      <c r="S609" s="332"/>
      <c r="T609" s="332"/>
      <c r="U609" s="333"/>
      <c r="V609" s="333"/>
      <c r="W609" s="334" t="s">
        <v>1924</v>
      </c>
      <c r="X609" s="323"/>
      <c r="Y609" s="323"/>
      <c r="Z609" s="364"/>
      <c r="AA609" s="344"/>
      <c r="AB609" s="344"/>
      <c r="AC609" s="344"/>
      <c r="AD609" s="345"/>
    </row>
    <row r="610" spans="1:30" s="346" customFormat="1" ht="24.75" customHeight="1" x14ac:dyDescent="0.35">
      <c r="A610" s="325">
        <v>301</v>
      </c>
      <c r="B610" s="332" t="s">
        <v>1025</v>
      </c>
      <c r="C610" s="332" t="s">
        <v>338</v>
      </c>
      <c r="D610" s="332" t="s">
        <v>33</v>
      </c>
      <c r="E610" s="332" t="s">
        <v>1025</v>
      </c>
      <c r="F610" s="362"/>
      <c r="G610" s="332" t="s">
        <v>1025</v>
      </c>
      <c r="H610" s="326">
        <f>H608+F609</f>
        <v>115179.70100000002</v>
      </c>
      <c r="I610" s="332">
        <v>401.524</v>
      </c>
      <c r="J610" s="331">
        <v>75.5</v>
      </c>
      <c r="K610" s="331">
        <f>F609+F611</f>
        <v>788</v>
      </c>
      <c r="L610" s="331">
        <f>K610/2</f>
        <v>394</v>
      </c>
      <c r="M610" s="332">
        <v>224</v>
      </c>
      <c r="N610" s="332">
        <v>232</v>
      </c>
      <c r="O610" s="332">
        <v>456</v>
      </c>
      <c r="P610" s="332">
        <v>215</v>
      </c>
      <c r="Q610" s="332">
        <v>222</v>
      </c>
      <c r="R610" s="332">
        <v>437</v>
      </c>
      <c r="S610" s="332" t="s">
        <v>1934</v>
      </c>
      <c r="T610" s="332" t="s">
        <v>1935</v>
      </c>
      <c r="U610" s="333">
        <v>621409.74600000004</v>
      </c>
      <c r="V610" s="333">
        <v>2634527.943</v>
      </c>
      <c r="W610" s="331"/>
      <c r="X610" s="315" t="s">
        <v>1923</v>
      </c>
      <c r="Y610" s="315" t="s">
        <v>1848</v>
      </c>
      <c r="Z610" s="335" t="s">
        <v>359</v>
      </c>
      <c r="AA610" s="344"/>
      <c r="AB610" s="344"/>
      <c r="AC610" s="344"/>
      <c r="AD610" s="345"/>
    </row>
    <row r="611" spans="1:30" s="346" customFormat="1" ht="24.75" customHeight="1" x14ac:dyDescent="0.35">
      <c r="A611" s="314"/>
      <c r="B611" s="332"/>
      <c r="C611" s="332"/>
      <c r="D611" s="332"/>
      <c r="E611" s="332"/>
      <c r="F611" s="362">
        <v>399</v>
      </c>
      <c r="G611" s="332"/>
      <c r="H611" s="317"/>
      <c r="I611" s="332"/>
      <c r="J611" s="332"/>
      <c r="K611" s="331"/>
      <c r="L611" s="331"/>
      <c r="M611" s="332"/>
      <c r="N611" s="332"/>
      <c r="O611" s="332"/>
      <c r="P611" s="332"/>
      <c r="Q611" s="332"/>
      <c r="R611" s="332"/>
      <c r="S611" s="332"/>
      <c r="T611" s="332"/>
      <c r="U611" s="333"/>
      <c r="V611" s="333"/>
      <c r="W611" s="334" t="s">
        <v>1138</v>
      </c>
      <c r="X611" s="323"/>
      <c r="Y611" s="323"/>
      <c r="Z611" s="364"/>
      <c r="AA611" s="344"/>
      <c r="AB611" s="344"/>
      <c r="AC611" s="344"/>
      <c r="AD611" s="345"/>
    </row>
    <row r="612" spans="1:30" s="346" customFormat="1" ht="24.75" customHeight="1" x14ac:dyDescent="0.35">
      <c r="A612" s="325">
        <v>302</v>
      </c>
      <c r="B612" s="332" t="s">
        <v>1025</v>
      </c>
      <c r="C612" s="332" t="s">
        <v>339</v>
      </c>
      <c r="D612" s="332" t="s">
        <v>14</v>
      </c>
      <c r="E612" s="332" t="s">
        <v>1025</v>
      </c>
      <c r="F612" s="362"/>
      <c r="G612" s="332" t="s">
        <v>1025</v>
      </c>
      <c r="H612" s="326">
        <f>H610+F611</f>
        <v>115578.70100000002</v>
      </c>
      <c r="I612" s="332">
        <v>400.07100000000003</v>
      </c>
      <c r="J612" s="331">
        <v>71</v>
      </c>
      <c r="K612" s="331">
        <f>F611+F613</f>
        <v>811</v>
      </c>
      <c r="L612" s="331">
        <f>K612/2</f>
        <v>405.5</v>
      </c>
      <c r="M612" s="332">
        <v>168</v>
      </c>
      <c r="N612" s="332">
        <v>172</v>
      </c>
      <c r="O612" s="332">
        <v>340</v>
      </c>
      <c r="P612" s="332">
        <v>178</v>
      </c>
      <c r="Q612" s="332">
        <v>183</v>
      </c>
      <c r="R612" s="332">
        <v>361</v>
      </c>
      <c r="S612" s="332" t="s">
        <v>1936</v>
      </c>
      <c r="T612" s="332" t="s">
        <v>1937</v>
      </c>
      <c r="U612" s="333">
        <v>621766.48800000001</v>
      </c>
      <c r="V612" s="333">
        <v>2634349.2379999999</v>
      </c>
      <c r="W612" s="331"/>
      <c r="X612" s="315" t="s">
        <v>1923</v>
      </c>
      <c r="Y612" s="315" t="s">
        <v>1848</v>
      </c>
      <c r="Z612" s="335" t="s">
        <v>359</v>
      </c>
      <c r="AA612" s="344"/>
      <c r="AB612" s="344"/>
      <c r="AC612" s="344"/>
      <c r="AD612" s="345"/>
    </row>
    <row r="613" spans="1:30" s="346" customFormat="1" ht="24.75" customHeight="1" x14ac:dyDescent="0.35">
      <c r="A613" s="314"/>
      <c r="B613" s="332"/>
      <c r="C613" s="332"/>
      <c r="D613" s="332"/>
      <c r="E613" s="332"/>
      <c r="F613" s="362">
        <v>412</v>
      </c>
      <c r="G613" s="332"/>
      <c r="H613" s="317"/>
      <c r="I613" s="332"/>
      <c r="J613" s="332"/>
      <c r="K613" s="331"/>
      <c r="L613" s="331"/>
      <c r="M613" s="332"/>
      <c r="N613" s="332"/>
      <c r="O613" s="332"/>
      <c r="P613" s="332"/>
      <c r="Q613" s="332"/>
      <c r="R613" s="332"/>
      <c r="S613" s="332"/>
      <c r="T613" s="332"/>
      <c r="U613" s="333"/>
      <c r="V613" s="333"/>
      <c r="W613" s="334" t="s">
        <v>1938</v>
      </c>
      <c r="X613" s="323"/>
      <c r="Y613" s="323"/>
      <c r="Z613" s="364"/>
      <c r="AA613" s="344"/>
      <c r="AB613" s="344"/>
      <c r="AC613" s="344"/>
      <c r="AD613" s="345"/>
    </row>
    <row r="614" spans="1:30" s="346" customFormat="1" ht="24.75" customHeight="1" x14ac:dyDescent="0.35">
      <c r="A614" s="325">
        <v>303</v>
      </c>
      <c r="B614" s="332" t="s">
        <v>1025</v>
      </c>
      <c r="C614" s="332" t="s">
        <v>340</v>
      </c>
      <c r="D614" s="332" t="s">
        <v>16</v>
      </c>
      <c r="E614" s="332" t="s">
        <v>1025</v>
      </c>
      <c r="F614" s="362"/>
      <c r="G614" s="332" t="s">
        <v>1025</v>
      </c>
      <c r="H614" s="326">
        <f>H612+F613</f>
        <v>115990.70100000002</v>
      </c>
      <c r="I614" s="332">
        <v>399.19900000000001</v>
      </c>
      <c r="J614" s="331">
        <v>78.5</v>
      </c>
      <c r="K614" s="331">
        <f>F613+F615</f>
        <v>830</v>
      </c>
      <c r="L614" s="331">
        <f>K614/2</f>
        <v>415</v>
      </c>
      <c r="M614" s="332">
        <v>241</v>
      </c>
      <c r="N614" s="332">
        <v>262</v>
      </c>
      <c r="O614" s="332">
        <v>503</v>
      </c>
      <c r="P614" s="332">
        <v>230</v>
      </c>
      <c r="Q614" s="332">
        <v>246</v>
      </c>
      <c r="R614" s="332">
        <v>476</v>
      </c>
      <c r="S614" s="332" t="s">
        <v>1939</v>
      </c>
      <c r="T614" s="332" t="s">
        <v>1940</v>
      </c>
      <c r="U614" s="333">
        <v>622134.85400000005</v>
      </c>
      <c r="V614" s="333">
        <v>2634164.71</v>
      </c>
      <c r="W614" s="331"/>
      <c r="X614" s="315" t="s">
        <v>1923</v>
      </c>
      <c r="Y614" s="315" t="s">
        <v>1848</v>
      </c>
      <c r="Z614" s="335" t="s">
        <v>359</v>
      </c>
      <c r="AA614" s="344"/>
      <c r="AB614" s="344"/>
      <c r="AC614" s="344"/>
      <c r="AD614" s="345"/>
    </row>
    <row r="615" spans="1:30" s="346" customFormat="1" ht="28" x14ac:dyDescent="0.35">
      <c r="A615" s="314"/>
      <c r="B615" s="332"/>
      <c r="C615" s="332"/>
      <c r="D615" s="332"/>
      <c r="E615" s="332"/>
      <c r="F615" s="362">
        <v>418</v>
      </c>
      <c r="G615" s="332"/>
      <c r="H615" s="317"/>
      <c r="I615" s="332"/>
      <c r="J615" s="332"/>
      <c r="K615" s="331"/>
      <c r="L615" s="331"/>
      <c r="M615" s="332"/>
      <c r="N615" s="332"/>
      <c r="O615" s="332"/>
      <c r="P615" s="332"/>
      <c r="Q615" s="332"/>
      <c r="R615" s="332"/>
      <c r="S615" s="332"/>
      <c r="T615" s="332"/>
      <c r="U615" s="333"/>
      <c r="V615" s="333"/>
      <c r="W615" s="334" t="s">
        <v>1941</v>
      </c>
      <c r="X615" s="323"/>
      <c r="Y615" s="323"/>
      <c r="Z615" s="364"/>
      <c r="AA615" s="344"/>
      <c r="AB615" s="344"/>
      <c r="AC615" s="344"/>
      <c r="AD615" s="345"/>
    </row>
    <row r="616" spans="1:30" s="346" customFormat="1" ht="24.75" customHeight="1" x14ac:dyDescent="0.35">
      <c r="A616" s="325">
        <v>304</v>
      </c>
      <c r="B616" s="332" t="s">
        <v>1025</v>
      </c>
      <c r="C616" s="332" t="s">
        <v>341</v>
      </c>
      <c r="D616" s="332" t="s">
        <v>23</v>
      </c>
      <c r="E616" s="332" t="s">
        <v>1025</v>
      </c>
      <c r="F616" s="362"/>
      <c r="G616" s="332" t="s">
        <v>1025</v>
      </c>
      <c r="H616" s="326">
        <f>H614+F615</f>
        <v>116408.70100000002</v>
      </c>
      <c r="I616" s="332">
        <v>397.88900000000001</v>
      </c>
      <c r="J616" s="331">
        <v>69.5</v>
      </c>
      <c r="K616" s="331">
        <f>F615+F617</f>
        <v>812.10699999999997</v>
      </c>
      <c r="L616" s="331">
        <f>K616/2</f>
        <v>406.05349999999999</v>
      </c>
      <c r="M616" s="332">
        <v>156</v>
      </c>
      <c r="N616" s="332">
        <v>155</v>
      </c>
      <c r="O616" s="332">
        <v>311</v>
      </c>
      <c r="P616" s="332">
        <v>173</v>
      </c>
      <c r="Q616" s="332">
        <v>169</v>
      </c>
      <c r="R616" s="332">
        <v>342</v>
      </c>
      <c r="S616" s="332" t="s">
        <v>1942</v>
      </c>
      <c r="T616" s="332" t="s">
        <v>1943</v>
      </c>
      <c r="U616" s="333">
        <v>622508.58499999996</v>
      </c>
      <c r="V616" s="333">
        <v>2633977.4950000001</v>
      </c>
      <c r="W616" s="331"/>
      <c r="X616" s="315" t="s">
        <v>1923</v>
      </c>
      <c r="Y616" s="315" t="s">
        <v>1848</v>
      </c>
      <c r="Z616" s="335" t="s">
        <v>359</v>
      </c>
      <c r="AA616" s="344"/>
      <c r="AB616" s="344"/>
      <c r="AC616" s="344"/>
      <c r="AD616" s="345"/>
    </row>
    <row r="617" spans="1:30" s="346" customFormat="1" ht="24.75" customHeight="1" x14ac:dyDescent="0.35">
      <c r="A617" s="314"/>
      <c r="B617" s="332"/>
      <c r="C617" s="332"/>
      <c r="D617" s="332"/>
      <c r="E617" s="332"/>
      <c r="F617" s="362">
        <v>394.10700000000003</v>
      </c>
      <c r="G617" s="332"/>
      <c r="H617" s="317"/>
      <c r="I617" s="332"/>
      <c r="J617" s="332"/>
      <c r="K617" s="331"/>
      <c r="L617" s="331"/>
      <c r="M617" s="332"/>
      <c r="N617" s="332"/>
      <c r="O617" s="332"/>
      <c r="P617" s="332"/>
      <c r="Q617" s="332"/>
      <c r="R617" s="332"/>
      <c r="S617" s="332"/>
      <c r="T617" s="332"/>
      <c r="U617" s="333"/>
      <c r="V617" s="333"/>
      <c r="W617" s="334" t="s">
        <v>1944</v>
      </c>
      <c r="X617" s="323"/>
      <c r="Y617" s="323"/>
      <c r="Z617" s="364"/>
      <c r="AA617" s="344"/>
      <c r="AB617" s="344"/>
      <c r="AC617" s="344"/>
      <c r="AD617" s="345"/>
    </row>
    <row r="618" spans="1:30" s="346" customFormat="1" ht="24.75" customHeight="1" x14ac:dyDescent="0.35">
      <c r="A618" s="325">
        <v>305</v>
      </c>
      <c r="B618" s="332" t="s">
        <v>1945</v>
      </c>
      <c r="C618" s="332" t="s">
        <v>342</v>
      </c>
      <c r="D618" s="332" t="s">
        <v>236</v>
      </c>
      <c r="E618" s="332" t="s">
        <v>1946</v>
      </c>
      <c r="F618" s="362"/>
      <c r="G618" s="359">
        <f>SUM(F601:F617)</f>
        <v>3561.355</v>
      </c>
      <c r="H618" s="326">
        <f>H616+F617</f>
        <v>116802.80800000002</v>
      </c>
      <c r="I618" s="332">
        <v>396.63400000000001</v>
      </c>
      <c r="J618" s="331">
        <v>76.72</v>
      </c>
      <c r="K618" s="331">
        <f>F617+F619</f>
        <v>793.10699999999997</v>
      </c>
      <c r="L618" s="331">
        <f>K618/2</f>
        <v>396.55349999999999</v>
      </c>
      <c r="M618" s="332">
        <v>240</v>
      </c>
      <c r="N618" s="332">
        <v>245</v>
      </c>
      <c r="O618" s="332">
        <v>485</v>
      </c>
      <c r="P618" s="332">
        <v>227</v>
      </c>
      <c r="Q618" s="332">
        <v>231</v>
      </c>
      <c r="R618" s="332">
        <v>458</v>
      </c>
      <c r="S618" s="332" t="s">
        <v>1947</v>
      </c>
      <c r="T618" s="332" t="s">
        <v>1948</v>
      </c>
      <c r="U618" s="333">
        <v>622860.95299999998</v>
      </c>
      <c r="V618" s="333">
        <v>2633800.9810000001</v>
      </c>
      <c r="W618" s="331"/>
      <c r="X618" s="315" t="s">
        <v>1923</v>
      </c>
      <c r="Y618" s="315" t="s">
        <v>1848</v>
      </c>
      <c r="Z618" s="335" t="s">
        <v>359</v>
      </c>
      <c r="AA618" s="344"/>
      <c r="AB618" s="344"/>
      <c r="AC618" s="344"/>
      <c r="AD618" s="345"/>
    </row>
    <row r="619" spans="1:30" s="346" customFormat="1" ht="28" x14ac:dyDescent="0.35">
      <c r="A619" s="314"/>
      <c r="B619" s="332"/>
      <c r="C619" s="332"/>
      <c r="D619" s="332"/>
      <c r="E619" s="332"/>
      <c r="F619" s="362">
        <v>399</v>
      </c>
      <c r="G619" s="332"/>
      <c r="H619" s="317"/>
      <c r="I619" s="332"/>
      <c r="J619" s="332"/>
      <c r="K619" s="331"/>
      <c r="L619" s="331"/>
      <c r="M619" s="332"/>
      <c r="N619" s="332"/>
      <c r="O619" s="332"/>
      <c r="P619" s="332"/>
      <c r="Q619" s="332"/>
      <c r="R619" s="332"/>
      <c r="S619" s="332"/>
      <c r="T619" s="332"/>
      <c r="U619" s="333"/>
      <c r="V619" s="333"/>
      <c r="W619" s="334" t="s">
        <v>1941</v>
      </c>
      <c r="X619" s="323"/>
      <c r="Y619" s="323"/>
      <c r="Z619" s="364"/>
      <c r="AA619" s="344"/>
      <c r="AB619" s="344"/>
      <c r="AC619" s="344"/>
      <c r="AD619" s="345"/>
    </row>
    <row r="620" spans="1:30" s="346" customFormat="1" ht="24.75" customHeight="1" x14ac:dyDescent="0.35">
      <c r="A620" s="325">
        <v>306</v>
      </c>
      <c r="B620" s="332" t="s">
        <v>1025</v>
      </c>
      <c r="C620" s="332" t="s">
        <v>343</v>
      </c>
      <c r="D620" s="332" t="s">
        <v>23</v>
      </c>
      <c r="E620" s="332" t="s">
        <v>1025</v>
      </c>
      <c r="F620" s="362"/>
      <c r="G620" s="332" t="s">
        <v>1025</v>
      </c>
      <c r="H620" s="326">
        <f>H618+F619</f>
        <v>117201.80800000002</v>
      </c>
      <c r="I620" s="332">
        <v>397.221</v>
      </c>
      <c r="J620" s="331">
        <v>69.5</v>
      </c>
      <c r="K620" s="331">
        <f>F619+F621</f>
        <v>747</v>
      </c>
      <c r="L620" s="331">
        <f>K620/2</f>
        <v>373.5</v>
      </c>
      <c r="M620" s="332">
        <v>155</v>
      </c>
      <c r="N620" s="332">
        <v>214</v>
      </c>
      <c r="O620" s="332">
        <v>369</v>
      </c>
      <c r="P620" s="332">
        <v>169</v>
      </c>
      <c r="Q620" s="332">
        <v>202</v>
      </c>
      <c r="R620" s="332">
        <v>371</v>
      </c>
      <c r="S620" s="332" t="s">
        <v>1949</v>
      </c>
      <c r="T620" s="332" t="s">
        <v>1950</v>
      </c>
      <c r="U620" s="333">
        <v>623185.31499999994</v>
      </c>
      <c r="V620" s="333">
        <v>2633568.6230000001</v>
      </c>
      <c r="W620" s="331"/>
      <c r="X620" s="315" t="s">
        <v>1923</v>
      </c>
      <c r="Y620" s="315" t="s">
        <v>1848</v>
      </c>
      <c r="Z620" s="335" t="s">
        <v>359</v>
      </c>
      <c r="AA620" s="344"/>
      <c r="AB620" s="344"/>
      <c r="AC620" s="344"/>
      <c r="AD620" s="345"/>
    </row>
    <row r="621" spans="1:30" s="346" customFormat="1" ht="24.75" customHeight="1" x14ac:dyDescent="0.35">
      <c r="A621" s="314"/>
      <c r="B621" s="332"/>
      <c r="C621" s="332"/>
      <c r="D621" s="332"/>
      <c r="E621" s="332"/>
      <c r="F621" s="362">
        <v>348</v>
      </c>
      <c r="G621" s="332"/>
      <c r="H621" s="317"/>
      <c r="I621" s="332"/>
      <c r="J621" s="332"/>
      <c r="K621" s="331"/>
      <c r="L621" s="331"/>
      <c r="M621" s="332"/>
      <c r="N621" s="332"/>
      <c r="O621" s="332"/>
      <c r="P621" s="332"/>
      <c r="Q621" s="332"/>
      <c r="R621" s="332"/>
      <c r="S621" s="332"/>
      <c r="T621" s="332"/>
      <c r="U621" s="333"/>
      <c r="V621" s="333"/>
      <c r="W621" s="334" t="s">
        <v>1951</v>
      </c>
      <c r="X621" s="323"/>
      <c r="Y621" s="323"/>
      <c r="Z621" s="364"/>
      <c r="AA621" s="344"/>
      <c r="AB621" s="344"/>
      <c r="AC621" s="344"/>
      <c r="AD621" s="345"/>
    </row>
    <row r="622" spans="1:30" s="346" customFormat="1" ht="24.75" customHeight="1" x14ac:dyDescent="0.35">
      <c r="A622" s="325">
        <v>307</v>
      </c>
      <c r="B622" s="332" t="s">
        <v>1025</v>
      </c>
      <c r="C622" s="332" t="s">
        <v>344</v>
      </c>
      <c r="D622" s="332" t="s">
        <v>23</v>
      </c>
      <c r="E622" s="332" t="s">
        <v>1025</v>
      </c>
      <c r="F622" s="362"/>
      <c r="G622" s="332" t="s">
        <v>1025</v>
      </c>
      <c r="H622" s="326">
        <f>H620+F621</f>
        <v>117549.80800000002</v>
      </c>
      <c r="I622" s="332">
        <v>390.61700000000002</v>
      </c>
      <c r="J622" s="331">
        <v>69.5</v>
      </c>
      <c r="K622" s="331">
        <f>F621+F623</f>
        <v>706</v>
      </c>
      <c r="L622" s="331">
        <f>K622/2</f>
        <v>353</v>
      </c>
      <c r="M622" s="332">
        <v>134</v>
      </c>
      <c r="N622" s="332">
        <v>120</v>
      </c>
      <c r="O622" s="332">
        <v>254</v>
      </c>
      <c r="P622" s="332">
        <v>146</v>
      </c>
      <c r="Q622" s="332">
        <v>138</v>
      </c>
      <c r="R622" s="332">
        <v>284</v>
      </c>
      <c r="S622" s="332" t="s">
        <v>1952</v>
      </c>
      <c r="T622" s="332" t="s">
        <v>1953</v>
      </c>
      <c r="U622" s="333">
        <v>623468.21699999995</v>
      </c>
      <c r="V622" s="333">
        <v>2633365.9649999999</v>
      </c>
      <c r="W622" s="331"/>
      <c r="X622" s="315" t="s">
        <v>1954</v>
      </c>
      <c r="Y622" s="315" t="s">
        <v>1848</v>
      </c>
      <c r="Z622" s="335" t="s">
        <v>359</v>
      </c>
      <c r="AA622" s="344"/>
      <c r="AB622" s="344"/>
      <c r="AC622" s="344"/>
      <c r="AD622" s="345"/>
    </row>
    <row r="623" spans="1:30" s="346" customFormat="1" ht="28" x14ac:dyDescent="0.35">
      <c r="A623" s="314"/>
      <c r="B623" s="332"/>
      <c r="C623" s="332"/>
      <c r="D623" s="332"/>
      <c r="E623" s="332"/>
      <c r="F623" s="362">
        <v>358</v>
      </c>
      <c r="G623" s="332"/>
      <c r="H623" s="317"/>
      <c r="I623" s="332"/>
      <c r="J623" s="332"/>
      <c r="K623" s="331"/>
      <c r="L623" s="331"/>
      <c r="M623" s="332"/>
      <c r="N623" s="332"/>
      <c r="O623" s="332"/>
      <c r="P623" s="332"/>
      <c r="Q623" s="332"/>
      <c r="R623" s="332"/>
      <c r="S623" s="332"/>
      <c r="T623" s="332"/>
      <c r="U623" s="333"/>
      <c r="V623" s="333"/>
      <c r="W623" s="334" t="s">
        <v>1955</v>
      </c>
      <c r="X623" s="323"/>
      <c r="Y623" s="323"/>
      <c r="Z623" s="364"/>
      <c r="AA623" s="344"/>
      <c r="AB623" s="344"/>
      <c r="AC623" s="344"/>
      <c r="AD623" s="345"/>
    </row>
    <row r="624" spans="1:30" s="346" customFormat="1" ht="24.75" customHeight="1" x14ac:dyDescent="0.35">
      <c r="A624" s="325">
        <v>308</v>
      </c>
      <c r="B624" s="332" t="s">
        <v>1025</v>
      </c>
      <c r="C624" s="332" t="s">
        <v>345</v>
      </c>
      <c r="D624" s="332" t="s">
        <v>20</v>
      </c>
      <c r="E624" s="332" t="s">
        <v>1025</v>
      </c>
      <c r="F624" s="362"/>
      <c r="G624" s="332" t="s">
        <v>1025</v>
      </c>
      <c r="H624" s="326">
        <f>H622+F623</f>
        <v>117907.80800000002</v>
      </c>
      <c r="I624" s="332">
        <v>388.63900000000001</v>
      </c>
      <c r="J624" s="331">
        <v>81.5</v>
      </c>
      <c r="K624" s="331">
        <f>F623+F625</f>
        <v>836.20499999999993</v>
      </c>
      <c r="L624" s="331">
        <f>K624/2</f>
        <v>418.10249999999996</v>
      </c>
      <c r="M624" s="332">
        <v>239</v>
      </c>
      <c r="N624" s="332">
        <v>264</v>
      </c>
      <c r="O624" s="332">
        <v>503</v>
      </c>
      <c r="P624" s="332">
        <v>221</v>
      </c>
      <c r="Q624" s="332">
        <v>257</v>
      </c>
      <c r="R624" s="332">
        <v>478</v>
      </c>
      <c r="S624" s="332" t="s">
        <v>1956</v>
      </c>
      <c r="T624" s="332" t="s">
        <v>1957</v>
      </c>
      <c r="U624" s="333">
        <v>623759.24899999995</v>
      </c>
      <c r="V624" s="333">
        <v>2633157.483</v>
      </c>
      <c r="W624" s="339" t="s">
        <v>1236</v>
      </c>
      <c r="X624" s="315" t="s">
        <v>1954</v>
      </c>
      <c r="Y624" s="315" t="s">
        <v>1848</v>
      </c>
      <c r="Z624" s="335" t="s">
        <v>359</v>
      </c>
      <c r="AA624" s="347">
        <v>0</v>
      </c>
      <c r="AB624" s="347">
        <v>0</v>
      </c>
      <c r="AC624" s="347">
        <v>2</v>
      </c>
      <c r="AD624" s="348">
        <v>0</v>
      </c>
    </row>
    <row r="625" spans="1:30" s="346" customFormat="1" ht="24.75" customHeight="1" x14ac:dyDescent="0.35">
      <c r="A625" s="314"/>
      <c r="B625" s="332"/>
      <c r="C625" s="332"/>
      <c r="D625" s="332"/>
      <c r="E625" s="332"/>
      <c r="F625" s="362">
        <v>478.20499999999998</v>
      </c>
      <c r="G625" s="332"/>
      <c r="H625" s="317"/>
      <c r="I625" s="332"/>
      <c r="J625" s="332"/>
      <c r="K625" s="331"/>
      <c r="L625" s="331"/>
      <c r="M625" s="332"/>
      <c r="N625" s="332"/>
      <c r="O625" s="332"/>
      <c r="P625" s="332"/>
      <c r="Q625" s="332"/>
      <c r="R625" s="332"/>
      <c r="S625" s="332"/>
      <c r="T625" s="332"/>
      <c r="U625" s="333"/>
      <c r="V625" s="333"/>
      <c r="W625" s="334" t="s">
        <v>1958</v>
      </c>
      <c r="X625" s="323"/>
      <c r="Y625" s="323"/>
      <c r="Z625" s="364"/>
      <c r="AA625" s="344"/>
      <c r="AB625" s="344"/>
      <c r="AC625" s="344"/>
      <c r="AD625" s="345"/>
    </row>
    <row r="626" spans="1:30" s="346" customFormat="1" ht="24.75" customHeight="1" x14ac:dyDescent="0.35">
      <c r="A626" s="314">
        <v>309</v>
      </c>
      <c r="B626" s="373" t="s">
        <v>1959</v>
      </c>
      <c r="C626" s="373" t="s">
        <v>346</v>
      </c>
      <c r="D626" s="373" t="s">
        <v>236</v>
      </c>
      <c r="E626" s="373" t="s">
        <v>1960</v>
      </c>
      <c r="F626" s="373"/>
      <c r="G626" s="374">
        <f>SUM(F619:F625)</f>
        <v>1583.2049999999999</v>
      </c>
      <c r="H626" s="375">
        <f>H624+F625</f>
        <v>118386.01300000002</v>
      </c>
      <c r="I626" s="373">
        <v>386.18599999999998</v>
      </c>
      <c r="J626" s="376">
        <v>76.72</v>
      </c>
      <c r="K626" s="376">
        <f>F625+F627</f>
        <v>118864.21800000002</v>
      </c>
      <c r="L626" s="376">
        <f>K626/2</f>
        <v>59432.109000000011</v>
      </c>
      <c r="M626" s="373">
        <v>215</v>
      </c>
      <c r="N626" s="373">
        <v>0</v>
      </c>
      <c r="O626" s="373">
        <v>215</v>
      </c>
      <c r="P626" s="373">
        <v>223</v>
      </c>
      <c r="Q626" s="373">
        <v>0</v>
      </c>
      <c r="R626" s="373">
        <v>223</v>
      </c>
      <c r="S626" s="373" t="s">
        <v>1961</v>
      </c>
      <c r="T626" s="373" t="s">
        <v>1962</v>
      </c>
      <c r="U626" s="377">
        <v>624148</v>
      </c>
      <c r="V626" s="377">
        <v>2632879</v>
      </c>
      <c r="W626" s="376"/>
      <c r="X626" s="378" t="s">
        <v>1954</v>
      </c>
      <c r="Y626" s="378" t="s">
        <v>1848</v>
      </c>
      <c r="Z626" s="379" t="s">
        <v>359</v>
      </c>
      <c r="AA626" s="380"/>
      <c r="AB626" s="380"/>
      <c r="AC626" s="380"/>
      <c r="AD626" s="381"/>
    </row>
    <row r="627" spans="1:30" s="346" customFormat="1" ht="24.75" customHeight="1" x14ac:dyDescent="0.35">
      <c r="A627" s="382"/>
      <c r="B627" s="344"/>
      <c r="C627" s="344"/>
      <c r="D627" s="344"/>
      <c r="E627" s="344"/>
      <c r="F627" s="383">
        <f>SUM(F9:F626)</f>
        <v>118386.01300000002</v>
      </c>
      <c r="G627" s="383">
        <f>SUM(G9:G626)</f>
        <v>118386.00899999999</v>
      </c>
      <c r="H627" s="384"/>
      <c r="I627" s="384"/>
      <c r="J627" s="384"/>
      <c r="K627" s="384"/>
      <c r="L627" s="384"/>
      <c r="M627" s="344"/>
      <c r="N627" s="344"/>
      <c r="O627" s="344"/>
      <c r="P627" s="344"/>
      <c r="Q627" s="344"/>
      <c r="R627" s="344"/>
      <c r="S627" s="344"/>
      <c r="T627" s="344"/>
      <c r="U627" s="385"/>
      <c r="V627" s="385"/>
      <c r="W627" s="331"/>
      <c r="X627" s="344"/>
      <c r="Y627" s="344"/>
      <c r="Z627" s="344"/>
      <c r="AA627" s="344"/>
      <c r="AB627" s="344"/>
      <c r="AC627" s="344"/>
      <c r="AD627" s="345"/>
    </row>
    <row r="628" spans="1:30" s="346" customFormat="1" ht="24.75" customHeight="1" x14ac:dyDescent="0.35">
      <c r="A628" s="386"/>
      <c r="F628" s="387"/>
      <c r="G628" s="388"/>
      <c r="H628" s="389"/>
      <c r="I628" s="389"/>
      <c r="J628" s="389"/>
      <c r="K628" s="389"/>
      <c r="L628" s="389"/>
      <c r="U628" s="390"/>
      <c r="V628" s="390"/>
      <c r="W628" s="337"/>
      <c r="AD628" s="391"/>
    </row>
    <row r="629" spans="1:30" x14ac:dyDescent="0.35">
      <c r="A629" s="392"/>
      <c r="H629" s="393"/>
      <c r="I629" s="393"/>
      <c r="J629" s="393"/>
      <c r="K629" s="393"/>
      <c r="L629" s="393"/>
      <c r="U629" s="394"/>
      <c r="V629" s="394"/>
      <c r="AD629" s="395"/>
    </row>
    <row r="630" spans="1:30" x14ac:dyDescent="0.35">
      <c r="A630" s="283"/>
      <c r="B630" s="396"/>
      <c r="C630" s="396"/>
      <c r="D630" s="397"/>
      <c r="E630" s="397"/>
      <c r="F630" s="398"/>
      <c r="G630" s="399"/>
      <c r="I630" s="400"/>
      <c r="J630" s="400"/>
      <c r="K630" s="400"/>
      <c r="L630" s="401"/>
      <c r="M630" s="400"/>
      <c r="N630" s="400"/>
      <c r="O630" s="400"/>
      <c r="P630" s="400"/>
      <c r="AD630" s="395"/>
    </row>
    <row r="631" spans="1:30" x14ac:dyDescent="0.35">
      <c r="A631" s="283"/>
      <c r="B631" s="396"/>
      <c r="C631" s="396"/>
      <c r="D631" s="397"/>
      <c r="E631" s="397"/>
      <c r="F631" s="397"/>
      <c r="G631" s="396"/>
      <c r="H631" s="399"/>
      <c r="I631" s="400"/>
      <c r="J631" s="400"/>
      <c r="K631" s="400"/>
      <c r="L631" s="401"/>
      <c r="M631" s="400"/>
      <c r="N631" s="400"/>
      <c r="O631" s="400"/>
      <c r="P631" s="400"/>
      <c r="AD631" s="395"/>
    </row>
    <row r="632" spans="1:30" ht="21.75" customHeight="1" x14ac:dyDescent="0.35">
      <c r="A632" s="392"/>
      <c r="F632" s="394"/>
      <c r="H632" s="465" t="s">
        <v>1963</v>
      </c>
      <c r="I632" s="466"/>
      <c r="J632" s="466"/>
      <c r="K632" s="466"/>
      <c r="L632" s="466"/>
      <c r="M632" s="466"/>
      <c r="N632" s="466"/>
      <c r="O632" s="466"/>
      <c r="P632" s="466"/>
      <c r="Q632" s="466"/>
      <c r="R632" s="466"/>
      <c r="S632" s="467"/>
      <c r="AD632" s="395"/>
    </row>
    <row r="633" spans="1:30" ht="21.75" customHeight="1" x14ac:dyDescent="0.35">
      <c r="A633" s="392"/>
      <c r="H633" s="470" t="s">
        <v>508</v>
      </c>
      <c r="I633" s="472" t="s">
        <v>1964</v>
      </c>
      <c r="J633" s="473"/>
      <c r="K633" s="473"/>
      <c r="L633" s="473"/>
      <c r="M633" s="473"/>
      <c r="N633" s="473"/>
      <c r="O633" s="473"/>
      <c r="P633" s="473"/>
      <c r="Q633" s="473"/>
      <c r="R633" s="474"/>
      <c r="S633" s="470" t="s">
        <v>1965</v>
      </c>
      <c r="AD633" s="395"/>
    </row>
    <row r="634" spans="1:30" ht="22.5" customHeight="1" x14ac:dyDescent="0.35">
      <c r="A634" s="392"/>
      <c r="H634" s="471"/>
      <c r="I634" s="274">
        <v>-3</v>
      </c>
      <c r="J634" s="274">
        <v>-1.5</v>
      </c>
      <c r="K634" s="274" t="s">
        <v>1966</v>
      </c>
      <c r="L634" s="274" t="s">
        <v>1967</v>
      </c>
      <c r="M634" s="274" t="s">
        <v>1968</v>
      </c>
      <c r="N634" s="274" t="s">
        <v>1969</v>
      </c>
      <c r="O634" s="274" t="s">
        <v>1970</v>
      </c>
      <c r="P634" s="274" t="s">
        <v>1971</v>
      </c>
      <c r="Q634" s="274" t="s">
        <v>1972</v>
      </c>
      <c r="R634" s="274" t="s">
        <v>1973</v>
      </c>
      <c r="S634" s="471"/>
      <c r="AD634" s="395"/>
    </row>
    <row r="635" spans="1:30" ht="22.5" customHeight="1" x14ac:dyDescent="0.35">
      <c r="A635" s="392"/>
      <c r="H635" s="275" t="s">
        <v>1974</v>
      </c>
      <c r="I635" s="276">
        <f>COUNTIF($D$10:$D$626,"DA(-)3")</f>
        <v>40</v>
      </c>
      <c r="J635" s="276">
        <f>COUNTIF($D$10:$D$626,"DA(-)1.5")</f>
        <v>15</v>
      </c>
      <c r="K635" s="276">
        <f>COUNTIF($D$10:$D626,"DA+0")</f>
        <v>77</v>
      </c>
      <c r="L635" s="276">
        <f>COUNTIF($D$10:$D$626,"DA+1.5")</f>
        <v>20</v>
      </c>
      <c r="M635" s="276">
        <f>COUNTIF($D$10:$D$626,"DA+3")</f>
        <v>40</v>
      </c>
      <c r="N635" s="276">
        <f>COUNTIF($D$10:$D$626,"DA+6")</f>
        <v>32</v>
      </c>
      <c r="O635" s="276">
        <f>COUNTIF($D$10:$D$626,"DA+9")</f>
        <v>6</v>
      </c>
      <c r="P635" s="276">
        <f>COUNTIF($D$10:$D$626,"DA+12")</f>
        <v>0</v>
      </c>
      <c r="Q635" s="276">
        <f>COUNTIF($D$10:$D$626,"DA+18")</f>
        <v>0</v>
      </c>
      <c r="R635" s="276">
        <f>COUNTIF($D$10:$D$626,"DA+25")</f>
        <v>0</v>
      </c>
      <c r="S635" s="276">
        <f t="shared" ref="S635:S642" si="0">SUM(I635:R635)</f>
        <v>230</v>
      </c>
      <c r="AD635" s="395"/>
    </row>
    <row r="636" spans="1:30" ht="22.5" customHeight="1" x14ac:dyDescent="0.35">
      <c r="A636" s="392"/>
      <c r="H636" s="275" t="s">
        <v>1975</v>
      </c>
      <c r="I636" s="276">
        <f>COUNTIF($D$10:$D$626,"DB1(-)3")</f>
        <v>0</v>
      </c>
      <c r="J636" s="276">
        <f>COUNTIF($D$10:$D$626,"DB1(-)1.5")</f>
        <v>1</v>
      </c>
      <c r="K636" s="276">
        <f>COUNTIF($D$10:$D626,"DB1+0")</f>
        <v>7</v>
      </c>
      <c r="L636" s="276">
        <f>COUNTIF($D$10:$D$626,"DB1+1.5")</f>
        <v>0</v>
      </c>
      <c r="M636" s="276">
        <f>COUNTIF($D$10:$D$626,"DB1+3")</f>
        <v>2</v>
      </c>
      <c r="N636" s="276">
        <f>COUNTIF($D$10:$D$626,"DB1+6")</f>
        <v>1</v>
      </c>
      <c r="O636" s="276">
        <f>COUNTIF($D$10:$D$626,"DB1+9")</f>
        <v>3</v>
      </c>
      <c r="P636" s="276">
        <f>COUNTIF($D$10:$D$626,"DB1+12")</f>
        <v>1</v>
      </c>
      <c r="Q636" s="276">
        <f>COUNTIF($D$10:$D$626,"DB1+18")</f>
        <v>1</v>
      </c>
      <c r="R636" s="276">
        <f>COUNTIF($D$10:$D$626,"DB1+25")</f>
        <v>0</v>
      </c>
      <c r="S636" s="276">
        <f t="shared" si="0"/>
        <v>16</v>
      </c>
      <c r="AD636" s="395"/>
    </row>
    <row r="637" spans="1:30" ht="22.5" customHeight="1" x14ac:dyDescent="0.35">
      <c r="A637" s="392"/>
      <c r="H637" s="275" t="s">
        <v>1976</v>
      </c>
      <c r="I637" s="276">
        <f>COUNTIF($D$10:$D$626,"DB2(-)3")</f>
        <v>0</v>
      </c>
      <c r="J637" s="276">
        <f>COUNTIF($D$10:$D$626,"DB2(-)1.5")</f>
        <v>1</v>
      </c>
      <c r="K637" s="276">
        <f>COUNTIF($D$10:$D626,"DB2+0")</f>
        <v>4</v>
      </c>
      <c r="L637" s="276">
        <f>COUNTIF($D$10:$D$626,"DB2+1.5")</f>
        <v>0</v>
      </c>
      <c r="M637" s="276">
        <f>COUNTIF($D$10:$D$626,"DB2+3")</f>
        <v>3</v>
      </c>
      <c r="N637" s="276">
        <f>COUNTIF($D$10:$D$626,"DB2+6")</f>
        <v>3</v>
      </c>
      <c r="O637" s="276">
        <f>COUNTIF($D$10:$D$626,"DB2+9")</f>
        <v>2</v>
      </c>
      <c r="P637" s="276">
        <f>COUNTIF($D$10:$D$626,"DB2+12")</f>
        <v>0</v>
      </c>
      <c r="Q637" s="276">
        <f>COUNTIF($D$10:$D$626,"DB2+18")</f>
        <v>0</v>
      </c>
      <c r="R637" s="276">
        <f>COUNTIF($D$10:$D$626,"DB2+25")</f>
        <v>0</v>
      </c>
      <c r="S637" s="276">
        <f t="shared" si="0"/>
        <v>13</v>
      </c>
      <c r="AD637" s="395"/>
    </row>
    <row r="638" spans="1:30" ht="22.5" customHeight="1" x14ac:dyDescent="0.35">
      <c r="A638" s="392"/>
      <c r="H638" s="275" t="s">
        <v>1977</v>
      </c>
      <c r="I638" s="276">
        <f>COUNTIF($D$10:$D$626,"DC1(-)3")</f>
        <v>0</v>
      </c>
      <c r="J638" s="276">
        <f>COUNTIF($D$10:$D$626,"DC1(-)1.5")</f>
        <v>0</v>
      </c>
      <c r="K638" s="276">
        <f>COUNTIF($D$10:$D626,"DC1+0")</f>
        <v>7</v>
      </c>
      <c r="L638" s="276">
        <f>COUNTIF($D$10:$D$626,"DC1+1.5")</f>
        <v>0</v>
      </c>
      <c r="M638" s="276">
        <f>COUNTIF($D$10:$D$626,"DC1+3")</f>
        <v>3</v>
      </c>
      <c r="N638" s="276">
        <f>COUNTIF($D$10:$D$626,"DC1+6")</f>
        <v>2</v>
      </c>
      <c r="O638" s="276">
        <f>COUNTIF($D$10:$D$626,"DC1+9")</f>
        <v>0</v>
      </c>
      <c r="P638" s="276">
        <f>COUNTIF($D$10:$D$626,"DC1+12")</f>
        <v>0</v>
      </c>
      <c r="Q638" s="276">
        <f>COUNTIF($D$10:$D$626,"DC1+18")</f>
        <v>0</v>
      </c>
      <c r="R638" s="276">
        <f>COUNTIF($D$10:$D$626,"DC1+25")</f>
        <v>0</v>
      </c>
      <c r="S638" s="276">
        <f t="shared" si="0"/>
        <v>12</v>
      </c>
      <c r="AD638" s="395"/>
    </row>
    <row r="639" spans="1:30" ht="22.5" customHeight="1" x14ac:dyDescent="0.35">
      <c r="A639" s="392"/>
      <c r="H639" s="275" t="s">
        <v>1978</v>
      </c>
      <c r="I639" s="276">
        <f>COUNTIF($D$10:$D$626,"DC2(-)3")</f>
        <v>0</v>
      </c>
      <c r="J639" s="276">
        <f>COUNTIF($D$10:$D$626,"DC2(-)1.5")</f>
        <v>0</v>
      </c>
      <c r="K639" s="276">
        <f>COUNTIF($D$10:$D626,"DC2+0")</f>
        <v>8</v>
      </c>
      <c r="L639" s="276">
        <f>COUNTIF($D$10:$D$626,"DC2+1.5")</f>
        <v>0</v>
      </c>
      <c r="M639" s="276">
        <f>COUNTIF($D$10:$D$626,"DC2+3")</f>
        <v>1</v>
      </c>
      <c r="N639" s="276">
        <f>COUNTIF($D$10:$D$626,"DC2+6")</f>
        <v>1</v>
      </c>
      <c r="O639" s="276">
        <f>COUNTIF($D$10:$D$626,"DC2+9")</f>
        <v>0</v>
      </c>
      <c r="P639" s="276">
        <f>COUNTIF($D$10:$D$626,"DC2+12")</f>
        <v>2</v>
      </c>
      <c r="Q639" s="276">
        <f>COUNTIF($D$10:$D$626,"DC2+18")</f>
        <v>3</v>
      </c>
      <c r="R639" s="276">
        <f>COUNTIF($D$10:$D$626,"DC2+25")</f>
        <v>0</v>
      </c>
      <c r="S639" s="276">
        <f t="shared" si="0"/>
        <v>15</v>
      </c>
      <c r="AD639" s="395"/>
    </row>
    <row r="640" spans="1:30" ht="22.5" customHeight="1" x14ac:dyDescent="0.35">
      <c r="A640" s="392"/>
      <c r="H640" s="275" t="s">
        <v>1979</v>
      </c>
      <c r="I640" s="276">
        <f>COUNTIF($D$10:$D$626,"DD45(-)3")</f>
        <v>0</v>
      </c>
      <c r="J640" s="276">
        <f>COUNTIF($D$10:$D$626,"DD45(-)1.5")</f>
        <v>0</v>
      </c>
      <c r="K640" s="276">
        <f>COUNTIF($D$10:$D626,"DD45+0")</f>
        <v>5</v>
      </c>
      <c r="L640" s="276">
        <f>COUNTIF($D$10:$D$626,"DD45+1.5")</f>
        <v>0</v>
      </c>
      <c r="M640" s="276">
        <f>COUNTIF($D$10:$D$626,"DD45+3")</f>
        <v>2</v>
      </c>
      <c r="N640" s="276">
        <f>COUNTIF($D$10:$D$626,"DD45+6")</f>
        <v>1</v>
      </c>
      <c r="O640" s="276">
        <f>COUNTIF($D$10:$D$626,"DD45+9")</f>
        <v>4</v>
      </c>
      <c r="P640" s="276">
        <f>COUNTIF($D$10:$D$626,"DD45+12")</f>
        <v>1</v>
      </c>
      <c r="Q640" s="276">
        <f>COUNTIF($D$10:$D$626,"DD45+18")</f>
        <v>2</v>
      </c>
      <c r="R640" s="276">
        <f>COUNTIF($D$10:$D$626,"DD45+25")</f>
        <v>0</v>
      </c>
      <c r="S640" s="276">
        <f t="shared" si="0"/>
        <v>15</v>
      </c>
      <c r="AD640" s="395"/>
    </row>
    <row r="641" spans="1:30" ht="22.5" customHeight="1" x14ac:dyDescent="0.35">
      <c r="A641" s="392"/>
      <c r="H641" s="275" t="s">
        <v>1980</v>
      </c>
      <c r="I641" s="276">
        <f>COUNTIF($D$10:$D$626,"DD60(-)3")</f>
        <v>0</v>
      </c>
      <c r="J641" s="276">
        <f>COUNTIF($D$10:$D$626,"DD60(-)1.5")</f>
        <v>0</v>
      </c>
      <c r="K641" s="276">
        <f>COUNTIF($D$10:$D626,"DD60+0")</f>
        <v>3</v>
      </c>
      <c r="L641" s="276">
        <f>COUNTIF($D$10:$D$626,"DD60+1.5")</f>
        <v>0</v>
      </c>
      <c r="M641" s="276">
        <f>COUNTIF($D$10:$D$626,"DD60+3")</f>
        <v>0</v>
      </c>
      <c r="N641" s="276">
        <f>COUNTIF($D$10:$D$626,"DD60+6")</f>
        <v>1</v>
      </c>
      <c r="O641" s="276">
        <f>COUNTIF($D$10:$D$626,"DD60+9")</f>
        <v>2</v>
      </c>
      <c r="P641" s="276">
        <f>COUNTIF($D$10:$D$626,"DD60+12")</f>
        <v>0</v>
      </c>
      <c r="Q641" s="276">
        <f>COUNTIF($D$10:$D$626,"DD60+18")</f>
        <v>0</v>
      </c>
      <c r="R641" s="276">
        <f>COUNTIF($D$10:$D$626,"DD60+25")</f>
        <v>2</v>
      </c>
      <c r="S641" s="276">
        <f t="shared" si="0"/>
        <v>8</v>
      </c>
      <c r="AD641" s="395"/>
    </row>
    <row r="642" spans="1:30" ht="22.5" customHeight="1" x14ac:dyDescent="0.35">
      <c r="A642" s="392"/>
      <c r="H642" s="284" t="s">
        <v>7</v>
      </c>
      <c r="I642" s="284">
        <f>SUM(I635:I641)</f>
        <v>40</v>
      </c>
      <c r="J642" s="284">
        <f t="shared" ref="J642:R642" si="1">SUM(J635:J641)</f>
        <v>17</v>
      </c>
      <c r="K642" s="284">
        <f t="shared" si="1"/>
        <v>111</v>
      </c>
      <c r="L642" s="284">
        <f t="shared" si="1"/>
        <v>20</v>
      </c>
      <c r="M642" s="284">
        <f t="shared" si="1"/>
        <v>51</v>
      </c>
      <c r="N642" s="284">
        <f t="shared" si="1"/>
        <v>41</v>
      </c>
      <c r="O642" s="284">
        <f t="shared" si="1"/>
        <v>17</v>
      </c>
      <c r="P642" s="284">
        <f t="shared" si="1"/>
        <v>4</v>
      </c>
      <c r="Q642" s="284">
        <f>SUM(Q635:Q641)</f>
        <v>6</v>
      </c>
      <c r="R642" s="284">
        <f t="shared" si="1"/>
        <v>2</v>
      </c>
      <c r="S642" s="276">
        <f t="shared" si="0"/>
        <v>309</v>
      </c>
      <c r="AD642" s="395"/>
    </row>
    <row r="643" spans="1:30" ht="22.5" customHeight="1" thickBot="1" x14ac:dyDescent="0.4">
      <c r="A643" s="402"/>
      <c r="B643" s="289"/>
      <c r="C643" s="289"/>
      <c r="D643" s="289"/>
      <c r="E643" s="289"/>
      <c r="F643" s="289"/>
      <c r="G643" s="289"/>
      <c r="H643" s="289"/>
      <c r="I643" s="289"/>
      <c r="J643" s="289"/>
      <c r="K643" s="289"/>
      <c r="L643" s="289"/>
      <c r="M643" s="289"/>
      <c r="N643" s="289"/>
      <c r="O643" s="289"/>
      <c r="P643" s="289"/>
      <c r="Q643" s="289"/>
      <c r="R643" s="289"/>
      <c r="S643" s="289"/>
      <c r="T643" s="289"/>
      <c r="U643" s="289"/>
      <c r="V643" s="289"/>
      <c r="W643" s="289"/>
      <c r="X643" s="289"/>
      <c r="Y643" s="289"/>
      <c r="Z643" s="289"/>
      <c r="AA643" s="289"/>
      <c r="AB643" s="289"/>
      <c r="AC643" s="289"/>
      <c r="AD643" s="403"/>
    </row>
  </sheetData>
  <autoFilter ref="A6:O627" xr:uid="{00000000-0001-0000-0700-000000000000}">
    <filterColumn colId="12" showButton="0"/>
    <filterColumn colId="13" showButton="0"/>
  </autoFilter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3:G8"/>
  <sheetViews>
    <sheetView workbookViewId="0">
      <pane ySplit="1" topLeftCell="A2" activePane="bottomLeft" state="frozen"/>
      <selection pane="bottomLeft" activeCell="V10" sqref="V10"/>
    </sheetView>
  </sheetViews>
  <sheetFormatPr defaultRowHeight="14.5" x14ac:dyDescent="0.35"/>
  <sheetData>
    <row r="3" spans="4:7" x14ac:dyDescent="0.35">
      <c r="D3" s="929" t="s">
        <v>646</v>
      </c>
      <c r="E3" s="929"/>
      <c r="F3" s="929"/>
      <c r="G3" s="929"/>
    </row>
    <row r="4" spans="4:7" x14ac:dyDescent="0.35">
      <c r="D4" s="929"/>
      <c r="E4" s="929"/>
      <c r="F4" s="929"/>
      <c r="G4" s="929"/>
    </row>
    <row r="5" spans="4:7" x14ac:dyDescent="0.35">
      <c r="E5" s="158" t="s">
        <v>647</v>
      </c>
    </row>
    <row r="6" spans="4:7" x14ac:dyDescent="0.35">
      <c r="E6" s="158" t="s">
        <v>648</v>
      </c>
    </row>
    <row r="7" spans="4:7" x14ac:dyDescent="0.35">
      <c r="E7" s="158" t="s">
        <v>649</v>
      </c>
    </row>
    <row r="8" spans="4:7" x14ac:dyDescent="0.35">
      <c r="E8" s="158" t="s">
        <v>650</v>
      </c>
    </row>
  </sheetData>
  <mergeCells count="1">
    <mergeCell ref="D3:G4"/>
  </mergeCells>
  <hyperlinks>
    <hyperlink ref="D3" location="'VC-765kV MKTL'!A1" display="'VC-765kV MKTL'!A1" xr:uid="{00000000-0004-0000-0800-000000000000}"/>
    <hyperlink ref="E5" location="FOUNDATION!A1" display="FOUNDATION!A1" xr:uid="{00000000-0004-0000-0800-000001000000}"/>
    <hyperlink ref="E6" location="EARTHING!A1" display="EARTHING!A1" xr:uid="{00000000-0004-0000-0800-000002000000}"/>
    <hyperlink ref="E7" location="ERECTION!A1" display="ERECTION!A1" xr:uid="{00000000-0004-0000-0800-000003000000}"/>
    <hyperlink ref="E8" location="TS!A1" display="TS!A1" xr:uid="{00000000-0004-0000-0800-000004000000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9"/>
  <sheetViews>
    <sheetView topLeftCell="A123" workbookViewId="0">
      <selection activeCell="I126" sqref="I126:J127"/>
    </sheetView>
  </sheetViews>
  <sheetFormatPr defaultColWidth="8.81640625" defaultRowHeight="14.5" x14ac:dyDescent="0.35"/>
  <cols>
    <col min="1" max="1" width="29.54296875" customWidth="1"/>
    <col min="3" max="3" width="22.1796875" customWidth="1"/>
    <col min="4" max="5" width="26" customWidth="1"/>
    <col min="6" max="6" width="19.453125" hidden="1" customWidth="1"/>
    <col min="7" max="7" width="21.1796875" hidden="1" customWidth="1"/>
    <col min="8" max="8" width="20" hidden="1" customWidth="1"/>
    <col min="9" max="9" width="45.54296875" customWidth="1"/>
    <col min="10" max="10" width="40.1796875" customWidth="1"/>
  </cols>
  <sheetData>
    <row r="1" spans="1:8" ht="21" hidden="1" customHeight="1" x14ac:dyDescent="0.35">
      <c r="A1" s="82" t="s">
        <v>554</v>
      </c>
      <c r="B1" s="83" t="s">
        <v>555</v>
      </c>
      <c r="C1" s="83">
        <v>118.288</v>
      </c>
      <c r="D1" s="2">
        <v>106.34099999999999</v>
      </c>
      <c r="E1" s="2">
        <v>106.34099999999999</v>
      </c>
      <c r="F1" s="2"/>
      <c r="G1" s="2"/>
      <c r="H1" s="2"/>
    </row>
    <row r="2" spans="1:8" ht="21" hidden="1" customHeight="1" x14ac:dyDescent="0.35">
      <c r="A2" s="82" t="s">
        <v>372</v>
      </c>
      <c r="B2" s="83" t="s">
        <v>555</v>
      </c>
      <c r="C2" s="83">
        <v>118.288</v>
      </c>
      <c r="D2" s="2">
        <v>106.34099999999999</v>
      </c>
      <c r="E2" s="2">
        <v>106.34099999999999</v>
      </c>
      <c r="F2" s="2"/>
      <c r="G2" s="2"/>
      <c r="H2" s="2"/>
    </row>
    <row r="3" spans="1:8" ht="126" hidden="1" customHeight="1" x14ac:dyDescent="0.35">
      <c r="A3" s="82" t="s">
        <v>556</v>
      </c>
      <c r="B3" s="83" t="s">
        <v>555</v>
      </c>
      <c r="C3" s="83">
        <v>0</v>
      </c>
      <c r="D3" s="84">
        <v>1.5580000000000001</v>
      </c>
      <c r="E3" s="36" t="s">
        <v>557</v>
      </c>
      <c r="F3" s="36"/>
      <c r="G3" s="85" t="b">
        <v>1</v>
      </c>
      <c r="H3" s="36"/>
    </row>
    <row r="4" spans="1:8" ht="21" hidden="1" customHeight="1" x14ac:dyDescent="0.35">
      <c r="A4" s="82" t="s">
        <v>375</v>
      </c>
      <c r="B4" s="83" t="s">
        <v>555</v>
      </c>
      <c r="C4" s="83">
        <v>118.288</v>
      </c>
      <c r="D4" s="2">
        <v>106.34099999999999</v>
      </c>
      <c r="E4" s="2">
        <v>106.34099999999999</v>
      </c>
      <c r="F4" s="2"/>
      <c r="G4" s="2"/>
      <c r="H4" s="2"/>
    </row>
    <row r="5" spans="1:8" ht="21" hidden="1" customHeight="1" x14ac:dyDescent="0.35">
      <c r="A5" s="82" t="s">
        <v>558</v>
      </c>
      <c r="B5" s="83"/>
      <c r="C5" s="86"/>
      <c r="D5" s="2"/>
      <c r="E5" s="2"/>
      <c r="F5" s="2"/>
      <c r="G5" s="2"/>
      <c r="H5" s="2"/>
    </row>
    <row r="6" spans="1:8" ht="21" hidden="1" customHeight="1" x14ac:dyDescent="0.35">
      <c r="A6" s="82" t="s">
        <v>559</v>
      </c>
      <c r="B6" s="83" t="s">
        <v>376</v>
      </c>
      <c r="C6" s="83">
        <v>9</v>
      </c>
      <c r="D6" s="2">
        <v>8</v>
      </c>
      <c r="E6" s="2">
        <v>8</v>
      </c>
      <c r="F6" s="2"/>
      <c r="G6" s="2"/>
      <c r="H6" s="2"/>
    </row>
    <row r="7" spans="1:8" ht="21" hidden="1" customHeight="1" x14ac:dyDescent="0.35">
      <c r="A7" s="82" t="s">
        <v>406</v>
      </c>
      <c r="B7" s="83" t="s">
        <v>376</v>
      </c>
      <c r="C7" s="83">
        <v>3</v>
      </c>
      <c r="D7" s="2">
        <v>1</v>
      </c>
      <c r="E7" s="2">
        <v>1</v>
      </c>
      <c r="F7" s="2"/>
      <c r="G7" s="2"/>
      <c r="H7" s="2"/>
    </row>
    <row r="8" spans="1:8" ht="21" hidden="1" customHeight="1" x14ac:dyDescent="0.35">
      <c r="A8" s="82" t="s">
        <v>405</v>
      </c>
      <c r="B8" s="83" t="s">
        <v>376</v>
      </c>
      <c r="C8" s="83">
        <v>1</v>
      </c>
      <c r="D8" s="2">
        <v>1</v>
      </c>
      <c r="E8" s="2" t="s">
        <v>560</v>
      </c>
      <c r="F8" s="2"/>
      <c r="G8" s="2"/>
      <c r="H8" s="2"/>
    </row>
    <row r="9" spans="1:8" ht="21" hidden="1" customHeight="1" x14ac:dyDescent="0.35">
      <c r="A9" s="82" t="s">
        <v>561</v>
      </c>
      <c r="B9" s="83" t="s">
        <v>376</v>
      </c>
      <c r="C9" s="83">
        <v>1</v>
      </c>
      <c r="D9" s="2">
        <v>1</v>
      </c>
      <c r="E9" s="2" t="s">
        <v>560</v>
      </c>
      <c r="F9" s="2"/>
      <c r="G9" s="2"/>
      <c r="H9" s="2"/>
    </row>
    <row r="10" spans="1:8" ht="21" hidden="1" customHeight="1" x14ac:dyDescent="0.35">
      <c r="A10" s="82" t="s">
        <v>562</v>
      </c>
      <c r="B10" s="83" t="s">
        <v>376</v>
      </c>
      <c r="C10" s="83">
        <v>1</v>
      </c>
      <c r="D10" s="87">
        <v>0</v>
      </c>
      <c r="E10" s="87">
        <v>0</v>
      </c>
      <c r="F10" s="2"/>
      <c r="G10" s="2"/>
      <c r="H10" s="2"/>
    </row>
    <row r="11" spans="1:8" ht="27" hidden="1" customHeight="1" x14ac:dyDescent="0.35">
      <c r="A11" s="82" t="s">
        <v>563</v>
      </c>
      <c r="B11" s="83" t="s">
        <v>376</v>
      </c>
      <c r="C11" s="83">
        <v>0</v>
      </c>
      <c r="D11" s="84">
        <v>1</v>
      </c>
      <c r="E11" s="36"/>
      <c r="F11" s="36"/>
      <c r="G11" s="36"/>
      <c r="H11" s="85" t="b">
        <v>1</v>
      </c>
    </row>
    <row r="12" spans="1:8" ht="21" hidden="1" customHeight="1" x14ac:dyDescent="0.35">
      <c r="A12" s="88" t="s">
        <v>564</v>
      </c>
      <c r="B12" s="1" t="s">
        <v>376</v>
      </c>
      <c r="C12" s="1"/>
      <c r="D12" s="3"/>
      <c r="E12" s="3"/>
      <c r="F12" s="3"/>
      <c r="G12" s="3"/>
      <c r="H12" s="3"/>
    </row>
    <row r="13" spans="1:8" ht="21" hidden="1" customHeight="1" x14ac:dyDescent="0.35">
      <c r="A13" s="3" t="s">
        <v>554</v>
      </c>
      <c r="B13" s="1" t="s">
        <v>555</v>
      </c>
      <c r="C13" s="89">
        <v>117.85085099999999</v>
      </c>
      <c r="D13" s="89">
        <v>117.85085099999999</v>
      </c>
      <c r="E13" s="89">
        <v>117.85085099999999</v>
      </c>
      <c r="F13" s="3"/>
      <c r="G13" s="3"/>
      <c r="H13" s="3"/>
    </row>
    <row r="14" spans="1:8" ht="21" hidden="1" customHeight="1" x14ac:dyDescent="0.35">
      <c r="A14" s="3" t="s">
        <v>372</v>
      </c>
      <c r="B14" s="1" t="s">
        <v>555</v>
      </c>
      <c r="C14" s="89">
        <v>117.85085099999999</v>
      </c>
      <c r="D14" s="89">
        <v>117.85085099999999</v>
      </c>
      <c r="E14" s="89">
        <v>117.85085099999999</v>
      </c>
      <c r="F14" s="3"/>
      <c r="G14" s="3"/>
      <c r="H14" s="3"/>
    </row>
    <row r="15" spans="1:8" ht="21" hidden="1" customHeight="1" x14ac:dyDescent="0.35">
      <c r="A15" s="3" t="s">
        <v>556</v>
      </c>
      <c r="B15" s="1" t="s">
        <v>555</v>
      </c>
      <c r="C15" s="87">
        <v>0</v>
      </c>
      <c r="D15" s="87">
        <v>0</v>
      </c>
      <c r="E15" s="87">
        <v>0</v>
      </c>
      <c r="F15" s="3"/>
      <c r="G15" s="3"/>
      <c r="H15" s="3"/>
    </row>
    <row r="16" spans="1:8" ht="21" hidden="1" customHeight="1" x14ac:dyDescent="0.35">
      <c r="A16" s="3" t="s">
        <v>375</v>
      </c>
      <c r="B16" s="1" t="s">
        <v>555</v>
      </c>
      <c r="C16" s="89">
        <f>C13</f>
        <v>117.85085099999999</v>
      </c>
      <c r="D16" s="89">
        <f>D13</f>
        <v>117.85085099999999</v>
      </c>
      <c r="E16" s="89">
        <f>E13</f>
        <v>117.85085099999999</v>
      </c>
      <c r="F16" s="3"/>
      <c r="G16" s="3"/>
      <c r="H16" s="3"/>
    </row>
    <row r="17" spans="1:8" ht="21" hidden="1" customHeight="1" x14ac:dyDescent="0.35">
      <c r="A17" s="3" t="s">
        <v>558</v>
      </c>
      <c r="B17" s="1"/>
      <c r="C17" s="89"/>
      <c r="D17" s="89"/>
      <c r="E17" s="89"/>
      <c r="F17" s="3"/>
      <c r="G17" s="3"/>
      <c r="H17" s="3"/>
    </row>
    <row r="18" spans="1:8" ht="21" hidden="1" customHeight="1" x14ac:dyDescent="0.35">
      <c r="A18" s="88" t="s">
        <v>559</v>
      </c>
      <c r="B18" s="1" t="s">
        <v>376</v>
      </c>
      <c r="C18" s="89">
        <v>6</v>
      </c>
      <c r="D18" s="89">
        <v>6</v>
      </c>
      <c r="E18" s="89">
        <v>6</v>
      </c>
      <c r="F18" s="3"/>
      <c r="G18" s="3"/>
      <c r="H18" s="3"/>
    </row>
    <row r="19" spans="1:8" ht="126" hidden="1" customHeight="1" x14ac:dyDescent="0.35">
      <c r="A19" s="90" t="s">
        <v>406</v>
      </c>
      <c r="B19" s="91" t="s">
        <v>376</v>
      </c>
      <c r="C19" s="92">
        <v>2</v>
      </c>
      <c r="D19" s="92">
        <v>2</v>
      </c>
      <c r="E19" s="92">
        <v>1</v>
      </c>
      <c r="F19" s="93"/>
      <c r="G19" s="85" t="b">
        <v>1</v>
      </c>
      <c r="H19" s="93"/>
    </row>
    <row r="20" spans="1:8" ht="21" hidden="1" customHeight="1" x14ac:dyDescent="0.35">
      <c r="A20" s="90" t="s">
        <v>405</v>
      </c>
      <c r="B20" s="91" t="s">
        <v>376</v>
      </c>
      <c r="C20" s="92">
        <v>1</v>
      </c>
      <c r="D20" s="92">
        <v>1</v>
      </c>
      <c r="E20" s="85">
        <v>0</v>
      </c>
      <c r="F20" s="93"/>
      <c r="G20" s="85" t="b">
        <v>1</v>
      </c>
      <c r="H20" s="93"/>
    </row>
    <row r="21" spans="1:8" ht="21" hidden="1" customHeight="1" x14ac:dyDescent="0.35">
      <c r="A21" s="88" t="s">
        <v>561</v>
      </c>
      <c r="B21" s="1" t="s">
        <v>376</v>
      </c>
      <c r="C21" s="89">
        <v>1</v>
      </c>
      <c r="D21" s="89">
        <v>1</v>
      </c>
      <c r="E21" s="89">
        <v>1</v>
      </c>
      <c r="F21" s="3"/>
      <c r="G21" s="3"/>
      <c r="H21" s="3"/>
    </row>
    <row r="22" spans="1:8" ht="21" hidden="1" customHeight="1" x14ac:dyDescent="0.35">
      <c r="A22" s="88" t="s">
        <v>562</v>
      </c>
      <c r="B22" s="1" t="s">
        <v>376</v>
      </c>
      <c r="C22" s="87">
        <v>0</v>
      </c>
      <c r="D22" s="87">
        <v>0</v>
      </c>
      <c r="E22" s="87">
        <v>0</v>
      </c>
      <c r="F22" s="3"/>
      <c r="G22" s="3"/>
      <c r="H22" s="3"/>
    </row>
    <row r="23" spans="1:8" ht="147" hidden="1" customHeight="1" x14ac:dyDescent="0.35">
      <c r="A23" s="90" t="s">
        <v>565</v>
      </c>
      <c r="B23" s="91" t="s">
        <v>376</v>
      </c>
      <c r="C23" s="92">
        <v>2</v>
      </c>
      <c r="D23" s="92">
        <v>2</v>
      </c>
      <c r="E23" s="85">
        <v>0</v>
      </c>
      <c r="F23" s="93"/>
      <c r="G23" s="85" t="b">
        <v>1</v>
      </c>
      <c r="H23" s="93"/>
    </row>
    <row r="24" spans="1:8" ht="21" hidden="1" customHeight="1" x14ac:dyDescent="0.35">
      <c r="A24" s="88" t="s">
        <v>564</v>
      </c>
      <c r="B24" s="1" t="s">
        <v>376</v>
      </c>
      <c r="C24" s="89"/>
      <c r="D24" s="89"/>
      <c r="E24" s="87"/>
      <c r="F24" s="3"/>
      <c r="G24" s="3"/>
      <c r="H24" s="3"/>
    </row>
    <row r="25" spans="1:8" ht="21" hidden="1" customHeight="1" x14ac:dyDescent="0.35">
      <c r="A25" s="93" t="s">
        <v>554</v>
      </c>
      <c r="B25" s="91" t="s">
        <v>555</v>
      </c>
      <c r="C25" s="94">
        <v>78.578999999999994</v>
      </c>
      <c r="D25" s="94">
        <v>78.578999999999994</v>
      </c>
      <c r="E25" s="94">
        <v>78.578999999999994</v>
      </c>
      <c r="F25" s="93"/>
      <c r="G25" s="93"/>
      <c r="H25" s="93"/>
    </row>
    <row r="26" spans="1:8" ht="21" hidden="1" customHeight="1" x14ac:dyDescent="0.35">
      <c r="A26" s="93" t="s">
        <v>372</v>
      </c>
      <c r="B26" s="91" t="s">
        <v>555</v>
      </c>
      <c r="C26" s="94">
        <v>78.578999999999994</v>
      </c>
      <c r="D26" s="94">
        <v>78.578999999999994</v>
      </c>
      <c r="E26" s="94">
        <v>78.578999999999994</v>
      </c>
      <c r="F26" s="85" t="b">
        <v>1</v>
      </c>
      <c r="G26" s="93"/>
      <c r="H26" s="93"/>
    </row>
    <row r="27" spans="1:8" ht="21" hidden="1" customHeight="1" x14ac:dyDescent="0.35">
      <c r="A27" s="93" t="s">
        <v>556</v>
      </c>
      <c r="B27" s="91" t="s">
        <v>555</v>
      </c>
      <c r="C27" s="85">
        <v>0</v>
      </c>
      <c r="D27" s="85">
        <v>0</v>
      </c>
      <c r="E27" s="85">
        <v>0</v>
      </c>
      <c r="F27" s="93"/>
      <c r="G27" s="93"/>
      <c r="H27" s="93"/>
    </row>
    <row r="28" spans="1:8" ht="21" hidden="1" customHeight="1" x14ac:dyDescent="0.35">
      <c r="A28" s="93" t="s">
        <v>375</v>
      </c>
      <c r="B28" s="91" t="s">
        <v>555</v>
      </c>
      <c r="C28" s="94">
        <v>66.683000000000007</v>
      </c>
      <c r="D28" s="94">
        <v>53.932000000000002</v>
      </c>
      <c r="E28" s="94">
        <v>53.932000000000002</v>
      </c>
      <c r="F28" s="85" t="b">
        <v>1</v>
      </c>
      <c r="G28" s="93"/>
      <c r="H28" s="93"/>
    </row>
    <row r="29" spans="1:8" ht="21" hidden="1" customHeight="1" x14ac:dyDescent="0.35">
      <c r="A29" s="93" t="s">
        <v>558</v>
      </c>
      <c r="B29" s="91"/>
      <c r="C29" s="92"/>
      <c r="D29" s="92"/>
      <c r="E29" s="92"/>
      <c r="F29" s="93"/>
      <c r="G29" s="93"/>
      <c r="H29" s="93"/>
    </row>
    <row r="30" spans="1:8" ht="265.25" hidden="1" customHeight="1" x14ac:dyDescent="0.35">
      <c r="A30" s="90" t="s">
        <v>559</v>
      </c>
      <c r="B30" s="91" t="s">
        <v>376</v>
      </c>
      <c r="C30" s="85">
        <v>2</v>
      </c>
      <c r="D30" s="85">
        <v>1</v>
      </c>
      <c r="E30" s="85">
        <v>1</v>
      </c>
      <c r="F30" s="85" t="b">
        <v>1</v>
      </c>
      <c r="G30" s="93"/>
      <c r="H30" s="93"/>
    </row>
    <row r="31" spans="1:8" ht="21" hidden="1" customHeight="1" x14ac:dyDescent="0.35">
      <c r="A31" s="90" t="s">
        <v>406</v>
      </c>
      <c r="B31" s="91" t="s">
        <v>376</v>
      </c>
      <c r="C31" s="85">
        <v>0</v>
      </c>
      <c r="D31" s="85">
        <v>0</v>
      </c>
      <c r="E31" s="85">
        <v>0</v>
      </c>
      <c r="F31" s="93"/>
      <c r="G31" s="93"/>
      <c r="H31" s="93"/>
    </row>
    <row r="32" spans="1:8" ht="21" hidden="1" customHeight="1" x14ac:dyDescent="0.35">
      <c r="A32" s="90" t="s">
        <v>405</v>
      </c>
      <c r="B32" s="91" t="s">
        <v>376</v>
      </c>
      <c r="C32" s="85">
        <v>0</v>
      </c>
      <c r="D32" s="85">
        <v>0</v>
      </c>
      <c r="E32" s="85">
        <v>0</v>
      </c>
      <c r="F32" s="93"/>
      <c r="G32" s="93"/>
      <c r="H32" s="93"/>
    </row>
    <row r="33" spans="1:8" ht="245" hidden="1" customHeight="1" x14ac:dyDescent="0.35">
      <c r="A33" s="95" t="s">
        <v>561</v>
      </c>
      <c r="B33" s="30" t="s">
        <v>376</v>
      </c>
      <c r="C33" s="96">
        <v>0</v>
      </c>
      <c r="D33" s="96">
        <v>0</v>
      </c>
      <c r="E33" s="96">
        <v>0</v>
      </c>
      <c r="F33" s="96" t="b">
        <v>1</v>
      </c>
      <c r="G33" s="97"/>
      <c r="H33" s="97"/>
    </row>
    <row r="34" spans="1:8" ht="21" hidden="1" customHeight="1" x14ac:dyDescent="0.35">
      <c r="A34" s="90" t="s">
        <v>562</v>
      </c>
      <c r="B34" s="91" t="s">
        <v>376</v>
      </c>
      <c r="C34" s="85">
        <v>0</v>
      </c>
      <c r="D34" s="85">
        <v>0</v>
      </c>
      <c r="E34" s="85">
        <v>0</v>
      </c>
      <c r="F34" s="93"/>
      <c r="G34" s="93"/>
      <c r="H34" s="93"/>
    </row>
    <row r="35" spans="1:8" ht="122.5" hidden="1" customHeight="1" x14ac:dyDescent="0.35">
      <c r="A35" s="90" t="s">
        <v>565</v>
      </c>
      <c r="B35" s="91" t="s">
        <v>376</v>
      </c>
      <c r="C35" s="92">
        <v>1</v>
      </c>
      <c r="D35" s="92">
        <v>1</v>
      </c>
      <c r="E35" s="85">
        <v>0</v>
      </c>
      <c r="F35" s="85" t="b">
        <v>1</v>
      </c>
      <c r="G35" s="93"/>
      <c r="H35" s="93"/>
    </row>
    <row r="36" spans="1:8" ht="21" hidden="1" customHeight="1" x14ac:dyDescent="0.35">
      <c r="A36" s="90" t="s">
        <v>564</v>
      </c>
      <c r="B36" s="91" t="s">
        <v>376</v>
      </c>
      <c r="C36" s="92"/>
      <c r="D36" s="92"/>
      <c r="E36" s="92"/>
      <c r="F36" s="93"/>
      <c r="G36" s="93"/>
      <c r="H36" s="93"/>
    </row>
    <row r="37" spans="1:8" ht="21" hidden="1" customHeight="1" x14ac:dyDescent="0.35">
      <c r="A37" s="3" t="s">
        <v>554</v>
      </c>
      <c r="B37" s="1" t="s">
        <v>555</v>
      </c>
      <c r="C37" s="89">
        <v>136.70599999999999</v>
      </c>
      <c r="D37" s="89">
        <v>136.70599999999999</v>
      </c>
      <c r="E37" s="89">
        <v>136.70599999999999</v>
      </c>
      <c r="F37" s="3"/>
      <c r="G37" s="3"/>
      <c r="H37" s="3"/>
    </row>
    <row r="38" spans="1:8" ht="21" hidden="1" customHeight="1" x14ac:dyDescent="0.35">
      <c r="A38" s="3" t="s">
        <v>372</v>
      </c>
      <c r="B38" s="1" t="s">
        <v>555</v>
      </c>
      <c r="C38" s="89">
        <v>136.70599999999999</v>
      </c>
      <c r="D38" s="89">
        <v>136.70599999999999</v>
      </c>
      <c r="E38" s="89">
        <v>133.72900000000001</v>
      </c>
      <c r="F38" s="87" t="b">
        <v>1</v>
      </c>
      <c r="G38" s="87"/>
      <c r="H38" s="3"/>
    </row>
    <row r="39" spans="1:8" ht="21" hidden="1" customHeight="1" x14ac:dyDescent="0.35">
      <c r="A39" s="3" t="s">
        <v>556</v>
      </c>
      <c r="B39" s="1" t="s">
        <v>555</v>
      </c>
      <c r="C39" s="87">
        <v>0</v>
      </c>
      <c r="D39" s="87">
        <v>0</v>
      </c>
      <c r="E39" s="87">
        <v>0</v>
      </c>
      <c r="F39" s="3"/>
      <c r="G39" s="3"/>
      <c r="H39" s="3"/>
    </row>
    <row r="40" spans="1:8" ht="21" hidden="1" customHeight="1" x14ac:dyDescent="0.35">
      <c r="A40" s="3" t="s">
        <v>375</v>
      </c>
      <c r="B40" s="1" t="s">
        <v>555</v>
      </c>
      <c r="C40" s="89">
        <v>136.70599999999999</v>
      </c>
      <c r="D40" s="89">
        <v>133.72900000000001</v>
      </c>
      <c r="E40" s="89">
        <v>133.083</v>
      </c>
      <c r="F40" s="87" t="b">
        <v>1</v>
      </c>
      <c r="G40" s="87"/>
      <c r="H40" s="3"/>
    </row>
    <row r="41" spans="1:8" ht="21" hidden="1" customHeight="1" x14ac:dyDescent="0.35">
      <c r="A41" s="3" t="s">
        <v>558</v>
      </c>
      <c r="B41" s="1"/>
      <c r="C41" s="89"/>
      <c r="D41" s="89"/>
      <c r="E41" s="89"/>
      <c r="F41" s="3"/>
      <c r="G41" s="3"/>
      <c r="H41" s="3"/>
    </row>
    <row r="42" spans="1:8" ht="21" hidden="1" customHeight="1" x14ac:dyDescent="0.35">
      <c r="A42" s="90" t="s">
        <v>559</v>
      </c>
      <c r="B42" s="91" t="s">
        <v>376</v>
      </c>
      <c r="C42" s="92">
        <v>12</v>
      </c>
      <c r="D42" s="92">
        <v>12</v>
      </c>
      <c r="E42" s="85">
        <v>0</v>
      </c>
      <c r="F42" s="93"/>
      <c r="G42" s="85"/>
      <c r="H42" s="85"/>
    </row>
    <row r="43" spans="1:8" ht="21" hidden="1" customHeight="1" x14ac:dyDescent="0.35">
      <c r="A43" s="90" t="s">
        <v>406</v>
      </c>
      <c r="B43" s="91" t="s">
        <v>376</v>
      </c>
      <c r="C43" s="92">
        <v>2</v>
      </c>
      <c r="D43" s="92">
        <v>2</v>
      </c>
      <c r="E43" s="85">
        <v>0</v>
      </c>
      <c r="F43" s="93"/>
      <c r="G43" s="85"/>
      <c r="H43" s="93"/>
    </row>
    <row r="44" spans="1:8" ht="21" hidden="1" customHeight="1" x14ac:dyDescent="0.35">
      <c r="A44" s="88" t="s">
        <v>405</v>
      </c>
      <c r="B44" s="1" t="s">
        <v>376</v>
      </c>
      <c r="C44" s="89">
        <v>1</v>
      </c>
      <c r="D44" s="89">
        <v>1</v>
      </c>
      <c r="E44" s="87">
        <v>0</v>
      </c>
      <c r="F44" s="3"/>
      <c r="G44" s="87" t="b">
        <v>1</v>
      </c>
      <c r="H44" s="3"/>
    </row>
    <row r="45" spans="1:8" ht="21" hidden="1" customHeight="1" x14ac:dyDescent="0.35">
      <c r="A45" s="90" t="s">
        <v>561</v>
      </c>
      <c r="B45" s="91" t="s">
        <v>376</v>
      </c>
      <c r="C45" s="92">
        <v>1</v>
      </c>
      <c r="D45" s="92">
        <v>1</v>
      </c>
      <c r="E45" s="85">
        <v>0</v>
      </c>
      <c r="F45" s="93"/>
      <c r="G45" s="85"/>
      <c r="H45" s="93"/>
    </row>
    <row r="46" spans="1:8" ht="21" hidden="1" customHeight="1" x14ac:dyDescent="0.35">
      <c r="A46" s="88" t="s">
        <v>562</v>
      </c>
      <c r="B46" s="1" t="s">
        <v>376</v>
      </c>
      <c r="C46" s="87">
        <v>0</v>
      </c>
      <c r="D46" s="87">
        <v>0</v>
      </c>
      <c r="E46" s="87">
        <v>0</v>
      </c>
      <c r="F46" s="3"/>
      <c r="G46" s="3"/>
      <c r="H46" s="3"/>
    </row>
    <row r="47" spans="1:8" ht="102" hidden="1" customHeight="1" x14ac:dyDescent="0.35">
      <c r="A47" s="90" t="s">
        <v>565</v>
      </c>
      <c r="B47" s="91" t="s">
        <v>376</v>
      </c>
      <c r="C47" s="98">
        <v>25</v>
      </c>
      <c r="D47" s="98">
        <v>25</v>
      </c>
      <c r="E47" s="99">
        <v>0</v>
      </c>
      <c r="F47" s="99"/>
      <c r="G47" s="99"/>
      <c r="H47" s="100"/>
    </row>
    <row r="48" spans="1:8" ht="21" hidden="1" customHeight="1" x14ac:dyDescent="0.35">
      <c r="A48" s="90" t="s">
        <v>564</v>
      </c>
      <c r="B48" s="91" t="s">
        <v>376</v>
      </c>
      <c r="C48" s="101">
        <v>1</v>
      </c>
      <c r="D48" s="101">
        <v>1</v>
      </c>
      <c r="E48" s="85">
        <v>0</v>
      </c>
      <c r="F48" s="93"/>
      <c r="G48" s="85"/>
      <c r="H48" s="93"/>
    </row>
    <row r="49" spans="1:8" ht="21" hidden="1" customHeight="1" x14ac:dyDescent="0.35">
      <c r="A49" s="93" t="s">
        <v>554</v>
      </c>
      <c r="B49" s="91" t="s">
        <v>555</v>
      </c>
      <c r="C49" s="94">
        <v>222.81100000000001</v>
      </c>
      <c r="D49" s="94">
        <v>222.81100000000001</v>
      </c>
      <c r="E49" s="94">
        <v>222.81100000000001</v>
      </c>
      <c r="F49" s="93"/>
      <c r="G49" s="93"/>
      <c r="H49" s="93"/>
    </row>
    <row r="50" spans="1:8" ht="21" hidden="1" customHeight="1" x14ac:dyDescent="0.35">
      <c r="A50" s="93" t="s">
        <v>372</v>
      </c>
      <c r="B50" s="91" t="s">
        <v>555</v>
      </c>
      <c r="C50" s="94">
        <v>222.81100000000001</v>
      </c>
      <c r="D50" s="94">
        <v>205.93600000000001</v>
      </c>
      <c r="E50" s="94">
        <v>199.13399999999999</v>
      </c>
      <c r="F50" s="85" t="b">
        <v>1</v>
      </c>
      <c r="G50" s="93"/>
      <c r="H50" s="93"/>
    </row>
    <row r="51" spans="1:8" ht="21" hidden="1" customHeight="1" x14ac:dyDescent="0.35">
      <c r="A51" s="93" t="s">
        <v>556</v>
      </c>
      <c r="B51" s="91" t="s">
        <v>555</v>
      </c>
      <c r="C51" s="85">
        <v>0</v>
      </c>
      <c r="D51" s="85">
        <v>0</v>
      </c>
      <c r="E51" s="85">
        <v>0</v>
      </c>
      <c r="F51" s="93"/>
      <c r="G51" s="93"/>
      <c r="H51" s="93"/>
    </row>
    <row r="52" spans="1:8" ht="21" hidden="1" customHeight="1" x14ac:dyDescent="0.35">
      <c r="A52" s="93" t="s">
        <v>375</v>
      </c>
      <c r="B52" s="91" t="s">
        <v>555</v>
      </c>
      <c r="C52" s="94">
        <v>222.81100000000001</v>
      </c>
      <c r="D52" s="94">
        <v>199.13399999999999</v>
      </c>
      <c r="E52" s="94">
        <v>199.13399999999999</v>
      </c>
      <c r="F52" s="85" t="b">
        <v>1</v>
      </c>
      <c r="G52" s="93"/>
      <c r="H52" s="93"/>
    </row>
    <row r="53" spans="1:8" ht="21" hidden="1" customHeight="1" x14ac:dyDescent="0.35">
      <c r="A53" s="93" t="s">
        <v>558</v>
      </c>
      <c r="B53" s="91"/>
      <c r="C53" s="92"/>
      <c r="D53" s="92"/>
      <c r="E53" s="92"/>
      <c r="F53" s="93"/>
      <c r="G53" s="93"/>
      <c r="H53" s="93"/>
    </row>
    <row r="54" spans="1:8" ht="409.6" hidden="1" customHeight="1" x14ac:dyDescent="0.35">
      <c r="A54" s="95" t="s">
        <v>559</v>
      </c>
      <c r="B54" s="30" t="s">
        <v>376</v>
      </c>
      <c r="C54" s="96">
        <v>19</v>
      </c>
      <c r="D54" s="96">
        <v>17</v>
      </c>
      <c r="E54" s="96">
        <v>8</v>
      </c>
      <c r="F54" s="96" t="b">
        <v>1</v>
      </c>
      <c r="G54" s="97"/>
      <c r="H54" s="97"/>
    </row>
    <row r="55" spans="1:8" ht="21" hidden="1" customHeight="1" x14ac:dyDescent="0.35">
      <c r="A55" s="90" t="s">
        <v>406</v>
      </c>
      <c r="B55" s="91" t="s">
        <v>376</v>
      </c>
      <c r="C55" s="92">
        <v>8</v>
      </c>
      <c r="D55" s="92">
        <v>8</v>
      </c>
      <c r="E55" s="85">
        <v>0</v>
      </c>
      <c r="F55" s="85" t="b">
        <v>1</v>
      </c>
      <c r="G55" s="93"/>
      <c r="H55" s="93"/>
    </row>
    <row r="56" spans="1:8" ht="21" hidden="1" customHeight="1" x14ac:dyDescent="0.35">
      <c r="A56" s="90" t="s">
        <v>405</v>
      </c>
      <c r="B56" s="91" t="s">
        <v>376</v>
      </c>
      <c r="C56" s="85">
        <v>3</v>
      </c>
      <c r="D56" s="85">
        <v>3</v>
      </c>
      <c r="E56" s="85">
        <v>0</v>
      </c>
      <c r="F56" s="93"/>
      <c r="G56" s="93"/>
      <c r="H56" s="93"/>
    </row>
    <row r="57" spans="1:8" ht="21" hidden="1" customHeight="1" x14ac:dyDescent="0.35">
      <c r="A57" s="90" t="s">
        <v>561</v>
      </c>
      <c r="B57" s="91" t="s">
        <v>376</v>
      </c>
      <c r="C57" s="92">
        <v>2</v>
      </c>
      <c r="D57" s="85">
        <v>0</v>
      </c>
      <c r="E57" s="85">
        <v>0</v>
      </c>
      <c r="F57" s="93"/>
      <c r="G57" s="93"/>
      <c r="H57" s="93"/>
    </row>
    <row r="58" spans="1:8" ht="21" hidden="1" customHeight="1" x14ac:dyDescent="0.35">
      <c r="A58" s="90" t="s">
        <v>562</v>
      </c>
      <c r="B58" s="91" t="s">
        <v>376</v>
      </c>
      <c r="C58" s="85">
        <v>0</v>
      </c>
      <c r="D58" s="85">
        <v>0</v>
      </c>
      <c r="E58" s="85">
        <v>0</v>
      </c>
      <c r="F58" s="93"/>
      <c r="G58" s="93"/>
      <c r="H58" s="93"/>
    </row>
    <row r="59" spans="1:8" ht="21" hidden="1" customHeight="1" x14ac:dyDescent="0.35">
      <c r="A59" s="90" t="s">
        <v>565</v>
      </c>
      <c r="B59" s="91" t="s">
        <v>376</v>
      </c>
      <c r="C59" s="92">
        <v>1</v>
      </c>
      <c r="D59" s="92">
        <v>1</v>
      </c>
      <c r="E59" s="85">
        <v>0</v>
      </c>
      <c r="F59" s="93"/>
      <c r="G59" s="93"/>
      <c r="H59" s="93"/>
    </row>
    <row r="60" spans="1:8" ht="21" hidden="1" customHeight="1" x14ac:dyDescent="0.35">
      <c r="A60" s="90" t="s">
        <v>566</v>
      </c>
      <c r="B60" s="91" t="s">
        <v>376</v>
      </c>
      <c r="C60" s="92">
        <v>7</v>
      </c>
      <c r="D60" s="92">
        <v>7</v>
      </c>
      <c r="E60" s="85">
        <v>0</v>
      </c>
      <c r="F60" s="85" t="b">
        <v>1</v>
      </c>
      <c r="G60" s="93"/>
      <c r="H60" s="93"/>
    </row>
    <row r="61" spans="1:8" ht="21" hidden="1" customHeight="1" x14ac:dyDescent="0.35">
      <c r="A61" s="3" t="s">
        <v>554</v>
      </c>
      <c r="B61" s="1" t="s">
        <v>555</v>
      </c>
      <c r="C61" s="102">
        <v>123.182</v>
      </c>
      <c r="D61" s="102">
        <v>123.182</v>
      </c>
      <c r="E61" s="102">
        <v>110.754</v>
      </c>
      <c r="F61" s="87" t="b">
        <v>1</v>
      </c>
      <c r="G61" s="3"/>
      <c r="H61" s="3"/>
    </row>
    <row r="62" spans="1:8" ht="21" hidden="1" customHeight="1" x14ac:dyDescent="0.35">
      <c r="A62" s="3" t="s">
        <v>372</v>
      </c>
      <c r="B62" s="1" t="s">
        <v>555</v>
      </c>
      <c r="C62" s="102">
        <v>123.182</v>
      </c>
      <c r="D62" s="102">
        <v>105.651</v>
      </c>
      <c r="E62" s="102">
        <v>105.651</v>
      </c>
      <c r="F62" s="87" t="b">
        <v>1</v>
      </c>
      <c r="G62" s="3"/>
      <c r="H62" s="3"/>
    </row>
    <row r="63" spans="1:8" ht="21" hidden="1" customHeight="1" x14ac:dyDescent="0.35">
      <c r="A63" s="3" t="s">
        <v>556</v>
      </c>
      <c r="B63" s="1" t="s">
        <v>555</v>
      </c>
      <c r="C63" s="87">
        <v>0</v>
      </c>
      <c r="D63" s="87">
        <v>0</v>
      </c>
      <c r="E63" s="87">
        <v>0</v>
      </c>
      <c r="F63" s="3"/>
      <c r="G63" s="3"/>
      <c r="H63" s="3"/>
    </row>
    <row r="64" spans="1:8" ht="21" hidden="1" customHeight="1" x14ac:dyDescent="0.35">
      <c r="A64" s="3" t="s">
        <v>375</v>
      </c>
      <c r="B64" s="1" t="s">
        <v>555</v>
      </c>
      <c r="C64" s="103">
        <v>123.182</v>
      </c>
      <c r="D64" s="104">
        <v>60.862000000000002</v>
      </c>
      <c r="E64" s="104">
        <v>60.862000000000002</v>
      </c>
      <c r="F64" s="87" t="b">
        <v>1</v>
      </c>
      <c r="G64" s="3"/>
      <c r="H64" s="3"/>
    </row>
    <row r="65" spans="1:8" ht="21" hidden="1" customHeight="1" x14ac:dyDescent="0.35">
      <c r="A65" s="3" t="s">
        <v>558</v>
      </c>
      <c r="B65" s="1"/>
      <c r="C65" s="89"/>
      <c r="D65" s="89"/>
      <c r="E65" s="89"/>
      <c r="F65" s="3"/>
      <c r="G65" s="3"/>
      <c r="H65" s="3"/>
    </row>
    <row r="66" spans="1:8" ht="21" hidden="1" customHeight="1" x14ac:dyDescent="0.35">
      <c r="A66" s="88" t="s">
        <v>559</v>
      </c>
      <c r="B66" s="1" t="s">
        <v>376</v>
      </c>
      <c r="C66" s="89">
        <v>6</v>
      </c>
      <c r="D66" s="89">
        <v>6</v>
      </c>
      <c r="E66" s="87">
        <v>6</v>
      </c>
      <c r="F66" s="87"/>
      <c r="G66" s="3"/>
      <c r="H66" s="3"/>
    </row>
    <row r="67" spans="1:8" ht="245" hidden="1" customHeight="1" x14ac:dyDescent="0.35">
      <c r="A67" s="90" t="s">
        <v>406</v>
      </c>
      <c r="B67" s="91" t="s">
        <v>376</v>
      </c>
      <c r="C67" s="92">
        <v>2</v>
      </c>
      <c r="D67" s="92">
        <v>1</v>
      </c>
      <c r="E67" s="85">
        <v>0</v>
      </c>
      <c r="F67" s="85" t="b">
        <v>1</v>
      </c>
      <c r="G67" s="93"/>
      <c r="H67" s="93"/>
    </row>
    <row r="68" spans="1:8" ht="21" hidden="1" customHeight="1" x14ac:dyDescent="0.35">
      <c r="A68" s="88" t="s">
        <v>405</v>
      </c>
      <c r="B68" s="1" t="s">
        <v>376</v>
      </c>
      <c r="C68" s="89">
        <v>1</v>
      </c>
      <c r="D68" s="89">
        <v>1</v>
      </c>
      <c r="E68" s="87">
        <v>0</v>
      </c>
      <c r="F68" s="87" t="b">
        <v>1</v>
      </c>
      <c r="G68" s="3"/>
      <c r="H68" s="3"/>
    </row>
    <row r="69" spans="1:8" ht="21" hidden="1" customHeight="1" x14ac:dyDescent="0.35">
      <c r="A69" s="88" t="s">
        <v>561</v>
      </c>
      <c r="B69" s="1" t="s">
        <v>376</v>
      </c>
      <c r="C69" s="87">
        <v>0</v>
      </c>
      <c r="D69" s="87">
        <v>0</v>
      </c>
      <c r="E69" s="87">
        <v>0</v>
      </c>
      <c r="F69" s="3"/>
      <c r="G69" s="3"/>
      <c r="H69" s="3"/>
    </row>
    <row r="70" spans="1:8" ht="21" hidden="1" customHeight="1" x14ac:dyDescent="0.35">
      <c r="A70" s="88" t="s">
        <v>562</v>
      </c>
      <c r="B70" s="1" t="s">
        <v>376</v>
      </c>
      <c r="C70" s="87">
        <v>0</v>
      </c>
      <c r="D70" s="87">
        <v>0</v>
      </c>
      <c r="E70" s="87">
        <v>0</v>
      </c>
      <c r="F70" s="3"/>
      <c r="G70" s="3"/>
      <c r="H70" s="3"/>
    </row>
    <row r="71" spans="1:8" ht="21" hidden="1" customHeight="1" x14ac:dyDescent="0.35">
      <c r="A71" s="88" t="s">
        <v>565</v>
      </c>
      <c r="B71" s="1" t="s">
        <v>376</v>
      </c>
      <c r="C71" s="89">
        <v>1</v>
      </c>
      <c r="D71" s="89">
        <v>0</v>
      </c>
      <c r="E71" s="87">
        <v>0</v>
      </c>
      <c r="F71" s="87"/>
      <c r="G71" s="3"/>
      <c r="H71" s="3"/>
    </row>
    <row r="72" spans="1:8" ht="21" hidden="1" customHeight="1" x14ac:dyDescent="0.35">
      <c r="A72" s="88" t="s">
        <v>567</v>
      </c>
      <c r="B72" s="1" t="s">
        <v>376</v>
      </c>
      <c r="C72" s="89">
        <v>1</v>
      </c>
      <c r="D72" s="89">
        <v>0</v>
      </c>
      <c r="E72" s="87">
        <v>0</v>
      </c>
      <c r="F72" s="87"/>
      <c r="G72" s="3"/>
      <c r="H72" s="3"/>
    </row>
    <row r="73" spans="1:8" ht="21" hidden="1" customHeight="1" x14ac:dyDescent="0.35">
      <c r="A73" s="88" t="s">
        <v>568</v>
      </c>
      <c r="B73" s="1" t="s">
        <v>376</v>
      </c>
      <c r="C73" s="89">
        <v>1</v>
      </c>
      <c r="D73" s="89">
        <v>0</v>
      </c>
      <c r="E73" s="87">
        <v>0</v>
      </c>
      <c r="F73" s="87"/>
      <c r="G73" s="3"/>
      <c r="H73" s="3"/>
    </row>
    <row r="74" spans="1:8" ht="21" hidden="1" customHeight="1" x14ac:dyDescent="0.35">
      <c r="A74" s="88" t="s">
        <v>569</v>
      </c>
      <c r="B74" s="1" t="s">
        <v>376</v>
      </c>
      <c r="C74" s="89">
        <v>0</v>
      </c>
      <c r="D74" s="89">
        <v>0</v>
      </c>
      <c r="E74" s="87">
        <v>0</v>
      </c>
      <c r="F74" s="87"/>
      <c r="G74" s="3"/>
      <c r="H74" s="3"/>
    </row>
    <row r="75" spans="1:8" ht="21" hidden="1" customHeight="1" x14ac:dyDescent="0.35">
      <c r="A75" s="3" t="s">
        <v>554</v>
      </c>
      <c r="B75" s="1" t="s">
        <v>555</v>
      </c>
      <c r="C75" s="89">
        <v>122.071</v>
      </c>
      <c r="D75" s="89">
        <v>122.071</v>
      </c>
      <c r="E75" s="89">
        <v>122.071</v>
      </c>
      <c r="F75" s="3"/>
      <c r="G75" s="3"/>
      <c r="H75" s="3"/>
    </row>
    <row r="76" spans="1:8" ht="21" hidden="1" customHeight="1" x14ac:dyDescent="0.35">
      <c r="A76" s="3" t="s">
        <v>372</v>
      </c>
      <c r="B76" s="1" t="s">
        <v>555</v>
      </c>
      <c r="C76" s="89">
        <v>122.071</v>
      </c>
      <c r="D76" s="89">
        <v>122.071</v>
      </c>
      <c r="E76" s="89">
        <v>122</v>
      </c>
      <c r="F76" s="3"/>
      <c r="G76" s="3"/>
      <c r="H76" s="3"/>
    </row>
    <row r="77" spans="1:8" ht="21" hidden="1" customHeight="1" x14ac:dyDescent="0.35">
      <c r="A77" s="3" t="s">
        <v>556</v>
      </c>
      <c r="B77" s="1" t="s">
        <v>555</v>
      </c>
      <c r="C77" s="89"/>
      <c r="D77" s="89">
        <v>0</v>
      </c>
      <c r="E77" s="89">
        <v>0</v>
      </c>
      <c r="F77" s="3"/>
      <c r="G77" s="3"/>
      <c r="H77" s="3"/>
    </row>
    <row r="78" spans="1:8" ht="21" hidden="1" customHeight="1" x14ac:dyDescent="0.35">
      <c r="A78" s="3" t="s">
        <v>375</v>
      </c>
      <c r="B78" s="1" t="s">
        <v>555</v>
      </c>
      <c r="C78" s="89">
        <v>122.071</v>
      </c>
      <c r="D78" s="89">
        <v>122.071</v>
      </c>
      <c r="E78" s="89">
        <v>122</v>
      </c>
      <c r="F78" s="3"/>
      <c r="G78" s="3"/>
      <c r="H78" s="3"/>
    </row>
    <row r="79" spans="1:8" ht="21" hidden="1" customHeight="1" x14ac:dyDescent="0.35">
      <c r="A79" s="3" t="s">
        <v>558</v>
      </c>
      <c r="B79" s="1"/>
      <c r="C79" s="89"/>
      <c r="D79" s="89"/>
      <c r="E79" s="89"/>
      <c r="F79" s="3"/>
      <c r="G79" s="3"/>
      <c r="H79" s="3"/>
    </row>
    <row r="80" spans="1:8" ht="163.25" hidden="1" customHeight="1" x14ac:dyDescent="0.35">
      <c r="A80" s="88" t="s">
        <v>559</v>
      </c>
      <c r="B80" s="1" t="s">
        <v>376</v>
      </c>
      <c r="C80" s="89">
        <v>27</v>
      </c>
      <c r="D80" s="89">
        <v>27</v>
      </c>
      <c r="E80" s="89">
        <v>17</v>
      </c>
      <c r="F80" s="3"/>
      <c r="G80" s="87" t="b">
        <v>1</v>
      </c>
      <c r="H80" s="3"/>
    </row>
    <row r="81" spans="1:8" ht="387.65" hidden="1" customHeight="1" x14ac:dyDescent="0.35">
      <c r="A81" s="88" t="s">
        <v>406</v>
      </c>
      <c r="B81" s="1" t="s">
        <v>376</v>
      </c>
      <c r="C81" s="89">
        <v>7</v>
      </c>
      <c r="D81" s="89">
        <v>7</v>
      </c>
      <c r="E81" s="87">
        <v>0</v>
      </c>
      <c r="F81" s="3"/>
      <c r="G81" s="87" t="b">
        <v>1</v>
      </c>
      <c r="H81" s="3"/>
    </row>
    <row r="82" spans="1:8" ht="408" hidden="1" customHeight="1" x14ac:dyDescent="0.35">
      <c r="A82" s="88" t="s">
        <v>405</v>
      </c>
      <c r="B82" s="1" t="s">
        <v>376</v>
      </c>
      <c r="C82" s="89">
        <v>5</v>
      </c>
      <c r="D82" s="89">
        <v>5</v>
      </c>
      <c r="E82" s="87">
        <v>0</v>
      </c>
      <c r="F82" s="3"/>
      <c r="G82" s="87" t="b">
        <v>1</v>
      </c>
      <c r="H82" s="3"/>
    </row>
    <row r="83" spans="1:8" ht="21" hidden="1" customHeight="1" x14ac:dyDescent="0.35">
      <c r="A83" s="88" t="s">
        <v>561</v>
      </c>
      <c r="B83" s="1" t="s">
        <v>376</v>
      </c>
      <c r="C83" s="89">
        <v>1</v>
      </c>
      <c r="D83" s="89">
        <v>1</v>
      </c>
      <c r="E83" s="87">
        <v>0</v>
      </c>
      <c r="F83" s="3"/>
      <c r="G83" s="3"/>
      <c r="H83" s="3"/>
    </row>
    <row r="84" spans="1:8" ht="21" hidden="1" customHeight="1" x14ac:dyDescent="0.35">
      <c r="A84" s="88" t="s">
        <v>562</v>
      </c>
      <c r="B84" s="1" t="s">
        <v>376</v>
      </c>
      <c r="C84" s="87">
        <v>0</v>
      </c>
      <c r="D84" s="87">
        <v>0</v>
      </c>
      <c r="E84" s="87">
        <v>0</v>
      </c>
      <c r="F84" s="3"/>
      <c r="G84" s="3"/>
      <c r="H84" s="3"/>
    </row>
    <row r="85" spans="1:8" ht="21" hidden="1" customHeight="1" x14ac:dyDescent="0.35">
      <c r="A85" s="88" t="s">
        <v>565</v>
      </c>
      <c r="B85" s="1" t="s">
        <v>376</v>
      </c>
      <c r="C85" s="87">
        <v>0</v>
      </c>
      <c r="D85" s="87">
        <v>0</v>
      </c>
      <c r="E85" s="87">
        <v>0</v>
      </c>
      <c r="F85" s="3"/>
      <c r="G85" s="3"/>
      <c r="H85" s="3"/>
    </row>
    <row r="86" spans="1:8" ht="81.650000000000006" hidden="1" customHeight="1" x14ac:dyDescent="0.35">
      <c r="A86" s="88" t="s">
        <v>569</v>
      </c>
      <c r="B86" s="1" t="s">
        <v>376</v>
      </c>
      <c r="C86" s="105">
        <v>10</v>
      </c>
      <c r="D86" s="105">
        <v>10</v>
      </c>
      <c r="E86" s="87">
        <v>0</v>
      </c>
      <c r="F86" s="3"/>
      <c r="G86" s="3"/>
      <c r="H86" s="3"/>
    </row>
    <row r="87" spans="1:8" ht="21" hidden="1" customHeight="1" x14ac:dyDescent="0.35">
      <c r="A87" s="3" t="s">
        <v>554</v>
      </c>
      <c r="B87" s="1" t="s">
        <v>555</v>
      </c>
      <c r="C87" s="89">
        <v>115.134</v>
      </c>
      <c r="D87" s="89">
        <v>115.134</v>
      </c>
      <c r="E87" s="89">
        <v>115.134</v>
      </c>
      <c r="F87" s="3"/>
      <c r="G87" s="3"/>
      <c r="H87" s="3"/>
    </row>
    <row r="88" spans="1:8" ht="21" hidden="1" customHeight="1" x14ac:dyDescent="0.35">
      <c r="A88" s="3" t="s">
        <v>372</v>
      </c>
      <c r="B88" s="1" t="s">
        <v>555</v>
      </c>
      <c r="C88" s="89">
        <v>115.134</v>
      </c>
      <c r="D88" s="89">
        <v>115.134</v>
      </c>
      <c r="E88" s="89">
        <v>115.134</v>
      </c>
      <c r="F88" s="3"/>
      <c r="G88" s="3"/>
      <c r="H88" s="3"/>
    </row>
    <row r="89" spans="1:8" ht="21" hidden="1" customHeight="1" x14ac:dyDescent="0.35">
      <c r="A89" s="3" t="s">
        <v>556</v>
      </c>
      <c r="B89" s="1" t="s">
        <v>555</v>
      </c>
      <c r="C89" s="87">
        <v>0</v>
      </c>
      <c r="D89" s="87">
        <v>0</v>
      </c>
      <c r="E89" s="87">
        <v>0</v>
      </c>
      <c r="F89" s="3"/>
      <c r="G89" s="3"/>
      <c r="H89" s="3"/>
    </row>
    <row r="90" spans="1:8" ht="21" hidden="1" customHeight="1" x14ac:dyDescent="0.35">
      <c r="A90" s="3" t="s">
        <v>375</v>
      </c>
      <c r="B90" s="1" t="s">
        <v>555</v>
      </c>
      <c r="C90" s="89">
        <v>115.134</v>
      </c>
      <c r="D90" s="89">
        <v>115.134</v>
      </c>
      <c r="E90" s="89">
        <v>115.134</v>
      </c>
      <c r="F90" s="3"/>
      <c r="G90" s="3"/>
      <c r="H90" s="3"/>
    </row>
    <row r="91" spans="1:8" ht="21" hidden="1" customHeight="1" x14ac:dyDescent="0.35">
      <c r="A91" s="3" t="s">
        <v>558</v>
      </c>
      <c r="B91" s="1"/>
      <c r="C91" s="3"/>
      <c r="D91" s="3"/>
      <c r="E91" s="3"/>
      <c r="F91" s="3"/>
      <c r="G91" s="3"/>
      <c r="H91" s="3"/>
    </row>
    <row r="92" spans="1:8" ht="21" hidden="1" customHeight="1" x14ac:dyDescent="0.35">
      <c r="A92" s="88" t="s">
        <v>559</v>
      </c>
      <c r="B92" s="1" t="s">
        <v>376</v>
      </c>
      <c r="C92" s="2">
        <v>21</v>
      </c>
      <c r="D92" s="2">
        <v>21</v>
      </c>
      <c r="E92" s="2">
        <v>21</v>
      </c>
      <c r="F92" s="3"/>
      <c r="G92" s="3"/>
      <c r="H92" s="3"/>
    </row>
    <row r="93" spans="1:8" ht="21" hidden="1" customHeight="1" x14ac:dyDescent="0.35">
      <c r="A93" s="88" t="s">
        <v>406</v>
      </c>
      <c r="B93" s="1" t="s">
        <v>376</v>
      </c>
      <c r="C93" s="2">
        <v>3</v>
      </c>
      <c r="D93" s="2">
        <v>3</v>
      </c>
      <c r="E93" s="2">
        <v>3</v>
      </c>
      <c r="F93" s="3"/>
      <c r="G93" s="3"/>
      <c r="H93" s="3"/>
    </row>
    <row r="94" spans="1:8" ht="21" hidden="1" customHeight="1" x14ac:dyDescent="0.35">
      <c r="A94" s="88" t="s">
        <v>405</v>
      </c>
      <c r="B94" s="1" t="s">
        <v>376</v>
      </c>
      <c r="C94" s="2">
        <v>3</v>
      </c>
      <c r="D94" s="2">
        <v>3</v>
      </c>
      <c r="E94" s="87">
        <v>3</v>
      </c>
      <c r="F94" s="3"/>
      <c r="G94" s="3"/>
      <c r="H94" s="3"/>
    </row>
    <row r="95" spans="1:8" ht="21" hidden="1" customHeight="1" x14ac:dyDescent="0.35">
      <c r="A95" s="88" t="s">
        <v>561</v>
      </c>
      <c r="B95" s="1" t="s">
        <v>376</v>
      </c>
      <c r="C95" s="87">
        <v>1</v>
      </c>
      <c r="D95" s="87">
        <v>1</v>
      </c>
      <c r="E95" s="87">
        <v>0</v>
      </c>
      <c r="F95" s="87" t="b">
        <v>1</v>
      </c>
      <c r="G95" s="3"/>
      <c r="H95" s="3"/>
    </row>
    <row r="96" spans="1:8" ht="21" hidden="1" customHeight="1" x14ac:dyDescent="0.35">
      <c r="A96" s="88" t="s">
        <v>562</v>
      </c>
      <c r="B96" s="1" t="s">
        <v>376</v>
      </c>
      <c r="C96" s="87">
        <v>1</v>
      </c>
      <c r="D96" s="87">
        <v>1</v>
      </c>
      <c r="E96" s="87">
        <v>1</v>
      </c>
      <c r="F96" s="3"/>
      <c r="G96" s="3"/>
      <c r="H96" s="3"/>
    </row>
    <row r="97" spans="1:8" ht="21" hidden="1" customHeight="1" x14ac:dyDescent="0.35">
      <c r="A97" s="88" t="s">
        <v>565</v>
      </c>
      <c r="B97" s="1" t="s">
        <v>376</v>
      </c>
      <c r="C97" s="87">
        <v>1</v>
      </c>
      <c r="D97" s="87">
        <v>1</v>
      </c>
      <c r="E97" s="87">
        <v>0</v>
      </c>
      <c r="F97" s="87" t="b">
        <v>1</v>
      </c>
      <c r="G97" s="3"/>
      <c r="H97" s="3"/>
    </row>
    <row r="98" spans="1:8" ht="21" hidden="1" customHeight="1" x14ac:dyDescent="0.35">
      <c r="A98" s="88" t="s">
        <v>569</v>
      </c>
      <c r="B98" s="1" t="s">
        <v>376</v>
      </c>
      <c r="C98" s="87">
        <v>4</v>
      </c>
      <c r="D98" s="87">
        <v>4</v>
      </c>
      <c r="E98" s="87">
        <v>4</v>
      </c>
      <c r="F98" s="3"/>
      <c r="G98" s="3"/>
      <c r="H98" s="3"/>
    </row>
    <row r="99" spans="1:8" ht="21" hidden="1" customHeight="1" x14ac:dyDescent="0.35">
      <c r="A99" s="3" t="s">
        <v>554</v>
      </c>
      <c r="B99" s="1" t="s">
        <v>555</v>
      </c>
      <c r="C99" s="89">
        <v>127.83</v>
      </c>
      <c r="D99" s="89">
        <v>127.83</v>
      </c>
      <c r="E99" s="89">
        <v>127.83</v>
      </c>
      <c r="F99" s="106"/>
      <c r="G99" s="106"/>
      <c r="H99" s="106"/>
    </row>
    <row r="100" spans="1:8" ht="27" hidden="1" customHeight="1" x14ac:dyDescent="0.35">
      <c r="A100" s="3" t="s">
        <v>372</v>
      </c>
      <c r="B100" s="1" t="s">
        <v>555</v>
      </c>
      <c r="C100" s="89">
        <v>127.83</v>
      </c>
      <c r="D100" s="89">
        <v>123.958</v>
      </c>
      <c r="E100" s="89">
        <v>123.958</v>
      </c>
      <c r="F100" s="87" t="b">
        <v>1</v>
      </c>
      <c r="G100" s="106"/>
      <c r="H100" s="106"/>
    </row>
    <row r="101" spans="1:8" ht="21" hidden="1" customHeight="1" x14ac:dyDescent="0.35">
      <c r="A101" s="3" t="s">
        <v>556</v>
      </c>
      <c r="B101" s="1" t="s">
        <v>555</v>
      </c>
      <c r="C101" s="89">
        <v>3.8959999999999999</v>
      </c>
      <c r="D101" s="89">
        <v>3.8959999999999999</v>
      </c>
      <c r="E101" s="87">
        <v>0</v>
      </c>
      <c r="F101" s="87" t="b">
        <v>1</v>
      </c>
      <c r="G101" s="106"/>
      <c r="H101" s="106"/>
    </row>
    <row r="102" spans="1:8" ht="21" hidden="1" customHeight="1" x14ac:dyDescent="0.35">
      <c r="A102" s="3" t="s">
        <v>375</v>
      </c>
      <c r="B102" s="1" t="s">
        <v>555</v>
      </c>
      <c r="C102" s="89">
        <v>127.83</v>
      </c>
      <c r="D102" s="89">
        <v>123.958</v>
      </c>
      <c r="E102" s="89">
        <v>123.958</v>
      </c>
      <c r="F102" s="106"/>
      <c r="G102" s="106"/>
      <c r="H102" s="106"/>
    </row>
    <row r="103" spans="1:8" ht="21" hidden="1" customHeight="1" x14ac:dyDescent="0.35">
      <c r="A103" s="3" t="s">
        <v>558</v>
      </c>
      <c r="B103" s="1"/>
      <c r="C103" s="89"/>
      <c r="D103" s="89"/>
      <c r="E103" s="89"/>
      <c r="F103" s="106"/>
      <c r="G103" s="106"/>
      <c r="H103" s="106"/>
    </row>
    <row r="104" spans="1:8" ht="36" hidden="1" customHeight="1" x14ac:dyDescent="0.35">
      <c r="A104" s="88" t="s">
        <v>559</v>
      </c>
      <c r="B104" s="1" t="s">
        <v>376</v>
      </c>
      <c r="C104" s="89">
        <v>48</v>
      </c>
      <c r="D104" s="89">
        <v>48</v>
      </c>
      <c r="E104" s="89">
        <v>19</v>
      </c>
      <c r="F104" s="87" t="b">
        <v>1</v>
      </c>
      <c r="G104" s="106"/>
      <c r="H104" s="106"/>
    </row>
    <row r="105" spans="1:8" ht="21" hidden="1" customHeight="1" x14ac:dyDescent="0.35">
      <c r="A105" s="88" t="s">
        <v>406</v>
      </c>
      <c r="B105" s="1" t="s">
        <v>376</v>
      </c>
      <c r="C105" s="89">
        <v>8</v>
      </c>
      <c r="D105" s="89">
        <v>8</v>
      </c>
      <c r="E105" s="87">
        <v>0</v>
      </c>
      <c r="F105" s="87" t="b">
        <v>1</v>
      </c>
      <c r="G105" s="106"/>
      <c r="H105" s="106"/>
    </row>
    <row r="106" spans="1:8" ht="21" hidden="1" customHeight="1" x14ac:dyDescent="0.35">
      <c r="A106" s="88" t="s">
        <v>405</v>
      </c>
      <c r="B106" s="1" t="s">
        <v>376</v>
      </c>
      <c r="C106" s="89">
        <v>6</v>
      </c>
      <c r="D106" s="89">
        <v>6</v>
      </c>
      <c r="E106" s="89">
        <v>1</v>
      </c>
      <c r="F106" s="87" t="b">
        <v>1</v>
      </c>
      <c r="G106" s="106"/>
      <c r="H106" s="106"/>
    </row>
    <row r="107" spans="1:8" ht="21" hidden="1" customHeight="1" x14ac:dyDescent="0.35">
      <c r="A107" s="88" t="s">
        <v>561</v>
      </c>
      <c r="B107" s="1" t="s">
        <v>376</v>
      </c>
      <c r="C107" s="89">
        <v>1</v>
      </c>
      <c r="D107" s="87">
        <v>0</v>
      </c>
      <c r="E107" s="87">
        <v>0</v>
      </c>
      <c r="F107" s="87" t="b">
        <v>1</v>
      </c>
      <c r="G107" s="106"/>
      <c r="H107" s="106"/>
    </row>
    <row r="108" spans="1:8" ht="21" hidden="1" customHeight="1" x14ac:dyDescent="0.35">
      <c r="A108" s="88" t="s">
        <v>562</v>
      </c>
      <c r="B108" s="1" t="s">
        <v>376</v>
      </c>
      <c r="C108" s="89">
        <v>2</v>
      </c>
      <c r="D108" s="89">
        <v>2</v>
      </c>
      <c r="E108" s="89">
        <v>1</v>
      </c>
      <c r="F108" s="87" t="b">
        <v>1</v>
      </c>
      <c r="G108" s="106"/>
      <c r="H108" s="106"/>
    </row>
    <row r="109" spans="1:8" ht="81.650000000000006" hidden="1" customHeight="1" x14ac:dyDescent="0.35">
      <c r="A109" s="88" t="s">
        <v>565</v>
      </c>
      <c r="B109" s="1" t="s">
        <v>376</v>
      </c>
      <c r="C109" s="89">
        <v>3</v>
      </c>
      <c r="D109" s="89">
        <v>3</v>
      </c>
      <c r="E109" s="87">
        <v>0</v>
      </c>
      <c r="F109" s="87" t="b">
        <v>1</v>
      </c>
      <c r="G109" s="106"/>
      <c r="H109" s="106"/>
    </row>
    <row r="110" spans="1:8" ht="21" hidden="1" customHeight="1" x14ac:dyDescent="0.35">
      <c r="A110" s="88" t="s">
        <v>570</v>
      </c>
      <c r="B110" s="1" t="s">
        <v>376</v>
      </c>
      <c r="C110" s="89">
        <v>18</v>
      </c>
      <c r="D110" s="89">
        <v>15</v>
      </c>
      <c r="E110" s="87">
        <v>0</v>
      </c>
      <c r="F110" s="87" t="b">
        <v>1</v>
      </c>
      <c r="G110" s="106"/>
      <c r="H110" s="106"/>
    </row>
    <row r="111" spans="1:8" ht="21" hidden="1" customHeight="1" x14ac:dyDescent="0.35">
      <c r="A111" s="3" t="s">
        <v>554</v>
      </c>
      <c r="B111" s="1" t="s">
        <v>555</v>
      </c>
      <c r="C111" s="107">
        <v>177.04400000000001</v>
      </c>
      <c r="D111" s="107">
        <v>177.04400000000001</v>
      </c>
      <c r="E111" s="107">
        <v>177.04400000000001</v>
      </c>
      <c r="F111" s="106"/>
      <c r="G111" s="106"/>
      <c r="H111" s="106"/>
    </row>
    <row r="112" spans="1:8" ht="21" hidden="1" customHeight="1" x14ac:dyDescent="0.35">
      <c r="A112" s="3" t="s">
        <v>372</v>
      </c>
      <c r="B112" s="1" t="s">
        <v>555</v>
      </c>
      <c r="C112" s="107">
        <v>177.04400000000001</v>
      </c>
      <c r="D112" s="107">
        <v>177.04400000000001</v>
      </c>
      <c r="E112" s="107">
        <v>177.04400000000001</v>
      </c>
      <c r="F112" s="106"/>
      <c r="G112" s="106"/>
      <c r="H112" s="106"/>
    </row>
    <row r="113" spans="1:10" ht="21" hidden="1" customHeight="1" x14ac:dyDescent="0.35">
      <c r="A113" s="3" t="s">
        <v>556</v>
      </c>
      <c r="B113" s="1" t="s">
        <v>555</v>
      </c>
      <c r="C113" s="87">
        <v>0</v>
      </c>
      <c r="D113" s="87">
        <v>0</v>
      </c>
      <c r="E113" s="87">
        <v>0</v>
      </c>
      <c r="F113" s="106"/>
      <c r="G113" s="106"/>
      <c r="H113" s="106"/>
    </row>
    <row r="114" spans="1:10" ht="21" hidden="1" customHeight="1" x14ac:dyDescent="0.35">
      <c r="A114" s="3" t="s">
        <v>375</v>
      </c>
      <c r="B114" s="1" t="s">
        <v>555</v>
      </c>
      <c r="C114" s="107">
        <v>177.04400000000001</v>
      </c>
      <c r="D114" s="107">
        <v>177.04400000000001</v>
      </c>
      <c r="E114" s="107">
        <v>177.04400000000001</v>
      </c>
      <c r="F114" s="106"/>
      <c r="G114" s="106"/>
      <c r="H114" s="106"/>
    </row>
    <row r="115" spans="1:10" ht="21" hidden="1" customHeight="1" x14ac:dyDescent="0.35">
      <c r="A115" s="3" t="s">
        <v>558</v>
      </c>
      <c r="B115" s="1"/>
      <c r="C115" s="89"/>
      <c r="D115" s="89"/>
      <c r="E115" s="89"/>
      <c r="F115" s="106"/>
      <c r="G115" s="106"/>
      <c r="H115" s="106"/>
    </row>
    <row r="116" spans="1:10" ht="21" hidden="1" customHeight="1" x14ac:dyDescent="0.35">
      <c r="A116" s="88" t="s">
        <v>559</v>
      </c>
      <c r="B116" s="1" t="s">
        <v>376</v>
      </c>
      <c r="C116" s="87">
        <v>68</v>
      </c>
      <c r="D116" s="87">
        <v>68</v>
      </c>
      <c r="E116" s="87">
        <v>65</v>
      </c>
      <c r="F116" s="87" t="b">
        <v>1</v>
      </c>
      <c r="G116" s="106"/>
      <c r="H116" s="106"/>
    </row>
    <row r="117" spans="1:10" ht="21" hidden="1" customHeight="1" x14ac:dyDescent="0.35">
      <c r="A117" s="88" t="s">
        <v>406</v>
      </c>
      <c r="B117" s="1" t="s">
        <v>376</v>
      </c>
      <c r="C117" s="89">
        <v>9</v>
      </c>
      <c r="D117" s="89">
        <v>9</v>
      </c>
      <c r="E117" s="87">
        <v>6</v>
      </c>
      <c r="F117" s="87" t="b">
        <v>1</v>
      </c>
      <c r="G117" s="106"/>
      <c r="H117" s="106"/>
    </row>
    <row r="118" spans="1:10" ht="21" hidden="1" customHeight="1" x14ac:dyDescent="0.35">
      <c r="A118" s="88" t="s">
        <v>405</v>
      </c>
      <c r="B118" s="1" t="s">
        <v>376</v>
      </c>
      <c r="C118" s="87">
        <v>9</v>
      </c>
      <c r="D118" s="87">
        <v>9</v>
      </c>
      <c r="E118" s="87">
        <v>9</v>
      </c>
      <c r="F118" s="106"/>
      <c r="G118" s="106"/>
      <c r="H118" s="106"/>
    </row>
    <row r="119" spans="1:10" ht="21" hidden="1" customHeight="1" x14ac:dyDescent="0.35">
      <c r="A119" s="88" t="s">
        <v>561</v>
      </c>
      <c r="B119" s="1" t="s">
        <v>376</v>
      </c>
      <c r="C119" s="89">
        <v>1</v>
      </c>
      <c r="D119" s="89">
        <v>1</v>
      </c>
      <c r="E119" s="87">
        <v>1</v>
      </c>
      <c r="F119" s="106"/>
      <c r="G119" s="106"/>
      <c r="H119" s="106"/>
    </row>
    <row r="120" spans="1:10" ht="21" hidden="1" customHeight="1" x14ac:dyDescent="0.35">
      <c r="A120" s="88" t="s">
        <v>562</v>
      </c>
      <c r="B120" s="1" t="s">
        <v>376</v>
      </c>
      <c r="C120" s="87">
        <v>3</v>
      </c>
      <c r="D120" s="87">
        <v>3</v>
      </c>
      <c r="E120" s="87">
        <v>3</v>
      </c>
      <c r="F120" s="106"/>
      <c r="G120" s="106"/>
      <c r="H120" s="106"/>
    </row>
    <row r="121" spans="1:10" ht="21" hidden="1" customHeight="1" x14ac:dyDescent="0.35">
      <c r="A121" s="88" t="s">
        <v>565</v>
      </c>
      <c r="B121" s="1" t="s">
        <v>376</v>
      </c>
      <c r="C121" s="89">
        <v>1</v>
      </c>
      <c r="D121" s="89">
        <v>1</v>
      </c>
      <c r="E121" s="87">
        <v>1</v>
      </c>
      <c r="F121" s="106"/>
      <c r="G121" s="106"/>
      <c r="H121" s="106"/>
    </row>
    <row r="122" spans="1:10" ht="21" hidden="1" customHeight="1" x14ac:dyDescent="0.35">
      <c r="A122" s="108" t="s">
        <v>564</v>
      </c>
      <c r="B122" s="109" t="s">
        <v>376</v>
      </c>
      <c r="C122" s="110"/>
      <c r="D122" s="110"/>
      <c r="E122" s="110"/>
      <c r="F122" s="111"/>
      <c r="G122" s="111"/>
      <c r="H122" s="111"/>
    </row>
    <row r="123" spans="1:10" ht="21" customHeight="1" thickBot="1" x14ac:dyDescent="0.4">
      <c r="A123" s="935" t="s">
        <v>571</v>
      </c>
      <c r="B123" s="936"/>
      <c r="C123" s="936"/>
      <c r="D123" s="937" t="s">
        <v>572</v>
      </c>
      <c r="E123" s="937"/>
      <c r="F123" s="937"/>
      <c r="G123" s="937"/>
      <c r="H123" s="937"/>
      <c r="I123" s="937"/>
      <c r="J123" s="938"/>
    </row>
    <row r="124" spans="1:10" ht="14.5" customHeight="1" x14ac:dyDescent="0.35">
      <c r="A124" s="939" t="s">
        <v>573</v>
      </c>
      <c r="B124" s="939" t="s">
        <v>367</v>
      </c>
      <c r="C124" s="939" t="s">
        <v>368</v>
      </c>
      <c r="D124" s="939" t="s">
        <v>574</v>
      </c>
      <c r="E124" s="939" t="s">
        <v>575</v>
      </c>
      <c r="F124" s="112"/>
      <c r="G124" s="113"/>
      <c r="H124" s="4"/>
      <c r="I124" s="941" t="s">
        <v>371</v>
      </c>
      <c r="J124" s="942"/>
    </row>
    <row r="125" spans="1:10" ht="15.65" customHeight="1" thickBot="1" x14ac:dyDescent="0.4">
      <c r="A125" s="940"/>
      <c r="B125" s="940"/>
      <c r="C125" s="940"/>
      <c r="D125" s="940"/>
      <c r="E125" s="940"/>
      <c r="F125" s="112"/>
      <c r="G125" s="114"/>
      <c r="H125" s="4"/>
      <c r="I125" s="943"/>
      <c r="J125" s="944"/>
    </row>
    <row r="126" spans="1:10" ht="15" thickBot="1" x14ac:dyDescent="0.4">
      <c r="A126" s="115" t="s">
        <v>554</v>
      </c>
      <c r="B126" s="116" t="s">
        <v>555</v>
      </c>
      <c r="C126" s="116">
        <v>118.288</v>
      </c>
      <c r="D126" s="116">
        <v>118.40600000000001</v>
      </c>
      <c r="E126" s="117">
        <v>113.533</v>
      </c>
      <c r="F126" s="112"/>
      <c r="G126" s="112"/>
      <c r="H126" s="4"/>
      <c r="I126" s="930"/>
      <c r="J126" s="931"/>
    </row>
    <row r="127" spans="1:10" ht="15" thickBot="1" x14ac:dyDescent="0.4">
      <c r="A127" s="115" t="s">
        <v>372</v>
      </c>
      <c r="B127" s="116" t="s">
        <v>555</v>
      </c>
      <c r="C127" s="116">
        <v>118.288</v>
      </c>
      <c r="D127" s="116">
        <v>118.40600000000001</v>
      </c>
      <c r="E127" s="116">
        <v>108.989</v>
      </c>
      <c r="F127" s="112"/>
      <c r="G127" s="112"/>
      <c r="H127" s="4"/>
      <c r="I127" s="930"/>
      <c r="J127" s="931"/>
    </row>
    <row r="128" spans="1:10" ht="15" thickBot="1" x14ac:dyDescent="0.4">
      <c r="A128" s="115" t="s">
        <v>556</v>
      </c>
      <c r="B128" s="116" t="s">
        <v>555</v>
      </c>
      <c r="C128" s="116">
        <v>0</v>
      </c>
      <c r="D128" s="116">
        <v>0</v>
      </c>
      <c r="E128" s="116">
        <v>0</v>
      </c>
      <c r="F128" s="112"/>
      <c r="G128" s="112"/>
      <c r="H128" s="4"/>
      <c r="I128" s="930"/>
      <c r="J128" s="931"/>
    </row>
    <row r="129" spans="1:10" ht="15" thickBot="1" x14ac:dyDescent="0.4">
      <c r="A129" s="115" t="s">
        <v>375</v>
      </c>
      <c r="B129" s="116" t="s">
        <v>555</v>
      </c>
      <c r="C129" s="116">
        <v>118.288</v>
      </c>
      <c r="D129" s="116">
        <v>108.17100000000001</v>
      </c>
      <c r="E129" s="116">
        <v>108.17100000000001</v>
      </c>
      <c r="F129" s="112"/>
      <c r="G129" s="112"/>
      <c r="H129" s="4"/>
      <c r="I129" s="930" t="s">
        <v>576</v>
      </c>
      <c r="J129" s="931"/>
    </row>
    <row r="130" spans="1:10" ht="19.5" customHeight="1" thickBot="1" x14ac:dyDescent="0.4">
      <c r="A130" s="115" t="s">
        <v>558</v>
      </c>
      <c r="B130" s="116"/>
      <c r="C130" s="118"/>
      <c r="D130" s="118"/>
      <c r="E130" s="118"/>
      <c r="F130" s="112"/>
      <c r="G130" s="112"/>
      <c r="H130" s="4"/>
      <c r="I130" s="930"/>
      <c r="J130" s="931"/>
    </row>
    <row r="131" spans="1:10" ht="30" customHeight="1" thickBot="1" x14ac:dyDescent="0.4">
      <c r="A131" s="115" t="s">
        <v>559</v>
      </c>
      <c r="B131" s="116" t="s">
        <v>376</v>
      </c>
      <c r="C131" s="116">
        <v>9</v>
      </c>
      <c r="D131" s="116">
        <v>8</v>
      </c>
      <c r="E131" s="116">
        <v>6</v>
      </c>
      <c r="F131" s="112"/>
      <c r="G131" s="112"/>
      <c r="H131" s="4"/>
      <c r="I131" s="119"/>
      <c r="J131" s="120"/>
    </row>
    <row r="132" spans="1:10" ht="30.75" customHeight="1" thickBot="1" x14ac:dyDescent="0.4">
      <c r="A132" s="115" t="s">
        <v>406</v>
      </c>
      <c r="B132" s="116" t="s">
        <v>376</v>
      </c>
      <c r="C132" s="116">
        <v>3</v>
      </c>
      <c r="D132" s="117">
        <v>3</v>
      </c>
      <c r="E132" s="116">
        <v>0</v>
      </c>
      <c r="F132" s="112"/>
      <c r="G132" s="112"/>
      <c r="H132" s="4"/>
      <c r="I132" s="121" t="s">
        <v>577</v>
      </c>
      <c r="J132" s="122"/>
    </row>
    <row r="133" spans="1:10" ht="15" thickBot="1" x14ac:dyDescent="0.4">
      <c r="A133" s="115" t="s">
        <v>405</v>
      </c>
      <c r="B133" s="116" t="s">
        <v>376</v>
      </c>
      <c r="C133" s="116">
        <v>1</v>
      </c>
      <c r="D133" s="116">
        <v>1</v>
      </c>
      <c r="E133" s="116">
        <v>0</v>
      </c>
      <c r="F133" s="112"/>
      <c r="G133" s="112"/>
      <c r="H133" s="4"/>
      <c r="I133" s="121" t="s">
        <v>577</v>
      </c>
      <c r="J133" s="65"/>
    </row>
    <row r="134" spans="1:10" ht="15" thickBot="1" x14ac:dyDescent="0.4">
      <c r="A134" s="115" t="s">
        <v>561</v>
      </c>
      <c r="B134" s="116" t="s">
        <v>376</v>
      </c>
      <c r="C134" s="116">
        <v>1</v>
      </c>
      <c r="D134" s="116">
        <v>1</v>
      </c>
      <c r="E134" s="116">
        <v>0</v>
      </c>
      <c r="F134" s="112"/>
      <c r="G134" s="112"/>
      <c r="H134" s="4"/>
      <c r="I134" s="121" t="s">
        <v>577</v>
      </c>
      <c r="J134" s="123"/>
    </row>
    <row r="135" spans="1:10" ht="15" thickBot="1" x14ac:dyDescent="0.4">
      <c r="A135" s="115" t="s">
        <v>562</v>
      </c>
      <c r="B135" s="116" t="s">
        <v>376</v>
      </c>
      <c r="C135" s="116">
        <v>1</v>
      </c>
      <c r="D135" s="117" t="s">
        <v>578</v>
      </c>
      <c r="E135" s="117" t="s">
        <v>579</v>
      </c>
      <c r="F135" s="112"/>
      <c r="G135" s="112"/>
      <c r="I135" s="930"/>
      <c r="J135" s="931"/>
    </row>
    <row r="136" spans="1:10" ht="15" thickBot="1" x14ac:dyDescent="0.4">
      <c r="A136" s="124" t="s">
        <v>563</v>
      </c>
      <c r="B136" s="125" t="s">
        <v>376</v>
      </c>
      <c r="C136" s="125">
        <v>0</v>
      </c>
      <c r="D136" s="125">
        <v>0</v>
      </c>
      <c r="E136" s="125">
        <v>0</v>
      </c>
      <c r="F136" s="113"/>
      <c r="G136" s="113"/>
      <c r="I136" s="930"/>
      <c r="J136" s="931"/>
    </row>
    <row r="137" spans="1:10" ht="15" thickBot="1" x14ac:dyDescent="0.4">
      <c r="A137" s="932" t="s">
        <v>580</v>
      </c>
      <c r="B137" s="933"/>
      <c r="C137" s="933"/>
      <c r="D137" s="933"/>
      <c r="E137" s="933"/>
      <c r="F137" s="933"/>
      <c r="G137" s="933"/>
      <c r="H137" s="933"/>
      <c r="I137" s="933"/>
      <c r="J137" s="934"/>
    </row>
    <row r="138" spans="1:10" ht="15" thickBot="1" x14ac:dyDescent="0.4">
      <c r="A138" s="932" t="s">
        <v>581</v>
      </c>
      <c r="B138" s="933"/>
      <c r="C138" s="933"/>
      <c r="D138" s="933"/>
      <c r="E138" s="933"/>
      <c r="F138" s="933"/>
      <c r="G138" s="933"/>
      <c r="H138" s="933"/>
      <c r="I138" s="933"/>
      <c r="J138" s="934"/>
    </row>
    <row r="139" spans="1:10" ht="15" thickBot="1" x14ac:dyDescent="0.4">
      <c r="A139" s="932" t="s">
        <v>582</v>
      </c>
      <c r="B139" s="933"/>
      <c r="C139" s="933"/>
      <c r="D139" s="933"/>
      <c r="E139" s="933"/>
      <c r="F139" s="933"/>
      <c r="G139" s="933"/>
      <c r="H139" s="933"/>
      <c r="I139" s="933"/>
      <c r="J139" s="934"/>
    </row>
  </sheetData>
  <protectedRanges>
    <protectedRange sqref="C61:E62 C64:E64 C87:E88 C90:E90" name="Range1_9"/>
    <protectedRange sqref="C25:E26 C28:E28 C52:E52 C49:E50" name="Range1_9_4"/>
    <protectedRange sqref="C40:E40 C37:E38" name="Range1_9_5"/>
    <protectedRange sqref="C77" name="Range1_9_6"/>
    <protectedRange sqref="C75:E76" name="Range1_9_1_2"/>
    <protectedRange sqref="C78:D78" name="Range1_9_2_1"/>
    <protectedRange sqref="E78" name="Range1_9_1_1_1"/>
    <protectedRange sqref="C99:E100 C102:E102" name="Range1_9_7"/>
    <protectedRange sqref="C114:E114 C111:E112" name="Range1_9_4_2"/>
    <protectedRange sqref="C126:E126 C123:E124 D127" name="Range1_9_4_1_1_1"/>
  </protectedRanges>
  <mergeCells count="18">
    <mergeCell ref="A123:C123"/>
    <mergeCell ref="D123:J123"/>
    <mergeCell ref="A124:A125"/>
    <mergeCell ref="B124:B125"/>
    <mergeCell ref="C124:C125"/>
    <mergeCell ref="D124:D125"/>
    <mergeCell ref="E124:E125"/>
    <mergeCell ref="I124:J125"/>
    <mergeCell ref="I136:J136"/>
    <mergeCell ref="A137:J137"/>
    <mergeCell ref="A138:J138"/>
    <mergeCell ref="A139:J139"/>
    <mergeCell ref="I126:J126"/>
    <mergeCell ref="I127:J127"/>
    <mergeCell ref="I128:J128"/>
    <mergeCell ref="I129:J129"/>
    <mergeCell ref="I130:J130"/>
    <mergeCell ref="I135:J1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"/>
  <sheetViews>
    <sheetView topLeftCell="B1" zoomScale="86" zoomScaleNormal="86" workbookViewId="0">
      <selection activeCell="G7" sqref="G7"/>
    </sheetView>
  </sheetViews>
  <sheetFormatPr defaultColWidth="13.81640625" defaultRowHeight="17.5" x14ac:dyDescent="0.35"/>
  <cols>
    <col min="1" max="1" width="11.1796875" style="126" hidden="1" customWidth="1"/>
    <col min="2" max="2" width="11.1796875" style="126" customWidth="1"/>
    <col min="3" max="3" width="12.453125" style="126" customWidth="1"/>
    <col min="4" max="4" width="16.1796875" style="126" customWidth="1"/>
    <col min="5" max="5" width="12.1796875" style="126" customWidth="1"/>
    <col min="6" max="6" width="24.54296875" style="126" customWidth="1"/>
    <col min="7" max="7" width="26" style="126" customWidth="1"/>
    <col min="8" max="8" width="62.54296875" style="126" customWidth="1"/>
    <col min="9" max="9" width="36" style="126" customWidth="1"/>
    <col min="10" max="10" width="28.1796875" style="126" customWidth="1"/>
    <col min="11" max="11" width="22.1796875" style="126" customWidth="1"/>
    <col min="12" max="12" width="40.54296875" style="126" customWidth="1"/>
    <col min="13" max="13" width="56.453125" style="126" customWidth="1"/>
    <col min="14" max="16384" width="13.81640625" style="126"/>
  </cols>
  <sheetData>
    <row r="1" spans="1:13" ht="34.5" customHeight="1" thickBot="1" x14ac:dyDescent="0.4">
      <c r="A1" s="945" t="s">
        <v>583</v>
      </c>
      <c r="B1" s="946"/>
      <c r="C1" s="947"/>
      <c r="D1" s="947"/>
      <c r="E1" s="947"/>
      <c r="F1" s="947"/>
      <c r="G1" s="947"/>
      <c r="H1" s="947"/>
      <c r="I1" s="947"/>
      <c r="J1" s="947"/>
      <c r="K1" s="947"/>
      <c r="L1" s="947"/>
      <c r="M1" s="948"/>
    </row>
    <row r="2" spans="1:13" ht="35.5" thickBot="1" x14ac:dyDescent="0.4">
      <c r="A2" s="127" t="s">
        <v>584</v>
      </c>
      <c r="B2" s="128" t="s">
        <v>585</v>
      </c>
      <c r="C2" s="129" t="s">
        <v>586</v>
      </c>
      <c r="D2" s="129" t="s">
        <v>587</v>
      </c>
      <c r="E2" s="129" t="s">
        <v>588</v>
      </c>
      <c r="F2" s="129" t="s">
        <v>5</v>
      </c>
      <c r="G2" s="129" t="s">
        <v>589</v>
      </c>
      <c r="H2" s="129" t="s">
        <v>590</v>
      </c>
      <c r="I2" s="129" t="s">
        <v>591</v>
      </c>
      <c r="J2" s="129" t="s">
        <v>592</v>
      </c>
      <c r="K2" s="130" t="s">
        <v>593</v>
      </c>
      <c r="L2" s="131" t="s">
        <v>594</v>
      </c>
      <c r="M2" s="131" t="s">
        <v>371</v>
      </c>
    </row>
    <row r="3" spans="1:13" ht="35.5" thickBot="1" x14ac:dyDescent="0.4">
      <c r="A3" s="132">
        <v>1</v>
      </c>
      <c r="B3" s="133">
        <v>1</v>
      </c>
      <c r="C3" s="134" t="s">
        <v>69</v>
      </c>
      <c r="D3" s="135" t="s">
        <v>70</v>
      </c>
      <c r="E3" s="136" t="s">
        <v>388</v>
      </c>
      <c r="F3" s="135" t="s">
        <v>595</v>
      </c>
      <c r="G3" s="137" t="s">
        <v>596</v>
      </c>
      <c r="H3" s="138" t="s">
        <v>597</v>
      </c>
      <c r="I3" s="139" t="s">
        <v>598</v>
      </c>
      <c r="J3" s="140" t="s">
        <v>599</v>
      </c>
      <c r="K3" s="137" t="s">
        <v>600</v>
      </c>
      <c r="L3" s="137" t="s">
        <v>601</v>
      </c>
      <c r="M3" s="141"/>
    </row>
    <row r="4" spans="1:13" ht="27.75" customHeight="1" thickBot="1" x14ac:dyDescent="0.4">
      <c r="A4" s="142">
        <f t="shared" ref="A4:A15" si="0">A3+1</f>
        <v>2</v>
      </c>
      <c r="B4" s="126">
        <v>2</v>
      </c>
      <c r="C4" s="143" t="s">
        <v>145</v>
      </c>
      <c r="D4" s="144" t="s">
        <v>602</v>
      </c>
      <c r="E4" s="143" t="s">
        <v>147</v>
      </c>
      <c r="F4" s="145" t="s">
        <v>148</v>
      </c>
      <c r="G4" s="146" t="s">
        <v>596</v>
      </c>
      <c r="H4" s="147" t="s">
        <v>603</v>
      </c>
      <c r="I4" s="146" t="s">
        <v>604</v>
      </c>
      <c r="J4" s="145" t="s">
        <v>599</v>
      </c>
      <c r="K4" s="146" t="s">
        <v>600</v>
      </c>
      <c r="L4" s="146" t="s">
        <v>601</v>
      </c>
      <c r="M4" s="148"/>
    </row>
    <row r="5" spans="1:13" ht="27.75" customHeight="1" thickBot="1" x14ac:dyDescent="0.4">
      <c r="A5" s="149">
        <f t="shared" si="0"/>
        <v>3</v>
      </c>
      <c r="B5" s="133">
        <v>3</v>
      </c>
      <c r="C5" s="150" t="s">
        <v>161</v>
      </c>
      <c r="D5" s="135" t="s">
        <v>162</v>
      </c>
      <c r="E5" s="150" t="s">
        <v>163</v>
      </c>
      <c r="F5" s="140" t="s">
        <v>164</v>
      </c>
      <c r="G5" s="137" t="s">
        <v>596</v>
      </c>
      <c r="H5" s="138" t="s">
        <v>605</v>
      </c>
      <c r="I5" s="137" t="s">
        <v>604</v>
      </c>
      <c r="J5" s="140" t="s">
        <v>599</v>
      </c>
      <c r="K5" s="137" t="s">
        <v>600</v>
      </c>
      <c r="L5" s="137" t="s">
        <v>601</v>
      </c>
      <c r="M5" s="141"/>
    </row>
    <row r="6" spans="1:13" ht="27.75" customHeight="1" thickBot="1" x14ac:dyDescent="0.4">
      <c r="A6" s="142">
        <f t="shared" si="0"/>
        <v>4</v>
      </c>
      <c r="B6" s="126">
        <v>4</v>
      </c>
      <c r="C6" s="143" t="s">
        <v>180</v>
      </c>
      <c r="D6" s="144" t="s">
        <v>118</v>
      </c>
      <c r="E6" s="143" t="s">
        <v>181</v>
      </c>
      <c r="F6" s="145" t="s">
        <v>182</v>
      </c>
      <c r="G6" s="146" t="s">
        <v>596</v>
      </c>
      <c r="H6" s="147" t="s">
        <v>606</v>
      </c>
      <c r="I6" s="146" t="s">
        <v>604</v>
      </c>
      <c r="J6" s="145" t="s">
        <v>599</v>
      </c>
      <c r="K6" s="146" t="s">
        <v>600</v>
      </c>
      <c r="L6" s="146" t="s">
        <v>601</v>
      </c>
      <c r="M6" s="148"/>
    </row>
    <row r="7" spans="1:13" ht="27.75" customHeight="1" thickBot="1" x14ac:dyDescent="0.4">
      <c r="A7" s="149">
        <f t="shared" si="0"/>
        <v>5</v>
      </c>
      <c r="B7" s="133">
        <v>5</v>
      </c>
      <c r="C7" s="150" t="s">
        <v>196</v>
      </c>
      <c r="D7" s="135" t="s">
        <v>197</v>
      </c>
      <c r="E7" s="150" t="s">
        <v>198</v>
      </c>
      <c r="F7" s="135" t="s">
        <v>118</v>
      </c>
      <c r="G7" s="137" t="s">
        <v>596</v>
      </c>
      <c r="H7" s="138" t="s">
        <v>607</v>
      </c>
      <c r="I7" s="137" t="s">
        <v>604</v>
      </c>
      <c r="J7" s="140" t="s">
        <v>599</v>
      </c>
      <c r="K7" s="137" t="s">
        <v>600</v>
      </c>
      <c r="L7" s="137" t="s">
        <v>601</v>
      </c>
      <c r="M7" s="141"/>
    </row>
    <row r="8" spans="1:13" ht="27.75" customHeight="1" thickBot="1" x14ac:dyDescent="0.4">
      <c r="A8" s="142">
        <f>A11+1</f>
        <v>8</v>
      </c>
      <c r="B8" s="126">
        <v>6</v>
      </c>
      <c r="C8" s="143" t="s">
        <v>232</v>
      </c>
      <c r="D8" s="145" t="s">
        <v>182</v>
      </c>
      <c r="E8" s="143" t="s">
        <v>233</v>
      </c>
      <c r="F8" s="145" t="s">
        <v>234</v>
      </c>
      <c r="G8" s="146" t="s">
        <v>596</v>
      </c>
      <c r="H8" s="147" t="s">
        <v>608</v>
      </c>
      <c r="I8" s="146" t="s">
        <v>609</v>
      </c>
      <c r="J8" s="145" t="s">
        <v>599</v>
      </c>
      <c r="K8" s="146" t="s">
        <v>600</v>
      </c>
      <c r="L8" s="146" t="s">
        <v>610</v>
      </c>
      <c r="M8" s="148"/>
    </row>
    <row r="9" spans="1:13" ht="27.75" customHeight="1" thickBot="1" x14ac:dyDescent="0.4">
      <c r="A9" s="149"/>
      <c r="B9" s="133">
        <v>7</v>
      </c>
      <c r="C9" s="150" t="s">
        <v>284</v>
      </c>
      <c r="D9" s="140" t="s">
        <v>611</v>
      </c>
      <c r="E9" s="150" t="s">
        <v>285</v>
      </c>
      <c r="F9" s="140" t="s">
        <v>172</v>
      </c>
      <c r="G9" s="137" t="s">
        <v>596</v>
      </c>
      <c r="H9" s="138" t="s">
        <v>612</v>
      </c>
      <c r="I9" s="137" t="s">
        <v>613</v>
      </c>
      <c r="J9" s="140" t="s">
        <v>599</v>
      </c>
      <c r="K9" s="137" t="s">
        <v>600</v>
      </c>
      <c r="L9" s="137" t="s">
        <v>614</v>
      </c>
      <c r="M9" s="141"/>
    </row>
    <row r="10" spans="1:13" ht="27.75" customHeight="1" thickBot="1" x14ac:dyDescent="0.4">
      <c r="A10" s="142">
        <f>A7+1</f>
        <v>6</v>
      </c>
      <c r="B10" s="126">
        <v>8</v>
      </c>
      <c r="C10" s="143" t="s">
        <v>293</v>
      </c>
      <c r="D10" s="144" t="s">
        <v>118</v>
      </c>
      <c r="E10" s="143" t="s">
        <v>294</v>
      </c>
      <c r="F10" s="145" t="s">
        <v>615</v>
      </c>
      <c r="G10" s="146" t="s">
        <v>596</v>
      </c>
      <c r="H10" s="147" t="s">
        <v>616</v>
      </c>
      <c r="I10" s="146" t="s">
        <v>604</v>
      </c>
      <c r="J10" s="151" t="s">
        <v>617</v>
      </c>
      <c r="K10" s="146" t="s">
        <v>618</v>
      </c>
      <c r="L10" s="146" t="s">
        <v>619</v>
      </c>
      <c r="M10" s="148"/>
    </row>
    <row r="11" spans="1:13" ht="27.75" customHeight="1" thickBot="1" x14ac:dyDescent="0.4">
      <c r="A11" s="149">
        <f t="shared" si="0"/>
        <v>7</v>
      </c>
      <c r="B11" s="133">
        <v>9</v>
      </c>
      <c r="C11" s="150" t="s">
        <v>313</v>
      </c>
      <c r="D11" s="135" t="s">
        <v>314</v>
      </c>
      <c r="E11" s="150" t="s">
        <v>315</v>
      </c>
      <c r="F11" s="140" t="s">
        <v>615</v>
      </c>
      <c r="G11" s="137" t="s">
        <v>596</v>
      </c>
      <c r="H11" s="138" t="s">
        <v>620</v>
      </c>
      <c r="I11" s="137" t="s">
        <v>604</v>
      </c>
      <c r="J11" s="140" t="s">
        <v>599</v>
      </c>
      <c r="K11" s="137" t="s">
        <v>600</v>
      </c>
      <c r="L11" s="137" t="s">
        <v>614</v>
      </c>
      <c r="M11" s="141"/>
    </row>
    <row r="12" spans="1:13" ht="27.75" customHeight="1" thickBot="1" x14ac:dyDescent="0.4">
      <c r="A12" s="142">
        <f>A8+1</f>
        <v>9</v>
      </c>
      <c r="B12" s="126">
        <v>10</v>
      </c>
      <c r="C12" s="143" t="s">
        <v>112</v>
      </c>
      <c r="D12" s="144" t="s">
        <v>113</v>
      </c>
      <c r="E12" s="143" t="s">
        <v>114</v>
      </c>
      <c r="F12" s="145" t="s">
        <v>115</v>
      </c>
      <c r="G12" s="146" t="s">
        <v>621</v>
      </c>
      <c r="H12" s="152" t="s">
        <v>622</v>
      </c>
      <c r="I12" s="146" t="s">
        <v>623</v>
      </c>
      <c r="J12" s="145" t="s">
        <v>599</v>
      </c>
      <c r="K12" s="146" t="s">
        <v>600</v>
      </c>
      <c r="L12" s="146" t="s">
        <v>614</v>
      </c>
      <c r="M12" s="148"/>
    </row>
    <row r="13" spans="1:13" ht="27.75" customHeight="1" thickBot="1" x14ac:dyDescent="0.4">
      <c r="A13" s="149">
        <f t="shared" si="0"/>
        <v>10</v>
      </c>
      <c r="B13" s="133">
        <v>11</v>
      </c>
      <c r="C13" s="150" t="s">
        <v>186</v>
      </c>
      <c r="D13" s="135" t="s">
        <v>113</v>
      </c>
      <c r="E13" s="150" t="s">
        <v>187</v>
      </c>
      <c r="F13" s="140" t="s">
        <v>40</v>
      </c>
      <c r="G13" s="137" t="s">
        <v>621</v>
      </c>
      <c r="H13" s="139" t="s">
        <v>624</v>
      </c>
      <c r="I13" s="137" t="s">
        <v>623</v>
      </c>
      <c r="J13" s="140" t="s">
        <v>599</v>
      </c>
      <c r="K13" s="137" t="s">
        <v>600</v>
      </c>
      <c r="L13" s="137" t="s">
        <v>614</v>
      </c>
      <c r="M13" s="141"/>
    </row>
    <row r="14" spans="1:13" ht="27.75" customHeight="1" thickBot="1" x14ac:dyDescent="0.4">
      <c r="A14" s="142">
        <f t="shared" si="0"/>
        <v>11</v>
      </c>
      <c r="B14" s="126">
        <v>12</v>
      </c>
      <c r="C14" s="143" t="s">
        <v>310</v>
      </c>
      <c r="D14" s="144" t="s">
        <v>498</v>
      </c>
      <c r="E14" s="143" t="s">
        <v>311</v>
      </c>
      <c r="F14" s="145" t="s">
        <v>28</v>
      </c>
      <c r="G14" s="146" t="s">
        <v>621</v>
      </c>
      <c r="H14" s="139" t="s">
        <v>625</v>
      </c>
      <c r="I14" s="146" t="s">
        <v>623</v>
      </c>
      <c r="J14" s="153" t="s">
        <v>599</v>
      </c>
      <c r="K14" s="137" t="s">
        <v>600</v>
      </c>
      <c r="L14" s="146" t="s">
        <v>614</v>
      </c>
      <c r="M14" s="148"/>
    </row>
    <row r="15" spans="1:13" ht="27.75" customHeight="1" thickBot="1" x14ac:dyDescent="0.4">
      <c r="A15" s="149">
        <f t="shared" si="0"/>
        <v>12</v>
      </c>
      <c r="B15" s="133">
        <v>13</v>
      </c>
      <c r="C15" s="150" t="s">
        <v>170</v>
      </c>
      <c r="D15" s="135" t="s">
        <v>9</v>
      </c>
      <c r="E15" s="150" t="s">
        <v>171</v>
      </c>
      <c r="F15" s="135" t="s">
        <v>626</v>
      </c>
      <c r="G15" s="137" t="s">
        <v>627</v>
      </c>
      <c r="H15" s="139" t="s">
        <v>628</v>
      </c>
      <c r="I15" s="137" t="s">
        <v>629</v>
      </c>
      <c r="J15" s="154" t="s">
        <v>599</v>
      </c>
      <c r="K15" s="155" t="s">
        <v>600</v>
      </c>
      <c r="L15" s="137" t="s">
        <v>630</v>
      </c>
      <c r="M15" s="141"/>
    </row>
  </sheetData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99"/>
  <sheetViews>
    <sheetView topLeftCell="L2" zoomScale="80" zoomScaleNormal="80" workbookViewId="0">
      <selection activeCell="AJ17" sqref="AJ17"/>
    </sheetView>
  </sheetViews>
  <sheetFormatPr defaultColWidth="9.453125" defaultRowHeight="12.5" x14ac:dyDescent="0.35"/>
  <cols>
    <col min="1" max="1" width="6.54296875" style="225" customWidth="1"/>
    <col min="2" max="2" width="23.453125" style="225" customWidth="1"/>
    <col min="3" max="3" width="7.1796875" style="225" customWidth="1"/>
    <col min="4" max="4" width="9.54296875" style="225" customWidth="1"/>
    <col min="5" max="5" width="12.54296875" style="225" bestFit="1" customWidth="1"/>
    <col min="6" max="6" width="12.54296875" style="225" customWidth="1"/>
    <col min="7" max="7" width="8.81640625" style="225" customWidth="1"/>
    <col min="8" max="8" width="9.453125" style="225" customWidth="1"/>
    <col min="9" max="9" width="8.81640625" style="225" customWidth="1"/>
    <col min="10" max="10" width="9.54296875" style="225" customWidth="1"/>
    <col min="11" max="11" width="9.81640625" style="225" customWidth="1"/>
    <col min="12" max="12" width="9.54296875" style="225" customWidth="1"/>
    <col min="13" max="13" width="10" style="225" customWidth="1"/>
    <col min="14" max="14" width="8.81640625" style="225" customWidth="1"/>
    <col min="15" max="15" width="9" style="225" customWidth="1"/>
    <col min="16" max="16" width="10.1796875" style="225" customWidth="1"/>
    <col min="17" max="18" width="8.81640625" style="225" customWidth="1"/>
    <col min="19" max="19" width="9.453125" style="225" customWidth="1"/>
    <col min="20" max="20" width="8.81640625" style="225" customWidth="1"/>
    <col min="21" max="21" width="9.1796875" style="225" customWidth="1"/>
    <col min="22" max="23" width="8.81640625" style="225" customWidth="1"/>
    <col min="24" max="24" width="9.54296875" style="225" customWidth="1"/>
    <col min="25" max="25" width="8.81640625" style="225" customWidth="1"/>
    <col min="26" max="26" width="10.1796875" style="225" customWidth="1"/>
    <col min="27" max="27" width="9.54296875" style="225" customWidth="1"/>
    <col min="28" max="28" width="9.453125" style="225" customWidth="1"/>
    <col min="29" max="29" width="8.81640625" style="225" customWidth="1"/>
    <col min="30" max="30" width="9.1796875" style="225" customWidth="1"/>
    <col min="31" max="32" width="8.81640625" style="225" customWidth="1"/>
    <col min="33" max="33" width="9.54296875" style="225" customWidth="1"/>
    <col min="34" max="34" width="8.81640625" style="225" customWidth="1"/>
    <col min="35" max="35" width="9.54296875" style="225" customWidth="1"/>
    <col min="36" max="36" width="8.81640625" style="225" customWidth="1"/>
    <col min="37" max="37" width="11.1796875" style="225" customWidth="1"/>
    <col min="38" max="38" width="16.453125" style="245" customWidth="1"/>
    <col min="39" max="39" width="8.1796875" style="225" customWidth="1"/>
    <col min="40" max="40" width="10.453125" style="225" customWidth="1"/>
    <col min="41" max="41" width="9.54296875" style="225" customWidth="1"/>
    <col min="42" max="16384" width="9.453125" style="225"/>
  </cols>
  <sheetData>
    <row r="1" spans="1:42" ht="15.5" x14ac:dyDescent="0.35">
      <c r="A1" s="966" t="s">
        <v>832</v>
      </c>
      <c r="B1" s="967"/>
      <c r="C1" s="967"/>
      <c r="D1" s="967"/>
      <c r="E1" s="967"/>
      <c r="F1" s="967"/>
      <c r="G1" s="967"/>
      <c r="H1" s="967"/>
      <c r="I1" s="967"/>
      <c r="J1" s="967"/>
      <c r="K1" s="967"/>
      <c r="L1" s="967"/>
      <c r="M1" s="967"/>
      <c r="N1" s="967"/>
      <c r="O1" s="967"/>
      <c r="P1" s="967"/>
      <c r="Q1" s="967"/>
      <c r="R1" s="967"/>
      <c r="S1" s="967"/>
      <c r="T1" s="967"/>
      <c r="U1" s="967"/>
      <c r="V1" s="967"/>
      <c r="W1" s="967"/>
      <c r="X1" s="967"/>
      <c r="Y1" s="967"/>
      <c r="Z1" s="967"/>
      <c r="AA1" s="967"/>
      <c r="AB1" s="967"/>
      <c r="AC1" s="967"/>
      <c r="AD1" s="967"/>
      <c r="AE1" s="967"/>
      <c r="AF1" s="967"/>
      <c r="AG1" s="967"/>
      <c r="AH1" s="967"/>
      <c r="AI1" s="967"/>
      <c r="AJ1" s="967"/>
      <c r="AK1" s="967"/>
      <c r="AL1" s="967"/>
      <c r="AM1" s="967"/>
      <c r="AN1" s="967"/>
      <c r="AO1" s="967"/>
    </row>
    <row r="2" spans="1:42" ht="15.5" x14ac:dyDescent="0.35">
      <c r="A2" s="968" t="s">
        <v>833</v>
      </c>
      <c r="B2" s="969"/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  <c r="O2" s="969"/>
      <c r="P2" s="969"/>
      <c r="Q2" s="969"/>
      <c r="R2" s="969"/>
      <c r="S2" s="969"/>
      <c r="T2" s="969"/>
      <c r="U2" s="969"/>
      <c r="V2" s="969"/>
      <c r="W2" s="969"/>
      <c r="X2" s="969"/>
      <c r="Y2" s="969"/>
      <c r="Z2" s="969"/>
      <c r="AA2" s="969"/>
      <c r="AB2" s="969"/>
      <c r="AC2" s="969"/>
      <c r="AD2" s="969"/>
      <c r="AE2" s="969"/>
      <c r="AF2" s="969"/>
      <c r="AG2" s="969"/>
      <c r="AH2" s="969"/>
      <c r="AI2" s="969"/>
      <c r="AJ2" s="969"/>
      <c r="AK2" s="969"/>
      <c r="AL2" s="969"/>
      <c r="AM2" s="969"/>
      <c r="AN2" s="969"/>
      <c r="AO2" s="969"/>
    </row>
    <row r="3" spans="1:42" s="227" customFormat="1" ht="14.5" customHeight="1" x14ac:dyDescent="0.35">
      <c r="A3" s="964" t="s">
        <v>834</v>
      </c>
      <c r="B3" s="964" t="s">
        <v>835</v>
      </c>
      <c r="C3" s="964" t="s">
        <v>836</v>
      </c>
      <c r="D3" s="964" t="s">
        <v>837</v>
      </c>
      <c r="E3" s="964" t="s">
        <v>838</v>
      </c>
      <c r="F3" s="964" t="s">
        <v>839</v>
      </c>
      <c r="G3" s="964" t="s">
        <v>840</v>
      </c>
      <c r="H3" s="964" t="s">
        <v>841</v>
      </c>
      <c r="I3" s="964" t="s">
        <v>842</v>
      </c>
      <c r="J3" s="964" t="s">
        <v>843</v>
      </c>
      <c r="K3" s="964" t="s">
        <v>844</v>
      </c>
      <c r="L3" s="964" t="s">
        <v>845</v>
      </c>
      <c r="M3" s="964" t="s">
        <v>846</v>
      </c>
      <c r="N3" s="964" t="s">
        <v>847</v>
      </c>
      <c r="O3" s="964" t="s">
        <v>848</v>
      </c>
      <c r="P3" s="964" t="s">
        <v>849</v>
      </c>
      <c r="Q3" s="964" t="s">
        <v>850</v>
      </c>
      <c r="R3" s="964" t="s">
        <v>851</v>
      </c>
      <c r="S3" s="964" t="s">
        <v>852</v>
      </c>
      <c r="T3" s="964" t="s">
        <v>853</v>
      </c>
      <c r="U3" s="964" t="s">
        <v>854</v>
      </c>
      <c r="V3" s="964" t="s">
        <v>855</v>
      </c>
      <c r="W3" s="964" t="s">
        <v>856</v>
      </c>
      <c r="X3" s="964" t="s">
        <v>857</v>
      </c>
      <c r="Y3" s="964" t="s">
        <v>858</v>
      </c>
      <c r="Z3" s="964" t="s">
        <v>859</v>
      </c>
      <c r="AA3" s="964" t="s">
        <v>860</v>
      </c>
      <c r="AB3" s="964" t="s">
        <v>861</v>
      </c>
      <c r="AC3" s="964" t="s">
        <v>862</v>
      </c>
      <c r="AD3" s="964" t="s">
        <v>863</v>
      </c>
      <c r="AE3" s="964" t="s">
        <v>864</v>
      </c>
      <c r="AF3" s="964" t="s">
        <v>865</v>
      </c>
      <c r="AG3" s="964" t="s">
        <v>866</v>
      </c>
      <c r="AH3" s="964" t="s">
        <v>867</v>
      </c>
      <c r="AI3" s="964" t="s">
        <v>868</v>
      </c>
      <c r="AJ3" s="964" t="s">
        <v>869</v>
      </c>
      <c r="AK3" s="964" t="s">
        <v>870</v>
      </c>
      <c r="AL3" s="964" t="s">
        <v>592</v>
      </c>
      <c r="AM3" s="949" t="s">
        <v>871</v>
      </c>
      <c r="AN3" s="950"/>
      <c r="AO3" s="951"/>
    </row>
    <row r="4" spans="1:42" s="227" customFormat="1" ht="17.149999999999999" customHeight="1" x14ac:dyDescent="0.35">
      <c r="A4" s="965"/>
      <c r="B4" s="965"/>
      <c r="C4" s="965"/>
      <c r="D4" s="965"/>
      <c r="E4" s="965"/>
      <c r="F4" s="965"/>
      <c r="G4" s="965"/>
      <c r="H4" s="965"/>
      <c r="I4" s="965"/>
      <c r="J4" s="965"/>
      <c r="K4" s="965"/>
      <c r="L4" s="965"/>
      <c r="M4" s="965"/>
      <c r="N4" s="965"/>
      <c r="O4" s="965"/>
      <c r="P4" s="965"/>
      <c r="Q4" s="965"/>
      <c r="R4" s="965"/>
      <c r="S4" s="965"/>
      <c r="T4" s="965"/>
      <c r="U4" s="965"/>
      <c r="V4" s="965"/>
      <c r="W4" s="965"/>
      <c r="X4" s="965"/>
      <c r="Y4" s="965"/>
      <c r="Z4" s="965"/>
      <c r="AA4" s="965"/>
      <c r="AB4" s="965"/>
      <c r="AC4" s="965"/>
      <c r="AD4" s="965"/>
      <c r="AE4" s="965"/>
      <c r="AF4" s="965"/>
      <c r="AG4" s="965"/>
      <c r="AH4" s="965"/>
      <c r="AI4" s="965"/>
      <c r="AJ4" s="965"/>
      <c r="AK4" s="965"/>
      <c r="AL4" s="965"/>
      <c r="AM4" s="226" t="s">
        <v>872</v>
      </c>
      <c r="AN4" s="226" t="s">
        <v>873</v>
      </c>
      <c r="AO4" s="226" t="s">
        <v>874</v>
      </c>
    </row>
    <row r="5" spans="1:42" s="236" customFormat="1" ht="15.5" x14ac:dyDescent="0.35">
      <c r="A5" s="228">
        <v>1</v>
      </c>
      <c r="B5" s="229" t="s">
        <v>875</v>
      </c>
      <c r="C5" s="230" t="s">
        <v>63</v>
      </c>
      <c r="D5" s="231" t="s">
        <v>31</v>
      </c>
      <c r="E5" s="231">
        <f>36159.756/1000</f>
        <v>36.159756000000002</v>
      </c>
      <c r="F5" s="232">
        <v>27.12</v>
      </c>
      <c r="G5" s="233">
        <v>4.5190000000000001</v>
      </c>
      <c r="H5" s="233">
        <v>4.5190000000000001</v>
      </c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4">
        <f>SUM(G5:AJ5)</f>
        <v>9.0380000000000003</v>
      </c>
      <c r="AL5" s="234" t="s">
        <v>369</v>
      </c>
      <c r="AM5" s="952">
        <v>10</v>
      </c>
      <c r="AN5" s="955">
        <v>5</v>
      </c>
      <c r="AO5" s="958">
        <v>6</v>
      </c>
      <c r="AP5" s="235"/>
    </row>
    <row r="6" spans="1:42" s="236" customFormat="1" ht="15.5" x14ac:dyDescent="0.35">
      <c r="A6" s="228">
        <v>2</v>
      </c>
      <c r="B6" s="229" t="s">
        <v>875</v>
      </c>
      <c r="C6" s="230" t="s">
        <v>53</v>
      </c>
      <c r="D6" s="231" t="s">
        <v>33</v>
      </c>
      <c r="E6" s="231">
        <f>37931.088/1000</f>
        <v>37.931088000000003</v>
      </c>
      <c r="F6" s="232"/>
      <c r="G6" s="233"/>
      <c r="H6" s="233"/>
      <c r="I6" s="233">
        <v>7</v>
      </c>
      <c r="J6" s="233">
        <v>8</v>
      </c>
      <c r="K6" s="233">
        <v>7</v>
      </c>
      <c r="L6" s="233">
        <v>7.5</v>
      </c>
      <c r="M6" s="233">
        <v>7.7</v>
      </c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4">
        <f t="shared" ref="AK6:AK20" si="0">SUM(G6:AJ6)</f>
        <v>37.200000000000003</v>
      </c>
      <c r="AL6" s="234" t="s">
        <v>369</v>
      </c>
      <c r="AM6" s="953"/>
      <c r="AN6" s="956"/>
      <c r="AO6" s="959"/>
      <c r="AP6" s="235"/>
    </row>
    <row r="7" spans="1:42" s="236" customFormat="1" ht="15.5" x14ac:dyDescent="0.35">
      <c r="A7" s="228">
        <v>3</v>
      </c>
      <c r="B7" s="229" t="s">
        <v>875</v>
      </c>
      <c r="C7" s="237" t="s">
        <v>67</v>
      </c>
      <c r="D7" s="231" t="s">
        <v>23</v>
      </c>
      <c r="E7" s="231">
        <f>34789.81/1000</f>
        <v>34.789809999999996</v>
      </c>
      <c r="F7" s="232"/>
      <c r="G7" s="233"/>
      <c r="H7" s="233"/>
      <c r="I7" s="233"/>
      <c r="J7" s="233"/>
      <c r="K7" s="233"/>
      <c r="L7" s="233"/>
      <c r="M7" s="233"/>
      <c r="N7" s="233">
        <v>6.78</v>
      </c>
      <c r="O7" s="233">
        <v>11</v>
      </c>
      <c r="P7" s="233">
        <v>9</v>
      </c>
      <c r="Q7" s="233">
        <v>8</v>
      </c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4">
        <f t="shared" si="0"/>
        <v>34.78</v>
      </c>
      <c r="AL7" s="234" t="s">
        <v>369</v>
      </c>
      <c r="AM7" s="953"/>
      <c r="AN7" s="956"/>
      <c r="AO7" s="959"/>
      <c r="AP7" s="235"/>
    </row>
    <row r="8" spans="1:42" s="236" customFormat="1" ht="15.5" x14ac:dyDescent="0.35">
      <c r="A8" s="228">
        <v>4</v>
      </c>
      <c r="B8" s="229" t="s">
        <v>875</v>
      </c>
      <c r="C8" s="237" t="s">
        <v>73</v>
      </c>
      <c r="D8" s="231" t="s">
        <v>23</v>
      </c>
      <c r="E8" s="231">
        <f>34789.81/1000</f>
        <v>34.789809999999996</v>
      </c>
      <c r="F8" s="232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>
        <v>5.78</v>
      </c>
      <c r="S8" s="233">
        <v>7</v>
      </c>
      <c r="T8" s="233">
        <v>8</v>
      </c>
      <c r="U8" s="233">
        <v>7</v>
      </c>
      <c r="V8" s="233">
        <v>7</v>
      </c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4">
        <f t="shared" si="0"/>
        <v>34.78</v>
      </c>
      <c r="AL8" s="234" t="s">
        <v>369</v>
      </c>
      <c r="AM8" s="953"/>
      <c r="AN8" s="956"/>
      <c r="AO8" s="959"/>
      <c r="AP8" s="235"/>
    </row>
    <row r="9" spans="1:42" s="236" customFormat="1" ht="15.5" x14ac:dyDescent="0.35">
      <c r="A9" s="228">
        <v>5</v>
      </c>
      <c r="B9" s="229" t="s">
        <v>875</v>
      </c>
      <c r="C9" s="237" t="s">
        <v>78</v>
      </c>
      <c r="D9" s="231" t="s">
        <v>61</v>
      </c>
      <c r="E9" s="231">
        <f>59500.628/1000</f>
        <v>59.500627999999999</v>
      </c>
      <c r="F9" s="232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>
        <v>8</v>
      </c>
      <c r="X9" s="233">
        <v>3</v>
      </c>
      <c r="Y9" s="233">
        <v>3</v>
      </c>
      <c r="Z9" s="233">
        <v>4</v>
      </c>
      <c r="AA9" s="233">
        <v>1.5</v>
      </c>
      <c r="AB9" s="233">
        <v>3</v>
      </c>
      <c r="AC9" s="233">
        <v>4</v>
      </c>
      <c r="AD9" s="233">
        <v>8</v>
      </c>
      <c r="AE9" s="233">
        <v>8</v>
      </c>
      <c r="AF9" s="233">
        <v>8</v>
      </c>
      <c r="AG9" s="233">
        <v>9</v>
      </c>
      <c r="AH9" s="233"/>
      <c r="AI9" s="233"/>
      <c r="AJ9" s="233"/>
      <c r="AK9" s="234">
        <f t="shared" si="0"/>
        <v>59.5</v>
      </c>
      <c r="AL9" s="234" t="s">
        <v>369</v>
      </c>
      <c r="AM9" s="953"/>
      <c r="AN9" s="956"/>
      <c r="AO9" s="959"/>
      <c r="AP9" s="235"/>
    </row>
    <row r="10" spans="1:42" s="236" customFormat="1" ht="15.5" x14ac:dyDescent="0.35">
      <c r="A10" s="228">
        <v>6</v>
      </c>
      <c r="B10" s="231" t="s">
        <v>876</v>
      </c>
      <c r="C10" s="237" t="s">
        <v>94</v>
      </c>
      <c r="D10" s="231" t="s">
        <v>16</v>
      </c>
      <c r="E10" s="231">
        <f>43804.424/1000</f>
        <v>43.804423999999997</v>
      </c>
      <c r="F10" s="232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>
        <v>6</v>
      </c>
      <c r="W10" s="233">
        <v>8</v>
      </c>
      <c r="X10" s="233">
        <v>4</v>
      </c>
      <c r="Y10" s="233">
        <v>4</v>
      </c>
      <c r="Z10" s="233">
        <v>4</v>
      </c>
      <c r="AA10" s="233">
        <v>2</v>
      </c>
      <c r="AB10" s="233">
        <v>2</v>
      </c>
      <c r="AC10" s="233">
        <v>4</v>
      </c>
      <c r="AD10" s="233">
        <v>4</v>
      </c>
      <c r="AE10" s="233">
        <v>5.8</v>
      </c>
      <c r="AF10" s="233"/>
      <c r="AG10" s="233"/>
      <c r="AH10" s="233"/>
      <c r="AI10" s="233"/>
      <c r="AJ10" s="233"/>
      <c r="AK10" s="234">
        <f t="shared" si="0"/>
        <v>43.8</v>
      </c>
      <c r="AL10" s="234" t="s">
        <v>369</v>
      </c>
      <c r="AM10" s="953"/>
      <c r="AN10" s="956"/>
      <c r="AO10" s="959"/>
      <c r="AP10" s="235"/>
    </row>
    <row r="11" spans="1:42" s="236" customFormat="1" ht="15.5" x14ac:dyDescent="0.35">
      <c r="A11" s="228">
        <v>7</v>
      </c>
      <c r="B11" s="231" t="s">
        <v>877</v>
      </c>
      <c r="C11" s="230" t="s">
        <v>102</v>
      </c>
      <c r="D11" s="231" t="s">
        <v>31</v>
      </c>
      <c r="E11" s="231">
        <f>36159.756/1000</f>
        <v>36.159756000000002</v>
      </c>
      <c r="F11" s="232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>
        <v>2</v>
      </c>
      <c r="W11" s="233">
        <v>5</v>
      </c>
      <c r="X11" s="233">
        <v>3.8</v>
      </c>
      <c r="Y11" s="233">
        <v>5</v>
      </c>
      <c r="Z11" s="233">
        <v>3</v>
      </c>
      <c r="AA11" s="233">
        <v>5</v>
      </c>
      <c r="AB11" s="233">
        <v>3</v>
      </c>
      <c r="AC11" s="233">
        <v>4</v>
      </c>
      <c r="AD11" s="233">
        <v>5.359</v>
      </c>
      <c r="AE11" s="233"/>
      <c r="AF11" s="233"/>
      <c r="AG11" s="233"/>
      <c r="AH11" s="233"/>
      <c r="AI11" s="233"/>
      <c r="AJ11" s="233"/>
      <c r="AK11" s="234">
        <f t="shared" si="0"/>
        <v>36.158999999999999</v>
      </c>
      <c r="AL11" s="234" t="s">
        <v>369</v>
      </c>
      <c r="AM11" s="953"/>
      <c r="AN11" s="956"/>
      <c r="AO11" s="959"/>
      <c r="AP11" s="235"/>
    </row>
    <row r="12" spans="1:42" s="236" customFormat="1" ht="15.5" x14ac:dyDescent="0.35">
      <c r="A12" s="228">
        <v>8</v>
      </c>
      <c r="B12" s="231" t="s">
        <v>878</v>
      </c>
      <c r="C12" s="237" t="s">
        <v>134</v>
      </c>
      <c r="D12" s="231" t="s">
        <v>31</v>
      </c>
      <c r="E12" s="231">
        <f>36159.756/1000</f>
        <v>36.159756000000002</v>
      </c>
      <c r="F12" s="232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>
        <v>3</v>
      </c>
      <c r="AH12" s="233">
        <v>5</v>
      </c>
      <c r="AI12" s="233">
        <v>3</v>
      </c>
      <c r="AJ12" s="233">
        <v>1</v>
      </c>
      <c r="AK12" s="234">
        <f t="shared" si="0"/>
        <v>12</v>
      </c>
      <c r="AL12" s="234"/>
      <c r="AM12" s="953"/>
      <c r="AN12" s="956"/>
      <c r="AO12" s="959"/>
      <c r="AP12" s="235"/>
    </row>
    <row r="13" spans="1:42" s="236" customFormat="1" ht="15.5" x14ac:dyDescent="0.35">
      <c r="A13" s="228">
        <v>9</v>
      </c>
      <c r="B13" s="231" t="s">
        <v>880</v>
      </c>
      <c r="C13" s="230" t="s">
        <v>29</v>
      </c>
      <c r="D13" s="231" t="s">
        <v>23</v>
      </c>
      <c r="E13" s="231">
        <f>34789.81/1000</f>
        <v>34.789809999999996</v>
      </c>
      <c r="F13" s="232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>
        <v>8</v>
      </c>
      <c r="AA13" s="233">
        <v>8</v>
      </c>
      <c r="AB13" s="233">
        <v>5</v>
      </c>
      <c r="AC13" s="233">
        <v>6</v>
      </c>
      <c r="AD13" s="233">
        <v>3</v>
      </c>
      <c r="AE13" s="233">
        <v>4.78</v>
      </c>
      <c r="AF13" s="233"/>
      <c r="AG13" s="233"/>
      <c r="AH13" s="233"/>
      <c r="AI13" s="233"/>
      <c r="AJ13" s="233"/>
      <c r="AK13" s="234">
        <f t="shared" si="0"/>
        <v>34.78</v>
      </c>
      <c r="AL13" s="234" t="s">
        <v>369</v>
      </c>
      <c r="AM13" s="953"/>
      <c r="AN13" s="956"/>
      <c r="AO13" s="959"/>
      <c r="AP13" s="235"/>
    </row>
    <row r="14" spans="1:42" s="236" customFormat="1" ht="15.5" x14ac:dyDescent="0.35">
      <c r="A14" s="228">
        <v>10</v>
      </c>
      <c r="B14" s="231" t="s">
        <v>819</v>
      </c>
      <c r="C14" s="230" t="s">
        <v>99</v>
      </c>
      <c r="D14" s="231" t="s">
        <v>33</v>
      </c>
      <c r="E14" s="231">
        <f>37931.088/1000</f>
        <v>37.931088000000003</v>
      </c>
      <c r="F14" s="232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>
        <v>3</v>
      </c>
      <c r="AG14" s="233">
        <v>5</v>
      </c>
      <c r="AH14" s="233">
        <v>5</v>
      </c>
      <c r="AI14" s="233">
        <v>3</v>
      </c>
      <c r="AJ14" s="233">
        <v>5</v>
      </c>
      <c r="AK14" s="234">
        <f t="shared" si="0"/>
        <v>21</v>
      </c>
      <c r="AL14" s="234"/>
      <c r="AM14" s="953"/>
      <c r="AN14" s="956"/>
      <c r="AO14" s="959"/>
    </row>
    <row r="15" spans="1:42" s="236" customFormat="1" ht="15.5" x14ac:dyDescent="0.35">
      <c r="A15" s="238">
        <v>11</v>
      </c>
      <c r="B15" s="231" t="s">
        <v>818</v>
      </c>
      <c r="C15" s="230" t="s">
        <v>93</v>
      </c>
      <c r="D15" s="231" t="s">
        <v>31</v>
      </c>
      <c r="E15" s="231">
        <f t="shared" ref="E15:E16" si="1">36159.756/1000</f>
        <v>36.159756000000002</v>
      </c>
      <c r="F15" s="239"/>
      <c r="G15" s="240"/>
      <c r="H15" s="240"/>
      <c r="I15" s="240"/>
      <c r="J15" s="240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>
        <v>3</v>
      </c>
      <c r="AH15" s="233">
        <v>6</v>
      </c>
      <c r="AI15" s="233">
        <v>5</v>
      </c>
      <c r="AJ15" s="233">
        <v>4</v>
      </c>
      <c r="AK15" s="234">
        <f t="shared" si="0"/>
        <v>18</v>
      </c>
      <c r="AL15" s="234"/>
      <c r="AM15" s="953"/>
      <c r="AN15" s="956"/>
      <c r="AO15" s="959"/>
    </row>
    <row r="16" spans="1:42" s="236" customFormat="1" ht="15.5" x14ac:dyDescent="0.35">
      <c r="A16" s="238">
        <v>12</v>
      </c>
      <c r="B16" s="231" t="s">
        <v>775</v>
      </c>
      <c r="C16" s="230" t="s">
        <v>50</v>
      </c>
      <c r="D16" s="231" t="s">
        <v>31</v>
      </c>
      <c r="E16" s="231">
        <f t="shared" si="1"/>
        <v>36.159756000000002</v>
      </c>
      <c r="F16" s="239"/>
      <c r="G16" s="240"/>
      <c r="H16" s="240"/>
      <c r="I16" s="240"/>
      <c r="J16" s="240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>
        <v>4</v>
      </c>
      <c r="AI16" s="233">
        <v>3</v>
      </c>
      <c r="AJ16" s="233">
        <v>3</v>
      </c>
      <c r="AK16" s="234">
        <f t="shared" si="0"/>
        <v>10</v>
      </c>
      <c r="AL16" s="234"/>
      <c r="AM16" s="953"/>
      <c r="AN16" s="956"/>
      <c r="AO16" s="959"/>
    </row>
    <row r="17" spans="1:41" s="236" customFormat="1" ht="15.5" x14ac:dyDescent="0.35">
      <c r="A17" s="238">
        <v>13</v>
      </c>
      <c r="B17" s="231" t="s">
        <v>880</v>
      </c>
      <c r="C17" s="230" t="s">
        <v>36</v>
      </c>
      <c r="D17" s="231" t="s">
        <v>31</v>
      </c>
      <c r="E17" s="231">
        <f>36159.756/1000</f>
        <v>36.159756000000002</v>
      </c>
      <c r="F17" s="239"/>
      <c r="G17" s="240"/>
      <c r="H17" s="240"/>
      <c r="I17" s="240"/>
      <c r="J17" s="240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4">
        <f t="shared" si="0"/>
        <v>0</v>
      </c>
      <c r="AL17" s="234"/>
      <c r="AM17" s="953"/>
      <c r="AN17" s="956"/>
      <c r="AO17" s="959"/>
    </row>
    <row r="18" spans="1:41" s="236" customFormat="1" ht="15.5" x14ac:dyDescent="0.35">
      <c r="A18" s="238">
        <v>14</v>
      </c>
      <c r="B18" s="231"/>
      <c r="C18" s="230"/>
      <c r="D18" s="231"/>
      <c r="E18" s="231"/>
      <c r="F18" s="239"/>
      <c r="G18" s="240"/>
      <c r="H18" s="240"/>
      <c r="I18" s="240"/>
      <c r="J18" s="240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4">
        <f t="shared" si="0"/>
        <v>0</v>
      </c>
      <c r="AL18" s="234"/>
      <c r="AM18" s="953"/>
      <c r="AN18" s="956"/>
      <c r="AO18" s="959"/>
    </row>
    <row r="19" spans="1:41" s="236" customFormat="1" ht="15.5" x14ac:dyDescent="0.35">
      <c r="A19" s="238"/>
      <c r="B19" s="229"/>
      <c r="C19" s="229"/>
      <c r="D19" s="229"/>
      <c r="E19" s="231"/>
      <c r="F19" s="239"/>
      <c r="G19" s="240"/>
      <c r="H19" s="240"/>
      <c r="I19" s="240"/>
      <c r="J19" s="240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4">
        <f t="shared" si="0"/>
        <v>0</v>
      </c>
      <c r="AL19" s="234"/>
      <c r="AM19" s="953"/>
      <c r="AN19" s="956"/>
      <c r="AO19" s="959"/>
    </row>
    <row r="20" spans="1:41" s="236" customFormat="1" ht="15.5" x14ac:dyDescent="0.35">
      <c r="A20" s="961" t="s">
        <v>7</v>
      </c>
      <c r="B20" s="962"/>
      <c r="C20" s="962"/>
      <c r="D20" s="963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2">
        <f t="shared" si="0"/>
        <v>0</v>
      </c>
      <c r="AL20" s="243"/>
      <c r="AM20" s="954"/>
      <c r="AN20" s="957"/>
      <c r="AO20" s="960"/>
    </row>
    <row r="21" spans="1:41" x14ac:dyDescent="0.35"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L21" s="225"/>
    </row>
    <row r="22" spans="1:41" x14ac:dyDescent="0.35"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L22" s="225"/>
    </row>
    <row r="23" spans="1:41" x14ac:dyDescent="0.35"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L23" s="225"/>
    </row>
    <row r="24" spans="1:41" x14ac:dyDescent="0.35"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L24" s="225"/>
    </row>
    <row r="25" spans="1:41" x14ac:dyDescent="0.35"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L25" s="225"/>
    </row>
    <row r="26" spans="1:41" x14ac:dyDescent="0.35">
      <c r="AL26" s="225"/>
    </row>
    <row r="27" spans="1:41" x14ac:dyDescent="0.35">
      <c r="AL27" s="225"/>
    </row>
    <row r="28" spans="1:41" x14ac:dyDescent="0.35">
      <c r="AL28" s="225"/>
    </row>
    <row r="29" spans="1:41" x14ac:dyDescent="0.35">
      <c r="AL29" s="225"/>
    </row>
    <row r="30" spans="1:41" x14ac:dyDescent="0.35">
      <c r="AL30" s="225"/>
    </row>
    <row r="31" spans="1:41" x14ac:dyDescent="0.35">
      <c r="AL31" s="225"/>
    </row>
    <row r="32" spans="1:41" x14ac:dyDescent="0.35">
      <c r="AL32" s="225"/>
    </row>
    <row r="33" spans="38:38" x14ac:dyDescent="0.35">
      <c r="AL33" s="225"/>
    </row>
    <row r="34" spans="38:38" x14ac:dyDescent="0.35">
      <c r="AL34" s="225"/>
    </row>
    <row r="35" spans="38:38" x14ac:dyDescent="0.35">
      <c r="AL35" s="225"/>
    </row>
    <row r="36" spans="38:38" x14ac:dyDescent="0.35">
      <c r="AL36" s="225"/>
    </row>
    <row r="37" spans="38:38" x14ac:dyDescent="0.35">
      <c r="AL37" s="225"/>
    </row>
    <row r="38" spans="38:38" x14ac:dyDescent="0.35">
      <c r="AL38" s="225"/>
    </row>
    <row r="39" spans="38:38" x14ac:dyDescent="0.35">
      <c r="AL39" s="225"/>
    </row>
    <row r="40" spans="38:38" x14ac:dyDescent="0.35">
      <c r="AL40" s="225"/>
    </row>
    <row r="41" spans="38:38" x14ac:dyDescent="0.35">
      <c r="AL41" s="225"/>
    </row>
    <row r="42" spans="38:38" x14ac:dyDescent="0.35">
      <c r="AL42" s="225"/>
    </row>
    <row r="43" spans="38:38" x14ac:dyDescent="0.35">
      <c r="AL43" s="225"/>
    </row>
    <row r="44" spans="38:38" x14ac:dyDescent="0.35">
      <c r="AL44" s="225"/>
    </row>
    <row r="45" spans="38:38" x14ac:dyDescent="0.35">
      <c r="AL45" s="225"/>
    </row>
    <row r="46" spans="38:38" x14ac:dyDescent="0.35">
      <c r="AL46" s="225"/>
    </row>
    <row r="47" spans="38:38" x14ac:dyDescent="0.35">
      <c r="AL47" s="225"/>
    </row>
    <row r="48" spans="38:38" x14ac:dyDescent="0.35">
      <c r="AL48" s="225"/>
    </row>
    <row r="49" spans="38:38" x14ac:dyDescent="0.35">
      <c r="AL49" s="225"/>
    </row>
    <row r="50" spans="38:38" x14ac:dyDescent="0.35">
      <c r="AL50" s="225"/>
    </row>
    <row r="51" spans="38:38" x14ac:dyDescent="0.35">
      <c r="AL51" s="225"/>
    </row>
    <row r="52" spans="38:38" x14ac:dyDescent="0.35">
      <c r="AL52" s="225"/>
    </row>
    <row r="53" spans="38:38" x14ac:dyDescent="0.35">
      <c r="AL53" s="225"/>
    </row>
    <row r="54" spans="38:38" x14ac:dyDescent="0.35">
      <c r="AL54" s="225"/>
    </row>
    <row r="55" spans="38:38" x14ac:dyDescent="0.35">
      <c r="AL55" s="225"/>
    </row>
    <row r="56" spans="38:38" x14ac:dyDescent="0.35">
      <c r="AL56" s="225"/>
    </row>
    <row r="57" spans="38:38" x14ac:dyDescent="0.35">
      <c r="AL57" s="225"/>
    </row>
    <row r="58" spans="38:38" x14ac:dyDescent="0.35">
      <c r="AL58" s="225"/>
    </row>
    <row r="59" spans="38:38" x14ac:dyDescent="0.35">
      <c r="AL59" s="225"/>
    </row>
    <row r="60" spans="38:38" x14ac:dyDescent="0.35">
      <c r="AL60" s="225"/>
    </row>
    <row r="61" spans="38:38" x14ac:dyDescent="0.35">
      <c r="AL61" s="225"/>
    </row>
    <row r="62" spans="38:38" x14ac:dyDescent="0.35">
      <c r="AL62" s="225"/>
    </row>
    <row r="63" spans="38:38" x14ac:dyDescent="0.35">
      <c r="AL63" s="225"/>
    </row>
    <row r="64" spans="38:38" x14ac:dyDescent="0.35">
      <c r="AL64" s="225"/>
    </row>
    <row r="65" spans="38:38" x14ac:dyDescent="0.35">
      <c r="AL65" s="225"/>
    </row>
    <row r="66" spans="38:38" x14ac:dyDescent="0.35">
      <c r="AL66" s="225"/>
    </row>
    <row r="67" spans="38:38" x14ac:dyDescent="0.35">
      <c r="AL67" s="225"/>
    </row>
    <row r="68" spans="38:38" x14ac:dyDescent="0.35">
      <c r="AL68" s="225"/>
    </row>
    <row r="69" spans="38:38" x14ac:dyDescent="0.35">
      <c r="AL69" s="225"/>
    </row>
    <row r="70" spans="38:38" x14ac:dyDescent="0.35">
      <c r="AL70" s="225"/>
    </row>
    <row r="71" spans="38:38" x14ac:dyDescent="0.35">
      <c r="AL71" s="225"/>
    </row>
    <row r="72" spans="38:38" x14ac:dyDescent="0.35">
      <c r="AL72" s="225"/>
    </row>
    <row r="73" spans="38:38" x14ac:dyDescent="0.35">
      <c r="AL73" s="225"/>
    </row>
    <row r="74" spans="38:38" x14ac:dyDescent="0.35">
      <c r="AL74" s="225"/>
    </row>
    <row r="75" spans="38:38" x14ac:dyDescent="0.35">
      <c r="AL75" s="225"/>
    </row>
    <row r="76" spans="38:38" x14ac:dyDescent="0.35">
      <c r="AL76" s="225"/>
    </row>
    <row r="77" spans="38:38" x14ac:dyDescent="0.35">
      <c r="AL77" s="225"/>
    </row>
    <row r="78" spans="38:38" x14ac:dyDescent="0.35">
      <c r="AL78" s="225"/>
    </row>
    <row r="79" spans="38:38" x14ac:dyDescent="0.35">
      <c r="AL79" s="225"/>
    </row>
    <row r="80" spans="38:38" x14ac:dyDescent="0.35">
      <c r="AL80" s="225"/>
    </row>
    <row r="81" spans="38:38" x14ac:dyDescent="0.35">
      <c r="AL81" s="225"/>
    </row>
    <row r="82" spans="38:38" x14ac:dyDescent="0.35">
      <c r="AL82" s="225"/>
    </row>
    <row r="83" spans="38:38" x14ac:dyDescent="0.35">
      <c r="AL83" s="225"/>
    </row>
    <row r="84" spans="38:38" x14ac:dyDescent="0.35">
      <c r="AL84" s="225"/>
    </row>
    <row r="85" spans="38:38" x14ac:dyDescent="0.35">
      <c r="AL85" s="225"/>
    </row>
    <row r="86" spans="38:38" x14ac:dyDescent="0.35">
      <c r="AL86" s="225"/>
    </row>
    <row r="87" spans="38:38" x14ac:dyDescent="0.35">
      <c r="AL87" s="225"/>
    </row>
    <row r="88" spans="38:38" x14ac:dyDescent="0.35">
      <c r="AL88" s="225"/>
    </row>
    <row r="89" spans="38:38" x14ac:dyDescent="0.35">
      <c r="AL89" s="225"/>
    </row>
    <row r="90" spans="38:38" x14ac:dyDescent="0.35">
      <c r="AL90" s="225"/>
    </row>
    <row r="91" spans="38:38" x14ac:dyDescent="0.35">
      <c r="AL91" s="225"/>
    </row>
    <row r="92" spans="38:38" x14ac:dyDescent="0.35">
      <c r="AL92" s="225"/>
    </row>
    <row r="93" spans="38:38" x14ac:dyDescent="0.35">
      <c r="AL93" s="225"/>
    </row>
    <row r="94" spans="38:38" x14ac:dyDescent="0.35">
      <c r="AL94" s="225"/>
    </row>
    <row r="95" spans="38:38" x14ac:dyDescent="0.35">
      <c r="AL95" s="225"/>
    </row>
    <row r="96" spans="38:38" x14ac:dyDescent="0.35">
      <c r="AL96" s="225"/>
    </row>
    <row r="97" spans="38:38" x14ac:dyDescent="0.35">
      <c r="AL97" s="225"/>
    </row>
    <row r="98" spans="38:38" x14ac:dyDescent="0.35">
      <c r="AL98" s="225"/>
    </row>
    <row r="99" spans="38:38" x14ac:dyDescent="0.35">
      <c r="AL99" s="225"/>
    </row>
  </sheetData>
  <mergeCells count="45">
    <mergeCell ref="A1:AO1"/>
    <mergeCell ref="A2:AO2"/>
    <mergeCell ref="A3:A4"/>
    <mergeCell ref="B3:B4"/>
    <mergeCell ref="C3:C4"/>
    <mergeCell ref="D3:D4"/>
    <mergeCell ref="E3:E4"/>
    <mergeCell ref="F3:F4"/>
    <mergeCell ref="G3:G4"/>
    <mergeCell ref="H3:H4"/>
    <mergeCell ref="T3:T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AF3:AF4"/>
    <mergeCell ref="U3:U4"/>
    <mergeCell ref="V3:V4"/>
    <mergeCell ref="W3:W4"/>
    <mergeCell ref="X3:X4"/>
    <mergeCell ref="Y3:Y4"/>
    <mergeCell ref="Z3:Z4"/>
    <mergeCell ref="AM3:AO3"/>
    <mergeCell ref="AM5:AM20"/>
    <mergeCell ref="AN5:AN20"/>
    <mergeCell ref="AO5:AO20"/>
    <mergeCell ref="A20:D20"/>
    <mergeCell ref="AG3:AG4"/>
    <mergeCell ref="AH3:AH4"/>
    <mergeCell ref="AI3:AI4"/>
    <mergeCell ref="AJ3:AJ4"/>
    <mergeCell ref="AK3:AK4"/>
    <mergeCell ref="AL3:AL4"/>
    <mergeCell ref="AA3:AA4"/>
    <mergeCell ref="AB3:AB4"/>
    <mergeCell ref="AC3:AC4"/>
    <mergeCell ref="AD3:AD4"/>
    <mergeCell ref="AE3:AE4"/>
  </mergeCells>
  <conditionalFormatting sqref="C5:C13">
    <cfRule type="duplicateValues" dxfId="0" priority="1" stopIfTrue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53F082-9D3A-4E87-819E-41851532A4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Visual Chart</vt:lpstr>
      <vt:lpstr>VC-765kV MKTL</vt:lpstr>
      <vt:lpstr>DPR</vt:lpstr>
      <vt:lpstr>FDN pivot</vt:lpstr>
      <vt:lpstr>Erc pivot</vt:lpstr>
      <vt:lpstr>SUMMARY</vt:lpstr>
      <vt:lpstr>FOUNDATION</vt:lpstr>
      <vt:lpstr>ERECTION</vt:lpstr>
      <vt:lpstr>Sheet2</vt:lpstr>
      <vt:lpstr>XING</vt:lpstr>
      <vt:lpstr>EARTHING</vt:lpstr>
      <vt:lpstr>SUPPLY</vt:lpstr>
      <vt:lpstr>CST Gantry To AP 68 Common Poin</vt:lpstr>
      <vt:lpstr>Sheet1</vt:lpstr>
      <vt:lpstr>SURVEY SUMMARY</vt:lpstr>
      <vt:lpstr>SURVEY STATUS </vt:lpstr>
      <vt:lpstr>Erection productivity</vt:lpstr>
      <vt:lpstr>DPR!Print_Area</vt:lpstr>
      <vt:lpstr>'VC-765kV MKTL'!Print_Area</vt:lpstr>
      <vt:lpstr>'Visual Chart'!Print_Area</vt:lpstr>
      <vt:lpstr>DPR!Print_Titles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Sharma</dc:creator>
  <cp:lastModifiedBy>Shuvayu Das</cp:lastModifiedBy>
  <cp:lastPrinted>2026-06-23T06:49:50Z</cp:lastPrinted>
  <dcterms:created xsi:type="dcterms:W3CDTF">2015-06-05T18:17:20Z</dcterms:created>
  <dcterms:modified xsi:type="dcterms:W3CDTF">2026-06-23T06:50:01Z</dcterms:modified>
</cp:coreProperties>
</file>