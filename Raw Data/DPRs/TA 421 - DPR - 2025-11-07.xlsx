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8_{68C5E27E-F709-4A8F-BA1D-D9B60E07B35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'!$B$644:$Q$907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9" l="1"/>
  <c r="G54" i="9"/>
  <c r="G53" i="9"/>
  <c r="G52" i="9"/>
  <c r="G51" i="9"/>
  <c r="G50" i="9"/>
  <c r="G49" i="9"/>
  <c r="G48" i="9"/>
  <c r="G47" i="9"/>
  <c r="G46" i="9"/>
  <c r="G45" i="9"/>
  <c r="G44" i="9"/>
  <c r="G42" i="9"/>
  <c r="G36" i="9"/>
  <c r="G30" i="9"/>
  <c r="G28" i="9"/>
  <c r="G27" i="9"/>
  <c r="G26" i="9"/>
  <c r="G25" i="9"/>
  <c r="G24" i="9"/>
  <c r="G23" i="9"/>
  <c r="G22" i="9"/>
  <c r="G21" i="9"/>
  <c r="H20" i="9"/>
  <c r="G20" i="9"/>
  <c r="G19" i="9"/>
  <c r="G18" i="9"/>
  <c r="K82" i="9"/>
  <c r="L21" i="2"/>
  <c r="M21" i="2" s="1"/>
  <c r="M20" i="2"/>
  <c r="L20" i="2"/>
  <c r="L19" i="2"/>
  <c r="M19" i="2" s="1"/>
  <c r="I76" i="9" l="1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L26" i="2"/>
  <c r="M26" i="2" s="1"/>
  <c r="L25" i="2"/>
  <c r="M25" i="2" s="1"/>
  <c r="N24" i="2"/>
  <c r="L24" i="2"/>
  <c r="M24" i="2" s="1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I14" i="9"/>
  <c r="H14" i="9"/>
  <c r="F14" i="9"/>
  <c r="E14" i="9"/>
  <c r="G13" i="9"/>
  <c r="G12" i="9"/>
  <c r="G11" i="9"/>
  <c r="G10" i="9"/>
  <c r="G9" i="9"/>
  <c r="G8" i="9"/>
  <c r="G7" i="9"/>
  <c r="G6" i="9"/>
  <c r="G5" i="9"/>
  <c r="G4" i="9"/>
  <c r="L31" i="2"/>
  <c r="M31" i="2" s="1"/>
  <c r="G14" i="9" l="1"/>
  <c r="L78" i="9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5" i="8" l="1"/>
  <c r="D805" i="8"/>
  <c r="E803" i="8"/>
  <c r="D803" i="8"/>
  <c r="E801" i="8"/>
  <c r="D801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D762" i="8"/>
  <c r="E761" i="8"/>
  <c r="D761" i="8"/>
  <c r="E760" i="8"/>
  <c r="D760" i="8"/>
  <c r="E759" i="8"/>
  <c r="D759" i="8"/>
  <c r="E758" i="8"/>
  <c r="D758" i="8"/>
  <c r="E757" i="8"/>
  <c r="D757" i="8"/>
  <c r="D756" i="8"/>
  <c r="D755" i="8"/>
  <c r="D754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D132" i="24" l="1"/>
  <c r="D118" i="24"/>
  <c r="D126" i="24"/>
  <c r="D136" i="24"/>
  <c r="C150" i="24"/>
  <c r="C143" i="24"/>
  <c r="C123" i="24"/>
  <c r="D121" i="24"/>
  <c r="C144" i="24"/>
  <c r="C115" i="24"/>
  <c r="D131" i="24"/>
  <c r="C145" i="24"/>
  <c r="D159" i="24"/>
  <c r="D144" i="24"/>
  <c r="C149" i="24"/>
  <c r="D125" i="24"/>
  <c r="C113" i="24"/>
  <c r="C138" i="24"/>
  <c r="C142" i="24"/>
  <c r="C129" i="24"/>
  <c r="C121" i="24"/>
  <c r="C163" i="24"/>
  <c r="D163" i="24"/>
  <c r="C122" i="24"/>
  <c r="D135" i="24"/>
  <c r="D123" i="24"/>
  <c r="D147" i="24"/>
  <c r="D150" i="24"/>
  <c r="D145" i="24"/>
  <c r="C128" i="24"/>
  <c r="C159" i="24"/>
  <c r="D143" i="24"/>
  <c r="D134" i="24"/>
  <c r="C151" i="24"/>
  <c r="C147" i="24"/>
  <c r="C134" i="24"/>
  <c r="D141" i="24"/>
  <c r="C139" i="24"/>
  <c r="C124" i="24"/>
  <c r="D128" i="24"/>
  <c r="C135" i="24"/>
  <c r="C127" i="24"/>
  <c r="D148" i="24"/>
  <c r="C117" i="24"/>
  <c r="D115" i="24"/>
  <c r="C116" i="24"/>
  <c r="D127" i="24"/>
  <c r="D117" i="24"/>
  <c r="D146" i="24"/>
  <c r="D130" i="24"/>
  <c r="D116" i="24"/>
  <c r="D133" i="24"/>
  <c r="C126" i="24"/>
  <c r="C133" i="24"/>
  <c r="C120" i="24"/>
  <c r="D149" i="24"/>
  <c r="C137" i="24"/>
  <c r="C130" i="24"/>
  <c r="C140" i="24"/>
  <c r="C161" i="24"/>
  <c r="D161" i="24"/>
  <c r="D137" i="24"/>
  <c r="D151" i="24"/>
  <c r="C148" i="24"/>
  <c r="C136" i="24"/>
  <c r="D124" i="24"/>
  <c r="C132" i="24"/>
  <c r="D139" i="24"/>
  <c r="D119" i="24"/>
  <c r="C125" i="24"/>
  <c r="C146" i="24"/>
  <c r="D140" i="24"/>
  <c r="D142" i="24"/>
  <c r="D138" i="24"/>
  <c r="C131" i="24"/>
  <c r="C114" i="24"/>
  <c r="C118" i="24"/>
  <c r="D122" i="24"/>
  <c r="C119" i="24"/>
  <c r="C112" i="24"/>
  <c r="D129" i="24"/>
</calcChain>
</file>

<file path=xl/sharedStrings.xml><?xml version="1.0" encoding="utf-8"?>
<sst xmlns="http://schemas.openxmlformats.org/spreadsheetml/2006/main" count="8621" uniqueCount="997">
  <si>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</si>
  <si>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</si>
  <si>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</si>
  <si>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</si>
  <si>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</si>
  <si>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</si>
  <si>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</si>
  <si>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</si>
  <si>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</si>
  <si>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</si>
  <si>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</si>
  <si>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</si>
  <si>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</si>
  <si>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</si>
  <si>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</si>
  <si>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</si>
  <si>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</si>
  <si>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</si>
  <si>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</si>
  <si>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</si>
  <si>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</si>
  <si>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</si>
  <si>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</si>
  <si>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</si>
  <si>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</si>
  <si>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</si>
  <si>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</si>
  <si>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</si>
  <si>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</si>
  <si>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</si>
  <si>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</si>
  <si>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</si>
  <si>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</si>
  <si>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</si>
  <si>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</si>
  <si>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</si>
  <si>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</si>
  <si>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</si>
  <si>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</si>
  <si>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</si>
  <si>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</si>
  <si>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</si>
  <si>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</si>
  <si>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</si>
  <si>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</si>
  <si>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</si>
  <si>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</si>
  <si>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</si>
  <si>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</si>
  <si>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</si>
  <si>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</si>
  <si>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</si>
  <si>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</si>
  <si>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</si>
  <si>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</si>
  <si>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</si>
  <si>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</si>
  <si>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</si>
  <si>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</si>
  <si>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</si>
  <si>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</si>
  <si>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</si>
  <si>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</si>
  <si>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</si>
  <si>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</si>
  <si>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</si>
  <si>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</si>
  <si>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</si>
  <si>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</si>
  <si>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</si>
  <si>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</si>
  <si>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</si>
  <si>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</si>
  <si>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</si>
  <si>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</si>
  <si>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</si>
  <si>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</si>
  <si>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</si>
  <si>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</si>
  <si>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</si>
  <si>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</si>
  <si>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</si>
  <si>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</si>
  <si>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</si>
  <si>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</si>
  <si>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</si>
  <si>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</si>
  <si>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</si>
  <si>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</si>
  <si>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</si>
  <si>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</si>
  <si>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</si>
  <si>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</si>
  <si>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</si>
  <si>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</si>
  <si>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</si>
  <si>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</si>
  <si>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</si>
  <si>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</si>
  <si>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</si>
  <si>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</si>
  <si>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</si>
  <si>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</si>
  <si>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</si>
  <si>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</si>
  <si>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</si>
  <si>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</si>
  <si>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</si>
  <si>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</si>
  <si>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</si>
  <si>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</si>
  <si>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</si>
  <si>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</si>
  <si>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</si>
  <si>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</si>
  <si>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</si>
  <si>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</si>
  <si>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</si>
  <si>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</si>
  <si>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</si>
  <si>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</si>
  <si>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</si>
  <si>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</si>
  <si>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</si>
  <si>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</si>
  <si>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</si>
  <si>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</si>
  <si>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</si>
  <si>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</si>
  <si>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</si>
  <si>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</si>
  <si>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</si>
  <si>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</si>
  <si>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</si>
  <si>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</si>
  <si>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</si>
  <si>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</si>
  <si>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</si>
  <si>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</si>
  <si>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</si>
  <si>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</si>
  <si>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</si>
  <si>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</si>
  <si>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</si>
  <si>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</si>
  <si>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</si>
  <si>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</si>
  <si>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</si>
  <si>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</si>
  <si>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</si>
  <si>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</si>
  <si>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</si>
  <si>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</si>
  <si>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</si>
  <si>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</si>
  <si>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</si>
  <si>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</si>
  <si>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</si>
  <si>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</si>
  <si>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</si>
  <si>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</si>
  <si>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</si>
  <si>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</si>
  <si>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</si>
  <si>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</si>
  <si>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</si>
  <si>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</si>
  <si>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</si>
  <si>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</si>
  <si>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</si>
  <si>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</si>
  <si>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</si>
  <si>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</si>
  <si>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</si>
  <si>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</si>
  <si>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</si>
  <si>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</si>
  <si>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</si>
  <si>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</si>
  <si>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</si>
  <si>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</si>
  <si>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</si>
  <si>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</si>
  <si>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</si>
  <si>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</si>
  <si>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</si>
  <si>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</si>
  <si>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</si>
  <si>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</si>
  <si>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</si>
  <si>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</si>
  <si>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</si>
  <si>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</si>
  <si>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</si>
  <si>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</si>
  <si>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</si>
  <si>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</si>
  <si>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</si>
  <si>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</si>
  <si>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</si>
  <si>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</si>
  <si>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</si>
  <si>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</si>
  <si>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</si>
  <si>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</si>
  <si>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</si>
  <si>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</si>
  <si>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</si>
  <si>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</si>
  <si>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</si>
  <si>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</si>
  <si>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</si>
  <si>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</si>
  <si>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</si>
  <si>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</si>
  <si>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</si>
  <si>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</si>
  <si>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</si>
  <si>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</si>
  <si>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</si>
  <si>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</si>
  <si>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</si>
  <si>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</si>
  <si>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</si>
  <si>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</si>
  <si>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</si>
  <si>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</si>
  <si>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</si>
  <si>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</si>
  <si>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</si>
  <si>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</si>
  <si>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</si>
  <si>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</si>
  <si>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</si>
  <si>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</si>
  <si>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</si>
  <si>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</si>
  <si>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</si>
  <si>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</si>
  <si>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</si>
  <si>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</si>
  <si>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</si>
  <si>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</si>
  <si>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</si>
  <si>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</si>
  <si>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</si>
  <si>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</si>
  <si>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</si>
  <si>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</si>
  <si>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</si>
  <si>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</si>
  <si>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</si>
  <si>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</si>
  <si>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</si>
  <si>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</si>
  <si>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</si>
  <si>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</si>
  <si>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</si>
  <si>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</si>
  <si>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</si>
  <si>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</si>
  <si>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</si>
  <si>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</si>
  <si>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</si>
  <si>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</si>
  <si>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</si>
  <si>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</si>
  <si>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</si>
  <si>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</si>
  <si>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</si>
  <si>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</si>
  <si>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</si>
  <si>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</si>
  <si>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</si>
  <si>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</si>
  <si>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</si>
  <si>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</si>
  <si>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</si>
  <si>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</si>
  <si>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</si>
  <si>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</si>
  <si>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</si>
  <si>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</si>
  <si>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</si>
  <si>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</si>
  <si>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</si>
  <si>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</si>
  <si>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</si>
  <si>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</si>
  <si>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</si>
  <si>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</si>
  <si>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</si>
  <si>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</si>
  <si>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</si>
  <si>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</si>
  <si>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</si>
  <si>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</si>
  <si>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</si>
  <si>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</si>
  <si>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</si>
  <si>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</si>
  <si>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</si>
  <si>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</si>
  <si>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</si>
  <si>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</si>
  <si>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</si>
  <si>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</si>
  <si>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</si>
  <si>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</si>
  <si>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</si>
  <si>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</si>
  <si>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</si>
  <si>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</si>
  <si>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</si>
  <si>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</si>
  <si>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</si>
  <si>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</si>
  <si>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</si>
  <si>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</si>
  <si>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</si>
  <si>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</si>
  <si>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</si>
  <si>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</si>
  <si>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</si>
  <si>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</si>
  <si>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</si>
  <si>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</si>
  <si>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</si>
  <si>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</si>
  <si>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</si>
  <si>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</si>
  <si>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</si>
  <si>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</si>
  <si>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</si>
  <si>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</si>
  <si>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</si>
  <si>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</si>
  <si>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</si>
  <si>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</si>
  <si>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</si>
  <si>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</si>
  <si>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</si>
  <si>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</si>
  <si>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</si>
  <si>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</si>
  <si>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</si>
  <si>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</si>
  <si>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</si>
  <si>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</si>
  <si>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</si>
  <si>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</si>
  <si>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</si>
  <si>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</si>
  <si>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</si>
  <si>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</si>
  <si>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</si>
  <si>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</si>
  <si>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</si>
  <si>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</si>
  <si>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</si>
  <si>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</si>
  <si>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</si>
  <si>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</si>
  <si>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</si>
  <si>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</si>
  <si>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</si>
  <si>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</si>
  <si>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</si>
  <si>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</si>
  <si>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</si>
  <si>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</si>
  <si>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</si>
  <si>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</si>
  <si>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</si>
  <si>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</si>
  <si>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</si>
  <si>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</si>
  <si>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</si>
  <si>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</si>
  <si>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</si>
  <si>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</si>
  <si>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</si>
  <si>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</si>
  <si>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</si>
  <si>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</si>
  <si>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</si>
  <si>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</si>
  <si>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</si>
  <si>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</si>
  <si>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</si>
  <si>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</si>
  <si>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</si>
  <si>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</si>
  <si>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</si>
  <si>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</si>
  <si>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</si>
  <si>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</si>
  <si>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</si>
  <si>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</si>
  <si>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</si>
  <si>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</si>
  <si>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</si>
  <si>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</si>
  <si>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</si>
  <si>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</si>
  <si>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</si>
  <si>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</si>
  <si>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</si>
  <si>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</si>
  <si>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</si>
  <si>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</si>
  <si>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</si>
  <si>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</si>
  <si>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</si>
  <si>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</si>
  <si>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</si>
  <si>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</si>
  <si>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</si>
  <si>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</si>
  <si>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</si>
  <si>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</si>
  <si>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</si>
  <si>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</si>
  <si>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</si>
  <si>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</si>
  <si>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</si>
  <si>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</si>
  <si>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</si>
  <si>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</si>
  <si>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</si>
  <si>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</si>
  <si>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</si>
  <si>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</si>
  <si>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</si>
  <si>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</si>
  <si>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</si>
  <si>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</si>
  <si>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</si>
  <si>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</si>
  <si>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</si>
  <si>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</si>
  <si>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</si>
  <si>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</si>
  <si>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</si>
  <si>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</si>
  <si>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</si>
  <si>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</si>
  <si>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</si>
  <si>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</si>
  <si>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</si>
  <si>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</si>
  <si>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</si>
  <si>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</si>
  <si>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</si>
  <si>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</si>
  <si>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</si>
  <si>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</si>
  <si>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</si>
  <si>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</si>
  <si>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</si>
  <si>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</si>
  <si>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</si>
  <si>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</si>
  <si>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</si>
  <si>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</si>
  <si>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</si>
  <si>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</si>
  <si>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</si>
  <si>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</si>
  <si>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</si>
  <si>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</si>
  <si>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</si>
  <si>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</si>
  <si>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</si>
  <si>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</si>
  <si>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</si>
  <si>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</si>
  <si>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</si>
  <si>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</si>
  <si>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</si>
  <si>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</si>
  <si>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</si>
  <si>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</si>
  <si>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</si>
  <si>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</si>
  <si>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</si>
  <si>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</si>
  <si>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</si>
  <si>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</si>
  <si>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</si>
  <si>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</si>
  <si>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</si>
  <si>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</si>
  <si>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</si>
  <si>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</si>
  <si>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</si>
  <si>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</si>
  <si>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</si>
  <si>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</si>
  <si>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</si>
  <si>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</si>
  <si>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</si>
  <si>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</si>
  <si>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</si>
  <si>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</si>
  <si>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</si>
  <si>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</si>
  <si>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</si>
  <si>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</si>
  <si>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</si>
  <si>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</si>
  <si>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</si>
  <si>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</si>
  <si>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</si>
  <si>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</si>
  <si>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</si>
  <si>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</si>
  <si>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</si>
  <si>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</si>
  <si>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</si>
  <si>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</si>
  <si>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</si>
  <si>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</si>
  <si>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</si>
  <si>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</si>
  <si>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</si>
  <si>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</si>
  <si>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</si>
  <si>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</si>
  <si>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</si>
  <si>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</si>
  <si>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</si>
  <si>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</si>
  <si>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</si>
  <si>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</si>
  <si>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</si>
  <si>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</si>
  <si>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</si>
  <si>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</si>
  <si>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</si>
  <si>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</si>
  <si>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</si>
  <si>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</si>
  <si>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</si>
  <si>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</si>
  <si>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</si>
  <si>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</si>
  <si>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</si>
  <si>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</si>
  <si>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</si>
  <si>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</si>
  <si>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</si>
  <si>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</si>
  <si>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</si>
  <si>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</si>
  <si>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</si>
  <si>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</si>
  <si>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</si>
  <si>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</si>
  <si>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</si>
  <si>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</si>
  <si>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</si>
  <si>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</si>
  <si>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</si>
  <si>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</si>
  <si>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</si>
  <si>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</si>
  <si>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</si>
  <si>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</si>
  <si>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</si>
  <si>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</si>
  <si>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</si>
  <si>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</si>
  <si>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</si>
  <si>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</si>
  <si>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</si>
  <si>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</si>
  <si>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</si>
  <si>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</si>
  <si>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</si>
  <si>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</si>
  <si>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</si>
  <si>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</si>
  <si>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</si>
  <si>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</si>
  <si>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</si>
  <si>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</si>
  <si>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</si>
  <si>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</si>
  <si>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</si>
  <si>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</si>
  <si>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</si>
  <si>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</si>
  <si>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</si>
  <si>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</si>
  <si>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</si>
  <si>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</si>
  <si>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</si>
  <si>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</si>
  <si>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</si>
  <si>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</si>
  <si>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</si>
  <si>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</si>
  <si>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</si>
  <si>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</si>
  <si>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</si>
  <si>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</si>
  <si>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</si>
  <si>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</si>
  <si>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</si>
  <si>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</si>
  <si>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</si>
  <si>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</si>
  <si>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</si>
  <si>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</si>
  <si>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</si>
  <si>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</si>
  <si>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</si>
  <si>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</si>
  <si>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</si>
  <si>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</si>
  <si>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</si>
  <si>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</si>
  <si>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</si>
  <si>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</si>
  <si>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</si>
  <si>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</si>
  <si>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</si>
  <si>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</si>
  <si>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</si>
  <si>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</si>
  <si>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</si>
  <si>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</si>
  <si>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</si>
  <si>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</si>
  <si>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</si>
  <si>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</si>
  <si>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</si>
  <si>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</si>
  <si>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</si>
  <si>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</si>
  <si>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</si>
  <si>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</si>
  <si>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</si>
  <si>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</si>
  <si>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</si>
  <si>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</si>
  <si>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</si>
  <si>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</si>
  <si>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</si>
  <si>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</si>
  <si>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</si>
  <si>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</si>
  <si>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</si>
  <si>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</si>
  <si>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</si>
  <si>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</si>
  <si>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</si>
  <si>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</si>
  <si>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</si>
  <si>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</si>
  <si>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</si>
  <si>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</si>
  <si>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</si>
  <si>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</si>
  <si>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</si>
  <si>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</si>
  <si>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</si>
  <si>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</si>
  <si>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</si>
  <si>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</si>
  <si>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</si>
  <si>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</si>
  <si>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</si>
  <si>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</si>
  <si>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</si>
  <si>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</si>
  <si>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</si>
  <si>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</si>
  <si>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</si>
  <si>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</si>
  <si>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</si>
  <si>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</si>
  <si>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</si>
  <si>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</si>
  <si>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</si>
  <si>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</si>
  <si>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</si>
  <si>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</si>
  <si>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</si>
  <si>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</si>
  <si>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</si>
  <si>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</si>
  <si>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</si>
  <si>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</si>
  <si>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</si>
  <si>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</si>
  <si>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</si>
  <si>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</si>
  <si>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</si>
  <si>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</si>
  <si>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</si>
  <si>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</si>
  <si>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</si>
  <si>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</si>
  <si>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</si>
  <si>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</si>
  <si>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</si>
  <si>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</si>
  <si>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</si>
  <si>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</si>
  <si>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</si>
  <si>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</si>
  <si>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</si>
  <si>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</si>
  <si>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</si>
  <si>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</si>
  <si>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</si>
  <si>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</si>
  <si>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</si>
  <si>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</si>
  <si>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</si>
  <si>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</si>
  <si>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</si>
  <si>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</si>
  <si>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</si>
  <si>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</si>
  <si>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</si>
  <si>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</si>
  <si>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</si>
  <si>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</si>
  <si>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</si>
  <si>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</si>
  <si>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</si>
  <si>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</si>
  <si>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</si>
  <si>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</si>
  <si>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</si>
  <si>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</si>
  <si>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</si>
  <si>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</si>
  <si>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</si>
  <si>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</si>
  <si>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</si>
  <si>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</si>
  <si>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</si>
  <si>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</si>
  <si>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</si>
  <si>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</si>
  <si>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</si>
  <si>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</si>
  <si>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</si>
  <si>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</si>
  <si>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</si>
  <si>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</si>
  <si>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</si>
  <si>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</si>
  <si>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</si>
  <si>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</si>
  <si>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</si>
  <si>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</si>
  <si>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</si>
  <si>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</si>
  <si>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</si>
  <si>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</si>
  <si>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</si>
  <si>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</si>
  <si>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</si>
  <si>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</si>
  <si>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</si>
  <si>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</si>
  <si>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</si>
  <si>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</si>
  <si>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</si>
  <si>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</si>
  <si>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</si>
  <si>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</si>
  <si>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</si>
  <si>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</si>
  <si>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</si>
  <si>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</si>
  <si>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</si>
  <si>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</si>
  <si>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</si>
  <si>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</si>
  <si>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</si>
  <si>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</si>
  <si>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</si>
  <si>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</si>
  <si>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</si>
  <si>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</si>
  <si>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</si>
  <si>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</si>
  <si>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</si>
  <si>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</si>
  <si>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</si>
  <si>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</si>
  <si>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</si>
  <si>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</si>
  <si>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</si>
  <si>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</si>
  <si>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</si>
  <si>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</si>
  <si>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</si>
  <si>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</si>
  <si>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</si>
  <si>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</si>
  <si>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</si>
  <si>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</si>
  <si>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</si>
  <si>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</si>
  <si>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</si>
  <si>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</si>
  <si>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</si>
  <si>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</si>
  <si>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</si>
  <si>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</si>
  <si>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</si>
  <si>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</si>
  <si>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</si>
  <si>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</si>
  <si>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</si>
  <si>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</si>
  <si>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</si>
  <si>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</si>
  <si>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</si>
  <si>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</si>
  <si>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</si>
  <si>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</si>
  <si>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</si>
  <si>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</si>
  <si>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</si>
  <si>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</si>
  <si>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</si>
  <si>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</si>
  <si>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</si>
  <si>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</si>
  <si>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</si>
  <si>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</si>
  <si>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</si>
  <si>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</si>
  <si>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</si>
  <si>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</si>
  <si>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</si>
  <si>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</si>
  <si>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</si>
  <si>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</si>
  <si>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</si>
  <si>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</si>
  <si>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</si>
  <si>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</si>
  <si>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</si>
  <si>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</si>
  <si>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</si>
  <si>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</si>
  <si>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</si>
  <si>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</si>
  <si>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</si>
  <si>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</si>
  <si>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</si>
  <si>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</si>
  <si>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</si>
  <si>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</si>
  <si>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</si>
  <si>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</si>
  <si>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</si>
  <si>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</si>
  <si>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</si>
  <si>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</si>
  <si>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</si>
  <si>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</si>
  <si>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</si>
  <si>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</si>
  <si>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</si>
  <si>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</si>
  <si>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</si>
  <si>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</si>
  <si>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</si>
  <si>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</si>
  <si>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</si>
  <si>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</si>
  <si>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</si>
  <si>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</si>
  <si>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</si>
  <si>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</si>
  <si>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</si>
  <si>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</si>
  <si>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</si>
  <si>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</si>
  <si>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</si>
  <si>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</si>
  <si>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</si>
  <si>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</si>
  <si>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</si>
  <si>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</si>
  <si>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</si>
  <si>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</si>
  <si>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</si>
  <si>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</si>
  <si>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</si>
  <si>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</si>
  <si>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</si>
  <si>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</si>
  <si>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</si>
  <si>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</si>
  <si>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</si>
  <si>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</si>
  <si>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</si>
  <si>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</si>
  <si>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</si>
  <si>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</si>
  <si>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</si>
  <si>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</si>
  <si>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</si>
  <si>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</si>
  <si>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</si>
  <si>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</si>
  <si>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</si>
  <si>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</si>
  <si>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</si>
  <si>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</si>
  <si>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</si>
  <si>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</si>
  <si>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</si>
  <si>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</si>
  <si>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</si>
  <si>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</si>
  <si>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</si>
  <si>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</si>
  <si>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</si>
  <si>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</si>
  <si>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</si>
  <si>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</si>
  <si>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</si>
  <si>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</si>
  <si>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</si>
  <si>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</si>
  <si>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</si>
  <si>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</si>
  <si>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</si>
  <si>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</si>
  <si>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</si>
  <si>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</si>
  <si>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</si>
  <si>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</si>
  <si>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</si>
  <si>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</si>
  <si>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</si>
  <si>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</si>
  <si>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</si>
  <si>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</si>
  <si>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</si>
  <si>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</si>
  <si>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</si>
  <si>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</si>
  <si>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</si>
  <si>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</si>
  <si>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</si>
  <si>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</si>
  <si>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</si>
  <si>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</si>
  <si>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</si>
  <si>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</si>
  <si>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</si>
  <si>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</si>
  <si>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</si>
  <si>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</si>
  <si>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</si>
  <si>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</si>
  <si>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</si>
  <si>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</si>
  <si>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</si>
  <si>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</si>
  <si>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</si>
  <si>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</si>
  <si>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</si>
  <si>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</si>
  <si>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</si>
  <si>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</si>
  <si>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</si>
  <si>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</si>
  <si>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Material Shifting under Progress </t>
  </si>
  <si>
    <t xml:space="preserve">4/13 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</si>
  <si>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</si>
  <si>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</si>
  <si>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</si>
  <si>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</si>
  <si>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</si>
  <si>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</si>
  <si>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</si>
  <si>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>WIP  - 3/1, 8/3,  36/0, 39/8,43B/0</t>
  </si>
  <si>
    <t xml:space="preserve">17/0-18/0 (  1.539 km ) - Pilot Paying out  u/p    ;  AP 13/0 to 14/0(4.900 km) -Insulator Hosting Done </t>
  </si>
  <si>
    <t xml:space="preserve">Ground Assembling under Progress </t>
  </si>
  <si>
    <t>1st Section Done</t>
  </si>
  <si>
    <t xml:space="preserve">2nd Section Done </t>
  </si>
  <si>
    <t xml:space="preserve">Cage   Section Done </t>
  </si>
  <si>
    <t>07-`11-2025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</si>
</sst>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/>
      <top style="medium">
        <color rgb="FF8496B0"/>
      </top>
      <bottom style="medium">
        <color rgb="FF8496B0"/>
      </bottom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4" applyNumberFormat="0" applyAlignment="0" applyProtection="0"/>
    <xf numFmtId="0" fontId="39" fillId="30" borderId="65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6" applyNumberFormat="0" applyFill="0" applyAlignment="0" applyProtection="0"/>
    <xf numFmtId="0" fontId="44" fillId="0" borderId="67" applyNumberFormat="0" applyFill="0" applyAlignment="0" applyProtection="0"/>
    <xf numFmtId="0" fontId="45" fillId="0" borderId="68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4" applyNumberFormat="0" applyAlignment="0" applyProtection="0"/>
    <xf numFmtId="0" fontId="47" fillId="0" borderId="69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70" applyNumberFormat="0" applyFont="0" applyAlignment="0" applyProtection="0"/>
    <xf numFmtId="0" fontId="4" fillId="33" borderId="41" applyNumberFormat="0" applyFont="0" applyAlignment="0" applyProtection="0"/>
    <xf numFmtId="0" fontId="49" fillId="29" borderId="71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2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85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3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3" xfId="8" applyFont="1" applyFill="1" applyBorder="1" applyAlignment="1">
      <alignment vertical="center"/>
    </xf>
    <xf numFmtId="0" fontId="19" fillId="2" borderId="33" xfId="8" applyFont="1" applyFill="1" applyBorder="1" applyAlignment="1">
      <alignment horizontal="center" vertical="center"/>
    </xf>
    <xf numFmtId="0" fontId="8" fillId="2" borderId="30" xfId="8" applyFont="1" applyFill="1" applyBorder="1" applyAlignment="1">
      <alignment vertical="center"/>
    </xf>
    <xf numFmtId="0" fontId="16" fillId="2" borderId="30" xfId="8" applyFont="1" applyFill="1" applyBorder="1" applyAlignment="1">
      <alignment vertical="center"/>
    </xf>
    <xf numFmtId="0" fontId="16" fillId="2" borderId="26" xfId="8" applyFont="1" applyFill="1" applyBorder="1" applyAlignment="1">
      <alignment vertical="center"/>
    </xf>
    <xf numFmtId="0" fontId="7" fillId="2" borderId="45" xfId="8" applyFont="1" applyFill="1" applyBorder="1" applyAlignment="1">
      <alignment horizontal="center"/>
    </xf>
    <xf numFmtId="0" fontId="16" fillId="2" borderId="39" xfId="8" applyFont="1" applyFill="1" applyBorder="1" applyAlignment="1">
      <alignment vertical="center"/>
    </xf>
    <xf numFmtId="0" fontId="18" fillId="2" borderId="30" xfId="8" applyFont="1" applyFill="1" applyBorder="1" applyAlignment="1">
      <alignment horizontal="center"/>
    </xf>
    <xf numFmtId="0" fontId="18" fillId="2" borderId="39" xfId="8" applyFont="1" applyFill="1" applyBorder="1" applyAlignment="1">
      <alignment horizontal="center"/>
    </xf>
    <xf numFmtId="0" fontId="8" fillId="2" borderId="26" xfId="8" applyFont="1" applyFill="1" applyBorder="1" applyAlignment="1">
      <alignment horizontal="center"/>
    </xf>
    <xf numFmtId="0" fontId="8" fillId="2" borderId="30" xfId="8" applyFont="1" applyFill="1" applyBorder="1" applyAlignment="1">
      <alignment horizontal="center"/>
    </xf>
    <xf numFmtId="0" fontId="16" fillId="2" borderId="31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5" xfId="8" applyFont="1" applyFill="1" applyBorder="1"/>
    <xf numFmtId="0" fontId="16" fillId="2" borderId="36" xfId="8" applyFont="1" applyFill="1" applyBorder="1"/>
    <xf numFmtId="0" fontId="5" fillId="2" borderId="36" xfId="8" applyFont="1" applyFill="1" applyBorder="1" applyAlignment="1">
      <alignment horizontal="center"/>
    </xf>
    <xf numFmtId="0" fontId="8" fillId="2" borderId="35" xfId="8" applyFont="1" applyFill="1" applyBorder="1" applyAlignment="1">
      <alignment vertical="center"/>
    </xf>
    <xf numFmtId="0" fontId="8" fillId="2" borderId="0" xfId="8" applyFont="1" applyFill="1"/>
    <xf numFmtId="0" fontId="8" fillId="2" borderId="36" xfId="8" applyFont="1" applyFill="1" applyBorder="1" applyAlignment="1">
      <alignment horizontal="center"/>
    </xf>
    <xf numFmtId="0" fontId="8" fillId="2" borderId="33" xfId="8" applyFont="1" applyFill="1" applyBorder="1" applyAlignment="1">
      <alignment horizontal="center"/>
    </xf>
    <xf numFmtId="0" fontId="8" fillId="7" borderId="25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6" xfId="8" applyFont="1" applyFill="1" applyBorder="1"/>
    <xf numFmtId="0" fontId="7" fillId="2" borderId="35" xfId="8" applyFont="1" applyFill="1" applyBorder="1"/>
    <xf numFmtId="0" fontId="8" fillId="2" borderId="0" xfId="8" applyFont="1" applyFill="1" applyAlignment="1">
      <alignment wrapText="1"/>
    </xf>
    <xf numFmtId="0" fontId="7" fillId="2" borderId="30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20" fillId="2" borderId="36" xfId="8" applyFont="1" applyFill="1" applyBorder="1" applyAlignment="1">
      <alignment horizontal="center"/>
    </xf>
    <xf numFmtId="0" fontId="18" fillId="2" borderId="36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6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5" xfId="8" applyFont="1" applyFill="1" applyBorder="1"/>
    <xf numFmtId="0" fontId="20" fillId="2" borderId="0" xfId="8" applyFont="1" applyFill="1"/>
    <xf numFmtId="0" fontId="20" fillId="2" borderId="36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3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3" xfId="8" applyFont="1" applyFill="1" applyBorder="1"/>
    <xf numFmtId="1" fontId="8" fillId="2" borderId="48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51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/>
    </xf>
    <xf numFmtId="1" fontId="19" fillId="2" borderId="52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3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3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6" xfId="8" applyNumberFormat="1" applyFont="1" applyFill="1" applyBorder="1" applyAlignment="1">
      <alignment horizontal="center"/>
    </xf>
    <xf numFmtId="1" fontId="8" fillId="2" borderId="4" xfId="8" applyNumberFormat="1" applyFont="1" applyFill="1" applyBorder="1" applyAlignment="1">
      <alignment horizontal="center" vertical="center"/>
    </xf>
    <xf numFmtId="1" fontId="8" fillId="2" borderId="51" xfId="8" applyNumberFormat="1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3" xfId="8" applyFont="1" applyFill="1" applyBorder="1" applyAlignment="1">
      <alignment horizontal="center"/>
    </xf>
    <xf numFmtId="0" fontId="0" fillId="0" borderId="32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3" xfId="8" applyFont="1" applyBorder="1"/>
    <xf numFmtId="0" fontId="4" fillId="2" borderId="0" xfId="9" applyFill="1" applyAlignment="1">
      <alignment horizontal="center"/>
    </xf>
    <xf numFmtId="1" fontId="8" fillId="2" borderId="48" xfId="8" applyNumberFormat="1" applyFont="1" applyFill="1" applyBorder="1" applyAlignment="1">
      <alignment horizontal="center" vertical="center"/>
    </xf>
    <xf numFmtId="1" fontId="19" fillId="2" borderId="56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3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3" xfId="8" applyNumberFormat="1" applyFont="1" applyBorder="1" applyAlignment="1">
      <alignment horizontal="center" vertical="top"/>
    </xf>
    <xf numFmtId="0" fontId="8" fillId="2" borderId="51" xfId="8" applyFont="1" applyFill="1" applyBorder="1" applyAlignment="1">
      <alignment horizontal="center" vertical="center"/>
    </xf>
    <xf numFmtId="1" fontId="19" fillId="2" borderId="52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50" xfId="8" applyNumberFormat="1" applyFont="1" applyFill="1" applyBorder="1" applyAlignment="1">
      <alignment horizontal="center" vertical="center"/>
    </xf>
    <xf numFmtId="1" fontId="8" fillId="2" borderId="48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3" xfId="8" applyNumberFormat="1" applyFont="1" applyFill="1" applyBorder="1" applyAlignment="1">
      <alignment horizontal="center" vertical="top"/>
    </xf>
    <xf numFmtId="0" fontId="8" fillId="2" borderId="48" xfId="8" applyFont="1" applyFill="1" applyBorder="1" applyAlignment="1">
      <alignment horizontal="center" vertical="center"/>
    </xf>
    <xf numFmtId="0" fontId="8" fillId="2" borderId="4" xfId="8" applyFont="1" applyFill="1" applyBorder="1" applyAlignment="1">
      <alignment horizontal="center" vertical="center"/>
    </xf>
    <xf numFmtId="0" fontId="8" fillId="2" borderId="51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2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8" xfId="8" applyNumberFormat="1" applyFont="1" applyFill="1" applyBorder="1" applyAlignment="1">
      <alignment horizontal="right" vertical="center"/>
    </xf>
    <xf numFmtId="1" fontId="8" fillId="2" borderId="51" xfId="8" applyNumberFormat="1" applyFont="1" applyFill="1" applyBorder="1" applyAlignment="1">
      <alignment horizontal="right" vertical="center"/>
    </xf>
    <xf numFmtId="0" fontId="19" fillId="0" borderId="33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3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8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8" fillId="0" borderId="51" xfId="8" applyNumberFormat="1" applyFont="1" applyBorder="1" applyAlignment="1">
      <alignment horizontal="center" vertical="center"/>
    </xf>
    <xf numFmtId="1" fontId="19" fillId="0" borderId="56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3" xfId="0" applyFont="1" applyBorder="1"/>
    <xf numFmtId="0" fontId="31" fillId="0" borderId="0" xfId="8" applyFont="1"/>
    <xf numFmtId="0" fontId="32" fillId="0" borderId="33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2" xfId="8" applyNumberFormat="1" applyFont="1" applyBorder="1" applyAlignment="1">
      <alignment horizontal="center" vertical="center"/>
    </xf>
    <xf numFmtId="17" fontId="25" fillId="0" borderId="59" xfId="8" quotePrefix="1" applyNumberFormat="1" applyFont="1" applyBorder="1" applyAlignment="1">
      <alignment horizontal="center" vertical="center"/>
    </xf>
    <xf numFmtId="0" fontId="33" fillId="0" borderId="33" xfId="8" applyFont="1" applyBorder="1" applyAlignment="1">
      <alignment horizontal="center" vertical="center"/>
    </xf>
    <xf numFmtId="0" fontId="33" fillId="2" borderId="33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3" xfId="0" applyFont="1" applyBorder="1"/>
    <xf numFmtId="0" fontId="30" fillId="0" borderId="60" xfId="0" applyFont="1" applyBorder="1"/>
    <xf numFmtId="49" fontId="19" fillId="0" borderId="61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2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3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5" xfId="8" applyFont="1" applyFill="1" applyBorder="1"/>
    <xf numFmtId="0" fontId="7" fillId="2" borderId="32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4" xfId="8" applyFont="1" applyFill="1" applyBorder="1"/>
    <xf numFmtId="0" fontId="20" fillId="2" borderId="4" xfId="8" applyFont="1" applyFill="1" applyBorder="1" applyAlignment="1">
      <alignment horizontal="center" vertical="center"/>
    </xf>
    <xf numFmtId="0" fontId="20" fillId="2" borderId="10" xfId="8" applyFont="1" applyFill="1" applyBorder="1"/>
    <xf numFmtId="0" fontId="20" fillId="2" borderId="4" xfId="8" applyFont="1" applyFill="1" applyBorder="1"/>
    <xf numFmtId="0" fontId="20" fillId="2" borderId="9" xfId="8" applyFont="1" applyFill="1" applyBorder="1"/>
    <xf numFmtId="0" fontId="7" fillId="2" borderId="4" xfId="8" applyFont="1" applyFill="1" applyBorder="1"/>
    <xf numFmtId="0" fontId="8" fillId="2" borderId="10" xfId="8" applyFont="1" applyFill="1" applyBorder="1" applyAlignment="1">
      <alignment horizontal="center"/>
    </xf>
    <xf numFmtId="0" fontId="8" fillId="2" borderId="4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 vertical="center"/>
    </xf>
    <xf numFmtId="0" fontId="8" fillId="2" borderId="56" xfId="8" applyFont="1" applyFill="1" applyBorder="1" applyAlignment="1">
      <alignment horizontal="center"/>
    </xf>
    <xf numFmtId="0" fontId="0" fillId="0" borderId="29" xfId="0" applyBorder="1"/>
    <xf numFmtId="0" fontId="19" fillId="2" borderId="56" xfId="8" applyFont="1" applyFill="1" applyBorder="1" applyAlignment="1">
      <alignment horizontal="center" vertical="center"/>
    </xf>
    <xf numFmtId="1" fontId="8" fillId="2" borderId="32" xfId="8" applyNumberFormat="1" applyFont="1" applyFill="1" applyBorder="1" applyAlignment="1">
      <alignment horizontal="center"/>
    </xf>
    <xf numFmtId="1" fontId="8" fillId="0" borderId="4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6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/>
    </xf>
    <xf numFmtId="0" fontId="55" fillId="2" borderId="3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3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/>
    </xf>
    <xf numFmtId="0" fontId="55" fillId="0" borderId="76" xfId="0" applyFont="1" applyBorder="1" applyAlignment="1">
      <alignment horizontal="center" vertical="center"/>
    </xf>
    <xf numFmtId="0" fontId="58" fillId="0" borderId="76" xfId="108" applyFont="1" applyBorder="1" applyAlignment="1" applyProtection="1">
      <alignment horizontal="center" vertical="center"/>
      <protection hidden="1"/>
    </xf>
    <xf numFmtId="1" fontId="55" fillId="0" borderId="76" xfId="0" applyNumberFormat="1" applyFont="1" applyBorder="1" applyAlignment="1">
      <alignment horizontal="center" vertical="center"/>
    </xf>
    <xf numFmtId="2" fontId="55" fillId="0" borderId="76" xfId="0" applyNumberFormat="1" applyFont="1" applyBorder="1" applyAlignment="1">
      <alignment horizontal="center" vertical="center"/>
    </xf>
    <xf numFmtId="167" fontId="56" fillId="0" borderId="76" xfId="7" applyNumberFormat="1" applyFont="1" applyFill="1" applyBorder="1" applyAlignment="1">
      <alignment horizontal="center" vertical="center"/>
    </xf>
    <xf numFmtId="10" fontId="55" fillId="0" borderId="76" xfId="0" applyNumberFormat="1" applyFont="1" applyBorder="1" applyAlignment="1">
      <alignment horizontal="center" vertical="center"/>
    </xf>
    <xf numFmtId="2" fontId="56" fillId="0" borderId="76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1" fontId="8" fillId="0" borderId="78" xfId="5" applyNumberFormat="1" applyFont="1" applyBorder="1" applyAlignment="1">
      <alignment horizontal="center" vertical="center"/>
    </xf>
    <xf numFmtId="0" fontId="8" fillId="6" borderId="80" xfId="5" applyFont="1" applyFill="1" applyBorder="1" applyAlignment="1">
      <alignment horizontal="center" vertical="center"/>
    </xf>
    <xf numFmtId="1" fontId="8" fillId="6" borderId="80" xfId="5" applyNumberFormat="1" applyFont="1" applyFill="1" applyBorder="1" applyAlignment="1">
      <alignment horizontal="center" vertical="center"/>
    </xf>
    <xf numFmtId="0" fontId="56" fillId="0" borderId="8" xfId="5" applyFont="1" applyBorder="1" applyAlignment="1">
      <alignment horizontal="center" vertical="center"/>
    </xf>
    <xf numFmtId="0" fontId="14" fillId="0" borderId="18" xfId="5" applyFont="1" applyBorder="1" applyAlignment="1">
      <alignment horizontal="center" vertical="center"/>
    </xf>
    <xf numFmtId="0" fontId="56" fillId="0" borderId="43" xfId="5" applyFont="1" applyBorder="1" applyAlignment="1">
      <alignment horizontal="center" vertical="center"/>
    </xf>
    <xf numFmtId="0" fontId="14" fillId="0" borderId="76" xfId="5" quotePrefix="1" applyFont="1" applyBorder="1" applyAlignment="1">
      <alignment horizontal="center" vertical="center"/>
    </xf>
    <xf numFmtId="0" fontId="14" fillId="0" borderId="7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2" xfId="0" applyFont="1" applyFill="1" applyBorder="1" applyAlignment="1">
      <alignment horizontal="center"/>
    </xf>
    <xf numFmtId="14" fontId="55" fillId="0" borderId="76" xfId="0" applyNumberFormat="1" applyFont="1" applyBorder="1" applyAlignment="1">
      <alignment horizontal="center"/>
    </xf>
    <xf numFmtId="49" fontId="55" fillId="0" borderId="76" xfId="0" quotePrefix="1" applyNumberFormat="1" applyFont="1" applyBorder="1" applyAlignment="1">
      <alignment horizontal="center"/>
    </xf>
    <xf numFmtId="167" fontId="55" fillId="0" borderId="76" xfId="0" applyNumberFormat="1" applyFont="1" applyBorder="1" applyAlignment="1">
      <alignment horizontal="center" vertical="center"/>
    </xf>
    <xf numFmtId="14" fontId="55" fillId="2" borderId="76" xfId="0" applyNumberFormat="1" applyFont="1" applyFill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5" fillId="2" borderId="3" xfId="0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 vertical="center"/>
    </xf>
    <xf numFmtId="0" fontId="14" fillId="0" borderId="30" xfId="0" applyFont="1" applyBorder="1"/>
    <xf numFmtId="0" fontId="14" fillId="0" borderId="31" xfId="0" applyFont="1" applyBorder="1" applyAlignment="1">
      <alignment vertical="center" wrapText="1"/>
    </xf>
    <xf numFmtId="0" fontId="14" fillId="0" borderId="0" xfId="0" applyFont="1"/>
    <xf numFmtId="0" fontId="14" fillId="0" borderId="33" xfId="0" applyFont="1" applyBorder="1" applyAlignment="1">
      <alignment vertical="center" wrapText="1"/>
    </xf>
    <xf numFmtId="167" fontId="13" fillId="0" borderId="76" xfId="0" applyNumberFormat="1" applyFont="1" applyBorder="1" applyAlignment="1">
      <alignment horizontal="center" vertical="center" wrapText="1"/>
    </xf>
    <xf numFmtId="167" fontId="13" fillId="2" borderId="76" xfId="0" applyNumberFormat="1" applyFont="1" applyFill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4" fillId="0" borderId="33" xfId="0" applyFont="1" applyBorder="1"/>
    <xf numFmtId="0" fontId="13" fillId="0" borderId="17" xfId="0" applyFont="1" applyBorder="1" applyAlignment="1">
      <alignment horizontal="center" vertical="center" wrapText="1"/>
    </xf>
    <xf numFmtId="0" fontId="13" fillId="2" borderId="76" xfId="0" applyFont="1" applyFill="1" applyBorder="1" applyAlignment="1">
      <alignment horizontal="center" vertical="center" wrapText="1"/>
    </xf>
    <xf numFmtId="1" fontId="13" fillId="0" borderId="76" xfId="0" applyNumberFormat="1" applyFont="1" applyBorder="1" applyAlignment="1">
      <alignment horizontal="center" vertical="center" wrapText="1"/>
    </xf>
    <xf numFmtId="0" fontId="14" fillId="2" borderId="76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168" fontId="13" fillId="0" borderId="76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3" borderId="76" xfId="1" applyFont="1" applyFill="1" applyBorder="1" applyAlignment="1">
      <alignment horizontal="center" vertical="center" wrapText="1"/>
    </xf>
    <xf numFmtId="0" fontId="13" fillId="2" borderId="76" xfId="1" applyFont="1" applyFill="1" applyBorder="1" applyAlignment="1">
      <alignment horizontal="center" vertical="center" wrapText="1"/>
    </xf>
    <xf numFmtId="1" fontId="13" fillId="2" borderId="76" xfId="1" applyNumberFormat="1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/>
    </xf>
    <xf numFmtId="1" fontId="8" fillId="2" borderId="48" xfId="8" applyNumberFormat="1" applyFont="1" applyFill="1" applyBorder="1" applyAlignment="1">
      <alignment horizontal="right"/>
    </xf>
    <xf numFmtId="1" fontId="8" fillId="2" borderId="51" xfId="8" applyNumberFormat="1" applyFont="1" applyFill="1" applyBorder="1" applyAlignment="1">
      <alignment horizontal="right"/>
    </xf>
    <xf numFmtId="0" fontId="56" fillId="2" borderId="76" xfId="0" applyFont="1" applyFill="1" applyBorder="1" applyAlignment="1">
      <alignment horizontal="center" vertical="center"/>
    </xf>
    <xf numFmtId="0" fontId="55" fillId="0" borderId="76" xfId="0" quotePrefix="1" applyFont="1" applyBorder="1" applyAlignment="1">
      <alignment horizontal="center"/>
    </xf>
    <xf numFmtId="16" fontId="55" fillId="0" borderId="76" xfId="0" quotePrefix="1" applyNumberFormat="1" applyFont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 vertical="center" wrapText="1"/>
    </xf>
    <xf numFmtId="16" fontId="55" fillId="2" borderId="76" xfId="0" applyNumberFormat="1" applyFont="1" applyFill="1" applyBorder="1" applyAlignment="1">
      <alignment horizontal="center" vertical="center"/>
    </xf>
    <xf numFmtId="0" fontId="55" fillId="2" borderId="76" xfId="0" quotePrefix="1" applyFont="1" applyFill="1" applyBorder="1" applyAlignment="1">
      <alignment horizontal="center" vertical="center"/>
    </xf>
    <xf numFmtId="49" fontId="55" fillId="2" borderId="76" xfId="0" quotePrefix="1" applyNumberFormat="1" applyFont="1" applyFill="1" applyBorder="1" applyAlignment="1">
      <alignment horizontal="center"/>
    </xf>
    <xf numFmtId="14" fontId="55" fillId="2" borderId="76" xfId="0" applyNumberFormat="1" applyFont="1" applyFill="1" applyBorder="1" applyAlignment="1">
      <alignment horizontal="center"/>
    </xf>
    <xf numFmtId="0" fontId="55" fillId="2" borderId="76" xfId="0" quotePrefix="1" applyFont="1" applyFill="1" applyBorder="1" applyAlignment="1">
      <alignment horizontal="center"/>
    </xf>
    <xf numFmtId="49" fontId="55" fillId="2" borderId="76" xfId="0" applyNumberFormat="1" applyFont="1" applyFill="1" applyBorder="1" applyAlignment="1">
      <alignment horizontal="center"/>
    </xf>
    <xf numFmtId="0" fontId="56" fillId="0" borderId="76" xfId="0" applyFont="1" applyBorder="1" applyAlignment="1">
      <alignment horizontal="center" vertical="center"/>
    </xf>
    <xf numFmtId="0" fontId="55" fillId="6" borderId="76" xfId="0" quotePrefix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 vertical="center"/>
    </xf>
    <xf numFmtId="14" fontId="55" fillId="6" borderId="76" xfId="0" applyNumberFormat="1" applyFont="1" applyFill="1" applyBorder="1" applyAlignment="1">
      <alignment horizontal="center"/>
    </xf>
    <xf numFmtId="0" fontId="55" fillId="6" borderId="76" xfId="0" applyFont="1" applyFill="1" applyBorder="1" applyAlignment="1">
      <alignment horizontal="center"/>
    </xf>
    <xf numFmtId="3" fontId="55" fillId="2" borderId="76" xfId="0" applyNumberFormat="1" applyFont="1" applyFill="1" applyBorder="1" applyAlignment="1">
      <alignment horizontal="center"/>
    </xf>
    <xf numFmtId="49" fontId="55" fillId="6" borderId="76" xfId="0" applyNumberFormat="1" applyFont="1" applyFill="1" applyBorder="1" applyAlignment="1">
      <alignment horizontal="center"/>
    </xf>
    <xf numFmtId="49" fontId="55" fillId="6" borderId="76" xfId="0" quotePrefix="1" applyNumberFormat="1" applyFont="1" applyFill="1" applyBorder="1" applyAlignment="1">
      <alignment horizontal="center"/>
    </xf>
    <xf numFmtId="14" fontId="55" fillId="6" borderId="76" xfId="0" applyNumberFormat="1" applyFont="1" applyFill="1" applyBorder="1" applyAlignment="1">
      <alignment horizontal="center" vertical="center"/>
    </xf>
    <xf numFmtId="16" fontId="55" fillId="2" borderId="76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6" xfId="0" applyNumberFormat="1" applyFont="1" applyFill="1" applyBorder="1" applyAlignment="1">
      <alignment horizontal="center"/>
    </xf>
    <xf numFmtId="14" fontId="55" fillId="9" borderId="76" xfId="0" applyNumberFormat="1" applyFont="1" applyFill="1" applyBorder="1" applyAlignment="1">
      <alignment horizontal="center" vertical="center"/>
    </xf>
    <xf numFmtId="16" fontId="55" fillId="2" borderId="7" xfId="0" quotePrefix="1" applyNumberFormat="1" applyFont="1" applyFill="1" applyBorder="1" applyAlignment="1">
      <alignment horizontal="center" vertical="center"/>
    </xf>
    <xf numFmtId="0" fontId="55" fillId="2" borderId="91" xfId="0" applyFont="1" applyFill="1" applyBorder="1" applyAlignment="1">
      <alignment horizontal="center" vertical="center"/>
    </xf>
    <xf numFmtId="0" fontId="55" fillId="2" borderId="89" xfId="0" applyFont="1" applyFill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/>
    </xf>
    <xf numFmtId="0" fontId="55" fillId="2" borderId="94" xfId="0" applyFont="1" applyFill="1" applyBorder="1" applyAlignment="1">
      <alignment horizontal="center" vertical="center"/>
    </xf>
    <xf numFmtId="14" fontId="55" fillId="2" borderId="95" xfId="0" applyNumberFormat="1" applyFont="1" applyFill="1" applyBorder="1" applyAlignment="1">
      <alignment horizontal="center" vertical="center"/>
    </xf>
    <xf numFmtId="14" fontId="55" fillId="2" borderId="92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0" fontId="55" fillId="2" borderId="93" xfId="0" applyFont="1" applyFill="1" applyBorder="1" applyAlignment="1">
      <alignment horizontal="center" vertical="center"/>
    </xf>
    <xf numFmtId="16" fontId="55" fillId="9" borderId="76" xfId="0" quotePrefix="1" applyNumberFormat="1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5" xfId="8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7" fillId="2" borderId="99" xfId="8" applyFont="1" applyFill="1" applyBorder="1" applyAlignment="1">
      <alignment horizontal="center"/>
    </xf>
    <xf numFmtId="0" fontId="22" fillId="2" borderId="76" xfId="8" applyFont="1" applyFill="1" applyBorder="1" applyAlignment="1">
      <alignment horizontal="center" vertical="center"/>
    </xf>
    <xf numFmtId="0" fontId="7" fillId="2" borderId="97" xfId="8" applyFont="1" applyFill="1" applyBorder="1" applyAlignment="1">
      <alignment horizontal="center"/>
    </xf>
    <xf numFmtId="0" fontId="0" fillId="0" borderId="79" xfId="0" applyBorder="1"/>
    <xf numFmtId="0" fontId="0" fillId="0" borderId="86" xfId="0" applyBorder="1"/>
    <xf numFmtId="0" fontId="30" fillId="0" borderId="87" xfId="0" applyFont="1" applyBorder="1"/>
    <xf numFmtId="0" fontId="59" fillId="2" borderId="7" xfId="0" applyFont="1" applyFill="1" applyBorder="1" applyAlignment="1">
      <alignment horizontal="center" vertical="center"/>
    </xf>
    <xf numFmtId="16" fontId="55" fillId="0" borderId="76" xfId="0" quotePrefix="1" applyNumberFormat="1" applyFont="1" applyBorder="1" applyAlignment="1">
      <alignment horizontal="center" vertical="center"/>
    </xf>
    <xf numFmtId="14" fontId="55" fillId="0" borderId="76" xfId="0" applyNumberFormat="1" applyFont="1" applyBorder="1" applyAlignment="1">
      <alignment horizontal="center" vertical="center"/>
    </xf>
    <xf numFmtId="2" fontId="55" fillId="2" borderId="76" xfId="0" applyNumberFormat="1" applyFont="1" applyFill="1" applyBorder="1" applyAlignment="1">
      <alignment horizontal="center" vertical="center"/>
    </xf>
    <xf numFmtId="14" fontId="55" fillId="2" borderId="76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7" xfId="0" applyFont="1" applyFill="1" applyBorder="1" applyAlignment="1">
      <alignment horizontal="center" vertical="center"/>
    </xf>
    <xf numFmtId="0" fontId="55" fillId="2" borderId="40" xfId="0" applyFont="1" applyFill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14" fillId="0" borderId="76" xfId="0" applyFont="1" applyBorder="1" applyAlignment="1">
      <alignment horizontal="center"/>
    </xf>
    <xf numFmtId="0" fontId="14" fillId="0" borderId="32" xfId="0" applyFont="1" applyBorder="1"/>
    <xf numFmtId="168" fontId="55" fillId="0" borderId="76" xfId="0" applyNumberFormat="1" applyFont="1" applyBorder="1" applyAlignment="1">
      <alignment horizontal="center" vertical="center"/>
    </xf>
    <xf numFmtId="9" fontId="55" fillId="0" borderId="76" xfId="172" applyFont="1" applyBorder="1" applyAlignment="1">
      <alignment horizontal="center" vertical="center"/>
    </xf>
    <xf numFmtId="169" fontId="55" fillId="0" borderId="76" xfId="172" applyNumberFormat="1" applyFont="1" applyBorder="1" applyAlignment="1">
      <alignment horizontal="center" vertical="center"/>
    </xf>
    <xf numFmtId="49" fontId="55" fillId="0" borderId="91" xfId="0" quotePrefix="1" applyNumberFormat="1" applyFont="1" applyBorder="1" applyAlignment="1">
      <alignment horizontal="center"/>
    </xf>
    <xf numFmtId="0" fontId="55" fillId="2" borderId="36" xfId="0" applyFont="1" applyFill="1" applyBorder="1" applyAlignment="1">
      <alignment horizontal="center" vertical="center"/>
    </xf>
    <xf numFmtId="0" fontId="55" fillId="0" borderId="76" xfId="173" applyFont="1" applyBorder="1" applyAlignment="1">
      <alignment horizontal="center" vertical="center" wrapText="1"/>
    </xf>
    <xf numFmtId="14" fontId="55" fillId="0" borderId="14" xfId="173" applyNumberFormat="1" applyFont="1" applyBorder="1" applyAlignment="1">
      <alignment horizontal="center" vertical="center" wrapText="1"/>
    </xf>
    <xf numFmtId="0" fontId="8" fillId="0" borderId="85" xfId="173" applyFont="1" applyBorder="1" applyAlignment="1">
      <alignment horizontal="center" vertical="center"/>
    </xf>
    <xf numFmtId="0" fontId="8" fillId="2" borderId="85" xfId="173" applyFont="1" applyFill="1" applyBorder="1" applyAlignment="1">
      <alignment horizontal="center" vertical="center"/>
    </xf>
    <xf numFmtId="0" fontId="8" fillId="0" borderId="88" xfId="173" applyFont="1" applyBorder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3" xfId="173" applyFont="1" applyBorder="1" applyAlignment="1">
      <alignment horizontal="center" vertical="center"/>
    </xf>
    <xf numFmtId="0" fontId="8" fillId="35" borderId="44" xfId="0" applyFont="1" applyFill="1" applyBorder="1" applyAlignment="1">
      <alignment horizontal="center" vertical="center" wrapText="1"/>
    </xf>
    <xf numFmtId="0" fontId="8" fillId="35" borderId="18" xfId="0" applyFont="1" applyFill="1" applyBorder="1" applyAlignment="1">
      <alignment horizontal="center" vertical="center"/>
    </xf>
    <xf numFmtId="0" fontId="14" fillId="35" borderId="18" xfId="0" applyFont="1" applyFill="1" applyBorder="1" applyAlignment="1">
      <alignment horizontal="center" vertical="center"/>
    </xf>
    <xf numFmtId="0" fontId="8" fillId="35" borderId="18" xfId="0" applyFont="1" applyFill="1" applyBorder="1" applyAlignment="1">
      <alignment horizontal="center" vertical="center" wrapText="1"/>
    </xf>
    <xf numFmtId="0" fontId="8" fillId="35" borderId="4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56" fillId="0" borderId="16" xfId="0" applyFont="1" applyBorder="1" applyAlignment="1">
      <alignment vertical="center" wrapText="1"/>
    </xf>
    <xf numFmtId="0" fontId="56" fillId="0" borderId="16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/>
    </xf>
    <xf numFmtId="0" fontId="56" fillId="2" borderId="14" xfId="0" applyFont="1" applyFill="1" applyBorder="1" applyAlignment="1">
      <alignment horizontal="center" vertical="center"/>
    </xf>
    <xf numFmtId="0" fontId="56" fillId="0" borderId="13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7" xfId="90" applyFont="1" applyFill="1" applyBorder="1" applyAlignment="1">
      <alignment horizontal="center" vertical="center" wrapText="1"/>
    </xf>
    <xf numFmtId="0" fontId="14" fillId="10" borderId="76" xfId="90" applyFont="1" applyFill="1" applyBorder="1" applyAlignment="1">
      <alignment horizontal="center" vertical="center" wrapText="1"/>
    </xf>
    <xf numFmtId="0" fontId="14" fillId="10" borderId="16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7" xfId="173" applyFont="1" applyBorder="1" applyAlignment="1">
      <alignment horizontal="center" vertical="center"/>
    </xf>
    <xf numFmtId="2" fontId="56" fillId="2" borderId="76" xfId="0" quotePrefix="1" applyNumberFormat="1" applyFont="1" applyFill="1" applyBorder="1" applyAlignment="1">
      <alignment horizontal="center" vertical="center" wrapText="1"/>
    </xf>
    <xf numFmtId="2" fontId="56" fillId="2" borderId="76" xfId="0" applyNumberFormat="1" applyFont="1" applyFill="1" applyBorder="1" applyAlignment="1">
      <alignment horizontal="center" vertical="center" wrapText="1"/>
    </xf>
    <xf numFmtId="14" fontId="56" fillId="0" borderId="76" xfId="173" applyNumberFormat="1" applyFont="1" applyBorder="1" applyAlignment="1">
      <alignment horizontal="center" vertical="center"/>
    </xf>
    <xf numFmtId="0" fontId="65" fillId="0" borderId="16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6" xfId="0" applyFont="1" applyBorder="1" applyAlignment="1">
      <alignment horizontal="left" vertical="center"/>
    </xf>
    <xf numFmtId="2" fontId="56" fillId="0" borderId="76" xfId="0" applyNumberFormat="1" applyFont="1" applyBorder="1" applyAlignment="1">
      <alignment horizontal="center" vertical="center" wrapText="1"/>
    </xf>
    <xf numFmtId="14" fontId="55" fillId="0" borderId="76" xfId="173" applyNumberFormat="1" applyFont="1" applyBorder="1" applyAlignment="1">
      <alignment horizontal="center" vertical="center"/>
    </xf>
    <xf numFmtId="0" fontId="56" fillId="2" borderId="76" xfId="0" applyFont="1" applyFill="1" applyBorder="1" applyAlignment="1">
      <alignment horizontal="left" vertical="center" wrapText="1"/>
    </xf>
    <xf numFmtId="0" fontId="56" fillId="0" borderId="15" xfId="173" applyFont="1" applyBorder="1" applyAlignment="1">
      <alignment horizontal="center" vertical="center"/>
    </xf>
    <xf numFmtId="2" fontId="56" fillId="0" borderId="14" xfId="0" applyNumberFormat="1" applyFont="1" applyBorder="1" applyAlignment="1">
      <alignment horizontal="center" vertical="center" wrapText="1"/>
    </xf>
    <xf numFmtId="0" fontId="56" fillId="0" borderId="14" xfId="0" applyFont="1" applyBorder="1" applyAlignment="1">
      <alignment horizontal="left" vertical="center"/>
    </xf>
    <xf numFmtId="14" fontId="56" fillId="0" borderId="14" xfId="173" applyNumberFormat="1" applyFont="1" applyBorder="1" applyAlignment="1">
      <alignment horizontal="center" vertical="center"/>
    </xf>
    <xf numFmtId="0" fontId="65" fillId="0" borderId="13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6" xfId="0" applyFont="1" applyFill="1" applyBorder="1" applyAlignment="1">
      <alignment horizontal="center" vertical="center" wrapText="1"/>
    </xf>
    <xf numFmtId="0" fontId="56" fillId="0" borderId="76" xfId="0" applyFont="1" applyBorder="1" applyAlignment="1">
      <alignment horizontal="center" vertical="center" wrapText="1"/>
    </xf>
    <xf numFmtId="0" fontId="56" fillId="0" borderId="76" xfId="173" applyFont="1" applyBorder="1" applyAlignment="1">
      <alignment horizontal="center" vertical="center"/>
    </xf>
    <xf numFmtId="0" fontId="66" fillId="0" borderId="0" xfId="0" applyFont="1"/>
    <xf numFmtId="14" fontId="66" fillId="36" borderId="77" xfId="0" applyNumberFormat="1" applyFont="1" applyFill="1" applyBorder="1" applyAlignment="1">
      <alignment horizontal="center" vertical="center" wrapText="1"/>
    </xf>
    <xf numFmtId="0" fontId="58" fillId="0" borderId="76" xfId="173" applyFont="1" applyBorder="1" applyAlignment="1" applyProtection="1">
      <alignment horizontal="center" vertical="center"/>
      <protection hidden="1"/>
    </xf>
    <xf numFmtId="1" fontId="56" fillId="0" borderId="76" xfId="173" applyNumberFormat="1" applyFont="1" applyBorder="1" applyAlignment="1" applyProtection="1">
      <alignment horizontal="center" vertical="center"/>
      <protection hidden="1"/>
    </xf>
    <xf numFmtId="2" fontId="56" fillId="0" borderId="76" xfId="173" applyNumberFormat="1" applyFont="1" applyBorder="1" applyAlignment="1" applyProtection="1">
      <alignment horizontal="center" vertical="center"/>
      <protection hidden="1"/>
    </xf>
    <xf numFmtId="0" fontId="56" fillId="0" borderId="76" xfId="173" applyFont="1" applyBorder="1" applyAlignment="1" applyProtection="1">
      <alignment horizontal="center" vertical="center"/>
      <protection hidden="1"/>
    </xf>
    <xf numFmtId="0" fontId="55" fillId="2" borderId="96" xfId="0" applyFont="1" applyFill="1" applyBorder="1" applyAlignment="1">
      <alignment horizontal="center" vertical="center"/>
    </xf>
    <xf numFmtId="0" fontId="55" fillId="0" borderId="91" xfId="0" applyFont="1" applyBorder="1" applyAlignment="1">
      <alignment horizontal="center"/>
    </xf>
    <xf numFmtId="0" fontId="55" fillId="37" borderId="76" xfId="0" quotePrefix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/>
    </xf>
    <xf numFmtId="14" fontId="55" fillId="37" borderId="76" xfId="0" applyNumberFormat="1" applyFont="1" applyFill="1" applyBorder="1" applyAlignment="1">
      <alignment horizontal="center"/>
    </xf>
    <xf numFmtId="0" fontId="55" fillId="0" borderId="76" xfId="0" quotePrefix="1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14" fontId="55" fillId="2" borderId="4" xfId="0" applyNumberFormat="1" applyFont="1" applyFill="1" applyBorder="1" applyAlignment="1">
      <alignment horizontal="center" vertical="center"/>
    </xf>
    <xf numFmtId="49" fontId="55" fillId="6" borderId="91" xfId="0" quotePrefix="1" applyNumberFormat="1" applyFont="1" applyFill="1" applyBorder="1" applyAlignment="1">
      <alignment horizontal="center"/>
    </xf>
    <xf numFmtId="0" fontId="55" fillId="6" borderId="91" xfId="0" applyFont="1" applyFill="1" applyBorder="1" applyAlignment="1">
      <alignment horizontal="center" vertical="center"/>
    </xf>
    <xf numFmtId="14" fontId="55" fillId="6" borderId="91" xfId="0" applyNumberFormat="1" applyFont="1" applyFill="1" applyBorder="1" applyAlignment="1">
      <alignment horizontal="center"/>
    </xf>
    <xf numFmtId="16" fontId="55" fillId="37" borderId="76" xfId="0" quotePrefix="1" applyNumberFormat="1" applyFont="1" applyFill="1" applyBorder="1" applyAlignment="1">
      <alignment horizontal="center" vertical="center"/>
    </xf>
    <xf numFmtId="0" fontId="56" fillId="37" borderId="76" xfId="0" applyFont="1" applyFill="1" applyBorder="1" applyAlignment="1">
      <alignment horizontal="center" vertical="center"/>
    </xf>
    <xf numFmtId="14" fontId="55" fillId="37" borderId="76" xfId="0" applyNumberFormat="1" applyFont="1" applyFill="1" applyBorder="1" applyAlignment="1">
      <alignment horizontal="center" vertical="center"/>
    </xf>
    <xf numFmtId="0" fontId="55" fillId="37" borderId="76" xfId="0" applyFont="1" applyFill="1" applyBorder="1" applyAlignment="1">
      <alignment horizontal="center" vertical="center" wrapText="1"/>
    </xf>
    <xf numFmtId="0" fontId="55" fillId="38" borderId="76" xfId="0" quotePrefix="1" applyFont="1" applyFill="1" applyBorder="1" applyAlignment="1">
      <alignment horizontal="center"/>
    </xf>
    <xf numFmtId="0" fontId="55" fillId="38" borderId="3" xfId="0" applyFont="1" applyFill="1" applyBorder="1" applyAlignment="1">
      <alignment horizontal="center" vertical="center"/>
    </xf>
    <xf numFmtId="14" fontId="55" fillId="38" borderId="76" xfId="0" applyNumberFormat="1" applyFont="1" applyFill="1" applyBorder="1" applyAlignment="1">
      <alignment horizontal="center"/>
    </xf>
    <xf numFmtId="0" fontId="55" fillId="38" borderId="76" xfId="0" applyFont="1" applyFill="1" applyBorder="1" applyAlignment="1">
      <alignment horizontal="center" vertical="center"/>
    </xf>
    <xf numFmtId="49" fontId="55" fillId="38" borderId="76" xfId="0" quotePrefix="1" applyNumberFormat="1" applyFont="1" applyFill="1" applyBorder="1" applyAlignment="1">
      <alignment horizontal="center"/>
    </xf>
    <xf numFmtId="3" fontId="55" fillId="38" borderId="6" xfId="0" applyNumberFormat="1" applyFont="1" applyFill="1" applyBorder="1" applyAlignment="1">
      <alignment horizontal="center"/>
    </xf>
    <xf numFmtId="0" fontId="6" fillId="0" borderId="86" xfId="8" applyFont="1" applyBorder="1" applyAlignment="1">
      <alignment horizontal="center" vertical="center"/>
    </xf>
    <xf numFmtId="0" fontId="61" fillId="2" borderId="90" xfId="0" applyFont="1" applyFill="1" applyBorder="1" applyAlignment="1">
      <alignment horizontal="center" wrapText="1"/>
    </xf>
    <xf numFmtId="0" fontId="61" fillId="2" borderId="85" xfId="0" applyFont="1" applyFill="1" applyBorder="1" applyAlignment="1">
      <alignment horizontal="center" wrapText="1"/>
    </xf>
    <xf numFmtId="0" fontId="61" fillId="2" borderId="77" xfId="0" applyFont="1" applyFill="1" applyBorder="1" applyAlignment="1">
      <alignment horizontal="center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85" xfId="0" applyFont="1" applyFill="1" applyBorder="1" applyAlignment="1">
      <alignment horizontal="center" vertical="center" wrapText="1"/>
    </xf>
    <xf numFmtId="0" fontId="9" fillId="2" borderId="77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167" fontId="55" fillId="0" borderId="4" xfId="0" applyNumberFormat="1" applyFont="1" applyBorder="1" applyAlignment="1">
      <alignment horizontal="center" vertical="center"/>
    </xf>
    <xf numFmtId="14" fontId="55" fillId="2" borderId="9" xfId="0" applyNumberFormat="1" applyFont="1" applyFill="1" applyBorder="1" applyAlignment="1">
      <alignment horizontal="center" vertical="center"/>
    </xf>
    <xf numFmtId="49" fontId="55" fillId="0" borderId="76" xfId="0" applyNumberFormat="1" applyFont="1" applyBorder="1" applyAlignment="1">
      <alignment horizontal="center"/>
    </xf>
    <xf numFmtId="0" fontId="13" fillId="0" borderId="76" xfId="0" applyFont="1" applyBorder="1" applyAlignment="1">
      <alignment horizontal="center"/>
    </xf>
    <xf numFmtId="0" fontId="12" fillId="2" borderId="76" xfId="0" applyFont="1" applyFill="1" applyBorder="1" applyAlignment="1">
      <alignment horizontal="center" vertical="center" wrapText="1"/>
    </xf>
    <xf numFmtId="0" fontId="12" fillId="39" borderId="76" xfId="0" applyFont="1" applyFill="1" applyBorder="1" applyAlignment="1">
      <alignment horizontal="center" vertical="center" wrapText="1"/>
    </xf>
    <xf numFmtId="167" fontId="12" fillId="39" borderId="76" xfId="0" applyNumberFormat="1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14" fillId="41" borderId="10" xfId="0" applyFont="1" applyFill="1" applyBorder="1" applyAlignment="1">
      <alignment horizontal="center" vertical="center" wrapText="1"/>
    </xf>
    <xf numFmtId="0" fontId="14" fillId="41" borderId="76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57" fillId="41" borderId="7" xfId="171" applyFont="1" applyFill="1" applyBorder="1" applyAlignment="1" applyProtection="1">
      <alignment horizontal="center"/>
    </xf>
    <xf numFmtId="0" fontId="2" fillId="0" borderId="8" xfId="0" applyFont="1" applyBorder="1" applyAlignment="1">
      <alignment horizontal="center" vertical="center" wrapText="1"/>
    </xf>
    <xf numFmtId="0" fontId="14" fillId="41" borderId="44" xfId="0" applyFont="1" applyFill="1" applyBorder="1" applyAlignment="1">
      <alignment horizontal="center" vertical="center" wrapText="1"/>
    </xf>
    <xf numFmtId="0" fontId="14" fillId="41" borderId="18" xfId="0" applyFont="1" applyFill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7" fontId="13" fillId="0" borderId="14" xfId="0" applyNumberFormat="1" applyFont="1" applyBorder="1" applyAlignment="1">
      <alignment horizontal="center" vertical="center" wrapText="1"/>
    </xf>
    <xf numFmtId="0" fontId="12" fillId="39" borderId="14" xfId="0" applyFont="1" applyFill="1" applyBorder="1" applyAlignment="1">
      <alignment horizontal="center" vertical="center" wrapText="1"/>
    </xf>
    <xf numFmtId="167" fontId="13" fillId="2" borderId="14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167" fontId="12" fillId="39" borderId="14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67" fillId="2" borderId="33" xfId="8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22" fillId="2" borderId="90" xfId="8" applyFont="1" applyFill="1" applyBorder="1" applyAlignment="1">
      <alignment horizontal="center" vertical="center"/>
    </xf>
    <xf numFmtId="0" fontId="69" fillId="0" borderId="34" xfId="8" applyFont="1" applyBorder="1" applyAlignment="1">
      <alignment horizontal="center" vertical="center"/>
    </xf>
    <xf numFmtId="0" fontId="69" fillId="0" borderId="46" xfId="8" applyFont="1" applyBorder="1" applyAlignment="1">
      <alignment horizontal="center" vertical="center"/>
    </xf>
    <xf numFmtId="0" fontId="70" fillId="0" borderId="46" xfId="8" applyFont="1" applyBorder="1" applyAlignment="1">
      <alignment horizontal="center" vertical="center"/>
    </xf>
    <xf numFmtId="0" fontId="1" fillId="2" borderId="25" xfId="8" applyFont="1" applyFill="1" applyBorder="1" applyAlignment="1">
      <alignment vertical="center"/>
    </xf>
    <xf numFmtId="0" fontId="1" fillId="2" borderId="25" xfId="8" applyFont="1" applyFill="1" applyBorder="1" applyAlignment="1">
      <alignment horizontal="left" vertical="center"/>
    </xf>
    <xf numFmtId="14" fontId="28" fillId="0" borderId="3" xfId="0" applyNumberFormat="1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3" xfId="1" applyNumberFormat="1" applyFont="1" applyFill="1" applyBorder="1" applyAlignment="1">
      <alignment horizontal="center" vertical="center" wrapText="1"/>
    </xf>
    <xf numFmtId="0" fontId="13" fillId="2" borderId="106" xfId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1" fontId="13" fillId="2" borderId="107" xfId="1" applyNumberFormat="1" applyFont="1" applyFill="1" applyBorder="1" applyAlignment="1">
      <alignment horizontal="center" vertical="center" wrapText="1"/>
    </xf>
    <xf numFmtId="0" fontId="65" fillId="0" borderId="16" xfId="173" applyFont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/>
    </xf>
    <xf numFmtId="0" fontId="14" fillId="6" borderId="104" xfId="1" applyFont="1" applyFill="1" applyBorder="1" applyAlignment="1">
      <alignment horizontal="center" vertical="center" wrapText="1"/>
    </xf>
    <xf numFmtId="0" fontId="14" fillId="6" borderId="105" xfId="1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/>
    </xf>
    <xf numFmtId="0" fontId="1" fillId="2" borderId="24" xfId="8" applyFont="1" applyFill="1" applyBorder="1" applyAlignment="1">
      <alignment horizontal="left" vertical="center"/>
    </xf>
    <xf numFmtId="0" fontId="55" fillId="42" borderId="76" xfId="0" applyFont="1" applyFill="1" applyBorder="1" applyAlignment="1">
      <alignment horizontal="center" vertical="center"/>
    </xf>
    <xf numFmtId="14" fontId="55" fillId="42" borderId="76" xfId="0" applyNumberFormat="1" applyFont="1" applyFill="1" applyBorder="1" applyAlignment="1">
      <alignment horizontal="center"/>
    </xf>
    <xf numFmtId="49" fontId="55" fillId="43" borderId="76" xfId="0" quotePrefix="1" applyNumberFormat="1" applyFont="1" applyFill="1" applyBorder="1" applyAlignment="1">
      <alignment horizontal="center"/>
    </xf>
    <xf numFmtId="0" fontId="55" fillId="43" borderId="76" xfId="0" applyFont="1" applyFill="1" applyBorder="1" applyAlignment="1">
      <alignment horizontal="center" vertical="center"/>
    </xf>
    <xf numFmtId="14" fontId="55" fillId="43" borderId="76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6" xfId="0" quotePrefix="1" applyFont="1" applyFill="1" applyBorder="1" applyAlignment="1">
      <alignment horizontal="center"/>
    </xf>
    <xf numFmtId="0" fontId="55" fillId="42" borderId="76" xfId="0" applyFont="1" applyFill="1" applyBorder="1" applyAlignment="1">
      <alignment horizontal="center"/>
    </xf>
    <xf numFmtId="0" fontId="14" fillId="41" borderId="3" xfId="0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center" vertical="center"/>
    </xf>
    <xf numFmtId="167" fontId="1" fillId="2" borderId="25" xfId="8" applyNumberFormat="1" applyFont="1" applyFill="1" applyBorder="1" applyAlignment="1">
      <alignment horizontal="left" vertical="center"/>
    </xf>
    <xf numFmtId="0" fontId="55" fillId="2" borderId="10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167" fontId="55" fillId="9" borderId="76" xfId="0" applyNumberFormat="1" applyFont="1" applyFill="1" applyBorder="1" applyAlignment="1">
      <alignment horizontal="center" vertical="center"/>
    </xf>
    <xf numFmtId="0" fontId="55" fillId="9" borderId="76" xfId="0" applyFont="1" applyFill="1" applyBorder="1" applyAlignment="1">
      <alignment horizontal="center"/>
    </xf>
    <xf numFmtId="0" fontId="59" fillId="9" borderId="76" xfId="0" applyFont="1" applyFill="1" applyBorder="1" applyAlignment="1">
      <alignment horizontal="center" vertical="center"/>
    </xf>
    <xf numFmtId="0" fontId="55" fillId="41" borderId="76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/>
    </xf>
    <xf numFmtId="0" fontId="55" fillId="0" borderId="76" xfId="0" applyFont="1" applyBorder="1" applyAlignment="1">
      <alignment horizontal="center" vertical="center" wrapText="1"/>
    </xf>
    <xf numFmtId="0" fontId="55" fillId="41" borderId="3" xfId="0" applyFont="1" applyFill="1" applyBorder="1" applyAlignment="1">
      <alignment horizontal="center" vertical="center" wrapText="1"/>
    </xf>
    <xf numFmtId="167" fontId="55" fillId="2" borderId="76" xfId="0" applyNumberFormat="1" applyFont="1" applyFill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0" fontId="14" fillId="0" borderId="106" xfId="5" quotePrefix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14" fillId="0" borderId="76" xfId="0" applyFont="1" applyBorder="1"/>
    <xf numFmtId="0" fontId="55" fillId="0" borderId="76" xfId="0" applyFont="1" applyBorder="1"/>
    <xf numFmtId="1" fontId="55" fillId="0" borderId="0" xfId="0" applyNumberFormat="1" applyFont="1"/>
    <xf numFmtId="1" fontId="14" fillId="0" borderId="76" xfId="0" applyNumberFormat="1" applyFont="1" applyBorder="1" applyAlignment="1">
      <alignment horizontal="center"/>
    </xf>
    <xf numFmtId="1" fontId="55" fillId="0" borderId="76" xfId="0" applyNumberFormat="1" applyFont="1" applyBorder="1" applyAlignment="1">
      <alignment horizontal="center"/>
    </xf>
    <xf numFmtId="0" fontId="73" fillId="0" borderId="18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8" xfId="0" applyFont="1" applyFill="1" applyBorder="1" applyAlignment="1">
      <alignment horizontal="center" vertical="center" wrapText="1"/>
    </xf>
    <xf numFmtId="0" fontId="59" fillId="2" borderId="76" xfId="0" applyFont="1" applyFill="1" applyBorder="1" applyAlignment="1">
      <alignment horizontal="center" vertical="center" wrapText="1"/>
    </xf>
    <xf numFmtId="14" fontId="55" fillId="40" borderId="76" xfId="0" applyNumberFormat="1" applyFont="1" applyFill="1" applyBorder="1" applyAlignment="1">
      <alignment horizontal="center"/>
    </xf>
    <xf numFmtId="0" fontId="55" fillId="40" borderId="76" xfId="0" applyFont="1" applyFill="1" applyBorder="1" applyAlignment="1">
      <alignment horizontal="center" vertical="center"/>
    </xf>
    <xf numFmtId="0" fontId="74" fillId="0" borderId="76" xfId="0" applyFont="1" applyBorder="1"/>
    <xf numFmtId="0" fontId="74" fillId="0" borderId="76" xfId="0" applyFont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1" fontId="8" fillId="0" borderId="91" xfId="5" applyNumberFormat="1" applyFont="1" applyBorder="1" applyAlignment="1">
      <alignment horizontal="center" vertical="center"/>
    </xf>
    <xf numFmtId="1" fontId="8" fillId="0" borderId="106" xfId="5" applyNumberFormat="1" applyFont="1" applyBorder="1" applyAlignment="1">
      <alignment horizontal="center" vertical="center"/>
    </xf>
    <xf numFmtId="0" fontId="8" fillId="0" borderId="107" xfId="5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6" xfId="0" applyFont="1" applyFill="1" applyBorder="1"/>
    <xf numFmtId="0" fontId="13" fillId="0" borderId="106" xfId="0" applyFont="1" applyBorder="1" applyAlignment="1">
      <alignment horizontal="center" vertical="center" wrapText="1"/>
    </xf>
    <xf numFmtId="1" fontId="13" fillId="0" borderId="106" xfId="0" applyNumberFormat="1" applyFont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 wrapText="1"/>
    </xf>
    <xf numFmtId="168" fontId="13" fillId="0" borderId="106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4" xfId="5" applyFont="1" applyBorder="1" applyAlignment="1">
      <alignment horizontal="center" vertical="center"/>
    </xf>
    <xf numFmtId="0" fontId="8" fillId="0" borderId="23" xfId="5" applyFont="1" applyBorder="1" applyAlignment="1">
      <alignment horizontal="center" vertical="center"/>
    </xf>
    <xf numFmtId="14" fontId="55" fillId="34" borderId="76" xfId="0" applyNumberFormat="1" applyFont="1" applyFill="1" applyBorder="1" applyAlignment="1">
      <alignment horizontal="center" vertical="center"/>
    </xf>
    <xf numFmtId="16" fontId="55" fillId="2" borderId="91" xfId="0" quotePrefix="1" applyNumberFormat="1" applyFont="1" applyFill="1" applyBorder="1" applyAlignment="1">
      <alignment horizontal="center" vertical="center"/>
    </xf>
    <xf numFmtId="3" fontId="55" fillId="0" borderId="76" xfId="0" applyNumberFormat="1" applyFont="1" applyBorder="1" applyAlignment="1">
      <alignment horizontal="center"/>
    </xf>
    <xf numFmtId="3" fontId="55" fillId="2" borderId="91" xfId="0" applyNumberFormat="1" applyFont="1" applyFill="1" applyBorder="1" applyAlignment="1">
      <alignment horizontal="center"/>
    </xf>
    <xf numFmtId="0" fontId="55" fillId="37" borderId="76" xfId="0" applyFont="1" applyFill="1" applyBorder="1" applyAlignment="1">
      <alignment horizontal="center" vertical="center"/>
    </xf>
    <xf numFmtId="0" fontId="56" fillId="0" borderId="76" xfId="5" applyFont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1" fontId="56" fillId="0" borderId="76" xfId="5" applyNumberFormat="1" applyFont="1" applyBorder="1" applyAlignment="1">
      <alignment horizontal="center" vertical="center"/>
    </xf>
    <xf numFmtId="0" fontId="9" fillId="0" borderId="76" xfId="5" applyFont="1" applyBorder="1" applyAlignment="1">
      <alignment horizontal="center" vertical="center"/>
    </xf>
    <xf numFmtId="0" fontId="56" fillId="2" borderId="104" xfId="5" applyFont="1" applyFill="1" applyBorder="1" applyAlignment="1">
      <alignment horizontal="center" vertical="center"/>
    </xf>
    <xf numFmtId="0" fontId="56" fillId="2" borderId="76" xfId="5" applyFont="1" applyFill="1" applyBorder="1" applyAlignment="1">
      <alignment horizontal="center" vertical="center"/>
    </xf>
    <xf numFmtId="1" fontId="56" fillId="2" borderId="76" xfId="5" applyNumberFormat="1" applyFont="1" applyFill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1" fontId="56" fillId="0" borderId="106" xfId="5" applyNumberFormat="1" applyFont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1" fontId="8" fillId="37" borderId="27" xfId="5" applyNumberFormat="1" applyFont="1" applyFill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8" xfId="5" applyFont="1" applyFill="1" applyBorder="1" applyAlignment="1">
      <alignment horizontal="center" vertical="center"/>
    </xf>
    <xf numFmtId="0" fontId="8" fillId="7" borderId="18" xfId="5" applyFont="1" applyFill="1" applyBorder="1" applyAlignment="1">
      <alignment horizontal="center" vertical="center"/>
    </xf>
    <xf numFmtId="0" fontId="8" fillId="44" borderId="18" xfId="5" applyFont="1" applyFill="1" applyBorder="1" applyAlignment="1">
      <alignment horizontal="center" vertical="center"/>
    </xf>
    <xf numFmtId="0" fontId="8" fillId="2" borderId="76" xfId="5" applyFont="1" applyFill="1" applyBorder="1" applyAlignment="1">
      <alignment horizontal="center" vertical="center"/>
    </xf>
    <xf numFmtId="0" fontId="14" fillId="0" borderId="91" xfId="5" quotePrefix="1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14" fillId="0" borderId="18" xfId="5" quotePrefix="1" applyFont="1" applyBorder="1" applyAlignment="1">
      <alignment horizontal="center" vertical="center"/>
    </xf>
    <xf numFmtId="0" fontId="56" fillId="0" borderId="114" xfId="5" applyFont="1" applyBorder="1" applyAlignment="1">
      <alignment horizontal="center" vertical="center"/>
    </xf>
    <xf numFmtId="0" fontId="56" fillId="0" borderId="79" xfId="5" applyFont="1" applyBorder="1"/>
    <xf numFmtId="0" fontId="56" fillId="0" borderId="86" xfId="5" applyFont="1" applyBorder="1"/>
    <xf numFmtId="0" fontId="14" fillId="45" borderId="80" xfId="5" applyFont="1" applyFill="1" applyBorder="1" applyAlignment="1">
      <alignment horizontal="center" vertical="center"/>
    </xf>
    <xf numFmtId="0" fontId="14" fillId="0" borderId="80" xfId="5" quotePrefix="1" applyFont="1" applyBorder="1" applyAlignment="1">
      <alignment horizontal="center" vertical="center"/>
    </xf>
    <xf numFmtId="0" fontId="14" fillId="41" borderId="80" xfId="5" applyFont="1" applyFill="1" applyBorder="1" applyAlignment="1">
      <alignment horizontal="center" vertical="center"/>
    </xf>
    <xf numFmtId="0" fontId="56" fillId="41" borderId="76" xfId="8" applyFont="1" applyFill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/>
    </xf>
    <xf numFmtId="0" fontId="56" fillId="0" borderId="76" xfId="8" applyFont="1" applyBorder="1" applyAlignment="1">
      <alignment horizontal="center" vertical="center" wrapText="1"/>
    </xf>
    <xf numFmtId="0" fontId="56" fillId="0" borderId="76" xfId="174" applyNumberFormat="1" applyFont="1" applyFill="1" applyBorder="1" applyAlignment="1">
      <alignment horizontal="center" vertical="center" wrapText="1"/>
    </xf>
    <xf numFmtId="0" fontId="75" fillId="0" borderId="76" xfId="176" applyFont="1" applyBorder="1" applyAlignment="1">
      <alignment horizontal="center" vertical="center" wrapText="1"/>
    </xf>
    <xf numFmtId="2" fontId="75" fillId="0" borderId="76" xfId="176" applyNumberFormat="1" applyFont="1" applyBorder="1" applyAlignment="1">
      <alignment horizontal="center" vertical="center" wrapText="1"/>
    </xf>
    <xf numFmtId="2" fontId="55" fillId="0" borderId="76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1" xfId="0" applyFont="1" applyFill="1" applyBorder="1" applyAlignment="1">
      <alignment horizontal="center"/>
    </xf>
    <xf numFmtId="0" fontId="56" fillId="0" borderId="20" xfId="5" applyFont="1" applyBorder="1" applyAlignment="1">
      <alignment horizontal="center"/>
    </xf>
    <xf numFmtId="1" fontId="56" fillId="0" borderId="20" xfId="5" applyNumberFormat="1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0" fontId="12" fillId="4" borderId="76" xfId="0" applyFont="1" applyFill="1" applyBorder="1" applyAlignment="1">
      <alignment horizontal="center" vertical="center" wrapText="1"/>
    </xf>
    <xf numFmtId="167" fontId="56" fillId="0" borderId="76" xfId="5" applyNumberFormat="1" applyFont="1" applyBorder="1" applyAlignment="1">
      <alignment horizontal="center"/>
    </xf>
    <xf numFmtId="9" fontId="55" fillId="0" borderId="76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9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14" fillId="0" borderId="76" xfId="5" applyFont="1" applyBorder="1" applyAlignment="1">
      <alignment horizontal="center" vertical="center"/>
    </xf>
    <xf numFmtId="0" fontId="8" fillId="46" borderId="80" xfId="5" applyFont="1" applyFill="1" applyBorder="1" applyAlignment="1">
      <alignment horizontal="center" vertical="center"/>
    </xf>
    <xf numFmtId="167" fontId="14" fillId="2" borderId="76" xfId="0" applyNumberFormat="1" applyFont="1" applyFill="1" applyBorder="1" applyAlignment="1">
      <alignment horizontal="center" vertical="center" wrapText="1"/>
    </xf>
    <xf numFmtId="0" fontId="55" fillId="0" borderId="115" xfId="0" applyFont="1" applyBorder="1" applyAlignment="1">
      <alignment horizontal="center"/>
    </xf>
    <xf numFmtId="0" fontId="8" fillId="0" borderId="30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5" fillId="2" borderId="95" xfId="0" quotePrefix="1" applyFont="1" applyFill="1" applyBorder="1" applyAlignment="1">
      <alignment horizontal="center" vertical="center"/>
    </xf>
    <xf numFmtId="0" fontId="55" fillId="2" borderId="95" xfId="0" applyFont="1" applyFill="1" applyBorder="1" applyAlignment="1">
      <alignment horizontal="center" vertical="center"/>
    </xf>
    <xf numFmtId="0" fontId="55" fillId="0" borderId="76" xfId="0" applyFont="1" applyBorder="1" applyAlignment="1">
      <alignment vertical="center"/>
    </xf>
    <xf numFmtId="0" fontId="55" fillId="34" borderId="76" xfId="0" applyFont="1" applyFill="1" applyBorder="1" applyAlignment="1">
      <alignment horizontal="center" vertical="center"/>
    </xf>
    <xf numFmtId="0" fontId="56" fillId="34" borderId="76" xfId="0" applyFont="1" applyFill="1" applyBorder="1" applyAlignment="1">
      <alignment horizontal="center" vertical="center"/>
    </xf>
    <xf numFmtId="0" fontId="8" fillId="0" borderId="104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 wrapText="1"/>
    </xf>
    <xf numFmtId="0" fontId="55" fillId="2" borderId="76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7" xfId="0" applyFont="1" applyBorder="1" applyAlignment="1">
      <alignment horizontal="center" vertical="center"/>
    </xf>
    <xf numFmtId="0" fontId="55" fillId="0" borderId="77" xfId="0" applyFont="1" applyBorder="1" applyAlignment="1">
      <alignment horizontal="center"/>
    </xf>
    <xf numFmtId="0" fontId="56" fillId="0" borderId="77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6" xfId="0" applyFont="1" applyBorder="1" applyAlignment="1">
      <alignment horizontal="center"/>
    </xf>
    <xf numFmtId="14" fontId="66" fillId="0" borderId="76" xfId="0" applyNumberFormat="1" applyFont="1" applyBorder="1" applyAlignment="1">
      <alignment horizontal="center"/>
    </xf>
    <xf numFmtId="16" fontId="66" fillId="0" borderId="90" xfId="0" quotePrefix="1" applyNumberFormat="1" applyFont="1" applyBorder="1" applyAlignment="1">
      <alignment horizontal="center"/>
    </xf>
    <xf numFmtId="2" fontId="76" fillId="2" borderId="76" xfId="0" applyNumberFormat="1" applyFont="1" applyFill="1" applyBorder="1" applyAlignment="1">
      <alignment horizontal="center" vertical="center"/>
    </xf>
    <xf numFmtId="0" fontId="14" fillId="0" borderId="106" xfId="5" applyFont="1" applyBorder="1" applyAlignment="1">
      <alignment horizontal="center" vertical="center"/>
    </xf>
    <xf numFmtId="0" fontId="8" fillId="7" borderId="106" xfId="5" applyFont="1" applyFill="1" applyBorder="1" applyAlignment="1">
      <alignment horizontal="center" vertical="center"/>
    </xf>
    <xf numFmtId="0" fontId="14" fillId="7" borderId="18" xfId="5" applyFont="1" applyFill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66" fillId="0" borderId="97" xfId="0" applyFont="1" applyBorder="1" applyAlignment="1">
      <alignment horizontal="left" vertical="top"/>
    </xf>
    <xf numFmtId="0" fontId="14" fillId="48" borderId="17" xfId="0" applyFont="1" applyFill="1" applyBorder="1" applyAlignment="1">
      <alignment horizontal="center" vertical="center" wrapText="1"/>
    </xf>
    <xf numFmtId="0" fontId="14" fillId="48" borderId="76" xfId="0" applyFont="1" applyFill="1" applyBorder="1" applyAlignment="1">
      <alignment horizontal="center" vertical="center" wrapText="1"/>
    </xf>
    <xf numFmtId="0" fontId="14" fillId="48" borderId="21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37" borderId="76" xfId="0" applyFont="1" applyFill="1" applyBorder="1" applyAlignment="1">
      <alignment horizontal="center" vertical="center" wrapText="1"/>
    </xf>
    <xf numFmtId="167" fontId="14" fillId="37" borderId="76" xfId="0" applyNumberFormat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0" fontId="14" fillId="37" borderId="105" xfId="1" applyFont="1" applyFill="1" applyBorder="1" applyAlignment="1">
      <alignment horizontal="center" vertical="center" wrapText="1"/>
    </xf>
    <xf numFmtId="1" fontId="14" fillId="37" borderId="76" xfId="0" applyNumberFormat="1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66" fillId="0" borderId="36" xfId="0" applyFont="1" applyBorder="1" applyAlignment="1">
      <alignment horizontal="left" vertical="top"/>
    </xf>
    <xf numFmtId="0" fontId="55" fillId="0" borderId="35" xfId="0" applyFont="1" applyBorder="1"/>
    <xf numFmtId="0" fontId="55" fillId="0" borderId="10" xfId="0" applyFont="1" applyBorder="1"/>
    <xf numFmtId="0" fontId="55" fillId="0" borderId="4" xfId="0" applyFont="1" applyBorder="1"/>
    <xf numFmtId="0" fontId="66" fillId="0" borderId="9" xfId="0" applyFont="1" applyBorder="1" applyAlignment="1">
      <alignment horizontal="left" vertical="top"/>
    </xf>
    <xf numFmtId="0" fontId="66" fillId="47" borderId="76" xfId="0" applyFont="1" applyFill="1" applyBorder="1" applyAlignment="1">
      <alignment horizontal="center" vertical="center"/>
    </xf>
    <xf numFmtId="0" fontId="56" fillId="6" borderId="76" xfId="0" applyFont="1" applyFill="1" applyBorder="1" applyAlignment="1">
      <alignment horizontal="center" vertical="center"/>
    </xf>
    <xf numFmtId="0" fontId="12" fillId="39" borderId="90" xfId="8" applyFont="1" applyFill="1" applyBorder="1" applyAlignment="1">
      <alignment horizontal="center" vertical="center"/>
    </xf>
    <xf numFmtId="0" fontId="12" fillId="39" borderId="46" xfId="8" applyFont="1" applyFill="1" applyBorder="1" applyAlignment="1">
      <alignment horizontal="center" vertical="center"/>
    </xf>
    <xf numFmtId="0" fontId="56" fillId="2" borderId="90" xfId="0" applyFont="1" applyFill="1" applyBorder="1" applyAlignment="1">
      <alignment horizontal="center" vertical="center"/>
    </xf>
    <xf numFmtId="1" fontId="14" fillId="37" borderId="106" xfId="0" applyNumberFormat="1" applyFont="1" applyFill="1" applyBorder="1" applyAlignment="1">
      <alignment horizontal="center" vertical="center" wrapText="1"/>
    </xf>
    <xf numFmtId="168" fontId="14" fillId="37" borderId="76" xfId="0" applyNumberFormat="1" applyFont="1" applyFill="1" applyBorder="1" applyAlignment="1">
      <alignment horizontal="center" vertical="center" wrapText="1"/>
    </xf>
    <xf numFmtId="0" fontId="14" fillId="37" borderId="106" xfId="0" applyFont="1" applyFill="1" applyBorder="1" applyAlignment="1">
      <alignment horizontal="center" vertical="center" wrapText="1"/>
    </xf>
    <xf numFmtId="0" fontId="55" fillId="2" borderId="104" xfId="0" applyFont="1" applyFill="1" applyBorder="1" applyAlignment="1">
      <alignment horizontal="center" vertical="center"/>
    </xf>
    <xf numFmtId="14" fontId="55" fillId="0" borderId="103" xfId="0" applyNumberFormat="1" applyFont="1" applyBorder="1" applyAlignment="1">
      <alignment horizontal="center"/>
    </xf>
    <xf numFmtId="14" fontId="55" fillId="2" borderId="103" xfId="0" applyNumberFormat="1" applyFont="1" applyFill="1" applyBorder="1" applyAlignment="1">
      <alignment horizontal="center"/>
    </xf>
    <xf numFmtId="14" fontId="55" fillId="9" borderId="103" xfId="0" applyNumberFormat="1" applyFont="1" applyFill="1" applyBorder="1" applyAlignment="1">
      <alignment horizontal="center"/>
    </xf>
    <xf numFmtId="0" fontId="55" fillId="2" borderId="105" xfId="0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 vertical="center"/>
    </xf>
    <xf numFmtId="167" fontId="55" fillId="9" borderId="106" xfId="0" applyNumberFormat="1" applyFont="1" applyFill="1" applyBorder="1" applyAlignment="1">
      <alignment horizontal="center" vertical="center"/>
    </xf>
    <xf numFmtId="14" fontId="55" fillId="9" borderId="106" xfId="0" applyNumberFormat="1" applyFont="1" applyFill="1" applyBorder="1" applyAlignment="1">
      <alignment horizontal="center" vertical="center"/>
    </xf>
    <xf numFmtId="0" fontId="55" fillId="9" borderId="106" xfId="0" applyFont="1" applyFill="1" applyBorder="1" applyAlignment="1">
      <alignment horizontal="center"/>
    </xf>
    <xf numFmtId="14" fontId="55" fillId="9" borderId="107" xfId="0" applyNumberFormat="1" applyFont="1" applyFill="1" applyBorder="1" applyAlignment="1">
      <alignment horizontal="center"/>
    </xf>
    <xf numFmtId="0" fontId="55" fillId="34" borderId="76" xfId="0" quotePrefix="1" applyFont="1" applyFill="1" applyBorder="1" applyAlignment="1">
      <alignment horizontal="center" vertical="center"/>
    </xf>
    <xf numFmtId="1" fontId="14" fillId="2" borderId="76" xfId="0" applyNumberFormat="1" applyFont="1" applyFill="1" applyBorder="1" applyAlignment="1">
      <alignment horizontal="center" vertical="center" wrapText="1"/>
    </xf>
    <xf numFmtId="0" fontId="14" fillId="48" borderId="44" xfId="1" applyFont="1" applyFill="1" applyBorder="1" applyAlignment="1">
      <alignment horizontal="center" vertical="center" wrapText="1"/>
    </xf>
    <xf numFmtId="0" fontId="14" fillId="48" borderId="18" xfId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55" fillId="34" borderId="76" xfId="0" applyFont="1" applyFill="1" applyBorder="1" applyAlignment="1">
      <alignment horizontal="center"/>
    </xf>
    <xf numFmtId="2" fontId="55" fillId="34" borderId="76" xfId="0" applyNumberFormat="1" applyFont="1" applyFill="1" applyBorder="1" applyAlignment="1">
      <alignment horizontal="center"/>
    </xf>
    <xf numFmtId="2" fontId="55" fillId="34" borderId="76" xfId="0" applyNumberFormat="1" applyFont="1" applyFill="1" applyBorder="1" applyAlignment="1">
      <alignment horizontal="center" vertical="center"/>
    </xf>
    <xf numFmtId="0" fontId="66" fillId="0" borderId="96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14" fontId="66" fillId="0" borderId="97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71" fillId="2" borderId="29" xfId="0" applyFont="1" applyFill="1" applyBorder="1" applyAlignment="1">
      <alignment horizontal="center" vertical="center" wrapText="1"/>
    </xf>
    <xf numFmtId="0" fontId="71" fillId="2" borderId="30" xfId="0" applyFont="1" applyFill="1" applyBorder="1" applyAlignment="1">
      <alignment horizontal="center" vertical="center" wrapText="1"/>
    </xf>
    <xf numFmtId="0" fontId="71" fillId="2" borderId="31" xfId="0" applyFont="1" applyFill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 wrapText="1"/>
    </xf>
    <xf numFmtId="0" fontId="13" fillId="0" borderId="76" xfId="0" applyFont="1" applyBorder="1" applyAlignment="1">
      <alignment horizontal="center" vertical="center" wrapText="1"/>
    </xf>
    <xf numFmtId="0" fontId="13" fillId="0" borderId="103" xfId="0" applyFont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8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3" xfId="0" quotePrefix="1" applyFont="1" applyBorder="1" applyAlignment="1">
      <alignment horizontal="left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wrapText="1"/>
    </xf>
    <xf numFmtId="0" fontId="15" fillId="5" borderId="1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3" fillId="0" borderId="3" xfId="0" applyFont="1" applyBorder="1" applyAlignment="1">
      <alignment vertical="center" textRotation="90" wrapText="1"/>
    </xf>
    <xf numFmtId="0" fontId="28" fillId="0" borderId="90" xfId="0" quotePrefix="1" applyFont="1" applyBorder="1" applyAlignment="1">
      <alignment horizontal="left" vertical="center" wrapText="1"/>
    </xf>
    <xf numFmtId="0" fontId="28" fillId="0" borderId="85" xfId="0" quotePrefix="1" applyFont="1" applyBorder="1" applyAlignment="1">
      <alignment horizontal="left" vertical="center" wrapText="1"/>
    </xf>
    <xf numFmtId="0" fontId="28" fillId="0" borderId="77" xfId="0" quotePrefix="1" applyFont="1" applyBorder="1" applyAlignment="1">
      <alignment horizontal="left" vertical="center" wrapText="1"/>
    </xf>
    <xf numFmtId="0" fontId="13" fillId="0" borderId="90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3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0" xfId="0" applyFont="1"/>
    <xf numFmtId="0" fontId="71" fillId="0" borderId="29" xfId="1" applyFont="1" applyBorder="1" applyAlignment="1">
      <alignment horizontal="center" vertical="center"/>
    </xf>
    <xf numFmtId="0" fontId="71" fillId="0" borderId="30" xfId="1" applyFont="1" applyBorder="1" applyAlignment="1">
      <alignment horizontal="center" vertical="center"/>
    </xf>
    <xf numFmtId="0" fontId="71" fillId="0" borderId="31" xfId="1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88" xfId="0" applyFont="1" applyBorder="1" applyAlignment="1">
      <alignment horizontal="center" vertical="center"/>
    </xf>
    <xf numFmtId="0" fontId="55" fillId="34" borderId="76" xfId="0" applyFont="1" applyFill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55" fillId="2" borderId="85" xfId="0" applyFont="1" applyFill="1" applyBorder="1" applyAlignment="1">
      <alignment horizontal="center" vertical="center" wrapText="1"/>
    </xf>
    <xf numFmtId="0" fontId="55" fillId="2" borderId="77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41" borderId="90" xfId="0" applyFont="1" applyFill="1" applyBorder="1" applyAlignment="1">
      <alignment horizontal="center"/>
    </xf>
    <xf numFmtId="0" fontId="55" fillId="41" borderId="85" xfId="0" applyFont="1" applyFill="1" applyBorder="1" applyAlignment="1">
      <alignment horizontal="center"/>
    </xf>
    <xf numFmtId="0" fontId="55" fillId="41" borderId="77" xfId="0" applyFont="1" applyFill="1" applyBorder="1" applyAlignment="1">
      <alignment horizontal="center"/>
    </xf>
    <xf numFmtId="0" fontId="55" fillId="41" borderId="3" xfId="0" applyFont="1" applyFill="1" applyBorder="1" applyAlignment="1">
      <alignment horizontal="center" vertical="center" wrapText="1"/>
    </xf>
    <xf numFmtId="0" fontId="55" fillId="0" borderId="90" xfId="0" applyFont="1" applyBorder="1" applyAlignment="1">
      <alignment horizontal="center" vertical="center" wrapText="1"/>
    </xf>
    <xf numFmtId="0" fontId="55" fillId="0" borderId="85" xfId="0" applyFont="1" applyBorder="1" applyAlignment="1">
      <alignment horizontal="center" vertical="center" wrapText="1"/>
    </xf>
    <xf numFmtId="0" fontId="55" fillId="0" borderId="77" xfId="0" applyFont="1" applyBorder="1" applyAlignment="1">
      <alignment horizontal="center" vertical="center" wrapText="1"/>
    </xf>
    <xf numFmtId="0" fontId="55" fillId="6" borderId="76" xfId="0" applyFont="1" applyFill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/>
    </xf>
    <xf numFmtId="0" fontId="55" fillId="2" borderId="76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5" fillId="9" borderId="83" xfId="0" applyFont="1" applyFill="1" applyBorder="1" applyAlignment="1">
      <alignment horizontal="center" vertical="center" wrapText="1"/>
    </xf>
    <xf numFmtId="0" fontId="55" fillId="9" borderId="117" xfId="0" applyFont="1" applyFill="1" applyBorder="1" applyAlignment="1">
      <alignment horizontal="center" vertical="center" wrapText="1"/>
    </xf>
    <xf numFmtId="0" fontId="55" fillId="9" borderId="78" xfId="0" applyFont="1" applyFill="1" applyBorder="1" applyAlignment="1">
      <alignment horizontal="center" vertical="center" wrapText="1"/>
    </xf>
    <xf numFmtId="0" fontId="55" fillId="38" borderId="90" xfId="0" applyFont="1" applyFill="1" applyBorder="1" applyAlignment="1">
      <alignment horizontal="center" vertical="center" wrapText="1"/>
    </xf>
    <xf numFmtId="0" fontId="55" fillId="38" borderId="85" xfId="0" applyFont="1" applyFill="1" applyBorder="1" applyAlignment="1">
      <alignment horizontal="center" vertical="center" wrapText="1"/>
    </xf>
    <xf numFmtId="0" fontId="55" fillId="38" borderId="77" xfId="0" applyFont="1" applyFill="1" applyBorder="1" applyAlignment="1">
      <alignment horizontal="center" vertical="center" wrapText="1"/>
    </xf>
    <xf numFmtId="0" fontId="55" fillId="6" borderId="90" xfId="0" applyFont="1" applyFill="1" applyBorder="1" applyAlignment="1">
      <alignment horizontal="center" vertical="center" wrapText="1"/>
    </xf>
    <xf numFmtId="0" fontId="55" fillId="6" borderId="85" xfId="0" applyFont="1" applyFill="1" applyBorder="1" applyAlignment="1">
      <alignment horizontal="center" vertical="center" wrapText="1"/>
    </xf>
    <xf numFmtId="0" fontId="55" fillId="6" borderId="77" xfId="0" applyFont="1" applyFill="1" applyBorder="1" applyAlignment="1">
      <alignment horizontal="center" vertical="center" wrapText="1"/>
    </xf>
    <xf numFmtId="0" fontId="55" fillId="43" borderId="90" xfId="0" applyFont="1" applyFill="1" applyBorder="1" applyAlignment="1">
      <alignment horizontal="center" vertical="center" wrapText="1"/>
    </xf>
    <xf numFmtId="0" fontId="55" fillId="43" borderId="85" xfId="0" applyFont="1" applyFill="1" applyBorder="1" applyAlignment="1">
      <alignment horizontal="center" vertical="center" wrapText="1"/>
    </xf>
    <xf numFmtId="0" fontId="55" fillId="43" borderId="77" xfId="0" applyFont="1" applyFill="1" applyBorder="1" applyAlignment="1">
      <alignment horizontal="center" vertical="center" wrapText="1"/>
    </xf>
    <xf numFmtId="0" fontId="55" fillId="42" borderId="77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14" fillId="41" borderId="7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/>
    </xf>
    <xf numFmtId="0" fontId="55" fillId="9" borderId="90" xfId="0" applyFont="1" applyFill="1" applyBorder="1" applyAlignment="1">
      <alignment horizontal="center" vertical="center" wrapText="1"/>
    </xf>
    <xf numFmtId="0" fontId="55" fillId="9" borderId="85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2" borderId="91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55" fillId="41" borderId="7" xfId="0" applyFont="1" applyFill="1" applyBorder="1" applyAlignment="1">
      <alignment horizontal="center"/>
    </xf>
    <xf numFmtId="0" fontId="8" fillId="0" borderId="104" xfId="5" applyFont="1" applyBorder="1" applyAlignment="1">
      <alignment horizontal="center" vertical="center"/>
    </xf>
    <xf numFmtId="0" fontId="8" fillId="0" borderId="76" xfId="5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1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109" xfId="5" applyFont="1" applyBorder="1" applyAlignment="1">
      <alignment horizontal="center" vertical="center"/>
    </xf>
    <xf numFmtId="0" fontId="8" fillId="0" borderId="113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40" borderId="30" xfId="0" applyFont="1" applyFill="1" applyBorder="1" applyAlignment="1">
      <alignment horizontal="center" vertical="center"/>
    </xf>
    <xf numFmtId="0" fontId="14" fillId="40" borderId="31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7" borderId="25" xfId="5" applyFont="1" applyFill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8" fillId="0" borderId="31" xfId="5" applyFont="1" applyBorder="1" applyAlignment="1">
      <alignment horizontal="center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4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vertical="center"/>
    </xf>
    <xf numFmtId="0" fontId="1" fillId="2" borderId="24" xfId="8" applyFont="1" applyFill="1" applyBorder="1" applyAlignment="1">
      <alignment vertical="center"/>
    </xf>
    <xf numFmtId="0" fontId="1" fillId="2" borderId="75" xfId="8" applyFont="1" applyFill="1" applyBorder="1" applyAlignment="1">
      <alignment horizontal="center" vertical="center"/>
    </xf>
    <xf numFmtId="0" fontId="1" fillId="2" borderId="24" xfId="8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31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0" fontId="5" fillId="2" borderId="98" xfId="8" applyFont="1" applyFill="1" applyBorder="1" applyAlignment="1">
      <alignment horizontal="center" vertical="center"/>
    </xf>
    <xf numFmtId="14" fontId="1" fillId="2" borderId="24" xfId="8" applyNumberFormat="1" applyFont="1" applyFill="1" applyBorder="1" applyAlignment="1">
      <alignment horizontal="left" vertical="center"/>
    </xf>
    <xf numFmtId="14" fontId="1" fillId="2" borderId="25" xfId="8" applyNumberFormat="1" applyFont="1" applyFill="1" applyBorder="1" applyAlignment="1">
      <alignment horizontal="left" vertical="center"/>
    </xf>
    <xf numFmtId="0" fontId="68" fillId="2" borderId="10" xfId="8" applyFont="1" applyFill="1" applyBorder="1" applyAlignment="1">
      <alignment horizontal="center" vertical="center"/>
    </xf>
    <xf numFmtId="0" fontId="68" fillId="2" borderId="90" xfId="8" applyFont="1" applyFill="1" applyBorder="1" applyAlignment="1">
      <alignment horizontal="center" vertical="center"/>
    </xf>
    <xf numFmtId="0" fontId="68" fillId="2" borderId="7" xfId="8" applyFont="1" applyFill="1" applyBorder="1" applyAlignment="1">
      <alignment horizontal="center" vertical="center" wrapText="1"/>
    </xf>
    <xf numFmtId="0" fontId="68" fillId="2" borderId="76" xfId="8" applyFont="1" applyFill="1" applyBorder="1" applyAlignment="1">
      <alignment horizontal="center" vertical="center" wrapText="1"/>
    </xf>
    <xf numFmtId="0" fontId="68" fillId="2" borderId="91" xfId="8" applyFont="1" applyFill="1" applyBorder="1" applyAlignment="1">
      <alignment horizontal="center" vertical="center" wrapText="1"/>
    </xf>
    <xf numFmtId="0" fontId="8" fillId="2" borderId="3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5" xfId="8" applyFont="1" applyFill="1" applyBorder="1" applyAlignment="1">
      <alignment horizontal="center" vertical="center"/>
    </xf>
    <xf numFmtId="0" fontId="7" fillId="8" borderId="99" xfId="8" applyFont="1" applyFill="1" applyBorder="1" applyAlignment="1">
      <alignment horizontal="center" vertical="center"/>
    </xf>
    <xf numFmtId="0" fontId="8" fillId="2" borderId="35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8" xfId="8" applyFont="1" applyFill="1" applyBorder="1" applyAlignment="1">
      <alignment horizontal="center" vertical="center" wrapText="1"/>
    </xf>
    <xf numFmtId="0" fontId="68" fillId="2" borderId="18" xfId="8" quotePrefix="1" applyFont="1" applyFill="1" applyBorder="1" applyAlignment="1">
      <alignment horizontal="center" vertical="center"/>
    </xf>
    <xf numFmtId="0" fontId="68" fillId="2" borderId="76" xfId="8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/>
    </xf>
    <xf numFmtId="0" fontId="68" fillId="2" borderId="7" xfId="8" quotePrefix="1" applyFont="1" applyFill="1" applyBorder="1" applyAlignment="1">
      <alignment horizontal="center" vertical="center" wrapText="1"/>
    </xf>
    <xf numFmtId="2" fontId="8" fillId="8" borderId="45" xfId="8" applyNumberFormat="1" applyFont="1" applyFill="1" applyBorder="1" applyAlignment="1">
      <alignment horizontal="center" vertical="center"/>
    </xf>
    <xf numFmtId="2" fontId="8" fillId="8" borderId="99" xfId="8" applyNumberFormat="1" applyFont="1" applyFill="1" applyBorder="1" applyAlignment="1">
      <alignment horizontal="center" vertical="center"/>
    </xf>
    <xf numFmtId="2" fontId="8" fillId="8" borderId="49" xfId="8" applyNumberFormat="1" applyFont="1" applyFill="1" applyBorder="1" applyAlignment="1">
      <alignment horizontal="center" vertical="center"/>
    </xf>
    <xf numFmtId="2" fontId="8" fillId="8" borderId="54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4" xfId="8" applyFont="1" applyFill="1" applyBorder="1" applyAlignment="1">
      <alignment horizontal="center" vertical="center"/>
    </xf>
    <xf numFmtId="0" fontId="14" fillId="10" borderId="76" xfId="8" applyFont="1" applyFill="1" applyBorder="1" applyAlignment="1">
      <alignment horizontal="center" vertical="center"/>
    </xf>
    <xf numFmtId="2" fontId="8" fillId="8" borderId="45" xfId="8" applyNumberFormat="1" applyFont="1" applyFill="1" applyBorder="1" applyAlignment="1">
      <alignment horizontal="center"/>
    </xf>
    <xf numFmtId="2" fontId="8" fillId="8" borderId="99" xfId="8" applyNumberFormat="1" applyFont="1" applyFill="1" applyBorder="1" applyAlignment="1">
      <alignment horizontal="center"/>
    </xf>
    <xf numFmtId="0" fontId="8" fillId="8" borderId="34" xfId="8" applyFont="1" applyFill="1" applyBorder="1" applyAlignment="1">
      <alignment horizontal="center" vertical="center"/>
    </xf>
    <xf numFmtId="0" fontId="8" fillId="8" borderId="47" xfId="8" applyFont="1" applyFill="1" applyBorder="1" applyAlignment="1">
      <alignment horizontal="center" vertical="center"/>
    </xf>
    <xf numFmtId="0" fontId="8" fillId="8" borderId="45" xfId="8" applyFont="1" applyFill="1" applyBorder="1" applyAlignment="1">
      <alignment horizontal="center" vertical="center"/>
    </xf>
    <xf numFmtId="0" fontId="8" fillId="8" borderId="99" xfId="8" applyFont="1" applyFill="1" applyBorder="1" applyAlignment="1">
      <alignment horizontal="center" vertical="center"/>
    </xf>
    <xf numFmtId="2" fontId="8" fillId="8" borderId="34" xfId="8" applyNumberFormat="1" applyFont="1" applyFill="1" applyBorder="1" applyAlignment="1">
      <alignment horizontal="center" vertical="center"/>
    </xf>
    <xf numFmtId="2" fontId="8" fillId="8" borderId="47" xfId="8" applyNumberFormat="1" applyFont="1" applyFill="1" applyBorder="1" applyAlignment="1">
      <alignment horizontal="center" vertical="center"/>
    </xf>
    <xf numFmtId="0" fontId="8" fillId="8" borderId="91" xfId="8" applyFont="1" applyFill="1" applyBorder="1" applyAlignment="1">
      <alignment horizontal="center" vertical="center"/>
    </xf>
    <xf numFmtId="0" fontId="8" fillId="8" borderId="7" xfId="8" applyFont="1" applyFill="1" applyBorder="1" applyAlignment="1">
      <alignment horizontal="center" vertical="center"/>
    </xf>
    <xf numFmtId="0" fontId="8" fillId="2" borderId="45" xfId="8" applyFont="1" applyFill="1" applyBorder="1" applyAlignment="1">
      <alignment horizontal="center" vertical="center"/>
    </xf>
    <xf numFmtId="0" fontId="8" fillId="2" borderId="99" xfId="8" applyFont="1" applyFill="1" applyBorder="1" applyAlignment="1">
      <alignment horizontal="center" vertical="center"/>
    </xf>
    <xf numFmtId="0" fontId="8" fillId="2" borderId="49" xfId="8" applyFont="1" applyFill="1" applyBorder="1" applyAlignment="1">
      <alignment horizontal="center" vertical="center"/>
    </xf>
    <xf numFmtId="0" fontId="8" fillId="2" borderId="54" xfId="8" applyFont="1" applyFill="1" applyBorder="1" applyAlignment="1">
      <alignment horizontal="center" vertical="center"/>
    </xf>
    <xf numFmtId="0" fontId="8" fillId="8" borderId="54" xfId="8" applyFont="1" applyFill="1" applyBorder="1" applyAlignment="1">
      <alignment horizontal="center"/>
    </xf>
    <xf numFmtId="0" fontId="8" fillId="8" borderId="99" xfId="8" applyFont="1" applyFill="1" applyBorder="1" applyAlignment="1">
      <alignment horizontal="center"/>
    </xf>
    <xf numFmtId="0" fontId="8" fillId="8" borderId="76" xfId="8" applyFont="1" applyFill="1" applyBorder="1" applyAlignment="1">
      <alignment horizontal="center" vertical="center"/>
    </xf>
    <xf numFmtId="0" fontId="8" fillId="8" borderId="34" xfId="8" applyFont="1" applyFill="1" applyBorder="1" applyAlignment="1">
      <alignment horizontal="center" wrapText="1"/>
    </xf>
    <xf numFmtId="0" fontId="8" fillId="8" borderId="47" xfId="8" applyFont="1" applyFill="1" applyBorder="1" applyAlignment="1">
      <alignment horizontal="center" wrapText="1"/>
    </xf>
    <xf numFmtId="2" fontId="28" fillId="8" borderId="34" xfId="8" applyNumberFormat="1" applyFont="1" applyFill="1" applyBorder="1" applyAlignment="1">
      <alignment horizontal="center" vertical="center"/>
    </xf>
    <xf numFmtId="2" fontId="28" fillId="8" borderId="47" xfId="8" applyNumberFormat="1" applyFont="1" applyFill="1" applyBorder="1" applyAlignment="1">
      <alignment horizontal="center" vertical="center"/>
    </xf>
    <xf numFmtId="0" fontId="8" fillId="8" borderId="49" xfId="8" applyFont="1" applyFill="1" applyBorder="1" applyAlignment="1">
      <alignment horizontal="center" vertical="center" wrapText="1"/>
    </xf>
    <xf numFmtId="0" fontId="8" fillId="8" borderId="54" xfId="8" applyFont="1" applyFill="1" applyBorder="1" applyAlignment="1">
      <alignment horizontal="center" vertical="center" wrapText="1"/>
    </xf>
    <xf numFmtId="0" fontId="8" fillId="8" borderId="45" xfId="8" applyFont="1" applyFill="1" applyBorder="1" applyAlignment="1">
      <alignment horizontal="center" wrapText="1"/>
    </xf>
    <xf numFmtId="0" fontId="8" fillId="8" borderId="99" xfId="8" applyFont="1" applyFill="1" applyBorder="1" applyAlignment="1">
      <alignment horizontal="center" wrapText="1"/>
    </xf>
    <xf numFmtId="0" fontId="8" fillId="8" borderId="55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53" xfId="8" applyFont="1" applyFill="1" applyBorder="1" applyAlignment="1">
      <alignment horizontal="center" vertical="center"/>
    </xf>
    <xf numFmtId="0" fontId="8" fillId="8" borderId="76" xfId="8" applyFont="1" applyFill="1" applyBorder="1" applyAlignment="1">
      <alignment horizontal="center"/>
    </xf>
    <xf numFmtId="0" fontId="8" fillId="8" borderId="45" xfId="8" applyFont="1" applyFill="1" applyBorder="1" applyAlignment="1">
      <alignment horizontal="right" vertical="center"/>
    </xf>
    <xf numFmtId="0" fontId="8" fillId="8" borderId="57" xfId="8" applyFont="1" applyFill="1" applyBorder="1" applyAlignment="1">
      <alignment horizontal="center" vertical="center"/>
    </xf>
    <xf numFmtId="0" fontId="8" fillId="8" borderId="58" xfId="8" applyFont="1" applyFill="1" applyBorder="1" applyAlignment="1">
      <alignment horizontal="center" vertical="center"/>
    </xf>
    <xf numFmtId="2" fontId="9" fillId="8" borderId="49" xfId="8" applyNumberFormat="1" applyFont="1" applyFill="1" applyBorder="1" applyAlignment="1">
      <alignment horizontal="center" vertical="center"/>
    </xf>
    <xf numFmtId="2" fontId="9" fillId="8" borderId="54" xfId="8" applyNumberFormat="1" applyFont="1" applyFill="1" applyBorder="1" applyAlignment="1">
      <alignment horizontal="center" vertical="center"/>
    </xf>
    <xf numFmtId="0" fontId="8" fillId="0" borderId="73" xfId="173" applyFont="1" applyBorder="1" applyAlignment="1">
      <alignment horizontal="left" vertical="center" wrapText="1"/>
    </xf>
    <xf numFmtId="0" fontId="8" fillId="0" borderId="85" xfId="173" applyFont="1" applyBorder="1" applyAlignment="1">
      <alignment horizontal="left" vertical="center" wrapText="1"/>
    </xf>
    <xf numFmtId="0" fontId="8" fillId="0" borderId="77" xfId="173" applyFont="1" applyBorder="1" applyAlignment="1">
      <alignment horizontal="left" vertical="center" wrapText="1"/>
    </xf>
    <xf numFmtId="0" fontId="64" fillId="35" borderId="81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64" fillId="35" borderId="102" xfId="90" applyFont="1" applyFill="1" applyBorder="1" applyAlignment="1" applyProtection="1">
      <alignment horizontal="center" vertical="center" wrapText="1"/>
      <protection locked="0"/>
    </xf>
    <xf numFmtId="0" fontId="8" fillId="0" borderId="81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8" fillId="0" borderId="102" xfId="173" applyFont="1" applyBorder="1" applyAlignment="1">
      <alignment horizontal="center" vertical="center"/>
    </xf>
    <xf numFmtId="0" fontId="56" fillId="0" borderId="81" xfId="5" applyFont="1" applyBorder="1" applyAlignment="1">
      <alignment horizontal="center" vertical="center"/>
    </xf>
    <xf numFmtId="0" fontId="56" fillId="0" borderId="108" xfId="5" applyFont="1" applyBorder="1" applyAlignment="1">
      <alignment horizontal="center" vertical="center"/>
    </xf>
    <xf numFmtId="0" fontId="8" fillId="0" borderId="44" xfId="5" applyFont="1" applyBorder="1" applyAlignment="1">
      <alignment horizontal="center" vertical="center"/>
    </xf>
    <xf numFmtId="0" fontId="56" fillId="0" borderId="112" xfId="5" applyFont="1" applyBorder="1" applyAlignment="1">
      <alignment horizontal="center" vertical="center"/>
    </xf>
    <xf numFmtId="0" fontId="56" fillId="0" borderId="74" xfId="5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29" xfId="5" applyFont="1" applyBorder="1" applyAlignment="1">
      <alignment horizontal="center" vertical="center"/>
    </xf>
    <xf numFmtId="0" fontId="56" fillId="0" borderId="32" xfId="5" applyFont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84" xfId="5" applyFont="1" applyBorder="1" applyAlignment="1">
      <alignment horizontal="center" vertical="center"/>
    </xf>
    <xf numFmtId="0" fontId="56" fillId="0" borderId="45" xfId="5" applyFont="1" applyBorder="1" applyAlignment="1">
      <alignment horizontal="center" vertical="center"/>
    </xf>
    <xf numFmtId="0" fontId="56" fillId="0" borderId="99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8" fillId="37" borderId="25" xfId="5" applyFont="1" applyFill="1" applyBorder="1" applyAlignment="1">
      <alignment horizontal="center" vertical="center"/>
    </xf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7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A19" sqref="A14:XFD19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7" t="s">
        <v>923</v>
      </c>
      <c r="B2" s="643" t="s">
        <v>925</v>
      </c>
      <c r="C2" s="643" t="s">
        <v>952</v>
      </c>
      <c r="D2" s="679">
        <v>45337</v>
      </c>
      <c r="E2" s="679">
        <v>45975</v>
      </c>
      <c r="F2" s="679" t="s">
        <v>926</v>
      </c>
      <c r="G2" s="679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8"/>
      <c r="B3" s="643" t="s">
        <v>924</v>
      </c>
      <c r="C3" s="643" t="s">
        <v>953</v>
      </c>
      <c r="D3" s="680"/>
      <c r="E3" s="680"/>
      <c r="F3" s="680"/>
      <c r="G3" s="680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tabSelected="1" topLeftCell="A25" zoomScale="86" zoomScaleNormal="86" workbookViewId="0">
      <selection activeCell="I14" sqref="I14:I15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699"/>
      <c r="D2" s="641" t="s">
        <v>518</v>
      </c>
      <c r="E2" s="692" t="s">
        <v>519</v>
      </c>
      <c r="F2" s="692"/>
      <c r="G2" s="692"/>
      <c r="H2" s="641" t="s">
        <v>111</v>
      </c>
      <c r="I2" s="477">
        <f ca="1">TODAY()</f>
        <v>45968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699"/>
      <c r="D3" s="641" t="s">
        <v>110</v>
      </c>
      <c r="E3" s="693" t="s">
        <v>109</v>
      </c>
      <c r="F3" s="693"/>
      <c r="G3" s="693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699"/>
      <c r="D4" s="641" t="s">
        <v>106</v>
      </c>
      <c r="E4" s="693" t="s">
        <v>105</v>
      </c>
      <c r="F4" s="693"/>
      <c r="G4" s="693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699"/>
      <c r="D5" s="641" t="s">
        <v>103</v>
      </c>
      <c r="E5" s="700" t="s">
        <v>102</v>
      </c>
      <c r="F5" s="701"/>
      <c r="G5" s="702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96" t="s">
        <v>101</v>
      </c>
      <c r="D6" s="697"/>
      <c r="E6" s="697"/>
      <c r="F6" s="697"/>
      <c r="G6" s="697"/>
      <c r="H6" s="697"/>
      <c r="I6" s="697"/>
      <c r="J6" s="698"/>
      <c r="K6" s="698"/>
      <c r="L6" s="698"/>
      <c r="M6" s="698"/>
      <c r="N6" s="698"/>
      <c r="Q6" s="5"/>
      <c r="R6" s="480"/>
    </row>
    <row r="7" spans="3:19" ht="39" hidden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94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95"/>
      <c r="R9" s="480"/>
      <c r="S9" s="480"/>
    </row>
    <row r="10" spans="3:19" ht="15.75" hidden="1" customHeight="1" thickBot="1" x14ac:dyDescent="0.25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681" t="s">
        <v>5</v>
      </c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683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681" t="s">
        <v>91</v>
      </c>
      <c r="D17" s="682"/>
      <c r="E17" s="682"/>
      <c r="F17" s="682"/>
      <c r="G17" s="682"/>
      <c r="H17" s="682"/>
      <c r="I17" s="682"/>
      <c r="J17" s="682"/>
      <c r="K17" s="682"/>
      <c r="L17" s="682"/>
      <c r="M17" s="682"/>
      <c r="N17" s="682"/>
      <c r="O17" s="682"/>
      <c r="P17" s="682"/>
      <c r="Q17" s="683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688" t="s">
        <v>4</v>
      </c>
      <c r="Q18" s="689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>D19-L19</f>
        <v>2</v>
      </c>
      <c r="N19" s="267"/>
      <c r="O19" s="267">
        <v>1</v>
      </c>
      <c r="P19" s="690" t="s">
        <v>967</v>
      </c>
      <c r="Q19" s="691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/>
      <c r="K20" s="267">
        <v>309</v>
      </c>
      <c r="L20" s="640">
        <f>J20+F20</f>
        <v>289</v>
      </c>
      <c r="M20" s="267">
        <f>D20-L20</f>
        <v>20</v>
      </c>
      <c r="N20" s="267"/>
      <c r="O20" s="267"/>
      <c r="P20" s="684"/>
      <c r="Q20" s="685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/>
      <c r="J21" s="636">
        <v>4</v>
      </c>
      <c r="K21" s="267">
        <v>309</v>
      </c>
      <c r="L21" s="636">
        <f>F21+J21</f>
        <v>260</v>
      </c>
      <c r="M21" s="267">
        <f>D21-L21</f>
        <v>49</v>
      </c>
      <c r="N21" s="267">
        <v>5</v>
      </c>
      <c r="O21" s="267">
        <v>5</v>
      </c>
      <c r="P21" s="686" t="s">
        <v>990</v>
      </c>
      <c r="Q21" s="687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670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703"/>
      <c r="Q22" s="704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703" t="s">
        <v>978</v>
      </c>
      <c r="Q23" s="704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>D24-L24</f>
        <v>77.59899999999999</v>
      </c>
      <c r="N24" s="601">
        <f>1.539+4.9</f>
        <v>6.4390000000000001</v>
      </c>
      <c r="O24" s="267">
        <v>2</v>
      </c>
      <c r="P24" s="690" t="s">
        <v>991</v>
      </c>
      <c r="Q24" s="691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>D25-L25</f>
        <v>77.59899999999999</v>
      </c>
      <c r="N25" s="272"/>
      <c r="O25" s="267"/>
      <c r="P25" s="713"/>
      <c r="Q25" s="714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>D26-L26</f>
        <v>87.06</v>
      </c>
      <c r="N26" s="265"/>
      <c r="O26" s="267"/>
      <c r="P26" s="686"/>
      <c r="Q26" s="687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713"/>
      <c r="Q27" s="714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707"/>
      <c r="Q28" s="708"/>
    </row>
    <row r="29" spans="3:18" ht="25.5" customHeight="1" thickBot="1" x14ac:dyDescent="0.25">
      <c r="C29" s="710" t="s">
        <v>741</v>
      </c>
      <c r="D29" s="711"/>
      <c r="E29" s="711"/>
      <c r="F29" s="711"/>
      <c r="G29" s="711"/>
      <c r="H29" s="711"/>
      <c r="I29" s="711"/>
      <c r="J29" s="711"/>
      <c r="K29" s="711"/>
      <c r="L29" s="711"/>
      <c r="M29" s="711"/>
      <c r="N29" s="712"/>
      <c r="P29" s="709"/>
      <c r="Q29" s="709"/>
    </row>
    <row r="30" spans="3:18" ht="38.25" customHeight="1" x14ac:dyDescent="0.2">
      <c r="C30" s="671" t="s">
        <v>0</v>
      </c>
      <c r="D30" s="672" t="s">
        <v>1</v>
      </c>
      <c r="E30" s="672" t="s">
        <v>2</v>
      </c>
      <c r="F30" s="672" t="s">
        <v>3</v>
      </c>
      <c r="G30" s="672" t="s">
        <v>141</v>
      </c>
      <c r="H30" s="672" t="s">
        <v>100</v>
      </c>
      <c r="I30" s="672" t="s">
        <v>99</v>
      </c>
      <c r="J30" s="672" t="s">
        <v>98</v>
      </c>
      <c r="K30" s="672" t="s">
        <v>97</v>
      </c>
      <c r="L30" s="672" t="s">
        <v>140</v>
      </c>
      <c r="M30" s="672" t="s">
        <v>96</v>
      </c>
      <c r="N30" s="673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/>
      <c r="K32" s="484">
        <v>1</v>
      </c>
      <c r="L32" s="485">
        <f>G32+K32</f>
        <v>312</v>
      </c>
      <c r="M32" s="485">
        <f>312-L32</f>
        <v>0</v>
      </c>
      <c r="N32" s="486"/>
    </row>
    <row r="33" spans="3:17" ht="36.75" customHeight="1" x14ac:dyDescent="0.2">
      <c r="C33" s="705"/>
      <c r="D33" s="706"/>
      <c r="E33" s="706"/>
      <c r="F33" s="706"/>
      <c r="G33" s="706"/>
      <c r="H33" s="706"/>
      <c r="I33" s="706"/>
      <c r="J33" s="706"/>
      <c r="K33" s="706"/>
    </row>
    <row r="34" spans="3:17" ht="36.75" customHeight="1" x14ac:dyDescent="0.2">
      <c r="C34" s="706"/>
      <c r="D34" s="706"/>
      <c r="E34" s="706"/>
      <c r="F34" s="706"/>
      <c r="G34" s="706"/>
      <c r="H34" s="706"/>
      <c r="I34" s="706"/>
      <c r="J34" s="706"/>
      <c r="K34" s="706"/>
    </row>
    <row r="35" spans="3:17" ht="36.75" customHeight="1" x14ac:dyDescent="0.2"/>
    <row r="36" spans="3:17" ht="36.7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  <mergeCell ref="C12:N12"/>
    <mergeCell ref="E2:G2"/>
    <mergeCell ref="E3:G3"/>
    <mergeCell ref="E4:G4"/>
    <mergeCell ref="N8:N9"/>
    <mergeCell ref="C6:N6"/>
    <mergeCell ref="C2:C5"/>
    <mergeCell ref="E5:G5"/>
    <mergeCell ref="C17:Q17"/>
    <mergeCell ref="P20:Q20"/>
    <mergeCell ref="P21:Q21"/>
    <mergeCell ref="P18:Q18"/>
    <mergeCell ref="P19:Q19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12"/>
  <sheetViews>
    <sheetView showZeros="0" topLeftCell="A900" zoomScale="86" zoomScaleNormal="86" workbookViewId="0">
      <selection activeCell="G908" sqref="G908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53" t="s">
        <v>5</v>
      </c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5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56" t="s">
        <v>468</v>
      </c>
      <c r="C7" s="757"/>
      <c r="D7" s="757"/>
      <c r="E7" s="757"/>
      <c r="F7" s="757"/>
      <c r="G7" s="757"/>
      <c r="H7" s="757"/>
      <c r="I7" s="757"/>
      <c r="J7" s="757"/>
      <c r="K7" s="757"/>
      <c r="L7" s="757"/>
      <c r="M7" s="757"/>
      <c r="N7" s="757"/>
      <c r="O7" s="757"/>
      <c r="P7" s="758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47" t="s">
        <v>469</v>
      </c>
      <c r="I8" s="747"/>
      <c r="J8" s="747"/>
      <c r="K8" s="747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716" t="s">
        <v>31</v>
      </c>
      <c r="I9" s="716"/>
      <c r="J9" s="716"/>
      <c r="K9" s="716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716" t="s">
        <v>31</v>
      </c>
      <c r="I10" s="716"/>
      <c r="J10" s="716"/>
      <c r="K10" s="716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716" t="s">
        <v>31</v>
      </c>
      <c r="I11" s="716"/>
      <c r="J11" s="716"/>
      <c r="K11" s="716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716" t="s">
        <v>31</v>
      </c>
      <c r="I12" s="716"/>
      <c r="J12" s="716"/>
      <c r="K12" s="716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716" t="s">
        <v>31</v>
      </c>
      <c r="I13" s="716"/>
      <c r="J13" s="716"/>
      <c r="K13" s="716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716" t="s">
        <v>31</v>
      </c>
      <c r="I14" s="716"/>
      <c r="J14" s="716"/>
      <c r="K14" s="716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716" t="s">
        <v>31</v>
      </c>
      <c r="I15" s="716"/>
      <c r="J15" s="716"/>
      <c r="K15" s="716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716" t="s">
        <v>31</v>
      </c>
      <c r="I16" s="716"/>
      <c r="J16" s="716"/>
      <c r="K16" s="716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716" t="s">
        <v>31</v>
      </c>
      <c r="I17" s="716"/>
      <c r="J17" s="716"/>
      <c r="K17" s="716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716" t="s">
        <v>31</v>
      </c>
      <c r="I18" s="716"/>
      <c r="J18" s="716"/>
      <c r="K18" s="716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716" t="s">
        <v>31</v>
      </c>
      <c r="I19" s="716"/>
      <c r="J19" s="716"/>
      <c r="K19" s="716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716" t="s">
        <v>31</v>
      </c>
      <c r="I20" s="716"/>
      <c r="J20" s="716"/>
      <c r="K20" s="716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716" t="s">
        <v>31</v>
      </c>
      <c r="I21" s="716"/>
      <c r="J21" s="716"/>
      <c r="K21" s="716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716" t="s">
        <v>31</v>
      </c>
      <c r="I22" s="716"/>
      <c r="J22" s="716"/>
      <c r="K22" s="716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716" t="s">
        <v>31</v>
      </c>
      <c r="I23" s="716"/>
      <c r="J23" s="716"/>
      <c r="K23" s="716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716" t="s">
        <v>31</v>
      </c>
      <c r="I24" s="716"/>
      <c r="J24" s="716"/>
      <c r="K24" s="716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716" t="s">
        <v>31</v>
      </c>
      <c r="I25" s="716"/>
      <c r="J25" s="716"/>
      <c r="K25" s="716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716" t="s">
        <v>31</v>
      </c>
      <c r="I26" s="716"/>
      <c r="J26" s="716"/>
      <c r="K26" s="716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716" t="s">
        <v>31</v>
      </c>
      <c r="I27" s="716"/>
      <c r="J27" s="716"/>
      <c r="K27" s="716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716" t="s">
        <v>31</v>
      </c>
      <c r="I28" s="716"/>
      <c r="J28" s="716"/>
      <c r="K28" s="716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716" t="s">
        <v>31</v>
      </c>
      <c r="I29" s="716"/>
      <c r="J29" s="716"/>
      <c r="K29" s="716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716" t="s">
        <v>31</v>
      </c>
      <c r="I30" s="716"/>
      <c r="J30" s="716"/>
      <c r="K30" s="716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716" t="s">
        <v>31</v>
      </c>
      <c r="I31" s="716"/>
      <c r="J31" s="716"/>
      <c r="K31" s="716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716" t="s">
        <v>31</v>
      </c>
      <c r="I32" s="716"/>
      <c r="J32" s="716"/>
      <c r="K32" s="716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716" t="s">
        <v>31</v>
      </c>
      <c r="I33" s="716"/>
      <c r="J33" s="716"/>
      <c r="K33" s="716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716" t="s">
        <v>31</v>
      </c>
      <c r="I34" s="716"/>
      <c r="J34" s="716"/>
      <c r="K34" s="716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716" t="s">
        <v>31</v>
      </c>
      <c r="I35" s="716"/>
      <c r="J35" s="716"/>
      <c r="K35" s="716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716" t="s">
        <v>31</v>
      </c>
      <c r="I36" s="716"/>
      <c r="J36" s="716"/>
      <c r="K36" s="716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716" t="s">
        <v>31</v>
      </c>
      <c r="I37" s="716"/>
      <c r="J37" s="716"/>
      <c r="K37" s="716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716" t="s">
        <v>31</v>
      </c>
      <c r="I38" s="716"/>
      <c r="J38" s="716"/>
      <c r="K38" s="716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716" t="s">
        <v>31</v>
      </c>
      <c r="I39" s="716"/>
      <c r="J39" s="716"/>
      <c r="K39" s="716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716" t="s">
        <v>31</v>
      </c>
      <c r="I40" s="716"/>
      <c r="J40" s="716"/>
      <c r="K40" s="716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716" t="s">
        <v>31</v>
      </c>
      <c r="I41" s="716"/>
      <c r="J41" s="716"/>
      <c r="K41" s="716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716" t="s">
        <v>31</v>
      </c>
      <c r="I42" s="716"/>
      <c r="J42" s="716"/>
      <c r="K42" s="716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716" t="s">
        <v>31</v>
      </c>
      <c r="I43" s="716"/>
      <c r="J43" s="716"/>
      <c r="K43" s="716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716" t="s">
        <v>31</v>
      </c>
      <c r="I44" s="716"/>
      <c r="J44" s="716"/>
      <c r="K44" s="716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716" t="s">
        <v>31</v>
      </c>
      <c r="I45" s="716"/>
      <c r="J45" s="716"/>
      <c r="K45" s="716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716" t="s">
        <v>31</v>
      </c>
      <c r="I46" s="716"/>
      <c r="J46" s="716"/>
      <c r="K46" s="716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716" t="s">
        <v>31</v>
      </c>
      <c r="I47" s="716"/>
      <c r="J47" s="716"/>
      <c r="K47" s="716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716" t="s">
        <v>31</v>
      </c>
      <c r="I48" s="716"/>
      <c r="J48" s="716"/>
      <c r="K48" s="716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716" t="s">
        <v>31</v>
      </c>
      <c r="I49" s="716"/>
      <c r="J49" s="716"/>
      <c r="K49" s="716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716" t="s">
        <v>31</v>
      </c>
      <c r="I50" s="716"/>
      <c r="J50" s="716"/>
      <c r="K50" s="716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716" t="s">
        <v>31</v>
      </c>
      <c r="I51" s="716"/>
      <c r="J51" s="716"/>
      <c r="K51" s="716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716" t="s">
        <v>31</v>
      </c>
      <c r="I52" s="716"/>
      <c r="J52" s="716"/>
      <c r="K52" s="716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716" t="s">
        <v>31</v>
      </c>
      <c r="I53" s="716"/>
      <c r="J53" s="716"/>
      <c r="K53" s="716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716" t="s">
        <v>31</v>
      </c>
      <c r="I54" s="716"/>
      <c r="J54" s="716"/>
      <c r="K54" s="716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716" t="s">
        <v>31</v>
      </c>
      <c r="I55" s="716"/>
      <c r="J55" s="716"/>
      <c r="K55" s="716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716" t="s">
        <v>31</v>
      </c>
      <c r="I56" s="716"/>
      <c r="J56" s="716"/>
      <c r="K56" s="716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716" t="s">
        <v>31</v>
      </c>
      <c r="I57" s="716"/>
      <c r="J57" s="716"/>
      <c r="K57" s="716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716" t="s">
        <v>31</v>
      </c>
      <c r="I58" s="716"/>
      <c r="J58" s="716"/>
      <c r="K58" s="716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716" t="s">
        <v>31</v>
      </c>
      <c r="I59" s="716"/>
      <c r="J59" s="716"/>
      <c r="K59" s="716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716" t="s">
        <v>31</v>
      </c>
      <c r="I60" s="716"/>
      <c r="J60" s="716"/>
      <c r="K60" s="716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716" t="s">
        <v>31</v>
      </c>
      <c r="I61" s="716"/>
      <c r="J61" s="716"/>
      <c r="K61" s="716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716" t="s">
        <v>31</v>
      </c>
      <c r="I62" s="716"/>
      <c r="J62" s="716"/>
      <c r="K62" s="716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716" t="s">
        <v>31</v>
      </c>
      <c r="I63" s="716"/>
      <c r="J63" s="716"/>
      <c r="K63" s="716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716" t="s">
        <v>31</v>
      </c>
      <c r="I64" s="716"/>
      <c r="J64" s="716"/>
      <c r="K64" s="716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716" t="s">
        <v>31</v>
      </c>
      <c r="I65" s="716"/>
      <c r="J65" s="716"/>
      <c r="K65" s="716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716" t="s">
        <v>31</v>
      </c>
      <c r="I66" s="716"/>
      <c r="J66" s="716"/>
      <c r="K66" s="716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716" t="s">
        <v>31</v>
      </c>
      <c r="I67" s="716"/>
      <c r="J67" s="716"/>
      <c r="K67" s="716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716" t="s">
        <v>31</v>
      </c>
      <c r="I68" s="716"/>
      <c r="J68" s="716"/>
      <c r="K68" s="716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716" t="s">
        <v>31</v>
      </c>
      <c r="I69" s="716"/>
      <c r="J69" s="716"/>
      <c r="K69" s="716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716" t="s">
        <v>31</v>
      </c>
      <c r="I70" s="716"/>
      <c r="J70" s="716"/>
      <c r="K70" s="716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716" t="s">
        <v>31</v>
      </c>
      <c r="I71" s="716"/>
      <c r="J71" s="716"/>
      <c r="K71" s="716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716" t="s">
        <v>31</v>
      </c>
      <c r="I72" s="716"/>
      <c r="J72" s="716"/>
      <c r="K72" s="716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716" t="s">
        <v>31</v>
      </c>
      <c r="I73" s="716"/>
      <c r="J73" s="716"/>
      <c r="K73" s="716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716" t="s">
        <v>31</v>
      </c>
      <c r="I74" s="716"/>
      <c r="J74" s="716"/>
      <c r="K74" s="716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716" t="s">
        <v>31</v>
      </c>
      <c r="I75" s="716"/>
      <c r="J75" s="716"/>
      <c r="K75" s="716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716" t="s">
        <v>31</v>
      </c>
      <c r="I76" s="716"/>
      <c r="J76" s="716"/>
      <c r="K76" s="716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716" t="s">
        <v>31</v>
      </c>
      <c r="I77" s="716"/>
      <c r="J77" s="716"/>
      <c r="K77" s="716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716" t="s">
        <v>31</v>
      </c>
      <c r="I78" s="716"/>
      <c r="J78" s="716"/>
      <c r="K78" s="716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716" t="s">
        <v>31</v>
      </c>
      <c r="I79" s="716"/>
      <c r="J79" s="716"/>
      <c r="K79" s="716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716" t="s">
        <v>31</v>
      </c>
      <c r="I80" s="716"/>
      <c r="J80" s="716"/>
      <c r="K80" s="716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716" t="s">
        <v>31</v>
      </c>
      <c r="I81" s="716"/>
      <c r="J81" s="716"/>
      <c r="K81" s="716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716" t="s">
        <v>31</v>
      </c>
      <c r="I82" s="716"/>
      <c r="J82" s="716"/>
      <c r="K82" s="716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716" t="s">
        <v>31</v>
      </c>
      <c r="I83" s="716"/>
      <c r="J83" s="716"/>
      <c r="K83" s="716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716" t="s">
        <v>31</v>
      </c>
      <c r="I84" s="716"/>
      <c r="J84" s="716"/>
      <c r="K84" s="716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716" t="s">
        <v>31</v>
      </c>
      <c r="I85" s="716"/>
      <c r="J85" s="716"/>
      <c r="K85" s="716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716" t="s">
        <v>31</v>
      </c>
      <c r="I86" s="716"/>
      <c r="J86" s="716"/>
      <c r="K86" s="716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716" t="s">
        <v>31</v>
      </c>
      <c r="I87" s="716"/>
      <c r="J87" s="716"/>
      <c r="K87" s="716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716" t="s">
        <v>31</v>
      </c>
      <c r="I88" s="716"/>
      <c r="J88" s="716"/>
      <c r="K88" s="716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716" t="s">
        <v>31</v>
      </c>
      <c r="I89" s="716"/>
      <c r="J89" s="716"/>
      <c r="K89" s="716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716" t="s">
        <v>31</v>
      </c>
      <c r="I90" s="716"/>
      <c r="J90" s="716"/>
      <c r="K90" s="716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716" t="s">
        <v>31</v>
      </c>
      <c r="I91" s="716"/>
      <c r="J91" s="716"/>
      <c r="K91" s="716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716" t="s">
        <v>31</v>
      </c>
      <c r="I92" s="716"/>
      <c r="J92" s="716"/>
      <c r="K92" s="716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716" t="s">
        <v>31</v>
      </c>
      <c r="I93" s="716"/>
      <c r="J93" s="716"/>
      <c r="K93" s="716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716" t="s">
        <v>31</v>
      </c>
      <c r="I94" s="716"/>
      <c r="J94" s="716"/>
      <c r="K94" s="716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716" t="s">
        <v>31</v>
      </c>
      <c r="I95" s="716"/>
      <c r="J95" s="716"/>
      <c r="K95" s="716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716" t="s">
        <v>31</v>
      </c>
      <c r="I96" s="716"/>
      <c r="J96" s="716"/>
      <c r="K96" s="716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716" t="s">
        <v>31</v>
      </c>
      <c r="I97" s="716"/>
      <c r="J97" s="716"/>
      <c r="K97" s="716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716" t="s">
        <v>31</v>
      </c>
      <c r="I98" s="716"/>
      <c r="J98" s="716"/>
      <c r="K98" s="716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716" t="s">
        <v>31</v>
      </c>
      <c r="I99" s="716"/>
      <c r="J99" s="716"/>
      <c r="K99" s="716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716" t="s">
        <v>31</v>
      </c>
      <c r="I100" s="716"/>
      <c r="J100" s="716"/>
      <c r="K100" s="716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716" t="s">
        <v>31</v>
      </c>
      <c r="I101" s="716"/>
      <c r="J101" s="716"/>
      <c r="K101" s="716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716" t="s">
        <v>31</v>
      </c>
      <c r="I102" s="716"/>
      <c r="J102" s="716"/>
      <c r="K102" s="716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716" t="s">
        <v>31</v>
      </c>
      <c r="I103" s="716"/>
      <c r="J103" s="716"/>
      <c r="K103" s="716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716" t="s">
        <v>31</v>
      </c>
      <c r="I104" s="716"/>
      <c r="J104" s="716"/>
      <c r="K104" s="716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716" t="s">
        <v>31</v>
      </c>
      <c r="I105" s="716"/>
      <c r="J105" s="716"/>
      <c r="K105" s="716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716" t="s">
        <v>31</v>
      </c>
      <c r="I106" s="716"/>
      <c r="J106" s="716"/>
      <c r="K106" s="716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716" t="s">
        <v>31</v>
      </c>
      <c r="I107" s="716"/>
      <c r="J107" s="716"/>
      <c r="K107" s="716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716" t="s">
        <v>31</v>
      </c>
      <c r="I108" s="716"/>
      <c r="J108" s="716"/>
      <c r="K108" s="716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716" t="s">
        <v>31</v>
      </c>
      <c r="I109" s="716"/>
      <c r="J109" s="716"/>
      <c r="K109" s="716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716" t="s">
        <v>31</v>
      </c>
      <c r="I110" s="716"/>
      <c r="J110" s="716"/>
      <c r="K110" s="716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716" t="s">
        <v>31</v>
      </c>
      <c r="I111" s="716"/>
      <c r="J111" s="716"/>
      <c r="K111" s="716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716" t="s">
        <v>31</v>
      </c>
      <c r="I112" s="716"/>
      <c r="J112" s="716"/>
      <c r="K112" s="716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716" t="s">
        <v>31</v>
      </c>
      <c r="I113" s="716"/>
      <c r="J113" s="716"/>
      <c r="K113" s="716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716" t="s">
        <v>31</v>
      </c>
      <c r="I114" s="716"/>
      <c r="J114" s="716"/>
      <c r="K114" s="716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716" t="s">
        <v>31</v>
      </c>
      <c r="I115" s="716"/>
      <c r="J115" s="716"/>
      <c r="K115" s="716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716" t="s">
        <v>31</v>
      </c>
      <c r="I116" s="716"/>
      <c r="J116" s="716"/>
      <c r="K116" s="716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716" t="s">
        <v>31</v>
      </c>
      <c r="I117" s="716"/>
      <c r="J117" s="716"/>
      <c r="K117" s="716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716" t="s">
        <v>31</v>
      </c>
      <c r="I118" s="716"/>
      <c r="J118" s="716"/>
      <c r="K118" s="716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716" t="s">
        <v>31</v>
      </c>
      <c r="I119" s="716"/>
      <c r="J119" s="716"/>
      <c r="K119" s="716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716" t="s">
        <v>31</v>
      </c>
      <c r="I120" s="716"/>
      <c r="J120" s="716"/>
      <c r="K120" s="716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716" t="s">
        <v>31</v>
      </c>
      <c r="I121" s="716"/>
      <c r="J121" s="716"/>
      <c r="K121" s="716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716" t="s">
        <v>31</v>
      </c>
      <c r="I122" s="716"/>
      <c r="J122" s="716"/>
      <c r="K122" s="716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716" t="s">
        <v>31</v>
      </c>
      <c r="I123" s="716"/>
      <c r="J123" s="716"/>
      <c r="K123" s="716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716" t="s">
        <v>31</v>
      </c>
      <c r="I124" s="716"/>
      <c r="J124" s="716"/>
      <c r="K124" s="716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716" t="s">
        <v>31</v>
      </c>
      <c r="I125" s="716"/>
      <c r="J125" s="716"/>
      <c r="K125" s="716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716" t="s">
        <v>31</v>
      </c>
      <c r="I126" s="716"/>
      <c r="J126" s="716"/>
      <c r="K126" s="716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716" t="s">
        <v>31</v>
      </c>
      <c r="I127" s="716"/>
      <c r="J127" s="716"/>
      <c r="K127" s="716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716" t="s">
        <v>31</v>
      </c>
      <c r="I128" s="716"/>
      <c r="J128" s="716"/>
      <c r="K128" s="716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716" t="s">
        <v>31</v>
      </c>
      <c r="I129" s="716"/>
      <c r="J129" s="716"/>
      <c r="K129" s="716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716" t="s">
        <v>31</v>
      </c>
      <c r="I130" s="716"/>
      <c r="J130" s="716"/>
      <c r="K130" s="716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716" t="s">
        <v>31</v>
      </c>
      <c r="I131" s="716"/>
      <c r="J131" s="716"/>
      <c r="K131" s="716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716" t="s">
        <v>31</v>
      </c>
      <c r="I132" s="716"/>
      <c r="J132" s="716"/>
      <c r="K132" s="716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716" t="s">
        <v>31</v>
      </c>
      <c r="I133" s="716"/>
      <c r="J133" s="716"/>
      <c r="K133" s="716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716" t="s">
        <v>31</v>
      </c>
      <c r="I134" s="716"/>
      <c r="J134" s="716"/>
      <c r="K134" s="716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716" t="s">
        <v>31</v>
      </c>
      <c r="I135" s="716"/>
      <c r="J135" s="716"/>
      <c r="K135" s="716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716" t="s">
        <v>31</v>
      </c>
      <c r="I136" s="716"/>
      <c r="J136" s="716"/>
      <c r="K136" s="716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716" t="s">
        <v>31</v>
      </c>
      <c r="I137" s="716"/>
      <c r="J137" s="716"/>
      <c r="K137" s="716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716" t="s">
        <v>31</v>
      </c>
      <c r="I138" s="716"/>
      <c r="J138" s="716"/>
      <c r="K138" s="716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716" t="s">
        <v>31</v>
      </c>
      <c r="I139" s="716"/>
      <c r="J139" s="716"/>
      <c r="K139" s="716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716" t="s">
        <v>31</v>
      </c>
      <c r="I140" s="716"/>
      <c r="J140" s="716"/>
      <c r="K140" s="716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716" t="s">
        <v>31</v>
      </c>
      <c r="I141" s="716"/>
      <c r="J141" s="716"/>
      <c r="K141" s="716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52" t="s">
        <v>31</v>
      </c>
      <c r="I142" s="752"/>
      <c r="J142" s="752"/>
      <c r="K142" s="752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17" t="s">
        <v>31</v>
      </c>
      <c r="I143" s="718"/>
      <c r="J143" s="718"/>
      <c r="K143" s="719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716" t="s">
        <v>31</v>
      </c>
      <c r="I144" s="716"/>
      <c r="J144" s="716"/>
      <c r="K144" s="716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716" t="s">
        <v>31</v>
      </c>
      <c r="I145" s="716"/>
      <c r="J145" s="716"/>
      <c r="K145" s="716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716" t="s">
        <v>31</v>
      </c>
      <c r="I146" s="716"/>
      <c r="J146" s="716"/>
      <c r="K146" s="716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716" t="s">
        <v>31</v>
      </c>
      <c r="I147" s="716"/>
      <c r="J147" s="716"/>
      <c r="K147" s="716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716" t="s">
        <v>31</v>
      </c>
      <c r="I148" s="716"/>
      <c r="J148" s="716"/>
      <c r="K148" s="716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716" t="s">
        <v>31</v>
      </c>
      <c r="I149" s="716"/>
      <c r="J149" s="716"/>
      <c r="K149" s="716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716" t="s">
        <v>31</v>
      </c>
      <c r="I150" s="716"/>
      <c r="J150" s="716"/>
      <c r="K150" s="716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716" t="s">
        <v>31</v>
      </c>
      <c r="I151" s="716"/>
      <c r="J151" s="716"/>
      <c r="K151" s="716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716" t="s">
        <v>31</v>
      </c>
      <c r="I152" s="716"/>
      <c r="J152" s="716"/>
      <c r="K152" s="716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716" t="s">
        <v>31</v>
      </c>
      <c r="I153" s="716"/>
      <c r="J153" s="716"/>
      <c r="K153" s="716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716" t="s">
        <v>31</v>
      </c>
      <c r="I154" s="716"/>
      <c r="J154" s="716"/>
      <c r="K154" s="716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716" t="s">
        <v>31</v>
      </c>
      <c r="I155" s="716"/>
      <c r="J155" s="716"/>
      <c r="K155" s="716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716" t="s">
        <v>31</v>
      </c>
      <c r="I156" s="716"/>
      <c r="J156" s="716"/>
      <c r="K156" s="716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716" t="s">
        <v>31</v>
      </c>
      <c r="I157" s="716"/>
      <c r="J157" s="716"/>
      <c r="K157" s="716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716" t="s">
        <v>31</v>
      </c>
      <c r="I158" s="716"/>
      <c r="J158" s="716"/>
      <c r="K158" s="716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716" t="s">
        <v>31</v>
      </c>
      <c r="I159" s="716"/>
      <c r="J159" s="716"/>
      <c r="K159" s="716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716" t="s">
        <v>31</v>
      </c>
      <c r="I160" s="716"/>
      <c r="J160" s="716"/>
      <c r="K160" s="716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716" t="s">
        <v>31</v>
      </c>
      <c r="I161" s="716"/>
      <c r="J161" s="716"/>
      <c r="K161" s="716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716" t="s">
        <v>31</v>
      </c>
      <c r="I162" s="716"/>
      <c r="J162" s="716"/>
      <c r="K162" s="716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716" t="s">
        <v>31</v>
      </c>
      <c r="I163" s="716"/>
      <c r="J163" s="716"/>
      <c r="K163" s="716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716" t="s">
        <v>31</v>
      </c>
      <c r="I164" s="716"/>
      <c r="J164" s="716"/>
      <c r="K164" s="716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716" t="s">
        <v>31</v>
      </c>
      <c r="I165" s="716"/>
      <c r="J165" s="716"/>
      <c r="K165" s="716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716" t="s">
        <v>31</v>
      </c>
      <c r="I166" s="716"/>
      <c r="J166" s="716"/>
      <c r="K166" s="716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716" t="s">
        <v>31</v>
      </c>
      <c r="I167" s="716"/>
      <c r="J167" s="716"/>
      <c r="K167" s="716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716" t="s">
        <v>31</v>
      </c>
      <c r="I168" s="716"/>
      <c r="J168" s="716"/>
      <c r="K168" s="716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716" t="s">
        <v>31</v>
      </c>
      <c r="I169" s="716"/>
      <c r="J169" s="716"/>
      <c r="K169" s="716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716" t="s">
        <v>31</v>
      </c>
      <c r="I170" s="716"/>
      <c r="J170" s="716"/>
      <c r="K170" s="716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716" t="s">
        <v>31</v>
      </c>
      <c r="I171" s="716"/>
      <c r="J171" s="716"/>
      <c r="K171" s="716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716" t="s">
        <v>31</v>
      </c>
      <c r="I172" s="716"/>
      <c r="J172" s="716"/>
      <c r="K172" s="716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716" t="s">
        <v>31</v>
      </c>
      <c r="I173" s="716"/>
      <c r="J173" s="716"/>
      <c r="K173" s="716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716" t="s">
        <v>31</v>
      </c>
      <c r="I174" s="716"/>
      <c r="J174" s="716"/>
      <c r="K174" s="716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716" t="s">
        <v>31</v>
      </c>
      <c r="I175" s="716"/>
      <c r="J175" s="716"/>
      <c r="K175" s="716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716" t="s">
        <v>31</v>
      </c>
      <c r="I176" s="716"/>
      <c r="J176" s="716"/>
      <c r="K176" s="716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716" t="s">
        <v>31</v>
      </c>
      <c r="I177" s="716"/>
      <c r="J177" s="716"/>
      <c r="K177" s="716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716" t="s">
        <v>31</v>
      </c>
      <c r="I178" s="716"/>
      <c r="J178" s="716"/>
      <c r="K178" s="716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716" t="s">
        <v>31</v>
      </c>
      <c r="I179" s="716"/>
      <c r="J179" s="716"/>
      <c r="K179" s="716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716" t="s">
        <v>31</v>
      </c>
      <c r="I180" s="716"/>
      <c r="J180" s="716"/>
      <c r="K180" s="716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716" t="s">
        <v>31</v>
      </c>
      <c r="I181" s="716"/>
      <c r="J181" s="716"/>
      <c r="K181" s="716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716" t="s">
        <v>31</v>
      </c>
      <c r="I182" s="716"/>
      <c r="J182" s="716"/>
      <c r="K182" s="716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716" t="s">
        <v>31</v>
      </c>
      <c r="I183" s="716"/>
      <c r="J183" s="716"/>
      <c r="K183" s="716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716" t="s">
        <v>31</v>
      </c>
      <c r="I184" s="716"/>
      <c r="J184" s="716"/>
      <c r="K184" s="716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716" t="s">
        <v>31</v>
      </c>
      <c r="I185" s="716"/>
      <c r="J185" s="716"/>
      <c r="K185" s="716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716" t="s">
        <v>31</v>
      </c>
      <c r="I186" s="716"/>
      <c r="J186" s="716"/>
      <c r="K186" s="716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716" t="s">
        <v>31</v>
      </c>
      <c r="I187" s="716"/>
      <c r="J187" s="716"/>
      <c r="K187" s="716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716" t="s">
        <v>31</v>
      </c>
      <c r="I188" s="716"/>
      <c r="J188" s="716"/>
      <c r="K188" s="716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716" t="s">
        <v>31</v>
      </c>
      <c r="I189" s="716"/>
      <c r="J189" s="716"/>
      <c r="K189" s="716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716" t="s">
        <v>31</v>
      </c>
      <c r="I190" s="716"/>
      <c r="J190" s="716"/>
      <c r="K190" s="716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716" t="s">
        <v>31</v>
      </c>
      <c r="I191" s="716"/>
      <c r="J191" s="716"/>
      <c r="K191" s="716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716" t="s">
        <v>31</v>
      </c>
      <c r="I192" s="716"/>
      <c r="J192" s="716"/>
      <c r="K192" s="716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716" t="s">
        <v>31</v>
      </c>
      <c r="I193" s="716"/>
      <c r="J193" s="716"/>
      <c r="K193" s="716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716" t="s">
        <v>31</v>
      </c>
      <c r="I194" s="716"/>
      <c r="J194" s="716"/>
      <c r="K194" s="716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716" t="s">
        <v>31</v>
      </c>
      <c r="I195" s="716"/>
      <c r="J195" s="716"/>
      <c r="K195" s="716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716" t="s">
        <v>31</v>
      </c>
      <c r="I196" s="716"/>
      <c r="J196" s="716"/>
      <c r="K196" s="716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716" t="s">
        <v>31</v>
      </c>
      <c r="I197" s="716"/>
      <c r="J197" s="716"/>
      <c r="K197" s="716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716" t="s">
        <v>31</v>
      </c>
      <c r="I198" s="716"/>
      <c r="J198" s="716"/>
      <c r="K198" s="716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716" t="s">
        <v>31</v>
      </c>
      <c r="I199" s="716"/>
      <c r="J199" s="716"/>
      <c r="K199" s="716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716" t="s">
        <v>31</v>
      </c>
      <c r="I200" s="716"/>
      <c r="J200" s="716"/>
      <c r="K200" s="716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716" t="s">
        <v>31</v>
      </c>
      <c r="I201" s="716"/>
      <c r="J201" s="716"/>
      <c r="K201" s="716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716" t="s">
        <v>31</v>
      </c>
      <c r="I202" s="716"/>
      <c r="J202" s="716"/>
      <c r="K202" s="716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716" t="s">
        <v>31</v>
      </c>
      <c r="I203" s="716"/>
      <c r="J203" s="716"/>
      <c r="K203" s="716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716" t="s">
        <v>31</v>
      </c>
      <c r="I204" s="716"/>
      <c r="J204" s="716"/>
      <c r="K204" s="716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716" t="s">
        <v>31</v>
      </c>
      <c r="I205" s="716"/>
      <c r="J205" s="716"/>
      <c r="K205" s="716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716" t="s">
        <v>31</v>
      </c>
      <c r="I206" s="716"/>
      <c r="J206" s="716"/>
      <c r="K206" s="716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716" t="s">
        <v>31</v>
      </c>
      <c r="I207" s="716"/>
      <c r="J207" s="716"/>
      <c r="K207" s="716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716" t="s">
        <v>31</v>
      </c>
      <c r="I208" s="716"/>
      <c r="J208" s="716"/>
      <c r="K208" s="716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716" t="s">
        <v>31</v>
      </c>
      <c r="I209" s="716"/>
      <c r="J209" s="716"/>
      <c r="K209" s="716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716" t="s">
        <v>31</v>
      </c>
      <c r="I210" s="716"/>
      <c r="J210" s="716"/>
      <c r="K210" s="716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716" t="s">
        <v>31</v>
      </c>
      <c r="I211" s="716"/>
      <c r="J211" s="716"/>
      <c r="K211" s="716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716" t="s">
        <v>31</v>
      </c>
      <c r="I212" s="716"/>
      <c r="J212" s="716"/>
      <c r="K212" s="716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716" t="s">
        <v>31</v>
      </c>
      <c r="I213" s="716"/>
      <c r="J213" s="716"/>
      <c r="K213" s="716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716" t="s">
        <v>31</v>
      </c>
      <c r="I214" s="716"/>
      <c r="J214" s="716"/>
      <c r="K214" s="716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716" t="s">
        <v>31</v>
      </c>
      <c r="I215" s="716"/>
      <c r="J215" s="716"/>
      <c r="K215" s="716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716" t="s">
        <v>31</v>
      </c>
      <c r="I216" s="716"/>
      <c r="J216" s="716"/>
      <c r="K216" s="716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716" t="s">
        <v>31</v>
      </c>
      <c r="I217" s="716"/>
      <c r="J217" s="716"/>
      <c r="K217" s="716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716" t="s">
        <v>31</v>
      </c>
      <c r="I218" s="716"/>
      <c r="J218" s="716"/>
      <c r="K218" s="716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716" t="s">
        <v>31</v>
      </c>
      <c r="I219" s="716"/>
      <c r="J219" s="716"/>
      <c r="K219" s="716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716" t="s">
        <v>31</v>
      </c>
      <c r="I220" s="716"/>
      <c r="J220" s="716"/>
      <c r="K220" s="716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716" t="s">
        <v>31</v>
      </c>
      <c r="I221" s="716"/>
      <c r="J221" s="716"/>
      <c r="K221" s="716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716" t="s">
        <v>31</v>
      </c>
      <c r="I222" s="716"/>
      <c r="J222" s="716"/>
      <c r="K222" s="716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716" t="s">
        <v>31</v>
      </c>
      <c r="I223" s="716"/>
      <c r="J223" s="716"/>
      <c r="K223" s="716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716" t="s">
        <v>31</v>
      </c>
      <c r="I224" s="716"/>
      <c r="J224" s="716"/>
      <c r="K224" s="716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716" t="s">
        <v>31</v>
      </c>
      <c r="I225" s="716"/>
      <c r="J225" s="716"/>
      <c r="K225" s="716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716" t="s">
        <v>31</v>
      </c>
      <c r="I226" s="716"/>
      <c r="J226" s="716"/>
      <c r="K226" s="716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716" t="s">
        <v>31</v>
      </c>
      <c r="I227" s="716"/>
      <c r="J227" s="716"/>
      <c r="K227" s="716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716" t="s">
        <v>31</v>
      </c>
      <c r="I228" s="716"/>
      <c r="J228" s="716"/>
      <c r="K228" s="716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716" t="s">
        <v>31</v>
      </c>
      <c r="I229" s="716"/>
      <c r="J229" s="716"/>
      <c r="K229" s="716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716" t="s">
        <v>31</v>
      </c>
      <c r="I230" s="716"/>
      <c r="J230" s="716"/>
      <c r="K230" s="716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716" t="s">
        <v>31</v>
      </c>
      <c r="I231" s="716"/>
      <c r="J231" s="716"/>
      <c r="K231" s="716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716" t="s">
        <v>31</v>
      </c>
      <c r="I232" s="716"/>
      <c r="J232" s="716"/>
      <c r="K232" s="716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716" t="s">
        <v>31</v>
      </c>
      <c r="I233" s="716"/>
      <c r="J233" s="716"/>
      <c r="K233" s="716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716" t="s">
        <v>31</v>
      </c>
      <c r="I234" s="716"/>
      <c r="J234" s="716"/>
      <c r="K234" s="716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716" t="s">
        <v>31</v>
      </c>
      <c r="I235" s="716"/>
      <c r="J235" s="716"/>
      <c r="K235" s="716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716" t="s">
        <v>31</v>
      </c>
      <c r="I236" s="716"/>
      <c r="J236" s="716"/>
      <c r="K236" s="716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716" t="s">
        <v>31</v>
      </c>
      <c r="I237" s="716"/>
      <c r="J237" s="716"/>
      <c r="K237" s="716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716" t="s">
        <v>31</v>
      </c>
      <c r="I238" s="716"/>
      <c r="J238" s="716"/>
      <c r="K238" s="716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716" t="s">
        <v>31</v>
      </c>
      <c r="I239" s="716"/>
      <c r="J239" s="716"/>
      <c r="K239" s="716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716" t="s">
        <v>31</v>
      </c>
      <c r="I240" s="716"/>
      <c r="J240" s="716"/>
      <c r="K240" s="716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716" t="s">
        <v>31</v>
      </c>
      <c r="I241" s="716"/>
      <c r="J241" s="716"/>
      <c r="K241" s="716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716" t="s">
        <v>31</v>
      </c>
      <c r="I242" s="716"/>
      <c r="J242" s="716"/>
      <c r="K242" s="716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716" t="s">
        <v>31</v>
      </c>
      <c r="I243" s="716"/>
      <c r="J243" s="716"/>
      <c r="K243" s="716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716" t="s">
        <v>31</v>
      </c>
      <c r="I244" s="716"/>
      <c r="J244" s="716"/>
      <c r="K244" s="716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716" t="s">
        <v>31</v>
      </c>
      <c r="I245" s="716"/>
      <c r="J245" s="716"/>
      <c r="K245" s="716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716" t="s">
        <v>31</v>
      </c>
      <c r="I246" s="716"/>
      <c r="J246" s="716"/>
      <c r="K246" s="716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716" t="s">
        <v>31</v>
      </c>
      <c r="I247" s="716"/>
      <c r="J247" s="716"/>
      <c r="K247" s="716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716" t="s">
        <v>31</v>
      </c>
      <c r="I248" s="716"/>
      <c r="J248" s="716"/>
      <c r="K248" s="716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716" t="s">
        <v>31</v>
      </c>
      <c r="I249" s="716"/>
      <c r="J249" s="716"/>
      <c r="K249" s="716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716" t="s">
        <v>31</v>
      </c>
      <c r="I250" s="716"/>
      <c r="J250" s="716"/>
      <c r="K250" s="716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716" t="s">
        <v>31</v>
      </c>
      <c r="I251" s="716"/>
      <c r="J251" s="716"/>
      <c r="K251" s="716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716" t="s">
        <v>31</v>
      </c>
      <c r="I252" s="716"/>
      <c r="J252" s="716"/>
      <c r="K252" s="716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716" t="s">
        <v>31</v>
      </c>
      <c r="I253" s="716"/>
      <c r="J253" s="716"/>
      <c r="K253" s="716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716" t="s">
        <v>31</v>
      </c>
      <c r="I254" s="716"/>
      <c r="J254" s="716"/>
      <c r="K254" s="716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716" t="s">
        <v>31</v>
      </c>
      <c r="I255" s="716"/>
      <c r="J255" s="716"/>
      <c r="K255" s="716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716" t="s">
        <v>31</v>
      </c>
      <c r="I256" s="716"/>
      <c r="J256" s="716"/>
      <c r="K256" s="716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716" t="s">
        <v>31</v>
      </c>
      <c r="I257" s="716"/>
      <c r="J257" s="716"/>
      <c r="K257" s="716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716" t="s">
        <v>31</v>
      </c>
      <c r="I258" s="716"/>
      <c r="J258" s="716"/>
      <c r="K258" s="716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716" t="s">
        <v>31</v>
      </c>
      <c r="I259" s="716"/>
      <c r="J259" s="716"/>
      <c r="K259" s="716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716" t="s">
        <v>31</v>
      </c>
      <c r="I260" s="716"/>
      <c r="J260" s="716"/>
      <c r="K260" s="716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716" t="s">
        <v>31</v>
      </c>
      <c r="I261" s="716"/>
      <c r="J261" s="716"/>
      <c r="K261" s="716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716" t="s">
        <v>31</v>
      </c>
      <c r="I262" s="716"/>
      <c r="J262" s="716"/>
      <c r="K262" s="716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716" t="s">
        <v>31</v>
      </c>
      <c r="I263" s="716"/>
      <c r="J263" s="716"/>
      <c r="K263" s="716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716" t="s">
        <v>31</v>
      </c>
      <c r="I264" s="716"/>
      <c r="J264" s="716"/>
      <c r="K264" s="716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716" t="s">
        <v>31</v>
      </c>
      <c r="I265" s="716"/>
      <c r="J265" s="716"/>
      <c r="K265" s="716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716" t="s">
        <v>31</v>
      </c>
      <c r="I266" s="716"/>
      <c r="J266" s="716"/>
      <c r="K266" s="716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716" t="s">
        <v>31</v>
      </c>
      <c r="I267" s="716"/>
      <c r="J267" s="716"/>
      <c r="K267" s="716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716" t="s">
        <v>31</v>
      </c>
      <c r="I268" s="716"/>
      <c r="J268" s="716"/>
      <c r="K268" s="716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716" t="s">
        <v>31</v>
      </c>
      <c r="I269" s="716"/>
      <c r="J269" s="716"/>
      <c r="K269" s="716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716" t="s">
        <v>31</v>
      </c>
      <c r="I270" s="716"/>
      <c r="J270" s="716"/>
      <c r="K270" s="716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716" t="s">
        <v>31</v>
      </c>
      <c r="I271" s="716"/>
      <c r="J271" s="716"/>
      <c r="K271" s="716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716" t="s">
        <v>31</v>
      </c>
      <c r="I272" s="716"/>
      <c r="J272" s="716"/>
      <c r="K272" s="716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716" t="s">
        <v>31</v>
      </c>
      <c r="I273" s="716"/>
      <c r="J273" s="716"/>
      <c r="K273" s="716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716" t="s">
        <v>31</v>
      </c>
      <c r="I274" s="716"/>
      <c r="J274" s="716"/>
      <c r="K274" s="716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716" t="s">
        <v>31</v>
      </c>
      <c r="I275" s="716"/>
      <c r="J275" s="716"/>
      <c r="K275" s="716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716" t="s">
        <v>31</v>
      </c>
      <c r="I276" s="716"/>
      <c r="J276" s="716"/>
      <c r="K276" s="716"/>
      <c r="L276" s="423">
        <v>45809</v>
      </c>
      <c r="M276" s="317" t="s">
        <v>448</v>
      </c>
      <c r="N276" s="317" t="s">
        <v>172</v>
      </c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716" t="s">
        <v>31</v>
      </c>
      <c r="I277" s="716"/>
      <c r="J277" s="716"/>
      <c r="K277" s="716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716" t="s">
        <v>31</v>
      </c>
      <c r="I278" s="716"/>
      <c r="J278" s="716"/>
      <c r="K278" s="716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716" t="s">
        <v>31</v>
      </c>
      <c r="I279" s="716"/>
      <c r="J279" s="716"/>
      <c r="K279" s="716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716" t="s">
        <v>31</v>
      </c>
      <c r="I280" s="716"/>
      <c r="J280" s="716"/>
      <c r="K280" s="716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716" t="s">
        <v>31</v>
      </c>
      <c r="I281" s="716"/>
      <c r="J281" s="716"/>
      <c r="K281" s="716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716" t="s">
        <v>31</v>
      </c>
      <c r="I282" s="716"/>
      <c r="J282" s="716"/>
      <c r="K282" s="716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716" t="s">
        <v>31</v>
      </c>
      <c r="I283" s="716"/>
      <c r="J283" s="716"/>
      <c r="K283" s="716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716" t="s">
        <v>31</v>
      </c>
      <c r="I284" s="716"/>
      <c r="J284" s="716"/>
      <c r="K284" s="716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716" t="s">
        <v>31</v>
      </c>
      <c r="I285" s="716"/>
      <c r="J285" s="716"/>
      <c r="K285" s="716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716" t="s">
        <v>31</v>
      </c>
      <c r="I286" s="716"/>
      <c r="J286" s="716"/>
      <c r="K286" s="716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716" t="s">
        <v>31</v>
      </c>
      <c r="I287" s="716"/>
      <c r="J287" s="716"/>
      <c r="K287" s="716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716" t="s">
        <v>31</v>
      </c>
      <c r="I288" s="716"/>
      <c r="J288" s="716"/>
      <c r="K288" s="716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716" t="s">
        <v>31</v>
      </c>
      <c r="I289" s="716"/>
      <c r="J289" s="716"/>
      <c r="K289" s="716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716" t="s">
        <v>31</v>
      </c>
      <c r="I290" s="716"/>
      <c r="J290" s="716"/>
      <c r="K290" s="716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716" t="s">
        <v>31</v>
      </c>
      <c r="I291" s="716"/>
      <c r="J291" s="716"/>
      <c r="K291" s="716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716" t="s">
        <v>31</v>
      </c>
      <c r="I292" s="716"/>
      <c r="J292" s="716"/>
      <c r="K292" s="716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716" t="s">
        <v>31</v>
      </c>
      <c r="I293" s="716"/>
      <c r="J293" s="716"/>
      <c r="K293" s="716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716" t="s">
        <v>31</v>
      </c>
      <c r="I294" s="716"/>
      <c r="J294" s="716"/>
      <c r="K294" s="716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716" t="s">
        <v>31</v>
      </c>
      <c r="I295" s="716"/>
      <c r="J295" s="716"/>
      <c r="K295" s="716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716" t="s">
        <v>31</v>
      </c>
      <c r="I296" s="716"/>
      <c r="J296" s="716"/>
      <c r="K296" s="716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716" t="s">
        <v>31</v>
      </c>
      <c r="I297" s="716"/>
      <c r="J297" s="716"/>
      <c r="K297" s="716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716" t="s">
        <v>31</v>
      </c>
      <c r="I298" s="716"/>
      <c r="J298" s="716"/>
      <c r="K298" s="716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716" t="s">
        <v>31</v>
      </c>
      <c r="I299" s="716"/>
      <c r="J299" s="716"/>
      <c r="K299" s="716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716" t="s">
        <v>31</v>
      </c>
      <c r="I300" s="716"/>
      <c r="J300" s="716"/>
      <c r="K300" s="716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716" t="s">
        <v>31</v>
      </c>
      <c r="I301" s="716"/>
      <c r="J301" s="716"/>
      <c r="K301" s="716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716" t="s">
        <v>31</v>
      </c>
      <c r="I302" s="716"/>
      <c r="J302" s="716"/>
      <c r="K302" s="716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716" t="s">
        <v>31</v>
      </c>
      <c r="I303" s="716"/>
      <c r="J303" s="716"/>
      <c r="K303" s="716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716" t="s">
        <v>31</v>
      </c>
      <c r="I304" s="716"/>
      <c r="J304" s="716"/>
      <c r="K304" s="716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716" t="s">
        <v>31</v>
      </c>
      <c r="I305" s="716"/>
      <c r="J305" s="716"/>
      <c r="K305" s="716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716" t="s">
        <v>31</v>
      </c>
      <c r="I306" s="716"/>
      <c r="J306" s="716"/>
      <c r="K306" s="716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716" t="s">
        <v>31</v>
      </c>
      <c r="I307" s="716"/>
      <c r="J307" s="716"/>
      <c r="K307" s="716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716" t="s">
        <v>31</v>
      </c>
      <c r="I308" s="716"/>
      <c r="J308" s="716"/>
      <c r="K308" s="716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716" t="s">
        <v>31</v>
      </c>
      <c r="I309" s="716"/>
      <c r="J309" s="716"/>
      <c r="K309" s="716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716" t="s">
        <v>31</v>
      </c>
      <c r="I310" s="716"/>
      <c r="J310" s="716"/>
      <c r="K310" s="716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716" t="s">
        <v>31</v>
      </c>
      <c r="I311" s="716"/>
      <c r="J311" s="716"/>
      <c r="K311" s="716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716" t="s">
        <v>31</v>
      </c>
      <c r="I312" s="716"/>
      <c r="J312" s="716"/>
      <c r="K312" s="716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716" t="s">
        <v>31</v>
      </c>
      <c r="I313" s="716"/>
      <c r="J313" s="716"/>
      <c r="K313" s="716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716" t="s">
        <v>31</v>
      </c>
      <c r="I314" s="716"/>
      <c r="J314" s="716"/>
      <c r="K314" s="716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716" t="s">
        <v>31</v>
      </c>
      <c r="I315" s="716"/>
      <c r="J315" s="716"/>
      <c r="K315" s="716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49" t="s">
        <v>968</v>
      </c>
      <c r="I316" s="750"/>
      <c r="J316" s="750"/>
      <c r="K316" s="751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48" t="s">
        <v>184</v>
      </c>
      <c r="C318" s="748"/>
      <c r="D318" s="748"/>
      <c r="E318" s="748"/>
      <c r="F318" s="748"/>
      <c r="G318" s="748"/>
      <c r="H318" s="748"/>
      <c r="I318" s="748"/>
      <c r="J318" s="748"/>
      <c r="K318" s="748"/>
      <c r="L318" s="748"/>
      <c r="M318" s="748"/>
      <c r="N318" s="748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47" t="s">
        <v>23</v>
      </c>
      <c r="H319" s="747"/>
      <c r="I319" s="747"/>
      <c r="J319" s="747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20" t="s">
        <v>31</v>
      </c>
      <c r="H320" s="729"/>
      <c r="I320" s="729"/>
      <c r="J320" s="729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20" t="s">
        <v>31</v>
      </c>
      <c r="H321" s="729"/>
      <c r="I321" s="729"/>
      <c r="J321" s="729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20" t="s">
        <v>31</v>
      </c>
      <c r="H322" s="729"/>
      <c r="I322" s="729"/>
      <c r="J322" s="729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20" t="s">
        <v>31</v>
      </c>
      <c r="H323" s="729"/>
      <c r="I323" s="729"/>
      <c r="J323" s="729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20" t="s">
        <v>31</v>
      </c>
      <c r="H324" s="729"/>
      <c r="I324" s="729"/>
      <c r="J324" s="729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20" t="s">
        <v>31</v>
      </c>
      <c r="H325" s="729"/>
      <c r="I325" s="729"/>
      <c r="J325" s="729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20" t="s">
        <v>31</v>
      </c>
      <c r="H326" s="729"/>
      <c r="I326" s="729"/>
      <c r="J326" s="729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20" t="s">
        <v>31</v>
      </c>
      <c r="H327" s="729"/>
      <c r="I327" s="729"/>
      <c r="J327" s="729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20" t="s">
        <v>31</v>
      </c>
      <c r="H328" s="729"/>
      <c r="I328" s="729"/>
      <c r="J328" s="729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20" t="s">
        <v>31</v>
      </c>
      <c r="H329" s="729"/>
      <c r="I329" s="729"/>
      <c r="J329" s="729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20" t="s">
        <v>31</v>
      </c>
      <c r="H330" s="729"/>
      <c r="I330" s="729"/>
      <c r="J330" s="729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20" t="s">
        <v>31</v>
      </c>
      <c r="H331" s="729"/>
      <c r="I331" s="729"/>
      <c r="J331" s="729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20" t="s">
        <v>31</v>
      </c>
      <c r="H332" s="729"/>
      <c r="I332" s="729"/>
      <c r="J332" s="729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20" t="s">
        <v>31</v>
      </c>
      <c r="H333" s="729"/>
      <c r="I333" s="729"/>
      <c r="J333" s="729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20" t="s">
        <v>31</v>
      </c>
      <c r="H334" s="729"/>
      <c r="I334" s="729"/>
      <c r="J334" s="729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20" t="s">
        <v>31</v>
      </c>
      <c r="H335" s="729"/>
      <c r="I335" s="729"/>
      <c r="J335" s="729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20" t="s">
        <v>31</v>
      </c>
      <c r="H336" s="729"/>
      <c r="I336" s="729"/>
      <c r="J336" s="729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20" t="s">
        <v>31</v>
      </c>
      <c r="H337" s="729"/>
      <c r="I337" s="729"/>
      <c r="J337" s="729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20" t="s">
        <v>31</v>
      </c>
      <c r="H338" s="729"/>
      <c r="I338" s="729"/>
      <c r="J338" s="729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20" t="s">
        <v>31</v>
      </c>
      <c r="H339" s="729"/>
      <c r="I339" s="729"/>
      <c r="J339" s="729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20" t="s">
        <v>31</v>
      </c>
      <c r="H340" s="729"/>
      <c r="I340" s="729"/>
      <c r="J340" s="729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20" t="s">
        <v>31</v>
      </c>
      <c r="H341" s="729"/>
      <c r="I341" s="729"/>
      <c r="J341" s="729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20" t="s">
        <v>31</v>
      </c>
      <c r="H342" s="729"/>
      <c r="I342" s="729"/>
      <c r="J342" s="729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20" t="s">
        <v>31</v>
      </c>
      <c r="H343" s="729"/>
      <c r="I343" s="729"/>
      <c r="J343" s="729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20" t="s">
        <v>31</v>
      </c>
      <c r="H344" s="729"/>
      <c r="I344" s="729"/>
      <c r="J344" s="729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20" t="s">
        <v>31</v>
      </c>
      <c r="H345" s="729"/>
      <c r="I345" s="729"/>
      <c r="J345" s="729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20" t="s">
        <v>31</v>
      </c>
      <c r="H346" s="729"/>
      <c r="I346" s="729"/>
      <c r="J346" s="729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716" t="s">
        <v>31</v>
      </c>
      <c r="H347" s="716"/>
      <c r="I347" s="716"/>
      <c r="J347" s="716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20" t="s">
        <v>31</v>
      </c>
      <c r="H348" s="729"/>
      <c r="I348" s="729"/>
      <c r="J348" s="729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20" t="s">
        <v>31</v>
      </c>
      <c r="H349" s="729"/>
      <c r="I349" s="729"/>
      <c r="J349" s="729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20" t="s">
        <v>31</v>
      </c>
      <c r="H350" s="729"/>
      <c r="I350" s="729"/>
      <c r="J350" s="729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20" t="s">
        <v>31</v>
      </c>
      <c r="H351" s="729"/>
      <c r="I351" s="729"/>
      <c r="J351" s="729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20" t="s">
        <v>31</v>
      </c>
      <c r="H352" s="729"/>
      <c r="I352" s="729"/>
      <c r="J352" s="729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20" t="s">
        <v>31</v>
      </c>
      <c r="H353" s="729"/>
      <c r="I353" s="729"/>
      <c r="J353" s="729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20" t="s">
        <v>31</v>
      </c>
      <c r="H354" s="729"/>
      <c r="I354" s="729"/>
      <c r="J354" s="729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20" t="s">
        <v>31</v>
      </c>
      <c r="H355" s="729"/>
      <c r="I355" s="729"/>
      <c r="J355" s="729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20" t="s">
        <v>31</v>
      </c>
      <c r="H356" s="729"/>
      <c r="I356" s="729"/>
      <c r="J356" s="729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716" t="s">
        <v>31</v>
      </c>
      <c r="H357" s="730"/>
      <c r="I357" s="730"/>
      <c r="J357" s="730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20" t="s">
        <v>31</v>
      </c>
      <c r="H358" s="729"/>
      <c r="I358" s="729"/>
      <c r="J358" s="729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20" t="s">
        <v>31</v>
      </c>
      <c r="H359" s="729"/>
      <c r="I359" s="729"/>
      <c r="J359" s="729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20" t="s">
        <v>31</v>
      </c>
      <c r="H360" s="729"/>
      <c r="I360" s="729"/>
      <c r="J360" s="729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20" t="s">
        <v>31</v>
      </c>
      <c r="H361" s="729"/>
      <c r="I361" s="729"/>
      <c r="J361" s="729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20" t="s">
        <v>31</v>
      </c>
      <c r="H362" s="729"/>
      <c r="I362" s="729"/>
      <c r="J362" s="729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20" t="s">
        <v>31</v>
      </c>
      <c r="H363" s="729"/>
      <c r="I363" s="729"/>
      <c r="J363" s="729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20" t="s">
        <v>31</v>
      </c>
      <c r="H364" s="729"/>
      <c r="I364" s="729"/>
      <c r="J364" s="729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20" t="s">
        <v>31</v>
      </c>
      <c r="H365" s="729"/>
      <c r="I365" s="729"/>
      <c r="J365" s="729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20" t="s">
        <v>31</v>
      </c>
      <c r="H366" s="729"/>
      <c r="I366" s="729"/>
      <c r="J366" s="729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20" t="s">
        <v>31</v>
      </c>
      <c r="H367" s="729"/>
      <c r="I367" s="729"/>
      <c r="J367" s="729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20" t="s">
        <v>31</v>
      </c>
      <c r="H368" s="729"/>
      <c r="I368" s="729"/>
      <c r="J368" s="729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20" t="s">
        <v>31</v>
      </c>
      <c r="H369" s="729"/>
      <c r="I369" s="729"/>
      <c r="J369" s="729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20" t="s">
        <v>31</v>
      </c>
      <c r="H370" s="729"/>
      <c r="I370" s="729"/>
      <c r="J370" s="729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20" t="s">
        <v>31</v>
      </c>
      <c r="H371" s="729"/>
      <c r="I371" s="729"/>
      <c r="J371" s="729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20" t="s">
        <v>31</v>
      </c>
      <c r="H372" s="729"/>
      <c r="I372" s="729"/>
      <c r="J372" s="729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20" t="s">
        <v>31</v>
      </c>
      <c r="H373" s="729"/>
      <c r="I373" s="729"/>
      <c r="J373" s="729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20" t="s">
        <v>31</v>
      </c>
      <c r="H374" s="729"/>
      <c r="I374" s="729"/>
      <c r="J374" s="729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20" t="s">
        <v>31</v>
      </c>
      <c r="H375" s="729"/>
      <c r="I375" s="729"/>
      <c r="J375" s="729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20" t="s">
        <v>31</v>
      </c>
      <c r="H376" s="729"/>
      <c r="I376" s="729"/>
      <c r="J376" s="729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20" t="s">
        <v>31</v>
      </c>
      <c r="H377" s="729"/>
      <c r="I377" s="729"/>
      <c r="J377" s="729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20" t="s">
        <v>31</v>
      </c>
      <c r="H378" s="729"/>
      <c r="I378" s="729"/>
      <c r="J378" s="729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25" t="s">
        <v>31</v>
      </c>
      <c r="H379" s="726"/>
      <c r="I379" s="726"/>
      <c r="J379" s="727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20" t="s">
        <v>31</v>
      </c>
      <c r="H380" s="729"/>
      <c r="I380" s="729"/>
      <c r="J380" s="729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20" t="s">
        <v>31</v>
      </c>
      <c r="H381" s="729"/>
      <c r="I381" s="729"/>
      <c r="J381" s="729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716" t="s">
        <v>31</v>
      </c>
      <c r="H382" s="730"/>
      <c r="I382" s="730"/>
      <c r="J382" s="730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716" t="s">
        <v>31</v>
      </c>
      <c r="H383" s="730"/>
      <c r="I383" s="730"/>
      <c r="J383" s="730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716" t="s">
        <v>31</v>
      </c>
      <c r="H384" s="730"/>
      <c r="I384" s="730"/>
      <c r="J384" s="730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716" t="s">
        <v>31</v>
      </c>
      <c r="H385" s="730"/>
      <c r="I385" s="730"/>
      <c r="J385" s="730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716" t="s">
        <v>31</v>
      </c>
      <c r="H386" s="730"/>
      <c r="I386" s="730"/>
      <c r="J386" s="730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716" t="s">
        <v>31</v>
      </c>
      <c r="H387" s="730"/>
      <c r="I387" s="730"/>
      <c r="J387" s="730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716" t="s">
        <v>31</v>
      </c>
      <c r="H388" s="730"/>
      <c r="I388" s="730"/>
      <c r="J388" s="730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716" t="s">
        <v>31</v>
      </c>
      <c r="H389" s="730"/>
      <c r="I389" s="730"/>
      <c r="J389" s="730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716" t="s">
        <v>31</v>
      </c>
      <c r="H390" s="730"/>
      <c r="I390" s="730"/>
      <c r="J390" s="730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716" t="s">
        <v>31</v>
      </c>
      <c r="H391" s="730"/>
      <c r="I391" s="730"/>
      <c r="J391" s="730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716" t="s">
        <v>31</v>
      </c>
      <c r="H392" s="730"/>
      <c r="I392" s="730"/>
      <c r="J392" s="730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716" t="s">
        <v>31</v>
      </c>
      <c r="H393" s="730"/>
      <c r="I393" s="730"/>
      <c r="J393" s="730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716" t="s">
        <v>31</v>
      </c>
      <c r="H394" s="730"/>
      <c r="I394" s="730"/>
      <c r="J394" s="730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716" t="s">
        <v>31</v>
      </c>
      <c r="H395" s="730"/>
      <c r="I395" s="730"/>
      <c r="J395" s="730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716" t="s">
        <v>31</v>
      </c>
      <c r="H396" s="730"/>
      <c r="I396" s="730"/>
      <c r="J396" s="730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716" t="s">
        <v>31</v>
      </c>
      <c r="H397" s="730"/>
      <c r="I397" s="730"/>
      <c r="J397" s="730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716" t="s">
        <v>31</v>
      </c>
      <c r="H398" s="730"/>
      <c r="I398" s="730"/>
      <c r="J398" s="730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716" t="s">
        <v>31</v>
      </c>
      <c r="H399" s="730"/>
      <c r="I399" s="730"/>
      <c r="J399" s="730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716" t="s">
        <v>31</v>
      </c>
      <c r="H400" s="730"/>
      <c r="I400" s="730"/>
      <c r="J400" s="730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716" t="s">
        <v>31</v>
      </c>
      <c r="H401" s="730"/>
      <c r="I401" s="730"/>
      <c r="J401" s="730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716" t="s">
        <v>31</v>
      </c>
      <c r="H402" s="730"/>
      <c r="I402" s="730"/>
      <c r="J402" s="730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716" t="s">
        <v>31</v>
      </c>
      <c r="H403" s="730"/>
      <c r="I403" s="730"/>
      <c r="J403" s="730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716" t="s">
        <v>31</v>
      </c>
      <c r="H404" s="730"/>
      <c r="I404" s="730"/>
      <c r="J404" s="730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716" t="s">
        <v>31</v>
      </c>
      <c r="H405" s="730"/>
      <c r="I405" s="730"/>
      <c r="J405" s="730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716" t="s">
        <v>31</v>
      </c>
      <c r="H406" s="730"/>
      <c r="I406" s="730"/>
      <c r="J406" s="730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716" t="s">
        <v>31</v>
      </c>
      <c r="H407" s="716"/>
      <c r="I407" s="716"/>
      <c r="J407" s="716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716" t="s">
        <v>31</v>
      </c>
      <c r="H408" s="716"/>
      <c r="I408" s="716"/>
      <c r="J408" s="716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716" t="s">
        <v>31</v>
      </c>
      <c r="H409" s="716"/>
      <c r="I409" s="716"/>
      <c r="J409" s="716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716" t="s">
        <v>31</v>
      </c>
      <c r="H410" s="716"/>
      <c r="I410" s="716"/>
      <c r="J410" s="716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716" t="s">
        <v>31</v>
      </c>
      <c r="H411" s="716"/>
      <c r="I411" s="716"/>
      <c r="J411" s="716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716" t="s">
        <v>31</v>
      </c>
      <c r="H412" s="716"/>
      <c r="I412" s="716"/>
      <c r="J412" s="716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716" t="s">
        <v>31</v>
      </c>
      <c r="H413" s="716"/>
      <c r="I413" s="716"/>
      <c r="J413" s="716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716" t="s">
        <v>31</v>
      </c>
      <c r="H414" s="716"/>
      <c r="I414" s="716"/>
      <c r="J414" s="716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716" t="s">
        <v>31</v>
      </c>
      <c r="H415" s="716"/>
      <c r="I415" s="716"/>
      <c r="J415" s="716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716" t="s">
        <v>31</v>
      </c>
      <c r="H416" s="716"/>
      <c r="I416" s="716"/>
      <c r="J416" s="716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716" t="s">
        <v>31</v>
      </c>
      <c r="H417" s="716"/>
      <c r="I417" s="716"/>
      <c r="J417" s="716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716" t="s">
        <v>31</v>
      </c>
      <c r="H418" s="716"/>
      <c r="I418" s="716"/>
      <c r="J418" s="716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716" t="s">
        <v>31</v>
      </c>
      <c r="H419" s="716"/>
      <c r="I419" s="716"/>
      <c r="J419" s="716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716" t="s">
        <v>31</v>
      </c>
      <c r="H420" s="716"/>
      <c r="I420" s="716"/>
      <c r="J420" s="716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716" t="s">
        <v>31</v>
      </c>
      <c r="H421" s="716"/>
      <c r="I421" s="716"/>
      <c r="J421" s="716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716" t="s">
        <v>31</v>
      </c>
      <c r="H422" s="716"/>
      <c r="I422" s="716"/>
      <c r="J422" s="716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716" t="s">
        <v>31</v>
      </c>
      <c r="H423" s="716"/>
      <c r="I423" s="716"/>
      <c r="J423" s="716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716" t="s">
        <v>31</v>
      </c>
      <c r="H424" s="716"/>
      <c r="I424" s="716"/>
      <c r="J424" s="716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716" t="s">
        <v>31</v>
      </c>
      <c r="H425" s="716"/>
      <c r="I425" s="716"/>
      <c r="J425" s="716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716" t="s">
        <v>31</v>
      </c>
      <c r="H426" s="716"/>
      <c r="I426" s="716"/>
      <c r="J426" s="716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716" t="s">
        <v>31</v>
      </c>
      <c r="H427" s="716"/>
      <c r="I427" s="716"/>
      <c r="J427" s="716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716" t="s">
        <v>31</v>
      </c>
      <c r="H428" s="716"/>
      <c r="I428" s="716"/>
      <c r="J428" s="716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716" t="s">
        <v>31</v>
      </c>
      <c r="H429" s="716"/>
      <c r="I429" s="716"/>
      <c r="J429" s="716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716" t="s">
        <v>31</v>
      </c>
      <c r="H430" s="716"/>
      <c r="I430" s="716"/>
      <c r="J430" s="716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28" t="s">
        <v>31</v>
      </c>
      <c r="H431" s="728"/>
      <c r="I431" s="728"/>
      <c r="J431" s="728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716" t="s">
        <v>31</v>
      </c>
      <c r="H432" s="716"/>
      <c r="I432" s="716"/>
      <c r="J432" s="716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716" t="s">
        <v>31</v>
      </c>
      <c r="H433" s="716"/>
      <c r="I433" s="716"/>
      <c r="J433" s="716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716" t="s">
        <v>31</v>
      </c>
      <c r="H434" s="716"/>
      <c r="I434" s="716"/>
      <c r="J434" s="716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716" t="s">
        <v>31</v>
      </c>
      <c r="H435" s="716"/>
      <c r="I435" s="716"/>
      <c r="J435" s="716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716" t="s">
        <v>31</v>
      </c>
      <c r="H436" s="716"/>
      <c r="I436" s="716"/>
      <c r="J436" s="716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716" t="s">
        <v>31</v>
      </c>
      <c r="H437" s="716"/>
      <c r="I437" s="716"/>
      <c r="J437" s="716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716" t="s">
        <v>31</v>
      </c>
      <c r="H438" s="716"/>
      <c r="I438" s="716"/>
      <c r="J438" s="716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716" t="s">
        <v>31</v>
      </c>
      <c r="H439" s="716"/>
      <c r="I439" s="716"/>
      <c r="J439" s="716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716" t="s">
        <v>31</v>
      </c>
      <c r="H440" s="716"/>
      <c r="I440" s="716"/>
      <c r="J440" s="716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716" t="s">
        <v>31</v>
      </c>
      <c r="H441" s="716"/>
      <c r="I441" s="716"/>
      <c r="J441" s="716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17" t="s">
        <v>31</v>
      </c>
      <c r="H442" s="718"/>
      <c r="I442" s="718"/>
      <c r="J442" s="719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17" t="s">
        <v>31</v>
      </c>
      <c r="H443" s="718"/>
      <c r="I443" s="718"/>
      <c r="J443" s="719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17" t="s">
        <v>31</v>
      </c>
      <c r="H444" s="718"/>
      <c r="I444" s="718"/>
      <c r="J444" s="719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17" t="s">
        <v>31</v>
      </c>
      <c r="H445" s="718"/>
      <c r="I445" s="718"/>
      <c r="J445" s="719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17" t="s">
        <v>31</v>
      </c>
      <c r="H446" s="718"/>
      <c r="I446" s="718"/>
      <c r="J446" s="719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39" t="s">
        <v>31</v>
      </c>
      <c r="H447" s="740"/>
      <c r="I447" s="740"/>
      <c r="J447" s="741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39" t="s">
        <v>31</v>
      </c>
      <c r="H448" s="740"/>
      <c r="I448" s="740"/>
      <c r="J448" s="741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39" t="s">
        <v>31</v>
      </c>
      <c r="H449" s="740"/>
      <c r="I449" s="740"/>
      <c r="J449" s="741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17" t="s">
        <v>31</v>
      </c>
      <c r="H450" s="718"/>
      <c r="I450" s="718"/>
      <c r="J450" s="719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36" t="s">
        <v>31</v>
      </c>
      <c r="H451" s="737"/>
      <c r="I451" s="737"/>
      <c r="J451" s="738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17" t="s">
        <v>31</v>
      </c>
      <c r="H452" s="718"/>
      <c r="I452" s="718"/>
      <c r="J452" s="719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17" t="s">
        <v>31</v>
      </c>
      <c r="H453" s="718"/>
      <c r="I453" s="718"/>
      <c r="J453" s="719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17" t="s">
        <v>31</v>
      </c>
      <c r="H454" s="718"/>
      <c r="I454" s="718"/>
      <c r="J454" s="719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17" t="s">
        <v>31</v>
      </c>
      <c r="H455" s="718"/>
      <c r="I455" s="718"/>
      <c r="J455" s="719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17" t="s">
        <v>31</v>
      </c>
      <c r="H456" s="718"/>
      <c r="I456" s="718"/>
      <c r="J456" s="719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17" t="s">
        <v>31</v>
      </c>
      <c r="H457" s="718"/>
      <c r="I457" s="718"/>
      <c r="J457" s="719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17" t="s">
        <v>31</v>
      </c>
      <c r="H458" s="718"/>
      <c r="I458" s="718"/>
      <c r="J458" s="719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17" t="s">
        <v>31</v>
      </c>
      <c r="H459" s="718"/>
      <c r="I459" s="718"/>
      <c r="J459" s="719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17" t="s">
        <v>31</v>
      </c>
      <c r="H460" s="718"/>
      <c r="I460" s="718"/>
      <c r="J460" s="719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17" t="s">
        <v>31</v>
      </c>
      <c r="H461" s="718"/>
      <c r="I461" s="718"/>
      <c r="J461" s="719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17" t="s">
        <v>31</v>
      </c>
      <c r="H462" s="718"/>
      <c r="I462" s="718"/>
      <c r="J462" s="719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17" t="s">
        <v>31</v>
      </c>
      <c r="H463" s="718"/>
      <c r="I463" s="718"/>
      <c r="J463" s="719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17" t="s">
        <v>31</v>
      </c>
      <c r="H464" s="718"/>
      <c r="I464" s="718"/>
      <c r="J464" s="719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17" t="s">
        <v>31</v>
      </c>
      <c r="H465" s="718"/>
      <c r="I465" s="718"/>
      <c r="J465" s="719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17" t="s">
        <v>31</v>
      </c>
      <c r="H466" s="718"/>
      <c r="I466" s="718"/>
      <c r="J466" s="719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17" t="s">
        <v>31</v>
      </c>
      <c r="H467" s="718"/>
      <c r="I467" s="718"/>
      <c r="J467" s="719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36" t="s">
        <v>31</v>
      </c>
      <c r="H468" s="737"/>
      <c r="I468" s="737"/>
      <c r="J468" s="738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17" t="s">
        <v>31</v>
      </c>
      <c r="H469" s="718"/>
      <c r="I469" s="718"/>
      <c r="J469" s="719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17" t="s">
        <v>31</v>
      </c>
      <c r="H470" s="718"/>
      <c r="I470" s="718"/>
      <c r="J470" s="719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17" t="s">
        <v>31</v>
      </c>
      <c r="H471" s="718"/>
      <c r="I471" s="718"/>
      <c r="J471" s="719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17" t="s">
        <v>31</v>
      </c>
      <c r="H472" s="718"/>
      <c r="I472" s="718"/>
      <c r="J472" s="719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17" t="s">
        <v>31</v>
      </c>
      <c r="H473" s="718"/>
      <c r="I473" s="718"/>
      <c r="J473" s="719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17" t="s">
        <v>31</v>
      </c>
      <c r="H474" s="718"/>
      <c r="I474" s="718"/>
      <c r="J474" s="719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17" t="s">
        <v>31</v>
      </c>
      <c r="H475" s="718"/>
      <c r="I475" s="718"/>
      <c r="J475" s="719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39" t="s">
        <v>31</v>
      </c>
      <c r="H476" s="740"/>
      <c r="I476" s="740"/>
      <c r="J476" s="741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39" t="s">
        <v>31</v>
      </c>
      <c r="H477" s="740"/>
      <c r="I477" s="740"/>
      <c r="J477" s="741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39" t="s">
        <v>31</v>
      </c>
      <c r="H478" s="740"/>
      <c r="I478" s="740"/>
      <c r="J478" s="741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39" t="s">
        <v>31</v>
      </c>
      <c r="H479" s="740"/>
      <c r="I479" s="740"/>
      <c r="J479" s="741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17" t="s">
        <v>31</v>
      </c>
      <c r="H480" s="718"/>
      <c r="I480" s="718"/>
      <c r="J480" s="719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17" t="s">
        <v>31</v>
      </c>
      <c r="H481" s="718"/>
      <c r="I481" s="718"/>
      <c r="J481" s="719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17" t="s">
        <v>31</v>
      </c>
      <c r="H482" s="718"/>
      <c r="I482" s="718"/>
      <c r="J482" s="719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17" t="s">
        <v>31</v>
      </c>
      <c r="H483" s="718"/>
      <c r="I483" s="718"/>
      <c r="J483" s="719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17" t="s">
        <v>31</v>
      </c>
      <c r="H484" s="718"/>
      <c r="I484" s="718"/>
      <c r="J484" s="719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17" t="s">
        <v>31</v>
      </c>
      <c r="H485" s="718"/>
      <c r="I485" s="718"/>
      <c r="J485" s="719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17" t="s">
        <v>31</v>
      </c>
      <c r="H486" s="718"/>
      <c r="I486" s="718"/>
      <c r="J486" s="719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17" t="s">
        <v>31</v>
      </c>
      <c r="H487" s="718"/>
      <c r="I487" s="718"/>
      <c r="J487" s="719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17" t="s">
        <v>31</v>
      </c>
      <c r="H488" s="718"/>
      <c r="I488" s="718"/>
      <c r="J488" s="719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17" t="s">
        <v>31</v>
      </c>
      <c r="H489" s="718"/>
      <c r="I489" s="718"/>
      <c r="J489" s="719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17" t="s">
        <v>31</v>
      </c>
      <c r="H490" s="718"/>
      <c r="I490" s="718"/>
      <c r="J490" s="719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17" t="s">
        <v>31</v>
      </c>
      <c r="H491" s="718"/>
      <c r="I491" s="718"/>
      <c r="J491" s="719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17" t="s">
        <v>31</v>
      </c>
      <c r="H492" s="718"/>
      <c r="I492" s="718"/>
      <c r="J492" s="719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17" t="s">
        <v>31</v>
      </c>
      <c r="H493" s="718"/>
      <c r="I493" s="718"/>
      <c r="J493" s="719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17" t="s">
        <v>31</v>
      </c>
      <c r="H494" s="718"/>
      <c r="I494" s="718"/>
      <c r="J494" s="719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17" t="s">
        <v>31</v>
      </c>
      <c r="H495" s="718"/>
      <c r="I495" s="718"/>
      <c r="J495" s="719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17" t="s">
        <v>31</v>
      </c>
      <c r="H496" s="718"/>
      <c r="I496" s="718"/>
      <c r="J496" s="719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17" t="s">
        <v>31</v>
      </c>
      <c r="H497" s="718"/>
      <c r="I497" s="718"/>
      <c r="J497" s="719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17" t="s">
        <v>31</v>
      </c>
      <c r="H498" s="718"/>
      <c r="I498" s="718"/>
      <c r="J498" s="719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39" t="s">
        <v>31</v>
      </c>
      <c r="H499" s="740"/>
      <c r="I499" s="740"/>
      <c r="J499" s="741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39" t="s">
        <v>31</v>
      </c>
      <c r="H500" s="740"/>
      <c r="I500" s="740"/>
      <c r="J500" s="741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39" t="s">
        <v>31</v>
      </c>
      <c r="H501" s="740"/>
      <c r="I501" s="740"/>
      <c r="J501" s="741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39" t="s">
        <v>31</v>
      </c>
      <c r="H502" s="740"/>
      <c r="I502" s="740"/>
      <c r="J502" s="741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45" t="s">
        <v>31</v>
      </c>
      <c r="H503" s="746"/>
      <c r="I503" s="746"/>
      <c r="J503" s="746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17" t="s">
        <v>31</v>
      </c>
      <c r="H504" s="718"/>
      <c r="I504" s="718"/>
      <c r="J504" s="719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17" t="s">
        <v>31</v>
      </c>
      <c r="H505" s="718"/>
      <c r="I505" s="718"/>
      <c r="J505" s="719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17" t="s">
        <v>31</v>
      </c>
      <c r="H506" s="718"/>
      <c r="I506" s="718"/>
      <c r="J506" s="719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17" t="s">
        <v>31</v>
      </c>
      <c r="H507" s="718"/>
      <c r="I507" s="718"/>
      <c r="J507" s="719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17" t="s">
        <v>31</v>
      </c>
      <c r="H508" s="718"/>
      <c r="I508" s="718"/>
      <c r="J508" s="719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17" t="s">
        <v>31</v>
      </c>
      <c r="H509" s="718"/>
      <c r="I509" s="718"/>
      <c r="J509" s="719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17" t="s">
        <v>31</v>
      </c>
      <c r="H510" s="718"/>
      <c r="I510" s="718"/>
      <c r="J510" s="719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17" t="s">
        <v>31</v>
      </c>
      <c r="H511" s="718"/>
      <c r="I511" s="718"/>
      <c r="J511" s="719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17" t="s">
        <v>31</v>
      </c>
      <c r="H512" s="718"/>
      <c r="I512" s="718"/>
      <c r="J512" s="719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17" t="s">
        <v>31</v>
      </c>
      <c r="H513" s="718"/>
      <c r="I513" s="718"/>
      <c r="J513" s="719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17" t="s">
        <v>31</v>
      </c>
      <c r="H514" s="718"/>
      <c r="I514" s="718"/>
      <c r="J514" s="719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17" t="s">
        <v>31</v>
      </c>
      <c r="H515" s="718"/>
      <c r="I515" s="718"/>
      <c r="J515" s="719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17" t="s">
        <v>31</v>
      </c>
      <c r="H516" s="718"/>
      <c r="I516" s="718"/>
      <c r="J516" s="719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17" t="s">
        <v>31</v>
      </c>
      <c r="H517" s="718"/>
      <c r="I517" s="718"/>
      <c r="J517" s="719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17" t="s">
        <v>31</v>
      </c>
      <c r="H518" s="718"/>
      <c r="I518" s="718"/>
      <c r="J518" s="719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17" t="s">
        <v>31</v>
      </c>
      <c r="H519" s="718"/>
      <c r="I519" s="718"/>
      <c r="J519" s="719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17" t="s">
        <v>31</v>
      </c>
      <c r="H520" s="718"/>
      <c r="I520" s="718"/>
      <c r="J520" s="719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17" t="s">
        <v>31</v>
      </c>
      <c r="H521" s="718"/>
      <c r="I521" s="718"/>
      <c r="J521" s="719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36" t="s">
        <v>31</v>
      </c>
      <c r="H522" s="737"/>
      <c r="I522" s="737"/>
      <c r="J522" s="738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17" t="s">
        <v>31</v>
      </c>
      <c r="H523" s="718"/>
      <c r="I523" s="718"/>
      <c r="J523" s="719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42" t="s">
        <v>31</v>
      </c>
      <c r="H524" s="743"/>
      <c r="I524" s="743"/>
      <c r="J524" s="744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17" t="s">
        <v>31</v>
      </c>
      <c r="H525" s="718"/>
      <c r="I525" s="718"/>
      <c r="J525" s="719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716" t="s">
        <v>31</v>
      </c>
      <c r="H526" s="716"/>
      <c r="I526" s="716"/>
      <c r="J526" s="716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17" t="s">
        <v>31</v>
      </c>
      <c r="H527" s="718"/>
      <c r="I527" s="718"/>
      <c r="J527" s="719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17" t="s">
        <v>31</v>
      </c>
      <c r="H528" s="718"/>
      <c r="I528" s="718"/>
      <c r="J528" s="719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39" t="s">
        <v>31</v>
      </c>
      <c r="H529" s="740"/>
      <c r="I529" s="740"/>
      <c r="J529" s="741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17" t="s">
        <v>31</v>
      </c>
      <c r="H530" s="718"/>
      <c r="I530" s="718"/>
      <c r="J530" s="719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17" t="s">
        <v>31</v>
      </c>
      <c r="H531" s="718"/>
      <c r="I531" s="718"/>
      <c r="J531" s="719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17" t="s">
        <v>31</v>
      </c>
      <c r="H532" s="718"/>
      <c r="I532" s="718"/>
      <c r="J532" s="719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17" t="s">
        <v>31</v>
      </c>
      <c r="H533" s="718"/>
      <c r="I533" s="718"/>
      <c r="J533" s="719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17" t="s">
        <v>31</v>
      </c>
      <c r="H534" s="718"/>
      <c r="I534" s="718"/>
      <c r="J534" s="719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52" t="s">
        <v>31</v>
      </c>
      <c r="H535" s="752"/>
      <c r="I535" s="752"/>
      <c r="J535" s="752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716" t="s">
        <v>31</v>
      </c>
      <c r="H536" s="716"/>
      <c r="I536" s="716"/>
      <c r="J536" s="716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716" t="s">
        <v>31</v>
      </c>
      <c r="H537" s="716"/>
      <c r="I537" s="716"/>
      <c r="J537" s="716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716" t="s">
        <v>31</v>
      </c>
      <c r="H538" s="716"/>
      <c r="I538" s="716"/>
      <c r="J538" s="716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716" t="s">
        <v>31</v>
      </c>
      <c r="H539" s="716"/>
      <c r="I539" s="716"/>
      <c r="J539" s="716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716" t="s">
        <v>31</v>
      </c>
      <c r="H540" s="716"/>
      <c r="I540" s="716"/>
      <c r="J540" s="716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716" t="s">
        <v>31</v>
      </c>
      <c r="H541" s="716"/>
      <c r="I541" s="716"/>
      <c r="J541" s="716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716" t="s">
        <v>31</v>
      </c>
      <c r="H542" s="716"/>
      <c r="I542" s="716"/>
      <c r="J542" s="716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716" t="s">
        <v>31</v>
      </c>
      <c r="H543" s="716"/>
      <c r="I543" s="716"/>
      <c r="J543" s="716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716" t="s">
        <v>31</v>
      </c>
      <c r="H544" s="716"/>
      <c r="I544" s="716"/>
      <c r="J544" s="716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19" t="s">
        <v>31</v>
      </c>
      <c r="H545" s="716"/>
      <c r="I545" s="716"/>
      <c r="J545" s="716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19" t="s">
        <v>31</v>
      </c>
      <c r="H546" s="716"/>
      <c r="I546" s="716"/>
      <c r="J546" s="716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19" t="s">
        <v>31</v>
      </c>
      <c r="H547" s="716"/>
      <c r="I547" s="716"/>
      <c r="J547" s="716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19" t="s">
        <v>31</v>
      </c>
      <c r="H548" s="716"/>
      <c r="I548" s="716"/>
      <c r="J548" s="716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19" t="s">
        <v>31</v>
      </c>
      <c r="H549" s="716"/>
      <c r="I549" s="716"/>
      <c r="J549" s="716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19" t="s">
        <v>31</v>
      </c>
      <c r="H550" s="716"/>
      <c r="I550" s="716"/>
      <c r="J550" s="716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19" t="s">
        <v>31</v>
      </c>
      <c r="H551" s="716"/>
      <c r="I551" s="716"/>
      <c r="J551" s="716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19" t="s">
        <v>31</v>
      </c>
      <c r="H552" s="716"/>
      <c r="I552" s="716"/>
      <c r="J552" s="716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19" t="s">
        <v>31</v>
      </c>
      <c r="H553" s="716"/>
      <c r="I553" s="716"/>
      <c r="J553" s="716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19" t="s">
        <v>31</v>
      </c>
      <c r="H554" s="716"/>
      <c r="I554" s="716"/>
      <c r="J554" s="716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19" t="s">
        <v>31</v>
      </c>
      <c r="H555" s="716"/>
      <c r="I555" s="716"/>
      <c r="J555" s="716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19" t="s">
        <v>31</v>
      </c>
      <c r="H556" s="716"/>
      <c r="I556" s="716"/>
      <c r="J556" s="716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19" t="s">
        <v>31</v>
      </c>
      <c r="H557" s="716"/>
      <c r="I557" s="716"/>
      <c r="J557" s="716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19" t="s">
        <v>31</v>
      </c>
      <c r="H558" s="716"/>
      <c r="I558" s="716"/>
      <c r="J558" s="716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19" t="s">
        <v>31</v>
      </c>
      <c r="H559" s="716"/>
      <c r="I559" s="716"/>
      <c r="J559" s="716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19" t="s">
        <v>31</v>
      </c>
      <c r="H560" s="716"/>
      <c r="I560" s="716"/>
      <c r="J560" s="716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19" t="s">
        <v>31</v>
      </c>
      <c r="H561" s="716"/>
      <c r="I561" s="716"/>
      <c r="J561" s="716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19" t="s">
        <v>31</v>
      </c>
      <c r="H562" s="716"/>
      <c r="I562" s="716"/>
      <c r="J562" s="716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19" t="s">
        <v>31</v>
      </c>
      <c r="H563" s="716"/>
      <c r="I563" s="716"/>
      <c r="J563" s="716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19" t="s">
        <v>31</v>
      </c>
      <c r="H564" s="716"/>
      <c r="I564" s="716"/>
      <c r="J564" s="716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19" t="s">
        <v>31</v>
      </c>
      <c r="H565" s="716"/>
      <c r="I565" s="716"/>
      <c r="J565" s="716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19" t="s">
        <v>31</v>
      </c>
      <c r="H566" s="716"/>
      <c r="I566" s="716"/>
      <c r="J566" s="716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19" t="s">
        <v>31</v>
      </c>
      <c r="H567" s="716"/>
      <c r="I567" s="716"/>
      <c r="J567" s="716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19" t="s">
        <v>31</v>
      </c>
      <c r="H568" s="716"/>
      <c r="I568" s="716"/>
      <c r="J568" s="716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19" t="s">
        <v>31</v>
      </c>
      <c r="H569" s="716"/>
      <c r="I569" s="716"/>
      <c r="J569" s="716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19" t="s">
        <v>31</v>
      </c>
      <c r="H570" s="716"/>
      <c r="I570" s="716"/>
      <c r="J570" s="716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19" t="s">
        <v>31</v>
      </c>
      <c r="H571" s="716"/>
      <c r="I571" s="716"/>
      <c r="J571" s="716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19" t="s">
        <v>31</v>
      </c>
      <c r="H572" s="716"/>
      <c r="I572" s="716"/>
      <c r="J572" s="716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19" t="s">
        <v>31</v>
      </c>
      <c r="H573" s="716"/>
      <c r="I573" s="716"/>
      <c r="J573" s="716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19" t="s">
        <v>31</v>
      </c>
      <c r="H574" s="716"/>
      <c r="I574" s="716"/>
      <c r="J574" s="716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19" t="s">
        <v>31</v>
      </c>
      <c r="H575" s="716"/>
      <c r="I575" s="716"/>
      <c r="J575" s="716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19" t="s">
        <v>31</v>
      </c>
      <c r="H576" s="716"/>
      <c r="I576" s="716"/>
      <c r="J576" s="716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19" t="s">
        <v>31</v>
      </c>
      <c r="H577" s="716"/>
      <c r="I577" s="716"/>
      <c r="J577" s="716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19" t="s">
        <v>31</v>
      </c>
      <c r="H578" s="716"/>
      <c r="I578" s="716"/>
      <c r="J578" s="716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19" t="s">
        <v>31</v>
      </c>
      <c r="H579" s="716"/>
      <c r="I579" s="716"/>
      <c r="J579" s="716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19" t="s">
        <v>31</v>
      </c>
      <c r="H580" s="716"/>
      <c r="I580" s="716"/>
      <c r="J580" s="716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19" t="s">
        <v>31</v>
      </c>
      <c r="H581" s="716"/>
      <c r="I581" s="716"/>
      <c r="J581" s="716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19" t="s">
        <v>31</v>
      </c>
      <c r="H582" s="716"/>
      <c r="I582" s="716"/>
      <c r="J582" s="716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19" t="s">
        <v>31</v>
      </c>
      <c r="H583" s="716"/>
      <c r="I583" s="716"/>
      <c r="J583" s="716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19" t="s">
        <v>31</v>
      </c>
      <c r="H584" s="716"/>
      <c r="I584" s="716"/>
      <c r="J584" s="716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19" t="s">
        <v>31</v>
      </c>
      <c r="H585" s="716"/>
      <c r="I585" s="716"/>
      <c r="J585" s="716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19" t="s">
        <v>31</v>
      </c>
      <c r="H586" s="716"/>
      <c r="I586" s="716"/>
      <c r="J586" s="716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19" t="s">
        <v>31</v>
      </c>
      <c r="H587" s="716"/>
      <c r="I587" s="716"/>
      <c r="J587" s="716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716" t="s">
        <v>31</v>
      </c>
      <c r="H588" s="716"/>
      <c r="I588" s="716"/>
      <c r="J588" s="716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716" t="s">
        <v>31</v>
      </c>
      <c r="H589" s="716"/>
      <c r="I589" s="716"/>
      <c r="J589" s="716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716" t="s">
        <v>31</v>
      </c>
      <c r="H590" s="716"/>
      <c r="I590" s="716"/>
      <c r="J590" s="716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716" t="s">
        <v>31</v>
      </c>
      <c r="H591" s="716"/>
      <c r="I591" s="716"/>
      <c r="J591" s="716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716" t="s">
        <v>31</v>
      </c>
      <c r="H592" s="716"/>
      <c r="I592" s="716"/>
      <c r="J592" s="716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716" t="s">
        <v>31</v>
      </c>
      <c r="H593" s="716"/>
      <c r="I593" s="716"/>
      <c r="J593" s="716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716" t="s">
        <v>31</v>
      </c>
      <c r="H594" s="716"/>
      <c r="I594" s="716"/>
      <c r="J594" s="716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716" t="s">
        <v>31</v>
      </c>
      <c r="H595" s="716"/>
      <c r="I595" s="716"/>
      <c r="J595" s="716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716" t="s">
        <v>31</v>
      </c>
      <c r="H596" s="716"/>
      <c r="I596" s="716"/>
      <c r="J596" s="716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716" t="s">
        <v>31</v>
      </c>
      <c r="H597" s="716"/>
      <c r="I597" s="716"/>
      <c r="J597" s="716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716" t="s">
        <v>31</v>
      </c>
      <c r="H598" s="716"/>
      <c r="I598" s="716"/>
      <c r="J598" s="716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716" t="s">
        <v>31</v>
      </c>
      <c r="H599" s="716"/>
      <c r="I599" s="716"/>
      <c r="J599" s="716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716" t="s">
        <v>31</v>
      </c>
      <c r="H600" s="716"/>
      <c r="I600" s="716"/>
      <c r="J600" s="716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716" t="s">
        <v>31</v>
      </c>
      <c r="H601" s="716"/>
      <c r="I601" s="716"/>
      <c r="J601" s="716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716" t="s">
        <v>31</v>
      </c>
      <c r="H602" s="716"/>
      <c r="I602" s="716"/>
      <c r="J602" s="716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716" t="s">
        <v>31</v>
      </c>
      <c r="H603" s="716"/>
      <c r="I603" s="716"/>
      <c r="J603" s="716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716" t="s">
        <v>31</v>
      </c>
      <c r="H604" s="716"/>
      <c r="I604" s="716"/>
      <c r="J604" s="716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716" t="s">
        <v>31</v>
      </c>
      <c r="H605" s="716"/>
      <c r="I605" s="716"/>
      <c r="J605" s="716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28" t="s">
        <v>31</v>
      </c>
      <c r="H606" s="728"/>
      <c r="I606" s="728"/>
      <c r="J606" s="728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716" t="s">
        <v>31</v>
      </c>
      <c r="H607" s="716"/>
      <c r="I607" s="716"/>
      <c r="J607" s="716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716" t="s">
        <v>31</v>
      </c>
      <c r="H608" s="716"/>
      <c r="I608" s="716"/>
      <c r="J608" s="716"/>
      <c r="K608" s="254">
        <v>45961</v>
      </c>
      <c r="L608" s="317"/>
      <c r="M608" s="220"/>
    </row>
    <row r="609" spans="2:15" x14ac:dyDescent="0.2">
      <c r="B609" s="731" t="s">
        <v>70</v>
      </c>
      <c r="C609" s="732"/>
      <c r="D609" s="732"/>
      <c r="E609" s="732"/>
      <c r="F609" s="732"/>
      <c r="G609" s="732"/>
      <c r="H609" s="732"/>
      <c r="I609" s="732"/>
      <c r="J609" s="732"/>
      <c r="K609" s="732"/>
      <c r="L609" s="732"/>
      <c r="M609" s="732"/>
      <c r="N609" s="732"/>
    </row>
    <row r="610" spans="2:15" x14ac:dyDescent="0.2">
      <c r="B610" s="455" t="s">
        <v>17</v>
      </c>
      <c r="C610" s="455" t="s">
        <v>71</v>
      </c>
      <c r="D610" s="455" t="s">
        <v>72</v>
      </c>
      <c r="E610" s="759" t="s">
        <v>23</v>
      </c>
      <c r="F610" s="759"/>
      <c r="G610" s="759"/>
      <c r="H610" s="759"/>
      <c r="I610" s="455" t="s">
        <v>25</v>
      </c>
      <c r="J610" s="455" t="s">
        <v>26</v>
      </c>
      <c r="K610" s="455" t="s">
        <v>627</v>
      </c>
      <c r="L610" s="456" t="s">
        <v>628</v>
      </c>
      <c r="M610" s="456" t="s">
        <v>630</v>
      </c>
      <c r="N610" s="456" t="s">
        <v>646</v>
      </c>
    </row>
    <row r="611" spans="2:15" x14ac:dyDescent="0.2">
      <c r="B611" s="317">
        <v>1</v>
      </c>
      <c r="C611" s="420" t="s">
        <v>609</v>
      </c>
      <c r="D611" s="256">
        <v>1.8260000000000001</v>
      </c>
      <c r="E611" s="720" t="s">
        <v>730</v>
      </c>
      <c r="F611" s="720"/>
      <c r="G611" s="720"/>
      <c r="H611" s="720"/>
      <c r="I611" s="228" t="s">
        <v>657</v>
      </c>
      <c r="J611" s="228">
        <v>35</v>
      </c>
      <c r="K611" s="317" t="s">
        <v>610</v>
      </c>
      <c r="L611" s="254" t="s">
        <v>632</v>
      </c>
      <c r="M611" s="254" t="s">
        <v>640</v>
      </c>
      <c r="N611" s="258"/>
    </row>
    <row r="612" spans="2:15" ht="15" customHeight="1" x14ac:dyDescent="0.2">
      <c r="B612" s="317">
        <v>2</v>
      </c>
      <c r="C612" s="420" t="s">
        <v>611</v>
      </c>
      <c r="D612" s="256">
        <v>3.4060000000000001</v>
      </c>
      <c r="E612" s="720" t="s">
        <v>730</v>
      </c>
      <c r="F612" s="720"/>
      <c r="G612" s="720"/>
      <c r="H612" s="720"/>
      <c r="I612" s="228" t="s">
        <v>657</v>
      </c>
      <c r="J612" s="228">
        <v>35</v>
      </c>
      <c r="K612" s="317" t="s">
        <v>631</v>
      </c>
      <c r="L612" s="258" t="s">
        <v>638</v>
      </c>
      <c r="M612" s="254" t="s">
        <v>639</v>
      </c>
      <c r="N612" s="258"/>
    </row>
    <row r="613" spans="2:15" ht="15" customHeight="1" x14ac:dyDescent="0.2">
      <c r="B613" s="317">
        <v>3</v>
      </c>
      <c r="C613" s="420" t="s">
        <v>629</v>
      </c>
      <c r="D613" s="256">
        <v>2.2789999999999999</v>
      </c>
      <c r="E613" s="720" t="s">
        <v>730</v>
      </c>
      <c r="F613" s="720"/>
      <c r="G613" s="720"/>
      <c r="H613" s="720"/>
      <c r="I613" s="228" t="s">
        <v>657</v>
      </c>
      <c r="J613" s="228">
        <v>35</v>
      </c>
      <c r="K613" s="257" t="s">
        <v>634</v>
      </c>
      <c r="L613" s="258" t="s">
        <v>655</v>
      </c>
      <c r="M613" s="258" t="s">
        <v>656</v>
      </c>
      <c r="N613" s="258"/>
    </row>
    <row r="614" spans="2:15" ht="12.75" customHeight="1" x14ac:dyDescent="0.2">
      <c r="B614" s="317">
        <v>4</v>
      </c>
      <c r="C614" s="228" t="s">
        <v>647</v>
      </c>
      <c r="D614" s="256">
        <v>1.9139999999999999</v>
      </c>
      <c r="E614" s="720" t="s">
        <v>730</v>
      </c>
      <c r="F614" s="720"/>
      <c r="G614" s="720"/>
      <c r="H614" s="720"/>
      <c r="I614" s="228" t="s">
        <v>657</v>
      </c>
      <c r="J614" s="228">
        <v>35</v>
      </c>
      <c r="K614" s="257" t="s">
        <v>650</v>
      </c>
      <c r="L614" s="258" t="s">
        <v>663</v>
      </c>
      <c r="M614" s="254" t="s">
        <v>651</v>
      </c>
      <c r="N614" s="258"/>
    </row>
    <row r="615" spans="2:15" ht="12.75" customHeight="1" x14ac:dyDescent="0.2">
      <c r="B615" s="317">
        <v>5</v>
      </c>
      <c r="C615" s="420" t="s">
        <v>661</v>
      </c>
      <c r="D615" s="256">
        <v>2.3380000000000001</v>
      </c>
      <c r="E615" s="720" t="s">
        <v>730</v>
      </c>
      <c r="F615" s="720"/>
      <c r="G615" s="720"/>
      <c r="H615" s="720"/>
      <c r="I615" s="228" t="s">
        <v>657</v>
      </c>
      <c r="J615" s="228">
        <v>35</v>
      </c>
      <c r="K615" s="257" t="s">
        <v>666</v>
      </c>
      <c r="L615" s="258" t="s">
        <v>665</v>
      </c>
      <c r="M615" s="258" t="s">
        <v>664</v>
      </c>
      <c r="N615" s="258"/>
    </row>
    <row r="616" spans="2:15" s="221" customFormat="1" ht="12.75" customHeight="1" x14ac:dyDescent="0.2">
      <c r="B616" s="317">
        <v>6</v>
      </c>
      <c r="C616" s="288" t="s">
        <v>705</v>
      </c>
      <c r="D616" s="514">
        <v>3.5550000000000002</v>
      </c>
      <c r="E616" s="720" t="s">
        <v>730</v>
      </c>
      <c r="F616" s="720"/>
      <c r="G616" s="720"/>
      <c r="H616" s="720"/>
      <c r="I616" s="317" t="s">
        <v>657</v>
      </c>
      <c r="J616" s="317">
        <v>35</v>
      </c>
      <c r="K616" s="257" t="s">
        <v>719</v>
      </c>
      <c r="L616" s="280" t="s">
        <v>776</v>
      </c>
      <c r="M616" s="290" t="s">
        <v>775</v>
      </c>
      <c r="N616" s="280"/>
      <c r="O616" s="222"/>
    </row>
    <row r="617" spans="2:15" ht="12.75" customHeight="1" x14ac:dyDescent="0.2">
      <c r="B617" s="317">
        <v>7</v>
      </c>
      <c r="C617" s="228" t="s">
        <v>723</v>
      </c>
      <c r="D617" s="256">
        <v>1.6579999999999999</v>
      </c>
      <c r="E617" s="720" t="s">
        <v>730</v>
      </c>
      <c r="F617" s="720"/>
      <c r="G617" s="720"/>
      <c r="H617" s="720"/>
      <c r="I617" s="228" t="s">
        <v>657</v>
      </c>
      <c r="J617" s="228">
        <v>35</v>
      </c>
      <c r="K617" s="257" t="s">
        <v>728</v>
      </c>
      <c r="L617" s="258" t="s">
        <v>729</v>
      </c>
      <c r="M617" s="254" t="s">
        <v>733</v>
      </c>
      <c r="N617" s="258"/>
    </row>
    <row r="618" spans="2:15" ht="12.75" customHeight="1" x14ac:dyDescent="0.2">
      <c r="B618" s="317">
        <v>8</v>
      </c>
      <c r="C618" s="228" t="s">
        <v>734</v>
      </c>
      <c r="D618" s="256">
        <v>2.6890000000000001</v>
      </c>
      <c r="E618" s="720" t="s">
        <v>730</v>
      </c>
      <c r="F618" s="720"/>
      <c r="G618" s="720"/>
      <c r="H618" s="720"/>
      <c r="I618" s="228" t="s">
        <v>657</v>
      </c>
      <c r="J618" s="228">
        <v>35</v>
      </c>
      <c r="K618" s="257" t="s">
        <v>748</v>
      </c>
      <c r="L618" s="257" t="s">
        <v>749</v>
      </c>
      <c r="M618" s="254">
        <v>45825</v>
      </c>
      <c r="N618" s="258"/>
    </row>
    <row r="619" spans="2:15" ht="12.75" customHeight="1" x14ac:dyDescent="0.2">
      <c r="B619" s="317">
        <v>9</v>
      </c>
      <c r="C619" s="228" t="s">
        <v>750</v>
      </c>
      <c r="D619" s="256">
        <v>2.383</v>
      </c>
      <c r="E619" s="720" t="s">
        <v>730</v>
      </c>
      <c r="F619" s="720"/>
      <c r="G619" s="720"/>
      <c r="H619" s="720"/>
      <c r="I619" s="228" t="s">
        <v>657</v>
      </c>
      <c r="J619" s="228">
        <v>45</v>
      </c>
      <c r="K619" s="257" t="s">
        <v>758</v>
      </c>
      <c r="L619" s="257" t="s">
        <v>759</v>
      </c>
      <c r="M619" s="254" t="s">
        <v>760</v>
      </c>
      <c r="N619" s="258"/>
    </row>
    <row r="620" spans="2:15" s="221" customFormat="1" ht="12.75" customHeight="1" x14ac:dyDescent="0.2">
      <c r="B620" s="317">
        <v>10</v>
      </c>
      <c r="C620" s="420" t="s">
        <v>761</v>
      </c>
      <c r="D620" s="256">
        <v>0.50800000000000001</v>
      </c>
      <c r="E620" s="720" t="s">
        <v>730</v>
      </c>
      <c r="F620" s="720"/>
      <c r="G620" s="720"/>
      <c r="H620" s="720"/>
      <c r="I620" s="228" t="s">
        <v>657</v>
      </c>
      <c r="J620" s="228">
        <v>45</v>
      </c>
      <c r="K620" s="317" t="s">
        <v>773</v>
      </c>
      <c r="L620" s="254" t="s">
        <v>774</v>
      </c>
      <c r="M620" s="254">
        <v>45850</v>
      </c>
      <c r="N620" s="280"/>
      <c r="O620" s="222"/>
    </row>
    <row r="621" spans="2:15" s="221" customFormat="1" ht="12.75" customHeight="1" x14ac:dyDescent="0.2">
      <c r="B621" s="659">
        <v>11</v>
      </c>
      <c r="C621" s="420" t="s">
        <v>763</v>
      </c>
      <c r="D621" s="256">
        <v>3.867</v>
      </c>
      <c r="E621" s="725" t="s">
        <v>730</v>
      </c>
      <c r="F621" s="726"/>
      <c r="G621" s="726"/>
      <c r="H621" s="727"/>
      <c r="I621" s="228" t="s">
        <v>657</v>
      </c>
      <c r="J621" s="228">
        <v>45</v>
      </c>
      <c r="K621" s="317" t="s">
        <v>841</v>
      </c>
      <c r="L621" s="254" t="s">
        <v>843</v>
      </c>
      <c r="M621" s="660">
        <v>45802</v>
      </c>
      <c r="N621" s="280"/>
      <c r="O621" s="222"/>
    </row>
    <row r="622" spans="2:15" ht="13.5" customHeight="1" x14ac:dyDescent="0.2">
      <c r="B622" s="659">
        <v>12</v>
      </c>
      <c r="C622" s="420" t="s">
        <v>905</v>
      </c>
      <c r="D622" s="256">
        <v>0.17199999999999999</v>
      </c>
      <c r="E622" s="725" t="s">
        <v>730</v>
      </c>
      <c r="F622" s="726"/>
      <c r="G622" s="726"/>
      <c r="H622" s="727"/>
      <c r="I622" s="228" t="s">
        <v>657</v>
      </c>
      <c r="J622" s="228">
        <v>45</v>
      </c>
      <c r="K622" s="317" t="s">
        <v>906</v>
      </c>
      <c r="L622" s="254" t="s">
        <v>907</v>
      </c>
      <c r="M622" s="660">
        <v>45901</v>
      </c>
      <c r="N622" s="280"/>
    </row>
    <row r="623" spans="2:15" ht="12.75" customHeight="1" x14ac:dyDescent="0.2">
      <c r="B623" s="659">
        <v>13</v>
      </c>
      <c r="C623" s="420" t="s">
        <v>904</v>
      </c>
      <c r="D623" s="256">
        <v>0.24099999999999999</v>
      </c>
      <c r="E623" s="725" t="s">
        <v>730</v>
      </c>
      <c r="F623" s="726"/>
      <c r="G623" s="726"/>
      <c r="H623" s="727"/>
      <c r="I623" s="228" t="s">
        <v>657</v>
      </c>
      <c r="J623" s="228">
        <v>45</v>
      </c>
      <c r="K623" s="317" t="s">
        <v>909</v>
      </c>
      <c r="L623" s="254" t="s">
        <v>910</v>
      </c>
      <c r="M623" s="660">
        <v>45901</v>
      </c>
      <c r="N623" s="280"/>
    </row>
    <row r="624" spans="2:15" ht="12.75" customHeight="1" x14ac:dyDescent="0.2">
      <c r="B624" s="659">
        <v>14</v>
      </c>
      <c r="C624" s="420" t="s">
        <v>902</v>
      </c>
      <c r="D624" s="256">
        <v>4.9795299999999996</v>
      </c>
      <c r="E624" s="725" t="s">
        <v>730</v>
      </c>
      <c r="F624" s="726"/>
      <c r="G624" s="726"/>
      <c r="H624" s="727"/>
      <c r="I624" s="228" t="s">
        <v>903</v>
      </c>
      <c r="J624" s="228">
        <v>40</v>
      </c>
      <c r="K624" s="317" t="s">
        <v>911</v>
      </c>
      <c r="L624" s="254" t="s">
        <v>914</v>
      </c>
      <c r="M624" s="660" t="s">
        <v>947</v>
      </c>
      <c r="N624" s="280"/>
    </row>
    <row r="625" spans="2:15" ht="12.75" customHeight="1" x14ac:dyDescent="0.2">
      <c r="B625" s="659">
        <v>15</v>
      </c>
      <c r="C625" s="317" t="s">
        <v>913</v>
      </c>
      <c r="D625" s="514">
        <v>4.1245200000000004</v>
      </c>
      <c r="E625" s="717" t="s">
        <v>730</v>
      </c>
      <c r="F625" s="718"/>
      <c r="G625" s="718"/>
      <c r="H625" s="719"/>
      <c r="I625" s="317" t="s">
        <v>903</v>
      </c>
      <c r="J625" s="317">
        <v>40</v>
      </c>
      <c r="K625" s="257" t="s">
        <v>920</v>
      </c>
      <c r="L625" s="290" t="s">
        <v>948</v>
      </c>
      <c r="M625" s="661" t="s">
        <v>949</v>
      </c>
      <c r="N625" s="280"/>
    </row>
    <row r="626" spans="2:15" ht="12.75" customHeight="1" x14ac:dyDescent="0.2">
      <c r="B626" s="659">
        <v>16</v>
      </c>
      <c r="C626" s="317" t="s">
        <v>837</v>
      </c>
      <c r="D626" s="514">
        <v>1.63961</v>
      </c>
      <c r="E626" s="717" t="s">
        <v>730</v>
      </c>
      <c r="F626" s="718"/>
      <c r="G626" s="718"/>
      <c r="H626" s="719"/>
      <c r="I626" s="317" t="s">
        <v>657</v>
      </c>
      <c r="J626" s="317">
        <v>45</v>
      </c>
      <c r="K626" s="257" t="s">
        <v>970</v>
      </c>
      <c r="L626" s="290">
        <v>45949</v>
      </c>
      <c r="M626" s="661">
        <v>45907</v>
      </c>
      <c r="N626" s="280"/>
    </row>
    <row r="627" spans="2:15" ht="12.75" customHeight="1" x14ac:dyDescent="0.2">
      <c r="B627" s="659">
        <v>17</v>
      </c>
      <c r="C627" s="317" t="s">
        <v>901</v>
      </c>
      <c r="D627" s="514">
        <v>1.5640000000000001</v>
      </c>
      <c r="E627" s="717" t="s">
        <v>730</v>
      </c>
      <c r="F627" s="718"/>
      <c r="G627" s="718"/>
      <c r="H627" s="719"/>
      <c r="I627" s="317" t="s">
        <v>657</v>
      </c>
      <c r="J627" s="317">
        <v>45</v>
      </c>
      <c r="K627" s="257" t="s">
        <v>971</v>
      </c>
      <c r="L627" s="290">
        <v>45951</v>
      </c>
      <c r="M627" s="661">
        <v>45953</v>
      </c>
      <c r="N627" s="280"/>
    </row>
    <row r="628" spans="2:15" ht="12.75" customHeight="1" x14ac:dyDescent="0.2">
      <c r="B628" s="659">
        <v>18</v>
      </c>
      <c r="C628" s="317" t="s">
        <v>921</v>
      </c>
      <c r="D628" s="514">
        <v>4.5979999999999999</v>
      </c>
      <c r="E628" s="717" t="s">
        <v>730</v>
      </c>
      <c r="F628" s="718"/>
      <c r="G628" s="718"/>
      <c r="H628" s="719"/>
      <c r="I628" s="317" t="s">
        <v>903</v>
      </c>
      <c r="J628" s="317">
        <v>40</v>
      </c>
      <c r="K628" s="257" t="s">
        <v>972</v>
      </c>
      <c r="L628" s="280" t="s">
        <v>973</v>
      </c>
      <c r="M628" s="661">
        <v>45956</v>
      </c>
      <c r="N628" s="280"/>
    </row>
    <row r="629" spans="2:15" ht="12.75" customHeight="1" x14ac:dyDescent="0.2">
      <c r="B629" s="659">
        <v>19</v>
      </c>
      <c r="C629" s="279" t="s">
        <v>912</v>
      </c>
      <c r="D629" s="507">
        <v>1.5389999999999999</v>
      </c>
      <c r="E629" s="749" t="s">
        <v>974</v>
      </c>
      <c r="F629" s="750"/>
      <c r="G629" s="750"/>
      <c r="H629" s="751"/>
      <c r="I629" s="279" t="s">
        <v>657</v>
      </c>
      <c r="J629" s="279">
        <v>45</v>
      </c>
      <c r="K629" s="306"/>
      <c r="L629" s="508"/>
      <c r="M629" s="662"/>
    </row>
    <row r="630" spans="2:15" ht="12.75" customHeight="1" thickBot="1" x14ac:dyDescent="0.25">
      <c r="B630" s="663">
        <v>20</v>
      </c>
      <c r="C630" s="664" t="s">
        <v>975</v>
      </c>
      <c r="D630" s="665">
        <v>4.9000000000000004</v>
      </c>
      <c r="E630" s="733" t="s">
        <v>989</v>
      </c>
      <c r="F630" s="734"/>
      <c r="G630" s="734"/>
      <c r="H630" s="735"/>
      <c r="I630" s="664" t="s">
        <v>903</v>
      </c>
      <c r="J630" s="664">
        <v>40</v>
      </c>
      <c r="K630" s="666"/>
      <c r="L630" s="667"/>
      <c r="M630" s="668"/>
    </row>
    <row r="631" spans="2:15" ht="12.75" customHeight="1" x14ac:dyDescent="0.2">
      <c r="B631" s="505"/>
      <c r="C631" s="444"/>
      <c r="D631" s="445"/>
      <c r="E631" s="506"/>
      <c r="F631" s="506"/>
      <c r="G631" s="506"/>
      <c r="H631" s="506"/>
      <c r="I631" s="444"/>
      <c r="J631" s="444"/>
      <c r="K631" s="446"/>
    </row>
    <row r="632" spans="2:15" ht="12.75" customHeight="1" x14ac:dyDescent="0.2">
      <c r="B632" s="505"/>
      <c r="C632" s="444"/>
      <c r="D632" s="445"/>
      <c r="E632" s="506"/>
      <c r="F632" s="506"/>
      <c r="G632" s="506"/>
      <c r="H632" s="506"/>
      <c r="I632" s="444"/>
      <c r="J632" s="444"/>
      <c r="K632" s="446"/>
    </row>
    <row r="633" spans="2:15" ht="16.5" customHeight="1" x14ac:dyDescent="0.2">
      <c r="B633" s="441" t="s">
        <v>73</v>
      </c>
      <c r="C633" s="442"/>
      <c r="D633" s="442"/>
      <c r="E633" s="442"/>
      <c r="F633" s="442"/>
      <c r="G633" s="442"/>
      <c r="H633" s="442"/>
      <c r="I633" s="442"/>
      <c r="J633" s="442"/>
      <c r="K633" s="443"/>
    </row>
    <row r="634" spans="2:15" ht="12.75" customHeight="1" x14ac:dyDescent="0.2">
      <c r="B634" s="455" t="s">
        <v>17</v>
      </c>
      <c r="C634" s="455" t="s">
        <v>71</v>
      </c>
      <c r="D634" s="455" t="s">
        <v>72</v>
      </c>
      <c r="E634" s="721" t="s">
        <v>23</v>
      </c>
      <c r="F634" s="722"/>
      <c r="G634" s="722"/>
      <c r="H634" s="723"/>
      <c r="I634" s="455" t="s">
        <v>25</v>
      </c>
      <c r="J634" s="455" t="s">
        <v>26</v>
      </c>
      <c r="K634" s="455" t="s">
        <v>4</v>
      </c>
    </row>
    <row r="635" spans="2:15" ht="12.75" customHeight="1" x14ac:dyDescent="0.2">
      <c r="B635" s="317">
        <v>1</v>
      </c>
      <c r="C635" s="317" t="s">
        <v>833</v>
      </c>
      <c r="D635" s="514">
        <v>5.0720000000000001</v>
      </c>
      <c r="E635" s="717" t="s">
        <v>954</v>
      </c>
      <c r="F635" s="718"/>
      <c r="G635" s="718"/>
      <c r="H635" s="719"/>
      <c r="I635" s="323" t="s">
        <v>834</v>
      </c>
      <c r="J635" s="317">
        <v>15</v>
      </c>
      <c r="K635" s="257">
        <v>45863</v>
      </c>
    </row>
    <row r="636" spans="2:15" ht="12.75" customHeight="1" x14ac:dyDescent="0.2">
      <c r="B636" s="317">
        <v>2</v>
      </c>
      <c r="C636" s="317" t="s">
        <v>838</v>
      </c>
      <c r="D636" s="514">
        <v>4.0629999999999997</v>
      </c>
      <c r="E636" s="717" t="s">
        <v>954</v>
      </c>
      <c r="F636" s="718"/>
      <c r="G636" s="718"/>
      <c r="H636" s="719"/>
      <c r="I636" s="323" t="s">
        <v>834</v>
      </c>
      <c r="J636" s="317">
        <v>15</v>
      </c>
      <c r="K636" s="257" t="s">
        <v>839</v>
      </c>
    </row>
    <row r="637" spans="2:15" ht="12.75" customHeight="1" x14ac:dyDescent="0.2">
      <c r="B637" s="317">
        <v>3</v>
      </c>
      <c r="C637" s="317" t="s">
        <v>840</v>
      </c>
      <c r="D637" s="514">
        <v>4.1639999999999997</v>
      </c>
      <c r="E637" s="717" t="s">
        <v>954</v>
      </c>
      <c r="F637" s="718"/>
      <c r="G637" s="718"/>
      <c r="H637" s="719"/>
      <c r="I637" s="323" t="s">
        <v>834</v>
      </c>
      <c r="J637" s="317">
        <v>15</v>
      </c>
      <c r="K637" s="257">
        <v>45871</v>
      </c>
    </row>
    <row r="638" spans="2:15" s="221" customFormat="1" ht="12.75" customHeight="1" x14ac:dyDescent="0.2">
      <c r="B638" s="317">
        <v>4</v>
      </c>
      <c r="C638" s="317" t="s">
        <v>611</v>
      </c>
      <c r="D638" s="514">
        <v>3.4060000000000001</v>
      </c>
      <c r="E638" s="717" t="s">
        <v>954</v>
      </c>
      <c r="F638" s="718"/>
      <c r="G638" s="718"/>
      <c r="H638" s="719"/>
      <c r="I638" s="323" t="s">
        <v>834</v>
      </c>
      <c r="J638" s="317">
        <v>15</v>
      </c>
      <c r="K638" s="257">
        <v>45873</v>
      </c>
      <c r="L638" s="222"/>
      <c r="M638" s="222"/>
      <c r="N638" s="222"/>
      <c r="O638" s="222"/>
    </row>
    <row r="639" spans="2:15" s="221" customFormat="1" ht="12.75" customHeight="1" x14ac:dyDescent="0.2">
      <c r="B639" s="317">
        <v>5</v>
      </c>
      <c r="C639" s="317" t="s">
        <v>842</v>
      </c>
      <c r="D639" s="514">
        <v>4.1929999999999996</v>
      </c>
      <c r="E639" s="717" t="s">
        <v>954</v>
      </c>
      <c r="F639" s="718"/>
      <c r="G639" s="718"/>
      <c r="H639" s="719"/>
      <c r="I639" s="323" t="s">
        <v>834</v>
      </c>
      <c r="J639" s="317">
        <v>15</v>
      </c>
      <c r="K639" s="257">
        <v>45875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6</v>
      </c>
      <c r="C640" s="317" t="s">
        <v>951</v>
      </c>
      <c r="D640" s="514">
        <v>4.28</v>
      </c>
      <c r="E640" s="717" t="s">
        <v>954</v>
      </c>
      <c r="F640" s="718"/>
      <c r="G640" s="718"/>
      <c r="H640" s="719"/>
      <c r="I640" s="323" t="s">
        <v>834</v>
      </c>
      <c r="J640" s="317">
        <v>15</v>
      </c>
      <c r="K640" s="257" t="s">
        <v>955</v>
      </c>
      <c r="L640" s="222"/>
      <c r="M640" s="222"/>
      <c r="N640" s="222"/>
      <c r="O640" s="222"/>
    </row>
    <row r="641" spans="2:17" ht="12.75" customHeight="1" x14ac:dyDescent="0.2">
      <c r="B641" s="317">
        <v>7</v>
      </c>
      <c r="C641" s="317" t="s">
        <v>902</v>
      </c>
      <c r="D641" s="514">
        <v>4.9800000000000004</v>
      </c>
      <c r="E641" s="717" t="s">
        <v>954</v>
      </c>
      <c r="F641" s="718"/>
      <c r="G641" s="718"/>
      <c r="H641" s="719"/>
      <c r="I641" s="323" t="s">
        <v>834</v>
      </c>
      <c r="J641" s="317">
        <v>15</v>
      </c>
      <c r="K641" s="257" t="s">
        <v>964</v>
      </c>
    </row>
    <row r="642" spans="2:17" ht="12.75" customHeight="1" x14ac:dyDescent="0.2">
      <c r="B642" s="317">
        <v>8</v>
      </c>
      <c r="C642" s="317" t="s">
        <v>966</v>
      </c>
      <c r="D642" s="514">
        <v>4.125</v>
      </c>
      <c r="E642" s="717" t="s">
        <v>954</v>
      </c>
      <c r="F642" s="718"/>
      <c r="G642" s="718"/>
      <c r="H642" s="719"/>
      <c r="I642" s="323" t="s">
        <v>834</v>
      </c>
      <c r="J642" s="317">
        <v>15</v>
      </c>
      <c r="K642" s="257" t="s">
        <v>969</v>
      </c>
    </row>
    <row r="643" spans="2:17" x14ac:dyDescent="0.2">
      <c r="B643" s="438" t="s">
        <v>186</v>
      </c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40"/>
      <c r="P643" s="439"/>
      <c r="Q643" s="440"/>
    </row>
    <row r="644" spans="2:17" x14ac:dyDescent="0.2">
      <c r="B644" s="513" t="s">
        <v>68</v>
      </c>
      <c r="C644" s="513" t="s">
        <v>18</v>
      </c>
      <c r="D644" s="513" t="s">
        <v>19</v>
      </c>
      <c r="E644" s="513" t="s">
        <v>20</v>
      </c>
      <c r="F644" s="513" t="s">
        <v>21</v>
      </c>
      <c r="G644" s="513" t="s">
        <v>69</v>
      </c>
      <c r="H644" s="724" t="s">
        <v>23</v>
      </c>
      <c r="I644" s="724"/>
      <c r="J644" s="724"/>
      <c r="K644" s="724"/>
      <c r="L644" s="513" t="s">
        <v>24</v>
      </c>
      <c r="M644" s="513" t="s">
        <v>25</v>
      </c>
      <c r="N644" s="513" t="s">
        <v>26</v>
      </c>
      <c r="O644" s="513" t="s">
        <v>27</v>
      </c>
      <c r="P644" s="510" t="s">
        <v>771</v>
      </c>
      <c r="Q644" s="510" t="s">
        <v>772</v>
      </c>
    </row>
    <row r="645" spans="2:17" x14ac:dyDescent="0.2">
      <c r="B645" s="317">
        <v>1</v>
      </c>
      <c r="C645" s="332" t="s">
        <v>41</v>
      </c>
      <c r="D645" s="228" t="s">
        <v>29</v>
      </c>
      <c r="E645" s="228" t="s">
        <v>30</v>
      </c>
      <c r="F645" s="332" t="s">
        <v>121</v>
      </c>
      <c r="G645" s="228">
        <v>36.369999999999997</v>
      </c>
      <c r="H645" s="720" t="s">
        <v>172</v>
      </c>
      <c r="I645" s="720"/>
      <c r="J645" s="720"/>
      <c r="K645" s="720"/>
      <c r="L645" s="333">
        <v>45492</v>
      </c>
      <c r="M645" s="228" t="s">
        <v>122</v>
      </c>
      <c r="N645" s="228">
        <v>25</v>
      </c>
      <c r="O645" s="228" t="s">
        <v>173</v>
      </c>
      <c r="P645" s="512" t="s">
        <v>172</v>
      </c>
      <c r="Q645" s="512" t="s">
        <v>172</v>
      </c>
    </row>
    <row r="646" spans="2:17" x14ac:dyDescent="0.2">
      <c r="B646" s="317">
        <v>2</v>
      </c>
      <c r="C646" s="288" t="s">
        <v>56</v>
      </c>
      <c r="D646" s="317" t="s">
        <v>29</v>
      </c>
      <c r="E646" s="317" t="s">
        <v>30</v>
      </c>
      <c r="F646" s="260" t="s">
        <v>132</v>
      </c>
      <c r="G646" s="317">
        <v>36.369999999999997</v>
      </c>
      <c r="H646" s="716" t="s">
        <v>172</v>
      </c>
      <c r="I646" s="716"/>
      <c r="J646" s="716"/>
      <c r="K646" s="716"/>
      <c r="L646" s="257">
        <v>45501</v>
      </c>
      <c r="M646" s="317" t="s">
        <v>122</v>
      </c>
      <c r="N646" s="317">
        <v>25</v>
      </c>
      <c r="O646" s="280"/>
      <c r="P646" s="512" t="s">
        <v>172</v>
      </c>
      <c r="Q646" s="512" t="s">
        <v>172</v>
      </c>
    </row>
    <row r="647" spans="2:17" x14ac:dyDescent="0.2">
      <c r="B647" s="317">
        <v>3</v>
      </c>
      <c r="C647" s="291" t="s">
        <v>116</v>
      </c>
      <c r="D647" s="317" t="s">
        <v>29</v>
      </c>
      <c r="E647" s="317" t="s">
        <v>30</v>
      </c>
      <c r="F647" s="260" t="s">
        <v>157</v>
      </c>
      <c r="G647" s="317">
        <v>36.369999999999997</v>
      </c>
      <c r="H647" s="716" t="s">
        <v>172</v>
      </c>
      <c r="I647" s="716"/>
      <c r="J647" s="716"/>
      <c r="K647" s="716"/>
      <c r="L647" s="257">
        <v>45507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4</v>
      </c>
      <c r="C648" s="291" t="s">
        <v>45</v>
      </c>
      <c r="D648" s="317" t="s">
        <v>29</v>
      </c>
      <c r="E648" s="317" t="s">
        <v>30</v>
      </c>
      <c r="F648" s="260" t="s">
        <v>163</v>
      </c>
      <c r="G648" s="317">
        <v>36.369999999999997</v>
      </c>
      <c r="H648" s="716" t="s">
        <v>172</v>
      </c>
      <c r="I648" s="716"/>
      <c r="J648" s="716"/>
      <c r="K648" s="716"/>
      <c r="L648" s="257">
        <v>45513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5</v>
      </c>
      <c r="C649" s="291" t="s">
        <v>62</v>
      </c>
      <c r="D649" s="317" t="s">
        <v>29</v>
      </c>
      <c r="E649" s="317" t="s">
        <v>30</v>
      </c>
      <c r="F649" s="260" t="s">
        <v>174</v>
      </c>
      <c r="G649" s="317">
        <v>36.369999999999997</v>
      </c>
      <c r="H649" s="716" t="s">
        <v>172</v>
      </c>
      <c r="I649" s="716"/>
      <c r="J649" s="716"/>
      <c r="K649" s="716"/>
      <c r="L649" s="257">
        <v>45518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6</v>
      </c>
      <c r="C650" s="291" t="s">
        <v>66</v>
      </c>
      <c r="D650" s="317" t="s">
        <v>29</v>
      </c>
      <c r="E650" s="317" t="s">
        <v>30</v>
      </c>
      <c r="F650" s="257">
        <v>45520</v>
      </c>
      <c r="G650" s="317">
        <v>36.369999999999997</v>
      </c>
      <c r="H650" s="716" t="s">
        <v>172</v>
      </c>
      <c r="I650" s="716"/>
      <c r="J650" s="716"/>
      <c r="K650" s="716"/>
      <c r="L650" s="257">
        <v>45522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ht="12.75" customHeight="1" x14ac:dyDescent="0.2">
      <c r="B651" s="317">
        <v>7</v>
      </c>
      <c r="C651" s="291" t="s">
        <v>117</v>
      </c>
      <c r="D651" s="317" t="s">
        <v>29</v>
      </c>
      <c r="E651" s="317" t="s">
        <v>30</v>
      </c>
      <c r="F651" s="257">
        <v>45523</v>
      </c>
      <c r="G651" s="317">
        <v>36.369999999999997</v>
      </c>
      <c r="H651" s="716" t="s">
        <v>172</v>
      </c>
      <c r="I651" s="716"/>
      <c r="J651" s="716"/>
      <c r="K651" s="716"/>
      <c r="L651" s="257">
        <v>45528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x14ac:dyDescent="0.2">
      <c r="B652" s="317">
        <v>8</v>
      </c>
      <c r="C652" s="291" t="s">
        <v>183</v>
      </c>
      <c r="D652" s="317" t="s">
        <v>29</v>
      </c>
      <c r="E652" s="317" t="s">
        <v>30</v>
      </c>
      <c r="F652" s="257">
        <v>45526</v>
      </c>
      <c r="G652" s="317">
        <v>36.369999999999997</v>
      </c>
      <c r="H652" s="716" t="s">
        <v>172</v>
      </c>
      <c r="I652" s="716"/>
      <c r="J652" s="716"/>
      <c r="K652" s="716"/>
      <c r="L652" s="257">
        <v>45533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9</v>
      </c>
      <c r="C653" s="291" t="s">
        <v>28</v>
      </c>
      <c r="D653" s="317" t="s">
        <v>29</v>
      </c>
      <c r="E653" s="317" t="s">
        <v>30</v>
      </c>
      <c r="F653" s="257">
        <v>45533</v>
      </c>
      <c r="G653" s="317">
        <v>36.369999999999997</v>
      </c>
      <c r="H653" s="716" t="s">
        <v>172</v>
      </c>
      <c r="I653" s="716"/>
      <c r="J653" s="716"/>
      <c r="K653" s="716"/>
      <c r="L653" s="257">
        <v>45541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10</v>
      </c>
      <c r="C654" s="291" t="s">
        <v>59</v>
      </c>
      <c r="D654" s="317" t="s">
        <v>29</v>
      </c>
      <c r="E654" s="317" t="s">
        <v>30</v>
      </c>
      <c r="F654" s="257">
        <v>45527</v>
      </c>
      <c r="G654" s="317">
        <v>36.369999999999997</v>
      </c>
      <c r="H654" s="716" t="s">
        <v>172</v>
      </c>
      <c r="I654" s="716"/>
      <c r="J654" s="716"/>
      <c r="K654" s="716"/>
      <c r="L654" s="257">
        <v>45543</v>
      </c>
      <c r="M654" s="317" t="s">
        <v>433</v>
      </c>
      <c r="N654" s="317">
        <v>24</v>
      </c>
      <c r="O654" s="280"/>
      <c r="P654" s="512" t="s">
        <v>172</v>
      </c>
      <c r="Q654" s="512" t="s">
        <v>172</v>
      </c>
    </row>
    <row r="655" spans="2:17" x14ac:dyDescent="0.2">
      <c r="B655" s="317">
        <v>11</v>
      </c>
      <c r="C655" s="257" t="s">
        <v>35</v>
      </c>
      <c r="D655" s="257" t="s">
        <v>29</v>
      </c>
      <c r="E655" s="257" t="s">
        <v>30</v>
      </c>
      <c r="F655" s="257">
        <v>45533</v>
      </c>
      <c r="G655" s="317">
        <v>36.369999999999997</v>
      </c>
      <c r="H655" s="716" t="s">
        <v>172</v>
      </c>
      <c r="I655" s="716"/>
      <c r="J655" s="716"/>
      <c r="K655" s="716"/>
      <c r="L655" s="257">
        <v>45547</v>
      </c>
      <c r="M655" s="257" t="s">
        <v>122</v>
      </c>
      <c r="N655" s="317">
        <v>24</v>
      </c>
      <c r="O655" s="280"/>
      <c r="P655" s="512" t="s">
        <v>172</v>
      </c>
      <c r="Q655" s="512" t="s">
        <v>172</v>
      </c>
    </row>
    <row r="656" spans="2:17" ht="12.75" customHeight="1" x14ac:dyDescent="0.2">
      <c r="B656" s="317">
        <v>12</v>
      </c>
      <c r="C656" s="291" t="s">
        <v>136</v>
      </c>
      <c r="D656" s="317" t="s">
        <v>29</v>
      </c>
      <c r="E656" s="257" t="s">
        <v>30</v>
      </c>
      <c r="F656" s="257">
        <v>45549</v>
      </c>
      <c r="G656" s="317">
        <v>36.369999999999997</v>
      </c>
      <c r="H656" s="716" t="s">
        <v>172</v>
      </c>
      <c r="I656" s="716"/>
      <c r="J656" s="716"/>
      <c r="K656" s="716"/>
      <c r="L656" s="257">
        <v>45554</v>
      </c>
      <c r="M656" s="317" t="s">
        <v>122</v>
      </c>
      <c r="N656" s="317">
        <v>24</v>
      </c>
      <c r="O656" s="280"/>
      <c r="P656" s="512" t="s">
        <v>172</v>
      </c>
      <c r="Q656" s="512" t="s">
        <v>662</v>
      </c>
    </row>
    <row r="657" spans="2:17" x14ac:dyDescent="0.2">
      <c r="B657" s="317">
        <v>13</v>
      </c>
      <c r="C657" s="291" t="s">
        <v>434</v>
      </c>
      <c r="D657" s="317" t="s">
        <v>29</v>
      </c>
      <c r="E657" s="257" t="s">
        <v>30</v>
      </c>
      <c r="F657" s="257">
        <v>45544</v>
      </c>
      <c r="G657" s="317">
        <v>36.369999999999997</v>
      </c>
      <c r="H657" s="716" t="s">
        <v>172</v>
      </c>
      <c r="I657" s="716"/>
      <c r="J657" s="716"/>
      <c r="K657" s="716"/>
      <c r="L657" s="257">
        <v>45556</v>
      </c>
      <c r="M657" s="317" t="s">
        <v>436</v>
      </c>
      <c r="N657" s="317">
        <v>25</v>
      </c>
      <c r="O657" s="280"/>
      <c r="P657" s="512" t="s">
        <v>172</v>
      </c>
      <c r="Q657" s="512" t="s">
        <v>172</v>
      </c>
    </row>
    <row r="658" spans="2:17" ht="12.75" customHeight="1" x14ac:dyDescent="0.2">
      <c r="B658" s="317">
        <v>14</v>
      </c>
      <c r="C658" s="291" t="s">
        <v>119</v>
      </c>
      <c r="D658" s="257" t="s">
        <v>29</v>
      </c>
      <c r="E658" s="257" t="s">
        <v>30</v>
      </c>
      <c r="F658" s="257">
        <v>45554</v>
      </c>
      <c r="G658" s="334">
        <v>36.369999999999997</v>
      </c>
      <c r="H658" s="716" t="s">
        <v>172</v>
      </c>
      <c r="I658" s="716"/>
      <c r="J658" s="716"/>
      <c r="K658" s="716"/>
      <c r="L658" s="257">
        <v>45558</v>
      </c>
      <c r="M658" s="317" t="s">
        <v>122</v>
      </c>
      <c r="N658" s="317">
        <v>24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15</v>
      </c>
      <c r="C659" s="291" t="s">
        <v>180</v>
      </c>
      <c r="D659" s="257" t="s">
        <v>29</v>
      </c>
      <c r="E659" s="257" t="s">
        <v>30</v>
      </c>
      <c r="F659" s="257">
        <v>45559</v>
      </c>
      <c r="G659" s="334">
        <v>36.369999999999997</v>
      </c>
      <c r="H659" s="716" t="s">
        <v>172</v>
      </c>
      <c r="I659" s="716"/>
      <c r="J659" s="716"/>
      <c r="K659" s="716"/>
      <c r="L659" s="257">
        <v>45563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x14ac:dyDescent="0.2">
      <c r="B660" s="317">
        <v>16</v>
      </c>
      <c r="C660" s="291" t="s">
        <v>133</v>
      </c>
      <c r="D660" s="317" t="s">
        <v>29</v>
      </c>
      <c r="E660" s="257" t="s">
        <v>30</v>
      </c>
      <c r="F660" s="257">
        <v>45547</v>
      </c>
      <c r="G660" s="317">
        <v>36.369999999999997</v>
      </c>
      <c r="H660" s="716" t="s">
        <v>172</v>
      </c>
      <c r="I660" s="716"/>
      <c r="J660" s="716"/>
      <c r="K660" s="716"/>
      <c r="L660" s="257">
        <v>45564</v>
      </c>
      <c r="M660" s="317" t="s">
        <v>438</v>
      </c>
      <c r="N660" s="317">
        <v>25</v>
      </c>
      <c r="O660" s="280"/>
      <c r="P660" s="512" t="s">
        <v>172</v>
      </c>
      <c r="Q660" s="512" t="s">
        <v>172</v>
      </c>
    </row>
    <row r="661" spans="2:17" ht="19.5" customHeight="1" x14ac:dyDescent="0.2">
      <c r="B661" s="317">
        <v>17</v>
      </c>
      <c r="C661" s="291" t="s">
        <v>51</v>
      </c>
      <c r="D661" s="317" t="s">
        <v>34</v>
      </c>
      <c r="E661" s="257" t="s">
        <v>30</v>
      </c>
      <c r="F661" s="257">
        <v>45549</v>
      </c>
      <c r="G661" s="334">
        <v>37.931292999999997</v>
      </c>
      <c r="H661" s="716" t="s">
        <v>172</v>
      </c>
      <c r="I661" s="716"/>
      <c r="J661" s="716"/>
      <c r="K661" s="716"/>
      <c r="L661" s="257">
        <v>45565</v>
      </c>
      <c r="M661" s="317" t="s">
        <v>437</v>
      </c>
      <c r="N661" s="317">
        <v>24</v>
      </c>
      <c r="O661" s="280"/>
      <c r="P661" s="512" t="s">
        <v>172</v>
      </c>
      <c r="Q661" s="512" t="s">
        <v>172</v>
      </c>
    </row>
    <row r="662" spans="2:17" ht="12.75" customHeight="1" x14ac:dyDescent="0.2">
      <c r="B662" s="317">
        <v>18</v>
      </c>
      <c r="C662" s="291" t="s">
        <v>120</v>
      </c>
      <c r="D662" s="257" t="s">
        <v>29</v>
      </c>
      <c r="E662" s="257" t="s">
        <v>30</v>
      </c>
      <c r="F662" s="257">
        <v>45564</v>
      </c>
      <c r="G662" s="334">
        <v>36.369999999999997</v>
      </c>
      <c r="H662" s="716" t="s">
        <v>172</v>
      </c>
      <c r="I662" s="716"/>
      <c r="J662" s="716"/>
      <c r="K662" s="716"/>
      <c r="L662" s="257">
        <v>45568</v>
      </c>
      <c r="M662" s="317" t="s">
        <v>122</v>
      </c>
      <c r="N662" s="317">
        <v>24</v>
      </c>
      <c r="O662" s="280"/>
      <c r="P662" s="512" t="s">
        <v>172</v>
      </c>
      <c r="Q662" s="512" t="s">
        <v>172</v>
      </c>
    </row>
    <row r="663" spans="2:17" x14ac:dyDescent="0.2">
      <c r="B663" s="317">
        <v>19</v>
      </c>
      <c r="C663" s="291" t="s">
        <v>53</v>
      </c>
      <c r="D663" s="317" t="s">
        <v>29</v>
      </c>
      <c r="E663" s="257" t="s">
        <v>30</v>
      </c>
      <c r="F663" s="257">
        <v>45561</v>
      </c>
      <c r="G663" s="317">
        <v>36.369999999999997</v>
      </c>
      <c r="H663" s="716" t="s">
        <v>172</v>
      </c>
      <c r="I663" s="716"/>
      <c r="J663" s="716"/>
      <c r="K663" s="716"/>
      <c r="L663" s="257">
        <v>45568</v>
      </c>
      <c r="M663" s="317" t="s">
        <v>436</v>
      </c>
      <c r="N663" s="317">
        <v>25</v>
      </c>
      <c r="O663" s="280"/>
      <c r="P663" s="512" t="s">
        <v>172</v>
      </c>
      <c r="Q663" s="512" t="s">
        <v>172</v>
      </c>
    </row>
    <row r="664" spans="2:17" x14ac:dyDescent="0.2">
      <c r="B664" s="317">
        <v>20</v>
      </c>
      <c r="C664" s="291" t="s">
        <v>170</v>
      </c>
      <c r="D664" s="257" t="s">
        <v>29</v>
      </c>
      <c r="E664" s="257" t="s">
        <v>30</v>
      </c>
      <c r="F664" s="257">
        <v>45556</v>
      </c>
      <c r="G664" s="334">
        <v>36.369999999999997</v>
      </c>
      <c r="H664" s="716" t="s">
        <v>172</v>
      </c>
      <c r="I664" s="716"/>
      <c r="J664" s="716"/>
      <c r="K664" s="716"/>
      <c r="L664" s="257">
        <v>45569</v>
      </c>
      <c r="M664" s="317" t="s">
        <v>648</v>
      </c>
      <c r="N664" s="317">
        <v>25</v>
      </c>
      <c r="O664" s="280"/>
      <c r="P664" s="512" t="s">
        <v>172</v>
      </c>
      <c r="Q664" s="512" t="s">
        <v>172</v>
      </c>
    </row>
    <row r="665" spans="2:17" ht="12.75" customHeight="1" x14ac:dyDescent="0.2">
      <c r="B665" s="317">
        <v>21</v>
      </c>
      <c r="C665" s="291" t="s">
        <v>57</v>
      </c>
      <c r="D665" s="257" t="s">
        <v>29</v>
      </c>
      <c r="E665" s="257" t="s">
        <v>30</v>
      </c>
      <c r="F665" s="257">
        <v>45568</v>
      </c>
      <c r="G665" s="334">
        <v>36.369999999999997</v>
      </c>
      <c r="H665" s="716" t="s">
        <v>172</v>
      </c>
      <c r="I665" s="716"/>
      <c r="J665" s="716"/>
      <c r="K665" s="716"/>
      <c r="L665" s="257">
        <v>45572</v>
      </c>
      <c r="M665" s="317" t="s">
        <v>122</v>
      </c>
      <c r="N665" s="317">
        <v>24</v>
      </c>
      <c r="O665" s="280"/>
      <c r="P665" s="512" t="s">
        <v>172</v>
      </c>
      <c r="Q665" s="512" t="s">
        <v>172</v>
      </c>
    </row>
    <row r="666" spans="2:17" x14ac:dyDescent="0.2">
      <c r="B666" s="317">
        <v>22</v>
      </c>
      <c r="C666" s="291" t="s">
        <v>181</v>
      </c>
      <c r="D666" s="257" t="s">
        <v>34</v>
      </c>
      <c r="E666" s="257" t="s">
        <v>30</v>
      </c>
      <c r="F666" s="257">
        <v>45570</v>
      </c>
      <c r="G666" s="334">
        <v>37.931292999999997</v>
      </c>
      <c r="H666" s="716" t="s">
        <v>172</v>
      </c>
      <c r="I666" s="716"/>
      <c r="J666" s="716"/>
      <c r="K666" s="716"/>
      <c r="L666" s="257">
        <v>45579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23</v>
      </c>
      <c r="C667" s="291" t="s">
        <v>444</v>
      </c>
      <c r="D667" s="257" t="s">
        <v>29</v>
      </c>
      <c r="E667" s="257" t="s">
        <v>30</v>
      </c>
      <c r="F667" s="257">
        <v>45570</v>
      </c>
      <c r="G667" s="334">
        <v>36.369999999999997</v>
      </c>
      <c r="H667" s="716" t="s">
        <v>172</v>
      </c>
      <c r="I667" s="716"/>
      <c r="J667" s="716"/>
      <c r="K667" s="716"/>
      <c r="L667" s="257">
        <v>45579</v>
      </c>
      <c r="M667" s="317" t="s">
        <v>436</v>
      </c>
      <c r="N667" s="317">
        <v>25</v>
      </c>
      <c r="O667" s="280"/>
      <c r="P667" s="512" t="s">
        <v>172</v>
      </c>
      <c r="Q667" s="512" t="s">
        <v>172</v>
      </c>
    </row>
    <row r="668" spans="2:17" x14ac:dyDescent="0.2">
      <c r="B668" s="317">
        <v>24</v>
      </c>
      <c r="C668" s="291" t="s">
        <v>138</v>
      </c>
      <c r="D668" s="257" t="s">
        <v>29</v>
      </c>
      <c r="E668" s="257" t="s">
        <v>30</v>
      </c>
      <c r="F668" s="257">
        <v>45566</v>
      </c>
      <c r="G668" s="334">
        <v>36.369999999999997</v>
      </c>
      <c r="H668" s="716" t="s">
        <v>172</v>
      </c>
      <c r="I668" s="716"/>
      <c r="J668" s="716"/>
      <c r="K668" s="716"/>
      <c r="L668" s="257">
        <v>45582</v>
      </c>
      <c r="M668" s="317" t="s">
        <v>451</v>
      </c>
      <c r="N668" s="317">
        <v>25</v>
      </c>
      <c r="O668" s="280"/>
      <c r="P668" s="512" t="s">
        <v>172</v>
      </c>
      <c r="Q668" s="512" t="s">
        <v>172</v>
      </c>
    </row>
    <row r="669" spans="2:17" ht="12.75" customHeight="1" x14ac:dyDescent="0.2">
      <c r="B669" s="317">
        <v>25</v>
      </c>
      <c r="C669" s="291" t="s">
        <v>54</v>
      </c>
      <c r="D669" s="257" t="s">
        <v>34</v>
      </c>
      <c r="E669" s="257" t="s">
        <v>30</v>
      </c>
      <c r="F669" s="257">
        <v>45566</v>
      </c>
      <c r="G669" s="334">
        <v>37.931292999999997</v>
      </c>
      <c r="H669" s="716" t="s">
        <v>172</v>
      </c>
      <c r="I669" s="716"/>
      <c r="J669" s="716"/>
      <c r="K669" s="716"/>
      <c r="L669" s="257">
        <v>45584</v>
      </c>
      <c r="M669" s="317" t="s">
        <v>437</v>
      </c>
      <c r="N669" s="317">
        <v>25</v>
      </c>
      <c r="O669" s="280"/>
      <c r="P669" s="512" t="s">
        <v>172</v>
      </c>
      <c r="Q669" s="512" t="s">
        <v>172</v>
      </c>
    </row>
    <row r="670" spans="2:17" x14ac:dyDescent="0.2">
      <c r="B670" s="317">
        <v>26</v>
      </c>
      <c r="C670" s="291" t="s">
        <v>356</v>
      </c>
      <c r="D670" s="257" t="s">
        <v>34</v>
      </c>
      <c r="E670" s="257" t="s">
        <v>432</v>
      </c>
      <c r="F670" s="257">
        <v>45581</v>
      </c>
      <c r="G670" s="334">
        <v>37.931292999999997</v>
      </c>
      <c r="H670" s="716" t="s">
        <v>172</v>
      </c>
      <c r="I670" s="716"/>
      <c r="J670" s="716"/>
      <c r="K670" s="716"/>
      <c r="L670" s="257">
        <v>45586</v>
      </c>
      <c r="M670" s="317" t="s">
        <v>476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27</v>
      </c>
      <c r="C671" s="260" t="s">
        <v>49</v>
      </c>
      <c r="D671" s="317" t="s">
        <v>34</v>
      </c>
      <c r="E671" s="317" t="s">
        <v>30</v>
      </c>
      <c r="F671" s="257">
        <v>45586</v>
      </c>
      <c r="G671" s="334">
        <v>37.931292999999997</v>
      </c>
      <c r="H671" s="716" t="s">
        <v>172</v>
      </c>
      <c r="I671" s="716"/>
      <c r="J671" s="716"/>
      <c r="K671" s="716"/>
      <c r="L671" s="257">
        <v>45591</v>
      </c>
      <c r="M671" s="317" t="s">
        <v>122</v>
      </c>
      <c r="N671" s="317"/>
      <c r="O671" s="280"/>
      <c r="P671" s="512" t="s">
        <v>172</v>
      </c>
      <c r="Q671" s="512" t="s">
        <v>172</v>
      </c>
    </row>
    <row r="672" spans="2:17" ht="12.75" customHeight="1" x14ac:dyDescent="0.2">
      <c r="B672" s="317">
        <v>28</v>
      </c>
      <c r="C672" s="291" t="s">
        <v>125</v>
      </c>
      <c r="D672" s="257" t="s">
        <v>34</v>
      </c>
      <c r="E672" s="257" t="s">
        <v>30</v>
      </c>
      <c r="F672" s="257">
        <v>45566</v>
      </c>
      <c r="G672" s="334">
        <v>37.931292999999997</v>
      </c>
      <c r="H672" s="716" t="s">
        <v>172</v>
      </c>
      <c r="I672" s="716"/>
      <c r="J672" s="716"/>
      <c r="K672" s="716"/>
      <c r="L672" s="257">
        <v>45591</v>
      </c>
      <c r="M672" s="317" t="s">
        <v>443</v>
      </c>
      <c r="N672" s="317">
        <v>25</v>
      </c>
      <c r="O672" s="280"/>
      <c r="P672" s="512" t="s">
        <v>172</v>
      </c>
      <c r="Q672" s="512" t="s">
        <v>172</v>
      </c>
    </row>
    <row r="673" spans="2:17" x14ac:dyDescent="0.2">
      <c r="B673" s="317">
        <v>29</v>
      </c>
      <c r="C673" s="291" t="s">
        <v>50</v>
      </c>
      <c r="D673" s="257" t="s">
        <v>34</v>
      </c>
      <c r="E673" s="257" t="s">
        <v>432</v>
      </c>
      <c r="F673" s="257">
        <v>45582</v>
      </c>
      <c r="G673" s="334">
        <v>37.931292999999997</v>
      </c>
      <c r="H673" s="716" t="s">
        <v>172</v>
      </c>
      <c r="I673" s="716"/>
      <c r="J673" s="716"/>
      <c r="K673" s="716"/>
      <c r="L673" s="257">
        <v>45592</v>
      </c>
      <c r="M673" s="317" t="s">
        <v>453</v>
      </c>
      <c r="N673" s="317">
        <v>26</v>
      </c>
      <c r="O673" s="280"/>
      <c r="P673" s="512" t="s">
        <v>172</v>
      </c>
      <c r="Q673" s="512" t="s">
        <v>172</v>
      </c>
    </row>
    <row r="674" spans="2:17" x14ac:dyDescent="0.2">
      <c r="B674" s="317">
        <v>30</v>
      </c>
      <c r="C674" s="291" t="s">
        <v>113</v>
      </c>
      <c r="D674" s="257" t="s">
        <v>29</v>
      </c>
      <c r="E674" s="257" t="s">
        <v>432</v>
      </c>
      <c r="F674" s="257">
        <v>45583</v>
      </c>
      <c r="G674" s="334">
        <v>36.369999999999997</v>
      </c>
      <c r="H674" s="716" t="s">
        <v>172</v>
      </c>
      <c r="I674" s="716"/>
      <c r="J674" s="716"/>
      <c r="K674" s="716"/>
      <c r="L674" s="257">
        <v>45592</v>
      </c>
      <c r="M674" s="317" t="s">
        <v>451</v>
      </c>
      <c r="N674" s="317">
        <v>25</v>
      </c>
      <c r="O674" s="280"/>
      <c r="P674" s="512" t="s">
        <v>172</v>
      </c>
      <c r="Q674" s="512" t="s">
        <v>172</v>
      </c>
    </row>
    <row r="675" spans="2:17" ht="12.75" customHeight="1" x14ac:dyDescent="0.2">
      <c r="B675" s="317">
        <v>31</v>
      </c>
      <c r="C675" s="291" t="s">
        <v>55</v>
      </c>
      <c r="D675" s="257" t="s">
        <v>34</v>
      </c>
      <c r="E675" s="257" t="s">
        <v>30</v>
      </c>
      <c r="F675" s="257">
        <v>45584</v>
      </c>
      <c r="G675" s="334">
        <v>36.369999999999997</v>
      </c>
      <c r="H675" s="716" t="s">
        <v>172</v>
      </c>
      <c r="I675" s="716"/>
      <c r="J675" s="716"/>
      <c r="K675" s="716"/>
      <c r="L675" s="257">
        <v>45595</v>
      </c>
      <c r="M675" s="317" t="s">
        <v>437</v>
      </c>
      <c r="N675" s="317">
        <v>25</v>
      </c>
      <c r="O675" s="280"/>
      <c r="P675" s="512" t="s">
        <v>172</v>
      </c>
      <c r="Q675" s="512" t="s">
        <v>172</v>
      </c>
    </row>
    <row r="676" spans="2:17" x14ac:dyDescent="0.2">
      <c r="B676" s="317">
        <v>32</v>
      </c>
      <c r="C676" s="302" t="s">
        <v>38</v>
      </c>
      <c r="D676" s="257" t="s">
        <v>29</v>
      </c>
      <c r="E676" s="257" t="s">
        <v>30</v>
      </c>
      <c r="F676" s="257">
        <v>45592</v>
      </c>
      <c r="G676" s="334">
        <v>36.369999999999997</v>
      </c>
      <c r="H676" s="716" t="s">
        <v>172</v>
      </c>
      <c r="I676" s="716"/>
      <c r="J676" s="716"/>
      <c r="K676" s="716"/>
      <c r="L676" s="257">
        <v>45597</v>
      </c>
      <c r="M676" s="317" t="s">
        <v>458</v>
      </c>
      <c r="N676" s="317">
        <v>24</v>
      </c>
      <c r="O676" s="280"/>
      <c r="P676" s="512" t="s">
        <v>172</v>
      </c>
      <c r="Q676" s="512" t="s">
        <v>172</v>
      </c>
    </row>
    <row r="677" spans="2:17" x14ac:dyDescent="0.2">
      <c r="B677" s="317">
        <v>33</v>
      </c>
      <c r="C677" s="257" t="s">
        <v>44</v>
      </c>
      <c r="D677" s="257" t="s">
        <v>29</v>
      </c>
      <c r="E677" s="257" t="s">
        <v>30</v>
      </c>
      <c r="F677" s="257">
        <v>45581</v>
      </c>
      <c r="G677" s="334">
        <v>36.369999999999997</v>
      </c>
      <c r="H677" s="716" t="s">
        <v>172</v>
      </c>
      <c r="I677" s="716"/>
      <c r="J677" s="716"/>
      <c r="K677" s="716"/>
      <c r="L677" s="257">
        <v>45597</v>
      </c>
      <c r="M677" s="317" t="s">
        <v>453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34</v>
      </c>
      <c r="C678" s="291" t="s">
        <v>114</v>
      </c>
      <c r="D678" s="257" t="s">
        <v>29</v>
      </c>
      <c r="E678" s="257" t="s">
        <v>30</v>
      </c>
      <c r="F678" s="257">
        <v>45594</v>
      </c>
      <c r="G678" s="334">
        <v>36.369999999999997</v>
      </c>
      <c r="H678" s="716" t="s">
        <v>172</v>
      </c>
      <c r="I678" s="716"/>
      <c r="J678" s="716"/>
      <c r="K678" s="716"/>
      <c r="L678" s="257">
        <v>45601</v>
      </c>
      <c r="M678" s="317" t="s">
        <v>459</v>
      </c>
      <c r="N678" s="317">
        <v>25</v>
      </c>
      <c r="O678" s="280"/>
      <c r="P678" s="512" t="s">
        <v>172</v>
      </c>
      <c r="Q678" s="512" t="s">
        <v>172</v>
      </c>
    </row>
    <row r="679" spans="2:17" ht="12.75" customHeight="1" x14ac:dyDescent="0.2">
      <c r="B679" s="317">
        <v>35</v>
      </c>
      <c r="C679" s="291" t="s">
        <v>126</v>
      </c>
      <c r="D679" s="257" t="s">
        <v>29</v>
      </c>
      <c r="E679" s="257" t="s">
        <v>30</v>
      </c>
      <c r="F679" s="257">
        <v>45597</v>
      </c>
      <c r="G679" s="334">
        <v>36.369999999999997</v>
      </c>
      <c r="H679" s="716" t="s">
        <v>172</v>
      </c>
      <c r="I679" s="716"/>
      <c r="J679" s="716"/>
      <c r="K679" s="716"/>
      <c r="L679" s="257">
        <v>45603</v>
      </c>
      <c r="M679" s="317" t="s">
        <v>437</v>
      </c>
      <c r="N679" s="317">
        <v>24</v>
      </c>
      <c r="O679" s="280"/>
      <c r="P679" s="512" t="s">
        <v>172</v>
      </c>
      <c r="Q679" s="512" t="s">
        <v>172</v>
      </c>
    </row>
    <row r="680" spans="2:17" x14ac:dyDescent="0.2">
      <c r="B680" s="317">
        <v>36</v>
      </c>
      <c r="C680" s="291" t="s">
        <v>158</v>
      </c>
      <c r="D680" s="335" t="s">
        <v>135</v>
      </c>
      <c r="E680" s="257" t="s">
        <v>30</v>
      </c>
      <c r="F680" s="257">
        <v>45598</v>
      </c>
      <c r="G680" s="334">
        <v>54.655000000000001</v>
      </c>
      <c r="H680" s="716" t="s">
        <v>172</v>
      </c>
      <c r="I680" s="716"/>
      <c r="J680" s="716"/>
      <c r="K680" s="716"/>
      <c r="L680" s="257">
        <v>45603</v>
      </c>
      <c r="M680" s="317" t="s">
        <v>453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37</v>
      </c>
      <c r="C681" s="291" t="s">
        <v>130</v>
      </c>
      <c r="D681" s="335" t="s">
        <v>131</v>
      </c>
      <c r="E681" s="257" t="s">
        <v>30</v>
      </c>
      <c r="F681" s="257">
        <v>45598</v>
      </c>
      <c r="G681" s="334">
        <v>54.66</v>
      </c>
      <c r="H681" s="716" t="s">
        <v>172</v>
      </c>
      <c r="I681" s="716"/>
      <c r="J681" s="716"/>
      <c r="K681" s="716"/>
      <c r="L681" s="257">
        <v>45603</v>
      </c>
      <c r="M681" s="317" t="s">
        <v>458</v>
      </c>
      <c r="N681" s="317">
        <v>25</v>
      </c>
      <c r="O681" s="280"/>
      <c r="P681" s="512" t="s">
        <v>172</v>
      </c>
      <c r="Q681" s="512" t="s">
        <v>172</v>
      </c>
    </row>
    <row r="682" spans="2:17" ht="12.75" customHeight="1" x14ac:dyDescent="0.2">
      <c r="B682" s="317">
        <v>38</v>
      </c>
      <c r="C682" s="291" t="s">
        <v>287</v>
      </c>
      <c r="D682" s="257" t="s">
        <v>29</v>
      </c>
      <c r="E682" s="257" t="s">
        <v>30</v>
      </c>
      <c r="F682" s="257">
        <v>45592</v>
      </c>
      <c r="G682" s="334">
        <v>36.369999999999997</v>
      </c>
      <c r="H682" s="716" t="s">
        <v>172</v>
      </c>
      <c r="I682" s="716"/>
      <c r="J682" s="716"/>
      <c r="K682" s="716"/>
      <c r="L682" s="257">
        <v>45608</v>
      </c>
      <c r="M682" s="317" t="s">
        <v>443</v>
      </c>
      <c r="N682" s="317">
        <v>25</v>
      </c>
      <c r="O682" s="280"/>
      <c r="P682" s="512" t="s">
        <v>172</v>
      </c>
      <c r="Q682" s="512" t="s">
        <v>172</v>
      </c>
    </row>
    <row r="683" spans="2:17" x14ac:dyDescent="0.2">
      <c r="B683" s="317">
        <v>39</v>
      </c>
      <c r="C683" s="291" t="s">
        <v>338</v>
      </c>
      <c r="D683" s="257" t="s">
        <v>29</v>
      </c>
      <c r="E683" s="257" t="s">
        <v>336</v>
      </c>
      <c r="F683" s="257">
        <v>45604</v>
      </c>
      <c r="G683" s="334">
        <v>36.369999999999997</v>
      </c>
      <c r="H683" s="716" t="s">
        <v>172</v>
      </c>
      <c r="I683" s="716"/>
      <c r="J683" s="716"/>
      <c r="K683" s="716"/>
      <c r="L683" s="257">
        <v>45609</v>
      </c>
      <c r="M683" s="317" t="s">
        <v>471</v>
      </c>
      <c r="N683" s="317">
        <v>24</v>
      </c>
      <c r="O683" s="280"/>
      <c r="P683" s="512" t="s">
        <v>172</v>
      </c>
      <c r="Q683" s="512" t="s">
        <v>172</v>
      </c>
    </row>
    <row r="684" spans="2:17" ht="12.75" customHeight="1" x14ac:dyDescent="0.2">
      <c r="B684" s="317">
        <v>40</v>
      </c>
      <c r="C684" s="291" t="s">
        <v>115</v>
      </c>
      <c r="D684" s="257" t="s">
        <v>29</v>
      </c>
      <c r="E684" s="257" t="s">
        <v>337</v>
      </c>
      <c r="F684" s="257">
        <v>45603</v>
      </c>
      <c r="G684" s="334">
        <v>36.369999999999997</v>
      </c>
      <c r="H684" s="716" t="s">
        <v>172</v>
      </c>
      <c r="I684" s="716"/>
      <c r="J684" s="716"/>
      <c r="K684" s="716"/>
      <c r="L684" s="257">
        <v>45610</v>
      </c>
      <c r="M684" s="317" t="s">
        <v>437</v>
      </c>
      <c r="N684" s="317">
        <v>24</v>
      </c>
      <c r="O684" s="280"/>
      <c r="P684" s="512" t="s">
        <v>172</v>
      </c>
      <c r="Q684" s="512" t="s">
        <v>172</v>
      </c>
    </row>
    <row r="685" spans="2:17" x14ac:dyDescent="0.2">
      <c r="B685" s="317">
        <v>41</v>
      </c>
      <c r="C685" s="291" t="s">
        <v>63</v>
      </c>
      <c r="D685" s="257" t="s">
        <v>43</v>
      </c>
      <c r="E685" s="257" t="s">
        <v>336</v>
      </c>
      <c r="F685" s="257">
        <v>45605</v>
      </c>
      <c r="G685" s="334">
        <v>43.08</v>
      </c>
      <c r="H685" s="716" t="s">
        <v>172</v>
      </c>
      <c r="I685" s="716"/>
      <c r="J685" s="716"/>
      <c r="K685" s="716"/>
      <c r="L685" s="257">
        <v>45610</v>
      </c>
      <c r="M685" s="317" t="s">
        <v>453</v>
      </c>
      <c r="N685" s="317">
        <v>25</v>
      </c>
      <c r="O685" s="280"/>
      <c r="P685" s="512" t="s">
        <v>172</v>
      </c>
      <c r="Q685" s="512" t="s">
        <v>172</v>
      </c>
    </row>
    <row r="686" spans="2:17" x14ac:dyDescent="0.2">
      <c r="B686" s="317">
        <v>42</v>
      </c>
      <c r="C686" s="291" t="s">
        <v>177</v>
      </c>
      <c r="D686" s="335" t="s">
        <v>135</v>
      </c>
      <c r="E686" s="257" t="s">
        <v>30</v>
      </c>
      <c r="F686" s="257">
        <v>45601</v>
      </c>
      <c r="G686" s="334">
        <v>54.66</v>
      </c>
      <c r="H686" s="716" t="s">
        <v>172</v>
      </c>
      <c r="I686" s="716"/>
      <c r="J686" s="716"/>
      <c r="K686" s="716"/>
      <c r="L686" s="257">
        <v>45611</v>
      </c>
      <c r="M686" s="317" t="s">
        <v>451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43</v>
      </c>
      <c r="C687" s="291" t="s">
        <v>37</v>
      </c>
      <c r="D687" s="257" t="s">
        <v>29</v>
      </c>
      <c r="E687" s="257" t="s">
        <v>337</v>
      </c>
      <c r="F687" s="257">
        <v>45609</v>
      </c>
      <c r="G687" s="334">
        <v>36.369999999999997</v>
      </c>
      <c r="H687" s="716" t="s">
        <v>172</v>
      </c>
      <c r="I687" s="716"/>
      <c r="J687" s="716"/>
      <c r="K687" s="716"/>
      <c r="L687" s="257">
        <v>45614</v>
      </c>
      <c r="M687" s="317" t="s">
        <v>471</v>
      </c>
      <c r="N687" s="317">
        <v>22</v>
      </c>
      <c r="O687" s="280"/>
      <c r="P687" s="512" t="s">
        <v>172</v>
      </c>
      <c r="Q687" s="512" t="s">
        <v>172</v>
      </c>
    </row>
    <row r="688" spans="2:17" x14ac:dyDescent="0.2">
      <c r="B688" s="317">
        <v>44</v>
      </c>
      <c r="C688" s="291" t="s">
        <v>118</v>
      </c>
      <c r="D688" s="257" t="s">
        <v>43</v>
      </c>
      <c r="E688" s="257" t="s">
        <v>337</v>
      </c>
      <c r="F688" s="257">
        <v>45611</v>
      </c>
      <c r="G688" s="334">
        <v>43.08</v>
      </c>
      <c r="H688" s="716" t="s">
        <v>172</v>
      </c>
      <c r="I688" s="716"/>
      <c r="J688" s="716"/>
      <c r="K688" s="716"/>
      <c r="L688" s="257">
        <v>45616</v>
      </c>
      <c r="M688" s="317" t="s">
        <v>453</v>
      </c>
      <c r="N688" s="317">
        <v>25</v>
      </c>
      <c r="O688" s="280"/>
      <c r="P688" s="512" t="s">
        <v>172</v>
      </c>
      <c r="Q688" s="512" t="s">
        <v>172</v>
      </c>
    </row>
    <row r="689" spans="2:17" ht="12.75" customHeight="1" x14ac:dyDescent="0.2">
      <c r="B689" s="317">
        <v>45</v>
      </c>
      <c r="C689" s="291" t="s">
        <v>64</v>
      </c>
      <c r="D689" s="257" t="s">
        <v>29</v>
      </c>
      <c r="E689" s="257" t="s">
        <v>337</v>
      </c>
      <c r="F689" s="257">
        <v>45610</v>
      </c>
      <c r="G689" s="334">
        <v>36.369999999999997</v>
      </c>
      <c r="H689" s="716" t="s">
        <v>172</v>
      </c>
      <c r="I689" s="716"/>
      <c r="J689" s="716"/>
      <c r="K689" s="716"/>
      <c r="L689" s="257">
        <v>45617</v>
      </c>
      <c r="M689" s="317" t="s">
        <v>437</v>
      </c>
      <c r="N689" s="317">
        <v>23</v>
      </c>
      <c r="O689" s="280"/>
      <c r="P689" s="512" t="s">
        <v>172</v>
      </c>
      <c r="Q689" s="512" t="s">
        <v>172</v>
      </c>
    </row>
    <row r="690" spans="2:17" x14ac:dyDescent="0.2">
      <c r="B690" s="317">
        <v>46</v>
      </c>
      <c r="C690" s="291" t="s">
        <v>137</v>
      </c>
      <c r="D690" s="257" t="s">
        <v>131</v>
      </c>
      <c r="E690" s="257" t="s">
        <v>337</v>
      </c>
      <c r="F690" s="257">
        <v>45615</v>
      </c>
      <c r="G690" s="334">
        <v>54.66</v>
      </c>
      <c r="H690" s="716" t="s">
        <v>172</v>
      </c>
      <c r="I690" s="716"/>
      <c r="J690" s="716"/>
      <c r="K690" s="716"/>
      <c r="L690" s="257">
        <v>45620</v>
      </c>
      <c r="M690" s="317" t="s">
        <v>476</v>
      </c>
      <c r="N690" s="317">
        <v>22</v>
      </c>
      <c r="O690" s="280"/>
      <c r="P690" s="512" t="s">
        <v>172</v>
      </c>
      <c r="Q690" s="512" t="s">
        <v>172</v>
      </c>
    </row>
    <row r="691" spans="2:17" x14ac:dyDescent="0.2">
      <c r="B691" s="317">
        <v>47</v>
      </c>
      <c r="C691" s="291" t="s">
        <v>166</v>
      </c>
      <c r="D691" s="257" t="s">
        <v>167</v>
      </c>
      <c r="E691" s="257" t="s">
        <v>432</v>
      </c>
      <c r="F691" s="257">
        <v>45612</v>
      </c>
      <c r="G691" s="334">
        <v>37.93</v>
      </c>
      <c r="H691" s="716" t="s">
        <v>172</v>
      </c>
      <c r="I691" s="716"/>
      <c r="J691" s="716"/>
      <c r="K691" s="716"/>
      <c r="L691" s="257">
        <v>45621</v>
      </c>
      <c r="M691" s="317" t="s">
        <v>475</v>
      </c>
      <c r="N691" s="317">
        <v>25</v>
      </c>
      <c r="O691" s="280"/>
      <c r="P691" s="323"/>
      <c r="Q691" s="512" t="s">
        <v>172</v>
      </c>
    </row>
    <row r="692" spans="2:17" x14ac:dyDescent="0.2">
      <c r="B692" s="317">
        <v>48</v>
      </c>
      <c r="C692" s="291" t="s">
        <v>160</v>
      </c>
      <c r="D692" s="257" t="s">
        <v>131</v>
      </c>
      <c r="E692" s="257" t="s">
        <v>337</v>
      </c>
      <c r="F692" s="257">
        <v>45617</v>
      </c>
      <c r="G692" s="334">
        <v>54.66</v>
      </c>
      <c r="H692" s="716" t="s">
        <v>172</v>
      </c>
      <c r="I692" s="716"/>
      <c r="J692" s="716"/>
      <c r="K692" s="716"/>
      <c r="L692" s="257">
        <v>45622</v>
      </c>
      <c r="M692" s="317" t="s">
        <v>453</v>
      </c>
      <c r="N692" s="317">
        <v>25</v>
      </c>
      <c r="O692" s="280"/>
      <c r="P692" s="512" t="s">
        <v>172</v>
      </c>
      <c r="Q692" s="512" t="s">
        <v>172</v>
      </c>
    </row>
    <row r="693" spans="2:17" ht="12.75" customHeight="1" x14ac:dyDescent="0.2">
      <c r="B693" s="317">
        <v>49</v>
      </c>
      <c r="C693" s="291" t="s">
        <v>178</v>
      </c>
      <c r="D693" s="257" t="s">
        <v>131</v>
      </c>
      <c r="E693" s="257" t="s">
        <v>337</v>
      </c>
      <c r="F693" s="257">
        <v>45618</v>
      </c>
      <c r="G693" s="334">
        <v>54.66</v>
      </c>
      <c r="H693" s="716" t="s">
        <v>172</v>
      </c>
      <c r="I693" s="716"/>
      <c r="J693" s="716"/>
      <c r="K693" s="716"/>
      <c r="L693" s="257">
        <v>45626</v>
      </c>
      <c r="M693" s="317" t="s">
        <v>437</v>
      </c>
      <c r="N693" s="317">
        <v>23</v>
      </c>
      <c r="O693" s="280"/>
      <c r="P693" s="512" t="s">
        <v>172</v>
      </c>
      <c r="Q693" s="512" t="s">
        <v>172</v>
      </c>
    </row>
    <row r="694" spans="2:17" x14ac:dyDescent="0.2">
      <c r="B694" s="317">
        <v>50</v>
      </c>
      <c r="C694" s="291" t="s">
        <v>134</v>
      </c>
      <c r="D694" s="257" t="s">
        <v>135</v>
      </c>
      <c r="E694" s="257" t="s">
        <v>337</v>
      </c>
      <c r="F694" s="257">
        <v>45620</v>
      </c>
      <c r="G694" s="334">
        <v>54.66</v>
      </c>
      <c r="H694" s="716" t="s">
        <v>172</v>
      </c>
      <c r="I694" s="716"/>
      <c r="J694" s="716"/>
      <c r="K694" s="716"/>
      <c r="L694" s="257">
        <v>45626</v>
      </c>
      <c r="M694" s="317" t="s">
        <v>476</v>
      </c>
      <c r="N694" s="317">
        <v>22</v>
      </c>
      <c r="O694" s="280"/>
      <c r="P694" s="512" t="s">
        <v>172</v>
      </c>
      <c r="Q694" s="512" t="s">
        <v>172</v>
      </c>
    </row>
    <row r="695" spans="2:17" x14ac:dyDescent="0.2">
      <c r="B695" s="317">
        <v>51</v>
      </c>
      <c r="C695" s="291" t="s">
        <v>171</v>
      </c>
      <c r="D695" s="257" t="s">
        <v>29</v>
      </c>
      <c r="E695" s="257" t="s">
        <v>336</v>
      </c>
      <c r="F695" s="257">
        <v>45622</v>
      </c>
      <c r="G695" s="334">
        <v>36.369999999999997</v>
      </c>
      <c r="H695" s="716" t="s">
        <v>172</v>
      </c>
      <c r="I695" s="716"/>
      <c r="J695" s="716"/>
      <c r="K695" s="716"/>
      <c r="L695" s="254">
        <v>45628</v>
      </c>
      <c r="M695" s="317" t="s">
        <v>453</v>
      </c>
      <c r="N695" s="317">
        <v>25</v>
      </c>
      <c r="O695" s="280"/>
      <c r="P695" s="512" t="s">
        <v>172</v>
      </c>
      <c r="Q695" s="512" t="s">
        <v>172</v>
      </c>
    </row>
    <row r="696" spans="2:17" ht="12.75" customHeight="1" x14ac:dyDescent="0.2">
      <c r="B696" s="317">
        <v>52</v>
      </c>
      <c r="C696" s="291" t="s">
        <v>112</v>
      </c>
      <c r="D696" s="257" t="s">
        <v>34</v>
      </c>
      <c r="E696" s="257" t="s">
        <v>337</v>
      </c>
      <c r="F696" s="257">
        <v>45608</v>
      </c>
      <c r="G696" s="334">
        <v>37.93</v>
      </c>
      <c r="H696" s="716" t="s">
        <v>172</v>
      </c>
      <c r="I696" s="716"/>
      <c r="J696" s="716"/>
      <c r="K696" s="716"/>
      <c r="L696" s="254">
        <v>45631</v>
      </c>
      <c r="M696" s="317" t="s">
        <v>443</v>
      </c>
      <c r="N696" s="317">
        <v>23</v>
      </c>
      <c r="O696" s="280"/>
      <c r="P696" s="512" t="s">
        <v>172</v>
      </c>
      <c r="Q696" s="512" t="s">
        <v>172</v>
      </c>
    </row>
    <row r="697" spans="2:17" x14ac:dyDescent="0.2">
      <c r="B697" s="317">
        <v>53</v>
      </c>
      <c r="C697" s="291" t="s">
        <v>129</v>
      </c>
      <c r="D697" s="257" t="s">
        <v>29</v>
      </c>
      <c r="E697" s="257" t="s">
        <v>337</v>
      </c>
      <c r="F697" s="254">
        <v>45629</v>
      </c>
      <c r="G697" s="258">
        <v>36.369999999999997</v>
      </c>
      <c r="H697" s="716" t="s">
        <v>172</v>
      </c>
      <c r="I697" s="716"/>
      <c r="J697" s="716"/>
      <c r="K697" s="716"/>
      <c r="L697" s="254">
        <v>45632</v>
      </c>
      <c r="M697" s="317" t="s">
        <v>453</v>
      </c>
      <c r="N697" s="317">
        <v>25</v>
      </c>
      <c r="O697" s="280"/>
      <c r="P697" s="512" t="s">
        <v>172</v>
      </c>
      <c r="Q697" s="512" t="s">
        <v>172</v>
      </c>
    </row>
    <row r="698" spans="2:17" ht="12.75" customHeight="1" x14ac:dyDescent="0.2">
      <c r="B698" s="317">
        <v>54</v>
      </c>
      <c r="C698" s="291" t="s">
        <v>58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716" t="s">
        <v>172</v>
      </c>
      <c r="I698" s="716"/>
      <c r="J698" s="716"/>
      <c r="K698" s="716"/>
      <c r="L698" s="254">
        <v>45634</v>
      </c>
      <c r="M698" s="317" t="s">
        <v>476</v>
      </c>
      <c r="N698" s="317">
        <v>22</v>
      </c>
      <c r="O698" s="280"/>
      <c r="P698" s="512" t="s">
        <v>172</v>
      </c>
      <c r="Q698" s="512" t="s">
        <v>172</v>
      </c>
    </row>
    <row r="699" spans="2:17" x14ac:dyDescent="0.2">
      <c r="B699" s="317">
        <v>55</v>
      </c>
      <c r="C699" s="291" t="s">
        <v>33</v>
      </c>
      <c r="D699" s="257" t="s">
        <v>34</v>
      </c>
      <c r="E699" s="257" t="s">
        <v>337</v>
      </c>
      <c r="F699" s="254">
        <v>45629</v>
      </c>
      <c r="G699" s="258">
        <v>37.93</v>
      </c>
      <c r="H699" s="716" t="s">
        <v>172</v>
      </c>
      <c r="I699" s="716"/>
      <c r="J699" s="716"/>
      <c r="K699" s="716"/>
      <c r="L699" s="254">
        <v>45637</v>
      </c>
      <c r="M699" s="317" t="s">
        <v>453</v>
      </c>
      <c r="N699" s="317">
        <v>25</v>
      </c>
      <c r="O699" s="280"/>
      <c r="P699" s="512" t="s">
        <v>172</v>
      </c>
      <c r="Q699" s="512" t="s">
        <v>172</v>
      </c>
    </row>
    <row r="700" spans="2:17" x14ac:dyDescent="0.2">
      <c r="B700" s="317">
        <v>56</v>
      </c>
      <c r="C700" s="291" t="s">
        <v>345</v>
      </c>
      <c r="D700" s="257" t="s">
        <v>29</v>
      </c>
      <c r="E700" s="257" t="s">
        <v>337</v>
      </c>
      <c r="F700" s="254">
        <v>45635</v>
      </c>
      <c r="G700" s="258">
        <v>36.369999999999997</v>
      </c>
      <c r="H700" s="716" t="s">
        <v>172</v>
      </c>
      <c r="I700" s="716"/>
      <c r="J700" s="716"/>
      <c r="K700" s="716"/>
      <c r="L700" s="254">
        <v>45639</v>
      </c>
      <c r="M700" s="317" t="s">
        <v>476</v>
      </c>
      <c r="N700" s="317">
        <v>22</v>
      </c>
      <c r="O700" s="280"/>
      <c r="P700" s="512" t="s">
        <v>172</v>
      </c>
      <c r="Q700" s="512" t="s">
        <v>172</v>
      </c>
    </row>
    <row r="701" spans="2:17" x14ac:dyDescent="0.2">
      <c r="B701" s="317">
        <v>57</v>
      </c>
      <c r="C701" s="291" t="s">
        <v>330</v>
      </c>
      <c r="D701" s="257" t="s">
        <v>34</v>
      </c>
      <c r="E701" s="257" t="s">
        <v>337</v>
      </c>
      <c r="F701" s="254">
        <v>45637</v>
      </c>
      <c r="G701" s="258">
        <v>37.93</v>
      </c>
      <c r="H701" s="716" t="s">
        <v>172</v>
      </c>
      <c r="I701" s="716"/>
      <c r="J701" s="716"/>
      <c r="K701" s="716"/>
      <c r="L701" s="254">
        <v>45641</v>
      </c>
      <c r="M701" s="317" t="s">
        <v>453</v>
      </c>
      <c r="N701" s="317">
        <v>25</v>
      </c>
      <c r="O701" s="280"/>
      <c r="P701" s="323" t="s">
        <v>172</v>
      </c>
      <c r="Q701" s="512" t="s">
        <v>172</v>
      </c>
    </row>
    <row r="702" spans="2:17" ht="12.75" customHeight="1" x14ac:dyDescent="0.2">
      <c r="B702" s="317">
        <v>58</v>
      </c>
      <c r="C702" s="291" t="s">
        <v>329</v>
      </c>
      <c r="D702" s="257" t="s">
        <v>29</v>
      </c>
      <c r="E702" s="257" t="s">
        <v>337</v>
      </c>
      <c r="F702" s="254">
        <v>45642</v>
      </c>
      <c r="G702" s="258">
        <v>36.369999999999997</v>
      </c>
      <c r="H702" s="716" t="s">
        <v>172</v>
      </c>
      <c r="I702" s="716"/>
      <c r="J702" s="716"/>
      <c r="K702" s="716"/>
      <c r="L702" s="254">
        <v>45644</v>
      </c>
      <c r="M702" s="317" t="s">
        <v>453</v>
      </c>
      <c r="N702" s="317">
        <v>23</v>
      </c>
      <c r="O702" s="280"/>
      <c r="P702" s="323" t="s">
        <v>172</v>
      </c>
      <c r="Q702" s="512" t="s">
        <v>172</v>
      </c>
    </row>
    <row r="703" spans="2:17" x14ac:dyDescent="0.2">
      <c r="B703" s="317">
        <v>59</v>
      </c>
      <c r="C703" s="291" t="s">
        <v>348</v>
      </c>
      <c r="D703" s="257" t="s">
        <v>29</v>
      </c>
      <c r="E703" s="257" t="s">
        <v>337</v>
      </c>
      <c r="F703" s="254">
        <v>45641</v>
      </c>
      <c r="G703" s="258">
        <v>36.369999999999997</v>
      </c>
      <c r="H703" s="716" t="s">
        <v>172</v>
      </c>
      <c r="I703" s="716"/>
      <c r="J703" s="716"/>
      <c r="K703" s="716"/>
      <c r="L703" s="254">
        <v>45645</v>
      </c>
      <c r="M703" s="317" t="s">
        <v>476</v>
      </c>
      <c r="N703" s="317">
        <v>25</v>
      </c>
      <c r="O703" s="280"/>
      <c r="P703" s="512" t="s">
        <v>172</v>
      </c>
      <c r="Q703" s="512" t="s">
        <v>172</v>
      </c>
    </row>
    <row r="704" spans="2:17" ht="14.25" customHeight="1" x14ac:dyDescent="0.2">
      <c r="B704" s="317">
        <v>60</v>
      </c>
      <c r="C704" s="291" t="s">
        <v>326</v>
      </c>
      <c r="D704" s="257" t="s">
        <v>29</v>
      </c>
      <c r="E704" s="280" t="s">
        <v>455</v>
      </c>
      <c r="F704" s="290">
        <v>45645</v>
      </c>
      <c r="G704" s="280">
        <v>36.369999999999997</v>
      </c>
      <c r="H704" s="716" t="s">
        <v>172</v>
      </c>
      <c r="I704" s="716"/>
      <c r="J704" s="716"/>
      <c r="K704" s="716"/>
      <c r="L704" s="254">
        <v>45648</v>
      </c>
      <c r="M704" s="317" t="s">
        <v>453</v>
      </c>
      <c r="N704" s="317">
        <v>22</v>
      </c>
      <c r="O704" s="280"/>
      <c r="P704" s="512" t="s">
        <v>172</v>
      </c>
      <c r="Q704" s="512" t="s">
        <v>172</v>
      </c>
    </row>
    <row r="705" spans="2:17" ht="12.75" customHeight="1" x14ac:dyDescent="0.2">
      <c r="B705" s="317">
        <v>61</v>
      </c>
      <c r="C705" s="335" t="s">
        <v>325</v>
      </c>
      <c r="D705" s="257" t="s">
        <v>29</v>
      </c>
      <c r="E705" s="257" t="s">
        <v>337</v>
      </c>
      <c r="F705" s="290">
        <v>45649</v>
      </c>
      <c r="G705" s="280">
        <v>36.369999999999997</v>
      </c>
      <c r="H705" s="716" t="s">
        <v>172</v>
      </c>
      <c r="I705" s="716"/>
      <c r="J705" s="716"/>
      <c r="K705" s="716"/>
      <c r="L705" s="254">
        <v>45651</v>
      </c>
      <c r="M705" s="317" t="s">
        <v>453</v>
      </c>
      <c r="N705" s="317">
        <v>25</v>
      </c>
      <c r="O705" s="280"/>
      <c r="P705" s="512" t="s">
        <v>172</v>
      </c>
      <c r="Q705" s="512" t="s">
        <v>172</v>
      </c>
    </row>
    <row r="706" spans="2:17" s="221" customFormat="1" x14ac:dyDescent="0.2">
      <c r="B706" s="317">
        <v>62</v>
      </c>
      <c r="C706" s="291" t="s">
        <v>46</v>
      </c>
      <c r="D706" s="257" t="s">
        <v>47</v>
      </c>
      <c r="E706" s="257" t="s">
        <v>337</v>
      </c>
      <c r="F706" s="290">
        <v>45646</v>
      </c>
      <c r="G706" s="280">
        <v>44.825000000000003</v>
      </c>
      <c r="H706" s="716" t="s">
        <v>172</v>
      </c>
      <c r="I706" s="716"/>
      <c r="J706" s="716"/>
      <c r="K706" s="716"/>
      <c r="L706" s="254">
        <v>45651</v>
      </c>
      <c r="M706" s="280" t="s">
        <v>471</v>
      </c>
      <c r="N706" s="317">
        <v>22</v>
      </c>
      <c r="O706" s="280"/>
      <c r="P706" s="512" t="s">
        <v>172</v>
      </c>
      <c r="Q706" s="512" t="s">
        <v>172</v>
      </c>
    </row>
    <row r="707" spans="2:17" s="221" customFormat="1" ht="12.75" customHeight="1" x14ac:dyDescent="0.2">
      <c r="B707" s="317">
        <v>63</v>
      </c>
      <c r="C707" s="291" t="s">
        <v>182</v>
      </c>
      <c r="D707" s="257" t="s">
        <v>34</v>
      </c>
      <c r="E707" s="257" t="s">
        <v>337</v>
      </c>
      <c r="F707" s="290">
        <v>45638</v>
      </c>
      <c r="G707" s="280">
        <v>37.93</v>
      </c>
      <c r="H707" s="716" t="s">
        <v>172</v>
      </c>
      <c r="I707" s="716"/>
      <c r="J707" s="716"/>
      <c r="K707" s="716"/>
      <c r="L707" s="290">
        <v>45654</v>
      </c>
      <c r="M707" s="280" t="s">
        <v>443</v>
      </c>
      <c r="N707" s="317">
        <v>23</v>
      </c>
      <c r="O707" s="280"/>
      <c r="P707" s="323"/>
      <c r="Q707" s="512"/>
    </row>
    <row r="708" spans="2:17" s="221" customFormat="1" ht="12.75" customHeight="1" x14ac:dyDescent="0.2">
      <c r="B708" s="317">
        <v>64</v>
      </c>
      <c r="C708" s="335" t="s">
        <v>324</v>
      </c>
      <c r="D708" s="257" t="s">
        <v>29</v>
      </c>
      <c r="E708" s="257" t="s">
        <v>337</v>
      </c>
      <c r="F708" s="290">
        <v>45652</v>
      </c>
      <c r="G708" s="280">
        <v>36.369999999999997</v>
      </c>
      <c r="H708" s="716" t="s">
        <v>172</v>
      </c>
      <c r="I708" s="716"/>
      <c r="J708" s="716"/>
      <c r="K708" s="716"/>
      <c r="L708" s="290">
        <v>45654</v>
      </c>
      <c r="M708" s="317" t="s">
        <v>453</v>
      </c>
      <c r="N708" s="317">
        <v>25</v>
      </c>
      <c r="O708" s="280"/>
      <c r="P708" s="512" t="s">
        <v>172</v>
      </c>
      <c r="Q708" s="512" t="s">
        <v>172</v>
      </c>
    </row>
    <row r="709" spans="2:17" s="221" customFormat="1" x14ac:dyDescent="0.2">
      <c r="B709" s="317">
        <v>65</v>
      </c>
      <c r="C709" s="291" t="s">
        <v>355</v>
      </c>
      <c r="D709" s="257" t="s">
        <v>34</v>
      </c>
      <c r="E709" s="257" t="s">
        <v>337</v>
      </c>
      <c r="F709" s="290">
        <v>45652</v>
      </c>
      <c r="G709" s="280">
        <v>37.93</v>
      </c>
      <c r="H709" s="716" t="s">
        <v>172</v>
      </c>
      <c r="I709" s="716"/>
      <c r="J709" s="716"/>
      <c r="K709" s="716"/>
      <c r="L709" s="290">
        <v>45657</v>
      </c>
      <c r="M709" s="280" t="s">
        <v>471</v>
      </c>
      <c r="N709" s="317">
        <v>22</v>
      </c>
      <c r="O709" s="280"/>
      <c r="P709" s="512" t="s">
        <v>172</v>
      </c>
      <c r="Q709" s="512" t="s">
        <v>172</v>
      </c>
    </row>
    <row r="710" spans="2:17" s="221" customFormat="1" ht="12.75" customHeight="1" x14ac:dyDescent="0.2">
      <c r="B710" s="317">
        <v>66</v>
      </c>
      <c r="C710" s="291" t="s">
        <v>323</v>
      </c>
      <c r="D710" s="257" t="s">
        <v>131</v>
      </c>
      <c r="E710" s="257" t="s">
        <v>337</v>
      </c>
      <c r="F710" s="290">
        <v>45653</v>
      </c>
      <c r="G710" s="280">
        <v>54.66</v>
      </c>
      <c r="H710" s="716" t="s">
        <v>172</v>
      </c>
      <c r="I710" s="716"/>
      <c r="J710" s="716"/>
      <c r="K710" s="716"/>
      <c r="L710" s="290">
        <v>45660</v>
      </c>
      <c r="M710" s="280" t="s">
        <v>453</v>
      </c>
      <c r="N710" s="317">
        <v>25</v>
      </c>
      <c r="O710" s="280"/>
      <c r="P710" s="512" t="s">
        <v>172</v>
      </c>
      <c r="Q710" s="512" t="s">
        <v>172</v>
      </c>
    </row>
    <row r="711" spans="2:17" s="221" customFormat="1" x14ac:dyDescent="0.2">
      <c r="B711" s="317">
        <v>67</v>
      </c>
      <c r="C711" s="291" t="s">
        <v>354</v>
      </c>
      <c r="D711" s="257" t="s">
        <v>34</v>
      </c>
      <c r="E711" s="257" t="s">
        <v>336</v>
      </c>
      <c r="F711" s="290">
        <v>45628</v>
      </c>
      <c r="G711" s="280">
        <v>37.93</v>
      </c>
      <c r="H711" s="716" t="s">
        <v>172</v>
      </c>
      <c r="I711" s="716"/>
      <c r="J711" s="716"/>
      <c r="K711" s="716"/>
      <c r="L711" s="290">
        <v>45663</v>
      </c>
      <c r="M711" s="280" t="s">
        <v>471</v>
      </c>
      <c r="N711" s="317">
        <v>26</v>
      </c>
      <c r="O711" s="280"/>
      <c r="P711" s="512" t="s">
        <v>172</v>
      </c>
      <c r="Q711" s="512" t="s">
        <v>172</v>
      </c>
    </row>
    <row r="712" spans="2:17" ht="12.75" customHeight="1" x14ac:dyDescent="0.2">
      <c r="B712" s="317">
        <v>68</v>
      </c>
      <c r="C712" s="291" t="s">
        <v>320</v>
      </c>
      <c r="D712" s="257" t="s">
        <v>34</v>
      </c>
      <c r="E712" s="257" t="s">
        <v>336</v>
      </c>
      <c r="F712" s="290">
        <v>45660</v>
      </c>
      <c r="G712" s="280">
        <v>37.93</v>
      </c>
      <c r="H712" s="716" t="s">
        <v>172</v>
      </c>
      <c r="I712" s="716"/>
      <c r="J712" s="716"/>
      <c r="K712" s="716"/>
      <c r="L712" s="290">
        <v>45665</v>
      </c>
      <c r="M712" s="280" t="s">
        <v>453</v>
      </c>
      <c r="N712" s="317">
        <v>27</v>
      </c>
      <c r="O712" s="280"/>
      <c r="P712" s="323"/>
      <c r="Q712" s="512" t="s">
        <v>172</v>
      </c>
    </row>
    <row r="713" spans="2:17" s="221" customFormat="1" x14ac:dyDescent="0.2">
      <c r="B713" s="317">
        <v>69</v>
      </c>
      <c r="C713" s="291" t="s">
        <v>334</v>
      </c>
      <c r="D713" s="317" t="s">
        <v>29</v>
      </c>
      <c r="E713" s="317" t="s">
        <v>30</v>
      </c>
      <c r="F713" s="290">
        <v>45654</v>
      </c>
      <c r="G713" s="280">
        <v>36.369999999999997</v>
      </c>
      <c r="H713" s="716" t="s">
        <v>172</v>
      </c>
      <c r="I713" s="716"/>
      <c r="J713" s="716"/>
      <c r="K713" s="716"/>
      <c r="L713" s="254">
        <v>45670</v>
      </c>
      <c r="M713" s="280" t="s">
        <v>453</v>
      </c>
      <c r="N713" s="317">
        <v>25</v>
      </c>
      <c r="O713" s="280"/>
      <c r="P713" s="512" t="s">
        <v>172</v>
      </c>
      <c r="Q713" s="512" t="s">
        <v>172</v>
      </c>
    </row>
    <row r="714" spans="2:17" s="221" customFormat="1" x14ac:dyDescent="0.2">
      <c r="B714" s="317">
        <v>70</v>
      </c>
      <c r="C714" s="291" t="s">
        <v>351</v>
      </c>
      <c r="D714" s="317" t="s">
        <v>34</v>
      </c>
      <c r="E714" s="317" t="s">
        <v>30</v>
      </c>
      <c r="F714" s="290">
        <v>45661</v>
      </c>
      <c r="G714" s="280">
        <v>37.93</v>
      </c>
      <c r="H714" s="716" t="s">
        <v>172</v>
      </c>
      <c r="I714" s="716"/>
      <c r="J714" s="716"/>
      <c r="K714" s="716"/>
      <c r="L714" s="254">
        <v>45672</v>
      </c>
      <c r="M714" s="280" t="s">
        <v>476</v>
      </c>
      <c r="N714" s="317">
        <v>28</v>
      </c>
      <c r="O714" s="280"/>
      <c r="P714" s="512" t="s">
        <v>172</v>
      </c>
      <c r="Q714" s="512" t="s">
        <v>172</v>
      </c>
    </row>
    <row r="715" spans="2:17" ht="12.75" customHeight="1" x14ac:dyDescent="0.2">
      <c r="B715" s="317">
        <v>71</v>
      </c>
      <c r="C715" s="291" t="s">
        <v>284</v>
      </c>
      <c r="D715" s="317" t="s">
        <v>165</v>
      </c>
      <c r="E715" s="317" t="s">
        <v>455</v>
      </c>
      <c r="F715" s="254">
        <v>45659</v>
      </c>
      <c r="G715" s="280">
        <v>36.369999999999997</v>
      </c>
      <c r="H715" s="716" t="s">
        <v>172</v>
      </c>
      <c r="I715" s="716"/>
      <c r="J715" s="716"/>
      <c r="K715" s="716"/>
      <c r="L715" s="254">
        <v>45672</v>
      </c>
      <c r="M715" s="280" t="s">
        <v>443</v>
      </c>
      <c r="N715" s="258">
        <v>25</v>
      </c>
      <c r="O715" s="280"/>
      <c r="P715" s="323"/>
      <c r="Q715" s="512"/>
    </row>
    <row r="716" spans="2:17" ht="12.75" customHeight="1" x14ac:dyDescent="0.2">
      <c r="B716" s="317">
        <v>72</v>
      </c>
      <c r="C716" s="335" t="s">
        <v>313</v>
      </c>
      <c r="D716" s="257" t="s">
        <v>29</v>
      </c>
      <c r="E716" s="258" t="s">
        <v>463</v>
      </c>
      <c r="F716" s="290">
        <v>45671</v>
      </c>
      <c r="G716" s="280">
        <v>36.369999999999997</v>
      </c>
      <c r="H716" s="716" t="s">
        <v>172</v>
      </c>
      <c r="I716" s="716"/>
      <c r="J716" s="716"/>
      <c r="K716" s="716"/>
      <c r="L716" s="254">
        <v>45675</v>
      </c>
      <c r="M716" s="258" t="s">
        <v>453</v>
      </c>
      <c r="N716" s="258">
        <v>30</v>
      </c>
      <c r="O716" s="280"/>
      <c r="P716" s="323"/>
      <c r="Q716" s="512" t="s">
        <v>172</v>
      </c>
    </row>
    <row r="717" spans="2:17" x14ac:dyDescent="0.2">
      <c r="B717" s="317">
        <v>73</v>
      </c>
      <c r="C717" s="284" t="s">
        <v>346</v>
      </c>
      <c r="D717" s="317" t="s">
        <v>29</v>
      </c>
      <c r="E717" s="317" t="s">
        <v>30</v>
      </c>
      <c r="F717" s="290">
        <v>45673</v>
      </c>
      <c r="G717" s="280">
        <v>36.369999999999997</v>
      </c>
      <c r="H717" s="716" t="s">
        <v>172</v>
      </c>
      <c r="I717" s="716"/>
      <c r="J717" s="716"/>
      <c r="K717" s="716"/>
      <c r="L717" s="254">
        <v>45676</v>
      </c>
      <c r="M717" s="280" t="s">
        <v>476</v>
      </c>
      <c r="N717" s="258">
        <v>27</v>
      </c>
      <c r="O717" s="280"/>
      <c r="P717" s="512" t="s">
        <v>172</v>
      </c>
      <c r="Q717" s="512" t="s">
        <v>172</v>
      </c>
    </row>
    <row r="718" spans="2:17" s="221" customFormat="1" ht="12.75" customHeight="1" x14ac:dyDescent="0.2">
      <c r="B718" s="317">
        <v>74</v>
      </c>
      <c r="C718" s="291" t="s">
        <v>315</v>
      </c>
      <c r="D718" s="317" t="s">
        <v>34</v>
      </c>
      <c r="E718" s="317" t="s">
        <v>455</v>
      </c>
      <c r="F718" s="290">
        <v>45675</v>
      </c>
      <c r="G718" s="280">
        <v>37.93</v>
      </c>
      <c r="H718" s="716" t="s">
        <v>172</v>
      </c>
      <c r="I718" s="716"/>
      <c r="J718" s="716"/>
      <c r="K718" s="716"/>
      <c r="L718" s="254">
        <v>45679</v>
      </c>
      <c r="M718" s="280" t="s">
        <v>453</v>
      </c>
      <c r="N718" s="280">
        <v>30</v>
      </c>
      <c r="O718" s="280"/>
      <c r="P718" s="323"/>
      <c r="Q718" s="512" t="s">
        <v>172</v>
      </c>
    </row>
    <row r="719" spans="2:17" x14ac:dyDescent="0.2">
      <c r="B719" s="317">
        <v>75</v>
      </c>
      <c r="C719" s="291" t="s">
        <v>344</v>
      </c>
      <c r="D719" s="317" t="s">
        <v>29</v>
      </c>
      <c r="E719" s="280" t="s">
        <v>432</v>
      </c>
      <c r="F719" s="290">
        <v>45676</v>
      </c>
      <c r="G719" s="280">
        <v>36.369999999999997</v>
      </c>
      <c r="H719" s="716" t="s">
        <v>172</v>
      </c>
      <c r="I719" s="716"/>
      <c r="J719" s="716"/>
      <c r="K719" s="716"/>
      <c r="L719" s="254">
        <v>45680</v>
      </c>
      <c r="M719" s="280" t="s">
        <v>476</v>
      </c>
      <c r="N719" s="280">
        <v>27</v>
      </c>
      <c r="O719" s="280"/>
      <c r="P719" s="512" t="s">
        <v>172</v>
      </c>
      <c r="Q719" s="512" t="s">
        <v>172</v>
      </c>
    </row>
    <row r="720" spans="2:17" s="221" customFormat="1" ht="12.75" customHeight="1" x14ac:dyDescent="0.2">
      <c r="B720" s="317">
        <v>76</v>
      </c>
      <c r="C720" s="291" t="s">
        <v>317</v>
      </c>
      <c r="D720" s="317" t="s">
        <v>34</v>
      </c>
      <c r="E720" s="317" t="s">
        <v>456</v>
      </c>
      <c r="F720" s="290">
        <v>45679</v>
      </c>
      <c r="G720" s="280">
        <v>37.93</v>
      </c>
      <c r="H720" s="716" t="s">
        <v>172</v>
      </c>
      <c r="I720" s="716"/>
      <c r="J720" s="716"/>
      <c r="K720" s="716"/>
      <c r="L720" s="290">
        <v>45684</v>
      </c>
      <c r="M720" s="280" t="s">
        <v>453</v>
      </c>
      <c r="N720" s="280">
        <v>30</v>
      </c>
      <c r="O720" s="280"/>
      <c r="P720" s="323"/>
      <c r="Q720" s="512"/>
    </row>
    <row r="721" spans="2:17" x14ac:dyDescent="0.2">
      <c r="B721" s="317">
        <v>77</v>
      </c>
      <c r="C721" s="291" t="s">
        <v>357</v>
      </c>
      <c r="D721" s="317" t="s">
        <v>29</v>
      </c>
      <c r="E721" s="317" t="s">
        <v>30</v>
      </c>
      <c r="F721" s="290">
        <v>45680</v>
      </c>
      <c r="G721" s="280">
        <v>36.369999999999997</v>
      </c>
      <c r="H721" s="716" t="s">
        <v>172</v>
      </c>
      <c r="I721" s="716"/>
      <c r="J721" s="716"/>
      <c r="K721" s="716"/>
      <c r="L721" s="290">
        <v>45685</v>
      </c>
      <c r="M721" s="280" t="s">
        <v>476</v>
      </c>
      <c r="N721" s="280">
        <v>27</v>
      </c>
      <c r="O721" s="280"/>
      <c r="P721" s="512" t="s">
        <v>172</v>
      </c>
      <c r="Q721" s="512" t="s">
        <v>172</v>
      </c>
    </row>
    <row r="722" spans="2:17" ht="12.75" customHeight="1" x14ac:dyDescent="0.2">
      <c r="B722" s="317">
        <v>78</v>
      </c>
      <c r="C722" s="291" t="s">
        <v>280</v>
      </c>
      <c r="D722" s="317" t="s">
        <v>29</v>
      </c>
      <c r="E722" s="317" t="s">
        <v>30</v>
      </c>
      <c r="F722" s="290">
        <v>45673</v>
      </c>
      <c r="G722" s="280">
        <v>36.369999999999997</v>
      </c>
      <c r="H722" s="716" t="s">
        <v>172</v>
      </c>
      <c r="I722" s="716"/>
      <c r="J722" s="716"/>
      <c r="K722" s="716"/>
      <c r="L722" s="290">
        <v>45687</v>
      </c>
      <c r="M722" s="280" t="s">
        <v>443</v>
      </c>
      <c r="N722" s="280">
        <v>25</v>
      </c>
      <c r="O722" s="280"/>
      <c r="P722" s="323"/>
      <c r="Q722" s="512"/>
    </row>
    <row r="723" spans="2:17" ht="12.75" customHeight="1" x14ac:dyDescent="0.2">
      <c r="B723" s="317">
        <v>79</v>
      </c>
      <c r="C723" s="291" t="s">
        <v>316</v>
      </c>
      <c r="D723" s="317" t="s">
        <v>29</v>
      </c>
      <c r="E723" s="317" t="s">
        <v>456</v>
      </c>
      <c r="F723" s="290">
        <v>45679</v>
      </c>
      <c r="G723" s="280">
        <v>36.369999999999997</v>
      </c>
      <c r="H723" s="716" t="s">
        <v>172</v>
      </c>
      <c r="I723" s="716"/>
      <c r="J723" s="716"/>
      <c r="K723" s="716"/>
      <c r="L723" s="290">
        <v>45687</v>
      </c>
      <c r="M723" s="280" t="s">
        <v>453</v>
      </c>
      <c r="N723" s="280">
        <v>30</v>
      </c>
      <c r="O723" s="280"/>
      <c r="P723" s="323"/>
      <c r="Q723" s="512" t="s">
        <v>172</v>
      </c>
    </row>
    <row r="724" spans="2:17" x14ac:dyDescent="0.2">
      <c r="B724" s="317">
        <v>80</v>
      </c>
      <c r="C724" s="291" t="s">
        <v>359</v>
      </c>
      <c r="D724" s="317" t="s">
        <v>34</v>
      </c>
      <c r="E724" s="317" t="s">
        <v>30</v>
      </c>
      <c r="F724" s="290">
        <v>45685</v>
      </c>
      <c r="G724" s="280">
        <v>37.93</v>
      </c>
      <c r="H724" s="716" t="s">
        <v>172</v>
      </c>
      <c r="I724" s="716"/>
      <c r="J724" s="716"/>
      <c r="K724" s="716"/>
      <c r="L724" s="290">
        <v>45691</v>
      </c>
      <c r="M724" s="280" t="s">
        <v>476</v>
      </c>
      <c r="N724" s="280">
        <v>27</v>
      </c>
      <c r="O724" s="280"/>
      <c r="P724" s="512" t="s">
        <v>172</v>
      </c>
      <c r="Q724" s="512" t="s">
        <v>172</v>
      </c>
    </row>
    <row r="725" spans="2:17" ht="12.75" customHeight="1" x14ac:dyDescent="0.2">
      <c r="B725" s="317">
        <v>81</v>
      </c>
      <c r="C725" s="291" t="s">
        <v>308</v>
      </c>
      <c r="D725" s="317" t="s">
        <v>29</v>
      </c>
      <c r="E725" s="317" t="s">
        <v>462</v>
      </c>
      <c r="F725" s="290">
        <v>45687</v>
      </c>
      <c r="G725" s="280">
        <v>36.369999999999997</v>
      </c>
      <c r="H725" s="716" t="s">
        <v>172</v>
      </c>
      <c r="I725" s="716"/>
      <c r="J725" s="716"/>
      <c r="K725" s="716"/>
      <c r="L725" s="290">
        <v>45691</v>
      </c>
      <c r="M725" s="280" t="s">
        <v>453</v>
      </c>
      <c r="N725" s="280">
        <v>25</v>
      </c>
      <c r="O725" s="280"/>
      <c r="P725" s="323"/>
      <c r="Q725" s="512"/>
    </row>
    <row r="726" spans="2:17" ht="12.75" customHeight="1" x14ac:dyDescent="0.2">
      <c r="B726" s="317">
        <v>82</v>
      </c>
      <c r="C726" s="291" t="s">
        <v>290</v>
      </c>
      <c r="D726" s="317" t="s">
        <v>29</v>
      </c>
      <c r="E726" s="317" t="s">
        <v>456</v>
      </c>
      <c r="F726" s="290">
        <v>45692</v>
      </c>
      <c r="G726" s="280">
        <v>36.369999999999997</v>
      </c>
      <c r="H726" s="716" t="s">
        <v>172</v>
      </c>
      <c r="I726" s="716"/>
      <c r="J726" s="716"/>
      <c r="K726" s="716"/>
      <c r="L726" s="290">
        <v>45696</v>
      </c>
      <c r="M726" s="280" t="s">
        <v>453</v>
      </c>
      <c r="N726" s="280">
        <v>30</v>
      </c>
      <c r="O726" s="280"/>
      <c r="P726" s="323"/>
      <c r="Q726" s="512"/>
    </row>
    <row r="727" spans="2:17" x14ac:dyDescent="0.2">
      <c r="B727" s="317">
        <v>83</v>
      </c>
      <c r="C727" s="291" t="s">
        <v>362</v>
      </c>
      <c r="D727" s="317" t="s">
        <v>29</v>
      </c>
      <c r="E727" s="317" t="s">
        <v>337</v>
      </c>
      <c r="F727" s="290">
        <v>45692</v>
      </c>
      <c r="G727" s="280">
        <v>36.369999999999997</v>
      </c>
      <c r="H727" s="716" t="s">
        <v>172</v>
      </c>
      <c r="I727" s="716"/>
      <c r="J727" s="716"/>
      <c r="K727" s="716"/>
      <c r="L727" s="290">
        <v>45697</v>
      </c>
      <c r="M727" s="280" t="s">
        <v>476</v>
      </c>
      <c r="N727" s="280">
        <v>25</v>
      </c>
      <c r="O727" s="280"/>
      <c r="P727" s="512" t="s">
        <v>172</v>
      </c>
      <c r="Q727" s="512" t="s">
        <v>172</v>
      </c>
    </row>
    <row r="728" spans="2:17" ht="12.75" customHeight="1" x14ac:dyDescent="0.2">
      <c r="B728" s="317">
        <v>84</v>
      </c>
      <c r="C728" s="291" t="s">
        <v>169</v>
      </c>
      <c r="D728" s="317" t="s">
        <v>29</v>
      </c>
      <c r="E728" s="317" t="s">
        <v>337</v>
      </c>
      <c r="F728" s="290">
        <v>45687</v>
      </c>
      <c r="G728" s="280">
        <v>36.369999999999997</v>
      </c>
      <c r="H728" s="716" t="s">
        <v>172</v>
      </c>
      <c r="I728" s="716"/>
      <c r="J728" s="716"/>
      <c r="K728" s="716"/>
      <c r="L728" s="290">
        <v>45698</v>
      </c>
      <c r="M728" s="280" t="s">
        <v>443</v>
      </c>
      <c r="N728" s="280">
        <v>30</v>
      </c>
      <c r="O728" s="280"/>
      <c r="P728" s="323"/>
      <c r="Q728" s="512"/>
    </row>
    <row r="729" spans="2:17" ht="12.75" customHeight="1" x14ac:dyDescent="0.2">
      <c r="B729" s="317">
        <v>85</v>
      </c>
      <c r="C729" s="291" t="s">
        <v>289</v>
      </c>
      <c r="D729" s="317" t="s">
        <v>34</v>
      </c>
      <c r="E729" s="317" t="s">
        <v>455</v>
      </c>
      <c r="F729" s="254">
        <v>45697</v>
      </c>
      <c r="G729" s="280">
        <v>37.93</v>
      </c>
      <c r="H729" s="716" t="s">
        <v>172</v>
      </c>
      <c r="I729" s="716"/>
      <c r="J729" s="716"/>
      <c r="K729" s="716"/>
      <c r="L729" s="290">
        <v>45700</v>
      </c>
      <c r="M729" s="280" t="s">
        <v>453</v>
      </c>
      <c r="N729" s="280">
        <v>27</v>
      </c>
      <c r="O729" s="280"/>
      <c r="P729" s="323"/>
      <c r="Q729" s="512"/>
    </row>
    <row r="730" spans="2:17" x14ac:dyDescent="0.2">
      <c r="B730" s="317">
        <v>86</v>
      </c>
      <c r="C730" s="284" t="s">
        <v>363</v>
      </c>
      <c r="D730" s="317" t="s">
        <v>29</v>
      </c>
      <c r="E730" s="317" t="s">
        <v>432</v>
      </c>
      <c r="F730" s="254">
        <v>45698</v>
      </c>
      <c r="G730" s="280">
        <v>36.369999999999997</v>
      </c>
      <c r="H730" s="716" t="s">
        <v>172</v>
      </c>
      <c r="I730" s="716"/>
      <c r="J730" s="716"/>
      <c r="K730" s="716"/>
      <c r="L730" s="290">
        <v>45702</v>
      </c>
      <c r="M730" s="280" t="s">
        <v>476</v>
      </c>
      <c r="N730" s="280">
        <v>27</v>
      </c>
      <c r="O730" s="280"/>
      <c r="P730" s="512" t="s">
        <v>172</v>
      </c>
      <c r="Q730" s="512" t="s">
        <v>172</v>
      </c>
    </row>
    <row r="731" spans="2:17" x14ac:dyDescent="0.2">
      <c r="B731" s="317">
        <v>87</v>
      </c>
      <c r="C731" s="284" t="s">
        <v>339</v>
      </c>
      <c r="D731" s="317" t="s">
        <v>29</v>
      </c>
      <c r="E731" s="317" t="s">
        <v>30</v>
      </c>
      <c r="F731" s="254">
        <v>45698</v>
      </c>
      <c r="G731" s="280">
        <v>36.369999999999997</v>
      </c>
      <c r="H731" s="716" t="s">
        <v>172</v>
      </c>
      <c r="I731" s="716"/>
      <c r="J731" s="716"/>
      <c r="K731" s="716"/>
      <c r="L731" s="290">
        <v>45706</v>
      </c>
      <c r="M731" s="258" t="s">
        <v>614</v>
      </c>
      <c r="N731" s="280">
        <v>25</v>
      </c>
      <c r="O731" s="280"/>
      <c r="P731" s="512" t="s">
        <v>172</v>
      </c>
      <c r="Q731" s="512" t="s">
        <v>172</v>
      </c>
    </row>
    <row r="732" spans="2:17" ht="12.75" customHeight="1" x14ac:dyDescent="0.2">
      <c r="B732" s="317">
        <v>88</v>
      </c>
      <c r="C732" s="284" t="s">
        <v>291</v>
      </c>
      <c r="D732" s="317" t="s">
        <v>43</v>
      </c>
      <c r="E732" s="317" t="s">
        <v>456</v>
      </c>
      <c r="F732" s="254">
        <v>45701</v>
      </c>
      <c r="G732" s="258">
        <v>43.08</v>
      </c>
      <c r="H732" s="716" t="s">
        <v>172</v>
      </c>
      <c r="I732" s="716"/>
      <c r="J732" s="716"/>
      <c r="K732" s="716"/>
      <c r="L732" s="290">
        <v>45707</v>
      </c>
      <c r="M732" s="280" t="s">
        <v>453</v>
      </c>
      <c r="N732" s="280">
        <v>30</v>
      </c>
      <c r="O732" s="280"/>
      <c r="P732" s="323"/>
      <c r="Q732" s="512"/>
    </row>
    <row r="733" spans="2:17" x14ac:dyDescent="0.2">
      <c r="B733" s="317">
        <v>89</v>
      </c>
      <c r="C733" s="284" t="s">
        <v>364</v>
      </c>
      <c r="D733" s="317" t="s">
        <v>34</v>
      </c>
      <c r="E733" s="317" t="s">
        <v>30</v>
      </c>
      <c r="F733" s="254">
        <v>45703</v>
      </c>
      <c r="G733" s="258">
        <v>37.93</v>
      </c>
      <c r="H733" s="716" t="s">
        <v>172</v>
      </c>
      <c r="I733" s="716"/>
      <c r="J733" s="716"/>
      <c r="K733" s="716"/>
      <c r="L733" s="290">
        <v>45708</v>
      </c>
      <c r="M733" s="280" t="s">
        <v>476</v>
      </c>
      <c r="N733" s="280">
        <v>27</v>
      </c>
      <c r="O733" s="280"/>
      <c r="P733" s="512" t="s">
        <v>172</v>
      </c>
      <c r="Q733" s="512" t="s">
        <v>172</v>
      </c>
    </row>
    <row r="734" spans="2:17" ht="12.75" customHeight="1" x14ac:dyDescent="0.2">
      <c r="B734" s="317">
        <v>90</v>
      </c>
      <c r="C734" s="284" t="s">
        <v>60</v>
      </c>
      <c r="D734" s="317" t="s">
        <v>43</v>
      </c>
      <c r="E734" s="317" t="s">
        <v>30</v>
      </c>
      <c r="F734" s="254">
        <v>45699</v>
      </c>
      <c r="G734" s="258">
        <v>43.08</v>
      </c>
      <c r="H734" s="716" t="s">
        <v>172</v>
      </c>
      <c r="I734" s="716"/>
      <c r="J734" s="716"/>
      <c r="K734" s="716"/>
      <c r="L734" s="254">
        <v>45709</v>
      </c>
      <c r="M734" s="280" t="s">
        <v>443</v>
      </c>
      <c r="N734" s="280">
        <v>25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91</v>
      </c>
      <c r="C735" s="284" t="s">
        <v>292</v>
      </c>
      <c r="D735" s="317" t="s">
        <v>34</v>
      </c>
      <c r="E735" s="317" t="s">
        <v>456</v>
      </c>
      <c r="F735" s="254">
        <v>45707</v>
      </c>
      <c r="G735" s="258">
        <v>37.93</v>
      </c>
      <c r="H735" s="716" t="s">
        <v>172</v>
      </c>
      <c r="I735" s="716"/>
      <c r="J735" s="716"/>
      <c r="K735" s="716"/>
      <c r="L735" s="254">
        <v>45711</v>
      </c>
      <c r="M735" s="258" t="s">
        <v>453</v>
      </c>
      <c r="N735" s="280">
        <v>30</v>
      </c>
      <c r="O735" s="280"/>
      <c r="P735" s="323"/>
      <c r="Q735" s="512"/>
    </row>
    <row r="736" spans="2:17" x14ac:dyDescent="0.2">
      <c r="B736" s="317">
        <v>92</v>
      </c>
      <c r="C736" s="284" t="s">
        <v>42</v>
      </c>
      <c r="D736" s="317" t="s">
        <v>43</v>
      </c>
      <c r="E736" s="317" t="s">
        <v>30</v>
      </c>
      <c r="F736" s="254">
        <v>45707</v>
      </c>
      <c r="G736" s="258">
        <v>43.08</v>
      </c>
      <c r="H736" s="716" t="s">
        <v>172</v>
      </c>
      <c r="I736" s="716"/>
      <c r="J736" s="716"/>
      <c r="K736" s="716"/>
      <c r="L736" s="254">
        <v>45713</v>
      </c>
      <c r="M736" s="258" t="s">
        <v>614</v>
      </c>
      <c r="N736" s="280">
        <v>27</v>
      </c>
      <c r="O736" s="280"/>
      <c r="P736" s="512" t="s">
        <v>172</v>
      </c>
      <c r="Q736" s="512" t="s">
        <v>172</v>
      </c>
    </row>
    <row r="737" spans="2:17" x14ac:dyDescent="0.2">
      <c r="B737" s="317">
        <v>93</v>
      </c>
      <c r="C737" s="284" t="s">
        <v>360</v>
      </c>
      <c r="D737" s="317" t="s">
        <v>29</v>
      </c>
      <c r="E737" s="317" t="s">
        <v>432</v>
      </c>
      <c r="F737" s="254">
        <v>45709</v>
      </c>
      <c r="G737" s="258">
        <v>36.369999999999997</v>
      </c>
      <c r="H737" s="716" t="s">
        <v>172</v>
      </c>
      <c r="I737" s="716"/>
      <c r="J737" s="716"/>
      <c r="K737" s="716"/>
      <c r="L737" s="254">
        <v>45713</v>
      </c>
      <c r="M737" s="280" t="s">
        <v>476</v>
      </c>
      <c r="N737" s="280">
        <v>25</v>
      </c>
      <c r="O737" s="280"/>
      <c r="P737" s="512" t="s">
        <v>172</v>
      </c>
      <c r="Q737" s="512" t="s">
        <v>172</v>
      </c>
    </row>
    <row r="738" spans="2:17" ht="12.75" customHeight="1" x14ac:dyDescent="0.2">
      <c r="B738" s="317">
        <v>94</v>
      </c>
      <c r="C738" s="291" t="s">
        <v>294</v>
      </c>
      <c r="D738" s="280" t="s">
        <v>159</v>
      </c>
      <c r="E738" s="280" t="s">
        <v>463</v>
      </c>
      <c r="F738" s="290">
        <v>45712</v>
      </c>
      <c r="G738" s="280">
        <v>43.08</v>
      </c>
      <c r="H738" s="716" t="s">
        <v>172</v>
      </c>
      <c r="I738" s="716"/>
      <c r="J738" s="716"/>
      <c r="K738" s="716"/>
      <c r="L738" s="290">
        <v>45715</v>
      </c>
      <c r="M738" s="280" t="s">
        <v>453</v>
      </c>
      <c r="N738" s="280">
        <v>27</v>
      </c>
      <c r="O738" s="280"/>
      <c r="P738" s="323"/>
      <c r="Q738" s="512"/>
    </row>
    <row r="739" spans="2:17" s="221" customFormat="1" ht="12.75" customHeight="1" x14ac:dyDescent="0.2">
      <c r="B739" s="317">
        <v>95</v>
      </c>
      <c r="C739" s="291" t="s">
        <v>283</v>
      </c>
      <c r="D739" s="317" t="s">
        <v>29</v>
      </c>
      <c r="E739" s="317" t="s">
        <v>455</v>
      </c>
      <c r="F739" s="290">
        <v>45710</v>
      </c>
      <c r="G739" s="280">
        <v>36.369999999999997</v>
      </c>
      <c r="H739" s="716" t="s">
        <v>172</v>
      </c>
      <c r="I739" s="716"/>
      <c r="J739" s="716"/>
      <c r="K739" s="716"/>
      <c r="L739" s="290">
        <v>45717</v>
      </c>
      <c r="M739" s="280" t="s">
        <v>443</v>
      </c>
      <c r="N739" s="280">
        <v>25</v>
      </c>
      <c r="O739" s="280"/>
      <c r="P739" s="323"/>
      <c r="Q739" s="512"/>
    </row>
    <row r="740" spans="2:17" x14ac:dyDescent="0.2">
      <c r="B740" s="317">
        <v>96</v>
      </c>
      <c r="C740" s="284" t="s">
        <v>347</v>
      </c>
      <c r="D740" s="317" t="s">
        <v>167</v>
      </c>
      <c r="E740" s="317" t="s">
        <v>432</v>
      </c>
      <c r="F740" s="254">
        <v>45714</v>
      </c>
      <c r="G740" s="258">
        <v>37.93</v>
      </c>
      <c r="H740" s="716" t="s">
        <v>172</v>
      </c>
      <c r="I740" s="716"/>
      <c r="J740" s="716"/>
      <c r="K740" s="716"/>
      <c r="L740" s="290">
        <v>45717</v>
      </c>
      <c r="M740" s="280" t="s">
        <v>476</v>
      </c>
      <c r="N740" s="280">
        <v>23</v>
      </c>
      <c r="O740" s="280"/>
      <c r="P740" s="512" t="s">
        <v>172</v>
      </c>
      <c r="Q740" s="512" t="s">
        <v>172</v>
      </c>
    </row>
    <row r="741" spans="2:17" ht="12.75" customHeight="1" x14ac:dyDescent="0.2">
      <c r="B741" s="317">
        <v>97</v>
      </c>
      <c r="C741" s="284" t="s">
        <v>293</v>
      </c>
      <c r="D741" s="317" t="s">
        <v>29</v>
      </c>
      <c r="E741" s="317" t="s">
        <v>462</v>
      </c>
      <c r="F741" s="254">
        <v>45716</v>
      </c>
      <c r="G741" s="280">
        <v>36.369999999999997</v>
      </c>
      <c r="H741" s="716" t="s">
        <v>172</v>
      </c>
      <c r="I741" s="716"/>
      <c r="J741" s="716"/>
      <c r="K741" s="716"/>
      <c r="L741" s="254">
        <v>45718</v>
      </c>
      <c r="M741" s="258" t="s">
        <v>453</v>
      </c>
      <c r="N741" s="280">
        <v>25</v>
      </c>
      <c r="O741" s="280"/>
      <c r="P741" s="323"/>
      <c r="Q741" s="512"/>
    </row>
    <row r="742" spans="2:17" ht="12.75" customHeight="1" x14ac:dyDescent="0.2">
      <c r="B742" s="317">
        <v>98</v>
      </c>
      <c r="C742" s="284" t="s">
        <v>396</v>
      </c>
      <c r="D742" s="317" t="s">
        <v>29</v>
      </c>
      <c r="E742" s="317" t="s">
        <v>432</v>
      </c>
      <c r="F742" s="254">
        <v>45714</v>
      </c>
      <c r="G742" s="280">
        <v>36.369999999999997</v>
      </c>
      <c r="H742" s="716" t="s">
        <v>172</v>
      </c>
      <c r="I742" s="716"/>
      <c r="J742" s="716"/>
      <c r="K742" s="716"/>
      <c r="L742" s="254">
        <v>45718</v>
      </c>
      <c r="M742" s="258" t="s">
        <v>614</v>
      </c>
      <c r="N742" s="280">
        <v>27</v>
      </c>
      <c r="O742" s="280"/>
      <c r="P742" s="323"/>
      <c r="Q742" s="512"/>
    </row>
    <row r="743" spans="2:17" ht="12.75" customHeight="1" x14ac:dyDescent="0.2">
      <c r="B743" s="317">
        <v>99</v>
      </c>
      <c r="C743" s="291" t="s">
        <v>295</v>
      </c>
      <c r="D743" s="280" t="s">
        <v>43</v>
      </c>
      <c r="E743" s="280" t="s">
        <v>462</v>
      </c>
      <c r="F743" s="290">
        <v>45719</v>
      </c>
      <c r="G743" s="280">
        <v>43.08</v>
      </c>
      <c r="H743" s="716" t="s">
        <v>172</v>
      </c>
      <c r="I743" s="716"/>
      <c r="J743" s="716"/>
      <c r="K743" s="716"/>
      <c r="L743" s="254">
        <v>45723</v>
      </c>
      <c r="M743" s="280" t="s">
        <v>453</v>
      </c>
      <c r="N743" s="280">
        <v>25</v>
      </c>
      <c r="O743" s="280"/>
      <c r="P743" s="323"/>
      <c r="Q743" s="512"/>
    </row>
    <row r="744" spans="2:17" x14ac:dyDescent="0.2">
      <c r="B744" s="317">
        <v>100</v>
      </c>
      <c r="C744" s="291" t="s">
        <v>358</v>
      </c>
      <c r="D744" s="280" t="s">
        <v>131</v>
      </c>
      <c r="E744" s="280" t="s">
        <v>336</v>
      </c>
      <c r="F744" s="290">
        <v>45718</v>
      </c>
      <c r="G744" s="280">
        <v>54.66</v>
      </c>
      <c r="H744" s="716" t="s">
        <v>172</v>
      </c>
      <c r="I744" s="716"/>
      <c r="J744" s="716"/>
      <c r="K744" s="716"/>
      <c r="L744" s="254">
        <v>45723</v>
      </c>
      <c r="M744" s="280" t="s">
        <v>476</v>
      </c>
      <c r="N744" s="280">
        <v>27</v>
      </c>
      <c r="O744" s="280"/>
      <c r="P744" s="512" t="s">
        <v>172</v>
      </c>
      <c r="Q744" s="512" t="s">
        <v>172</v>
      </c>
    </row>
    <row r="745" spans="2:17" ht="12.75" customHeight="1" x14ac:dyDescent="0.2">
      <c r="B745" s="317">
        <v>101</v>
      </c>
      <c r="C745" s="291" t="s">
        <v>398</v>
      </c>
      <c r="D745" s="317" t="s">
        <v>34</v>
      </c>
      <c r="E745" s="317" t="s">
        <v>462</v>
      </c>
      <c r="F745" s="290">
        <v>45719</v>
      </c>
      <c r="G745" s="280">
        <v>37.93</v>
      </c>
      <c r="H745" s="716" t="s">
        <v>172</v>
      </c>
      <c r="I745" s="716"/>
      <c r="J745" s="716"/>
      <c r="K745" s="716"/>
      <c r="L745" s="290">
        <v>45725</v>
      </c>
      <c r="M745" s="280" t="s">
        <v>614</v>
      </c>
      <c r="N745" s="280">
        <v>30</v>
      </c>
      <c r="O745" s="280"/>
      <c r="P745" s="323"/>
      <c r="Q745" s="512"/>
    </row>
    <row r="746" spans="2:17" s="221" customFormat="1" ht="12.75" customHeight="1" x14ac:dyDescent="0.2">
      <c r="B746" s="317">
        <v>102</v>
      </c>
      <c r="C746" s="291" t="s">
        <v>288</v>
      </c>
      <c r="D746" s="280" t="s">
        <v>135</v>
      </c>
      <c r="E746" s="280" t="s">
        <v>30</v>
      </c>
      <c r="F746" s="290">
        <v>45724</v>
      </c>
      <c r="G746" s="280">
        <v>54.66</v>
      </c>
      <c r="H746" s="716" t="s">
        <v>172</v>
      </c>
      <c r="I746" s="716"/>
      <c r="J746" s="716"/>
      <c r="K746" s="716"/>
      <c r="L746" s="290">
        <v>45727</v>
      </c>
      <c r="M746" s="280" t="s">
        <v>453</v>
      </c>
      <c r="N746" s="280">
        <v>27</v>
      </c>
      <c r="O746" s="280"/>
      <c r="P746" s="512" t="s">
        <v>172</v>
      </c>
      <c r="Q746" s="512" t="s">
        <v>172</v>
      </c>
    </row>
    <row r="747" spans="2:17" x14ac:dyDescent="0.2">
      <c r="B747" s="317">
        <v>103</v>
      </c>
      <c r="C747" s="291" t="s">
        <v>65</v>
      </c>
      <c r="D747" s="280" t="s">
        <v>43</v>
      </c>
      <c r="E747" s="280" t="s">
        <v>30</v>
      </c>
      <c r="F747" s="290">
        <v>45719</v>
      </c>
      <c r="G747" s="280">
        <v>43.08</v>
      </c>
      <c r="H747" s="716" t="s">
        <v>172</v>
      </c>
      <c r="I747" s="716"/>
      <c r="J747" s="716"/>
      <c r="K747" s="716"/>
      <c r="L747" s="290">
        <v>45728</v>
      </c>
      <c r="M747" s="280" t="s">
        <v>443</v>
      </c>
      <c r="N747" s="280">
        <v>25</v>
      </c>
      <c r="O747" s="280"/>
      <c r="P747" s="512" t="s">
        <v>172</v>
      </c>
      <c r="Q747" s="512" t="s">
        <v>172</v>
      </c>
    </row>
    <row r="748" spans="2:17" x14ac:dyDescent="0.2">
      <c r="B748" s="317">
        <v>104</v>
      </c>
      <c r="C748" s="291" t="s">
        <v>366</v>
      </c>
      <c r="D748" s="317" t="s">
        <v>29</v>
      </c>
      <c r="E748" s="317" t="s">
        <v>432</v>
      </c>
      <c r="F748" s="290">
        <v>45724</v>
      </c>
      <c r="G748" s="280">
        <v>36.369999999999997</v>
      </c>
      <c r="H748" s="716" t="s">
        <v>172</v>
      </c>
      <c r="I748" s="716"/>
      <c r="J748" s="716"/>
      <c r="K748" s="716"/>
      <c r="L748" s="290">
        <v>45728</v>
      </c>
      <c r="M748" s="280" t="s">
        <v>476</v>
      </c>
      <c r="N748" s="280">
        <v>23</v>
      </c>
      <c r="O748" s="280"/>
      <c r="P748" s="512" t="s">
        <v>172</v>
      </c>
      <c r="Q748" s="512" t="s">
        <v>172</v>
      </c>
    </row>
    <row r="749" spans="2:17" ht="12.75" customHeight="1" x14ac:dyDescent="0.2">
      <c r="B749" s="317">
        <v>105</v>
      </c>
      <c r="C749" s="291" t="s">
        <v>399</v>
      </c>
      <c r="D749" s="280" t="s">
        <v>29</v>
      </c>
      <c r="E749" s="280" t="s">
        <v>30</v>
      </c>
      <c r="F749" s="290">
        <v>45726</v>
      </c>
      <c r="G749" s="280">
        <v>36.369999999999997</v>
      </c>
      <c r="H749" s="716" t="s">
        <v>172</v>
      </c>
      <c r="I749" s="716"/>
      <c r="J749" s="716"/>
      <c r="K749" s="716"/>
      <c r="L749" s="290">
        <v>45729</v>
      </c>
      <c r="M749" s="280" t="s">
        <v>614</v>
      </c>
      <c r="N749" s="280">
        <v>25</v>
      </c>
      <c r="O749" s="280"/>
      <c r="P749" s="323"/>
      <c r="Q749" s="512"/>
    </row>
    <row r="750" spans="2:17" ht="12.75" customHeight="1" x14ac:dyDescent="0.2">
      <c r="B750" s="317">
        <v>106</v>
      </c>
      <c r="C750" s="291" t="s">
        <v>296</v>
      </c>
      <c r="D750" s="317" t="s">
        <v>29</v>
      </c>
      <c r="E750" s="317" t="s">
        <v>455</v>
      </c>
      <c r="F750" s="290">
        <v>45728</v>
      </c>
      <c r="G750" s="280">
        <v>36.369999999999997</v>
      </c>
      <c r="H750" s="716" t="s">
        <v>172</v>
      </c>
      <c r="I750" s="716"/>
      <c r="J750" s="716"/>
      <c r="K750" s="716"/>
      <c r="L750" s="290">
        <v>45732</v>
      </c>
      <c r="M750" s="280" t="s">
        <v>453</v>
      </c>
      <c r="N750" s="280">
        <v>25</v>
      </c>
      <c r="O750" s="280"/>
      <c r="P750" s="323"/>
      <c r="Q750" s="512"/>
    </row>
    <row r="751" spans="2:17" ht="12.75" customHeight="1" x14ac:dyDescent="0.2">
      <c r="B751" s="280">
        <v>107</v>
      </c>
      <c r="C751" s="291" t="s">
        <v>370</v>
      </c>
      <c r="D751" s="317" t="s">
        <v>29</v>
      </c>
      <c r="E751" s="317" t="s">
        <v>30</v>
      </c>
      <c r="F751" s="290">
        <v>45729</v>
      </c>
      <c r="G751" s="280">
        <v>36.369999999999997</v>
      </c>
      <c r="H751" s="716" t="s">
        <v>172</v>
      </c>
      <c r="I751" s="716"/>
      <c r="J751" s="716"/>
      <c r="K751" s="716"/>
      <c r="L751" s="290">
        <v>45733</v>
      </c>
      <c r="M751" s="280" t="s">
        <v>476</v>
      </c>
      <c r="N751" s="280">
        <v>27</v>
      </c>
      <c r="O751" s="280"/>
      <c r="P751" s="323"/>
      <c r="Q751" s="512"/>
    </row>
    <row r="752" spans="2:17" ht="12.75" customHeight="1" x14ac:dyDescent="0.2">
      <c r="B752" s="280">
        <v>108</v>
      </c>
      <c r="C752" s="291" t="s">
        <v>297</v>
      </c>
      <c r="D752" s="317" t="s">
        <v>34</v>
      </c>
      <c r="E752" s="317" t="s">
        <v>456</v>
      </c>
      <c r="F752" s="290">
        <v>45732</v>
      </c>
      <c r="G752" s="280">
        <v>37.93</v>
      </c>
      <c r="H752" s="716" t="s">
        <v>172</v>
      </c>
      <c r="I752" s="716"/>
      <c r="J752" s="716"/>
      <c r="K752" s="716"/>
      <c r="L752" s="290">
        <v>45735</v>
      </c>
      <c r="M752" s="280" t="s">
        <v>453</v>
      </c>
      <c r="N752" s="280">
        <v>25</v>
      </c>
      <c r="O752" s="280"/>
      <c r="P752" s="323"/>
      <c r="Q752" s="512"/>
    </row>
    <row r="753" spans="2:17" ht="12.75" customHeight="1" x14ac:dyDescent="0.2">
      <c r="B753" s="280">
        <v>109</v>
      </c>
      <c r="C753" s="291" t="s">
        <v>400</v>
      </c>
      <c r="D753" s="317" t="s">
        <v>29</v>
      </c>
      <c r="E753" s="317" t="s">
        <v>462</v>
      </c>
      <c r="F753" s="290">
        <v>45731</v>
      </c>
      <c r="G753" s="280">
        <v>36.369999999999997</v>
      </c>
      <c r="H753" s="716" t="s">
        <v>172</v>
      </c>
      <c r="I753" s="716"/>
      <c r="J753" s="716"/>
      <c r="K753" s="716"/>
      <c r="L753" s="290">
        <v>45735</v>
      </c>
      <c r="M753" s="280" t="s">
        <v>614</v>
      </c>
      <c r="N753" s="280">
        <v>25</v>
      </c>
      <c r="O753" s="280"/>
      <c r="P753" s="323"/>
      <c r="Q753" s="512"/>
    </row>
    <row r="754" spans="2:17" s="221" customFormat="1" ht="12.75" customHeight="1" x14ac:dyDescent="0.2">
      <c r="B754" s="280">
        <v>110</v>
      </c>
      <c r="C754" s="291" t="s">
        <v>298</v>
      </c>
      <c r="D754" s="317" t="str">
        <f t="shared" ref="D754:D782" si="13">VLOOKUP(C754,$C$9:$D$222,2,FALSE)</f>
        <v>3DA+0</v>
      </c>
      <c r="E754" s="317" t="s">
        <v>456</v>
      </c>
      <c r="F754" s="290">
        <v>45736</v>
      </c>
      <c r="G754" s="280">
        <v>36.369999999999997</v>
      </c>
      <c r="H754" s="716" t="s">
        <v>172</v>
      </c>
      <c r="I754" s="716"/>
      <c r="J754" s="716"/>
      <c r="K754" s="716"/>
      <c r="L754" s="290">
        <v>45738</v>
      </c>
      <c r="M754" s="280" t="s">
        <v>453</v>
      </c>
      <c r="N754" s="280">
        <v>25</v>
      </c>
      <c r="O754" s="280"/>
      <c r="P754" s="323" t="s">
        <v>172</v>
      </c>
      <c r="Q754" s="512" t="s">
        <v>172</v>
      </c>
    </row>
    <row r="755" spans="2:17" s="221" customFormat="1" ht="12.75" customHeight="1" x14ac:dyDescent="0.2">
      <c r="B755" s="280">
        <v>111</v>
      </c>
      <c r="C755" s="291" t="s">
        <v>401</v>
      </c>
      <c r="D755" s="317" t="str">
        <f t="shared" si="13"/>
        <v>3DA+0</v>
      </c>
      <c r="E755" s="317" t="s">
        <v>456</v>
      </c>
      <c r="F755" s="290">
        <v>45736</v>
      </c>
      <c r="G755" s="280">
        <v>36.369999999999997</v>
      </c>
      <c r="H755" s="716" t="s">
        <v>172</v>
      </c>
      <c r="I755" s="716"/>
      <c r="J755" s="716"/>
      <c r="K755" s="716"/>
      <c r="L755" s="290">
        <v>45739</v>
      </c>
      <c r="M755" s="280" t="s">
        <v>614</v>
      </c>
      <c r="N755" s="280">
        <v>27</v>
      </c>
      <c r="O755" s="280"/>
      <c r="P755" s="323"/>
      <c r="Q755" s="512"/>
    </row>
    <row r="756" spans="2:17" s="221" customFormat="1" ht="14.25" customHeight="1" x14ac:dyDescent="0.2">
      <c r="B756" s="280">
        <v>112</v>
      </c>
      <c r="C756" s="291" t="s">
        <v>365</v>
      </c>
      <c r="D756" s="317" t="str">
        <f t="shared" si="13"/>
        <v xml:space="preserve">3DC1+0 </v>
      </c>
      <c r="E756" s="317" t="s">
        <v>30</v>
      </c>
      <c r="F756" s="290">
        <v>45733</v>
      </c>
      <c r="G756" s="305">
        <v>62.535277999999998</v>
      </c>
      <c r="H756" s="716" t="s">
        <v>172</v>
      </c>
      <c r="I756" s="716"/>
      <c r="J756" s="716"/>
      <c r="K756" s="716"/>
      <c r="L756" s="290">
        <v>45739</v>
      </c>
      <c r="M756" s="280" t="s">
        <v>476</v>
      </c>
      <c r="N756" s="280">
        <v>27</v>
      </c>
      <c r="O756" s="280"/>
      <c r="P756" s="512" t="s">
        <v>172</v>
      </c>
      <c r="Q756" s="512" t="s">
        <v>172</v>
      </c>
    </row>
    <row r="757" spans="2:17" ht="12.75" customHeight="1" x14ac:dyDescent="0.2">
      <c r="B757" s="280">
        <v>113</v>
      </c>
      <c r="C757" s="291" t="s">
        <v>302</v>
      </c>
      <c r="D757" s="317" t="str">
        <f t="shared" si="13"/>
        <v>3DA+0</v>
      </c>
      <c r="E757" s="317" t="str">
        <f>VLOOKUP(C757,$C$9:$E$273,3,FALSE)</f>
        <v xml:space="preserve">WBC </v>
      </c>
      <c r="F757" s="290">
        <v>45739</v>
      </c>
      <c r="G757" s="280">
        <v>36.369999999999997</v>
      </c>
      <c r="H757" s="716" t="s">
        <v>172</v>
      </c>
      <c r="I757" s="716"/>
      <c r="J757" s="716"/>
      <c r="K757" s="716"/>
      <c r="L757" s="290">
        <v>45742</v>
      </c>
      <c r="M757" s="280" t="s">
        <v>453</v>
      </c>
      <c r="N757" s="280">
        <v>27</v>
      </c>
      <c r="O757" s="280"/>
      <c r="P757" s="323"/>
      <c r="Q757" s="512"/>
    </row>
    <row r="758" spans="2:17" x14ac:dyDescent="0.2">
      <c r="B758" s="280">
        <v>114</v>
      </c>
      <c r="C758" s="291" t="s">
        <v>128</v>
      </c>
      <c r="D758" s="317" t="str">
        <f t="shared" si="13"/>
        <v>3DA+6</v>
      </c>
      <c r="E758" s="317" t="str">
        <f>VLOOKUP(C758,$C$9:$E$273,3,FALSE)</f>
        <v xml:space="preserve">WBC </v>
      </c>
      <c r="F758" s="290">
        <v>45729</v>
      </c>
      <c r="G758" s="280">
        <v>43.08</v>
      </c>
      <c r="H758" s="716" t="s">
        <v>172</v>
      </c>
      <c r="I758" s="716"/>
      <c r="J758" s="716"/>
      <c r="K758" s="716"/>
      <c r="L758" s="290">
        <v>45743</v>
      </c>
      <c r="M758" s="280" t="s">
        <v>443</v>
      </c>
      <c r="N758" s="280">
        <v>25</v>
      </c>
      <c r="O758" s="280"/>
      <c r="P758" s="512" t="s">
        <v>172</v>
      </c>
      <c r="Q758" s="512" t="s">
        <v>172</v>
      </c>
    </row>
    <row r="759" spans="2:17" ht="12" customHeight="1" x14ac:dyDescent="0.2">
      <c r="B759" s="280">
        <v>115</v>
      </c>
      <c r="C759" s="291" t="s">
        <v>367</v>
      </c>
      <c r="D759" s="317" t="str">
        <f t="shared" si="13"/>
        <v>3DA+3</v>
      </c>
      <c r="E759" s="317" t="str">
        <f>VLOOKUP(C759,$C$9:$E$273,3,FALSE)</f>
        <v>DFR</v>
      </c>
      <c r="F759" s="290">
        <v>45739</v>
      </c>
      <c r="G759" s="280">
        <v>37.93</v>
      </c>
      <c r="H759" s="716" t="s">
        <v>172</v>
      </c>
      <c r="I759" s="716"/>
      <c r="J759" s="716"/>
      <c r="K759" s="716"/>
      <c r="L759" s="290">
        <v>45743</v>
      </c>
      <c r="M759" s="280" t="s">
        <v>476</v>
      </c>
      <c r="N759" s="280">
        <v>25</v>
      </c>
      <c r="O759" s="280"/>
      <c r="P759" s="512" t="s">
        <v>172</v>
      </c>
      <c r="Q759" s="512" t="s">
        <v>172</v>
      </c>
    </row>
    <row r="760" spans="2:17" ht="12.75" customHeight="1" x14ac:dyDescent="0.2">
      <c r="B760" s="280">
        <v>116</v>
      </c>
      <c r="C760" s="291" t="s">
        <v>303</v>
      </c>
      <c r="D760" s="317" t="str">
        <f>VLOOKUP(C760,$C$9:$D$222,2,FALSE)</f>
        <v>3DA+3</v>
      </c>
      <c r="E760" s="317" t="str">
        <f>VLOOKUP(C760,$C$9:$E$273,3,FALSE)</f>
        <v xml:space="preserve">WET </v>
      </c>
      <c r="F760" s="290">
        <v>45743</v>
      </c>
      <c r="G760" s="280">
        <v>37.93</v>
      </c>
      <c r="H760" s="716" t="s">
        <v>172</v>
      </c>
      <c r="I760" s="716"/>
      <c r="J760" s="716"/>
      <c r="K760" s="716"/>
      <c r="L760" s="290">
        <v>45745</v>
      </c>
      <c r="M760" s="280" t="s">
        <v>453</v>
      </c>
      <c r="N760" s="280">
        <v>27</v>
      </c>
      <c r="O760" s="280"/>
      <c r="P760" s="323"/>
      <c r="Q760" s="512"/>
    </row>
    <row r="761" spans="2:17" ht="12.75" customHeight="1" x14ac:dyDescent="0.2">
      <c r="B761" s="280">
        <v>117</v>
      </c>
      <c r="C761" s="291" t="s">
        <v>496</v>
      </c>
      <c r="D761" s="317" t="str">
        <f>VLOOKUP(C761,$C$9:$D$222,2,FALSE)</f>
        <v>3DA+0</v>
      </c>
      <c r="E761" s="317" t="str">
        <f>VLOOKUP(C761,$C$9:$E$273,3,FALSE)</f>
        <v>WFR</v>
      </c>
      <c r="F761" s="290">
        <v>45740</v>
      </c>
      <c r="G761" s="280">
        <v>36.369999999999997</v>
      </c>
      <c r="H761" s="716" t="s">
        <v>172</v>
      </c>
      <c r="I761" s="716"/>
      <c r="J761" s="716"/>
      <c r="K761" s="716"/>
      <c r="L761" s="290">
        <v>45745</v>
      </c>
      <c r="M761" s="280" t="s">
        <v>658</v>
      </c>
      <c r="N761" s="280">
        <v>25</v>
      </c>
      <c r="O761" s="280"/>
      <c r="P761" s="323"/>
      <c r="Q761" s="512"/>
    </row>
    <row r="762" spans="2:17" ht="12.75" customHeight="1" x14ac:dyDescent="0.2">
      <c r="B762" s="280">
        <v>118</v>
      </c>
      <c r="C762" s="291" t="s">
        <v>382</v>
      </c>
      <c r="D762" s="317" t="str">
        <f t="shared" si="13"/>
        <v>3DA+3</v>
      </c>
      <c r="E762" s="317" t="s">
        <v>30</v>
      </c>
      <c r="F762" s="290">
        <v>45717</v>
      </c>
      <c r="G762" s="280">
        <v>37.93</v>
      </c>
      <c r="H762" s="716" t="s">
        <v>172</v>
      </c>
      <c r="I762" s="716"/>
      <c r="J762" s="716"/>
      <c r="K762" s="716"/>
      <c r="L762" s="290">
        <v>45746</v>
      </c>
      <c r="M762" s="280" t="s">
        <v>659</v>
      </c>
      <c r="N762" s="280">
        <v>27</v>
      </c>
      <c r="O762" s="280"/>
      <c r="P762" s="323"/>
      <c r="Q762" s="512"/>
    </row>
    <row r="763" spans="2:17" ht="12" customHeight="1" x14ac:dyDescent="0.2">
      <c r="B763" s="280">
        <v>119</v>
      </c>
      <c r="C763" s="291" t="s">
        <v>368</v>
      </c>
      <c r="D763" s="317" t="str">
        <f t="shared" si="13"/>
        <v>3DA+6</v>
      </c>
      <c r="E763" s="317" t="str">
        <f t="shared" ref="E763:E793" si="14">VLOOKUP(C763,$C$9:$E$273,3,FALSE)</f>
        <v>DFR</v>
      </c>
      <c r="F763" s="290">
        <v>45744</v>
      </c>
      <c r="G763" s="280">
        <v>43.08</v>
      </c>
      <c r="H763" s="716" t="s">
        <v>172</v>
      </c>
      <c r="I763" s="716"/>
      <c r="J763" s="716"/>
      <c r="K763" s="716"/>
      <c r="L763" s="290">
        <v>45748</v>
      </c>
      <c r="M763" s="280" t="s">
        <v>476</v>
      </c>
      <c r="N763" s="280">
        <v>27</v>
      </c>
      <c r="O763" s="280"/>
      <c r="P763" s="512" t="s">
        <v>172</v>
      </c>
      <c r="Q763" s="512" t="s">
        <v>172</v>
      </c>
    </row>
    <row r="764" spans="2:17" ht="12.75" customHeight="1" x14ac:dyDescent="0.2">
      <c r="B764" s="280">
        <v>120</v>
      </c>
      <c r="C764" s="302" t="s">
        <v>305</v>
      </c>
      <c r="D764" s="317" t="str">
        <f t="shared" si="13"/>
        <v>3DA+3</v>
      </c>
      <c r="E764" s="317" t="str">
        <f t="shared" si="14"/>
        <v xml:space="preserve">WBC </v>
      </c>
      <c r="F764" s="290">
        <v>45745</v>
      </c>
      <c r="G764" s="280">
        <v>37.93</v>
      </c>
      <c r="H764" s="716" t="s">
        <v>172</v>
      </c>
      <c r="I764" s="716"/>
      <c r="J764" s="716"/>
      <c r="K764" s="716"/>
      <c r="L764" s="290">
        <v>45749</v>
      </c>
      <c r="M764" s="280" t="s">
        <v>453</v>
      </c>
      <c r="N764" s="280">
        <v>27</v>
      </c>
      <c r="O764" s="280"/>
      <c r="P764" s="323"/>
      <c r="Q764" s="512"/>
    </row>
    <row r="765" spans="2:17" ht="12.75" customHeight="1" x14ac:dyDescent="0.2">
      <c r="B765" s="280">
        <v>121</v>
      </c>
      <c r="C765" s="291" t="s">
        <v>393</v>
      </c>
      <c r="D765" s="317" t="str">
        <f t="shared" si="13"/>
        <v>3DA+0</v>
      </c>
      <c r="E765" s="317" t="str">
        <f t="shared" si="14"/>
        <v>DFR</v>
      </c>
      <c r="F765" s="290">
        <v>45745</v>
      </c>
      <c r="G765" s="280">
        <v>36.369999999999997</v>
      </c>
      <c r="H765" s="716" t="s">
        <v>172</v>
      </c>
      <c r="I765" s="716"/>
      <c r="J765" s="716"/>
      <c r="K765" s="716"/>
      <c r="L765" s="290">
        <v>45751</v>
      </c>
      <c r="M765" s="280" t="s">
        <v>658</v>
      </c>
      <c r="N765" s="280">
        <v>25</v>
      </c>
      <c r="O765" s="280"/>
      <c r="P765" s="323"/>
      <c r="Q765" s="512"/>
    </row>
    <row r="766" spans="2:17" ht="12.75" customHeight="1" x14ac:dyDescent="0.2">
      <c r="B766" s="280">
        <v>122</v>
      </c>
      <c r="C766" s="291" t="s">
        <v>380</v>
      </c>
      <c r="D766" s="317" t="str">
        <f t="shared" si="13"/>
        <v>3DA+0</v>
      </c>
      <c r="E766" s="317" t="str">
        <f t="shared" si="14"/>
        <v>DFR</v>
      </c>
      <c r="F766" s="290">
        <v>45746</v>
      </c>
      <c r="G766" s="280">
        <v>36.369999999999997</v>
      </c>
      <c r="H766" s="716" t="s">
        <v>172</v>
      </c>
      <c r="I766" s="716"/>
      <c r="J766" s="716"/>
      <c r="K766" s="716"/>
      <c r="L766" s="290">
        <v>45752</v>
      </c>
      <c r="M766" s="280" t="s">
        <v>659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123</v>
      </c>
      <c r="C767" s="291" t="s">
        <v>369</v>
      </c>
      <c r="D767" s="280" t="str">
        <f t="shared" si="13"/>
        <v>3DD45+6</v>
      </c>
      <c r="E767" s="280" t="str">
        <f t="shared" si="14"/>
        <v>WFR</v>
      </c>
      <c r="F767" s="290">
        <v>45749</v>
      </c>
      <c r="G767" s="305">
        <v>84.248000000000005</v>
      </c>
      <c r="H767" s="716" t="s">
        <v>172</v>
      </c>
      <c r="I767" s="716"/>
      <c r="J767" s="716"/>
      <c r="K767" s="716"/>
      <c r="L767" s="290">
        <v>45756</v>
      </c>
      <c r="M767" s="280" t="s">
        <v>476</v>
      </c>
      <c r="N767" s="280">
        <v>25</v>
      </c>
      <c r="O767" s="258"/>
      <c r="P767" s="512" t="s">
        <v>172</v>
      </c>
      <c r="Q767" s="512" t="s">
        <v>172</v>
      </c>
    </row>
    <row r="768" spans="2:17" ht="12.75" customHeight="1" x14ac:dyDescent="0.2">
      <c r="B768" s="280">
        <v>124</v>
      </c>
      <c r="C768" s="291" t="s">
        <v>306</v>
      </c>
      <c r="D768" s="280" t="str">
        <f t="shared" si="13"/>
        <v xml:space="preserve">3DD45+0 </v>
      </c>
      <c r="E768" s="280" t="str">
        <f t="shared" si="14"/>
        <v>WET</v>
      </c>
      <c r="F768" s="290">
        <v>45750</v>
      </c>
      <c r="G768" s="305">
        <v>72.721000000000004</v>
      </c>
      <c r="H768" s="716" t="s">
        <v>172</v>
      </c>
      <c r="I768" s="716"/>
      <c r="J768" s="716"/>
      <c r="K768" s="716"/>
      <c r="L768" s="290">
        <v>45757</v>
      </c>
      <c r="M768" s="280" t="s">
        <v>453</v>
      </c>
      <c r="N768" s="280">
        <v>27</v>
      </c>
      <c r="O768" s="258"/>
      <c r="P768" s="323"/>
      <c r="Q768" s="512"/>
    </row>
    <row r="769" spans="2:17" x14ac:dyDescent="0.2">
      <c r="B769" s="280">
        <v>125</v>
      </c>
      <c r="C769" s="291" t="s">
        <v>328</v>
      </c>
      <c r="D769" s="317" t="str">
        <f t="shared" si="13"/>
        <v>3DA+6</v>
      </c>
      <c r="E769" s="317" t="str">
        <f t="shared" si="14"/>
        <v xml:space="preserve">WBC </v>
      </c>
      <c r="F769" s="290">
        <v>45744</v>
      </c>
      <c r="G769" s="280">
        <v>43.08</v>
      </c>
      <c r="H769" s="716" t="s">
        <v>172</v>
      </c>
      <c r="I769" s="716"/>
      <c r="J769" s="716"/>
      <c r="K769" s="716"/>
      <c r="L769" s="290">
        <v>45758</v>
      </c>
      <c r="M769" s="280" t="s">
        <v>443</v>
      </c>
      <c r="N769" s="280">
        <v>27</v>
      </c>
      <c r="O769" s="258"/>
      <c r="P769" s="323" t="s">
        <v>172</v>
      </c>
      <c r="Q769" s="512" t="s">
        <v>172</v>
      </c>
    </row>
    <row r="770" spans="2:17" ht="12.75" customHeight="1" x14ac:dyDescent="0.2">
      <c r="B770" s="280">
        <v>126</v>
      </c>
      <c r="C770" s="291" t="s">
        <v>381</v>
      </c>
      <c r="D770" s="317" t="str">
        <f t="shared" si="13"/>
        <v>3DA+3</v>
      </c>
      <c r="E770" s="317" t="str">
        <f t="shared" si="14"/>
        <v>DFR</v>
      </c>
      <c r="F770" s="290">
        <v>45753</v>
      </c>
      <c r="G770" s="280">
        <v>37.93</v>
      </c>
      <c r="H770" s="716" t="s">
        <v>172</v>
      </c>
      <c r="I770" s="716"/>
      <c r="J770" s="716"/>
      <c r="K770" s="716"/>
      <c r="L770" s="290">
        <v>45760</v>
      </c>
      <c r="M770" s="280" t="s">
        <v>659</v>
      </c>
      <c r="N770" s="280">
        <v>25</v>
      </c>
      <c r="O770" s="258"/>
      <c r="P770" s="323"/>
      <c r="Q770" s="512"/>
    </row>
    <row r="771" spans="2:17" ht="12.75" customHeight="1" x14ac:dyDescent="0.2">
      <c r="B771" s="280">
        <v>127</v>
      </c>
      <c r="C771" s="291" t="s">
        <v>500</v>
      </c>
      <c r="D771" s="317" t="str">
        <f t="shared" si="13"/>
        <v>3DA+6</v>
      </c>
      <c r="E771" s="317" t="str">
        <f t="shared" si="14"/>
        <v>DFR</v>
      </c>
      <c r="F771" s="290">
        <v>45757</v>
      </c>
      <c r="G771" s="280">
        <v>43.08</v>
      </c>
      <c r="H771" s="716" t="s">
        <v>172</v>
      </c>
      <c r="I771" s="716"/>
      <c r="J771" s="716"/>
      <c r="K771" s="716"/>
      <c r="L771" s="290">
        <v>45761</v>
      </c>
      <c r="M771" s="258" t="s">
        <v>476</v>
      </c>
      <c r="N771" s="280">
        <v>27</v>
      </c>
      <c r="O771" s="258"/>
      <c r="P771" s="323"/>
      <c r="Q771" s="512"/>
    </row>
    <row r="772" spans="2:17" ht="12.75" customHeight="1" x14ac:dyDescent="0.2">
      <c r="B772" s="280">
        <v>128</v>
      </c>
      <c r="C772" s="284" t="s">
        <v>307</v>
      </c>
      <c r="D772" s="258" t="str">
        <f t="shared" si="13"/>
        <v>3DA+0</v>
      </c>
      <c r="E772" s="258" t="str">
        <f t="shared" si="14"/>
        <v>WET</v>
      </c>
      <c r="F772" s="290">
        <v>45758</v>
      </c>
      <c r="G772" s="258">
        <v>36.369999999999997</v>
      </c>
      <c r="H772" s="716" t="s">
        <v>172</v>
      </c>
      <c r="I772" s="716"/>
      <c r="J772" s="716"/>
      <c r="K772" s="716"/>
      <c r="L772" s="290">
        <v>45762</v>
      </c>
      <c r="M772" s="258" t="s">
        <v>453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129</v>
      </c>
      <c r="C773" s="291" t="s">
        <v>395</v>
      </c>
      <c r="D773" s="317" t="str">
        <f t="shared" si="13"/>
        <v xml:space="preserve">3DC1+0 </v>
      </c>
      <c r="E773" s="317" t="str">
        <f t="shared" si="14"/>
        <v>DFR</v>
      </c>
      <c r="F773" s="290">
        <v>45752</v>
      </c>
      <c r="G773" s="280">
        <v>62.54</v>
      </c>
      <c r="H773" s="716" t="s">
        <v>172</v>
      </c>
      <c r="I773" s="716"/>
      <c r="J773" s="716"/>
      <c r="K773" s="716"/>
      <c r="L773" s="290">
        <v>45764</v>
      </c>
      <c r="M773" s="280" t="s">
        <v>658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130</v>
      </c>
      <c r="C774" s="291" t="s">
        <v>378</v>
      </c>
      <c r="D774" s="317" t="str">
        <f>VLOOKUP(C774,$C$9:$D$222,2,FALSE)</f>
        <v>3DA+0</v>
      </c>
      <c r="E774" s="317" t="str">
        <f t="shared" si="14"/>
        <v>DFR</v>
      </c>
      <c r="F774" s="290">
        <v>45762</v>
      </c>
      <c r="G774" s="280">
        <v>36.369999999999997</v>
      </c>
      <c r="H774" s="716" t="s">
        <v>172</v>
      </c>
      <c r="I774" s="716"/>
      <c r="J774" s="716"/>
      <c r="K774" s="716"/>
      <c r="L774" s="290">
        <v>45765</v>
      </c>
      <c r="M774" s="280" t="s">
        <v>476</v>
      </c>
      <c r="N774" s="280">
        <v>25</v>
      </c>
      <c r="O774" s="280"/>
      <c r="P774" s="323"/>
      <c r="Q774" s="512"/>
    </row>
    <row r="775" spans="2:17" ht="12.75" customHeight="1" x14ac:dyDescent="0.2">
      <c r="B775" s="280">
        <v>131</v>
      </c>
      <c r="C775" s="291" t="s">
        <v>310</v>
      </c>
      <c r="D775" s="317" t="str">
        <f t="shared" si="13"/>
        <v>3DA+3</v>
      </c>
      <c r="E775" s="317" t="str">
        <f t="shared" si="14"/>
        <v>WET</v>
      </c>
      <c r="F775" s="290">
        <v>45763</v>
      </c>
      <c r="G775" s="280">
        <v>37.93</v>
      </c>
      <c r="H775" s="716" t="s">
        <v>172</v>
      </c>
      <c r="I775" s="716"/>
      <c r="J775" s="716"/>
      <c r="K775" s="716"/>
      <c r="L775" s="290">
        <v>45766</v>
      </c>
      <c r="M775" s="280" t="s">
        <v>453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132</v>
      </c>
      <c r="C776" s="291" t="s">
        <v>311</v>
      </c>
      <c r="D776" s="280" t="str">
        <f t="shared" si="13"/>
        <v>3DA+0</v>
      </c>
      <c r="E776" s="280" t="str">
        <f t="shared" si="14"/>
        <v>WET</v>
      </c>
      <c r="F776" s="290">
        <v>45766</v>
      </c>
      <c r="G776" s="280">
        <v>36.369999999999997</v>
      </c>
      <c r="H776" s="716" t="s">
        <v>172</v>
      </c>
      <c r="I776" s="716"/>
      <c r="J776" s="716"/>
      <c r="K776" s="716"/>
      <c r="L776" s="290">
        <v>45768</v>
      </c>
      <c r="M776" s="280" t="s">
        <v>453</v>
      </c>
      <c r="N776" s="280">
        <v>25</v>
      </c>
      <c r="O776" s="258"/>
      <c r="P776" s="323"/>
      <c r="Q776" s="512"/>
    </row>
    <row r="777" spans="2:17" ht="12.75" customHeight="1" x14ac:dyDescent="0.2">
      <c r="B777" s="280">
        <v>133</v>
      </c>
      <c r="C777" s="291" t="s">
        <v>384</v>
      </c>
      <c r="D777" s="317" t="str">
        <f t="shared" si="13"/>
        <v>3DA+0</v>
      </c>
      <c r="E777" s="317" t="str">
        <f t="shared" si="14"/>
        <v>DFR</v>
      </c>
      <c r="F777" s="290">
        <v>45761</v>
      </c>
      <c r="G777" s="280">
        <v>36.369999999999997</v>
      </c>
      <c r="H777" s="716" t="s">
        <v>172</v>
      </c>
      <c r="I777" s="716"/>
      <c r="J777" s="716"/>
      <c r="K777" s="716"/>
      <c r="L777" s="290">
        <v>45768</v>
      </c>
      <c r="M777" s="280" t="s">
        <v>659</v>
      </c>
      <c r="N777" s="280">
        <v>27</v>
      </c>
      <c r="O777" s="258"/>
      <c r="P777" s="323"/>
      <c r="Q777" s="512"/>
    </row>
    <row r="778" spans="2:17" x14ac:dyDescent="0.2">
      <c r="B778" s="280">
        <v>134</v>
      </c>
      <c r="C778" s="291" t="s">
        <v>343</v>
      </c>
      <c r="D778" s="280" t="str">
        <f t="shared" si="13"/>
        <v>3DC1+0</v>
      </c>
      <c r="E778" s="280" t="str">
        <f t="shared" si="14"/>
        <v>DFR</v>
      </c>
      <c r="F778" s="290">
        <v>45766</v>
      </c>
      <c r="G778" s="280">
        <v>62.54</v>
      </c>
      <c r="H778" s="716" t="s">
        <v>172</v>
      </c>
      <c r="I778" s="716"/>
      <c r="J778" s="716"/>
      <c r="K778" s="716"/>
      <c r="L778" s="290">
        <v>45770</v>
      </c>
      <c r="M778" s="280" t="s">
        <v>476</v>
      </c>
      <c r="N778" s="280">
        <v>28</v>
      </c>
      <c r="O778" s="280"/>
      <c r="P778" s="512" t="s">
        <v>172</v>
      </c>
      <c r="Q778" s="512" t="s">
        <v>172</v>
      </c>
    </row>
    <row r="779" spans="2:17" ht="12.75" customHeight="1" x14ac:dyDescent="0.2">
      <c r="B779" s="280">
        <v>135</v>
      </c>
      <c r="C779" s="291" t="s">
        <v>392</v>
      </c>
      <c r="D779" s="280" t="str">
        <f t="shared" si="13"/>
        <v>3DA+6</v>
      </c>
      <c r="E779" s="280" t="str">
        <f t="shared" si="14"/>
        <v>DFR</v>
      </c>
      <c r="F779" s="290">
        <v>45765</v>
      </c>
      <c r="G779" s="280">
        <v>43.08</v>
      </c>
      <c r="H779" s="716" t="s">
        <v>172</v>
      </c>
      <c r="I779" s="716"/>
      <c r="J779" s="716"/>
      <c r="K779" s="716"/>
      <c r="L779" s="290">
        <v>45770</v>
      </c>
      <c r="M779" s="280" t="s">
        <v>658</v>
      </c>
      <c r="N779" s="280">
        <v>29</v>
      </c>
      <c r="O779" s="280"/>
      <c r="P779" s="323"/>
      <c r="Q779" s="512"/>
    </row>
    <row r="780" spans="2:17" ht="12.75" customHeight="1" x14ac:dyDescent="0.2">
      <c r="B780" s="280">
        <v>136</v>
      </c>
      <c r="C780" s="284" t="s">
        <v>312</v>
      </c>
      <c r="D780" s="280" t="str">
        <f t="shared" si="13"/>
        <v>3DA+0</v>
      </c>
      <c r="E780" s="280" t="str">
        <f t="shared" si="14"/>
        <v>WET</v>
      </c>
      <c r="F780" s="254">
        <v>45769</v>
      </c>
      <c r="G780" s="258">
        <v>36.369999999999997</v>
      </c>
      <c r="H780" s="716" t="s">
        <v>172</v>
      </c>
      <c r="I780" s="716"/>
      <c r="J780" s="716"/>
      <c r="K780" s="716"/>
      <c r="L780" s="254">
        <v>45771</v>
      </c>
      <c r="M780" s="280" t="s">
        <v>453</v>
      </c>
      <c r="N780" s="258">
        <v>26</v>
      </c>
      <c r="O780" s="258"/>
      <c r="P780" s="323"/>
      <c r="Q780" s="512"/>
    </row>
    <row r="781" spans="2:17" ht="12.75" customHeight="1" x14ac:dyDescent="0.2">
      <c r="B781" s="280">
        <v>137</v>
      </c>
      <c r="C781" s="291" t="s">
        <v>322</v>
      </c>
      <c r="D781" s="317" t="str">
        <f t="shared" si="13"/>
        <v>3DA+6</v>
      </c>
      <c r="E781" s="317" t="str">
        <f t="shared" si="14"/>
        <v>DFR</v>
      </c>
      <c r="F781" s="290">
        <v>45759</v>
      </c>
      <c r="G781" s="280">
        <v>43.08</v>
      </c>
      <c r="H781" s="716" t="s">
        <v>172</v>
      </c>
      <c r="I781" s="716"/>
      <c r="J781" s="716"/>
      <c r="K781" s="716"/>
      <c r="L781" s="254">
        <v>45773</v>
      </c>
      <c r="M781" s="280" t="s">
        <v>443</v>
      </c>
      <c r="N781" s="280">
        <v>27</v>
      </c>
      <c r="O781" s="280"/>
      <c r="P781" s="512" t="s">
        <v>172</v>
      </c>
      <c r="Q781" s="512" t="s">
        <v>172</v>
      </c>
    </row>
    <row r="782" spans="2:17" ht="12.75" customHeight="1" x14ac:dyDescent="0.2">
      <c r="B782" s="280">
        <v>138</v>
      </c>
      <c r="C782" s="291" t="s">
        <v>383</v>
      </c>
      <c r="D782" s="280" t="str">
        <f t="shared" si="13"/>
        <v>3DA+3</v>
      </c>
      <c r="E782" s="280" t="str">
        <f t="shared" si="14"/>
        <v>DFR</v>
      </c>
      <c r="F782" s="290">
        <v>45769</v>
      </c>
      <c r="G782" s="280">
        <v>37.93</v>
      </c>
      <c r="H782" s="716" t="s">
        <v>172</v>
      </c>
      <c r="I782" s="716"/>
      <c r="J782" s="716"/>
      <c r="K782" s="716"/>
      <c r="L782" s="254">
        <v>45774</v>
      </c>
      <c r="M782" s="280" t="s">
        <v>659</v>
      </c>
      <c r="N782" s="280">
        <v>25</v>
      </c>
      <c r="O782" s="280"/>
      <c r="P782" s="323"/>
      <c r="Q782" s="512"/>
    </row>
    <row r="783" spans="2:17" ht="12.75" customHeight="1" x14ac:dyDescent="0.2">
      <c r="B783" s="280">
        <v>139</v>
      </c>
      <c r="C783" s="291" t="s">
        <v>304</v>
      </c>
      <c r="D783" s="280" t="s">
        <v>29</v>
      </c>
      <c r="E783" s="280" t="str">
        <f t="shared" si="14"/>
        <v xml:space="preserve">WBC </v>
      </c>
      <c r="F783" s="290">
        <v>45772</v>
      </c>
      <c r="G783" s="280">
        <v>36.369999999999997</v>
      </c>
      <c r="H783" s="716" t="s">
        <v>172</v>
      </c>
      <c r="I783" s="716"/>
      <c r="J783" s="716"/>
      <c r="K783" s="716"/>
      <c r="L783" s="254">
        <v>45774</v>
      </c>
      <c r="M783" s="280" t="s">
        <v>453</v>
      </c>
      <c r="N783" s="280">
        <v>27</v>
      </c>
      <c r="O783" s="280"/>
      <c r="P783" s="323"/>
      <c r="Q783" s="512"/>
    </row>
    <row r="784" spans="2:17" ht="12.75" customHeight="1" x14ac:dyDescent="0.2">
      <c r="B784" s="280">
        <v>140</v>
      </c>
      <c r="C784" s="280" t="s">
        <v>341</v>
      </c>
      <c r="D784" s="280" t="str">
        <f>VLOOKUP(C784,$C$9:$D$222,2,FALSE)</f>
        <v>3DC1+0</v>
      </c>
      <c r="E784" s="280" t="str">
        <f t="shared" si="14"/>
        <v>DFR</v>
      </c>
      <c r="F784" s="290">
        <v>45771</v>
      </c>
      <c r="G784" s="280">
        <v>62.534999999999997</v>
      </c>
      <c r="H784" s="716" t="s">
        <v>172</v>
      </c>
      <c r="I784" s="716"/>
      <c r="J784" s="716"/>
      <c r="K784" s="716"/>
      <c r="L784" s="254">
        <v>45775</v>
      </c>
      <c r="M784" s="280" t="s">
        <v>476</v>
      </c>
      <c r="N784" s="280">
        <v>28</v>
      </c>
      <c r="O784" s="258"/>
      <c r="P784" s="323"/>
      <c r="Q784" s="512"/>
    </row>
    <row r="785" spans="2:17" ht="12.75" customHeight="1" x14ac:dyDescent="0.2">
      <c r="B785" s="280">
        <v>141</v>
      </c>
      <c r="C785" s="291" t="s">
        <v>390</v>
      </c>
      <c r="D785" s="280" t="str">
        <f>VLOOKUP(C785,$C$9:$D$222,2,FALSE)</f>
        <v>3DA+0</v>
      </c>
      <c r="E785" s="280" t="str">
        <f t="shared" si="14"/>
        <v xml:space="preserve">DFR </v>
      </c>
      <c r="F785" s="290">
        <v>45771</v>
      </c>
      <c r="G785" s="280">
        <v>36.369999999999997</v>
      </c>
      <c r="H785" s="716" t="s">
        <v>172</v>
      </c>
      <c r="I785" s="716"/>
      <c r="J785" s="716"/>
      <c r="K785" s="716"/>
      <c r="L785" s="254">
        <v>45777</v>
      </c>
      <c r="M785" s="280" t="s">
        <v>658</v>
      </c>
      <c r="N785" s="280">
        <v>29</v>
      </c>
      <c r="O785" s="258"/>
      <c r="P785" s="323"/>
      <c r="Q785" s="512"/>
    </row>
    <row r="786" spans="2:17" ht="12.75" customHeight="1" x14ac:dyDescent="0.2">
      <c r="B786" s="280">
        <v>142</v>
      </c>
      <c r="C786" s="291" t="s">
        <v>299</v>
      </c>
      <c r="D786" s="280" t="str">
        <f>VLOOKUP(C786,$C$9:$D$277,2,FALSE)</f>
        <v>3DA+0</v>
      </c>
      <c r="E786" s="280" t="str">
        <f t="shared" si="14"/>
        <v>WET</v>
      </c>
      <c r="F786" s="290">
        <v>45775</v>
      </c>
      <c r="G786" s="280">
        <v>36.369999999999997</v>
      </c>
      <c r="H786" s="716" t="s">
        <v>172</v>
      </c>
      <c r="I786" s="716"/>
      <c r="J786" s="716"/>
      <c r="K786" s="716"/>
      <c r="L786" s="254">
        <v>45777</v>
      </c>
      <c r="M786" s="280" t="s">
        <v>453</v>
      </c>
      <c r="N786" s="280">
        <v>28</v>
      </c>
      <c r="O786" s="280"/>
      <c r="P786" s="323"/>
      <c r="Q786" s="512"/>
    </row>
    <row r="787" spans="2:17" ht="12.75" customHeight="1" x14ac:dyDescent="0.2">
      <c r="B787" s="280">
        <v>143</v>
      </c>
      <c r="C787" s="291" t="s">
        <v>176</v>
      </c>
      <c r="D787" s="280" t="str">
        <f t="shared" ref="D787:D793" si="15">VLOOKUP(C787,$C$9:$D$222,2,FALSE)</f>
        <v xml:space="preserve">3DA+3 </v>
      </c>
      <c r="E787" s="280" t="str">
        <f t="shared" si="14"/>
        <v>DFR</v>
      </c>
      <c r="F787" s="290">
        <v>45776</v>
      </c>
      <c r="G787" s="280">
        <v>37.93</v>
      </c>
      <c r="H787" s="716" t="s">
        <v>172</v>
      </c>
      <c r="I787" s="716"/>
      <c r="J787" s="716"/>
      <c r="K787" s="716"/>
      <c r="L787" s="290">
        <v>45779</v>
      </c>
      <c r="M787" s="280" t="s">
        <v>476</v>
      </c>
      <c r="N787" s="280">
        <v>25</v>
      </c>
      <c r="O787" s="280"/>
      <c r="P787" s="323"/>
      <c r="Q787" s="512"/>
    </row>
    <row r="788" spans="2:17" ht="12.75" customHeight="1" x14ac:dyDescent="0.2">
      <c r="B788" s="280">
        <v>144</v>
      </c>
      <c r="C788" s="291" t="s">
        <v>271</v>
      </c>
      <c r="D788" s="280" t="str">
        <f t="shared" si="15"/>
        <v>3DA+3</v>
      </c>
      <c r="E788" s="280" t="str">
        <f t="shared" si="14"/>
        <v>DFR</v>
      </c>
      <c r="F788" s="290">
        <v>45778</v>
      </c>
      <c r="G788" s="280">
        <v>37.93</v>
      </c>
      <c r="H788" s="716" t="s">
        <v>172</v>
      </c>
      <c r="I788" s="716"/>
      <c r="J788" s="716"/>
      <c r="K788" s="716"/>
      <c r="L788" s="290">
        <v>45781</v>
      </c>
      <c r="M788" s="280" t="s">
        <v>453</v>
      </c>
      <c r="N788" s="258">
        <v>26</v>
      </c>
      <c r="O788" s="258"/>
      <c r="P788" s="512" t="s">
        <v>172</v>
      </c>
      <c r="Q788" s="512" t="s">
        <v>172</v>
      </c>
    </row>
    <row r="789" spans="2:17" ht="12.75" customHeight="1" x14ac:dyDescent="0.2">
      <c r="B789" s="280">
        <v>145</v>
      </c>
      <c r="C789" s="291" t="s">
        <v>397</v>
      </c>
      <c r="D789" s="280" t="str">
        <f t="shared" si="15"/>
        <v>3DA+0</v>
      </c>
      <c r="E789" s="280" t="str">
        <f t="shared" si="14"/>
        <v xml:space="preserve">DFR </v>
      </c>
      <c r="F789" s="290">
        <v>45779</v>
      </c>
      <c r="G789" s="280">
        <v>36.369999999999997</v>
      </c>
      <c r="H789" s="716" t="s">
        <v>172</v>
      </c>
      <c r="I789" s="716"/>
      <c r="J789" s="716"/>
      <c r="K789" s="716"/>
      <c r="L789" s="290">
        <v>45782</v>
      </c>
      <c r="M789" s="280" t="s">
        <v>658</v>
      </c>
      <c r="N789" s="418">
        <v>26</v>
      </c>
      <c r="O789" s="418"/>
      <c r="P789" s="323"/>
      <c r="Q789" s="512"/>
    </row>
    <row r="790" spans="2:17" ht="12.75" customHeight="1" x14ac:dyDescent="0.2">
      <c r="B790" s="280">
        <v>146</v>
      </c>
      <c r="C790" s="417" t="s">
        <v>276</v>
      </c>
      <c r="D790" s="418" t="str">
        <f t="shared" si="15"/>
        <v>3DA+0</v>
      </c>
      <c r="E790" s="418" t="str">
        <f t="shared" si="14"/>
        <v xml:space="preserve">WBC </v>
      </c>
      <c r="F790" s="419">
        <v>45782</v>
      </c>
      <c r="G790" s="418">
        <v>36.369999999999997</v>
      </c>
      <c r="H790" s="716" t="s">
        <v>172</v>
      </c>
      <c r="I790" s="716"/>
      <c r="J790" s="716"/>
      <c r="K790" s="716"/>
      <c r="L790" s="254">
        <v>45783</v>
      </c>
      <c r="M790" s="280" t="s">
        <v>453</v>
      </c>
      <c r="N790" s="258">
        <v>26</v>
      </c>
      <c r="O790" s="258"/>
      <c r="P790" s="323"/>
      <c r="Q790" s="512"/>
    </row>
    <row r="791" spans="2:17" ht="12.75" customHeight="1" x14ac:dyDescent="0.2">
      <c r="B791" s="280">
        <v>147</v>
      </c>
      <c r="C791" s="291" t="s">
        <v>333</v>
      </c>
      <c r="D791" s="280" t="str">
        <f t="shared" si="15"/>
        <v xml:space="preserve">3DD45+0 </v>
      </c>
      <c r="E791" s="280" t="str">
        <f t="shared" si="14"/>
        <v xml:space="preserve">DFR </v>
      </c>
      <c r="F791" s="290">
        <v>45780</v>
      </c>
      <c r="G791" s="280">
        <v>72.72</v>
      </c>
      <c r="H791" s="716" t="s">
        <v>172</v>
      </c>
      <c r="I791" s="716"/>
      <c r="J791" s="716"/>
      <c r="K791" s="716"/>
      <c r="L791" s="254">
        <v>45785</v>
      </c>
      <c r="M791" s="280" t="s">
        <v>476</v>
      </c>
      <c r="N791" s="280">
        <v>25</v>
      </c>
      <c r="O791" s="258"/>
      <c r="P791" s="323" t="s">
        <v>172</v>
      </c>
      <c r="Q791" s="512" t="s">
        <v>172</v>
      </c>
    </row>
    <row r="792" spans="2:17" ht="12.75" customHeight="1" x14ac:dyDescent="0.2">
      <c r="B792" s="280">
        <v>148</v>
      </c>
      <c r="C792" s="291" t="s">
        <v>321</v>
      </c>
      <c r="D792" s="280" t="str">
        <f t="shared" si="15"/>
        <v xml:space="preserve">3DA+3 </v>
      </c>
      <c r="E792" s="280" t="str">
        <f t="shared" si="14"/>
        <v>WET</v>
      </c>
      <c r="F792" s="290">
        <v>45774</v>
      </c>
      <c r="G792" s="280">
        <v>37.93</v>
      </c>
      <c r="H792" s="716" t="s">
        <v>172</v>
      </c>
      <c r="I792" s="716"/>
      <c r="J792" s="716"/>
      <c r="K792" s="716"/>
      <c r="L792" s="254">
        <v>45786</v>
      </c>
      <c r="M792" s="280" t="s">
        <v>443</v>
      </c>
      <c r="N792" s="280">
        <v>27</v>
      </c>
      <c r="O792" s="258"/>
      <c r="P792" s="323"/>
      <c r="Q792" s="512" t="s">
        <v>172</v>
      </c>
    </row>
    <row r="793" spans="2:17" ht="12.75" customHeight="1" x14ac:dyDescent="0.2">
      <c r="B793" s="280">
        <v>149</v>
      </c>
      <c r="C793" s="291" t="s">
        <v>273</v>
      </c>
      <c r="D793" s="280" t="str">
        <f t="shared" si="15"/>
        <v>3DA+6</v>
      </c>
      <c r="E793" s="280" t="str">
        <f t="shared" si="14"/>
        <v>DFR</v>
      </c>
      <c r="F793" s="290">
        <v>45784</v>
      </c>
      <c r="G793" s="280">
        <v>43.08</v>
      </c>
      <c r="H793" s="716" t="s">
        <v>172</v>
      </c>
      <c r="I793" s="716"/>
      <c r="J793" s="716"/>
      <c r="K793" s="716"/>
      <c r="L793" s="290">
        <v>45787</v>
      </c>
      <c r="M793" s="280" t="s">
        <v>453</v>
      </c>
      <c r="N793" s="280">
        <v>28</v>
      </c>
      <c r="O793" s="280"/>
      <c r="P793" s="512" t="s">
        <v>172</v>
      </c>
      <c r="Q793" s="512" t="s">
        <v>172</v>
      </c>
    </row>
    <row r="794" spans="2:17" ht="12.75" customHeight="1" x14ac:dyDescent="0.2">
      <c r="B794" s="280">
        <v>150</v>
      </c>
      <c r="C794" s="291" t="s">
        <v>391</v>
      </c>
      <c r="D794" s="223" t="s">
        <v>29</v>
      </c>
      <c r="E794" s="317" t="s">
        <v>30</v>
      </c>
      <c r="F794" s="290">
        <v>45783</v>
      </c>
      <c r="G794" s="280">
        <v>36.369999999999997</v>
      </c>
      <c r="H794" s="716" t="s">
        <v>172</v>
      </c>
      <c r="I794" s="716"/>
      <c r="J794" s="716"/>
      <c r="K794" s="716"/>
      <c r="L794" s="290">
        <v>45787</v>
      </c>
      <c r="M794" s="280" t="s">
        <v>708</v>
      </c>
      <c r="N794" s="280">
        <v>29</v>
      </c>
      <c r="O794" s="280"/>
      <c r="P794" s="323"/>
      <c r="Q794" s="512"/>
    </row>
    <row r="795" spans="2:17" ht="12.75" customHeight="1" x14ac:dyDescent="0.2">
      <c r="B795" s="280">
        <v>151</v>
      </c>
      <c r="C795" s="291" t="s">
        <v>268</v>
      </c>
      <c r="D795" s="331" t="s">
        <v>34</v>
      </c>
      <c r="E795" s="317" t="s">
        <v>30</v>
      </c>
      <c r="F795" s="290">
        <v>45787</v>
      </c>
      <c r="G795" s="280">
        <v>37.93</v>
      </c>
      <c r="H795" s="716" t="s">
        <v>172</v>
      </c>
      <c r="I795" s="716"/>
      <c r="J795" s="716"/>
      <c r="K795" s="716"/>
      <c r="L795" s="290">
        <v>45790</v>
      </c>
      <c r="M795" s="280" t="s">
        <v>453</v>
      </c>
      <c r="N795" s="280">
        <v>25</v>
      </c>
      <c r="O795" s="280"/>
      <c r="P795" s="512" t="s">
        <v>172</v>
      </c>
      <c r="Q795" s="512" t="s">
        <v>172</v>
      </c>
    </row>
    <row r="796" spans="2:17" ht="12.75" customHeight="1" x14ac:dyDescent="0.2">
      <c r="B796" s="280">
        <v>152</v>
      </c>
      <c r="C796" s="291" t="s">
        <v>331</v>
      </c>
      <c r="D796" s="331" t="s">
        <v>135</v>
      </c>
      <c r="E796" s="317" t="s">
        <v>30</v>
      </c>
      <c r="F796" s="290">
        <v>45787</v>
      </c>
      <c r="G796" s="280">
        <v>54.66</v>
      </c>
      <c r="H796" s="716" t="s">
        <v>172</v>
      </c>
      <c r="I796" s="716"/>
      <c r="J796" s="716"/>
      <c r="K796" s="716"/>
      <c r="L796" s="290">
        <v>45791</v>
      </c>
      <c r="M796" s="280" t="s">
        <v>476</v>
      </c>
      <c r="N796" s="280">
        <v>29</v>
      </c>
      <c r="O796" s="280"/>
      <c r="P796" s="323" t="s">
        <v>172</v>
      </c>
      <c r="Q796" s="512" t="s">
        <v>172</v>
      </c>
    </row>
    <row r="797" spans="2:17" ht="12.75" customHeight="1" x14ac:dyDescent="0.2">
      <c r="B797" s="280">
        <v>153</v>
      </c>
      <c r="C797" s="291" t="s">
        <v>394</v>
      </c>
      <c r="D797" s="331" t="s">
        <v>29</v>
      </c>
      <c r="E797" s="317" t="s">
        <v>30</v>
      </c>
      <c r="F797" s="290">
        <v>45788</v>
      </c>
      <c r="G797" s="280">
        <v>36.369999999999997</v>
      </c>
      <c r="H797" s="716" t="s">
        <v>172</v>
      </c>
      <c r="I797" s="716"/>
      <c r="J797" s="716"/>
      <c r="K797" s="716"/>
      <c r="L797" s="290">
        <v>45793</v>
      </c>
      <c r="M797" s="280" t="s">
        <v>708</v>
      </c>
      <c r="N797" s="280">
        <v>28</v>
      </c>
      <c r="O797" s="280"/>
      <c r="P797" s="323"/>
      <c r="Q797" s="512"/>
    </row>
    <row r="798" spans="2:17" ht="12.75" customHeight="1" x14ac:dyDescent="0.2">
      <c r="B798" s="280">
        <v>154</v>
      </c>
      <c r="C798" s="291" t="s">
        <v>266</v>
      </c>
      <c r="D798" s="331" t="s">
        <v>29</v>
      </c>
      <c r="E798" s="317" t="s">
        <v>337</v>
      </c>
      <c r="F798" s="290">
        <v>45791</v>
      </c>
      <c r="G798" s="280">
        <v>36.369999999999997</v>
      </c>
      <c r="H798" s="716" t="s">
        <v>172</v>
      </c>
      <c r="I798" s="716"/>
      <c r="J798" s="716"/>
      <c r="K798" s="716"/>
      <c r="L798" s="290">
        <v>45794</v>
      </c>
      <c r="M798" s="280" t="s">
        <v>453</v>
      </c>
      <c r="N798" s="280">
        <v>30</v>
      </c>
      <c r="O798" s="280"/>
      <c r="P798" s="512" t="s">
        <v>172</v>
      </c>
      <c r="Q798" s="512" t="s">
        <v>172</v>
      </c>
    </row>
    <row r="799" spans="2:17" ht="12.75" customHeight="1" x14ac:dyDescent="0.2">
      <c r="B799" s="280">
        <v>155</v>
      </c>
      <c r="C799" s="291" t="s">
        <v>265</v>
      </c>
      <c r="D799" s="259" t="s">
        <v>34</v>
      </c>
      <c r="E799" s="259" t="s">
        <v>337</v>
      </c>
      <c r="F799" s="290">
        <v>45795</v>
      </c>
      <c r="G799" s="280">
        <v>37.93</v>
      </c>
      <c r="H799" s="716" t="s">
        <v>172</v>
      </c>
      <c r="I799" s="716"/>
      <c r="J799" s="716"/>
      <c r="K799" s="716"/>
      <c r="L799" s="290">
        <v>45797</v>
      </c>
      <c r="M799" s="280" t="s">
        <v>453</v>
      </c>
      <c r="N799" s="280">
        <v>28</v>
      </c>
      <c r="O799" s="280"/>
      <c r="P799" s="512" t="s">
        <v>662</v>
      </c>
      <c r="Q799" s="512" t="s">
        <v>662</v>
      </c>
    </row>
    <row r="800" spans="2:17" ht="12.75" customHeight="1" x14ac:dyDescent="0.2">
      <c r="B800" s="280">
        <v>156</v>
      </c>
      <c r="C800" s="291" t="s">
        <v>327</v>
      </c>
      <c r="D800" s="331" t="s">
        <v>502</v>
      </c>
      <c r="E800" s="317" t="s">
        <v>462</v>
      </c>
      <c r="F800" s="290">
        <v>45792</v>
      </c>
      <c r="G800" s="280">
        <v>72.72</v>
      </c>
      <c r="H800" s="716" t="s">
        <v>172</v>
      </c>
      <c r="I800" s="716"/>
      <c r="J800" s="716"/>
      <c r="K800" s="716"/>
      <c r="L800" s="290">
        <v>45799</v>
      </c>
      <c r="M800" s="280" t="s">
        <v>476</v>
      </c>
      <c r="N800" s="280">
        <v>27</v>
      </c>
      <c r="O800" s="280"/>
      <c r="P800" s="323" t="s">
        <v>494</v>
      </c>
      <c r="Q800" s="512" t="s">
        <v>172</v>
      </c>
    </row>
    <row r="801" spans="1:17" ht="12.75" customHeight="1" x14ac:dyDescent="0.2">
      <c r="B801" s="280">
        <v>157</v>
      </c>
      <c r="C801" s="291" t="s">
        <v>385</v>
      </c>
      <c r="D801" s="280" t="str">
        <f>VLOOKUP(C801,$C$9:$D$222,2,FALSE)</f>
        <v>3DA+3</v>
      </c>
      <c r="E801" s="280" t="str">
        <f>VLOOKUP(C801,$C$9:$E$273,3,FALSE)</f>
        <v xml:space="preserve">DFR </v>
      </c>
      <c r="F801" s="290">
        <v>45788</v>
      </c>
      <c r="G801" s="280">
        <v>37.93</v>
      </c>
      <c r="H801" s="716" t="s">
        <v>172</v>
      </c>
      <c r="I801" s="716"/>
      <c r="J801" s="716"/>
      <c r="K801" s="716"/>
      <c r="L801" s="290">
        <v>45801</v>
      </c>
      <c r="M801" s="280" t="s">
        <v>707</v>
      </c>
      <c r="N801" s="280">
        <v>28</v>
      </c>
      <c r="O801" s="280"/>
      <c r="P801" s="323"/>
      <c r="Q801" s="512"/>
    </row>
    <row r="802" spans="1:17" ht="12.75" customHeight="1" x14ac:dyDescent="0.2">
      <c r="B802" s="280">
        <v>158</v>
      </c>
      <c r="C802" s="291" t="s">
        <v>267</v>
      </c>
      <c r="D802" s="259" t="s">
        <v>34</v>
      </c>
      <c r="E802" s="259" t="s">
        <v>30</v>
      </c>
      <c r="F802" s="290">
        <v>45798</v>
      </c>
      <c r="G802" s="280">
        <v>37.93</v>
      </c>
      <c r="H802" s="716" t="s">
        <v>172</v>
      </c>
      <c r="I802" s="716"/>
      <c r="J802" s="716"/>
      <c r="K802" s="716"/>
      <c r="L802" s="290">
        <v>45805</v>
      </c>
      <c r="M802" s="280" t="s">
        <v>453</v>
      </c>
      <c r="N802" s="280">
        <v>28</v>
      </c>
      <c r="O802" s="280"/>
      <c r="P802" s="512" t="s">
        <v>172</v>
      </c>
      <c r="Q802" s="512" t="s">
        <v>662</v>
      </c>
    </row>
    <row r="803" spans="1:17" ht="12.75" customHeight="1" x14ac:dyDescent="0.2">
      <c r="B803" s="280">
        <v>159</v>
      </c>
      <c r="C803" s="291" t="s">
        <v>376</v>
      </c>
      <c r="D803" s="280" t="str">
        <f>VLOOKUP(C803,$C$9:$D$222,2,FALSE)</f>
        <v>3DA+0</v>
      </c>
      <c r="E803" s="280" t="str">
        <f>VLOOKUP(C803,$C$9:$E$273,3,FALSE)</f>
        <v>DFR</v>
      </c>
      <c r="F803" s="290">
        <v>45785</v>
      </c>
      <c r="G803" s="280">
        <v>36.369999999999997</v>
      </c>
      <c r="H803" s="716" t="s">
        <v>172</v>
      </c>
      <c r="I803" s="716"/>
      <c r="J803" s="716"/>
      <c r="K803" s="716"/>
      <c r="L803" s="290">
        <v>45808</v>
      </c>
      <c r="M803" s="280" t="s">
        <v>707</v>
      </c>
      <c r="N803" s="280">
        <v>25</v>
      </c>
      <c r="O803" s="258"/>
      <c r="P803" s="323"/>
      <c r="Q803" s="512"/>
    </row>
    <row r="804" spans="1:17" ht="12.75" customHeight="1" x14ac:dyDescent="0.2">
      <c r="B804" s="280">
        <v>160</v>
      </c>
      <c r="C804" s="291" t="s">
        <v>269</v>
      </c>
      <c r="D804" s="280" t="s">
        <v>34</v>
      </c>
      <c r="E804" s="280" t="s">
        <v>30</v>
      </c>
      <c r="F804" s="290">
        <v>45806</v>
      </c>
      <c r="G804" s="280">
        <v>37.93</v>
      </c>
      <c r="H804" s="716" t="s">
        <v>172</v>
      </c>
      <c r="I804" s="716"/>
      <c r="J804" s="716"/>
      <c r="K804" s="716"/>
      <c r="L804" s="290">
        <v>45810</v>
      </c>
      <c r="M804" s="280" t="s">
        <v>453</v>
      </c>
      <c r="N804" s="280">
        <v>25</v>
      </c>
      <c r="O804" s="280"/>
      <c r="P804" s="512" t="s">
        <v>172</v>
      </c>
      <c r="Q804" s="512" t="s">
        <v>172</v>
      </c>
    </row>
    <row r="805" spans="1:17" s="221" customFormat="1" ht="12.75" customHeight="1" x14ac:dyDescent="0.2">
      <c r="B805" s="280">
        <v>161</v>
      </c>
      <c r="C805" s="291" t="s">
        <v>319</v>
      </c>
      <c r="D805" s="280" t="str">
        <f>VLOOKUP(C805,$C$9:$D$222,2,FALSE)</f>
        <v xml:space="preserve">3DC1+0 </v>
      </c>
      <c r="E805" s="280" t="str">
        <f>VLOOKUP(C805,$C$9:$E$273,3,FALSE)</f>
        <v xml:space="preserve">WBC </v>
      </c>
      <c r="F805" s="290">
        <v>45787</v>
      </c>
      <c r="G805" s="280">
        <v>62.534999999999997</v>
      </c>
      <c r="H805" s="716" t="s">
        <v>172</v>
      </c>
      <c r="I805" s="716"/>
      <c r="J805" s="716"/>
      <c r="K805" s="716"/>
      <c r="L805" s="290">
        <v>45812</v>
      </c>
      <c r="M805" s="280" t="s">
        <v>443</v>
      </c>
      <c r="N805" s="280">
        <v>28</v>
      </c>
      <c r="O805" s="280"/>
      <c r="P805" s="323"/>
      <c r="Q805" s="512" t="s">
        <v>172</v>
      </c>
    </row>
    <row r="806" spans="1:17" ht="12" customHeight="1" x14ac:dyDescent="0.2">
      <c r="B806" s="280">
        <v>162</v>
      </c>
      <c r="C806" s="291" t="s">
        <v>361</v>
      </c>
      <c r="D806" s="280" t="s">
        <v>732</v>
      </c>
      <c r="E806" s="280" t="s">
        <v>336</v>
      </c>
      <c r="F806" s="290">
        <v>45809</v>
      </c>
      <c r="G806" s="280">
        <v>34.945999999999998</v>
      </c>
      <c r="H806" s="716" t="s">
        <v>172</v>
      </c>
      <c r="I806" s="716"/>
      <c r="J806" s="716"/>
      <c r="K806" s="716"/>
      <c r="L806" s="290">
        <v>45814</v>
      </c>
      <c r="M806" s="280" t="s">
        <v>707</v>
      </c>
      <c r="N806" s="280">
        <v>28</v>
      </c>
      <c r="O806" s="258"/>
      <c r="P806" s="512" t="s">
        <v>172</v>
      </c>
      <c r="Q806" s="512" t="s">
        <v>172</v>
      </c>
    </row>
    <row r="807" spans="1:17" s="221" customFormat="1" x14ac:dyDescent="0.2">
      <c r="B807" s="280">
        <v>163</v>
      </c>
      <c r="C807" s="291" t="s">
        <v>350</v>
      </c>
      <c r="D807" s="280" t="s">
        <v>353</v>
      </c>
      <c r="E807" s="280" t="s">
        <v>30</v>
      </c>
      <c r="F807" s="290">
        <v>45811</v>
      </c>
      <c r="G807" s="491">
        <v>71.705693999999994</v>
      </c>
      <c r="H807" s="716" t="s">
        <v>172</v>
      </c>
      <c r="I807" s="716"/>
      <c r="J807" s="716"/>
      <c r="K807" s="716"/>
      <c r="L807" s="290">
        <v>45819</v>
      </c>
      <c r="M807" s="280" t="s">
        <v>453</v>
      </c>
      <c r="N807" s="280">
        <v>30</v>
      </c>
      <c r="O807" s="280"/>
      <c r="P807" s="512" t="s">
        <v>494</v>
      </c>
      <c r="Q807" s="512" t="s">
        <v>172</v>
      </c>
    </row>
    <row r="808" spans="1:17" ht="12.75" customHeight="1" x14ac:dyDescent="0.2">
      <c r="B808" s="280">
        <v>164</v>
      </c>
      <c r="C808" s="291" t="s">
        <v>371</v>
      </c>
      <c r="D808" s="280" t="s">
        <v>285</v>
      </c>
      <c r="E808" s="280" t="s">
        <v>30</v>
      </c>
      <c r="F808" s="290">
        <v>45813</v>
      </c>
      <c r="G808" s="280">
        <v>34.945999999999998</v>
      </c>
      <c r="H808" s="716" t="s">
        <v>172</v>
      </c>
      <c r="I808" s="716"/>
      <c r="J808" s="716"/>
      <c r="K808" s="716"/>
      <c r="L808" s="290">
        <v>45824</v>
      </c>
      <c r="M808" s="280" t="s">
        <v>707</v>
      </c>
      <c r="N808" s="280">
        <v>27</v>
      </c>
      <c r="O808" s="258"/>
      <c r="P808" s="323"/>
      <c r="Q808" s="512"/>
    </row>
    <row r="809" spans="1:17" x14ac:dyDescent="0.2">
      <c r="A809" s="225" t="s">
        <v>636</v>
      </c>
      <c r="B809" s="280">
        <v>165</v>
      </c>
      <c r="C809" s="291" t="s">
        <v>349</v>
      </c>
      <c r="D809" s="280" t="s">
        <v>352</v>
      </c>
      <c r="E809" s="280" t="s">
        <v>30</v>
      </c>
      <c r="F809" s="290">
        <v>45814</v>
      </c>
      <c r="G809" s="280">
        <v>64.891000000000005</v>
      </c>
      <c r="H809" s="716" t="s">
        <v>172</v>
      </c>
      <c r="I809" s="716"/>
      <c r="J809" s="716"/>
      <c r="K809" s="716"/>
      <c r="L809" s="290">
        <v>45826</v>
      </c>
      <c r="M809" s="280" t="s">
        <v>453</v>
      </c>
      <c r="N809" s="280">
        <v>28</v>
      </c>
      <c r="O809" s="280"/>
      <c r="P809" s="323" t="s">
        <v>494</v>
      </c>
      <c r="Q809" s="512" t="s">
        <v>172</v>
      </c>
    </row>
    <row r="810" spans="1:17" x14ac:dyDescent="0.2">
      <c r="B810" s="280">
        <v>166</v>
      </c>
      <c r="C810" s="291" t="s">
        <v>335</v>
      </c>
      <c r="D810" s="280" t="s">
        <v>285</v>
      </c>
      <c r="E810" s="280" t="s">
        <v>432</v>
      </c>
      <c r="F810" s="290">
        <v>45813</v>
      </c>
      <c r="G810" s="280">
        <v>34.945999999999998</v>
      </c>
      <c r="H810" s="716" t="s">
        <v>172</v>
      </c>
      <c r="I810" s="716"/>
      <c r="J810" s="716"/>
      <c r="K810" s="716"/>
      <c r="L810" s="290">
        <v>45827</v>
      </c>
      <c r="M810" s="258" t="s">
        <v>443</v>
      </c>
      <c r="N810" s="280">
        <v>28</v>
      </c>
      <c r="O810" s="258"/>
      <c r="P810" s="323" t="s">
        <v>172</v>
      </c>
      <c r="Q810" s="512" t="s">
        <v>172</v>
      </c>
    </row>
    <row r="811" spans="1:17" ht="12.75" customHeight="1" x14ac:dyDescent="0.2">
      <c r="B811" s="280">
        <v>167</v>
      </c>
      <c r="C811" s="291" t="s">
        <v>270</v>
      </c>
      <c r="D811" s="342" t="s">
        <v>43</v>
      </c>
      <c r="E811" s="280" t="s">
        <v>30</v>
      </c>
      <c r="F811" s="290">
        <v>45827</v>
      </c>
      <c r="G811" s="280">
        <v>43.08</v>
      </c>
      <c r="H811" s="716" t="s">
        <v>172</v>
      </c>
      <c r="I811" s="716"/>
      <c r="J811" s="716"/>
      <c r="K811" s="716"/>
      <c r="L811" s="290">
        <v>45832</v>
      </c>
      <c r="M811" s="280" t="s">
        <v>453</v>
      </c>
      <c r="N811" s="280">
        <v>25</v>
      </c>
      <c r="O811" s="280"/>
      <c r="P811" s="512" t="s">
        <v>172</v>
      </c>
      <c r="Q811" s="512" t="s">
        <v>172</v>
      </c>
    </row>
    <row r="812" spans="1:17" ht="12.75" customHeight="1" x14ac:dyDescent="0.2">
      <c r="B812" s="280">
        <v>168</v>
      </c>
      <c r="C812" s="291" t="s">
        <v>372</v>
      </c>
      <c r="D812" s="342" t="s">
        <v>275</v>
      </c>
      <c r="E812" s="280" t="s">
        <v>30</v>
      </c>
      <c r="F812" s="290">
        <v>45825</v>
      </c>
      <c r="G812" s="280">
        <v>62.534999999999997</v>
      </c>
      <c r="H812" s="716" t="s">
        <v>172</v>
      </c>
      <c r="I812" s="716"/>
      <c r="J812" s="716"/>
      <c r="K812" s="716"/>
      <c r="L812" s="290">
        <v>45833</v>
      </c>
      <c r="M812" s="280" t="s">
        <v>707</v>
      </c>
      <c r="N812" s="280">
        <v>29</v>
      </c>
      <c r="O812" s="280"/>
      <c r="P812" s="323"/>
      <c r="Q812" s="512" t="s">
        <v>494</v>
      </c>
    </row>
    <row r="813" spans="1:17" ht="12.75" customHeight="1" x14ac:dyDescent="0.2">
      <c r="B813" s="280">
        <v>169</v>
      </c>
      <c r="C813" s="291" t="s">
        <v>277</v>
      </c>
      <c r="D813" s="280" t="s">
        <v>29</v>
      </c>
      <c r="E813" s="280" t="s">
        <v>463</v>
      </c>
      <c r="F813" s="290">
        <v>45833</v>
      </c>
      <c r="G813" s="280">
        <v>36.372</v>
      </c>
      <c r="H813" s="716" t="s">
        <v>172</v>
      </c>
      <c r="I813" s="716"/>
      <c r="J813" s="716"/>
      <c r="K813" s="716"/>
      <c r="L813" s="290">
        <v>45836</v>
      </c>
      <c r="M813" s="280" t="s">
        <v>453</v>
      </c>
      <c r="N813" s="280">
        <v>28</v>
      </c>
      <c r="O813" s="280"/>
      <c r="P813" s="323"/>
      <c r="Q813" s="323"/>
    </row>
    <row r="814" spans="1:17" s="221" customFormat="1" ht="12.75" customHeight="1" x14ac:dyDescent="0.2">
      <c r="B814" s="280">
        <v>170</v>
      </c>
      <c r="C814" s="291" t="s">
        <v>278</v>
      </c>
      <c r="D814" s="259" t="s">
        <v>285</v>
      </c>
      <c r="E814" s="259" t="s">
        <v>456</v>
      </c>
      <c r="F814" s="290">
        <v>45837</v>
      </c>
      <c r="G814" s="280">
        <v>34.945999999999998</v>
      </c>
      <c r="H814" s="716" t="s">
        <v>172</v>
      </c>
      <c r="I814" s="716"/>
      <c r="J814" s="716"/>
      <c r="K814" s="716"/>
      <c r="L814" s="290">
        <v>45840</v>
      </c>
      <c r="M814" s="280" t="s">
        <v>453</v>
      </c>
      <c r="N814" s="280">
        <v>27</v>
      </c>
      <c r="O814" s="280"/>
      <c r="P814" s="323"/>
      <c r="Q814" s="323"/>
    </row>
    <row r="815" spans="1:17" ht="12.75" customHeight="1" x14ac:dyDescent="0.2">
      <c r="B815" s="280">
        <v>171</v>
      </c>
      <c r="C815" s="291" t="s">
        <v>301</v>
      </c>
      <c r="D815" s="280" t="s">
        <v>612</v>
      </c>
      <c r="E815" s="280" t="s">
        <v>462</v>
      </c>
      <c r="F815" s="290">
        <v>45832</v>
      </c>
      <c r="G815" s="491">
        <v>76.192999999999998</v>
      </c>
      <c r="H815" s="716" t="s">
        <v>172</v>
      </c>
      <c r="I815" s="716"/>
      <c r="J815" s="716"/>
      <c r="K815" s="716"/>
      <c r="L815" s="290">
        <v>45842</v>
      </c>
      <c r="M815" s="258" t="s">
        <v>754</v>
      </c>
      <c r="N815" s="280">
        <v>30</v>
      </c>
      <c r="O815" s="280"/>
      <c r="P815" s="323"/>
      <c r="Q815" s="323"/>
    </row>
    <row r="816" spans="1:17" ht="12.75" customHeight="1" x14ac:dyDescent="0.2">
      <c r="B816" s="280">
        <v>172</v>
      </c>
      <c r="C816" s="291" t="s">
        <v>377</v>
      </c>
      <c r="D816" s="280" t="s">
        <v>29</v>
      </c>
      <c r="E816" s="280" t="s">
        <v>30</v>
      </c>
      <c r="F816" s="290">
        <v>45833</v>
      </c>
      <c r="G816" s="280">
        <v>36.372</v>
      </c>
      <c r="H816" s="716" t="s">
        <v>172</v>
      </c>
      <c r="I816" s="716"/>
      <c r="J816" s="716"/>
      <c r="K816" s="716"/>
      <c r="L816" s="290">
        <v>45842</v>
      </c>
      <c r="M816" s="258" t="s">
        <v>707</v>
      </c>
      <c r="N816" s="280">
        <v>28</v>
      </c>
      <c r="O816" s="280"/>
      <c r="P816" s="323"/>
      <c r="Q816" s="323"/>
    </row>
    <row r="817" spans="2:17" s="221" customFormat="1" ht="12.75" customHeight="1" x14ac:dyDescent="0.2">
      <c r="B817" s="280">
        <v>173</v>
      </c>
      <c r="C817" s="291" t="s">
        <v>406</v>
      </c>
      <c r="D817" s="280" t="s">
        <v>34</v>
      </c>
      <c r="E817" s="280" t="s">
        <v>30</v>
      </c>
      <c r="F817" s="290">
        <v>45832</v>
      </c>
      <c r="G817" s="280">
        <v>37.930999999999997</v>
      </c>
      <c r="H817" s="716" t="s">
        <v>172</v>
      </c>
      <c r="I817" s="716"/>
      <c r="J817" s="716"/>
      <c r="K817" s="716"/>
      <c r="L817" s="290">
        <v>45843</v>
      </c>
      <c r="M817" s="280" t="s">
        <v>755</v>
      </c>
      <c r="N817" s="280">
        <v>27</v>
      </c>
      <c r="O817" s="280"/>
      <c r="P817" s="323"/>
      <c r="Q817" s="323"/>
    </row>
    <row r="818" spans="2:17" s="221" customFormat="1" ht="12.75" customHeight="1" x14ac:dyDescent="0.2">
      <c r="B818" s="280">
        <v>174</v>
      </c>
      <c r="C818" s="291" t="s">
        <v>332</v>
      </c>
      <c r="D818" s="280" t="s">
        <v>131</v>
      </c>
      <c r="E818" s="280" t="s">
        <v>30</v>
      </c>
      <c r="F818" s="290">
        <v>45828</v>
      </c>
      <c r="G818" s="280">
        <v>54.66</v>
      </c>
      <c r="H818" s="716" t="s">
        <v>172</v>
      </c>
      <c r="I818" s="716"/>
      <c r="J818" s="716"/>
      <c r="K818" s="716"/>
      <c r="L818" s="290">
        <v>45845</v>
      </c>
      <c r="M818" s="280" t="s">
        <v>443</v>
      </c>
      <c r="N818" s="280">
        <v>28</v>
      </c>
      <c r="O818" s="280"/>
      <c r="P818" s="323" t="s">
        <v>172</v>
      </c>
      <c r="Q818" s="323" t="s">
        <v>172</v>
      </c>
    </row>
    <row r="819" spans="2:17" s="221" customFormat="1" ht="12.75" customHeight="1" x14ac:dyDescent="0.2">
      <c r="B819" s="280">
        <v>175</v>
      </c>
      <c r="C819" s="291" t="s">
        <v>264</v>
      </c>
      <c r="D819" s="280" t="s">
        <v>131</v>
      </c>
      <c r="E819" s="280" t="s">
        <v>30</v>
      </c>
      <c r="F819" s="290">
        <v>45841</v>
      </c>
      <c r="G819" s="280">
        <v>54.66</v>
      </c>
      <c r="H819" s="716" t="s">
        <v>172</v>
      </c>
      <c r="I819" s="716"/>
      <c r="J819" s="716"/>
      <c r="K819" s="716"/>
      <c r="L819" s="290">
        <v>45845</v>
      </c>
      <c r="M819" s="280" t="s">
        <v>453</v>
      </c>
      <c r="N819" s="280">
        <v>28</v>
      </c>
      <c r="O819" s="280"/>
      <c r="P819" s="512" t="s">
        <v>662</v>
      </c>
      <c r="Q819" s="512" t="s">
        <v>662</v>
      </c>
    </row>
    <row r="820" spans="2:17" ht="12.75" customHeight="1" x14ac:dyDescent="0.2">
      <c r="B820" s="280">
        <v>176</v>
      </c>
      <c r="C820" s="302" t="s">
        <v>231</v>
      </c>
      <c r="D820" s="488" t="s">
        <v>206</v>
      </c>
      <c r="E820" s="280" t="s">
        <v>30</v>
      </c>
      <c r="F820" s="290">
        <v>45842</v>
      </c>
      <c r="G820" s="280">
        <v>31.99</v>
      </c>
      <c r="H820" s="716" t="s">
        <v>172</v>
      </c>
      <c r="I820" s="716"/>
      <c r="J820" s="716"/>
      <c r="K820" s="716"/>
      <c r="L820" s="290">
        <v>45848</v>
      </c>
      <c r="M820" s="258" t="s">
        <v>471</v>
      </c>
      <c r="N820" s="258">
        <v>24</v>
      </c>
      <c r="O820" s="258"/>
      <c r="P820" s="323"/>
      <c r="Q820" s="323"/>
    </row>
    <row r="821" spans="2:17" s="221" customFormat="1" ht="12.75" customHeight="1" x14ac:dyDescent="0.2">
      <c r="B821" s="280">
        <v>177</v>
      </c>
      <c r="C821" s="280" t="s">
        <v>262</v>
      </c>
      <c r="D821" s="223" t="s">
        <v>205</v>
      </c>
      <c r="E821" s="259" t="s">
        <v>337</v>
      </c>
      <c r="F821" s="290" t="s">
        <v>769</v>
      </c>
      <c r="G821" s="280">
        <v>33.380000000000003</v>
      </c>
      <c r="H821" s="716" t="s">
        <v>172</v>
      </c>
      <c r="I821" s="716"/>
      <c r="J821" s="716"/>
      <c r="K821" s="716"/>
      <c r="L821" s="290">
        <v>45850</v>
      </c>
      <c r="M821" s="280" t="s">
        <v>453</v>
      </c>
      <c r="N821" s="280">
        <v>27</v>
      </c>
      <c r="O821" s="280"/>
      <c r="P821" s="512" t="s">
        <v>662</v>
      </c>
      <c r="Q821" s="511" t="s">
        <v>172</v>
      </c>
    </row>
    <row r="822" spans="2:17" s="221" customFormat="1" ht="12.75" customHeight="1" x14ac:dyDescent="0.2">
      <c r="B822" s="280">
        <v>178</v>
      </c>
      <c r="C822" s="280" t="s">
        <v>405</v>
      </c>
      <c r="D822" s="259" t="s">
        <v>34</v>
      </c>
      <c r="E822" s="259" t="s">
        <v>337</v>
      </c>
      <c r="F822" s="290">
        <v>45844</v>
      </c>
      <c r="G822" s="280">
        <v>37.930999999999997</v>
      </c>
      <c r="H822" s="716" t="s">
        <v>172</v>
      </c>
      <c r="I822" s="716"/>
      <c r="J822" s="716"/>
      <c r="K822" s="716"/>
      <c r="L822" s="290">
        <v>45850</v>
      </c>
      <c r="M822" s="280" t="s">
        <v>755</v>
      </c>
      <c r="N822" s="280">
        <v>24</v>
      </c>
      <c r="O822" s="280"/>
      <c r="P822" s="511"/>
      <c r="Q822" s="511"/>
    </row>
    <row r="823" spans="2:17" ht="12.75" customHeight="1" x14ac:dyDescent="0.2">
      <c r="B823" s="280">
        <v>179</v>
      </c>
      <c r="C823" s="280" t="s">
        <v>300</v>
      </c>
      <c r="D823" s="215" t="s">
        <v>309</v>
      </c>
      <c r="E823" s="215" t="s">
        <v>462</v>
      </c>
      <c r="F823" s="280" t="s">
        <v>766</v>
      </c>
      <c r="G823" s="280">
        <v>71.706000000000003</v>
      </c>
      <c r="H823" s="716" t="s">
        <v>172</v>
      </c>
      <c r="I823" s="716"/>
      <c r="J823" s="716"/>
      <c r="K823" s="716"/>
      <c r="L823" s="290">
        <v>45851</v>
      </c>
      <c r="M823" s="280" t="s">
        <v>754</v>
      </c>
      <c r="N823" s="280">
        <v>26</v>
      </c>
      <c r="O823" s="280"/>
      <c r="P823" s="511"/>
      <c r="Q823" s="511"/>
    </row>
    <row r="824" spans="2:17" ht="12.75" customHeight="1" x14ac:dyDescent="0.2">
      <c r="B824" s="280">
        <v>180</v>
      </c>
      <c r="C824" s="291" t="s">
        <v>230</v>
      </c>
      <c r="D824" s="283" t="s">
        <v>206</v>
      </c>
      <c r="E824" s="317" t="s">
        <v>30</v>
      </c>
      <c r="F824" s="290">
        <v>45849</v>
      </c>
      <c r="G824" s="280">
        <v>31.99</v>
      </c>
      <c r="H824" s="716" t="s">
        <v>172</v>
      </c>
      <c r="I824" s="716"/>
      <c r="J824" s="716"/>
      <c r="K824" s="716"/>
      <c r="L824" s="290">
        <v>45853</v>
      </c>
      <c r="M824" s="280" t="s">
        <v>471</v>
      </c>
      <c r="N824" s="280">
        <v>27</v>
      </c>
      <c r="O824" s="280"/>
      <c r="P824" s="511"/>
      <c r="Q824" s="511"/>
    </row>
    <row r="825" spans="2:17" ht="12.75" customHeight="1" x14ac:dyDescent="0.2">
      <c r="B825" s="280">
        <v>181</v>
      </c>
      <c r="C825" s="280" t="s">
        <v>374</v>
      </c>
      <c r="D825" s="283" t="s">
        <v>633</v>
      </c>
      <c r="E825" s="317" t="s">
        <v>30</v>
      </c>
      <c r="F825" s="290">
        <v>45843</v>
      </c>
      <c r="G825" s="280">
        <v>63.16</v>
      </c>
      <c r="H825" s="716" t="s">
        <v>172</v>
      </c>
      <c r="I825" s="716"/>
      <c r="J825" s="716"/>
      <c r="K825" s="716"/>
      <c r="L825" s="290">
        <v>45854</v>
      </c>
      <c r="M825" s="280" t="s">
        <v>707</v>
      </c>
      <c r="N825" s="258">
        <v>25</v>
      </c>
      <c r="O825" s="258"/>
      <c r="P825" s="511"/>
      <c r="Q825" s="280"/>
    </row>
    <row r="826" spans="2:17" ht="12.75" customHeight="1" x14ac:dyDescent="0.2">
      <c r="B826" s="280">
        <v>182</v>
      </c>
      <c r="C826" s="291" t="s">
        <v>260</v>
      </c>
      <c r="D826" s="317" t="s">
        <v>206</v>
      </c>
      <c r="E826" s="317" t="s">
        <v>337</v>
      </c>
      <c r="F826" s="290">
        <v>45851</v>
      </c>
      <c r="G826" s="280">
        <v>31.99</v>
      </c>
      <c r="H826" s="716" t="s">
        <v>172</v>
      </c>
      <c r="I826" s="716"/>
      <c r="J826" s="716"/>
      <c r="K826" s="716"/>
      <c r="L826" s="290">
        <v>45854</v>
      </c>
      <c r="M826" s="280" t="s">
        <v>453</v>
      </c>
      <c r="N826" s="280">
        <v>26</v>
      </c>
      <c r="O826" s="280"/>
      <c r="P826" s="512" t="s">
        <v>662</v>
      </c>
      <c r="Q826" s="511" t="s">
        <v>172</v>
      </c>
    </row>
    <row r="827" spans="2:17" ht="12.75" customHeight="1" x14ac:dyDescent="0.2">
      <c r="B827" s="280">
        <v>183</v>
      </c>
      <c r="C827" s="291" t="s">
        <v>229</v>
      </c>
      <c r="D827" s="317" t="s">
        <v>206</v>
      </c>
      <c r="E827" s="317" t="s">
        <v>30</v>
      </c>
      <c r="F827" s="290">
        <v>45853</v>
      </c>
      <c r="G827" s="280">
        <v>31.99</v>
      </c>
      <c r="H827" s="716" t="s">
        <v>172</v>
      </c>
      <c r="I827" s="716"/>
      <c r="J827" s="716"/>
      <c r="K827" s="716"/>
      <c r="L827" s="290">
        <v>45856</v>
      </c>
      <c r="M827" s="280" t="s">
        <v>476</v>
      </c>
      <c r="N827" s="511">
        <v>25</v>
      </c>
      <c r="O827" s="280"/>
      <c r="P827" s="511"/>
      <c r="Q827" s="280"/>
    </row>
    <row r="828" spans="2:17" ht="12.75" customHeight="1" x14ac:dyDescent="0.2">
      <c r="B828" s="280">
        <v>184</v>
      </c>
      <c r="C828" s="291" t="s">
        <v>259</v>
      </c>
      <c r="D828" s="317" t="s">
        <v>205</v>
      </c>
      <c r="E828" s="317" t="s">
        <v>30</v>
      </c>
      <c r="F828" s="290">
        <v>45855</v>
      </c>
      <c r="G828" s="305">
        <v>33.375579000000002</v>
      </c>
      <c r="H828" s="716" t="s">
        <v>172</v>
      </c>
      <c r="I828" s="716"/>
      <c r="J828" s="716"/>
      <c r="K828" s="716"/>
      <c r="L828" s="290">
        <v>45858</v>
      </c>
      <c r="M828" s="280" t="s">
        <v>453</v>
      </c>
      <c r="N828" s="280">
        <v>23</v>
      </c>
      <c r="O828" s="280"/>
      <c r="P828" s="512" t="s">
        <v>662</v>
      </c>
      <c r="Q828" s="511" t="s">
        <v>172</v>
      </c>
    </row>
    <row r="829" spans="2:17" ht="12.75" customHeight="1" x14ac:dyDescent="0.2">
      <c r="B829" s="280">
        <v>185</v>
      </c>
      <c r="C829" s="291" t="s">
        <v>420</v>
      </c>
      <c r="D829" s="317" t="s">
        <v>34</v>
      </c>
      <c r="E829" s="317" t="s">
        <v>30</v>
      </c>
      <c r="F829" s="290">
        <v>45850</v>
      </c>
      <c r="G829" s="280">
        <v>37.930999999999997</v>
      </c>
      <c r="H829" s="716" t="s">
        <v>172</v>
      </c>
      <c r="I829" s="716"/>
      <c r="J829" s="716"/>
      <c r="K829" s="716"/>
      <c r="L829" s="290">
        <v>45858</v>
      </c>
      <c r="M829" s="280" t="s">
        <v>778</v>
      </c>
      <c r="N829" s="511">
        <v>25</v>
      </c>
      <c r="O829" s="280"/>
      <c r="P829" s="511"/>
      <c r="Q829" s="280"/>
    </row>
    <row r="830" spans="2:17" ht="12.75" customHeight="1" x14ac:dyDescent="0.2">
      <c r="B830" s="280">
        <v>186</v>
      </c>
      <c r="C830" s="291" t="s">
        <v>242</v>
      </c>
      <c r="D830" s="488" t="s">
        <v>206</v>
      </c>
      <c r="E830" s="317" t="s">
        <v>30</v>
      </c>
      <c r="F830" s="290">
        <v>45852</v>
      </c>
      <c r="G830" s="280">
        <v>31.99</v>
      </c>
      <c r="H830" s="716" t="s">
        <v>172</v>
      </c>
      <c r="I830" s="716"/>
      <c r="J830" s="716"/>
      <c r="K830" s="716"/>
      <c r="L830" s="290">
        <v>45859</v>
      </c>
      <c r="M830" s="280" t="s">
        <v>754</v>
      </c>
      <c r="N830" s="280">
        <v>24</v>
      </c>
      <c r="O830" s="280"/>
      <c r="P830" s="511"/>
      <c r="Q830" s="280"/>
    </row>
    <row r="831" spans="2:17" x14ac:dyDescent="0.2">
      <c r="B831" s="280">
        <v>187</v>
      </c>
      <c r="C831" s="291" t="s">
        <v>228</v>
      </c>
      <c r="D831" s="317" t="s">
        <v>206</v>
      </c>
      <c r="E831" s="317" t="s">
        <v>30</v>
      </c>
      <c r="F831" s="290">
        <v>45857</v>
      </c>
      <c r="G831" s="280">
        <v>31.99</v>
      </c>
      <c r="H831" s="716" t="s">
        <v>172</v>
      </c>
      <c r="I831" s="716"/>
      <c r="J831" s="716"/>
      <c r="K831" s="716"/>
      <c r="L831" s="290">
        <v>45859</v>
      </c>
      <c r="M831" s="280" t="s">
        <v>476</v>
      </c>
      <c r="N831" s="280">
        <v>24</v>
      </c>
      <c r="O831" s="280"/>
      <c r="P831" s="540"/>
      <c r="Q831" s="520"/>
    </row>
    <row r="832" spans="2:17" x14ac:dyDescent="0.2">
      <c r="B832" s="280">
        <v>188</v>
      </c>
      <c r="C832" s="291" t="s">
        <v>258</v>
      </c>
      <c r="D832" s="317" t="s">
        <v>205</v>
      </c>
      <c r="E832" s="317" t="s">
        <v>30</v>
      </c>
      <c r="F832" s="290">
        <v>45859</v>
      </c>
      <c r="G832" s="280">
        <v>33.380000000000003</v>
      </c>
      <c r="H832" s="716" t="s">
        <v>172</v>
      </c>
      <c r="I832" s="716"/>
      <c r="J832" s="716"/>
      <c r="K832" s="716"/>
      <c r="L832" s="290">
        <v>45863</v>
      </c>
      <c r="M832" s="280" t="s">
        <v>453</v>
      </c>
      <c r="N832" s="280">
        <v>25</v>
      </c>
      <c r="O832" s="588"/>
      <c r="P832" s="512" t="s">
        <v>662</v>
      </c>
      <c r="Q832" s="511" t="s">
        <v>172</v>
      </c>
    </row>
    <row r="833" spans="2:17" x14ac:dyDescent="0.2">
      <c r="B833" s="280">
        <v>189</v>
      </c>
      <c r="C833" s="291" t="s">
        <v>227</v>
      </c>
      <c r="D833" s="488" t="s">
        <v>205</v>
      </c>
      <c r="E833" s="317" t="s">
        <v>30</v>
      </c>
      <c r="F833" s="290">
        <v>45860</v>
      </c>
      <c r="G833" s="280">
        <v>33.380000000000003</v>
      </c>
      <c r="H833" s="716" t="s">
        <v>172</v>
      </c>
      <c r="I833" s="716"/>
      <c r="J833" s="716"/>
      <c r="K833" s="716"/>
      <c r="L833" s="290">
        <v>45866</v>
      </c>
      <c r="M833" s="280" t="s">
        <v>476</v>
      </c>
      <c r="N833" s="511">
        <v>25</v>
      </c>
      <c r="O833" s="280"/>
      <c r="P833" s="540"/>
      <c r="Q833" s="520"/>
    </row>
    <row r="834" spans="2:17" x14ac:dyDescent="0.2">
      <c r="B834" s="280">
        <v>190</v>
      </c>
      <c r="C834" s="291" t="s">
        <v>250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716" t="s">
        <v>172</v>
      </c>
      <c r="I834" s="716"/>
      <c r="J834" s="716"/>
      <c r="K834" s="716"/>
      <c r="L834" s="290">
        <v>45867</v>
      </c>
      <c r="M834" s="280" t="s">
        <v>754</v>
      </c>
      <c r="N834" s="280">
        <v>24</v>
      </c>
      <c r="O834" s="280"/>
      <c r="P834" s="540"/>
      <c r="Q834" s="520"/>
    </row>
    <row r="835" spans="2:17" x14ac:dyDescent="0.2">
      <c r="B835" s="280">
        <v>191</v>
      </c>
      <c r="C835" s="291" t="s">
        <v>419</v>
      </c>
      <c r="D835" s="317" t="s">
        <v>34</v>
      </c>
      <c r="E835" s="317" t="s">
        <v>432</v>
      </c>
      <c r="F835" s="290">
        <v>45859</v>
      </c>
      <c r="G835" s="280">
        <v>37.930999999999997</v>
      </c>
      <c r="H835" s="716" t="s">
        <v>172</v>
      </c>
      <c r="I835" s="716"/>
      <c r="J835" s="716"/>
      <c r="K835" s="716"/>
      <c r="L835" s="290">
        <v>45867</v>
      </c>
      <c r="M835" s="280" t="s">
        <v>836</v>
      </c>
      <c r="N835" s="280">
        <v>24</v>
      </c>
      <c r="O835" s="280"/>
      <c r="P835" s="540"/>
      <c r="Q835" s="520"/>
    </row>
    <row r="836" spans="2:17" x14ac:dyDescent="0.2">
      <c r="B836" s="280">
        <v>192</v>
      </c>
      <c r="C836" s="291" t="s">
        <v>402</v>
      </c>
      <c r="D836" s="317" t="s">
        <v>608</v>
      </c>
      <c r="E836" s="317" t="s">
        <v>30</v>
      </c>
      <c r="F836" s="290">
        <v>45851</v>
      </c>
      <c r="G836" s="280">
        <v>65.22</v>
      </c>
      <c r="H836" s="716" t="s">
        <v>172</v>
      </c>
      <c r="I836" s="716"/>
      <c r="J836" s="716"/>
      <c r="K836" s="716"/>
      <c r="L836" s="290">
        <v>45868</v>
      </c>
      <c r="M836" s="280" t="s">
        <v>779</v>
      </c>
      <c r="N836" s="511">
        <v>25</v>
      </c>
      <c r="O836" s="280"/>
      <c r="P836" s="280"/>
      <c r="Q836" s="520"/>
    </row>
    <row r="837" spans="2:17" x14ac:dyDescent="0.2">
      <c r="B837" s="280">
        <v>193</v>
      </c>
      <c r="C837" s="291" t="s">
        <v>257</v>
      </c>
      <c r="D837" s="317" t="s">
        <v>206</v>
      </c>
      <c r="E837" s="317" t="s">
        <v>30</v>
      </c>
      <c r="F837" s="290">
        <v>45864</v>
      </c>
      <c r="G837" s="280">
        <v>31.99</v>
      </c>
      <c r="H837" s="716" t="s">
        <v>172</v>
      </c>
      <c r="I837" s="716"/>
      <c r="J837" s="716"/>
      <c r="K837" s="716"/>
      <c r="L837" s="290">
        <v>45869</v>
      </c>
      <c r="M837" s="280" t="s">
        <v>453</v>
      </c>
      <c r="N837" s="280">
        <v>24</v>
      </c>
      <c r="O837" s="280"/>
      <c r="P837" s="512" t="s">
        <v>662</v>
      </c>
      <c r="Q837" s="511" t="s">
        <v>172</v>
      </c>
    </row>
    <row r="838" spans="2:17" x14ac:dyDescent="0.2">
      <c r="B838" s="280">
        <v>194</v>
      </c>
      <c r="C838" s="291" t="s">
        <v>222</v>
      </c>
      <c r="D838" s="293" t="s">
        <v>205</v>
      </c>
      <c r="E838" s="317" t="s">
        <v>30</v>
      </c>
      <c r="F838" s="290">
        <v>45867</v>
      </c>
      <c r="G838" s="280">
        <v>33.380000000000003</v>
      </c>
      <c r="H838" s="716" t="s">
        <v>172</v>
      </c>
      <c r="I838" s="716"/>
      <c r="J838" s="716"/>
      <c r="K838" s="716"/>
      <c r="L838" s="290">
        <v>45870</v>
      </c>
      <c r="M838" s="280" t="s">
        <v>476</v>
      </c>
      <c r="N838" s="280">
        <v>24</v>
      </c>
      <c r="O838" s="280"/>
      <c r="P838" s="540"/>
      <c r="Q838" s="520"/>
    </row>
    <row r="839" spans="2:17" x14ac:dyDescent="0.2">
      <c r="B839" s="280">
        <v>195</v>
      </c>
      <c r="C839" s="280" t="s">
        <v>314</v>
      </c>
      <c r="D839" s="288" t="s">
        <v>285</v>
      </c>
      <c r="E839" s="317" t="s">
        <v>462</v>
      </c>
      <c r="F839" s="290">
        <v>45846</v>
      </c>
      <c r="G839" s="280">
        <v>34.945999999999998</v>
      </c>
      <c r="H839" s="716" t="s">
        <v>172</v>
      </c>
      <c r="I839" s="716"/>
      <c r="J839" s="716"/>
      <c r="K839" s="716"/>
      <c r="L839" s="290">
        <v>45871</v>
      </c>
      <c r="M839" s="258" t="s">
        <v>443</v>
      </c>
      <c r="N839" s="511">
        <v>25</v>
      </c>
      <c r="O839" s="258"/>
      <c r="P839" s="280"/>
      <c r="Q839" s="512" t="s">
        <v>172</v>
      </c>
    </row>
    <row r="840" spans="2:17" x14ac:dyDescent="0.2">
      <c r="B840" s="280">
        <v>196</v>
      </c>
      <c r="C840" s="291" t="s">
        <v>244</v>
      </c>
      <c r="D840" s="317" t="s">
        <v>206</v>
      </c>
      <c r="E840" s="317" t="s">
        <v>30</v>
      </c>
      <c r="F840" s="290">
        <v>45868</v>
      </c>
      <c r="G840" s="280">
        <v>31.99</v>
      </c>
      <c r="H840" s="716" t="s">
        <v>172</v>
      </c>
      <c r="I840" s="716"/>
      <c r="J840" s="716"/>
      <c r="K840" s="716"/>
      <c r="L840" s="290">
        <v>45871</v>
      </c>
      <c r="M840" s="280" t="s">
        <v>754</v>
      </c>
      <c r="N840" s="511">
        <v>25</v>
      </c>
      <c r="O840" s="280"/>
      <c r="P840" s="540"/>
      <c r="Q840" s="520"/>
    </row>
    <row r="841" spans="2:17" x14ac:dyDescent="0.2">
      <c r="B841" s="280">
        <v>197</v>
      </c>
      <c r="C841" s="291" t="s">
        <v>375</v>
      </c>
      <c r="D841" s="317" t="s">
        <v>352</v>
      </c>
      <c r="E841" s="317" t="s">
        <v>30</v>
      </c>
      <c r="F841" s="290">
        <v>45855</v>
      </c>
      <c r="G841" s="280">
        <v>64.89</v>
      </c>
      <c r="H841" s="716" t="s">
        <v>172</v>
      </c>
      <c r="I841" s="716"/>
      <c r="J841" s="716"/>
      <c r="K841" s="716"/>
      <c r="L841" s="290">
        <v>45872</v>
      </c>
      <c r="M841" s="280" t="s">
        <v>707</v>
      </c>
      <c r="N841" s="280">
        <v>24</v>
      </c>
      <c r="O841" s="258"/>
      <c r="P841" s="520"/>
      <c r="Q841" s="520"/>
    </row>
    <row r="842" spans="2:17" x14ac:dyDescent="0.2">
      <c r="B842" s="280">
        <v>198</v>
      </c>
      <c r="C842" s="291" t="s">
        <v>232</v>
      </c>
      <c r="D842" s="317" t="s">
        <v>206</v>
      </c>
      <c r="E842" s="317" t="s">
        <v>30</v>
      </c>
      <c r="F842" s="290">
        <v>45871</v>
      </c>
      <c r="G842" s="280">
        <v>31.99</v>
      </c>
      <c r="H842" s="716" t="s">
        <v>172</v>
      </c>
      <c r="I842" s="716"/>
      <c r="J842" s="716"/>
      <c r="K842" s="716"/>
      <c r="L842" s="290">
        <v>45873</v>
      </c>
      <c r="M842" s="280" t="s">
        <v>476</v>
      </c>
      <c r="N842" s="280">
        <v>24</v>
      </c>
      <c r="O842" s="280"/>
      <c r="P842" s="540"/>
      <c r="Q842" s="520"/>
    </row>
    <row r="843" spans="2:17" x14ac:dyDescent="0.2">
      <c r="B843" s="280">
        <v>199</v>
      </c>
      <c r="C843" s="291" t="s">
        <v>421</v>
      </c>
      <c r="D843" s="317" t="s">
        <v>34</v>
      </c>
      <c r="E843" s="317" t="s">
        <v>30</v>
      </c>
      <c r="F843" s="290">
        <v>45868</v>
      </c>
      <c r="G843" s="280">
        <v>37.930999999999997</v>
      </c>
      <c r="H843" s="716" t="s">
        <v>172</v>
      </c>
      <c r="I843" s="716"/>
      <c r="J843" s="716"/>
      <c r="K843" s="716"/>
      <c r="L843" s="290">
        <v>45873</v>
      </c>
      <c r="M843" s="280" t="s">
        <v>836</v>
      </c>
      <c r="N843" s="280">
        <v>24</v>
      </c>
      <c r="O843" s="280"/>
      <c r="P843" s="540"/>
      <c r="Q843" s="520"/>
    </row>
    <row r="844" spans="2:17" x14ac:dyDescent="0.2">
      <c r="B844" s="317">
        <v>200</v>
      </c>
      <c r="C844" s="288" t="s">
        <v>274</v>
      </c>
      <c r="D844" s="317" t="s">
        <v>275</v>
      </c>
      <c r="E844" s="317" t="s">
        <v>30</v>
      </c>
      <c r="F844" s="257">
        <v>45870</v>
      </c>
      <c r="G844" s="317">
        <v>62.534999999999997</v>
      </c>
      <c r="H844" s="716" t="s">
        <v>172</v>
      </c>
      <c r="I844" s="716"/>
      <c r="J844" s="716"/>
      <c r="K844" s="716"/>
      <c r="L844" s="257">
        <v>45875</v>
      </c>
      <c r="M844" s="317" t="s">
        <v>453</v>
      </c>
      <c r="N844" s="317">
        <v>24</v>
      </c>
      <c r="O844" s="280"/>
      <c r="P844" s="512" t="s">
        <v>172</v>
      </c>
      <c r="Q844" s="512" t="s">
        <v>662</v>
      </c>
    </row>
    <row r="845" spans="2:17" x14ac:dyDescent="0.2">
      <c r="B845" s="317">
        <v>201</v>
      </c>
      <c r="C845" s="288" t="s">
        <v>243</v>
      </c>
      <c r="D845" s="317" t="s">
        <v>205</v>
      </c>
      <c r="E845" s="317" t="s">
        <v>30</v>
      </c>
      <c r="F845" s="257">
        <v>45872</v>
      </c>
      <c r="G845" s="317">
        <v>33.380000000000003</v>
      </c>
      <c r="H845" s="716" t="s">
        <v>172</v>
      </c>
      <c r="I845" s="716"/>
      <c r="J845" s="716"/>
      <c r="K845" s="716"/>
      <c r="L845" s="257">
        <v>45876</v>
      </c>
      <c r="M845" s="317" t="s">
        <v>754</v>
      </c>
      <c r="N845" s="340">
        <v>25</v>
      </c>
      <c r="O845" s="258"/>
      <c r="P845" s="520"/>
      <c r="Q845" s="520"/>
    </row>
    <row r="846" spans="2:17" x14ac:dyDescent="0.2">
      <c r="B846" s="317">
        <v>202</v>
      </c>
      <c r="C846" s="288" t="s">
        <v>249</v>
      </c>
      <c r="D846" s="283" t="s">
        <v>205</v>
      </c>
      <c r="E846" s="317" t="s">
        <v>30</v>
      </c>
      <c r="F846" s="257">
        <v>45874</v>
      </c>
      <c r="G846" s="317">
        <v>33.380000000000003</v>
      </c>
      <c r="H846" s="716" t="s">
        <v>172</v>
      </c>
      <c r="I846" s="716"/>
      <c r="J846" s="716"/>
      <c r="K846" s="716"/>
      <c r="L846" s="257">
        <v>45877</v>
      </c>
      <c r="M846" s="317" t="s">
        <v>476</v>
      </c>
      <c r="N846" s="317">
        <v>24</v>
      </c>
      <c r="O846" s="280"/>
      <c r="P846" s="540"/>
      <c r="Q846" s="520"/>
    </row>
    <row r="847" spans="2:17" x14ac:dyDescent="0.2">
      <c r="B847" s="317">
        <v>203</v>
      </c>
      <c r="C847" s="288" t="s">
        <v>224</v>
      </c>
      <c r="D847" s="488" t="s">
        <v>206</v>
      </c>
      <c r="E847" s="317" t="s">
        <v>30</v>
      </c>
      <c r="F847" s="257">
        <v>45878</v>
      </c>
      <c r="G847" s="317">
        <v>31.99</v>
      </c>
      <c r="H847" s="716" t="s">
        <v>172</v>
      </c>
      <c r="I847" s="716"/>
      <c r="J847" s="716"/>
      <c r="K847" s="716"/>
      <c r="L847" s="257">
        <v>45880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204</v>
      </c>
      <c r="C848" s="288" t="s">
        <v>272</v>
      </c>
      <c r="D848" s="317" t="s">
        <v>34</v>
      </c>
      <c r="E848" s="317" t="s">
        <v>30</v>
      </c>
      <c r="F848" s="257">
        <v>45876</v>
      </c>
      <c r="G848" s="317">
        <v>37.930999999999997</v>
      </c>
      <c r="H848" s="716" t="s">
        <v>172</v>
      </c>
      <c r="I848" s="716"/>
      <c r="J848" s="716"/>
      <c r="K848" s="716"/>
      <c r="L848" s="257">
        <v>45881</v>
      </c>
      <c r="M848" s="317" t="s">
        <v>453</v>
      </c>
      <c r="N848" s="317">
        <v>25</v>
      </c>
      <c r="O848" s="280"/>
      <c r="P848" s="512" t="s">
        <v>172</v>
      </c>
      <c r="Q848" s="512" t="s">
        <v>662</v>
      </c>
    </row>
    <row r="849" spans="2:17" x14ac:dyDescent="0.2">
      <c r="B849" s="317">
        <v>205</v>
      </c>
      <c r="C849" s="288" t="s">
        <v>373</v>
      </c>
      <c r="D849" s="317" t="s">
        <v>135</v>
      </c>
      <c r="E849" s="317" t="s">
        <v>30</v>
      </c>
      <c r="F849" s="257">
        <v>45873</v>
      </c>
      <c r="G849" s="317">
        <v>54.66</v>
      </c>
      <c r="H849" s="716" t="s">
        <v>172</v>
      </c>
      <c r="I849" s="716"/>
      <c r="J849" s="716"/>
      <c r="K849" s="716"/>
      <c r="L849" s="257">
        <v>45881</v>
      </c>
      <c r="M849" s="317" t="s">
        <v>707</v>
      </c>
      <c r="N849" s="340">
        <v>25</v>
      </c>
      <c r="O849" s="280"/>
      <c r="P849" s="540"/>
      <c r="Q849" s="520"/>
    </row>
    <row r="850" spans="2:17" x14ac:dyDescent="0.2">
      <c r="B850" s="317">
        <v>206</v>
      </c>
      <c r="C850" s="288" t="s">
        <v>248</v>
      </c>
      <c r="D850" s="317" t="s">
        <v>206</v>
      </c>
      <c r="E850" s="317" t="s">
        <v>30</v>
      </c>
      <c r="F850" s="257">
        <v>45877</v>
      </c>
      <c r="G850" s="317">
        <v>31.99</v>
      </c>
      <c r="H850" s="716" t="s">
        <v>172</v>
      </c>
      <c r="I850" s="716"/>
      <c r="J850" s="716"/>
      <c r="K850" s="716"/>
      <c r="L850" s="257">
        <v>45882</v>
      </c>
      <c r="M850" s="317" t="s">
        <v>754</v>
      </c>
      <c r="N850" s="317">
        <v>25</v>
      </c>
      <c r="O850" s="280"/>
      <c r="P850" s="540"/>
      <c r="Q850" s="520"/>
    </row>
    <row r="851" spans="2:17" x14ac:dyDescent="0.2">
      <c r="B851" s="317">
        <v>207</v>
      </c>
      <c r="C851" s="288" t="s">
        <v>422</v>
      </c>
      <c r="D851" s="317" t="s">
        <v>29</v>
      </c>
      <c r="E851" s="317" t="s">
        <v>30</v>
      </c>
      <c r="F851" s="257">
        <v>45874</v>
      </c>
      <c r="G851" s="317">
        <v>36.369999999999997</v>
      </c>
      <c r="H851" s="717" t="s">
        <v>172</v>
      </c>
      <c r="I851" s="718"/>
      <c r="J851" s="718"/>
      <c r="K851" s="719"/>
      <c r="L851" s="257">
        <v>45883</v>
      </c>
      <c r="M851" s="317" t="s">
        <v>778</v>
      </c>
      <c r="N851" s="317">
        <v>24</v>
      </c>
      <c r="O851" s="280"/>
      <c r="P851" s="540"/>
      <c r="Q851" s="520"/>
    </row>
    <row r="852" spans="2:17" s="221" customFormat="1" x14ac:dyDescent="0.2">
      <c r="B852" s="317">
        <v>208</v>
      </c>
      <c r="C852" s="288" t="s">
        <v>256</v>
      </c>
      <c r="D852" s="317" t="s">
        <v>206</v>
      </c>
      <c r="E852" s="317" t="s">
        <v>30</v>
      </c>
      <c r="F852" s="257">
        <v>45882</v>
      </c>
      <c r="G852" s="317">
        <v>31.99</v>
      </c>
      <c r="H852" s="716" t="s">
        <v>172</v>
      </c>
      <c r="I852" s="716"/>
      <c r="J852" s="716"/>
      <c r="K852" s="716"/>
      <c r="L852" s="257">
        <v>45887</v>
      </c>
      <c r="M852" s="280" t="s">
        <v>453</v>
      </c>
      <c r="N852" s="280">
        <v>30</v>
      </c>
      <c r="O852" s="280"/>
      <c r="P852" s="512" t="s">
        <v>662</v>
      </c>
      <c r="Q852" s="511" t="s">
        <v>172</v>
      </c>
    </row>
    <row r="853" spans="2:17" x14ac:dyDescent="0.2">
      <c r="B853" s="317">
        <v>209</v>
      </c>
      <c r="C853" s="288" t="s">
        <v>253</v>
      </c>
      <c r="D853" s="317" t="s">
        <v>205</v>
      </c>
      <c r="E853" s="317" t="s">
        <v>30</v>
      </c>
      <c r="F853" s="257">
        <v>45881</v>
      </c>
      <c r="G853" s="317">
        <v>33.380000000000003</v>
      </c>
      <c r="H853" s="716" t="s">
        <v>172</v>
      </c>
      <c r="I853" s="716"/>
      <c r="J853" s="716"/>
      <c r="K853" s="716"/>
      <c r="L853" s="257">
        <v>45888</v>
      </c>
      <c r="M853" s="317" t="s">
        <v>471</v>
      </c>
      <c r="N853" s="340">
        <v>25</v>
      </c>
      <c r="O853" s="317"/>
      <c r="P853" s="512" t="s">
        <v>662</v>
      </c>
      <c r="Q853" s="511" t="s">
        <v>172</v>
      </c>
    </row>
    <row r="854" spans="2:17" x14ac:dyDescent="0.2">
      <c r="B854" s="317">
        <v>210</v>
      </c>
      <c r="C854" s="288" t="s">
        <v>423</v>
      </c>
      <c r="D854" s="317" t="s">
        <v>47</v>
      </c>
      <c r="E854" s="317" t="s">
        <v>30</v>
      </c>
      <c r="F854" s="257">
        <v>45885</v>
      </c>
      <c r="G854" s="317">
        <v>44.825000000000003</v>
      </c>
      <c r="H854" s="716" t="s">
        <v>172</v>
      </c>
      <c r="I854" s="716"/>
      <c r="J854" s="716"/>
      <c r="K854" s="716"/>
      <c r="L854" s="257">
        <v>45893</v>
      </c>
      <c r="M854" s="280" t="s">
        <v>778</v>
      </c>
      <c r="N854" s="280">
        <v>36</v>
      </c>
      <c r="O854" s="280"/>
      <c r="P854" s="540"/>
      <c r="Q854" s="520"/>
    </row>
    <row r="855" spans="2:17" x14ac:dyDescent="0.2">
      <c r="B855" s="317">
        <v>211</v>
      </c>
      <c r="C855" s="606" t="s">
        <v>286</v>
      </c>
      <c r="D855" s="607" t="s">
        <v>34</v>
      </c>
      <c r="E855" s="607" t="s">
        <v>432</v>
      </c>
      <c r="F855" s="312">
        <v>45892</v>
      </c>
      <c r="G855" s="317">
        <v>37.930999999999997</v>
      </c>
      <c r="H855" s="716" t="s">
        <v>172</v>
      </c>
      <c r="I855" s="716"/>
      <c r="J855" s="716"/>
      <c r="K855" s="716"/>
      <c r="L855" s="312">
        <v>45898</v>
      </c>
      <c r="M855" s="258" t="s">
        <v>453</v>
      </c>
      <c r="N855" s="258">
        <v>30</v>
      </c>
      <c r="O855" s="602"/>
      <c r="P855" s="512" t="s">
        <v>172</v>
      </c>
      <c r="Q855" s="258" t="s">
        <v>172</v>
      </c>
    </row>
    <row r="856" spans="2:17" x14ac:dyDescent="0.2">
      <c r="B856" s="317">
        <v>212</v>
      </c>
      <c r="C856" s="317" t="s">
        <v>412</v>
      </c>
      <c r="D856" s="317" t="s">
        <v>613</v>
      </c>
      <c r="E856" s="317" t="s">
        <v>30</v>
      </c>
      <c r="F856" s="257">
        <v>45882</v>
      </c>
      <c r="G856" s="317">
        <v>64.891000000000005</v>
      </c>
      <c r="H856" s="716" t="s">
        <v>172</v>
      </c>
      <c r="I856" s="716"/>
      <c r="J856" s="716"/>
      <c r="K856" s="716"/>
      <c r="L856" s="257">
        <v>45898</v>
      </c>
      <c r="M856" s="224" t="s">
        <v>707</v>
      </c>
      <c r="N856" s="258">
        <v>30</v>
      </c>
      <c r="O856" s="258"/>
      <c r="P856" s="520"/>
      <c r="Q856" s="520"/>
    </row>
    <row r="857" spans="2:17" x14ac:dyDescent="0.2">
      <c r="B857" s="317">
        <v>213</v>
      </c>
      <c r="C857" s="288" t="s">
        <v>619</v>
      </c>
      <c r="D857" s="317" t="s">
        <v>618</v>
      </c>
      <c r="E857" s="317" t="s">
        <v>30</v>
      </c>
      <c r="F857" s="257">
        <v>45889</v>
      </c>
      <c r="G857" s="317">
        <v>66.209999999999994</v>
      </c>
      <c r="H857" s="716" t="s">
        <v>172</v>
      </c>
      <c r="I857" s="716"/>
      <c r="J857" s="716"/>
      <c r="K857" s="716"/>
      <c r="L857" s="257">
        <v>45899</v>
      </c>
      <c r="M857" s="258" t="s">
        <v>476</v>
      </c>
      <c r="N857" s="258">
        <v>29</v>
      </c>
      <c r="O857" s="258"/>
      <c r="P857" s="520"/>
      <c r="Q857" s="520"/>
    </row>
    <row r="858" spans="2:17" x14ac:dyDescent="0.2">
      <c r="B858" s="317">
        <v>214</v>
      </c>
      <c r="C858" s="288" t="s">
        <v>252</v>
      </c>
      <c r="D858" s="283" t="s">
        <v>649</v>
      </c>
      <c r="E858" s="317" t="s">
        <v>30</v>
      </c>
      <c r="F858" s="257">
        <v>45883</v>
      </c>
      <c r="G858" s="317">
        <v>51.04</v>
      </c>
      <c r="H858" s="716" t="s">
        <v>172</v>
      </c>
      <c r="I858" s="716"/>
      <c r="J858" s="716"/>
      <c r="K858" s="716"/>
      <c r="L858" s="257">
        <v>45899</v>
      </c>
      <c r="M858" s="317" t="s">
        <v>754</v>
      </c>
      <c r="N858" s="258">
        <v>25</v>
      </c>
      <c r="O858" s="258"/>
      <c r="P858" s="512" t="s">
        <v>172</v>
      </c>
      <c r="Q858" s="520" t="s">
        <v>172</v>
      </c>
    </row>
    <row r="859" spans="2:17" x14ac:dyDescent="0.2">
      <c r="B859" s="317">
        <v>215</v>
      </c>
      <c r="C859" s="288" t="s">
        <v>254</v>
      </c>
      <c r="D859" s="317" t="s">
        <v>206</v>
      </c>
      <c r="E859" s="317" t="s">
        <v>30</v>
      </c>
      <c r="F859" s="257">
        <v>45888</v>
      </c>
      <c r="G859" s="317">
        <v>31.99</v>
      </c>
      <c r="H859" s="716" t="s">
        <v>172</v>
      </c>
      <c r="I859" s="716"/>
      <c r="J859" s="716"/>
      <c r="K859" s="716"/>
      <c r="L859" s="257">
        <v>45900</v>
      </c>
      <c r="M859" s="280" t="s">
        <v>453</v>
      </c>
      <c r="N859" s="280">
        <v>30</v>
      </c>
      <c r="O859" s="280"/>
      <c r="P859" s="512" t="s">
        <v>662</v>
      </c>
      <c r="Q859" s="511" t="s">
        <v>172</v>
      </c>
    </row>
    <row r="860" spans="2:17" x14ac:dyDescent="0.2">
      <c r="B860" s="317">
        <v>216</v>
      </c>
      <c r="C860" s="288" t="s">
        <v>417</v>
      </c>
      <c r="D860" s="317" t="s">
        <v>43</v>
      </c>
      <c r="E860" s="317" t="s">
        <v>30</v>
      </c>
      <c r="F860" s="257">
        <v>45894</v>
      </c>
      <c r="G860" s="317">
        <v>43.08</v>
      </c>
      <c r="H860" s="716" t="s">
        <v>172</v>
      </c>
      <c r="I860" s="716"/>
      <c r="J860" s="716"/>
      <c r="K860" s="716"/>
      <c r="L860" s="257">
        <v>45900</v>
      </c>
      <c r="M860" s="280" t="s">
        <v>778</v>
      </c>
      <c r="N860" s="280">
        <v>36</v>
      </c>
      <c r="O860" s="280"/>
      <c r="P860" s="540"/>
      <c r="Q860" s="520"/>
    </row>
    <row r="861" spans="2:17" x14ac:dyDescent="0.2">
      <c r="B861" s="317">
        <v>217</v>
      </c>
      <c r="C861" s="288" t="s">
        <v>190</v>
      </c>
      <c r="D861" s="488" t="s">
        <v>206</v>
      </c>
      <c r="E861" s="317" t="s">
        <v>30</v>
      </c>
      <c r="F861" s="257">
        <v>45900</v>
      </c>
      <c r="G861" s="317">
        <v>31.99</v>
      </c>
      <c r="H861" s="716" t="s">
        <v>172</v>
      </c>
      <c r="I861" s="716"/>
      <c r="J861" s="716"/>
      <c r="K861" s="716"/>
      <c r="L861" s="257">
        <v>45903</v>
      </c>
      <c r="M861" s="317" t="s">
        <v>908</v>
      </c>
      <c r="N861" s="317">
        <v>32</v>
      </c>
      <c r="O861" s="317"/>
      <c r="P861" s="540"/>
      <c r="Q861" s="520"/>
    </row>
    <row r="862" spans="2:17" s="221" customFormat="1" x14ac:dyDescent="0.2">
      <c r="B862" s="317">
        <v>218</v>
      </c>
      <c r="C862" s="288" t="s">
        <v>261</v>
      </c>
      <c r="D862" s="317" t="s">
        <v>206</v>
      </c>
      <c r="E862" s="317" t="s">
        <v>30</v>
      </c>
      <c r="F862" s="257">
        <v>45901</v>
      </c>
      <c r="G862" s="317">
        <v>31.99</v>
      </c>
      <c r="H862" s="716" t="s">
        <v>172</v>
      </c>
      <c r="I862" s="716"/>
      <c r="J862" s="716"/>
      <c r="K862" s="716"/>
      <c r="L862" s="257">
        <v>45904</v>
      </c>
      <c r="M862" s="280" t="s">
        <v>453</v>
      </c>
      <c r="N862" s="280">
        <v>35</v>
      </c>
      <c r="O862" s="317"/>
      <c r="P862" s="512" t="s">
        <v>662</v>
      </c>
      <c r="Q862" s="512" t="s">
        <v>172</v>
      </c>
    </row>
    <row r="863" spans="2:17" x14ac:dyDescent="0.2">
      <c r="B863" s="317">
        <v>219</v>
      </c>
      <c r="C863" s="288" t="s">
        <v>413</v>
      </c>
      <c r="D863" s="317" t="s">
        <v>637</v>
      </c>
      <c r="E863" s="317" t="s">
        <v>30</v>
      </c>
      <c r="F863" s="257">
        <v>45899</v>
      </c>
      <c r="G863" s="317">
        <v>44.825000000000003</v>
      </c>
      <c r="H863" s="716" t="s">
        <v>172</v>
      </c>
      <c r="I863" s="716"/>
      <c r="J863" s="716"/>
      <c r="K863" s="716"/>
      <c r="L863" s="257">
        <v>45905</v>
      </c>
      <c r="M863" s="222" t="s">
        <v>707</v>
      </c>
      <c r="N863" s="280">
        <v>25</v>
      </c>
      <c r="O863" s="317"/>
      <c r="P863" s="540"/>
      <c r="Q863" s="520"/>
    </row>
    <row r="864" spans="2:17" x14ac:dyDescent="0.2">
      <c r="B864" s="317">
        <v>220</v>
      </c>
      <c r="C864" s="288" t="s">
        <v>424</v>
      </c>
      <c r="D864" s="283" t="s">
        <v>637</v>
      </c>
      <c r="E864" s="317" t="s">
        <v>30</v>
      </c>
      <c r="F864" s="257">
        <v>45901</v>
      </c>
      <c r="G864" s="317">
        <v>44.825000000000003</v>
      </c>
      <c r="H864" s="716" t="s">
        <v>172</v>
      </c>
      <c r="I864" s="716"/>
      <c r="J864" s="716"/>
      <c r="K864" s="716"/>
      <c r="L864" s="257">
        <v>45906</v>
      </c>
      <c r="M864" s="280" t="s">
        <v>778</v>
      </c>
      <c r="N864" s="280">
        <v>34</v>
      </c>
      <c r="O864" s="317"/>
      <c r="P864" s="540"/>
      <c r="Q864" s="520"/>
    </row>
    <row r="865" spans="2:17" x14ac:dyDescent="0.2">
      <c r="B865" s="317">
        <v>221</v>
      </c>
      <c r="C865" s="288" t="s">
        <v>251</v>
      </c>
      <c r="D865" s="317" t="s">
        <v>205</v>
      </c>
      <c r="E865" s="317" t="s">
        <v>30</v>
      </c>
      <c r="F865" s="257">
        <v>45900</v>
      </c>
      <c r="G865" s="317">
        <v>33.380000000000003</v>
      </c>
      <c r="H865" s="716" t="s">
        <v>172</v>
      </c>
      <c r="I865" s="716"/>
      <c r="J865" s="716"/>
      <c r="K865" s="716"/>
      <c r="L865" s="257">
        <v>45907</v>
      </c>
      <c r="M865" s="317" t="s">
        <v>754</v>
      </c>
      <c r="N865" s="258">
        <v>25</v>
      </c>
      <c r="O865" s="317"/>
      <c r="P865" s="540"/>
      <c r="Q865" s="520"/>
    </row>
    <row r="866" spans="2:17" x14ac:dyDescent="0.2">
      <c r="B866" s="317">
        <v>222</v>
      </c>
      <c r="C866" s="288" t="s">
        <v>207</v>
      </c>
      <c r="D866" s="317" t="s">
        <v>206</v>
      </c>
      <c r="E866" s="317" t="s">
        <v>30</v>
      </c>
      <c r="F866" s="257">
        <v>45905</v>
      </c>
      <c r="G866" s="317">
        <v>31.99</v>
      </c>
      <c r="H866" s="716" t="s">
        <v>172</v>
      </c>
      <c r="I866" s="716"/>
      <c r="J866" s="716"/>
      <c r="K866" s="716"/>
      <c r="L866" s="257">
        <v>45907</v>
      </c>
      <c r="M866" s="317" t="s">
        <v>453</v>
      </c>
      <c r="N866" s="317">
        <v>35</v>
      </c>
      <c r="O866" s="317"/>
      <c r="P866" s="540"/>
      <c r="Q866" s="520"/>
    </row>
    <row r="867" spans="2:17" x14ac:dyDescent="0.2">
      <c r="B867" s="317">
        <v>223</v>
      </c>
      <c r="C867" s="288" t="s">
        <v>199</v>
      </c>
      <c r="D867" s="317" t="s">
        <v>725</v>
      </c>
      <c r="E867" s="317" t="s">
        <v>30</v>
      </c>
      <c r="F867" s="257">
        <v>45905</v>
      </c>
      <c r="G867" s="317">
        <v>51.04</v>
      </c>
      <c r="H867" s="716" t="s">
        <v>172</v>
      </c>
      <c r="I867" s="716"/>
      <c r="J867" s="716"/>
      <c r="K867" s="716"/>
      <c r="L867" s="257">
        <v>45908</v>
      </c>
      <c r="M867" s="317" t="s">
        <v>908</v>
      </c>
      <c r="N867" s="317">
        <v>34</v>
      </c>
      <c r="O867" s="317"/>
      <c r="P867" s="540"/>
      <c r="Q867" s="520"/>
    </row>
    <row r="868" spans="2:17" x14ac:dyDescent="0.2">
      <c r="B868" s="317">
        <v>224</v>
      </c>
      <c r="C868" s="288" t="s">
        <v>407</v>
      </c>
      <c r="D868" s="317" t="s">
        <v>167</v>
      </c>
      <c r="E868" s="317" t="s">
        <v>30</v>
      </c>
      <c r="F868" s="257">
        <v>45877</v>
      </c>
      <c r="G868" s="317">
        <v>37.930999999999997</v>
      </c>
      <c r="H868" s="716" t="s">
        <v>172</v>
      </c>
      <c r="I868" s="716"/>
      <c r="J868" s="716"/>
      <c r="K868" s="716"/>
      <c r="L868" s="257">
        <v>45908</v>
      </c>
      <c r="M868" s="317" t="s">
        <v>443</v>
      </c>
      <c r="N868" s="317">
        <v>25</v>
      </c>
      <c r="O868" s="317"/>
      <c r="P868" s="540"/>
      <c r="Q868" s="520"/>
    </row>
    <row r="869" spans="2:17" x14ac:dyDescent="0.2">
      <c r="B869" s="317">
        <v>225</v>
      </c>
      <c r="C869" s="288" t="s">
        <v>208</v>
      </c>
      <c r="D869" s="317" t="s">
        <v>205</v>
      </c>
      <c r="E869" s="317" t="s">
        <v>30</v>
      </c>
      <c r="F869" s="257">
        <v>45908</v>
      </c>
      <c r="G869" s="317">
        <v>33.380000000000003</v>
      </c>
      <c r="H869" s="716" t="s">
        <v>172</v>
      </c>
      <c r="I869" s="716"/>
      <c r="J869" s="716"/>
      <c r="K869" s="716"/>
      <c r="L869" s="257">
        <v>45909</v>
      </c>
      <c r="M869" s="317" t="s">
        <v>453</v>
      </c>
      <c r="N869" s="317">
        <v>35</v>
      </c>
      <c r="O869" s="280"/>
      <c r="P869" s="540"/>
      <c r="Q869" s="520"/>
    </row>
    <row r="870" spans="2:17" x14ac:dyDescent="0.2">
      <c r="B870" s="317">
        <v>226</v>
      </c>
      <c r="C870" s="288" t="s">
        <v>425</v>
      </c>
      <c r="D870" s="317" t="s">
        <v>34</v>
      </c>
      <c r="E870" s="317" t="s">
        <v>30</v>
      </c>
      <c r="F870" s="257">
        <v>45907</v>
      </c>
      <c r="G870" s="317">
        <v>37.930999999999997</v>
      </c>
      <c r="H870" s="716" t="s">
        <v>172</v>
      </c>
      <c r="I870" s="716"/>
      <c r="J870" s="716"/>
      <c r="K870" s="716"/>
      <c r="L870" s="257">
        <v>45910</v>
      </c>
      <c r="M870" s="317" t="s">
        <v>778</v>
      </c>
      <c r="N870" s="317">
        <v>31</v>
      </c>
      <c r="O870" s="317"/>
      <c r="P870" s="540"/>
      <c r="Q870" s="520"/>
    </row>
    <row r="871" spans="2:17" x14ac:dyDescent="0.2">
      <c r="B871" s="317">
        <v>227</v>
      </c>
      <c r="C871" s="288" t="s">
        <v>414</v>
      </c>
      <c r="D871" s="317" t="s">
        <v>275</v>
      </c>
      <c r="E871" s="317" t="s">
        <v>455</v>
      </c>
      <c r="F871" s="257">
        <v>45906</v>
      </c>
      <c r="G871" s="317">
        <v>62.534999999999997</v>
      </c>
      <c r="H871" s="716" t="s">
        <v>172</v>
      </c>
      <c r="I871" s="716"/>
      <c r="J871" s="716"/>
      <c r="K871" s="716"/>
      <c r="L871" s="257">
        <v>45913</v>
      </c>
      <c r="M871" s="220" t="s">
        <v>707</v>
      </c>
      <c r="N871" s="317">
        <v>25</v>
      </c>
      <c r="O871" s="317"/>
      <c r="P871" s="540"/>
      <c r="Q871" s="520"/>
    </row>
    <row r="872" spans="2:17" x14ac:dyDescent="0.2">
      <c r="B872" s="317">
        <v>228</v>
      </c>
      <c r="C872" s="288" t="s">
        <v>210</v>
      </c>
      <c r="D872" s="317" t="s">
        <v>206</v>
      </c>
      <c r="E872" s="317" t="s">
        <v>30</v>
      </c>
      <c r="F872" s="257">
        <v>45910</v>
      </c>
      <c r="G872" s="317">
        <v>31.99</v>
      </c>
      <c r="H872" s="716" t="s">
        <v>172</v>
      </c>
      <c r="I872" s="716"/>
      <c r="J872" s="716"/>
      <c r="K872" s="716"/>
      <c r="L872" s="335">
        <v>45914</v>
      </c>
      <c r="M872" s="280" t="s">
        <v>453</v>
      </c>
      <c r="N872" s="280">
        <v>35</v>
      </c>
      <c r="O872" s="280"/>
      <c r="P872" s="540"/>
      <c r="Q872" s="520"/>
    </row>
    <row r="873" spans="2:17" x14ac:dyDescent="0.2">
      <c r="B873" s="317">
        <v>229</v>
      </c>
      <c r="C873" s="288" t="s">
        <v>245</v>
      </c>
      <c r="D873" s="317" t="s">
        <v>205</v>
      </c>
      <c r="E873" s="317" t="s">
        <v>30</v>
      </c>
      <c r="F873" s="257">
        <v>45908</v>
      </c>
      <c r="G873" s="317">
        <v>33.380000000000003</v>
      </c>
      <c r="H873" s="716" t="s">
        <v>172</v>
      </c>
      <c r="I873" s="716"/>
      <c r="J873" s="716"/>
      <c r="K873" s="716"/>
      <c r="L873" s="257">
        <v>45915</v>
      </c>
      <c r="M873" s="228" t="s">
        <v>754</v>
      </c>
      <c r="N873" s="228">
        <v>25</v>
      </c>
      <c r="O873" s="228"/>
      <c r="P873" s="608"/>
      <c r="Q873" s="520"/>
    </row>
    <row r="874" spans="2:17" x14ac:dyDescent="0.2">
      <c r="B874" s="317">
        <v>230</v>
      </c>
      <c r="C874" s="288" t="s">
        <v>213</v>
      </c>
      <c r="D874" s="317" t="s">
        <v>649</v>
      </c>
      <c r="E874" s="317" t="s">
        <v>30</v>
      </c>
      <c r="F874" s="257">
        <v>45909</v>
      </c>
      <c r="G874" s="317">
        <v>51.04</v>
      </c>
      <c r="H874" s="716" t="s">
        <v>172</v>
      </c>
      <c r="I874" s="716"/>
      <c r="J874" s="716"/>
      <c r="K874" s="716"/>
      <c r="L874" s="335">
        <v>45916</v>
      </c>
      <c r="M874" s="317" t="s">
        <v>471</v>
      </c>
      <c r="N874" s="317">
        <v>34</v>
      </c>
      <c r="O874" s="280"/>
      <c r="P874" s="540"/>
      <c r="Q874" s="520"/>
    </row>
    <row r="875" spans="2:17" s="221" customFormat="1" ht="28.5" customHeight="1" x14ac:dyDescent="0.2">
      <c r="B875" s="317">
        <v>231</v>
      </c>
      <c r="C875" s="288" t="s">
        <v>211</v>
      </c>
      <c r="D875" s="317" t="s">
        <v>205</v>
      </c>
      <c r="E875" s="317" t="s">
        <v>30</v>
      </c>
      <c r="F875" s="257">
        <v>45914</v>
      </c>
      <c r="G875" s="317">
        <v>33.380000000000003</v>
      </c>
      <c r="H875" s="716" t="s">
        <v>172</v>
      </c>
      <c r="I875" s="716"/>
      <c r="J875" s="716"/>
      <c r="K875" s="716"/>
      <c r="L875" s="335">
        <v>45920</v>
      </c>
      <c r="M875" s="317" t="s">
        <v>453</v>
      </c>
      <c r="N875" s="317">
        <v>35</v>
      </c>
      <c r="O875" s="317"/>
      <c r="P875" s="615"/>
      <c r="Q875" s="540"/>
    </row>
    <row r="876" spans="2:17" s="221" customFormat="1" ht="30" customHeight="1" x14ac:dyDescent="0.2">
      <c r="B876" s="317">
        <v>232</v>
      </c>
      <c r="C876" s="288" t="s">
        <v>416</v>
      </c>
      <c r="D876" s="317" t="s">
        <v>446</v>
      </c>
      <c r="E876" s="317" t="s">
        <v>30</v>
      </c>
      <c r="F876" s="257">
        <v>45913</v>
      </c>
      <c r="G876" s="317">
        <v>64.89</v>
      </c>
      <c r="H876" s="716" t="s">
        <v>172</v>
      </c>
      <c r="I876" s="716"/>
      <c r="J876" s="716"/>
      <c r="K876" s="716"/>
      <c r="L876" s="335">
        <v>45923</v>
      </c>
      <c r="M876" s="317" t="s">
        <v>778</v>
      </c>
      <c r="N876" s="317">
        <v>34</v>
      </c>
      <c r="O876" s="317"/>
      <c r="P876" s="615"/>
      <c r="Q876" s="540"/>
    </row>
    <row r="877" spans="2:17" ht="39" customHeight="1" x14ac:dyDescent="0.2">
      <c r="B877" s="317">
        <v>233</v>
      </c>
      <c r="C877" s="288" t="s">
        <v>915</v>
      </c>
      <c r="D877" s="283" t="s">
        <v>205</v>
      </c>
      <c r="E877" s="317" t="s">
        <v>337</v>
      </c>
      <c r="F877" s="257">
        <v>45921</v>
      </c>
      <c r="G877" s="317">
        <v>33.380000000000003</v>
      </c>
      <c r="H877" s="716" t="s">
        <v>172</v>
      </c>
      <c r="I877" s="716"/>
      <c r="J877" s="716"/>
      <c r="K877" s="716"/>
      <c r="L877" s="335">
        <v>45924</v>
      </c>
      <c r="M877" s="317" t="s">
        <v>453</v>
      </c>
      <c r="N877" s="317">
        <v>35</v>
      </c>
      <c r="O877" s="280"/>
      <c r="P877" s="540"/>
      <c r="Q877" s="520"/>
    </row>
    <row r="878" spans="2:17" s="221" customFormat="1" ht="30.75" customHeight="1" x14ac:dyDescent="0.2">
      <c r="B878" s="317">
        <v>234</v>
      </c>
      <c r="C878" s="317" t="s">
        <v>403</v>
      </c>
      <c r="D878" s="317" t="s">
        <v>43</v>
      </c>
      <c r="E878" s="317" t="s">
        <v>336</v>
      </c>
      <c r="F878" s="257">
        <v>45916</v>
      </c>
      <c r="G878" s="317">
        <v>43.079000000000001</v>
      </c>
      <c r="H878" s="716" t="s">
        <v>172</v>
      </c>
      <c r="I878" s="716"/>
      <c r="J878" s="716"/>
      <c r="K878" s="716"/>
      <c r="L878" s="335">
        <v>45925</v>
      </c>
      <c r="M878" s="317" t="s">
        <v>707</v>
      </c>
      <c r="N878" s="317">
        <v>34</v>
      </c>
      <c r="O878" s="317"/>
      <c r="P878" s="615"/>
      <c r="Q878" s="540"/>
    </row>
    <row r="879" spans="2:17" s="221" customFormat="1" ht="25.5" customHeight="1" x14ac:dyDescent="0.2">
      <c r="B879" s="317">
        <v>235</v>
      </c>
      <c r="C879" s="288" t="s">
        <v>218</v>
      </c>
      <c r="D879" s="317" t="s">
        <v>205</v>
      </c>
      <c r="E879" s="317" t="s">
        <v>30</v>
      </c>
      <c r="F879" s="257">
        <v>45916</v>
      </c>
      <c r="G879" s="317">
        <v>33.380000000000003</v>
      </c>
      <c r="H879" s="716" t="s">
        <v>172</v>
      </c>
      <c r="I879" s="716"/>
      <c r="J879" s="716"/>
      <c r="K879" s="716"/>
      <c r="L879" s="335">
        <v>45926</v>
      </c>
      <c r="M879" s="317" t="s">
        <v>754</v>
      </c>
      <c r="N879" s="317">
        <v>25</v>
      </c>
      <c r="O879" s="317"/>
      <c r="P879" s="615"/>
      <c r="Q879" s="540"/>
    </row>
    <row r="880" spans="2:17" ht="27" customHeight="1" x14ac:dyDescent="0.2">
      <c r="B880" s="317">
        <v>236</v>
      </c>
      <c r="C880" s="288" t="s">
        <v>225</v>
      </c>
      <c r="D880" s="283" t="s">
        <v>762</v>
      </c>
      <c r="E880" s="317" t="s">
        <v>30</v>
      </c>
      <c r="F880" s="257">
        <v>45921</v>
      </c>
      <c r="G880" s="317">
        <v>77.319999999999993</v>
      </c>
      <c r="H880" s="716" t="s">
        <v>172</v>
      </c>
      <c r="I880" s="716"/>
      <c r="J880" s="716"/>
      <c r="K880" s="716"/>
      <c r="L880" s="335">
        <v>45929</v>
      </c>
      <c r="M880" s="317" t="s">
        <v>471</v>
      </c>
      <c r="N880" s="317">
        <v>28</v>
      </c>
      <c r="O880" s="317"/>
      <c r="P880" s="615"/>
      <c r="Q880" s="520"/>
    </row>
    <row r="881" spans="1:17" s="221" customFormat="1" ht="35.25" customHeight="1" x14ac:dyDescent="0.2">
      <c r="B881" s="317">
        <v>237</v>
      </c>
      <c r="C881" s="288" t="s">
        <v>428</v>
      </c>
      <c r="D881" s="283" t="s">
        <v>285</v>
      </c>
      <c r="E881" s="317" t="s">
        <v>30</v>
      </c>
      <c r="F881" s="257">
        <v>45924</v>
      </c>
      <c r="G881" s="317">
        <v>34.945999999999998</v>
      </c>
      <c r="H881" s="716" t="s">
        <v>172</v>
      </c>
      <c r="I881" s="716"/>
      <c r="J881" s="716"/>
      <c r="K881" s="716"/>
      <c r="L881" s="335">
        <v>45930</v>
      </c>
      <c r="M881" s="317" t="s">
        <v>778</v>
      </c>
      <c r="N881" s="317">
        <v>34</v>
      </c>
      <c r="O881" s="280"/>
      <c r="P881" s="540"/>
      <c r="Q881" s="540"/>
    </row>
    <row r="882" spans="1:17" s="221" customFormat="1" ht="26.25" customHeight="1" x14ac:dyDescent="0.2">
      <c r="B882" s="317">
        <v>238</v>
      </c>
      <c r="C882" s="288" t="s">
        <v>189</v>
      </c>
      <c r="D882" s="283" t="s">
        <v>206</v>
      </c>
      <c r="E882" s="317" t="s">
        <v>30</v>
      </c>
      <c r="F882" s="257">
        <v>45925</v>
      </c>
      <c r="G882" s="317">
        <v>31.99</v>
      </c>
      <c r="H882" s="716" t="s">
        <v>172</v>
      </c>
      <c r="I882" s="716"/>
      <c r="J882" s="716"/>
      <c r="K882" s="716"/>
      <c r="L882" s="335">
        <v>45930</v>
      </c>
      <c r="M882" s="317" t="s">
        <v>453</v>
      </c>
      <c r="N882" s="317">
        <v>35</v>
      </c>
      <c r="O882" s="280"/>
      <c r="P882" s="540"/>
      <c r="Q882" s="540"/>
    </row>
    <row r="883" spans="1:17" s="221" customFormat="1" ht="23.25" customHeight="1" x14ac:dyDescent="0.2">
      <c r="B883" s="317">
        <v>239</v>
      </c>
      <c r="C883" s="288" t="s">
        <v>917</v>
      </c>
      <c r="D883" s="283" t="s">
        <v>206</v>
      </c>
      <c r="E883" s="317" t="s">
        <v>30</v>
      </c>
      <c r="F883" s="257">
        <v>45928</v>
      </c>
      <c r="G883" s="308">
        <v>31.99</v>
      </c>
      <c r="H883" s="716" t="s">
        <v>172</v>
      </c>
      <c r="I883" s="716"/>
      <c r="J883" s="716"/>
      <c r="K883" s="716"/>
      <c r="L883" s="335">
        <v>45934</v>
      </c>
      <c r="M883" s="317" t="s">
        <v>471</v>
      </c>
      <c r="N883" s="317">
        <v>25</v>
      </c>
      <c r="O883" s="317"/>
      <c r="P883" s="257"/>
      <c r="Q883" s="540"/>
    </row>
    <row r="884" spans="1:17" ht="30.75" customHeight="1" x14ac:dyDescent="0.2">
      <c r="B884" s="317">
        <v>240</v>
      </c>
      <c r="C884" s="288" t="s">
        <v>430</v>
      </c>
      <c r="D884" s="317" t="s">
        <v>34</v>
      </c>
      <c r="E884" s="317" t="s">
        <v>30</v>
      </c>
      <c r="F884" s="257">
        <v>45921</v>
      </c>
      <c r="G884" s="317">
        <v>37.930999999999997</v>
      </c>
      <c r="H884" s="716" t="s">
        <v>172</v>
      </c>
      <c r="I884" s="716"/>
      <c r="J884" s="716"/>
      <c r="K884" s="716"/>
      <c r="L884" s="335">
        <v>45936</v>
      </c>
      <c r="M884" s="317" t="s">
        <v>918</v>
      </c>
      <c r="N884" s="317">
        <v>32</v>
      </c>
      <c r="O884" s="317"/>
      <c r="P884" s="615"/>
      <c r="Q884" s="520"/>
    </row>
    <row r="885" spans="1:17" ht="53.25" customHeight="1" x14ac:dyDescent="0.2">
      <c r="B885" s="317">
        <v>241</v>
      </c>
      <c r="C885" s="288" t="s">
        <v>823</v>
      </c>
      <c r="D885" s="283" t="s">
        <v>240</v>
      </c>
      <c r="E885" s="317" t="s">
        <v>337</v>
      </c>
      <c r="F885" s="257">
        <v>45931</v>
      </c>
      <c r="G885" s="626">
        <v>72.63</v>
      </c>
      <c r="H885" s="716" t="s">
        <v>172</v>
      </c>
      <c r="I885" s="716"/>
      <c r="J885" s="716"/>
      <c r="K885" s="716"/>
      <c r="L885" s="335">
        <v>45939</v>
      </c>
      <c r="M885" s="317" t="s">
        <v>453</v>
      </c>
      <c r="N885" s="317">
        <v>35</v>
      </c>
      <c r="O885" s="228"/>
      <c r="P885" s="608"/>
      <c r="Q885" s="520"/>
    </row>
    <row r="886" spans="1:17" ht="60" customHeight="1" x14ac:dyDescent="0.2">
      <c r="B886" s="317">
        <v>242</v>
      </c>
      <c r="C886" s="288" t="s">
        <v>916</v>
      </c>
      <c r="D886" s="283" t="s">
        <v>29</v>
      </c>
      <c r="E886" s="317" t="s">
        <v>456</v>
      </c>
      <c r="F886" s="257">
        <v>45927</v>
      </c>
      <c r="G886" s="317">
        <v>36.369999999999997</v>
      </c>
      <c r="H886" s="716" t="s">
        <v>172</v>
      </c>
      <c r="I886" s="716"/>
      <c r="J886" s="716"/>
      <c r="K886" s="716"/>
      <c r="L886" s="335">
        <v>45939</v>
      </c>
      <c r="M886" s="317" t="s">
        <v>707</v>
      </c>
      <c r="N886" s="317">
        <v>34</v>
      </c>
      <c r="O886" s="317"/>
      <c r="P886" s="257"/>
      <c r="Q886" s="520"/>
    </row>
    <row r="887" spans="1:17" ht="51" customHeight="1" x14ac:dyDescent="0.2">
      <c r="B887" s="317">
        <v>243</v>
      </c>
      <c r="C887" s="288" t="s">
        <v>409</v>
      </c>
      <c r="D887" s="317" t="s">
        <v>43</v>
      </c>
      <c r="E887" s="317" t="s">
        <v>432</v>
      </c>
      <c r="F887" s="257">
        <v>45913</v>
      </c>
      <c r="G887" s="317">
        <v>43.079000000000001</v>
      </c>
      <c r="H887" s="716" t="s">
        <v>172</v>
      </c>
      <c r="I887" s="716"/>
      <c r="J887" s="716"/>
      <c r="K887" s="716"/>
      <c r="L887" s="335">
        <v>45941</v>
      </c>
      <c r="M887" s="317" t="s">
        <v>443</v>
      </c>
      <c r="N887" s="317">
        <v>21</v>
      </c>
      <c r="O887" s="258"/>
      <c r="P887" s="520"/>
      <c r="Q887" s="520"/>
    </row>
    <row r="888" spans="1:17" ht="47.25" customHeight="1" x14ac:dyDescent="0.2">
      <c r="B888" s="317">
        <v>244</v>
      </c>
      <c r="C888" s="288" t="s">
        <v>429</v>
      </c>
      <c r="D888" s="283" t="s">
        <v>29</v>
      </c>
      <c r="E888" s="317" t="s">
        <v>30</v>
      </c>
      <c r="F888" s="257">
        <v>45937</v>
      </c>
      <c r="G888" s="317">
        <v>36.369999999999997</v>
      </c>
      <c r="H888" s="716" t="s">
        <v>172</v>
      </c>
      <c r="I888" s="716"/>
      <c r="J888" s="716"/>
      <c r="K888" s="716"/>
      <c r="L888" s="335">
        <v>45941</v>
      </c>
      <c r="M888" s="317" t="s">
        <v>778</v>
      </c>
      <c r="N888" s="317">
        <v>34</v>
      </c>
      <c r="O888" s="258"/>
      <c r="P888" s="520"/>
      <c r="Q888" s="520"/>
    </row>
    <row r="889" spans="1:17" ht="35.25" customHeight="1" x14ac:dyDescent="0.2">
      <c r="B889" s="317">
        <v>245</v>
      </c>
      <c r="C889" s="288" t="s">
        <v>255</v>
      </c>
      <c r="D889" s="283" t="s">
        <v>615</v>
      </c>
      <c r="E889" s="317" t="s">
        <v>30</v>
      </c>
      <c r="F889" s="257">
        <v>45937</v>
      </c>
      <c r="G889" s="317">
        <v>39.17</v>
      </c>
      <c r="H889" s="716" t="s">
        <v>172</v>
      </c>
      <c r="I889" s="716"/>
      <c r="J889" s="716"/>
      <c r="K889" s="716"/>
      <c r="L889" s="335">
        <v>45942</v>
      </c>
      <c r="M889" s="317" t="s">
        <v>471</v>
      </c>
      <c r="N889" s="317">
        <v>25</v>
      </c>
      <c r="O889" s="258"/>
      <c r="P889" s="512" t="s">
        <v>172</v>
      </c>
      <c r="Q889" s="520" t="s">
        <v>172</v>
      </c>
    </row>
    <row r="890" spans="1:17" ht="26.25" customHeight="1" x14ac:dyDescent="0.2">
      <c r="B890" s="317">
        <v>246</v>
      </c>
      <c r="C890" s="288" t="s">
        <v>202</v>
      </c>
      <c r="D890" s="283" t="s">
        <v>721</v>
      </c>
      <c r="E890" s="317" t="s">
        <v>30</v>
      </c>
      <c r="F890" s="257">
        <v>45940</v>
      </c>
      <c r="G890" s="317">
        <v>37.72</v>
      </c>
      <c r="H890" s="716" t="s">
        <v>172</v>
      </c>
      <c r="I890" s="716"/>
      <c r="J890" s="716"/>
      <c r="K890" s="716"/>
      <c r="L890" s="335">
        <v>45945</v>
      </c>
      <c r="M890" s="317" t="s">
        <v>453</v>
      </c>
      <c r="N890" s="317">
        <v>35</v>
      </c>
      <c r="O890" s="258"/>
      <c r="P890" s="520"/>
      <c r="Q890" s="520"/>
    </row>
    <row r="891" spans="1:17" ht="34.5" customHeight="1" x14ac:dyDescent="0.2">
      <c r="B891" s="317">
        <v>247</v>
      </c>
      <c r="C891" s="288" t="s">
        <v>431</v>
      </c>
      <c r="D891" s="283" t="s">
        <v>956</v>
      </c>
      <c r="E891" s="317" t="s">
        <v>30</v>
      </c>
      <c r="F891" s="257">
        <v>45942</v>
      </c>
      <c r="G891" s="317">
        <v>44.850999999999999</v>
      </c>
      <c r="H891" s="716" t="s">
        <v>172</v>
      </c>
      <c r="I891" s="716"/>
      <c r="J891" s="716"/>
      <c r="K891" s="716"/>
      <c r="L891" s="335">
        <v>45946</v>
      </c>
      <c r="M891" s="317" t="s">
        <v>778</v>
      </c>
      <c r="N891" s="317">
        <v>34</v>
      </c>
      <c r="O891" s="258"/>
      <c r="P891" s="520"/>
    </row>
    <row r="892" spans="1:17" ht="23.25" customHeight="1" x14ac:dyDescent="0.2">
      <c r="B892" s="317">
        <v>248</v>
      </c>
      <c r="C892" s="288" t="s">
        <v>221</v>
      </c>
      <c r="D892" s="283" t="s">
        <v>615</v>
      </c>
      <c r="E892" s="317" t="s">
        <v>30</v>
      </c>
      <c r="F892" s="257">
        <v>45943</v>
      </c>
      <c r="G892" s="317">
        <v>39.17</v>
      </c>
      <c r="H892" s="716" t="s">
        <v>172</v>
      </c>
      <c r="I892" s="716"/>
      <c r="J892" s="716"/>
      <c r="K892" s="716"/>
      <c r="L892" s="335">
        <v>45947</v>
      </c>
      <c r="M892" s="317" t="s">
        <v>471</v>
      </c>
      <c r="N892" s="317">
        <v>25</v>
      </c>
      <c r="O892" s="280"/>
      <c r="P892" s="540"/>
    </row>
    <row r="893" spans="1:17" ht="27" customHeight="1" x14ac:dyDescent="0.2">
      <c r="A893" s="225">
        <v>0</v>
      </c>
      <c r="B893" s="317">
        <v>249</v>
      </c>
      <c r="C893" s="288" t="s">
        <v>386</v>
      </c>
      <c r="D893" s="283" t="s">
        <v>34</v>
      </c>
      <c r="E893" s="317" t="s">
        <v>432</v>
      </c>
      <c r="F893" s="257">
        <v>45940</v>
      </c>
      <c r="G893" s="317">
        <v>37.930999999999997</v>
      </c>
      <c r="H893" s="716" t="s">
        <v>172</v>
      </c>
      <c r="I893" s="716"/>
      <c r="J893" s="716"/>
      <c r="K893" s="716"/>
      <c r="L893" s="335">
        <v>45949</v>
      </c>
      <c r="M893" s="317" t="s">
        <v>707</v>
      </c>
      <c r="N893" s="317">
        <v>34</v>
      </c>
      <c r="O893" s="317"/>
      <c r="P893" s="317"/>
    </row>
    <row r="894" spans="1:17" ht="24" customHeight="1" x14ac:dyDescent="0.2">
      <c r="B894" s="317">
        <v>250</v>
      </c>
      <c r="C894" s="288" t="s">
        <v>962</v>
      </c>
      <c r="D894" s="283" t="s">
        <v>206</v>
      </c>
      <c r="E894" s="317" t="s">
        <v>30</v>
      </c>
      <c r="F894" s="257">
        <v>45947</v>
      </c>
      <c r="G894" s="317">
        <v>31.99</v>
      </c>
      <c r="H894" s="716" t="s">
        <v>172</v>
      </c>
      <c r="I894" s="716"/>
      <c r="J894" s="716"/>
      <c r="K894" s="716"/>
      <c r="L894" s="335">
        <v>45951</v>
      </c>
      <c r="M894" s="317" t="s">
        <v>453</v>
      </c>
      <c r="N894" s="317">
        <v>35</v>
      </c>
      <c r="O894" s="280"/>
      <c r="P894" s="540"/>
    </row>
    <row r="895" spans="1:17" ht="25.5" customHeight="1" x14ac:dyDescent="0.2">
      <c r="B895" s="317">
        <v>251</v>
      </c>
      <c r="C895" s="288" t="s">
        <v>963</v>
      </c>
      <c r="D895" s="283" t="s">
        <v>29</v>
      </c>
      <c r="E895" s="317" t="s">
        <v>30</v>
      </c>
      <c r="F895" s="257">
        <v>45947</v>
      </c>
      <c r="G895" s="317">
        <v>36.371000000000002</v>
      </c>
      <c r="H895" s="716" t="s">
        <v>172</v>
      </c>
      <c r="I895" s="716"/>
      <c r="J895" s="716"/>
      <c r="K895" s="716"/>
      <c r="L895" s="335">
        <v>45951</v>
      </c>
      <c r="M895" s="317" t="s">
        <v>778</v>
      </c>
      <c r="N895" s="317">
        <v>34</v>
      </c>
      <c r="O895" s="280"/>
      <c r="P895" s="540"/>
    </row>
    <row r="896" spans="1:17" ht="25.5" customHeight="1" x14ac:dyDescent="0.2">
      <c r="B896" s="317">
        <v>252</v>
      </c>
      <c r="C896" s="260" t="s">
        <v>965</v>
      </c>
      <c r="D896" s="283" t="s">
        <v>721</v>
      </c>
      <c r="E896" s="317" t="s">
        <v>30</v>
      </c>
      <c r="F896" s="257">
        <v>45947</v>
      </c>
      <c r="G896" s="317">
        <v>37.72</v>
      </c>
      <c r="H896" s="716" t="s">
        <v>172</v>
      </c>
      <c r="I896" s="716"/>
      <c r="J896" s="716"/>
      <c r="K896" s="716"/>
      <c r="L896" s="335">
        <v>45952</v>
      </c>
      <c r="M896" s="317" t="s">
        <v>471</v>
      </c>
      <c r="N896" s="317">
        <v>25</v>
      </c>
      <c r="O896" s="280"/>
      <c r="P896" s="540"/>
    </row>
    <row r="897" spans="2:16" ht="25.5" customHeight="1" x14ac:dyDescent="0.2">
      <c r="B897" s="317">
        <v>253</v>
      </c>
      <c r="C897" s="260" t="s">
        <v>415</v>
      </c>
      <c r="D897" s="283" t="s">
        <v>29</v>
      </c>
      <c r="E897" s="317" t="s">
        <v>455</v>
      </c>
      <c r="F897" s="257">
        <v>45952</v>
      </c>
      <c r="G897" s="317">
        <v>36.371000000000002</v>
      </c>
      <c r="H897" s="716" t="s">
        <v>172</v>
      </c>
      <c r="I897" s="716"/>
      <c r="J897" s="716"/>
      <c r="K897" s="716"/>
      <c r="L897" s="335">
        <v>45955</v>
      </c>
      <c r="M897" s="317" t="s">
        <v>778</v>
      </c>
      <c r="N897" s="317">
        <v>34</v>
      </c>
      <c r="O897" s="280"/>
      <c r="P897" s="540"/>
    </row>
    <row r="898" spans="2:16" ht="25.5" customHeight="1" x14ac:dyDescent="0.2">
      <c r="B898" s="317">
        <v>254</v>
      </c>
      <c r="C898" s="288" t="s">
        <v>279</v>
      </c>
      <c r="D898" s="283" t="s">
        <v>29</v>
      </c>
      <c r="E898" s="317" t="s">
        <v>30</v>
      </c>
      <c r="F898" s="257">
        <v>45953</v>
      </c>
      <c r="G898" s="317">
        <v>36.369999999999997</v>
      </c>
      <c r="H898" s="716" t="s">
        <v>172</v>
      </c>
      <c r="I898" s="716"/>
      <c r="J898" s="716"/>
      <c r="K898" s="716"/>
      <c r="L898" s="335">
        <v>45957</v>
      </c>
      <c r="M898" s="317" t="s">
        <v>471</v>
      </c>
      <c r="N898" s="317">
        <v>25</v>
      </c>
      <c r="O898" s="280"/>
      <c r="P898" s="540"/>
    </row>
    <row r="899" spans="2:16" ht="25.5" customHeight="1" x14ac:dyDescent="0.2">
      <c r="B899" s="317">
        <v>255</v>
      </c>
      <c r="C899" s="288" t="s">
        <v>408</v>
      </c>
      <c r="D899" s="283" t="s">
        <v>29</v>
      </c>
      <c r="E899" s="317" t="s">
        <v>432</v>
      </c>
      <c r="F899" s="257">
        <v>45944</v>
      </c>
      <c r="G899" s="317">
        <v>36.369999999999997</v>
      </c>
      <c r="H899" s="716" t="s">
        <v>172</v>
      </c>
      <c r="I899" s="716"/>
      <c r="J899" s="716"/>
      <c r="K899" s="716"/>
      <c r="L899" s="335">
        <v>45957</v>
      </c>
      <c r="M899" s="317" t="s">
        <v>443</v>
      </c>
      <c r="N899" s="317">
        <v>22</v>
      </c>
      <c r="O899" s="317"/>
      <c r="P899" s="317"/>
    </row>
    <row r="900" spans="2:16" ht="25.5" customHeight="1" x14ac:dyDescent="0.2">
      <c r="B900" s="317">
        <v>256</v>
      </c>
      <c r="C900" s="288" t="s">
        <v>200</v>
      </c>
      <c r="D900" s="283" t="s">
        <v>205</v>
      </c>
      <c r="E900" s="317" t="s">
        <v>30</v>
      </c>
      <c r="F900" s="257">
        <v>45952</v>
      </c>
      <c r="G900" s="317">
        <v>33.380000000000003</v>
      </c>
      <c r="H900" s="716" t="s">
        <v>172</v>
      </c>
      <c r="I900" s="716"/>
      <c r="J900" s="716"/>
      <c r="K900" s="716"/>
      <c r="L900" s="335">
        <v>45960</v>
      </c>
      <c r="M900" s="317" t="s">
        <v>453</v>
      </c>
      <c r="N900" s="317">
        <v>35</v>
      </c>
      <c r="O900" s="280"/>
      <c r="P900" s="540"/>
    </row>
    <row r="901" spans="2:16" ht="25.5" customHeight="1" x14ac:dyDescent="0.2">
      <c r="B901" s="317">
        <v>257</v>
      </c>
      <c r="C901" s="288" t="s">
        <v>281</v>
      </c>
      <c r="D901" s="317" t="s">
        <v>29</v>
      </c>
      <c r="E901" s="317" t="s">
        <v>462</v>
      </c>
      <c r="F901" s="257">
        <v>45958</v>
      </c>
      <c r="G901" s="317">
        <v>36.369999999999997</v>
      </c>
      <c r="H901" s="716" t="s">
        <v>172</v>
      </c>
      <c r="I901" s="716"/>
      <c r="J901" s="716"/>
      <c r="K901" s="716"/>
      <c r="L901" s="335">
        <v>45963</v>
      </c>
      <c r="M901" s="317" t="s">
        <v>471</v>
      </c>
      <c r="N901" s="317">
        <v>25</v>
      </c>
      <c r="O901" s="228"/>
      <c r="P901" s="228"/>
    </row>
    <row r="902" spans="2:16" ht="25.5" customHeight="1" x14ac:dyDescent="0.2">
      <c r="B902" s="317">
        <v>258</v>
      </c>
      <c r="C902" s="288" t="s">
        <v>977</v>
      </c>
      <c r="D902" s="283" t="s">
        <v>34</v>
      </c>
      <c r="E902" s="317" t="s">
        <v>432</v>
      </c>
      <c r="F902" s="257">
        <v>45956</v>
      </c>
      <c r="G902" s="317">
        <v>37.930999999999997</v>
      </c>
      <c r="H902" s="716" t="s">
        <v>172</v>
      </c>
      <c r="I902" s="716"/>
      <c r="J902" s="716"/>
      <c r="K902" s="716"/>
      <c r="L902" s="335">
        <v>45963</v>
      </c>
      <c r="M902" s="317" t="s">
        <v>778</v>
      </c>
      <c r="N902" s="317">
        <v>34</v>
      </c>
      <c r="O902" s="258"/>
      <c r="P902" s="520"/>
    </row>
    <row r="903" spans="2:16" ht="25.5" customHeight="1" x14ac:dyDescent="0.2">
      <c r="B903" s="317">
        <v>259</v>
      </c>
      <c r="C903" s="288" t="s">
        <v>387</v>
      </c>
      <c r="D903" s="283" t="s">
        <v>29</v>
      </c>
      <c r="E903" s="317" t="s">
        <v>336</v>
      </c>
      <c r="F903" s="257">
        <v>45951</v>
      </c>
      <c r="G903" s="317">
        <v>36.369999999999997</v>
      </c>
      <c r="H903" s="716" t="s">
        <v>172</v>
      </c>
      <c r="I903" s="716"/>
      <c r="J903" s="716"/>
      <c r="K903" s="716"/>
      <c r="L903" s="335">
        <v>45963</v>
      </c>
      <c r="M903" s="317" t="s">
        <v>976</v>
      </c>
      <c r="N903" s="228">
        <v>24</v>
      </c>
      <c r="O903" s="258"/>
      <c r="P903" s="520"/>
    </row>
    <row r="904" spans="2:16" ht="25.5" customHeight="1" x14ac:dyDescent="0.2">
      <c r="B904" s="317">
        <v>260</v>
      </c>
      <c r="C904" s="288" t="s">
        <v>982</v>
      </c>
      <c r="D904" s="317" t="s">
        <v>206</v>
      </c>
      <c r="E904" s="317" t="s">
        <v>30</v>
      </c>
      <c r="F904" s="257">
        <v>45961</v>
      </c>
      <c r="G904" s="317">
        <v>31.99</v>
      </c>
      <c r="H904" s="716" t="s">
        <v>172</v>
      </c>
      <c r="I904" s="716"/>
      <c r="J904" s="716"/>
      <c r="K904" s="716"/>
      <c r="L904" s="335">
        <v>45966</v>
      </c>
      <c r="M904" s="317" t="s">
        <v>453</v>
      </c>
      <c r="N904" s="317">
        <v>22</v>
      </c>
      <c r="O904" s="258"/>
      <c r="P904" s="520"/>
    </row>
    <row r="905" spans="2:16" ht="25.5" customHeight="1" x14ac:dyDescent="0.2">
      <c r="B905" s="317">
        <v>261</v>
      </c>
      <c r="C905" s="669" t="s">
        <v>411</v>
      </c>
      <c r="D905" s="610" t="s">
        <v>47</v>
      </c>
      <c r="E905" s="609" t="s">
        <v>30</v>
      </c>
      <c r="F905" s="548"/>
      <c r="G905" s="609">
        <v>44.850999999999999</v>
      </c>
      <c r="H905" s="715" t="s">
        <v>946</v>
      </c>
      <c r="I905" s="715"/>
      <c r="J905" s="715"/>
      <c r="K905" s="715"/>
      <c r="L905" s="669"/>
      <c r="M905" s="317" t="s">
        <v>919</v>
      </c>
      <c r="N905" s="228">
        <v>24</v>
      </c>
      <c r="O905" s="258"/>
      <c r="P905" s="520"/>
    </row>
    <row r="906" spans="2:16" ht="25.5" customHeight="1" x14ac:dyDescent="0.2">
      <c r="B906" s="317">
        <v>262</v>
      </c>
      <c r="C906" s="669" t="s">
        <v>410</v>
      </c>
      <c r="D906" s="609" t="s">
        <v>34</v>
      </c>
      <c r="E906" s="609" t="s">
        <v>30</v>
      </c>
      <c r="F906" s="548">
        <v>45967</v>
      </c>
      <c r="G906" s="609">
        <v>37.930999999999997</v>
      </c>
      <c r="H906" s="715" t="s">
        <v>992</v>
      </c>
      <c r="I906" s="715"/>
      <c r="J906" s="715"/>
      <c r="K906" s="715"/>
      <c r="L906" s="669"/>
      <c r="M906" s="317" t="s">
        <v>443</v>
      </c>
      <c r="N906" s="317">
        <v>22</v>
      </c>
      <c r="O906" s="258"/>
      <c r="P906" s="520"/>
    </row>
    <row r="907" spans="2:16" ht="25.5" customHeight="1" x14ac:dyDescent="0.2">
      <c r="B907" s="317">
        <v>263</v>
      </c>
      <c r="C907" s="669" t="s">
        <v>388</v>
      </c>
      <c r="D907" s="609" t="s">
        <v>131</v>
      </c>
      <c r="E907" s="609" t="s">
        <v>30</v>
      </c>
      <c r="F907" s="548"/>
      <c r="G907" s="674">
        <v>54.66</v>
      </c>
      <c r="H907" s="715" t="s">
        <v>981</v>
      </c>
      <c r="I907" s="715"/>
      <c r="J907" s="715"/>
      <c r="K907" s="715"/>
      <c r="L907" s="669"/>
      <c r="M907" s="317" t="s">
        <v>919</v>
      </c>
      <c r="N907" s="228">
        <v>24</v>
      </c>
      <c r="O907" s="258"/>
      <c r="P907" s="520"/>
    </row>
    <row r="908" spans="2:16" ht="25.5" customHeight="1" x14ac:dyDescent="0.2">
      <c r="B908" s="317">
        <v>264</v>
      </c>
      <c r="C908" s="669" t="s">
        <v>379</v>
      </c>
      <c r="D908" s="609" t="s">
        <v>501</v>
      </c>
      <c r="E908" s="609" t="s">
        <v>30</v>
      </c>
      <c r="F908" s="548" t="s">
        <v>996</v>
      </c>
      <c r="G908" s="675">
        <v>83.81</v>
      </c>
      <c r="H908" s="715" t="s">
        <v>992</v>
      </c>
      <c r="I908" s="715"/>
      <c r="J908" s="715"/>
      <c r="K908" s="715"/>
      <c r="L908" s="669"/>
      <c r="M908" s="317" t="s">
        <v>976</v>
      </c>
      <c r="N908" s="228">
        <v>24</v>
      </c>
      <c r="O908" s="258"/>
      <c r="P908" s="520"/>
    </row>
    <row r="909" spans="2:16" ht="25.5" customHeight="1" x14ac:dyDescent="0.2">
      <c r="B909" s="317">
        <v>265</v>
      </c>
      <c r="C909" s="669" t="s">
        <v>196</v>
      </c>
      <c r="D909" s="609" t="s">
        <v>615</v>
      </c>
      <c r="E909" s="609" t="s">
        <v>30</v>
      </c>
      <c r="F909" s="548">
        <v>45967</v>
      </c>
      <c r="G909" s="609">
        <v>39.17</v>
      </c>
      <c r="H909" s="715" t="s">
        <v>993</v>
      </c>
      <c r="I909" s="715"/>
      <c r="J909" s="715"/>
      <c r="K909" s="715"/>
      <c r="L909" s="669"/>
      <c r="M909" s="317" t="s">
        <v>453</v>
      </c>
      <c r="N909" s="317">
        <v>22</v>
      </c>
      <c r="O909" s="258"/>
      <c r="P909" s="520"/>
    </row>
    <row r="910" spans="2:16" ht="25.5" customHeight="1" x14ac:dyDescent="0.2">
      <c r="B910" s="317">
        <v>266</v>
      </c>
      <c r="C910" s="669" t="s">
        <v>827</v>
      </c>
      <c r="D910" s="609" t="s">
        <v>352</v>
      </c>
      <c r="E910" s="609" t="s">
        <v>30</v>
      </c>
      <c r="F910" s="548">
        <v>45965</v>
      </c>
      <c r="G910" s="609">
        <v>64.89</v>
      </c>
      <c r="H910" s="715" t="s">
        <v>994</v>
      </c>
      <c r="I910" s="715"/>
      <c r="J910" s="715"/>
      <c r="K910" s="715"/>
      <c r="L910" s="669"/>
      <c r="M910" s="317" t="s">
        <v>778</v>
      </c>
      <c r="N910" s="317">
        <v>34</v>
      </c>
      <c r="O910" s="258"/>
      <c r="P910" s="520"/>
    </row>
    <row r="911" spans="2:16" ht="25.5" customHeight="1" x14ac:dyDescent="0.2">
      <c r="B911" s="317">
        <v>267</v>
      </c>
      <c r="C911" s="669" t="s">
        <v>238</v>
      </c>
      <c r="D911" s="609" t="s">
        <v>753</v>
      </c>
      <c r="E911" s="609" t="s">
        <v>30</v>
      </c>
      <c r="F911" s="548">
        <v>45965</v>
      </c>
      <c r="G911" s="676">
        <v>61.15</v>
      </c>
      <c r="H911" s="715" t="s">
        <v>995</v>
      </c>
      <c r="I911" s="715"/>
      <c r="J911" s="715"/>
      <c r="K911" s="715"/>
      <c r="L911" s="669"/>
      <c r="M911" s="317" t="s">
        <v>471</v>
      </c>
      <c r="N911" s="317">
        <v>25</v>
      </c>
      <c r="O911" s="258"/>
      <c r="P911" s="520"/>
    </row>
    <row r="912" spans="2:16" ht="25.5" customHeight="1" x14ac:dyDescent="0.2">
      <c r="B912" s="317"/>
      <c r="C912" s="669"/>
      <c r="D912" s="609"/>
      <c r="E912" s="609"/>
      <c r="F912" s="548"/>
      <c r="G912" s="609"/>
      <c r="H912" s="715"/>
      <c r="I912" s="715"/>
      <c r="J912" s="715"/>
      <c r="K912" s="715"/>
      <c r="L912" s="669"/>
      <c r="M912" s="317"/>
      <c r="N912" s="317"/>
      <c r="O912" s="258"/>
      <c r="P912" s="520"/>
    </row>
  </sheetData>
  <autoFilter ref="B644:Q907" xr:uid="{00000000-0009-0000-0000-000001000000}">
    <filterColumn colId="6" showButton="0"/>
    <filterColumn colId="7" showButton="0"/>
    <filterColumn colId="8" showButton="0"/>
  </autoFilter>
  <mergeCells count="902">
    <mergeCell ref="H786:K786"/>
    <mergeCell ref="H734:K734"/>
    <mergeCell ref="H888:K888"/>
    <mergeCell ref="H910:K910"/>
    <mergeCell ref="H911:K911"/>
    <mergeCell ref="H912:K912"/>
    <mergeCell ref="H820:K820"/>
    <mergeCell ref="H823:K823"/>
    <mergeCell ref="H905:K905"/>
    <mergeCell ref="H906:K906"/>
    <mergeCell ref="H907:K907"/>
    <mergeCell ref="H897:K897"/>
    <mergeCell ref="H898:K898"/>
    <mergeCell ref="H892:K892"/>
    <mergeCell ref="H893:K893"/>
    <mergeCell ref="H890:K890"/>
    <mergeCell ref="H891:K891"/>
    <mergeCell ref="H822:K822"/>
    <mergeCell ref="H824:K824"/>
    <mergeCell ref="H827:K827"/>
    <mergeCell ref="H828:K828"/>
    <mergeCell ref="H829:K829"/>
    <mergeCell ref="H830:K830"/>
    <mergeCell ref="H832:K832"/>
    <mergeCell ref="H831:K831"/>
    <mergeCell ref="H853:K853"/>
    <mergeCell ref="H854:K854"/>
    <mergeCell ref="H886:K886"/>
    <mergeCell ref="H838:K838"/>
    <mergeCell ref="H821:K821"/>
    <mergeCell ref="H825:K825"/>
    <mergeCell ref="H884:K884"/>
    <mergeCell ref="H852:K852"/>
    <mergeCell ref="H857:K857"/>
    <mergeCell ref="H858:K858"/>
    <mergeCell ref="H847:K847"/>
    <mergeCell ref="H848:K848"/>
    <mergeCell ref="H849:K849"/>
    <mergeCell ref="H850:K850"/>
    <mergeCell ref="H851:K851"/>
    <mergeCell ref="H840:K840"/>
    <mergeCell ref="H841:K841"/>
    <mergeCell ref="H842:K842"/>
    <mergeCell ref="H844:K844"/>
    <mergeCell ref="H845:K845"/>
    <mergeCell ref="H880:K880"/>
    <mergeCell ref="H826:K826"/>
    <mergeCell ref="H833:K833"/>
    <mergeCell ref="H877:K877"/>
    <mergeCell ref="H889:K889"/>
    <mergeCell ref="H885:K885"/>
    <mergeCell ref="H839:K839"/>
    <mergeCell ref="H835:K835"/>
    <mergeCell ref="H836:K836"/>
    <mergeCell ref="H837:K837"/>
    <mergeCell ref="H834:K834"/>
    <mergeCell ref="H882:K882"/>
    <mergeCell ref="H876:K876"/>
    <mergeCell ref="H874:K874"/>
    <mergeCell ref="H870:K870"/>
    <mergeCell ref="H871:K871"/>
    <mergeCell ref="H872:K872"/>
    <mergeCell ref="H873:K873"/>
    <mergeCell ref="H878:K878"/>
    <mergeCell ref="H875:K875"/>
    <mergeCell ref="H846:K846"/>
    <mergeCell ref="H883:K883"/>
    <mergeCell ref="H843:K843"/>
    <mergeCell ref="H866:K866"/>
    <mergeCell ref="H867:K867"/>
    <mergeCell ref="H868:K868"/>
    <mergeCell ref="H869:K869"/>
    <mergeCell ref="H795:K795"/>
    <mergeCell ref="H790:K790"/>
    <mergeCell ref="H789:K789"/>
    <mergeCell ref="H800:K800"/>
    <mergeCell ref="H736:K736"/>
    <mergeCell ref="H737:K737"/>
    <mergeCell ref="H712:K712"/>
    <mergeCell ref="H798:K798"/>
    <mergeCell ref="H755:K755"/>
    <mergeCell ref="H721:K721"/>
    <mergeCell ref="H765:K765"/>
    <mergeCell ref="H770:K770"/>
    <mergeCell ref="H793:K793"/>
    <mergeCell ref="H772:K772"/>
    <mergeCell ref="H784:K784"/>
    <mergeCell ref="H781:K781"/>
    <mergeCell ref="H774:K774"/>
    <mergeCell ref="H787:K787"/>
    <mergeCell ref="H796:K796"/>
    <mergeCell ref="H794:K794"/>
    <mergeCell ref="H791:K791"/>
    <mergeCell ref="H766:K766"/>
    <mergeCell ref="H761:K761"/>
    <mergeCell ref="H780:K780"/>
    <mergeCell ref="H819:K819"/>
    <mergeCell ref="H810:K810"/>
    <mergeCell ref="H797:K797"/>
    <mergeCell ref="H816:K816"/>
    <mergeCell ref="H808:K808"/>
    <mergeCell ref="H809:K809"/>
    <mergeCell ref="H814:K814"/>
    <mergeCell ref="H811:K811"/>
    <mergeCell ref="H813:K813"/>
    <mergeCell ref="H818:K818"/>
    <mergeCell ref="H815:K815"/>
    <mergeCell ref="H807:K807"/>
    <mergeCell ref="H804:K804"/>
    <mergeCell ref="H803:K803"/>
    <mergeCell ref="H805:K805"/>
    <mergeCell ref="H806:K806"/>
    <mergeCell ref="H802:K802"/>
    <mergeCell ref="H817:K817"/>
    <mergeCell ref="H812:K812"/>
    <mergeCell ref="G536:J536"/>
    <mergeCell ref="H792:K792"/>
    <mergeCell ref="E624:H624"/>
    <mergeCell ref="E625:H625"/>
    <mergeCell ref="G558:J558"/>
    <mergeCell ref="G568:J568"/>
    <mergeCell ref="H646:K646"/>
    <mergeCell ref="H650:K650"/>
    <mergeCell ref="G574:J574"/>
    <mergeCell ref="H744:K744"/>
    <mergeCell ref="H752:K752"/>
    <mergeCell ref="H747:K747"/>
    <mergeCell ref="H741:K741"/>
    <mergeCell ref="H742:K742"/>
    <mergeCell ref="H711:K711"/>
    <mergeCell ref="H700:K700"/>
    <mergeCell ref="H694:K694"/>
    <mergeCell ref="H696:K696"/>
    <mergeCell ref="H695:K695"/>
    <mergeCell ref="H733:K733"/>
    <mergeCell ref="H728:K728"/>
    <mergeCell ref="H751:K751"/>
    <mergeCell ref="H754:K754"/>
    <mergeCell ref="E629:H629"/>
    <mergeCell ref="H775:K775"/>
    <mergeCell ref="H773:K773"/>
    <mergeCell ref="H767:K767"/>
    <mergeCell ref="H768:K768"/>
    <mergeCell ref="H771:K771"/>
    <mergeCell ref="H750:K750"/>
    <mergeCell ref="H745:K745"/>
    <mergeCell ref="H746:K746"/>
    <mergeCell ref="E619:H619"/>
    <mergeCell ref="E640:H640"/>
    <mergeCell ref="H735:K735"/>
    <mergeCell ref="H705:K705"/>
    <mergeCell ref="H730:K730"/>
    <mergeCell ref="H724:K724"/>
    <mergeCell ref="H709:K709"/>
    <mergeCell ref="H703:K703"/>
    <mergeCell ref="H693:K693"/>
    <mergeCell ref="H732:K732"/>
    <mergeCell ref="H707:K707"/>
    <mergeCell ref="H764:K764"/>
    <mergeCell ref="H762:K762"/>
    <mergeCell ref="E636:H636"/>
    <mergeCell ref="E637:H637"/>
    <mergeCell ref="E641:H641"/>
    <mergeCell ref="H647:K647"/>
    <mergeCell ref="E635:H635"/>
    <mergeCell ref="E628:H628"/>
    <mergeCell ref="E620:H620"/>
    <mergeCell ref="H684:K684"/>
    <mergeCell ref="H740:K740"/>
    <mergeCell ref="H739:K739"/>
    <mergeCell ref="H738:K738"/>
    <mergeCell ref="H731:K731"/>
    <mergeCell ref="H699:K699"/>
    <mergeCell ref="H690:K690"/>
    <mergeCell ref="H706:K706"/>
    <mergeCell ref="H718:K718"/>
    <mergeCell ref="H719:K719"/>
    <mergeCell ref="H698:K698"/>
    <mergeCell ref="H697:K697"/>
    <mergeCell ref="H716:K716"/>
    <mergeCell ref="H708:K708"/>
    <mergeCell ref="H713:K713"/>
    <mergeCell ref="H726:K726"/>
    <mergeCell ref="H725:K725"/>
    <mergeCell ref="G546:J546"/>
    <mergeCell ref="G538:J538"/>
    <mergeCell ref="G535:J535"/>
    <mergeCell ref="H729:K729"/>
    <mergeCell ref="H727:K727"/>
    <mergeCell ref="H669:K669"/>
    <mergeCell ref="H678:K678"/>
    <mergeCell ref="H701:K701"/>
    <mergeCell ref="H702:K702"/>
    <mergeCell ref="H649:K649"/>
    <mergeCell ref="H661:K661"/>
    <mergeCell ref="H670:K670"/>
    <mergeCell ref="H666:K666"/>
    <mergeCell ref="H686:K686"/>
    <mergeCell ref="H687:K687"/>
    <mergeCell ref="H688:K688"/>
    <mergeCell ref="H689:K689"/>
    <mergeCell ref="H663:K663"/>
    <mergeCell ref="H652:K652"/>
    <mergeCell ref="H653:K653"/>
    <mergeCell ref="H660:K660"/>
    <mergeCell ref="H658:K658"/>
    <mergeCell ref="H685:K685"/>
    <mergeCell ref="H681:K681"/>
    <mergeCell ref="G604:J604"/>
    <mergeCell ref="E614:H614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1:H611"/>
    <mergeCell ref="G582:J582"/>
    <mergeCell ref="G583:J583"/>
    <mergeCell ref="E610:H610"/>
    <mergeCell ref="G602:J602"/>
    <mergeCell ref="E612:H612"/>
    <mergeCell ref="G597:J597"/>
    <mergeCell ref="G601:J601"/>
    <mergeCell ref="G594:J594"/>
    <mergeCell ref="G595:J595"/>
    <mergeCell ref="G587:J587"/>
    <mergeCell ref="G588:J58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6:K206"/>
    <mergeCell ref="H785:K785"/>
    <mergeCell ref="H782:K782"/>
    <mergeCell ref="H783:K783"/>
    <mergeCell ref="H778:K778"/>
    <mergeCell ref="H779:K779"/>
    <mergeCell ref="H749:K749"/>
    <mergeCell ref="H777:K777"/>
    <mergeCell ref="H776:K776"/>
    <mergeCell ref="H769:K769"/>
    <mergeCell ref="H763:K763"/>
    <mergeCell ref="H756:K756"/>
    <mergeCell ref="H753:K753"/>
    <mergeCell ref="H759:K759"/>
    <mergeCell ref="H760:K760"/>
    <mergeCell ref="H757:K757"/>
    <mergeCell ref="H758:K758"/>
    <mergeCell ref="G380:J380"/>
    <mergeCell ref="G529:J529"/>
    <mergeCell ref="G545:J545"/>
    <mergeCell ref="G565:J565"/>
    <mergeCell ref="H263:K263"/>
    <mergeCell ref="H274:K274"/>
    <mergeCell ref="G326:J326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H267:K267"/>
    <mergeCell ref="H264:K264"/>
    <mergeCell ref="H799:K799"/>
    <mergeCell ref="H680:K680"/>
    <mergeCell ref="H748:K748"/>
    <mergeCell ref="H692:K692"/>
    <mergeCell ref="H679:K679"/>
    <mergeCell ref="H714:K714"/>
    <mergeCell ref="G543:J543"/>
    <mergeCell ref="H743:K743"/>
    <mergeCell ref="H715:K715"/>
    <mergeCell ref="H667:K667"/>
    <mergeCell ref="H654:K654"/>
    <mergeCell ref="H655:K655"/>
    <mergeCell ref="H656:K656"/>
    <mergeCell ref="H651:K651"/>
    <mergeCell ref="H674:K674"/>
    <mergeCell ref="H675:K675"/>
    <mergeCell ref="G373:J373"/>
    <mergeCell ref="H788:K788"/>
    <mergeCell ref="E621:H621"/>
    <mergeCell ref="H291:K291"/>
    <mergeCell ref="G440:J440"/>
    <mergeCell ref="H304:K304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376:J376"/>
    <mergeCell ref="G377:J377"/>
    <mergeCell ref="G378:J378"/>
    <mergeCell ref="G397:J397"/>
    <mergeCell ref="G383:J383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562:J562"/>
    <mergeCell ref="G563:J563"/>
    <mergeCell ref="G570:J570"/>
    <mergeCell ref="G534:J534"/>
    <mergeCell ref="G556:J556"/>
    <mergeCell ref="G542:J542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39:J539"/>
    <mergeCell ref="G566:J566"/>
    <mergeCell ref="G557:J557"/>
    <mergeCell ref="G559:J559"/>
    <mergeCell ref="G569:J569"/>
    <mergeCell ref="G564:J564"/>
    <mergeCell ref="G541:J541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479:J479"/>
    <mergeCell ref="G489:J489"/>
    <mergeCell ref="G474:J474"/>
    <mergeCell ref="G493:J493"/>
    <mergeCell ref="G488:J488"/>
    <mergeCell ref="G329:J329"/>
    <mergeCell ref="G387:J387"/>
    <mergeCell ref="H855:K855"/>
    <mergeCell ref="H860:K860"/>
    <mergeCell ref="H861:K861"/>
    <mergeCell ref="H856:K856"/>
    <mergeCell ref="H859:K859"/>
    <mergeCell ref="G444:J444"/>
    <mergeCell ref="G586:J586"/>
    <mergeCell ref="H801:K801"/>
    <mergeCell ref="E623:H623"/>
    <mergeCell ref="E638:H638"/>
    <mergeCell ref="H677:K677"/>
    <mergeCell ref="H673:K673"/>
    <mergeCell ref="G593:J593"/>
    <mergeCell ref="G603:J603"/>
    <mergeCell ref="B609:N609"/>
    <mergeCell ref="E626:H626"/>
    <mergeCell ref="G605:J605"/>
    <mergeCell ref="E639:H639"/>
    <mergeCell ref="H672:K672"/>
    <mergeCell ref="H662:K662"/>
    <mergeCell ref="E630:H630"/>
    <mergeCell ref="H665:K665"/>
    <mergeCell ref="G606:J606"/>
    <mergeCell ref="G607:J607"/>
    <mergeCell ref="H895:K895"/>
    <mergeCell ref="H896:K896"/>
    <mergeCell ref="H671:K671"/>
    <mergeCell ref="H664:K664"/>
    <mergeCell ref="H887:K887"/>
    <mergeCell ref="H691:K691"/>
    <mergeCell ref="H720:K720"/>
    <mergeCell ref="H717:K717"/>
    <mergeCell ref="H722:K722"/>
    <mergeCell ref="H879:K879"/>
    <mergeCell ref="H881:K881"/>
    <mergeCell ref="H864:K864"/>
    <mergeCell ref="H862:K862"/>
    <mergeCell ref="H865:K865"/>
    <mergeCell ref="H863:K863"/>
    <mergeCell ref="E627:H627"/>
    <mergeCell ref="H682:K682"/>
    <mergeCell ref="H683:K683"/>
    <mergeCell ref="H657:K657"/>
    <mergeCell ref="E615:H615"/>
    <mergeCell ref="E613:H613"/>
    <mergeCell ref="H676:K676"/>
    <mergeCell ref="H908:K908"/>
    <mergeCell ref="H909:K909"/>
    <mergeCell ref="G608:J608"/>
    <mergeCell ref="H900:K900"/>
    <mergeCell ref="H901:K901"/>
    <mergeCell ref="H902:K902"/>
    <mergeCell ref="H903:K903"/>
    <mergeCell ref="H904:K904"/>
    <mergeCell ref="H899:K899"/>
    <mergeCell ref="E642:H642"/>
    <mergeCell ref="H894:K894"/>
    <mergeCell ref="H659:K659"/>
    <mergeCell ref="H668:K668"/>
    <mergeCell ref="H648:K648"/>
    <mergeCell ref="H710:K710"/>
    <mergeCell ref="H723:K723"/>
    <mergeCell ref="H704:K704"/>
    <mergeCell ref="E617:H617"/>
    <mergeCell ref="E616:H616"/>
    <mergeCell ref="E618:H618"/>
    <mergeCell ref="E634:H634"/>
    <mergeCell ref="H645:K645"/>
    <mergeCell ref="H644:K644"/>
    <mergeCell ref="E622:H622"/>
  </mergeCells>
  <conditionalFormatting sqref="C320:C322">
    <cfRule type="duplicateValues" dxfId="36" priority="138" stopIfTrue="1"/>
  </conditionalFormatting>
  <conditionalFormatting sqref="C611:C614">
    <cfRule type="duplicateValues" dxfId="35" priority="137" stopIfTrue="1"/>
    <cfRule type="duplicateValues" dxfId="34" priority="136" stopIfTrue="1"/>
  </conditionalFormatting>
  <conditionalFormatting sqref="C615:C619 C631:C632">
    <cfRule type="duplicateValues" dxfId="33" priority="135" stopIfTrue="1"/>
    <cfRule type="duplicateValues" dxfId="32" priority="134" stopIfTrue="1"/>
  </conditionalFormatting>
  <conditionalFormatting sqref="C615:C619">
    <cfRule type="duplicateValues" dxfId="31" priority="72" stopIfTrue="1"/>
    <cfRule type="duplicateValues" dxfId="30" priority="57" stopIfTrue="1"/>
    <cfRule type="duplicateValues" dxfId="29" priority="58" stopIfTrue="1"/>
    <cfRule type="duplicateValues" dxfId="28" priority="71" stopIfTrue="1"/>
  </conditionalFormatting>
  <conditionalFormatting sqref="C620">
    <cfRule type="duplicateValues" dxfId="27" priority="37" stopIfTrue="1"/>
    <cfRule type="duplicateValues" dxfId="26" priority="38" stopIfTrue="1"/>
    <cfRule type="duplicateValues" dxfId="25" priority="39" stopIfTrue="1"/>
    <cfRule type="duplicateValues" dxfId="24" priority="40" stopIfTrue="1"/>
  </conditionalFormatting>
  <conditionalFormatting sqref="C621:C624">
    <cfRule type="duplicateValues" dxfId="23" priority="5" stopIfTrue="1"/>
    <cfRule type="duplicateValues" dxfId="22" priority="6" stopIfTrue="1"/>
  </conditionalFormatting>
  <conditionalFormatting sqref="C621:C628">
    <cfRule type="duplicateValues" dxfId="21" priority="3" stopIfTrue="1"/>
    <cfRule type="duplicateValues" dxfId="20" priority="4" stopIfTrue="1"/>
  </conditionalFormatting>
  <conditionalFormatting sqref="C629:C630">
    <cfRule type="duplicateValues" dxfId="19" priority="2" stopIfTrue="1"/>
    <cfRule type="duplicateValues" dxfId="18" priority="1" stopIfTrue="1"/>
  </conditionalFormatting>
  <conditionalFormatting sqref="C635:C638">
    <cfRule type="duplicateValues" dxfId="17" priority="10" stopIfTrue="1"/>
    <cfRule type="duplicateValues" dxfId="16" priority="9" stopIfTrue="1"/>
  </conditionalFormatting>
  <conditionalFormatting sqref="C639:C642">
    <cfRule type="duplicateValues" dxfId="15" priority="8" stopIfTrue="1"/>
    <cfRule type="duplicateValues" dxfId="14" priority="7" stopIfTrue="1"/>
  </conditionalFormatting>
  <conditionalFormatting sqref="C704">
    <cfRule type="duplicateValues" dxfId="13" priority="118" stopIfTrue="1"/>
    <cfRule type="duplicateValues" dxfId="12" priority="119"/>
    <cfRule type="duplicateValues" dxfId="11" priority="120" stopIfTrue="1"/>
    <cfRule type="duplicateValues" dxfId="10" priority="121" stopIfTrue="1"/>
    <cfRule type="duplicateValues" dxfId="9" priority="122" stopIfTrue="1"/>
    <cfRule type="duplicateValues" dxfId="8" priority="123" stopIfTrue="1"/>
    <cfRule type="duplicateValues" dxfId="7" priority="124" stopIfTrue="1"/>
    <cfRule type="duplicateValues" dxfId="6" priority="125"/>
    <cfRule type="duplicateValues" dxfId="5" priority="126"/>
    <cfRule type="duplicateValues" dxfId="4" priority="127"/>
    <cfRule type="duplicateValues" dxfId="3" priority="128"/>
    <cfRule type="duplicateValues" dxfId="2" priority="129"/>
    <cfRule type="duplicateValues" dxfId="1" priority="117"/>
  </conditionalFormatting>
  <hyperlinks>
    <hyperlink ref="L610" r:id="rId1" xr:uid="{00000000-0004-0000-0100-000000000000}"/>
    <hyperlink ref="M610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257" zoomScale="86" zoomScaleNormal="86" workbookViewId="0">
      <selection activeCell="B262" sqref="B1:B1048576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977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976</v>
      </c>
      <c r="J261" s="228">
        <v>24</v>
      </c>
    </row>
    <row r="262" spans="1:10" ht="27.75" customHeight="1" x14ac:dyDescent="0.2">
      <c r="A262" s="317">
        <v>260</v>
      </c>
      <c r="B262" s="288" t="s">
        <v>982</v>
      </c>
      <c r="C262" s="317" t="s">
        <v>206</v>
      </c>
      <c r="D262" s="317" t="s">
        <v>30</v>
      </c>
      <c r="E262" s="257">
        <v>45961</v>
      </c>
      <c r="F262" s="317">
        <v>31.99</v>
      </c>
      <c r="G262" s="323" t="s">
        <v>172</v>
      </c>
      <c r="H262" s="335">
        <v>45966</v>
      </c>
      <c r="I262" s="317" t="s">
        <v>453</v>
      </c>
      <c r="J262" s="317">
        <v>22</v>
      </c>
    </row>
    <row r="263" spans="1:10" ht="27.75" customHeight="1" x14ac:dyDescent="0.2">
      <c r="A263" s="317"/>
      <c r="B263" s="288"/>
      <c r="C263" s="317"/>
      <c r="D263" s="317"/>
      <c r="E263" s="257"/>
      <c r="F263" s="317"/>
      <c r="G263" s="323"/>
      <c r="H263" s="335"/>
      <c r="I263" s="317"/>
      <c r="J263" s="317"/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C63" zoomScaleSheetLayoutView="50" workbookViewId="0">
      <selection activeCell="H37" sqref="H37:H40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78" t="s">
        <v>641</v>
      </c>
      <c r="C1" s="779"/>
      <c r="D1" s="779"/>
      <c r="E1" s="779"/>
      <c r="F1" s="779"/>
      <c r="G1" s="779"/>
      <c r="H1" s="779"/>
      <c r="I1" s="780"/>
      <c r="J1" s="235"/>
    </row>
    <row r="2" spans="2:10" ht="19.5" thickBot="1" x14ac:dyDescent="0.35">
      <c r="B2" s="781" t="s">
        <v>156</v>
      </c>
      <c r="C2" s="782"/>
      <c r="D2" s="782"/>
      <c r="E2" s="782"/>
      <c r="F2" s="782"/>
      <c r="G2" s="782"/>
      <c r="H2" s="782"/>
      <c r="I2" s="783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81" t="s">
        <v>535</v>
      </c>
      <c r="C16" s="782"/>
      <c r="D16" s="782"/>
      <c r="E16" s="782"/>
      <c r="F16" s="782"/>
      <c r="G16" s="782"/>
      <c r="H16" s="782"/>
      <c r="I16" s="782"/>
      <c r="J16" s="783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60">
        <v>1</v>
      </c>
      <c r="C18" s="761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60"/>
      <c r="C19" s="761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60"/>
      <c r="C20" s="761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60"/>
      <c r="C21" s="761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60"/>
      <c r="C22" s="761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60"/>
      <c r="C23" s="761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72" t="s">
        <v>950</v>
      </c>
      <c r="L23" s="773"/>
    </row>
    <row r="24" spans="2:12" x14ac:dyDescent="0.3">
      <c r="B24" s="760">
        <v>2</v>
      </c>
      <c r="C24" s="761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74" t="s">
        <v>979</v>
      </c>
      <c r="L24" s="618"/>
    </row>
    <row r="25" spans="2:12" x14ac:dyDescent="0.3">
      <c r="B25" s="760"/>
      <c r="C25" s="761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75"/>
      <c r="L25" s="618"/>
    </row>
    <row r="26" spans="2:12" x14ac:dyDescent="0.3">
      <c r="B26" s="760"/>
      <c r="C26" s="761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75"/>
      <c r="L26" s="618"/>
    </row>
    <row r="27" spans="2:12" x14ac:dyDescent="0.3">
      <c r="B27" s="760"/>
      <c r="C27" s="761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75"/>
      <c r="L27" s="228" t="s">
        <v>980</v>
      </c>
    </row>
    <row r="28" spans="2:12" x14ac:dyDescent="0.3">
      <c r="B28" s="760"/>
      <c r="C28" s="761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75"/>
      <c r="L28" s="619"/>
    </row>
    <row r="29" spans="2:12" x14ac:dyDescent="0.3">
      <c r="B29" s="760"/>
      <c r="C29" s="761"/>
      <c r="D29" s="249" t="s">
        <v>142</v>
      </c>
      <c r="E29" s="249"/>
      <c r="F29" s="240"/>
      <c r="G29" s="240"/>
      <c r="H29" s="240"/>
      <c r="I29" s="240"/>
      <c r="J29" s="515"/>
      <c r="K29" s="775"/>
      <c r="L29" s="618"/>
    </row>
    <row r="30" spans="2:12" ht="36.75" customHeight="1" x14ac:dyDescent="0.3">
      <c r="B30" s="760">
        <v>3</v>
      </c>
      <c r="C30" s="761" t="s">
        <v>542</v>
      </c>
      <c r="D30" s="599" t="s">
        <v>147</v>
      </c>
      <c r="E30" s="599">
        <v>13</v>
      </c>
      <c r="F30" s="240">
        <v>13</v>
      </c>
      <c r="G30" s="240">
        <f>E30-F30</f>
        <v>0</v>
      </c>
      <c r="H30" s="240">
        <v>12</v>
      </c>
      <c r="I30" s="240">
        <v>1</v>
      </c>
      <c r="J30" s="515"/>
      <c r="K30" s="775"/>
      <c r="L30" s="620"/>
    </row>
    <row r="31" spans="2:12" ht="33" customHeight="1" thickBot="1" x14ac:dyDescent="0.35">
      <c r="B31" s="760"/>
      <c r="C31" s="761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76"/>
      <c r="L31" s="620"/>
    </row>
    <row r="32" spans="2:12" x14ac:dyDescent="0.3">
      <c r="B32" s="760"/>
      <c r="C32" s="761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60"/>
      <c r="C33" s="761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60"/>
      <c r="C34" s="761"/>
      <c r="D34" s="249" t="s">
        <v>543</v>
      </c>
      <c r="E34" s="249">
        <v>1</v>
      </c>
      <c r="F34" s="249">
        <v>1</v>
      </c>
      <c r="G34" s="240">
        <v>0</v>
      </c>
      <c r="H34" s="240">
        <v>1</v>
      </c>
      <c r="I34" s="240"/>
      <c r="J34" s="515"/>
      <c r="K34" s="621"/>
    </row>
    <row r="35" spans="2:12" x14ac:dyDescent="0.3">
      <c r="B35" s="760"/>
      <c r="C35" s="761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60">
        <v>3</v>
      </c>
      <c r="C36" s="761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6</v>
      </c>
      <c r="I36" s="553">
        <v>1</v>
      </c>
      <c r="J36" s="515"/>
      <c r="K36" s="762"/>
      <c r="L36" s="762"/>
    </row>
    <row r="37" spans="2:12" ht="33" customHeight="1" x14ac:dyDescent="0.3">
      <c r="B37" s="760"/>
      <c r="C37" s="761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71"/>
      <c r="L37" s="777"/>
    </row>
    <row r="38" spans="2:12" x14ac:dyDescent="0.3">
      <c r="B38" s="760"/>
      <c r="C38" s="761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71"/>
      <c r="L38" s="777"/>
    </row>
    <row r="39" spans="2:12" ht="34.5" customHeight="1" x14ac:dyDescent="0.3">
      <c r="B39" s="760"/>
      <c r="C39" s="761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71"/>
      <c r="L39" s="777"/>
    </row>
    <row r="40" spans="2:12" ht="36" customHeight="1" x14ac:dyDescent="0.3">
      <c r="B40" s="760"/>
      <c r="C40" s="761"/>
      <c r="D40" s="249" t="s">
        <v>143</v>
      </c>
      <c r="E40" s="249">
        <v>1</v>
      </c>
      <c r="F40" s="240">
        <v>1</v>
      </c>
      <c r="G40" s="240">
        <v>0</v>
      </c>
      <c r="H40" s="240">
        <v>1</v>
      </c>
      <c r="I40" s="240"/>
      <c r="J40" s="515"/>
      <c r="K40" s="771"/>
      <c r="L40" s="220"/>
    </row>
    <row r="41" spans="2:12" x14ac:dyDescent="0.3">
      <c r="B41" s="760"/>
      <c r="C41" s="761"/>
      <c r="D41" s="249" t="s">
        <v>142</v>
      </c>
      <c r="E41" s="249"/>
      <c r="F41" s="240"/>
      <c r="G41" s="240"/>
      <c r="H41" s="240"/>
      <c r="I41" s="240"/>
      <c r="J41" s="515"/>
      <c r="K41" s="771"/>
      <c r="L41" s="222"/>
    </row>
    <row r="42" spans="2:12" ht="36.75" customHeight="1" x14ac:dyDescent="0.3">
      <c r="B42" s="760">
        <v>4</v>
      </c>
      <c r="C42" s="761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71"/>
      <c r="L42" s="220"/>
    </row>
    <row r="43" spans="2:12" x14ac:dyDescent="0.3">
      <c r="B43" s="760"/>
      <c r="C43" s="761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71"/>
      <c r="L43" s="622"/>
    </row>
    <row r="44" spans="2:12" x14ac:dyDescent="0.3">
      <c r="B44" s="760">
        <v>5</v>
      </c>
      <c r="C44" s="761" t="s">
        <v>168</v>
      </c>
      <c r="D44" s="599" t="s">
        <v>147</v>
      </c>
      <c r="E44" s="599">
        <v>61</v>
      </c>
      <c r="F44" s="599">
        <v>61</v>
      </c>
      <c r="G44" s="240">
        <f t="shared" ref="G44:G54" si="2">E44-F44</f>
        <v>0</v>
      </c>
      <c r="H44" s="240"/>
      <c r="I44" s="240">
        <v>61</v>
      </c>
      <c r="J44" s="515"/>
      <c r="K44" s="771"/>
      <c r="L44" s="622"/>
    </row>
    <row r="45" spans="2:12" x14ac:dyDescent="0.3">
      <c r="B45" s="760"/>
      <c r="C45" s="761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62"/>
      <c r="L45" s="762"/>
    </row>
    <row r="46" spans="2:12" x14ac:dyDescent="0.3">
      <c r="B46" s="760"/>
      <c r="C46" s="761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60"/>
      <c r="C47" s="761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60"/>
      <c r="C48" s="761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60"/>
      <c r="C49" s="761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60">
        <v>5</v>
      </c>
      <c r="C50" s="761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60"/>
      <c r="C51" s="761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62"/>
      <c r="L51" s="762"/>
    </row>
    <row r="52" spans="2:12" x14ac:dyDescent="0.3">
      <c r="B52" s="760"/>
      <c r="C52" s="761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60"/>
      <c r="C53" s="761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60"/>
      <c r="C54" s="761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60"/>
      <c r="C55" s="761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60">
        <v>6</v>
      </c>
      <c r="C56" s="761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60"/>
      <c r="C57" s="761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62"/>
      <c r="L57" s="762"/>
    </row>
    <row r="58" spans="2:12" x14ac:dyDescent="0.3">
      <c r="B58" s="760"/>
      <c r="C58" s="761"/>
      <c r="D58" s="249" t="s">
        <v>145</v>
      </c>
      <c r="E58" s="249"/>
      <c r="F58" s="240"/>
      <c r="G58" s="240"/>
      <c r="H58" s="240"/>
      <c r="I58" s="240"/>
      <c r="J58" s="515"/>
      <c r="K58" s="771"/>
      <c r="L58" s="221"/>
    </row>
    <row r="59" spans="2:12" x14ac:dyDescent="0.3">
      <c r="B59" s="760"/>
      <c r="C59" s="761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71"/>
      <c r="L59" s="339"/>
    </row>
    <row r="60" spans="2:12" x14ac:dyDescent="0.3">
      <c r="B60" s="760"/>
      <c r="C60" s="761"/>
      <c r="D60" s="249" t="s">
        <v>143</v>
      </c>
      <c r="E60" s="249"/>
      <c r="F60" s="240"/>
      <c r="G60" s="240"/>
      <c r="H60" s="240"/>
      <c r="I60" s="240"/>
      <c r="J60" s="515"/>
      <c r="K60" s="771"/>
      <c r="L60" s="595"/>
    </row>
    <row r="61" spans="2:12" x14ac:dyDescent="0.3">
      <c r="B61" s="760"/>
      <c r="C61" s="761"/>
      <c r="D61" s="249" t="s">
        <v>142</v>
      </c>
      <c r="E61" s="249"/>
      <c r="F61" s="240"/>
      <c r="G61" s="240"/>
      <c r="H61" s="240"/>
      <c r="I61" s="240"/>
      <c r="J61" s="515"/>
      <c r="K61" s="771"/>
      <c r="L61" s="595"/>
    </row>
    <row r="62" spans="2:12" x14ac:dyDescent="0.3">
      <c r="B62" s="765">
        <v>7</v>
      </c>
      <c r="C62" s="763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66"/>
      <c r="C63" s="764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312</v>
      </c>
      <c r="G64" s="517">
        <f>312-F64</f>
        <v>0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67"/>
      <c r="C68" s="767"/>
      <c r="D68" s="767"/>
      <c r="E68" s="767"/>
      <c r="F68" s="767"/>
      <c r="G68" s="767"/>
      <c r="H68" s="767"/>
      <c r="I68" s="767"/>
      <c r="J68" s="767"/>
      <c r="K68" s="767"/>
      <c r="L68" s="767"/>
      <c r="M68" s="767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311</v>
      </c>
      <c r="G71" s="484">
        <f>E71-F71</f>
        <v>1</v>
      </c>
      <c r="H71" s="485"/>
      <c r="I71" s="485">
        <v>1</v>
      </c>
      <c r="J71" s="484">
        <v>1</v>
      </c>
      <c r="K71" s="485">
        <v>312</v>
      </c>
      <c r="L71" s="485">
        <f>312-K71</f>
        <v>0</v>
      </c>
      <c r="M71" s="486"/>
    </row>
    <row r="73" spans="2:13" ht="66" customHeight="1" thickBot="1" x14ac:dyDescent="0.35"/>
    <row r="74" spans="2:13" ht="45" customHeight="1" x14ac:dyDescent="0.2">
      <c r="B74" s="768" t="s">
        <v>735</v>
      </c>
      <c r="C74" s="769"/>
      <c r="D74" s="769"/>
      <c r="E74" s="769"/>
      <c r="F74" s="769"/>
      <c r="G74" s="769"/>
      <c r="H74" s="769"/>
      <c r="I74" s="769"/>
      <c r="J74" s="770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985</v>
      </c>
      <c r="G75" s="592" t="s">
        <v>986</v>
      </c>
      <c r="H75" s="592" t="s">
        <v>660</v>
      </c>
      <c r="I75" s="592" t="s">
        <v>987</v>
      </c>
      <c r="J75" s="592" t="s">
        <v>984</v>
      </c>
      <c r="K75" s="592" t="s">
        <v>983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988</v>
      </c>
      <c r="K77" s="422">
        <v>1</v>
      </c>
      <c r="L77" s="421">
        <f t="shared" si="3"/>
        <v>312</v>
      </c>
      <c r="M77" s="421">
        <f t="shared" si="4"/>
        <v>0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f>32.785+10.142</f>
        <v>42.926999999999992</v>
      </c>
      <c r="L82" s="231">
        <f>G82+K82</f>
        <v>127.544</v>
      </c>
      <c r="M82" s="231">
        <f t="shared" si="4"/>
        <v>1.6000000000005343E-2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>G83+K83</f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1:I1"/>
    <mergeCell ref="B2:I2"/>
    <mergeCell ref="B16:J16"/>
    <mergeCell ref="B18:B23"/>
    <mergeCell ref="C18:C23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68:M68"/>
    <mergeCell ref="B74:J74"/>
    <mergeCell ref="K57:L57"/>
    <mergeCell ref="K58:K61"/>
    <mergeCell ref="B56:B61"/>
    <mergeCell ref="C56:C61"/>
    <mergeCell ref="B50:B55"/>
    <mergeCell ref="C50:C55"/>
    <mergeCell ref="K51:L51"/>
    <mergeCell ref="C62:C63"/>
    <mergeCell ref="B62:B6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zoomScale="80" zoomScaleNormal="80" zoomScaleSheetLayoutView="70" workbookViewId="0">
      <selection activeCell="J11" sqref="J11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792" t="s">
        <v>544</v>
      </c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3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794" t="s">
        <v>545</v>
      </c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5"/>
      <c r="P2" s="795"/>
      <c r="Q2" s="795"/>
      <c r="R2" s="795"/>
      <c r="S2" s="795"/>
      <c r="T2" s="795"/>
      <c r="U2" s="795"/>
      <c r="V2" s="795"/>
      <c r="W2" s="795"/>
      <c r="X2" s="795"/>
      <c r="Y2" s="796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788" t="s">
        <v>706</v>
      </c>
      <c r="C3" s="789"/>
      <c r="D3" s="502">
        <v>307</v>
      </c>
      <c r="E3" s="475" t="s">
        <v>718</v>
      </c>
      <c r="F3" s="786" t="s">
        <v>736</v>
      </c>
      <c r="G3" s="787"/>
      <c r="H3" s="502">
        <v>260</v>
      </c>
      <c r="I3" s="476" t="s">
        <v>718</v>
      </c>
      <c r="J3" s="784" t="s">
        <v>737</v>
      </c>
      <c r="K3" s="785"/>
      <c r="L3" s="502">
        <v>289</v>
      </c>
      <c r="M3" s="475" t="s">
        <v>718</v>
      </c>
      <c r="N3" s="786" t="s">
        <v>738</v>
      </c>
      <c r="O3" s="787"/>
      <c r="P3" s="492">
        <v>43.741999999999997</v>
      </c>
      <c r="Q3" s="504" t="s">
        <v>764</v>
      </c>
      <c r="R3" s="786" t="s">
        <v>740</v>
      </c>
      <c r="S3" s="787"/>
      <c r="T3" s="492">
        <v>43.741999999999997</v>
      </c>
      <c r="U3" s="504" t="s">
        <v>764</v>
      </c>
      <c r="V3" s="503" t="s">
        <v>739</v>
      </c>
      <c r="W3" s="797">
        <f ca="1">TODAY()</f>
        <v>45968</v>
      </c>
      <c r="X3" s="798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812" t="s">
        <v>546</v>
      </c>
      <c r="C4" s="813" t="s">
        <v>547</v>
      </c>
      <c r="D4" s="813" t="s">
        <v>548</v>
      </c>
      <c r="E4" s="813" t="s">
        <v>549</v>
      </c>
      <c r="F4" s="815" t="s">
        <v>550</v>
      </c>
      <c r="G4" s="816" t="s">
        <v>551</v>
      </c>
      <c r="H4" s="799" t="s">
        <v>552</v>
      </c>
      <c r="I4" s="801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802"/>
      <c r="C5" s="814"/>
      <c r="D5" s="814"/>
      <c r="E5" s="814"/>
      <c r="F5" s="814"/>
      <c r="G5" s="802"/>
      <c r="H5" s="800"/>
      <c r="I5" s="802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804"/>
      <c r="W5" s="805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802" t="s">
        <v>556</v>
      </c>
      <c r="C6" s="814">
        <v>1</v>
      </c>
      <c r="D6" s="814">
        <v>2</v>
      </c>
      <c r="E6" s="814">
        <v>3</v>
      </c>
      <c r="F6" s="814">
        <v>4</v>
      </c>
      <c r="G6" s="802"/>
      <c r="H6" s="800"/>
      <c r="I6" s="803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806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808"/>
      <c r="W7" s="809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807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810" t="s">
        <v>573</v>
      </c>
      <c r="W13" s="811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21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23" t="s">
        <v>578</v>
      </c>
      <c r="C15" s="823"/>
      <c r="D15" s="823"/>
      <c r="E15" s="823"/>
      <c r="F15" s="823"/>
      <c r="G15" s="823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22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24"/>
      <c r="C19" s="64">
        <v>234.53</v>
      </c>
      <c r="D19" s="819"/>
      <c r="E19" s="62">
        <v>397.2</v>
      </c>
      <c r="F19" s="819"/>
      <c r="G19" s="282">
        <v>436</v>
      </c>
      <c r="H19" s="819"/>
      <c r="I19" s="63">
        <v>405</v>
      </c>
      <c r="J19" s="819"/>
      <c r="K19" s="63">
        <v>399</v>
      </c>
      <c r="L19" s="819"/>
      <c r="M19" s="63">
        <v>446.01</v>
      </c>
      <c r="N19" s="819"/>
      <c r="O19" s="281">
        <v>309.77</v>
      </c>
      <c r="P19" s="826"/>
      <c r="Q19" s="64">
        <v>394</v>
      </c>
      <c r="R19" s="826"/>
      <c r="S19" s="64">
        <v>396</v>
      </c>
      <c r="T19" s="826"/>
      <c r="U19" s="62">
        <v>370</v>
      </c>
      <c r="V19" s="819"/>
      <c r="W19" s="63">
        <v>383</v>
      </c>
      <c r="X19" s="819"/>
      <c r="Y19" s="65">
        <v>405</v>
      </c>
    </row>
    <row r="20" spans="1:25" ht="16.5" thickBot="1" x14ac:dyDescent="0.3">
      <c r="A20" s="86"/>
      <c r="B20" s="825"/>
      <c r="C20" s="58"/>
      <c r="D20" s="820"/>
      <c r="E20" s="58"/>
      <c r="F20" s="820"/>
      <c r="G20" s="66"/>
      <c r="H20" s="820"/>
      <c r="I20" s="58"/>
      <c r="J20" s="820"/>
      <c r="K20" s="58"/>
      <c r="L20" s="820"/>
      <c r="M20" s="58"/>
      <c r="N20" s="820"/>
      <c r="O20" s="58"/>
      <c r="P20" s="827"/>
      <c r="Q20" s="58"/>
      <c r="R20" s="827"/>
      <c r="S20" s="58"/>
      <c r="T20" s="827"/>
      <c r="U20" s="58"/>
      <c r="V20" s="820"/>
      <c r="W20" s="58"/>
      <c r="X20" s="820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817"/>
      <c r="C25" s="62">
        <v>416.52</v>
      </c>
      <c r="D25" s="790"/>
      <c r="E25" s="63">
        <v>426</v>
      </c>
      <c r="F25" s="790"/>
      <c r="G25" s="61">
        <v>419</v>
      </c>
      <c r="H25" s="790"/>
      <c r="I25" s="61">
        <v>429</v>
      </c>
      <c r="J25" s="790"/>
      <c r="K25" s="64">
        <v>406.96</v>
      </c>
      <c r="L25" s="819"/>
      <c r="M25" s="76">
        <v>416</v>
      </c>
      <c r="N25" s="817"/>
      <c r="O25" s="77">
        <v>367</v>
      </c>
      <c r="P25" s="817"/>
      <c r="Q25" s="116">
        <v>440</v>
      </c>
      <c r="R25" s="790"/>
      <c r="S25" s="63">
        <v>407</v>
      </c>
      <c r="T25" s="819"/>
      <c r="U25" s="78">
        <v>426</v>
      </c>
      <c r="V25" s="790"/>
      <c r="W25" s="78">
        <v>404</v>
      </c>
      <c r="X25" s="819"/>
      <c r="Y25" s="79">
        <v>397</v>
      </c>
    </row>
    <row r="26" spans="1:25" ht="16.5" thickBot="1" x14ac:dyDescent="0.3">
      <c r="A26" s="86"/>
      <c r="B26" s="818"/>
      <c r="C26" s="58"/>
      <c r="D26" s="791"/>
      <c r="E26" s="58"/>
      <c r="F26" s="791"/>
      <c r="G26" s="58"/>
      <c r="H26" s="791"/>
      <c r="I26" s="38"/>
      <c r="J26" s="791"/>
      <c r="K26" s="58"/>
      <c r="L26" s="820"/>
      <c r="M26" s="66"/>
      <c r="N26" s="818"/>
      <c r="O26" s="66"/>
      <c r="P26" s="818"/>
      <c r="Q26" s="66"/>
      <c r="R26" s="791"/>
      <c r="S26" s="66"/>
      <c r="T26" s="820"/>
      <c r="U26" s="66"/>
      <c r="V26" s="791"/>
      <c r="W26" s="66"/>
      <c r="X26" s="820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828"/>
      <c r="C32" s="116">
        <v>450</v>
      </c>
      <c r="D32" s="790"/>
      <c r="E32" s="78">
        <v>398</v>
      </c>
      <c r="F32" s="790"/>
      <c r="G32" s="78">
        <v>417</v>
      </c>
      <c r="H32" s="790"/>
      <c r="I32" s="78">
        <v>431</v>
      </c>
      <c r="J32" s="790"/>
      <c r="K32" s="78">
        <v>415</v>
      </c>
      <c r="L32" s="790"/>
      <c r="M32" s="78">
        <v>424</v>
      </c>
      <c r="N32" s="790"/>
      <c r="O32" s="78">
        <v>417</v>
      </c>
      <c r="P32" s="790"/>
      <c r="Q32" s="78">
        <v>422</v>
      </c>
      <c r="R32" s="790"/>
      <c r="S32" s="63">
        <v>406</v>
      </c>
      <c r="T32" s="790"/>
      <c r="U32" s="78">
        <v>407</v>
      </c>
      <c r="V32" s="828"/>
      <c r="W32" s="92">
        <v>420</v>
      </c>
      <c r="X32" s="828"/>
      <c r="Y32" s="93">
        <v>409</v>
      </c>
    </row>
    <row r="33" spans="1:25" ht="16.5" thickBot="1" x14ac:dyDescent="0.3">
      <c r="A33" s="86"/>
      <c r="B33" s="829"/>
      <c r="C33" s="66"/>
      <c r="D33" s="791"/>
      <c r="E33" s="66"/>
      <c r="F33" s="791"/>
      <c r="G33" s="66"/>
      <c r="H33" s="791"/>
      <c r="I33" s="66"/>
      <c r="J33" s="791"/>
      <c r="K33" s="58"/>
      <c r="L33" s="791"/>
      <c r="M33" s="66"/>
      <c r="N33" s="791"/>
      <c r="O33" s="66"/>
      <c r="P33" s="791"/>
      <c r="Q33" s="58"/>
      <c r="R33" s="791"/>
      <c r="S33" s="58"/>
      <c r="T33" s="791"/>
      <c r="U33" s="58"/>
      <c r="V33" s="829"/>
      <c r="W33" s="66"/>
      <c r="X33" s="829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828"/>
      <c r="C39" s="64">
        <v>439</v>
      </c>
      <c r="D39" s="830"/>
      <c r="E39" s="64">
        <v>407</v>
      </c>
      <c r="F39" s="828"/>
      <c r="G39" s="62">
        <v>441</v>
      </c>
      <c r="H39" s="790"/>
      <c r="I39" s="78">
        <v>312</v>
      </c>
      <c r="J39" s="790"/>
      <c r="K39" s="102">
        <v>460</v>
      </c>
      <c r="L39" s="819"/>
      <c r="M39" s="282">
        <v>181.66</v>
      </c>
      <c r="N39" s="819"/>
      <c r="O39" s="78">
        <v>428</v>
      </c>
      <c r="P39" s="819"/>
      <c r="Q39" s="78">
        <v>418</v>
      </c>
      <c r="R39" s="790"/>
      <c r="S39" s="92">
        <v>401</v>
      </c>
      <c r="T39" s="790"/>
      <c r="U39" s="78">
        <v>382</v>
      </c>
      <c r="V39" s="819"/>
      <c r="W39" s="78">
        <v>463</v>
      </c>
      <c r="X39" s="790"/>
      <c r="Y39" s="103">
        <v>385</v>
      </c>
    </row>
    <row r="40" spans="1:25" ht="16.5" thickBot="1" x14ac:dyDescent="0.3">
      <c r="A40" s="86"/>
      <c r="B40" s="829"/>
      <c r="C40" s="66"/>
      <c r="D40" s="831"/>
      <c r="E40" s="66"/>
      <c r="F40" s="829"/>
      <c r="G40" s="66"/>
      <c r="H40" s="791"/>
      <c r="I40" s="66"/>
      <c r="J40" s="791"/>
      <c r="K40" s="66"/>
      <c r="L40" s="820"/>
      <c r="M40" s="66"/>
      <c r="N40" s="820"/>
      <c r="O40" s="66"/>
      <c r="P40" s="820"/>
      <c r="Q40" s="58"/>
      <c r="R40" s="791"/>
      <c r="S40" s="66"/>
      <c r="T40" s="791"/>
      <c r="U40" s="58"/>
      <c r="V40" s="820"/>
      <c r="W40" s="58"/>
      <c r="X40" s="791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828"/>
      <c r="C46" s="77">
        <v>399</v>
      </c>
      <c r="D46" s="828"/>
      <c r="E46" s="77">
        <v>417.59</v>
      </c>
      <c r="F46" s="834"/>
      <c r="G46" s="116">
        <v>225.68</v>
      </c>
      <c r="H46" s="836"/>
      <c r="I46" s="78">
        <v>414</v>
      </c>
      <c r="J46" s="790"/>
      <c r="K46" s="117">
        <v>272</v>
      </c>
      <c r="L46" s="828"/>
      <c r="M46" s="77">
        <v>406</v>
      </c>
      <c r="N46" s="826"/>
      <c r="O46" s="212">
        <v>337</v>
      </c>
      <c r="P46" s="832"/>
      <c r="Q46" s="77">
        <v>425</v>
      </c>
      <c r="R46" s="828"/>
      <c r="S46" s="77">
        <v>397</v>
      </c>
      <c r="T46" s="826"/>
      <c r="U46" s="77">
        <v>408</v>
      </c>
      <c r="V46" s="828"/>
      <c r="W46" s="116">
        <v>426</v>
      </c>
      <c r="X46" s="832"/>
      <c r="Y46" s="103">
        <v>407</v>
      </c>
    </row>
    <row r="47" spans="1:25" ht="16.5" thickBot="1" x14ac:dyDescent="0.3">
      <c r="A47" s="86"/>
      <c r="B47" s="829"/>
      <c r="C47" s="58"/>
      <c r="D47" s="829"/>
      <c r="E47" s="58"/>
      <c r="F47" s="835"/>
      <c r="G47" s="58"/>
      <c r="H47" s="837"/>
      <c r="I47" s="58"/>
      <c r="J47" s="791"/>
      <c r="K47" s="66"/>
      <c r="L47" s="829"/>
      <c r="M47" s="58"/>
      <c r="N47" s="827"/>
      <c r="O47" s="66"/>
      <c r="P47" s="833"/>
      <c r="Q47" s="66"/>
      <c r="R47" s="829"/>
      <c r="S47" s="66"/>
      <c r="T47" s="827"/>
      <c r="U47" s="66"/>
      <c r="V47" s="829"/>
      <c r="W47" s="66"/>
      <c r="X47" s="833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826"/>
      <c r="C53" s="77">
        <v>402</v>
      </c>
      <c r="D53" s="840"/>
      <c r="E53" s="116">
        <v>383</v>
      </c>
      <c r="F53" s="828"/>
      <c r="G53" s="78">
        <v>416</v>
      </c>
      <c r="H53" s="828"/>
      <c r="I53" s="63">
        <v>423</v>
      </c>
      <c r="J53" s="790"/>
      <c r="K53" s="78">
        <v>409</v>
      </c>
      <c r="L53" s="790"/>
      <c r="M53" s="78">
        <v>432</v>
      </c>
      <c r="N53" s="790"/>
      <c r="O53" s="92">
        <v>405.18</v>
      </c>
      <c r="P53" s="828"/>
      <c r="Q53" s="92">
        <v>438</v>
      </c>
      <c r="R53" s="790"/>
      <c r="S53" s="63">
        <v>408</v>
      </c>
      <c r="T53" s="790"/>
      <c r="U53" s="78">
        <v>413</v>
      </c>
      <c r="V53" s="828"/>
      <c r="W53" s="61">
        <v>415</v>
      </c>
      <c r="X53" s="828"/>
      <c r="Y53" s="93">
        <v>428</v>
      </c>
    </row>
    <row r="54" spans="1:25" ht="16.5" thickBot="1" x14ac:dyDescent="0.3">
      <c r="A54" s="86"/>
      <c r="B54" s="827"/>
      <c r="C54" s="66"/>
      <c r="D54" s="840"/>
      <c r="E54" s="66"/>
      <c r="F54" s="829"/>
      <c r="G54" s="66"/>
      <c r="H54" s="829"/>
      <c r="I54" s="58"/>
      <c r="J54" s="791"/>
      <c r="K54" s="126"/>
      <c r="L54" s="791"/>
      <c r="M54" s="58"/>
      <c r="N54" s="791"/>
      <c r="O54" s="58"/>
      <c r="P54" s="829"/>
      <c r="Q54" s="58"/>
      <c r="R54" s="838"/>
      <c r="S54" s="58"/>
      <c r="T54" s="838"/>
      <c r="U54" s="58"/>
      <c r="V54" s="839"/>
      <c r="W54" s="66"/>
      <c r="X54" s="829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828"/>
      <c r="C60" s="134">
        <v>418</v>
      </c>
      <c r="D60" s="826"/>
      <c r="E60" s="134">
        <v>406</v>
      </c>
      <c r="F60" s="790"/>
      <c r="G60" s="102">
        <v>413</v>
      </c>
      <c r="H60" s="790"/>
      <c r="I60" s="102">
        <v>423</v>
      </c>
      <c r="J60" s="790"/>
      <c r="K60" s="102">
        <v>425</v>
      </c>
      <c r="L60" s="790"/>
      <c r="M60" s="135">
        <v>411.43</v>
      </c>
      <c r="N60" s="790"/>
      <c r="O60" s="135">
        <v>406</v>
      </c>
      <c r="P60" s="790"/>
      <c r="Q60" s="102">
        <v>420</v>
      </c>
      <c r="R60" s="790"/>
      <c r="S60" s="133">
        <v>408</v>
      </c>
      <c r="T60" s="790"/>
      <c r="U60" s="102">
        <v>426</v>
      </c>
      <c r="V60" s="790"/>
      <c r="W60" s="102">
        <v>416</v>
      </c>
      <c r="X60" s="790"/>
      <c r="Y60" s="79">
        <v>426</v>
      </c>
    </row>
    <row r="61" spans="1:25" ht="16.5" thickBot="1" x14ac:dyDescent="0.3">
      <c r="A61" s="86"/>
      <c r="B61" s="829"/>
      <c r="C61" s="66"/>
      <c r="D61" s="827"/>
      <c r="E61" s="66"/>
      <c r="F61" s="791"/>
      <c r="G61" s="66"/>
      <c r="H61" s="791"/>
      <c r="I61" s="66"/>
      <c r="J61" s="791"/>
      <c r="K61" s="66"/>
      <c r="L61" s="791"/>
      <c r="M61" s="66"/>
      <c r="N61" s="791"/>
      <c r="O61" s="66"/>
      <c r="P61" s="791"/>
      <c r="Q61" s="66"/>
      <c r="R61" s="791"/>
      <c r="S61" s="66"/>
      <c r="T61" s="791"/>
      <c r="U61" s="56"/>
      <c r="V61" s="791"/>
      <c r="W61" s="56"/>
      <c r="X61" s="791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828"/>
      <c r="C67" s="77">
        <v>413</v>
      </c>
      <c r="D67" s="843"/>
      <c r="E67" s="116">
        <v>429</v>
      </c>
      <c r="F67" s="790"/>
      <c r="G67" s="78">
        <v>356</v>
      </c>
      <c r="H67" s="790"/>
      <c r="I67" s="78">
        <v>424.52</v>
      </c>
      <c r="J67" s="845"/>
      <c r="K67" s="92">
        <v>389</v>
      </c>
      <c r="L67" s="847"/>
      <c r="M67" s="77">
        <v>406</v>
      </c>
      <c r="N67" s="841"/>
      <c r="O67" s="118">
        <v>402</v>
      </c>
      <c r="P67" s="790"/>
      <c r="Q67" s="77">
        <v>405</v>
      </c>
      <c r="R67" s="790"/>
      <c r="S67" s="78">
        <v>400</v>
      </c>
      <c r="T67" s="790"/>
      <c r="U67" s="78">
        <v>379</v>
      </c>
      <c r="V67" s="790"/>
      <c r="W67" s="78">
        <v>386</v>
      </c>
      <c r="X67" s="790"/>
      <c r="Y67" s="137">
        <v>366</v>
      </c>
    </row>
    <row r="68" spans="1:25" ht="16.5" thickBot="1" x14ac:dyDescent="0.3">
      <c r="A68" s="86"/>
      <c r="B68" s="829"/>
      <c r="C68" s="58"/>
      <c r="D68" s="844"/>
      <c r="E68" s="58"/>
      <c r="F68" s="791"/>
      <c r="G68" s="58"/>
      <c r="H68" s="791"/>
      <c r="I68" s="58"/>
      <c r="J68" s="846"/>
      <c r="K68" s="66"/>
      <c r="L68" s="848"/>
      <c r="M68" s="58"/>
      <c r="N68" s="842"/>
      <c r="O68" s="66"/>
      <c r="P68" s="791"/>
      <c r="Q68" s="66"/>
      <c r="R68" s="791"/>
      <c r="S68" s="66"/>
      <c r="T68" s="791"/>
      <c r="U68" s="66"/>
      <c r="V68" s="838"/>
      <c r="W68" s="66"/>
      <c r="X68" s="838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828"/>
      <c r="C74" s="77">
        <v>421</v>
      </c>
      <c r="D74" s="849"/>
      <c r="E74" s="116">
        <v>418</v>
      </c>
      <c r="F74" s="849"/>
      <c r="G74" s="78">
        <v>417</v>
      </c>
      <c r="H74" s="790"/>
      <c r="I74" s="78">
        <v>361.99</v>
      </c>
      <c r="J74" s="790"/>
      <c r="K74" s="78">
        <v>416</v>
      </c>
      <c r="L74" s="790"/>
      <c r="M74" s="78">
        <v>416</v>
      </c>
      <c r="N74" s="790"/>
      <c r="O74" s="78">
        <v>425</v>
      </c>
      <c r="P74" s="790"/>
      <c r="Q74" s="78">
        <v>403</v>
      </c>
      <c r="R74" s="790"/>
      <c r="S74" s="78">
        <v>400</v>
      </c>
      <c r="T74" s="790"/>
      <c r="U74" s="78">
        <v>441</v>
      </c>
      <c r="V74" s="790"/>
      <c r="W74" s="92">
        <v>392</v>
      </c>
      <c r="X74" s="790"/>
      <c r="Y74" s="93">
        <v>403</v>
      </c>
    </row>
    <row r="75" spans="1:25" ht="16.5" thickBot="1" x14ac:dyDescent="0.3">
      <c r="A75" s="86"/>
      <c r="B75" s="839"/>
      <c r="C75" s="66"/>
      <c r="D75" s="850"/>
      <c r="E75" s="66"/>
      <c r="F75" s="850"/>
      <c r="G75" s="66"/>
      <c r="H75" s="838"/>
      <c r="I75" s="58"/>
      <c r="J75" s="838"/>
      <c r="K75" s="58"/>
      <c r="L75" s="838"/>
      <c r="M75" s="58"/>
      <c r="N75" s="838"/>
      <c r="O75" s="58"/>
      <c r="P75" s="838"/>
      <c r="Q75" s="58"/>
      <c r="R75" s="838"/>
      <c r="S75" s="58"/>
      <c r="T75" s="838"/>
      <c r="U75" s="58"/>
      <c r="V75" s="791"/>
      <c r="W75" s="66"/>
      <c r="X75" s="791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828"/>
      <c r="C81" s="77">
        <v>413</v>
      </c>
      <c r="D81" s="849"/>
      <c r="E81" s="77">
        <v>428</v>
      </c>
      <c r="F81" s="849"/>
      <c r="G81" s="92">
        <v>413</v>
      </c>
      <c r="H81" s="826"/>
      <c r="I81" s="116">
        <v>429.53</v>
      </c>
      <c r="J81" s="790"/>
      <c r="K81" s="78">
        <v>425</v>
      </c>
      <c r="L81" s="790"/>
      <c r="M81" s="78">
        <v>418</v>
      </c>
      <c r="N81" s="790"/>
      <c r="O81" s="78">
        <v>415</v>
      </c>
      <c r="P81" s="790"/>
      <c r="Q81" s="78">
        <v>428</v>
      </c>
      <c r="R81" s="790"/>
      <c r="S81" s="92">
        <v>402</v>
      </c>
      <c r="T81" s="790"/>
      <c r="U81" s="78">
        <v>419</v>
      </c>
      <c r="V81" s="845"/>
      <c r="W81" s="78">
        <v>422</v>
      </c>
      <c r="X81" s="790"/>
      <c r="Y81" s="137">
        <v>418</v>
      </c>
    </row>
    <row r="82" spans="1:25" ht="16.5" thickBot="1" x14ac:dyDescent="0.3">
      <c r="A82" s="86"/>
      <c r="B82" s="829"/>
      <c r="C82" s="66"/>
      <c r="D82" s="851"/>
      <c r="E82" s="66"/>
      <c r="F82" s="851"/>
      <c r="G82" s="66"/>
      <c r="H82" s="829"/>
      <c r="I82" s="66"/>
      <c r="J82" s="791"/>
      <c r="K82" s="66"/>
      <c r="L82" s="791"/>
      <c r="M82" s="66"/>
      <c r="N82" s="791"/>
      <c r="O82" s="66"/>
      <c r="P82" s="791"/>
      <c r="Q82" s="66"/>
      <c r="R82" s="791"/>
      <c r="S82" s="66"/>
      <c r="T82" s="791"/>
      <c r="U82" s="58"/>
      <c r="V82" s="846"/>
      <c r="W82" s="58"/>
      <c r="X82" s="838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828"/>
      <c r="C88" s="77">
        <v>421</v>
      </c>
      <c r="D88" s="845"/>
      <c r="E88" s="116">
        <v>384</v>
      </c>
      <c r="F88" s="790"/>
      <c r="G88" s="78">
        <v>370</v>
      </c>
      <c r="H88" s="790"/>
      <c r="I88" s="78">
        <v>378.13</v>
      </c>
      <c r="J88" s="828"/>
      <c r="K88" s="149">
        <v>497.56</v>
      </c>
      <c r="L88" s="828"/>
      <c r="M88" s="116">
        <v>300</v>
      </c>
      <c r="N88" s="790"/>
      <c r="O88" s="92">
        <v>415</v>
      </c>
      <c r="P88" s="840"/>
      <c r="Q88" s="77">
        <v>408</v>
      </c>
      <c r="R88" s="828"/>
      <c r="S88" s="78">
        <v>402</v>
      </c>
      <c r="T88" s="790"/>
      <c r="U88" s="150">
        <v>384.49</v>
      </c>
      <c r="V88" s="790"/>
      <c r="W88" s="78">
        <v>389</v>
      </c>
      <c r="X88" s="790"/>
      <c r="Y88" s="137">
        <v>370</v>
      </c>
    </row>
    <row r="89" spans="1:25" ht="16.5" thickBot="1" x14ac:dyDescent="0.3">
      <c r="A89" s="86"/>
      <c r="B89" s="829"/>
      <c r="C89" s="58"/>
      <c r="D89" s="846"/>
      <c r="E89" s="58"/>
      <c r="F89" s="791"/>
      <c r="G89" s="58"/>
      <c r="H89" s="791"/>
      <c r="I89" s="58"/>
      <c r="J89" s="829"/>
      <c r="K89" s="66"/>
      <c r="L89" s="829"/>
      <c r="M89" s="58"/>
      <c r="N89" s="838"/>
      <c r="O89" s="66"/>
      <c r="P89" s="852"/>
      <c r="Q89" s="66"/>
      <c r="R89" s="839"/>
      <c r="S89" s="66"/>
      <c r="T89" s="838"/>
      <c r="U89" s="66"/>
      <c r="V89" s="838"/>
      <c r="W89" s="66"/>
      <c r="X89" s="838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853"/>
      <c r="C95" s="211">
        <v>402</v>
      </c>
      <c r="D95" s="828"/>
      <c r="E95" s="159">
        <v>410</v>
      </c>
      <c r="F95" s="790"/>
      <c r="G95" s="158">
        <v>394</v>
      </c>
      <c r="H95" s="790"/>
      <c r="I95" s="160">
        <v>410</v>
      </c>
      <c r="J95" s="790"/>
      <c r="K95" s="160">
        <v>362</v>
      </c>
      <c r="L95" s="790"/>
      <c r="M95" s="78">
        <v>372</v>
      </c>
      <c r="N95" s="790"/>
      <c r="O95" s="116">
        <v>412</v>
      </c>
      <c r="P95" s="790"/>
      <c r="Q95" s="78">
        <v>410</v>
      </c>
      <c r="R95" s="790"/>
      <c r="S95" s="78">
        <v>431</v>
      </c>
      <c r="T95" s="790"/>
      <c r="U95" s="78">
        <v>400.31</v>
      </c>
      <c r="V95" s="790"/>
      <c r="W95" s="92">
        <v>258</v>
      </c>
      <c r="X95" s="790"/>
      <c r="Y95" s="161">
        <v>437</v>
      </c>
    </row>
    <row r="96" spans="1:25" ht="16.5" thickBot="1" x14ac:dyDescent="0.3">
      <c r="A96" s="86"/>
      <c r="B96" s="839"/>
      <c r="C96" s="162"/>
      <c r="D96" s="839"/>
      <c r="E96" s="97"/>
      <c r="F96" s="838"/>
      <c r="G96" s="162"/>
      <c r="H96" s="838"/>
      <c r="I96" s="97"/>
      <c r="J96" s="838"/>
      <c r="K96" s="97"/>
      <c r="L96" s="838"/>
      <c r="M96" s="58"/>
      <c r="N96" s="838"/>
      <c r="O96" s="58"/>
      <c r="P96" s="838"/>
      <c r="Q96" s="58"/>
      <c r="R96" s="838"/>
      <c r="S96" s="58"/>
      <c r="T96" s="838"/>
      <c r="U96" s="58"/>
      <c r="V96" s="838"/>
      <c r="W96" s="66"/>
      <c r="X96" s="838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828"/>
      <c r="C103" s="77">
        <v>406</v>
      </c>
      <c r="D103" s="817"/>
      <c r="E103" s="77">
        <v>437.7</v>
      </c>
      <c r="F103" s="819"/>
      <c r="G103" s="78">
        <v>367</v>
      </c>
      <c r="H103" s="819"/>
      <c r="I103" s="78">
        <v>400</v>
      </c>
      <c r="J103" s="819"/>
      <c r="K103" s="78">
        <v>409</v>
      </c>
      <c r="L103" s="819"/>
      <c r="M103" s="78">
        <v>388.17</v>
      </c>
      <c r="N103" s="819"/>
      <c r="O103" s="150">
        <v>441</v>
      </c>
      <c r="P103" s="819"/>
      <c r="Q103" s="78">
        <v>402</v>
      </c>
      <c r="R103" s="790"/>
      <c r="S103" s="92">
        <v>384</v>
      </c>
      <c r="T103" s="828"/>
      <c r="U103" s="78">
        <v>412.61</v>
      </c>
      <c r="V103" s="790"/>
      <c r="W103" s="150">
        <v>205.21</v>
      </c>
      <c r="X103" s="790"/>
      <c r="Y103" s="79">
        <v>208</v>
      </c>
    </row>
    <row r="104" spans="1:25" ht="16.5" thickBot="1" x14ac:dyDescent="0.3">
      <c r="A104" s="86"/>
      <c r="B104" s="839"/>
      <c r="C104" s="66"/>
      <c r="D104" s="818"/>
      <c r="E104" s="66"/>
      <c r="F104" s="820"/>
      <c r="G104" s="66"/>
      <c r="H104" s="820"/>
      <c r="I104" s="66"/>
      <c r="J104" s="820"/>
      <c r="K104" s="66"/>
      <c r="L104" s="820"/>
      <c r="M104" s="66"/>
      <c r="N104" s="820"/>
      <c r="O104" s="66"/>
      <c r="P104" s="820"/>
      <c r="Q104" s="66"/>
      <c r="R104" s="838"/>
      <c r="S104" s="66"/>
      <c r="T104" s="839"/>
      <c r="U104" s="58"/>
      <c r="V104" s="838"/>
      <c r="W104" s="58"/>
      <c r="X104" s="838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828"/>
      <c r="C110" s="77">
        <v>372</v>
      </c>
      <c r="D110" s="828"/>
      <c r="E110" s="116">
        <v>384</v>
      </c>
      <c r="F110" s="790"/>
      <c r="G110" s="78">
        <v>376</v>
      </c>
      <c r="H110" s="790"/>
      <c r="I110" s="78">
        <v>468</v>
      </c>
      <c r="J110" s="790"/>
      <c r="K110" s="92">
        <v>370</v>
      </c>
      <c r="L110" s="790"/>
      <c r="M110" s="77">
        <v>473</v>
      </c>
      <c r="N110" s="854"/>
      <c r="O110" s="118">
        <v>364</v>
      </c>
      <c r="P110" s="817"/>
      <c r="Q110" s="77">
        <v>342</v>
      </c>
      <c r="R110" s="828"/>
      <c r="S110" s="116">
        <v>366</v>
      </c>
      <c r="T110" s="828"/>
      <c r="U110" s="78">
        <v>352</v>
      </c>
      <c r="V110" s="828"/>
      <c r="W110" s="78">
        <v>381</v>
      </c>
      <c r="X110" s="828"/>
      <c r="Y110" s="171">
        <v>400</v>
      </c>
    </row>
    <row r="111" spans="1:25" ht="16.5" thickBot="1" x14ac:dyDescent="0.3">
      <c r="A111" s="86"/>
      <c r="B111" s="839"/>
      <c r="C111" s="58"/>
      <c r="D111" s="829"/>
      <c r="E111" s="58"/>
      <c r="F111" s="791"/>
      <c r="G111" s="58"/>
      <c r="H111" s="791"/>
      <c r="I111" s="58"/>
      <c r="J111" s="791"/>
      <c r="K111" s="66"/>
      <c r="L111" s="791"/>
      <c r="M111" s="58"/>
      <c r="N111" s="855"/>
      <c r="O111" s="327"/>
      <c r="P111" s="818"/>
      <c r="Q111" s="66"/>
      <c r="R111" s="839"/>
      <c r="S111" s="66"/>
      <c r="T111" s="839"/>
      <c r="U111" s="66"/>
      <c r="V111" s="839"/>
      <c r="W111" s="66"/>
      <c r="X111" s="839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828"/>
      <c r="C117" s="77">
        <v>415</v>
      </c>
      <c r="D117" s="817"/>
      <c r="E117" s="116">
        <v>394</v>
      </c>
      <c r="F117" s="828"/>
      <c r="G117" s="92">
        <v>362</v>
      </c>
      <c r="H117" s="790"/>
      <c r="I117" s="78">
        <v>386</v>
      </c>
      <c r="J117" s="819"/>
      <c r="K117" s="78">
        <v>425</v>
      </c>
      <c r="L117" s="790"/>
      <c r="M117" s="78">
        <v>412</v>
      </c>
      <c r="N117" s="790"/>
      <c r="O117" s="78">
        <v>337</v>
      </c>
      <c r="P117" s="790"/>
      <c r="Q117" s="92">
        <v>323</v>
      </c>
      <c r="R117" s="828"/>
      <c r="S117" s="92">
        <v>329</v>
      </c>
      <c r="T117" s="790"/>
      <c r="U117" s="78">
        <v>315</v>
      </c>
      <c r="V117" s="790"/>
      <c r="W117" s="92">
        <v>465</v>
      </c>
      <c r="X117" s="828"/>
      <c r="Y117" s="93">
        <v>374</v>
      </c>
    </row>
    <row r="118" spans="1:25" ht="16.5" thickBot="1" x14ac:dyDescent="0.3">
      <c r="A118" s="86"/>
      <c r="B118" s="839"/>
      <c r="C118" s="66"/>
      <c r="D118" s="818"/>
      <c r="E118" s="66"/>
      <c r="F118" s="839"/>
      <c r="G118" s="66"/>
      <c r="H118" s="791"/>
      <c r="I118" s="58"/>
      <c r="J118" s="820"/>
      <c r="K118" s="58"/>
      <c r="L118" s="838"/>
      <c r="M118" s="58"/>
      <c r="N118" s="838"/>
      <c r="O118" s="58"/>
      <c r="P118" s="791"/>
      <c r="Q118" s="58"/>
      <c r="R118" s="839"/>
      <c r="S118" s="58"/>
      <c r="T118" s="838"/>
      <c r="U118" s="58"/>
      <c r="V118" s="838"/>
      <c r="W118" s="66"/>
      <c r="X118" s="839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828"/>
      <c r="C124" s="77">
        <v>344</v>
      </c>
      <c r="D124" s="817"/>
      <c r="E124" s="77">
        <v>371</v>
      </c>
      <c r="F124" s="819"/>
      <c r="G124" s="78">
        <v>386</v>
      </c>
      <c r="H124" s="819"/>
      <c r="I124" s="78">
        <v>366</v>
      </c>
      <c r="J124" s="819"/>
      <c r="K124" s="78">
        <v>412</v>
      </c>
      <c r="L124" s="819"/>
      <c r="M124" s="78">
        <v>373</v>
      </c>
      <c r="N124" s="819"/>
      <c r="O124" s="150">
        <v>300</v>
      </c>
      <c r="P124" s="819"/>
      <c r="Q124" s="78">
        <v>361</v>
      </c>
      <c r="R124" s="790"/>
      <c r="S124" s="92">
        <v>427</v>
      </c>
      <c r="T124" s="828"/>
      <c r="U124" s="78">
        <v>389</v>
      </c>
      <c r="V124" s="790"/>
      <c r="W124" s="150">
        <v>405</v>
      </c>
      <c r="X124" s="790"/>
      <c r="Y124" s="79">
        <v>397</v>
      </c>
    </row>
    <row r="125" spans="1:25" ht="16.5" thickBot="1" x14ac:dyDescent="0.3">
      <c r="A125" s="86"/>
      <c r="B125" s="839"/>
      <c r="C125" s="66"/>
      <c r="D125" s="818"/>
      <c r="E125" s="66"/>
      <c r="F125" s="820"/>
      <c r="G125" s="66"/>
      <c r="H125" s="820"/>
      <c r="I125" s="66"/>
      <c r="J125" s="820"/>
      <c r="K125" s="66"/>
      <c r="L125" s="820"/>
      <c r="M125" s="66"/>
      <c r="N125" s="820"/>
      <c r="O125" s="66"/>
      <c r="P125" s="820"/>
      <c r="Q125" s="66"/>
      <c r="R125" s="838"/>
      <c r="S125" s="66"/>
      <c r="T125" s="839"/>
      <c r="U125" s="58"/>
      <c r="V125" s="838"/>
      <c r="W125" s="58"/>
      <c r="X125" s="838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828"/>
      <c r="C131" s="77">
        <v>344</v>
      </c>
      <c r="D131" s="828"/>
      <c r="E131" s="116">
        <v>421</v>
      </c>
      <c r="F131" s="790"/>
      <c r="G131" s="78">
        <v>369</v>
      </c>
      <c r="H131" s="790"/>
      <c r="I131" s="78">
        <v>404</v>
      </c>
      <c r="J131" s="790"/>
      <c r="K131" s="92">
        <v>376</v>
      </c>
      <c r="L131" s="790"/>
      <c r="M131" s="77">
        <v>397</v>
      </c>
      <c r="N131" s="854"/>
      <c r="O131" s="118">
        <v>400</v>
      </c>
      <c r="P131" s="817"/>
      <c r="Q131" s="77">
        <v>382</v>
      </c>
      <c r="R131" s="828"/>
      <c r="S131" s="116">
        <v>346</v>
      </c>
      <c r="T131" s="828"/>
      <c r="U131" s="78">
        <v>366</v>
      </c>
      <c r="V131" s="828"/>
      <c r="W131" s="78">
        <v>366</v>
      </c>
      <c r="X131" s="828"/>
      <c r="Y131" s="171">
        <v>408</v>
      </c>
    </row>
    <row r="132" spans="1:25" ht="16.5" thickBot="1" x14ac:dyDescent="0.3">
      <c r="A132" s="86"/>
      <c r="B132" s="839"/>
      <c r="C132" s="58"/>
      <c r="D132" s="829"/>
      <c r="E132" s="58"/>
      <c r="F132" s="791"/>
      <c r="G132" s="58"/>
      <c r="H132" s="791"/>
      <c r="I132" s="58"/>
      <c r="J132" s="791"/>
      <c r="K132" s="66"/>
      <c r="L132" s="791"/>
      <c r="M132" s="58"/>
      <c r="N132" s="855"/>
      <c r="O132" s="327"/>
      <c r="P132" s="818"/>
      <c r="Q132" s="66"/>
      <c r="R132" s="839"/>
      <c r="S132" s="66"/>
      <c r="T132" s="839"/>
      <c r="U132" s="66"/>
      <c r="V132" s="839"/>
      <c r="W132" s="66"/>
      <c r="X132" s="839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828"/>
      <c r="C138" s="77">
        <v>379</v>
      </c>
      <c r="D138" s="817"/>
      <c r="E138" s="116">
        <v>412</v>
      </c>
      <c r="F138" s="828"/>
      <c r="G138" s="92">
        <v>403</v>
      </c>
      <c r="H138" s="790"/>
      <c r="I138" s="78">
        <v>303</v>
      </c>
      <c r="J138" s="819"/>
      <c r="K138" s="78">
        <v>483</v>
      </c>
      <c r="L138" s="790"/>
      <c r="M138" s="78">
        <v>413</v>
      </c>
      <c r="N138" s="790"/>
      <c r="O138" s="78">
        <v>397</v>
      </c>
      <c r="P138" s="790"/>
      <c r="Q138" s="92">
        <v>355</v>
      </c>
      <c r="R138" s="828"/>
      <c r="S138" s="92">
        <v>366</v>
      </c>
      <c r="T138" s="790"/>
      <c r="U138" s="78">
        <v>396</v>
      </c>
      <c r="V138" s="790"/>
      <c r="W138" s="92">
        <v>405</v>
      </c>
      <c r="X138" s="828"/>
      <c r="Y138" s="93">
        <v>380</v>
      </c>
    </row>
    <row r="139" spans="1:25" ht="16.5" thickBot="1" x14ac:dyDescent="0.3">
      <c r="A139" s="86"/>
      <c r="B139" s="839"/>
      <c r="C139" s="66"/>
      <c r="D139" s="818"/>
      <c r="E139" s="66"/>
      <c r="F139" s="839"/>
      <c r="G139" s="66"/>
      <c r="H139" s="791"/>
      <c r="I139" s="58"/>
      <c r="J139" s="820"/>
      <c r="K139" s="58"/>
      <c r="L139" s="838"/>
      <c r="M139" s="58"/>
      <c r="N139" s="838"/>
      <c r="O139" s="58"/>
      <c r="P139" s="791"/>
      <c r="Q139" s="58"/>
      <c r="R139" s="839"/>
      <c r="S139" s="58"/>
      <c r="T139" s="838"/>
      <c r="U139" s="58"/>
      <c r="V139" s="838"/>
      <c r="W139" s="66"/>
      <c r="X139" s="839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853"/>
      <c r="C145" s="211">
        <v>427</v>
      </c>
      <c r="D145" s="828"/>
      <c r="E145" s="159">
        <v>416</v>
      </c>
      <c r="F145" s="790"/>
      <c r="G145" s="158">
        <v>508</v>
      </c>
      <c r="H145" s="790"/>
      <c r="I145" s="160">
        <v>316</v>
      </c>
      <c r="J145" s="790"/>
      <c r="K145" s="160">
        <v>449</v>
      </c>
      <c r="L145" s="790"/>
      <c r="M145" s="78">
        <v>394</v>
      </c>
      <c r="N145" s="790"/>
      <c r="O145" s="116">
        <v>422</v>
      </c>
      <c r="P145" s="790"/>
      <c r="Q145" s="78">
        <v>404</v>
      </c>
      <c r="R145" s="790"/>
      <c r="S145" s="78">
        <v>398</v>
      </c>
      <c r="T145" s="790"/>
      <c r="U145" s="78">
        <v>393</v>
      </c>
      <c r="V145" s="790"/>
      <c r="W145" s="92">
        <v>378</v>
      </c>
      <c r="X145" s="790"/>
      <c r="Y145" s="161">
        <v>368</v>
      </c>
    </row>
    <row r="146" spans="1:25" ht="16.5" thickBot="1" x14ac:dyDescent="0.3">
      <c r="A146" s="86"/>
      <c r="B146" s="839"/>
      <c r="C146" s="162"/>
      <c r="D146" s="839"/>
      <c r="E146" s="97"/>
      <c r="F146" s="838"/>
      <c r="G146" s="162"/>
      <c r="H146" s="838"/>
      <c r="I146" s="97"/>
      <c r="J146" s="838"/>
      <c r="K146" s="97"/>
      <c r="L146" s="838"/>
      <c r="M146" s="58"/>
      <c r="N146" s="838"/>
      <c r="O146" s="58"/>
      <c r="P146" s="838"/>
      <c r="Q146" s="58"/>
      <c r="R146" s="838"/>
      <c r="S146" s="58"/>
      <c r="T146" s="838"/>
      <c r="U146" s="58"/>
      <c r="V146" s="838"/>
      <c r="W146" s="66"/>
      <c r="X146" s="838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817"/>
      <c r="C152" s="62">
        <v>361</v>
      </c>
      <c r="D152" s="790"/>
      <c r="E152" s="63">
        <v>368</v>
      </c>
      <c r="F152" s="790"/>
      <c r="G152" s="61">
        <v>453</v>
      </c>
      <c r="H152" s="790"/>
      <c r="I152" s="61">
        <v>368</v>
      </c>
      <c r="J152" s="790"/>
      <c r="K152" s="64">
        <v>369</v>
      </c>
      <c r="L152" s="819"/>
      <c r="M152" s="76">
        <v>424</v>
      </c>
      <c r="N152" s="817"/>
      <c r="O152" s="77">
        <v>383</v>
      </c>
      <c r="P152" s="817"/>
      <c r="Q152" s="78">
        <v>459</v>
      </c>
      <c r="R152" s="790"/>
      <c r="S152" s="63">
        <v>324</v>
      </c>
      <c r="T152" s="819"/>
      <c r="U152" s="78">
        <v>347</v>
      </c>
      <c r="V152" s="790"/>
      <c r="W152" s="78">
        <v>295</v>
      </c>
      <c r="X152" s="856"/>
      <c r="Y152" s="182">
        <v>248</v>
      </c>
    </row>
    <row r="153" spans="1:25" ht="16.5" thickBot="1" x14ac:dyDescent="0.3">
      <c r="A153" s="86"/>
      <c r="B153" s="818"/>
      <c r="C153" s="58"/>
      <c r="D153" s="791"/>
      <c r="E153" s="58"/>
      <c r="F153" s="791"/>
      <c r="G153" s="58"/>
      <c r="H153" s="791"/>
      <c r="I153" s="38"/>
      <c r="J153" s="791"/>
      <c r="K153" s="58"/>
      <c r="L153" s="820"/>
      <c r="M153" s="66"/>
      <c r="N153" s="818"/>
      <c r="O153" s="66"/>
      <c r="P153" s="818"/>
      <c r="Q153" s="66"/>
      <c r="R153" s="791"/>
      <c r="S153" s="66"/>
      <c r="T153" s="820"/>
      <c r="U153" s="66"/>
      <c r="V153" s="791"/>
      <c r="W153" s="66"/>
      <c r="X153" s="857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828"/>
      <c r="C159" s="116">
        <v>430</v>
      </c>
      <c r="D159" s="790"/>
      <c r="E159" s="150">
        <v>248</v>
      </c>
      <c r="F159" s="790"/>
      <c r="G159" s="78">
        <v>430</v>
      </c>
      <c r="H159" s="790"/>
      <c r="I159" s="78">
        <v>412</v>
      </c>
      <c r="J159" s="790"/>
      <c r="K159" s="78">
        <v>278</v>
      </c>
      <c r="L159" s="790"/>
      <c r="M159" s="78">
        <v>321</v>
      </c>
      <c r="N159" s="790"/>
      <c r="O159" s="150">
        <v>417</v>
      </c>
      <c r="P159" s="790"/>
      <c r="Q159" s="78">
        <v>410</v>
      </c>
      <c r="R159" s="790"/>
      <c r="S159" s="63">
        <v>375</v>
      </c>
      <c r="T159" s="790"/>
      <c r="U159" s="78">
        <v>423</v>
      </c>
      <c r="V159" s="828"/>
      <c r="W159" s="92">
        <v>419</v>
      </c>
      <c r="X159" s="828"/>
      <c r="Y159" s="163">
        <v>411</v>
      </c>
    </row>
    <row r="160" spans="1:25" ht="16.5" thickBot="1" x14ac:dyDescent="0.3">
      <c r="A160" s="86"/>
      <c r="B160" s="829"/>
      <c r="C160" s="66"/>
      <c r="D160" s="791"/>
      <c r="E160" s="66"/>
      <c r="F160" s="791"/>
      <c r="G160" s="66"/>
      <c r="H160" s="791"/>
      <c r="I160" s="66"/>
      <c r="J160" s="791"/>
      <c r="K160" s="58"/>
      <c r="L160" s="791"/>
      <c r="M160" s="66"/>
      <c r="N160" s="791"/>
      <c r="O160" s="66"/>
      <c r="P160" s="791"/>
      <c r="Q160" s="58"/>
      <c r="R160" s="791"/>
      <c r="S160" s="58"/>
      <c r="T160" s="791"/>
      <c r="U160" s="58"/>
      <c r="V160" s="829"/>
      <c r="W160" s="66"/>
      <c r="X160" s="829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828"/>
      <c r="C166" s="116">
        <v>413</v>
      </c>
      <c r="D166" s="790"/>
      <c r="E166" s="78">
        <v>409</v>
      </c>
      <c r="F166" s="790"/>
      <c r="G166" s="78">
        <v>422</v>
      </c>
      <c r="H166" s="790"/>
      <c r="I166" s="78">
        <v>326</v>
      </c>
      <c r="J166" s="790"/>
      <c r="K166" s="78">
        <v>407</v>
      </c>
      <c r="L166" s="790"/>
      <c r="M166" s="78">
        <v>390</v>
      </c>
      <c r="N166" s="790"/>
      <c r="O166" s="78">
        <v>433</v>
      </c>
      <c r="P166" s="790"/>
      <c r="Q166" s="78">
        <v>409</v>
      </c>
      <c r="R166" s="790"/>
      <c r="S166" s="63">
        <v>400</v>
      </c>
      <c r="T166" s="790"/>
      <c r="U166" s="78">
        <v>362</v>
      </c>
      <c r="V166" s="828"/>
      <c r="W166" s="92">
        <v>378</v>
      </c>
      <c r="X166" s="828"/>
      <c r="Y166" s="163">
        <v>367</v>
      </c>
    </row>
    <row r="167" spans="1:25" ht="16.5" thickBot="1" x14ac:dyDescent="0.3">
      <c r="A167" s="86"/>
      <c r="B167" s="829"/>
      <c r="C167" s="66"/>
      <c r="D167" s="791"/>
      <c r="E167" s="66"/>
      <c r="F167" s="791"/>
      <c r="G167" s="66"/>
      <c r="H167" s="791"/>
      <c r="I167" s="66"/>
      <c r="J167" s="791"/>
      <c r="K167" s="58"/>
      <c r="L167" s="791"/>
      <c r="M167" s="66"/>
      <c r="N167" s="791"/>
      <c r="O167" s="66"/>
      <c r="P167" s="791"/>
      <c r="Q167" s="58"/>
      <c r="R167" s="791"/>
      <c r="S167" s="58"/>
      <c r="T167" s="791"/>
      <c r="U167" s="58"/>
      <c r="V167" s="829"/>
      <c r="W167" s="66"/>
      <c r="X167" s="829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828"/>
      <c r="C173" s="116">
        <v>357</v>
      </c>
      <c r="D173" s="790"/>
      <c r="E173" s="78">
        <v>390</v>
      </c>
      <c r="F173" s="790"/>
      <c r="G173" s="78">
        <v>410</v>
      </c>
      <c r="H173" s="790"/>
      <c r="I173" s="78">
        <v>370</v>
      </c>
      <c r="J173" s="790"/>
      <c r="K173" s="78">
        <v>335</v>
      </c>
      <c r="L173" s="790"/>
      <c r="M173" s="78">
        <v>405</v>
      </c>
      <c r="N173" s="790"/>
      <c r="O173" s="78">
        <v>402</v>
      </c>
      <c r="P173" s="790"/>
      <c r="Q173" s="78">
        <v>432</v>
      </c>
      <c r="R173" s="790"/>
      <c r="S173" s="63">
        <v>408</v>
      </c>
      <c r="T173" s="790"/>
      <c r="U173" s="78">
        <v>421</v>
      </c>
      <c r="V173" s="828"/>
      <c r="W173" s="92">
        <v>419</v>
      </c>
      <c r="X173" s="828"/>
      <c r="Y173" s="163">
        <v>423</v>
      </c>
    </row>
    <row r="174" spans="1:25" ht="16.5" thickBot="1" x14ac:dyDescent="0.3">
      <c r="A174" s="86"/>
      <c r="B174" s="829"/>
      <c r="C174" s="66"/>
      <c r="D174" s="791"/>
      <c r="E174" s="66"/>
      <c r="F174" s="791"/>
      <c r="G174" s="66"/>
      <c r="H174" s="791"/>
      <c r="I174" s="66"/>
      <c r="J174" s="791"/>
      <c r="K174" s="58"/>
      <c r="L174" s="791"/>
      <c r="M174" s="66"/>
      <c r="N174" s="791"/>
      <c r="O174" s="66"/>
      <c r="P174" s="791"/>
      <c r="Q174" s="58"/>
      <c r="R174" s="791"/>
      <c r="S174" s="58"/>
      <c r="T174" s="791"/>
      <c r="U174" s="58"/>
      <c r="V174" s="829"/>
      <c r="W174" s="66"/>
      <c r="X174" s="829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828"/>
      <c r="C180" s="116">
        <v>420</v>
      </c>
      <c r="D180" s="790"/>
      <c r="E180" s="78">
        <v>418</v>
      </c>
      <c r="F180" s="790"/>
      <c r="G180" s="78">
        <v>425</v>
      </c>
      <c r="H180" s="790"/>
      <c r="I180" s="78">
        <v>416</v>
      </c>
      <c r="J180" s="790"/>
      <c r="K180" s="78">
        <v>428</v>
      </c>
      <c r="L180" s="790"/>
      <c r="M180" s="78">
        <v>411</v>
      </c>
      <c r="N180" s="790"/>
      <c r="O180" s="78">
        <v>302</v>
      </c>
      <c r="P180" s="790"/>
      <c r="Q180" s="78">
        <v>324</v>
      </c>
      <c r="R180" s="790"/>
      <c r="S180" s="63">
        <v>438</v>
      </c>
      <c r="T180" s="790"/>
      <c r="U180" s="78">
        <v>320</v>
      </c>
      <c r="V180" s="828"/>
      <c r="W180" s="92">
        <v>427</v>
      </c>
      <c r="X180" s="828"/>
      <c r="Y180" s="189">
        <v>413</v>
      </c>
    </row>
    <row r="181" spans="1:25" ht="16.5" thickBot="1" x14ac:dyDescent="0.3">
      <c r="A181" s="86"/>
      <c r="B181" s="829"/>
      <c r="C181" s="66"/>
      <c r="D181" s="791"/>
      <c r="E181" s="66"/>
      <c r="F181" s="791"/>
      <c r="G181" s="66"/>
      <c r="H181" s="791"/>
      <c r="I181" s="66"/>
      <c r="J181" s="791"/>
      <c r="K181" s="58"/>
      <c r="L181" s="791"/>
      <c r="M181" s="66"/>
      <c r="N181" s="791"/>
      <c r="O181" s="66"/>
      <c r="P181" s="791"/>
      <c r="Q181" s="58"/>
      <c r="R181" s="791"/>
      <c r="S181" s="58"/>
      <c r="T181" s="791"/>
      <c r="U181" s="58"/>
      <c r="V181" s="829"/>
      <c r="W181" s="66"/>
      <c r="X181" s="829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828"/>
      <c r="C187" s="116">
        <v>398</v>
      </c>
      <c r="D187" s="790"/>
      <c r="E187" s="78">
        <v>438</v>
      </c>
      <c r="F187" s="790"/>
      <c r="G187" s="78">
        <v>387</v>
      </c>
      <c r="H187" s="790"/>
      <c r="I187" s="78">
        <v>408</v>
      </c>
      <c r="J187" s="790"/>
      <c r="K187" s="78">
        <v>433</v>
      </c>
      <c r="L187" s="790"/>
      <c r="M187" s="78">
        <v>376</v>
      </c>
      <c r="N187" s="790"/>
      <c r="O187" s="78">
        <v>349</v>
      </c>
      <c r="P187" s="790"/>
      <c r="Q187" s="78">
        <v>413</v>
      </c>
      <c r="R187" s="790"/>
      <c r="S187" s="63">
        <v>398</v>
      </c>
      <c r="T187" s="790"/>
      <c r="U187" s="78">
        <v>362</v>
      </c>
      <c r="V187" s="828"/>
      <c r="W187" s="92">
        <v>341</v>
      </c>
      <c r="X187" s="828"/>
      <c r="Y187" s="189">
        <v>410</v>
      </c>
    </row>
    <row r="188" spans="1:25" ht="16.5" thickBot="1" x14ac:dyDescent="0.3">
      <c r="A188" s="86"/>
      <c r="B188" s="829"/>
      <c r="C188" s="66"/>
      <c r="D188" s="791"/>
      <c r="E188" s="66"/>
      <c r="F188" s="791"/>
      <c r="G188" s="66"/>
      <c r="H188" s="791"/>
      <c r="I188" s="66"/>
      <c r="J188" s="791"/>
      <c r="K188" s="58"/>
      <c r="L188" s="791"/>
      <c r="M188" s="66"/>
      <c r="N188" s="791"/>
      <c r="O188" s="66"/>
      <c r="P188" s="791"/>
      <c r="Q188" s="58"/>
      <c r="R188" s="791"/>
      <c r="S188" s="58"/>
      <c r="T188" s="791"/>
      <c r="U188" s="58"/>
      <c r="V188" s="829"/>
      <c r="W188" s="66"/>
      <c r="X188" s="829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828"/>
      <c r="C194" s="116">
        <v>337.75</v>
      </c>
      <c r="D194" s="790"/>
      <c r="E194" s="78">
        <v>485</v>
      </c>
      <c r="F194" s="790"/>
      <c r="G194" s="78">
        <v>292</v>
      </c>
      <c r="H194" s="790"/>
      <c r="I194" s="78">
        <v>322</v>
      </c>
      <c r="J194" s="790"/>
      <c r="K194" s="78">
        <v>471</v>
      </c>
      <c r="L194" s="790"/>
      <c r="M194" s="78">
        <v>368</v>
      </c>
      <c r="N194" s="790"/>
      <c r="O194" s="78">
        <v>421.04</v>
      </c>
      <c r="P194" s="790"/>
      <c r="Q194" s="78">
        <v>459.69</v>
      </c>
      <c r="R194" s="790"/>
      <c r="Y194" s="163"/>
    </row>
    <row r="195" spans="1:25" ht="16.5" thickBot="1" x14ac:dyDescent="0.3">
      <c r="A195" s="86"/>
      <c r="B195" s="829"/>
      <c r="C195" s="66"/>
      <c r="D195" s="791"/>
      <c r="E195" s="66"/>
      <c r="F195" s="791"/>
      <c r="G195" s="66"/>
      <c r="H195" s="791"/>
      <c r="I195" s="66"/>
      <c r="J195" s="791"/>
      <c r="K195" s="58"/>
      <c r="L195" s="791"/>
      <c r="M195" s="66"/>
      <c r="N195" s="791"/>
      <c r="O195" s="66"/>
      <c r="P195" s="791"/>
      <c r="Q195" s="58"/>
      <c r="R195" s="791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64" t="s">
        <v>690</v>
      </c>
      <c r="C2" s="865"/>
      <c r="D2" s="865"/>
      <c r="E2" s="865"/>
      <c r="F2" s="865"/>
      <c r="G2" s="865"/>
      <c r="H2" s="865"/>
      <c r="I2" s="865"/>
      <c r="J2" s="865"/>
      <c r="K2" s="866"/>
    </row>
    <row r="3" spans="2:11" x14ac:dyDescent="0.25">
      <c r="B3" s="858"/>
      <c r="C3" s="859"/>
      <c r="D3" s="859"/>
      <c r="E3" s="859"/>
      <c r="F3" s="859"/>
      <c r="G3" s="859"/>
      <c r="H3" s="860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61" t="s">
        <v>679</v>
      </c>
      <c r="C12" s="862"/>
      <c r="D12" s="862"/>
      <c r="E12" s="862"/>
      <c r="F12" s="862"/>
      <c r="G12" s="862"/>
      <c r="H12" s="862"/>
      <c r="I12" s="863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88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workbookViewId="0">
      <selection activeCell="G52" sqref="G52:G55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82" t="s">
        <v>641</v>
      </c>
      <c r="D2" s="883"/>
      <c r="E2" s="883"/>
      <c r="F2" s="883"/>
      <c r="G2" s="883"/>
      <c r="H2" s="883"/>
      <c r="I2" s="553"/>
    </row>
    <row r="3" spans="3:9" ht="15.75" thickBot="1" x14ac:dyDescent="0.3">
      <c r="C3" s="781" t="s">
        <v>156</v>
      </c>
      <c r="D3" s="782"/>
      <c r="E3" s="782"/>
      <c r="F3" s="782"/>
      <c r="G3" s="782"/>
      <c r="H3" s="782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82" t="s">
        <v>535</v>
      </c>
      <c r="D17" s="883"/>
      <c r="E17" s="883"/>
      <c r="F17" s="883"/>
      <c r="G17" s="883"/>
      <c r="H17" s="883"/>
      <c r="I17" s="884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67">
        <v>1</v>
      </c>
      <c r="D19" s="869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68"/>
      <c r="D20" s="760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68"/>
      <c r="D21" s="760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68"/>
      <c r="D22" s="760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68"/>
      <c r="D23" s="760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71"/>
      <c r="D24" s="872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67">
        <v>2</v>
      </c>
      <c r="D25" s="869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68"/>
      <c r="D26" s="760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68"/>
      <c r="D27" s="760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68"/>
      <c r="D28" s="760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68"/>
      <c r="D29" s="760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81"/>
      <c r="D30" s="765"/>
      <c r="E30" s="571" t="s">
        <v>142</v>
      </c>
      <c r="F30" s="571"/>
      <c r="G30" s="535"/>
      <c r="H30" s="535"/>
      <c r="I30" s="572"/>
    </row>
    <row r="31" spans="3:9" x14ac:dyDescent="0.25">
      <c r="C31" s="873">
        <v>3</v>
      </c>
      <c r="D31" s="876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74"/>
      <c r="D32" s="877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74"/>
      <c r="D33" s="877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74"/>
      <c r="D34" s="877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74"/>
      <c r="D35" s="877"/>
      <c r="E35" s="249" t="s">
        <v>543</v>
      </c>
      <c r="F35" s="249">
        <v>1</v>
      </c>
      <c r="G35" s="240">
        <v>1</v>
      </c>
      <c r="H35" s="240">
        <f>F35-G35</f>
        <v>0</v>
      </c>
      <c r="I35" s="515"/>
    </row>
    <row r="36" spans="3:9" ht="15.75" thickBot="1" x14ac:dyDescent="0.3">
      <c r="C36" s="875"/>
      <c r="D36" s="878"/>
      <c r="E36" s="516" t="s">
        <v>142</v>
      </c>
      <c r="F36" s="516"/>
      <c r="G36" s="517"/>
      <c r="H36" s="517"/>
      <c r="I36" s="518"/>
    </row>
    <row r="37" spans="3:9" x14ac:dyDescent="0.25">
      <c r="C37" s="873">
        <v>4</v>
      </c>
      <c r="D37" s="876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74"/>
      <c r="D38" s="877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74"/>
      <c r="D39" s="877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74"/>
      <c r="D40" s="877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74"/>
      <c r="D41" s="877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74"/>
      <c r="D42" s="877"/>
      <c r="E42" s="571" t="s">
        <v>142</v>
      </c>
      <c r="F42" s="571"/>
      <c r="G42" s="535"/>
      <c r="H42" s="535"/>
      <c r="I42" s="572"/>
    </row>
    <row r="43" spans="3:9" x14ac:dyDescent="0.25">
      <c r="C43" s="879">
        <v>5</v>
      </c>
      <c r="D43" s="876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80"/>
      <c r="D44" s="878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70">
        <v>6</v>
      </c>
      <c r="D45" s="766" t="s">
        <v>168</v>
      </c>
      <c r="E45" s="250" t="s">
        <v>147</v>
      </c>
      <c r="F45" s="250">
        <v>61</v>
      </c>
      <c r="G45" s="250">
        <v>61</v>
      </c>
      <c r="H45" s="569">
        <f t="shared" ref="H45:H55" si="2">F45-G45</f>
        <v>0</v>
      </c>
      <c r="I45" s="574"/>
    </row>
    <row r="46" spans="3:9" x14ac:dyDescent="0.25">
      <c r="C46" s="868"/>
      <c r="D46" s="760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68"/>
      <c r="D47" s="760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68"/>
      <c r="D48" s="760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68"/>
      <c r="D49" s="760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71"/>
      <c r="D50" s="872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67">
        <v>7</v>
      </c>
      <c r="D51" s="869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68"/>
      <c r="D52" s="760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68"/>
      <c r="D53" s="760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68"/>
      <c r="D54" s="760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68"/>
      <c r="D55" s="760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71"/>
      <c r="D56" s="872"/>
      <c r="E56" s="516" t="s">
        <v>142</v>
      </c>
      <c r="F56" s="516"/>
      <c r="G56" s="517"/>
      <c r="H56" s="517"/>
      <c r="I56" s="518"/>
    </row>
    <row r="57" spans="3:9" x14ac:dyDescent="0.25">
      <c r="C57" s="867">
        <v>8</v>
      </c>
      <c r="D57" s="869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68"/>
      <c r="D58" s="760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68"/>
      <c r="D59" s="760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68"/>
      <c r="D60" s="760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68"/>
      <c r="D61" s="760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71"/>
      <c r="D62" s="872"/>
      <c r="E62" s="516" t="s">
        <v>142</v>
      </c>
      <c r="F62" s="516"/>
      <c r="G62" s="517"/>
      <c r="H62" s="517"/>
      <c r="I62" s="518"/>
    </row>
    <row r="63" spans="3:9" x14ac:dyDescent="0.25">
      <c r="C63" s="867">
        <v>8</v>
      </c>
      <c r="D63" s="869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68"/>
      <c r="D64" s="760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312</v>
      </c>
      <c r="H65" s="600">
        <f>F65-G65</f>
        <v>0</v>
      </c>
      <c r="I65" s="630"/>
    </row>
  </sheetData>
  <mergeCells count="21">
    <mergeCell ref="C25:C30"/>
    <mergeCell ref="D25:D30"/>
    <mergeCell ref="C2:H2"/>
    <mergeCell ref="C3:H3"/>
    <mergeCell ref="C17:I17"/>
    <mergeCell ref="C19:C24"/>
    <mergeCell ref="D19:D24"/>
    <mergeCell ref="C31:C36"/>
    <mergeCell ref="D31:D36"/>
    <mergeCell ref="C37:C42"/>
    <mergeCell ref="D37:D42"/>
    <mergeCell ref="C43:C44"/>
    <mergeCell ref="D43:D44"/>
    <mergeCell ref="C63:C64"/>
    <mergeCell ref="D63:D64"/>
    <mergeCell ref="C45:C50"/>
    <mergeCell ref="D45:D50"/>
    <mergeCell ref="C51:C56"/>
    <mergeCell ref="D51:D56"/>
    <mergeCell ref="C57:C62"/>
    <mergeCell ref="D57:D62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topLeftCell="A12" workbookViewId="0">
      <selection activeCell="G22" sqref="G22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585">
        <v>127.54</v>
      </c>
      <c r="H22" s="586">
        <f t="shared" si="0"/>
        <v>1.9999999999996021E-2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 G22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2025-11-07T18:22:43Z</dcterms:modified>
</cp:coreProperties>
</file>