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DPRs\"/>
    </mc:Choice>
  </mc:AlternateContent>
  <xr:revisionPtr revIDLastSave="0" documentId="13_ncr:1_{CA379349-9221-4B0D-A11C-84F3791F96C8}" xr6:coauthVersionLast="47" xr6:coauthVersionMax="47" xr10:uidLastSave="{00000000-0000-0000-0000-000000000000}"/>
  <bookViews>
    <workbookView xWindow="-110" yWindow="-110" windowWidth="19420" windowHeight="10300" tabRatio="887" activeTab="8" xr2:uid="{00000000-000D-0000-FFFF-FFFF00000000}"/>
  </bookViews>
  <sheets>
    <sheet name="Detail Survey-220kV" sheetId="1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Erection Compiled" sheetId="16" r:id="rId9"/>
    <sheet name="Stringing-220kV" sheetId="9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8" hidden="1">'Erection Compiled'!$A$1:$N$207</definedName>
    <definedName name="_xlnm._FilterDatabase" localSheetId="6" hidden="1">'Progress-132kV'!$A$5:$BA$79</definedName>
    <definedName name="_xlnm._FilterDatabase" localSheetId="7" hidden="1">'Progress-220kV'!$A$6:$BM$409</definedName>
    <definedName name="_xlnm._FilterDatabase" localSheetId="5" hidden="1">Statutory!$A$2:$S$18</definedName>
    <definedName name="_xlnm._FilterDatabase" localSheetId="9" hidden="1">'Stringing-220kV'!$A$5:$Z$213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'VC-132kV'!$A$1:$AX$43</definedName>
    <definedName name="_xlnm.Print_Area" localSheetId="10">'VC-220kV'!$A$1:$BB$148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5" l="1"/>
  <c r="AH148" i="15"/>
  <c r="AT136" i="15"/>
  <c r="AT135" i="15"/>
  <c r="AT126" i="15"/>
  <c r="G2" i="13" l="1"/>
  <c r="N15" i="5"/>
  <c r="AT99" i="15"/>
  <c r="AT90" i="15"/>
  <c r="AT81" i="15"/>
  <c r="AT72" i="15"/>
  <c r="AT63" i="15"/>
  <c r="AT54" i="15"/>
  <c r="AT47" i="15"/>
  <c r="AT38" i="15"/>
  <c r="AT27" i="15"/>
  <c r="AT18" i="15"/>
  <c r="AT9" i="15"/>
  <c r="AT108" i="15"/>
  <c r="AT117" i="15"/>
  <c r="BA60" i="15"/>
  <c r="P20" i="13"/>
  <c r="E10" i="8"/>
  <c r="F10" i="8" s="1"/>
  <c r="E12" i="8"/>
  <c r="F12" i="8" s="1"/>
  <c r="E14" i="8"/>
  <c r="F14" i="8" s="1"/>
  <c r="E16" i="8"/>
  <c r="F16" i="8" s="1"/>
  <c r="E18" i="8"/>
  <c r="F18" i="8"/>
  <c r="E20" i="8"/>
  <c r="F20" i="8" s="1"/>
  <c r="E22" i="8"/>
  <c r="F22" i="8" s="1"/>
  <c r="E24" i="8"/>
  <c r="F24" i="8" s="1"/>
  <c r="E26" i="8"/>
  <c r="F26" i="8" s="1"/>
  <c r="E28" i="8"/>
  <c r="F28" i="8" s="1"/>
  <c r="E30" i="8"/>
  <c r="F30" i="8" s="1"/>
  <c r="E32" i="8"/>
  <c r="F32" i="8" s="1"/>
  <c r="E34" i="8"/>
  <c r="F34" i="8" s="1"/>
  <c r="E36" i="8"/>
  <c r="F36" i="8" s="1"/>
  <c r="E38" i="8"/>
  <c r="F38" i="8" s="1"/>
  <c r="E40" i="8"/>
  <c r="F40" i="8" s="1"/>
  <c r="E42" i="8"/>
  <c r="F42" i="8" s="1"/>
  <c r="E44" i="8"/>
  <c r="F44" i="8" s="1"/>
  <c r="E46" i="8"/>
  <c r="F46" i="8" s="1"/>
  <c r="E48" i="8"/>
  <c r="F48" i="8" s="1"/>
  <c r="E50" i="8"/>
  <c r="F50" i="8" s="1"/>
  <c r="E52" i="8"/>
  <c r="F52" i="8" s="1"/>
  <c r="E54" i="8"/>
  <c r="F54" i="8" s="1"/>
  <c r="E56" i="8"/>
  <c r="F56" i="8" s="1"/>
  <c r="E58" i="8"/>
  <c r="F58" i="8" s="1"/>
  <c r="E60" i="8"/>
  <c r="F60" i="8" s="1"/>
  <c r="E62" i="8"/>
  <c r="F62" i="8" s="1"/>
  <c r="E64" i="8"/>
  <c r="F64" i="8" s="1"/>
  <c r="E66" i="8"/>
  <c r="F66" i="8" s="1"/>
  <c r="E68" i="8"/>
  <c r="F68" i="8" s="1"/>
  <c r="E70" i="8"/>
  <c r="F70" i="8" s="1"/>
  <c r="E72" i="8"/>
  <c r="F72" i="8" s="1"/>
  <c r="E74" i="8"/>
  <c r="F74" i="8" s="1"/>
  <c r="E76" i="8"/>
  <c r="F76" i="8" s="1"/>
  <c r="E78" i="8"/>
  <c r="F78" i="8" s="1"/>
  <c r="E80" i="8"/>
  <c r="F80" i="8" s="1"/>
  <c r="E82" i="8"/>
  <c r="F82" i="8" s="1"/>
  <c r="E84" i="8"/>
  <c r="F84" i="8" s="1"/>
  <c r="E86" i="8"/>
  <c r="F86" i="8" s="1"/>
  <c r="E88" i="8"/>
  <c r="F88" i="8" s="1"/>
  <c r="E90" i="8"/>
  <c r="F90" i="8" s="1"/>
  <c r="E92" i="8"/>
  <c r="F92" i="8" s="1"/>
  <c r="E94" i="8"/>
  <c r="F94" i="8" s="1"/>
  <c r="E96" i="8"/>
  <c r="F96" i="8" s="1"/>
  <c r="E98" i="8"/>
  <c r="F98" i="8" s="1"/>
  <c r="E100" i="8"/>
  <c r="F100" i="8" s="1"/>
  <c r="E102" i="8"/>
  <c r="F102" i="8" s="1"/>
  <c r="E104" i="8"/>
  <c r="F104" i="8" s="1"/>
  <c r="E106" i="8"/>
  <c r="F106" i="8" s="1"/>
  <c r="E108" i="8"/>
  <c r="F108" i="8" s="1"/>
  <c r="E110" i="8"/>
  <c r="F110" i="8" s="1"/>
  <c r="E112" i="8"/>
  <c r="F112" i="8" s="1"/>
  <c r="E114" i="8"/>
  <c r="F114" i="8" s="1"/>
  <c r="E116" i="8"/>
  <c r="F116" i="8" s="1"/>
  <c r="E118" i="8"/>
  <c r="F118" i="8" s="1"/>
  <c r="E120" i="8"/>
  <c r="F120" i="8" s="1"/>
  <c r="E122" i="8"/>
  <c r="F122" i="8" s="1"/>
  <c r="E124" i="8"/>
  <c r="F124" i="8" s="1"/>
  <c r="E126" i="8"/>
  <c r="F126" i="8" s="1"/>
  <c r="E128" i="8"/>
  <c r="F128" i="8" s="1"/>
  <c r="E130" i="8"/>
  <c r="F130" i="8" s="1"/>
  <c r="E132" i="8"/>
  <c r="F132" i="8" s="1"/>
  <c r="E134" i="8"/>
  <c r="F134" i="8" s="1"/>
  <c r="E136" i="8"/>
  <c r="F136" i="8"/>
  <c r="E138" i="8"/>
  <c r="F138" i="8" s="1"/>
  <c r="E140" i="8"/>
  <c r="F140" i="8" s="1"/>
  <c r="E142" i="8"/>
  <c r="F142" i="8" s="1"/>
  <c r="E144" i="8"/>
  <c r="F144" i="8" s="1"/>
  <c r="E146" i="8"/>
  <c r="F146" i="8" s="1"/>
  <c r="E148" i="8"/>
  <c r="F148" i="8" s="1"/>
  <c r="E150" i="8"/>
  <c r="F150" i="8" s="1"/>
  <c r="E152" i="8"/>
  <c r="F152" i="8" s="1"/>
  <c r="E154" i="8"/>
  <c r="F154" i="8" s="1"/>
  <c r="E156" i="8"/>
  <c r="F156" i="8" s="1"/>
  <c r="E158" i="8"/>
  <c r="F158" i="8" s="1"/>
  <c r="E160" i="8"/>
  <c r="F160" i="8" s="1"/>
  <c r="E162" i="8"/>
  <c r="F162" i="8" s="1"/>
  <c r="E164" i="8"/>
  <c r="F164" i="8" s="1"/>
  <c r="E166" i="8"/>
  <c r="F166" i="8" s="1"/>
  <c r="E168" i="8"/>
  <c r="F168" i="8" s="1"/>
  <c r="E170" i="8"/>
  <c r="F170" i="8" s="1"/>
  <c r="E172" i="8"/>
  <c r="F172" i="8" s="1"/>
  <c r="E174" i="8"/>
  <c r="F174" i="8" s="1"/>
  <c r="E176" i="8"/>
  <c r="F176" i="8" s="1"/>
  <c r="E178" i="8"/>
  <c r="F178" i="8" s="1"/>
  <c r="E180" i="8"/>
  <c r="F180" i="8" s="1"/>
  <c r="E182" i="8"/>
  <c r="F182" i="8" s="1"/>
  <c r="E184" i="8"/>
  <c r="F184" i="8" s="1"/>
  <c r="E186" i="8"/>
  <c r="F186" i="8" s="1"/>
  <c r="E188" i="8"/>
  <c r="F188" i="8" s="1"/>
  <c r="E190" i="8"/>
  <c r="F190" i="8" s="1"/>
  <c r="E192" i="8"/>
  <c r="F192" i="8" s="1"/>
  <c r="E194" i="8"/>
  <c r="F194" i="8" s="1"/>
  <c r="E196" i="8"/>
  <c r="F196" i="8" s="1"/>
  <c r="E198" i="8"/>
  <c r="F198" i="8" s="1"/>
  <c r="E200" i="8"/>
  <c r="F200" i="8" s="1"/>
  <c r="E202" i="8"/>
  <c r="F202" i="8" s="1"/>
  <c r="E204" i="8"/>
  <c r="F204" i="8" s="1"/>
  <c r="E206" i="8"/>
  <c r="F206" i="8" s="1"/>
  <c r="E208" i="8"/>
  <c r="F208" i="8" s="1"/>
  <c r="E210" i="8"/>
  <c r="F210" i="8" s="1"/>
  <c r="E212" i="8"/>
  <c r="F212" i="8" s="1"/>
  <c r="E214" i="8"/>
  <c r="F214" i="8" s="1"/>
  <c r="E216" i="8"/>
  <c r="F216" i="8" s="1"/>
  <c r="E218" i="8"/>
  <c r="F218" i="8" s="1"/>
  <c r="E220" i="8"/>
  <c r="F220" i="8" s="1"/>
  <c r="E222" i="8"/>
  <c r="F222" i="8" s="1"/>
  <c r="E224" i="8"/>
  <c r="F224" i="8" s="1"/>
  <c r="E226" i="8"/>
  <c r="F226" i="8" s="1"/>
  <c r="E228" i="8"/>
  <c r="F228" i="8" s="1"/>
  <c r="E230" i="8"/>
  <c r="F230" i="8" s="1"/>
  <c r="E232" i="8"/>
  <c r="F232" i="8" s="1"/>
  <c r="E234" i="8"/>
  <c r="F234" i="8" s="1"/>
  <c r="E236" i="8"/>
  <c r="F236" i="8" s="1"/>
  <c r="E238" i="8"/>
  <c r="F238" i="8" s="1"/>
  <c r="E240" i="8"/>
  <c r="F240" i="8" s="1"/>
  <c r="E242" i="8"/>
  <c r="F242" i="8" s="1"/>
  <c r="E244" i="8"/>
  <c r="F244" i="8" s="1"/>
  <c r="E246" i="8"/>
  <c r="F246" i="8" s="1"/>
  <c r="E248" i="8"/>
  <c r="F248" i="8" s="1"/>
  <c r="E250" i="8"/>
  <c r="F250" i="8" s="1"/>
  <c r="E252" i="8"/>
  <c r="F252" i="8" s="1"/>
  <c r="E254" i="8"/>
  <c r="F254" i="8" s="1"/>
  <c r="E256" i="8"/>
  <c r="F256" i="8" s="1"/>
  <c r="E258" i="8"/>
  <c r="F258" i="8" s="1"/>
  <c r="E260" i="8"/>
  <c r="F260" i="8" s="1"/>
  <c r="E262" i="8"/>
  <c r="F262" i="8" s="1"/>
  <c r="E264" i="8"/>
  <c r="F264" i="8" s="1"/>
  <c r="E266" i="8"/>
  <c r="F266" i="8" s="1"/>
  <c r="E268" i="8"/>
  <c r="F268" i="8" s="1"/>
  <c r="E270" i="8"/>
  <c r="F270" i="8" s="1"/>
  <c r="E272" i="8"/>
  <c r="F272" i="8" s="1"/>
  <c r="E274" i="8"/>
  <c r="F274" i="8" s="1"/>
  <c r="E276" i="8"/>
  <c r="F276" i="8" s="1"/>
  <c r="E278" i="8"/>
  <c r="F278" i="8" s="1"/>
  <c r="E280" i="8"/>
  <c r="F280" i="8" s="1"/>
  <c r="E282" i="8"/>
  <c r="F282" i="8" s="1"/>
  <c r="E284" i="8"/>
  <c r="F284" i="8" s="1"/>
  <c r="E286" i="8"/>
  <c r="F286" i="8" s="1"/>
  <c r="E288" i="8"/>
  <c r="F288" i="8" s="1"/>
  <c r="E290" i="8"/>
  <c r="F290" i="8" s="1"/>
  <c r="E292" i="8"/>
  <c r="F292" i="8" s="1"/>
  <c r="E294" i="8"/>
  <c r="F294" i="8" s="1"/>
  <c r="E296" i="8"/>
  <c r="F296" i="8" s="1"/>
  <c r="E298" i="8"/>
  <c r="F298" i="8" s="1"/>
  <c r="E300" i="8"/>
  <c r="F300" i="8" s="1"/>
  <c r="E302" i="8"/>
  <c r="F302" i="8" s="1"/>
  <c r="E304" i="8"/>
  <c r="F304" i="8" s="1"/>
  <c r="E306" i="8"/>
  <c r="F306" i="8" s="1"/>
  <c r="E308" i="8"/>
  <c r="F308" i="8" s="1"/>
  <c r="E310" i="8"/>
  <c r="F310" i="8" s="1"/>
  <c r="E312" i="8"/>
  <c r="F312" i="8" s="1"/>
  <c r="E314" i="8"/>
  <c r="F314" i="8" s="1"/>
  <c r="E316" i="8"/>
  <c r="F316" i="8" s="1"/>
  <c r="E318" i="8"/>
  <c r="F318" i="8" s="1"/>
  <c r="E320" i="8"/>
  <c r="F320" i="8" s="1"/>
  <c r="E322" i="8"/>
  <c r="F322" i="8" s="1"/>
  <c r="E324" i="8"/>
  <c r="F324" i="8" s="1"/>
  <c r="E326" i="8"/>
  <c r="F326" i="8" s="1"/>
  <c r="E328" i="8"/>
  <c r="F328" i="8" s="1"/>
  <c r="E330" i="8"/>
  <c r="F330" i="8" s="1"/>
  <c r="E332" i="8"/>
  <c r="F332" i="8" s="1"/>
  <c r="E334" i="8"/>
  <c r="F334" i="8" s="1"/>
  <c r="E336" i="8"/>
  <c r="F336" i="8" s="1"/>
  <c r="E338" i="8"/>
  <c r="F338" i="8" s="1"/>
  <c r="E340" i="8"/>
  <c r="F340" i="8" s="1"/>
  <c r="E342" i="8"/>
  <c r="F342" i="8" s="1"/>
  <c r="E344" i="8"/>
  <c r="F344" i="8" s="1"/>
  <c r="E346" i="8"/>
  <c r="F346" i="8" s="1"/>
  <c r="E348" i="8"/>
  <c r="F348" i="8" s="1"/>
  <c r="E350" i="8"/>
  <c r="F350" i="8" s="1"/>
  <c r="E352" i="8"/>
  <c r="F352" i="8" s="1"/>
  <c r="E354" i="8"/>
  <c r="F354" i="8" s="1"/>
  <c r="E356" i="8"/>
  <c r="F356" i="8" s="1"/>
  <c r="E358" i="8"/>
  <c r="F358" i="8" s="1"/>
  <c r="E360" i="8"/>
  <c r="F360" i="8" s="1"/>
  <c r="E362" i="8"/>
  <c r="F362" i="8" s="1"/>
  <c r="E364" i="8"/>
  <c r="F364" i="8"/>
  <c r="E366" i="8"/>
  <c r="F366" i="8"/>
  <c r="E368" i="8"/>
  <c r="F368" i="8" s="1"/>
  <c r="E370" i="8"/>
  <c r="F370" i="8" s="1"/>
  <c r="E372" i="8"/>
  <c r="F372" i="8" s="1"/>
  <c r="E374" i="8"/>
  <c r="F374" i="8" s="1"/>
  <c r="E376" i="8"/>
  <c r="F376" i="8" s="1"/>
  <c r="E378" i="8"/>
  <c r="F378" i="8" s="1"/>
  <c r="E380" i="8"/>
  <c r="F380" i="8" s="1"/>
  <c r="E382" i="8"/>
  <c r="F382" i="8" s="1"/>
  <c r="E384" i="8"/>
  <c r="F384" i="8" s="1"/>
  <c r="E386" i="8"/>
  <c r="F386" i="8" s="1"/>
  <c r="E388" i="8"/>
  <c r="F388" i="8" s="1"/>
  <c r="E390" i="8"/>
  <c r="F390" i="8" s="1"/>
  <c r="E392" i="8"/>
  <c r="F392" i="8" s="1"/>
  <c r="E394" i="8"/>
  <c r="F394" i="8" s="1"/>
  <c r="E396" i="8"/>
  <c r="F396" i="8" s="1"/>
  <c r="E398" i="8"/>
  <c r="F398" i="8" s="1"/>
  <c r="E400" i="8"/>
  <c r="F400" i="8" s="1"/>
  <c r="E402" i="8"/>
  <c r="F402" i="8" s="1"/>
  <c r="E404" i="8"/>
  <c r="F404" i="8" s="1"/>
  <c r="E406" i="8"/>
  <c r="F406" i="8" s="1"/>
  <c r="S402" i="8"/>
  <c r="AB402" i="8"/>
  <c r="AN402" i="8"/>
  <c r="AR402" i="8"/>
  <c r="AQ402" i="8" s="1"/>
  <c r="AP402" i="8" s="1"/>
  <c r="AX402" i="8"/>
  <c r="BE402" i="8"/>
  <c r="S400" i="8"/>
  <c r="AA400" i="8"/>
  <c r="AB400" i="8"/>
  <c r="AJ400" i="8"/>
  <c r="AK400" i="8" s="1"/>
  <c r="BE400" i="8"/>
  <c r="S398" i="8"/>
  <c r="AA398" i="8"/>
  <c r="AB398" i="8"/>
  <c r="AJ398" i="8"/>
  <c r="AK398" i="8" s="1"/>
  <c r="AQ398" i="8"/>
  <c r="AR398" i="8"/>
  <c r="BE398" i="8"/>
  <c r="S396" i="8"/>
  <c r="AA396" i="8"/>
  <c r="AB396" i="8"/>
  <c r="AD396" i="8"/>
  <c r="AE396" i="8"/>
  <c r="AG396" i="8"/>
  <c r="AR396" i="8"/>
  <c r="AQ396" i="8" s="1"/>
  <c r="BE396" i="8"/>
  <c r="S394" i="8"/>
  <c r="AB394" i="8"/>
  <c r="AN394" i="8"/>
  <c r="AR394" i="8"/>
  <c r="AQ394" i="8" s="1"/>
  <c r="AP394" i="8" s="1"/>
  <c r="AY394" i="8"/>
  <c r="BE394" i="8"/>
  <c r="S392" i="8"/>
  <c r="AB392" i="8"/>
  <c r="AN392" i="8"/>
  <c r="AR392" i="8"/>
  <c r="AY392" i="8"/>
  <c r="BE392" i="8"/>
  <c r="S390" i="8"/>
  <c r="AB390" i="8"/>
  <c r="AN390" i="8"/>
  <c r="AR390" i="8"/>
  <c r="AQ390" i="8" s="1"/>
  <c r="AY390" i="8"/>
  <c r="BE390" i="8"/>
  <c r="S388" i="8"/>
  <c r="AB388" i="8"/>
  <c r="AN388" i="8"/>
  <c r="AR388" i="8"/>
  <c r="AQ388" i="8" s="1"/>
  <c r="AY388" i="8"/>
  <c r="BE388" i="8"/>
  <c r="BJ388" i="8"/>
  <c r="S386" i="8"/>
  <c r="AB386" i="8"/>
  <c r="AN386" i="8"/>
  <c r="AQ386" i="8"/>
  <c r="AR386" i="8" s="1"/>
  <c r="AY386" i="8"/>
  <c r="BE386" i="8"/>
  <c r="S384" i="8"/>
  <c r="AB384" i="8"/>
  <c r="AN384" i="8"/>
  <c r="AR384" i="8"/>
  <c r="AQ384" i="8" s="1"/>
  <c r="BE384" i="8"/>
  <c r="S382" i="8"/>
  <c r="AB382" i="8"/>
  <c r="AN382" i="8"/>
  <c r="AR382" i="8"/>
  <c r="AQ382" i="8" s="1"/>
  <c r="AY382" i="8"/>
  <c r="BE382" i="8"/>
  <c r="S380" i="8"/>
  <c r="AB380" i="8"/>
  <c r="AN380" i="8"/>
  <c r="AR380" i="8"/>
  <c r="AQ380" i="8" s="1"/>
  <c r="AY380" i="8"/>
  <c r="BE380" i="8"/>
  <c r="S378" i="8"/>
  <c r="AB378" i="8"/>
  <c r="AN378" i="8"/>
  <c r="AR378" i="8"/>
  <c r="AQ378" i="8" s="1"/>
  <c r="AX378" i="8"/>
  <c r="BE378" i="8"/>
  <c r="S376" i="8"/>
  <c r="AB376" i="8"/>
  <c r="AN376" i="8"/>
  <c r="AR376" i="8"/>
  <c r="AQ376" i="8" s="1"/>
  <c r="AP376" i="8" s="1"/>
  <c r="BE376" i="8"/>
  <c r="S374" i="8"/>
  <c r="AB374" i="8"/>
  <c r="AN374" i="8"/>
  <c r="AR374" i="8"/>
  <c r="AQ374" i="8" s="1"/>
  <c r="AP374" i="8" s="1"/>
  <c r="BE374" i="8"/>
  <c r="S372" i="8"/>
  <c r="AB372" i="8"/>
  <c r="AR372" i="8"/>
  <c r="AQ372" i="8" s="1"/>
  <c r="AP372" i="8" s="1"/>
  <c r="BE372" i="8"/>
  <c r="S370" i="8"/>
  <c r="AB370" i="8"/>
  <c r="AR370" i="8"/>
  <c r="AQ370" i="8" s="1"/>
  <c r="AP370" i="8" s="1"/>
  <c r="AX370" i="8"/>
  <c r="AY370" i="8" s="1"/>
  <c r="BE370" i="8"/>
  <c r="S368" i="8"/>
  <c r="AB368" i="8"/>
  <c r="AR368" i="8"/>
  <c r="AQ368" i="8" s="1"/>
  <c r="AP368" i="8" s="1"/>
  <c r="AY368" i="8"/>
  <c r="AX368" i="8" s="1"/>
  <c r="AZ368" i="8"/>
  <c r="BE368" i="8"/>
  <c r="S366" i="8"/>
  <c r="AA366" i="8"/>
  <c r="AB366" i="8"/>
  <c r="AJ366" i="8"/>
  <c r="AK366" i="8" s="1"/>
  <c r="AR366" i="8"/>
  <c r="AQ366" i="8" s="1"/>
  <c r="AP366" i="8" s="1"/>
  <c r="AX366" i="8"/>
  <c r="AY366" i="8" s="1"/>
  <c r="BE366" i="8"/>
  <c r="S362" i="8"/>
  <c r="AB362" i="8"/>
  <c r="AR362" i="8"/>
  <c r="AQ362" i="8" s="1"/>
  <c r="AP362" i="8" s="1"/>
  <c r="AX362" i="8"/>
  <c r="AZ362" i="8"/>
  <c r="BE362" i="8"/>
  <c r="S360" i="8"/>
  <c r="AA360" i="8"/>
  <c r="AB360" i="8"/>
  <c r="AJ360" i="8"/>
  <c r="AK360" i="8" s="1"/>
  <c r="AR360" i="8"/>
  <c r="AQ360" i="8" s="1"/>
  <c r="AP360" i="8" s="1"/>
  <c r="AX360" i="8"/>
  <c r="BE360" i="8"/>
  <c r="S358" i="8"/>
  <c r="AA358" i="8"/>
  <c r="AB358" i="8"/>
  <c r="AJ358" i="8"/>
  <c r="AK358" i="8" s="1"/>
  <c r="AR358" i="8"/>
  <c r="AQ358" i="8" s="1"/>
  <c r="AP358" i="8" s="1"/>
  <c r="AX358" i="8"/>
  <c r="BE358" i="8"/>
  <c r="S356" i="8"/>
  <c r="AA356" i="8"/>
  <c r="AB356" i="8"/>
  <c r="AJ356" i="8"/>
  <c r="AK356" i="8" s="1"/>
  <c r="AR356" i="8"/>
  <c r="AQ356" i="8" s="1"/>
  <c r="AP356" i="8" s="1"/>
  <c r="AX356" i="8"/>
  <c r="BE356" i="8"/>
  <c r="S354" i="8"/>
  <c r="AA354" i="8"/>
  <c r="AB354" i="8"/>
  <c r="AJ354" i="8"/>
  <c r="AK354" i="8" s="1"/>
  <c r="AR354" i="8"/>
  <c r="AQ354" i="8" s="1"/>
  <c r="AP354" i="8" s="1"/>
  <c r="BE354" i="8"/>
  <c r="BK354" i="8"/>
  <c r="S352" i="8"/>
  <c r="AR352" i="8"/>
  <c r="AQ352" i="8" s="1"/>
  <c r="AP352" i="8" s="1"/>
  <c r="AY352" i="8"/>
  <c r="AX352" i="8" s="1"/>
  <c r="AZ352" i="8"/>
  <c r="BE352" i="8"/>
  <c r="BK352" i="8"/>
  <c r="S350" i="8"/>
  <c r="AN350" i="8"/>
  <c r="AR350" i="8"/>
  <c r="BE350" i="8"/>
  <c r="P348" i="8"/>
  <c r="S348" i="8"/>
  <c r="AN348" i="8"/>
  <c r="AR348" i="8"/>
  <c r="AQ348" i="8" s="1"/>
  <c r="AP348" i="8" s="1"/>
  <c r="AX348" i="8"/>
  <c r="AZ348" i="8"/>
  <c r="BE348" i="8"/>
  <c r="P346" i="8"/>
  <c r="S346" i="8"/>
  <c r="AN346" i="8"/>
  <c r="AR346" i="8"/>
  <c r="AQ346" i="8" s="1"/>
  <c r="AP346" i="8" s="1"/>
  <c r="BE346" i="8"/>
  <c r="P344" i="8"/>
  <c r="S344" i="8"/>
  <c r="AN344" i="8"/>
  <c r="AR344" i="8"/>
  <c r="AQ344" i="8" s="1"/>
  <c r="BE344" i="8"/>
  <c r="P342" i="8"/>
  <c r="S342" i="8"/>
  <c r="AN342" i="8"/>
  <c r="AR342" i="8"/>
  <c r="AQ342" i="8" s="1"/>
  <c r="AX342" i="8"/>
  <c r="AY342" i="8" s="1"/>
  <c r="BE342" i="8"/>
  <c r="P340" i="8"/>
  <c r="S340" i="8"/>
  <c r="AN340" i="8"/>
  <c r="BE340" i="8"/>
  <c r="P338" i="8"/>
  <c r="S338" i="8"/>
  <c r="AN338" i="8"/>
  <c r="AR338" i="8"/>
  <c r="AQ338" i="8" s="1"/>
  <c r="AP338" i="8" s="1"/>
  <c r="AY338" i="8"/>
  <c r="BE338" i="8"/>
  <c r="P336" i="8"/>
  <c r="S336" i="8"/>
  <c r="AR336" i="8"/>
  <c r="AQ336" i="8" s="1"/>
  <c r="AP336" i="8" s="1"/>
  <c r="AY336" i="8"/>
  <c r="BE336" i="8"/>
  <c r="P334" i="8"/>
  <c r="S334" i="8"/>
  <c r="AR334" i="8"/>
  <c r="AQ334" i="8" s="1"/>
  <c r="AP334" i="8" s="1"/>
  <c r="AX334" i="8"/>
  <c r="BE334" i="8"/>
  <c r="BK334" i="8"/>
  <c r="BJ334" i="8" s="1"/>
  <c r="P332" i="8"/>
  <c r="S332" i="8"/>
  <c r="AN332" i="8"/>
  <c r="BE332" i="8"/>
  <c r="BJ332" i="8"/>
  <c r="P330" i="8"/>
  <c r="S330" i="8"/>
  <c r="AN330" i="8"/>
  <c r="AR330" i="8"/>
  <c r="AQ330" i="8" s="1"/>
  <c r="AX330" i="8"/>
  <c r="BE330" i="8"/>
  <c r="P328" i="8"/>
  <c r="S328" i="8"/>
  <c r="AA328" i="8"/>
  <c r="AB328" i="8"/>
  <c r="AC328" i="8" s="1"/>
  <c r="AJ328" i="8"/>
  <c r="AK328" i="8" s="1"/>
  <c r="AN328" i="8"/>
  <c r="AR328" i="8"/>
  <c r="AQ328" i="8" s="1"/>
  <c r="AX328" i="8"/>
  <c r="BE328" i="8"/>
  <c r="P326" i="8"/>
  <c r="S326" i="8"/>
  <c r="AA326" i="8"/>
  <c r="AB326" i="8"/>
  <c r="AC326" i="8" s="1"/>
  <c r="AJ326" i="8"/>
  <c r="AK326" i="8" s="1"/>
  <c r="AN326" i="8"/>
  <c r="AQ326" i="8"/>
  <c r="AR326" i="8"/>
  <c r="AX326" i="8"/>
  <c r="BE326" i="8"/>
  <c r="P324" i="8"/>
  <c r="S324" i="8"/>
  <c r="AN324" i="8"/>
  <c r="AR324" i="8"/>
  <c r="AQ324" i="8" s="1"/>
  <c r="AP324" i="8" s="1"/>
  <c r="AX324" i="8"/>
  <c r="BE324" i="8"/>
  <c r="P322" i="8"/>
  <c r="S322" i="8"/>
  <c r="AN322" i="8"/>
  <c r="AX322" i="8"/>
  <c r="BE322" i="8"/>
  <c r="P320" i="8"/>
  <c r="S320" i="8"/>
  <c r="AN320" i="8"/>
  <c r="AX320" i="8"/>
  <c r="BE320" i="8"/>
  <c r="P318" i="8"/>
  <c r="S318" i="8"/>
  <c r="AN318" i="8"/>
  <c r="AR318" i="8"/>
  <c r="AQ318" i="8" s="1"/>
  <c r="AX318" i="8"/>
  <c r="BE318" i="8"/>
  <c r="P316" i="8"/>
  <c r="S316" i="8"/>
  <c r="AN316" i="8"/>
  <c r="AR316" i="8"/>
  <c r="AQ316" i="8" s="1"/>
  <c r="AP316" i="8" s="1"/>
  <c r="AX316" i="8"/>
  <c r="BE316" i="8"/>
  <c r="BJ316" i="8"/>
  <c r="P314" i="8"/>
  <c r="S314" i="8"/>
  <c r="AN314" i="8"/>
  <c r="AX314" i="8"/>
  <c r="BE314" i="8"/>
  <c r="BJ314" i="8"/>
  <c r="P312" i="8"/>
  <c r="S312" i="8"/>
  <c r="AR312" i="8"/>
  <c r="AQ312" i="8" s="1"/>
  <c r="AP312" i="8" s="1"/>
  <c r="AX312" i="8"/>
  <c r="BE312" i="8"/>
  <c r="BJ312" i="8"/>
  <c r="P310" i="8"/>
  <c r="S310" i="8"/>
  <c r="AR310" i="8"/>
  <c r="AQ310" i="8" s="1"/>
  <c r="AP310" i="8" s="1"/>
  <c r="AX310" i="8"/>
  <c r="BE310" i="8"/>
  <c r="BK310" i="8"/>
  <c r="P308" i="8"/>
  <c r="S308" i="8"/>
  <c r="AN308" i="8"/>
  <c r="AX308" i="8"/>
  <c r="BE308" i="8"/>
  <c r="P304" i="8"/>
  <c r="S304" i="8"/>
  <c r="AN304" i="8"/>
  <c r="AX304" i="8"/>
  <c r="BE304" i="8"/>
  <c r="P302" i="8"/>
  <c r="S302" i="8"/>
  <c r="AN302" i="8"/>
  <c r="AX302" i="8"/>
  <c r="BE302" i="8"/>
  <c r="P300" i="8"/>
  <c r="S300" i="8"/>
  <c r="AN300" i="8"/>
  <c r="AX300" i="8"/>
  <c r="BE300" i="8"/>
  <c r="P298" i="8"/>
  <c r="S298" i="8"/>
  <c r="AA298" i="8"/>
  <c r="AB298" i="8"/>
  <c r="AC298" i="8" s="1"/>
  <c r="AJ298" i="8"/>
  <c r="AK298" i="8" s="1"/>
  <c r="AN298" i="8"/>
  <c r="AX298" i="8"/>
  <c r="BE298" i="8"/>
  <c r="P296" i="8"/>
  <c r="S296" i="8"/>
  <c r="AA296" i="8"/>
  <c r="AB296" i="8"/>
  <c r="AC296" i="8" s="1"/>
  <c r="AJ296" i="8"/>
  <c r="AK296" i="8" s="1"/>
  <c r="AN296" i="8"/>
  <c r="AX296" i="8"/>
  <c r="BE296" i="8"/>
  <c r="P294" i="8"/>
  <c r="S294" i="8"/>
  <c r="AA294" i="8"/>
  <c r="AB294" i="8"/>
  <c r="AC294" i="8" s="1"/>
  <c r="AJ294" i="8"/>
  <c r="AK294" i="8" s="1"/>
  <c r="AN294" i="8"/>
  <c r="AX294" i="8"/>
  <c r="BE294" i="8"/>
  <c r="P292" i="8"/>
  <c r="S292" i="8"/>
  <c r="AN292" i="8"/>
  <c r="AR292" i="8"/>
  <c r="AQ292" i="8" s="1"/>
  <c r="AX292" i="8"/>
  <c r="BE292" i="8"/>
  <c r="P290" i="8"/>
  <c r="S290" i="8"/>
  <c r="AN290" i="8"/>
  <c r="AR290" i="8"/>
  <c r="AQ290" i="8" s="1"/>
  <c r="AX290" i="8"/>
  <c r="BE290" i="8"/>
  <c r="P288" i="8"/>
  <c r="S288" i="8"/>
  <c r="AA288" i="8"/>
  <c r="AB288" i="8"/>
  <c r="AC288" i="8" s="1"/>
  <c r="AJ288" i="8"/>
  <c r="AK288" i="8" s="1"/>
  <c r="AN288" i="8"/>
  <c r="AR288" i="8"/>
  <c r="AQ288" i="8" s="1"/>
  <c r="AX288" i="8"/>
  <c r="BE288" i="8"/>
  <c r="BJ288" i="8"/>
  <c r="P286" i="8"/>
  <c r="S286" i="8"/>
  <c r="AA286" i="8"/>
  <c r="AB286" i="8"/>
  <c r="AC286" i="8" s="1"/>
  <c r="AJ286" i="8"/>
  <c r="AK286" i="8" s="1"/>
  <c r="AN286" i="8"/>
  <c r="AR286" i="8"/>
  <c r="AQ286" i="8" s="1"/>
  <c r="AP286" i="8" s="1"/>
  <c r="BE286" i="8"/>
  <c r="BJ286" i="8"/>
  <c r="P284" i="8"/>
  <c r="S284" i="8"/>
  <c r="AA284" i="8"/>
  <c r="AB284" i="8"/>
  <c r="AC284" i="8" s="1"/>
  <c r="AJ284" i="8"/>
  <c r="AK284" i="8" s="1"/>
  <c r="AR284" i="8"/>
  <c r="AQ284" i="8" s="1"/>
  <c r="AP284" i="8" s="1"/>
  <c r="AX284" i="8"/>
  <c r="BE284" i="8"/>
  <c r="BJ284" i="8"/>
  <c r="P282" i="8"/>
  <c r="S282" i="8"/>
  <c r="AA282" i="8"/>
  <c r="AB282" i="8"/>
  <c r="AC282" i="8" s="1"/>
  <c r="AJ282" i="8"/>
  <c r="AK282" i="8" s="1"/>
  <c r="AN282" i="8"/>
  <c r="AX282" i="8"/>
  <c r="BE282" i="8"/>
  <c r="BJ282" i="8"/>
  <c r="P280" i="8"/>
  <c r="S280" i="8"/>
  <c r="AA280" i="8"/>
  <c r="AB280" i="8"/>
  <c r="AC280" i="8" s="1"/>
  <c r="AJ280" i="8"/>
  <c r="AK280" i="8" s="1"/>
  <c r="AN280" i="8"/>
  <c r="AR280" i="8"/>
  <c r="AX280" i="8"/>
  <c r="BE280" i="8"/>
  <c r="BJ280" i="8"/>
  <c r="P278" i="8"/>
  <c r="S278" i="8"/>
  <c r="AN278" i="8"/>
  <c r="AX278" i="8"/>
  <c r="BE278" i="8"/>
  <c r="BJ278" i="8"/>
  <c r="P276" i="8"/>
  <c r="S276" i="8"/>
  <c r="AA276" i="8"/>
  <c r="AB276" i="8"/>
  <c r="AC276" i="8" s="1"/>
  <c r="AJ276" i="8"/>
  <c r="AK276" i="8" s="1"/>
  <c r="AN276" i="8"/>
  <c r="AX276" i="8"/>
  <c r="BE276" i="8"/>
  <c r="BJ276" i="8"/>
  <c r="P274" i="8"/>
  <c r="S274" i="8"/>
  <c r="AN274" i="8"/>
  <c r="AR274" i="8"/>
  <c r="AQ274" i="8" s="1"/>
  <c r="AX274" i="8"/>
  <c r="BJ274" i="8"/>
  <c r="P272" i="8"/>
  <c r="S272" i="8"/>
  <c r="AN272" i="8"/>
  <c r="AQ272" i="8"/>
  <c r="AR272" i="8"/>
  <c r="BJ272" i="8"/>
  <c r="P270" i="8"/>
  <c r="S270" i="8"/>
  <c r="AN270" i="8"/>
  <c r="AR270" i="8"/>
  <c r="AQ270" i="8" s="1"/>
  <c r="AP270" i="8" s="1"/>
  <c r="P268" i="8"/>
  <c r="S268" i="8"/>
  <c r="AN268" i="8"/>
  <c r="AR268" i="8"/>
  <c r="AQ268" i="8" s="1"/>
  <c r="AP268" i="8" s="1"/>
  <c r="BE268" i="8"/>
  <c r="BJ268" i="8"/>
  <c r="P266" i="8"/>
  <c r="S266" i="8"/>
  <c r="AN266" i="8"/>
  <c r="AR266" i="8"/>
  <c r="AQ266" i="8" s="1"/>
  <c r="AX266" i="8"/>
  <c r="BE266" i="8"/>
  <c r="BJ266" i="8"/>
  <c r="P264" i="8"/>
  <c r="S264" i="8"/>
  <c r="AN264" i="8"/>
  <c r="BE264" i="8"/>
  <c r="AY264" i="8" s="1"/>
  <c r="AX264" i="8" s="1"/>
  <c r="BJ264" i="8"/>
  <c r="P262" i="8"/>
  <c r="S262" i="8"/>
  <c r="AN262" i="8"/>
  <c r="AY262" i="8"/>
  <c r="AX262" i="8" s="1"/>
  <c r="BJ262" i="8"/>
  <c r="P260" i="8"/>
  <c r="S260" i="8"/>
  <c r="AN260" i="8"/>
  <c r="AX260" i="8"/>
  <c r="BE260" i="8"/>
  <c r="P258" i="8"/>
  <c r="S258" i="8"/>
  <c r="AN258" i="8"/>
  <c r="AR258" i="8"/>
  <c r="AQ258" i="8" s="1"/>
  <c r="BJ258" i="8"/>
  <c r="BJ260" i="8" s="1"/>
  <c r="BK260" i="8" s="1"/>
  <c r="P256" i="8"/>
  <c r="S256" i="8"/>
  <c r="AA256" i="8"/>
  <c r="AB256" i="8"/>
  <c r="AC256" i="8" s="1"/>
  <c r="AJ256" i="8"/>
  <c r="AK256" i="8" s="1"/>
  <c r="AN256" i="8"/>
  <c r="AR256" i="8"/>
  <c r="AQ256" i="8" s="1"/>
  <c r="P254" i="8"/>
  <c r="S254" i="8"/>
  <c r="AN254" i="8"/>
  <c r="BE254" i="8"/>
  <c r="P252" i="8"/>
  <c r="S252" i="8"/>
  <c r="AA252" i="8"/>
  <c r="AB252" i="8"/>
  <c r="AC252" i="8" s="1"/>
  <c r="AJ252" i="8"/>
  <c r="AK252" i="8" s="1"/>
  <c r="AN252" i="8"/>
  <c r="BE252" i="8"/>
  <c r="P250" i="8"/>
  <c r="S250" i="8"/>
  <c r="AN250" i="8"/>
  <c r="BE250" i="8"/>
  <c r="P248" i="8"/>
  <c r="S248" i="8"/>
  <c r="AN248" i="8"/>
  <c r="AX248" i="8"/>
  <c r="BE248" i="8"/>
  <c r="P246" i="8"/>
  <c r="S246" i="8"/>
  <c r="AN246" i="8"/>
  <c r="AX246" i="8"/>
  <c r="BE246" i="8"/>
  <c r="P244" i="8"/>
  <c r="S244" i="8"/>
  <c r="AN244" i="8"/>
  <c r="BE244" i="8"/>
  <c r="BK244" i="8"/>
  <c r="P242" i="8"/>
  <c r="S242" i="8"/>
  <c r="AA242" i="8"/>
  <c r="AB242" i="8"/>
  <c r="AC242" i="8" s="1"/>
  <c r="AJ242" i="8"/>
  <c r="AK242" i="8" s="1"/>
  <c r="AN242" i="8"/>
  <c r="BE242" i="8"/>
  <c r="BK242" i="8"/>
  <c r="P240" i="8"/>
  <c r="S240" i="8"/>
  <c r="AN240" i="8"/>
  <c r="BE240" i="8"/>
  <c r="BK240" i="8"/>
  <c r="P238" i="8"/>
  <c r="S238" i="8"/>
  <c r="AN238" i="8"/>
  <c r="BE238" i="8"/>
  <c r="BK238" i="8"/>
  <c r="P236" i="8"/>
  <c r="S236" i="8"/>
  <c r="AA236" i="8"/>
  <c r="AB236" i="8"/>
  <c r="AC236" i="8" s="1"/>
  <c r="AJ236" i="8"/>
  <c r="AK236" i="8" s="1"/>
  <c r="AN236" i="8"/>
  <c r="AR236" i="8"/>
  <c r="AQ236" i="8" s="1"/>
  <c r="BE236" i="8"/>
  <c r="BJ236" i="8"/>
  <c r="P234" i="8"/>
  <c r="S234" i="8"/>
  <c r="AA234" i="8"/>
  <c r="AB234" i="8"/>
  <c r="AC234" i="8" s="1"/>
  <c r="AJ234" i="8"/>
  <c r="AK234" i="8" s="1"/>
  <c r="AN234" i="8"/>
  <c r="BE234" i="8"/>
  <c r="BJ234" i="8"/>
  <c r="P232" i="8"/>
  <c r="S232" i="8"/>
  <c r="AA232" i="8"/>
  <c r="AB232" i="8"/>
  <c r="AC232" i="8" s="1"/>
  <c r="AJ232" i="8"/>
  <c r="AK232" i="8" s="1"/>
  <c r="AN232" i="8"/>
  <c r="BE232" i="8"/>
  <c r="BJ232" i="8"/>
  <c r="P230" i="8"/>
  <c r="S230" i="8"/>
  <c r="AN230" i="8"/>
  <c r="AQ230" i="8"/>
  <c r="AR230" i="8"/>
  <c r="BE230" i="8"/>
  <c r="BJ230" i="8"/>
  <c r="P228" i="8"/>
  <c r="S228" i="8"/>
  <c r="AR228" i="8"/>
  <c r="AQ228" i="8" s="1"/>
  <c r="BE228" i="8"/>
  <c r="BJ228" i="8"/>
  <c r="P226" i="8"/>
  <c r="S226" i="8"/>
  <c r="AN226" i="8"/>
  <c r="BE226" i="8"/>
  <c r="BJ226" i="8"/>
  <c r="P224" i="8"/>
  <c r="S224" i="8"/>
  <c r="AN224" i="8"/>
  <c r="BJ224" i="8"/>
  <c r="P222" i="8"/>
  <c r="S222" i="8"/>
  <c r="AN222" i="8"/>
  <c r="BJ222" i="8"/>
  <c r="P220" i="8"/>
  <c r="S220" i="8"/>
  <c r="AN220" i="8"/>
  <c r="BJ220" i="8"/>
  <c r="P218" i="8"/>
  <c r="S218" i="8"/>
  <c r="AN218" i="8"/>
  <c r="AR218" i="8"/>
  <c r="AQ218" i="8" s="1"/>
  <c r="AP218" i="8" s="1"/>
  <c r="BE218" i="8"/>
  <c r="BJ218" i="8"/>
  <c r="P216" i="8"/>
  <c r="S216" i="8"/>
  <c r="AN216" i="8"/>
  <c r="AR216" i="8"/>
  <c r="AQ216" i="8" s="1"/>
  <c r="AP216" i="8" s="1"/>
  <c r="BE216" i="8"/>
  <c r="P214" i="8"/>
  <c r="S214" i="8"/>
  <c r="AN214" i="8"/>
  <c r="BE214" i="8"/>
  <c r="P212" i="8"/>
  <c r="S212" i="8"/>
  <c r="AN212" i="8"/>
  <c r="AR212" i="8"/>
  <c r="AQ212" i="8" s="1"/>
  <c r="AP212" i="8" s="1"/>
  <c r="BE212" i="8"/>
  <c r="P198" i="8"/>
  <c r="S198" i="8"/>
  <c r="AN198" i="8"/>
  <c r="AR198" i="8"/>
  <c r="AQ198" i="8" s="1"/>
  <c r="BE198" i="8"/>
  <c r="P194" i="8"/>
  <c r="S194" i="8"/>
  <c r="AA194" i="8"/>
  <c r="AJ194" i="8"/>
  <c r="AK194" i="8" s="1"/>
  <c r="AR194" i="8"/>
  <c r="AQ194" i="8" s="1"/>
  <c r="AP194" i="8" s="1"/>
  <c r="AX194" i="8"/>
  <c r="BE194" i="8"/>
  <c r="P192" i="8"/>
  <c r="S192" i="8"/>
  <c r="AN192" i="8"/>
  <c r="BE192" i="8"/>
  <c r="P190" i="8"/>
  <c r="S190" i="8"/>
  <c r="AN190" i="8"/>
  <c r="AX190" i="8"/>
  <c r="BE190" i="8"/>
  <c r="P188" i="8"/>
  <c r="S188" i="8"/>
  <c r="AN188" i="8"/>
  <c r="BE188" i="8"/>
  <c r="P186" i="8"/>
  <c r="S186" i="8"/>
  <c r="AN186" i="8"/>
  <c r="AY186" i="8"/>
  <c r="BE186" i="8"/>
  <c r="P184" i="8"/>
  <c r="S184" i="8"/>
  <c r="AN184" i="8"/>
  <c r="BE184" i="8"/>
  <c r="P182" i="8"/>
  <c r="S182" i="8"/>
  <c r="AN182" i="8"/>
  <c r="AR182" i="8"/>
  <c r="AQ182" i="8" s="1"/>
  <c r="BE182" i="8"/>
  <c r="P180" i="8"/>
  <c r="S180" i="8"/>
  <c r="AR180" i="8"/>
  <c r="AQ180" i="8" s="1"/>
  <c r="AP180" i="8" s="1"/>
  <c r="AX180" i="8"/>
  <c r="BE180" i="8"/>
  <c r="P178" i="8"/>
  <c r="S178" i="8"/>
  <c r="AN178" i="8"/>
  <c r="AQ178" i="8"/>
  <c r="AR178" i="8"/>
  <c r="BE178" i="8"/>
  <c r="P176" i="8"/>
  <c r="S176" i="8"/>
  <c r="AN176" i="8"/>
  <c r="BE176" i="8"/>
  <c r="P174" i="8"/>
  <c r="S174" i="8"/>
  <c r="AN174" i="8"/>
  <c r="BE174" i="8"/>
  <c r="P172" i="8"/>
  <c r="S172" i="8"/>
  <c r="AR172" i="8"/>
  <c r="AQ172" i="8" s="1"/>
  <c r="AP172" i="8" s="1"/>
  <c r="AY172" i="8"/>
  <c r="AZ172" i="8"/>
  <c r="BE172" i="8"/>
  <c r="P170" i="8"/>
  <c r="S170" i="8"/>
  <c r="AR170" i="8"/>
  <c r="AQ170" i="8" s="1"/>
  <c r="AP170" i="8" s="1"/>
  <c r="AY170" i="8"/>
  <c r="AX170" i="8" s="1"/>
  <c r="AZ170" i="8"/>
  <c r="BE170" i="8"/>
  <c r="P168" i="8"/>
  <c r="S168" i="8"/>
  <c r="AR168" i="8"/>
  <c r="AQ168" i="8" s="1"/>
  <c r="AP168" i="8" s="1"/>
  <c r="AZ168" i="8"/>
  <c r="BE168" i="8"/>
  <c r="P166" i="8"/>
  <c r="S166" i="8"/>
  <c r="AR166" i="8"/>
  <c r="AQ166" i="8" s="1"/>
  <c r="AP166" i="8" s="1"/>
  <c r="AY166" i="8"/>
  <c r="AZ166" i="8"/>
  <c r="BE166" i="8"/>
  <c r="P164" i="8"/>
  <c r="S164" i="8"/>
  <c r="AR164" i="8"/>
  <c r="AQ164" i="8" s="1"/>
  <c r="AP164" i="8" s="1"/>
  <c r="AY164" i="8"/>
  <c r="AZ164" i="8"/>
  <c r="BE164" i="8"/>
  <c r="P162" i="8"/>
  <c r="S162" i="8"/>
  <c r="AR162" i="8"/>
  <c r="AQ162" i="8" s="1"/>
  <c r="AP162" i="8" s="1"/>
  <c r="AY162" i="8"/>
  <c r="AZ162" i="8"/>
  <c r="BE162" i="8"/>
  <c r="P160" i="8"/>
  <c r="S160" i="8"/>
  <c r="AS160" i="8"/>
  <c r="AZ160" i="8"/>
  <c r="BE160" i="8"/>
  <c r="P158" i="8"/>
  <c r="S158" i="8"/>
  <c r="AR158" i="8"/>
  <c r="AQ158" i="8" s="1"/>
  <c r="AY158" i="8"/>
  <c r="AZ158" i="8"/>
  <c r="BE158" i="8"/>
  <c r="P156" i="8"/>
  <c r="S156" i="8"/>
  <c r="AR156" i="8"/>
  <c r="AQ156" i="8" s="1"/>
  <c r="AP156" i="8" s="1"/>
  <c r="AY156" i="8"/>
  <c r="AZ156" i="8"/>
  <c r="BE156" i="8"/>
  <c r="P154" i="8"/>
  <c r="S154" i="8"/>
  <c r="AR154" i="8"/>
  <c r="AQ154" i="8" s="1"/>
  <c r="AP154" i="8" s="1"/>
  <c r="AY154" i="8"/>
  <c r="AZ154" i="8"/>
  <c r="BE154" i="8"/>
  <c r="P152" i="8"/>
  <c r="S152" i="8"/>
  <c r="AR152" i="8"/>
  <c r="AQ152" i="8" s="1"/>
  <c r="AP152" i="8" s="1"/>
  <c r="AY152" i="8"/>
  <c r="AZ152" i="8"/>
  <c r="BE152" i="8"/>
  <c r="P150" i="8"/>
  <c r="S150" i="8"/>
  <c r="AR150" i="8"/>
  <c r="AQ150" i="8" s="1"/>
  <c r="AP150" i="8" s="1"/>
  <c r="AY150" i="8"/>
  <c r="AZ150" i="8"/>
  <c r="BE150" i="8"/>
  <c r="P148" i="8"/>
  <c r="S148" i="8"/>
  <c r="AR148" i="8"/>
  <c r="AQ148" i="8" s="1"/>
  <c r="AP148" i="8" s="1"/>
  <c r="AY148" i="8"/>
  <c r="AZ148" i="8"/>
  <c r="BE148" i="8"/>
  <c r="P144" i="8"/>
  <c r="S144" i="8"/>
  <c r="AR144" i="8"/>
  <c r="AQ144" i="8" s="1"/>
  <c r="AP144" i="8" s="1"/>
  <c r="AY144" i="8"/>
  <c r="AZ144" i="8"/>
  <c r="BE144" i="8"/>
  <c r="P142" i="8"/>
  <c r="S142" i="8"/>
  <c r="AR142" i="8"/>
  <c r="AQ142" i="8" s="1"/>
  <c r="AP142" i="8" s="1"/>
  <c r="AX142" i="8"/>
  <c r="BE142" i="8"/>
  <c r="P140" i="8"/>
  <c r="S140" i="8"/>
  <c r="AR140" i="8"/>
  <c r="AQ140" i="8" s="1"/>
  <c r="AP140" i="8" s="1"/>
  <c r="AX140" i="8"/>
  <c r="BE140" i="8"/>
  <c r="P138" i="8"/>
  <c r="S138" i="8"/>
  <c r="AR138" i="8"/>
  <c r="AQ138" i="8" s="1"/>
  <c r="AP138" i="8" s="1"/>
  <c r="AX138" i="8"/>
  <c r="AZ138" i="8"/>
  <c r="P136" i="8"/>
  <c r="S136" i="8"/>
  <c r="AN136" i="8"/>
  <c r="AR136" i="8"/>
  <c r="AQ136" i="8" s="1"/>
  <c r="BE136" i="8"/>
  <c r="P134" i="8"/>
  <c r="S134" i="8"/>
  <c r="AR134" i="8"/>
  <c r="AQ134" i="8" s="1"/>
  <c r="AP134" i="8" s="1"/>
  <c r="AX134" i="8"/>
  <c r="AZ134" i="8"/>
  <c r="BE134" i="8"/>
  <c r="P116" i="8"/>
  <c r="S116" i="8"/>
  <c r="AN116" i="8"/>
  <c r="AR116" i="8"/>
  <c r="AQ116" i="8" s="1"/>
  <c r="AY116" i="8"/>
  <c r="BE116" i="8"/>
  <c r="P114" i="8"/>
  <c r="S114" i="8"/>
  <c r="AR114" i="8"/>
  <c r="AQ114" i="8" s="1"/>
  <c r="AP114" i="8" s="1"/>
  <c r="AX114" i="8"/>
  <c r="AZ114" i="8"/>
  <c r="BE114" i="8"/>
  <c r="P112" i="8"/>
  <c r="S112" i="8"/>
  <c r="AA112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P110" i="8"/>
  <c r="S110" i="8"/>
  <c r="AA110" i="8"/>
  <c r="AB110" i="8"/>
  <c r="AC110" i="8" s="1"/>
  <c r="AJ110" i="8"/>
  <c r="AK110" i="8" s="1"/>
  <c r="AN110" i="8"/>
  <c r="BE110" i="8"/>
  <c r="BK110" i="8"/>
  <c r="P108" i="8"/>
  <c r="S108" i="8"/>
  <c r="AN108" i="8"/>
  <c r="AR108" i="8"/>
  <c r="AQ108" i="8" s="1"/>
  <c r="AP108" i="8" s="1"/>
  <c r="BE108" i="8"/>
  <c r="P106" i="8"/>
  <c r="S106" i="8"/>
  <c r="AN106" i="8"/>
  <c r="AR106" i="8"/>
  <c r="AQ106" i="8" s="1"/>
  <c r="AY106" i="8"/>
  <c r="BE106" i="8"/>
  <c r="BK106" i="8"/>
  <c r="P104" i="8"/>
  <c r="S104" i="8"/>
  <c r="AA104" i="8"/>
  <c r="AJ104" i="8"/>
  <c r="AK104" i="8" s="1"/>
  <c r="AR104" i="8"/>
  <c r="AQ104" i="8" s="1"/>
  <c r="AP104" i="8" s="1"/>
  <c r="BE104" i="8"/>
  <c r="BK104" i="8"/>
  <c r="P102" i="8"/>
  <c r="S102" i="8"/>
  <c r="AN102" i="8"/>
  <c r="AR102" i="8"/>
  <c r="AQ102" i="8" s="1"/>
  <c r="AP102" i="8" s="1"/>
  <c r="BE102" i="8"/>
  <c r="BK102" i="8"/>
  <c r="P100" i="8"/>
  <c r="S100" i="8"/>
  <c r="AN100" i="8"/>
  <c r="AR100" i="8"/>
  <c r="AQ100" i="8" s="1"/>
  <c r="AP100" i="8" s="1"/>
  <c r="AX100" i="8"/>
  <c r="AX102" i="8" s="1"/>
  <c r="AY102" i="8" s="1"/>
  <c r="BE100" i="8"/>
  <c r="BK100" i="8"/>
  <c r="P98" i="8"/>
  <c r="S98" i="8"/>
  <c r="AR98" i="8"/>
  <c r="AQ98" i="8" s="1"/>
  <c r="AP98" i="8" s="1"/>
  <c r="AX98" i="8"/>
  <c r="BE98" i="8"/>
  <c r="BK98" i="8"/>
  <c r="P96" i="8"/>
  <c r="S96" i="8"/>
  <c r="AN96" i="8"/>
  <c r="AR96" i="8"/>
  <c r="AQ96" i="8" s="1"/>
  <c r="AP96" i="8" s="1"/>
  <c r="AX96" i="8"/>
  <c r="BE96" i="8"/>
  <c r="BK96" i="8"/>
  <c r="P86" i="8"/>
  <c r="S86" i="8"/>
  <c r="AN86" i="8"/>
  <c r="AR86" i="8"/>
  <c r="AQ86" i="8" s="1"/>
  <c r="AP86" i="8" s="1"/>
  <c r="AX86" i="8"/>
  <c r="BE86" i="8"/>
  <c r="P84" i="8"/>
  <c r="S84" i="8"/>
  <c r="AN84" i="8"/>
  <c r="AR84" i="8"/>
  <c r="AQ84" i="8" s="1"/>
  <c r="AP84" i="8" s="1"/>
  <c r="BE84" i="8"/>
  <c r="P82" i="8"/>
  <c r="S82" i="8"/>
  <c r="AN82" i="8"/>
  <c r="AR82" i="8"/>
  <c r="AQ82" i="8" s="1"/>
  <c r="AP82" i="8" s="1"/>
  <c r="BE82" i="8"/>
  <c r="P80" i="8"/>
  <c r="S80" i="8"/>
  <c r="AR80" i="8"/>
  <c r="AQ80" i="8" s="1"/>
  <c r="BE80" i="8"/>
  <c r="P78" i="8"/>
  <c r="S78" i="8"/>
  <c r="AA78" i="8"/>
  <c r="AJ78" i="8"/>
  <c r="AK78" i="8" s="1"/>
  <c r="AR78" i="8"/>
  <c r="AQ78" i="8" s="1"/>
  <c r="AP78" i="8" s="1"/>
  <c r="AX78" i="8"/>
  <c r="P76" i="8"/>
  <c r="S76" i="8"/>
  <c r="AN76" i="8"/>
  <c r="AR76" i="8"/>
  <c r="AQ76" i="8" s="1"/>
  <c r="AP76" i="8" s="1"/>
  <c r="AX76" i="8"/>
  <c r="BE76" i="8"/>
  <c r="P74" i="8"/>
  <c r="S74" i="8"/>
  <c r="AN74" i="8"/>
  <c r="AR74" i="8"/>
  <c r="AQ74" i="8" s="1"/>
  <c r="AX74" i="8"/>
  <c r="BE74" i="8"/>
  <c r="P72" i="8"/>
  <c r="S72" i="8"/>
  <c r="AN72" i="8"/>
  <c r="AR72" i="8"/>
  <c r="AQ72" i="8" s="1"/>
  <c r="AP72" i="8" s="1"/>
  <c r="AX72" i="8"/>
  <c r="BE72" i="8"/>
  <c r="P70" i="8"/>
  <c r="S70" i="8"/>
  <c r="AN70" i="8"/>
  <c r="AR70" i="8"/>
  <c r="AQ70" i="8" s="1"/>
  <c r="AP70" i="8" s="1"/>
  <c r="AX70" i="8"/>
  <c r="BE70" i="8"/>
  <c r="P68" i="8"/>
  <c r="S68" i="8"/>
  <c r="AN68" i="8"/>
  <c r="AR68" i="8"/>
  <c r="AQ68" i="8" s="1"/>
  <c r="AP68" i="8" s="1"/>
  <c r="AX68" i="8"/>
  <c r="BE68" i="8"/>
  <c r="P66" i="8"/>
  <c r="S66" i="8"/>
  <c r="AR66" i="8"/>
  <c r="AQ66" i="8" s="1"/>
  <c r="AP66" i="8" s="1"/>
  <c r="AX66" i="8"/>
  <c r="BE66" i="8"/>
  <c r="P64" i="8"/>
  <c r="S64" i="8"/>
  <c r="AN64" i="8"/>
  <c r="AR64" i="8"/>
  <c r="AQ64" i="8" s="1"/>
  <c r="AX64" i="8"/>
  <c r="BE64" i="8"/>
  <c r="P62" i="8"/>
  <c r="S62" i="8"/>
  <c r="AR62" i="8"/>
  <c r="AQ62" i="8" s="1"/>
  <c r="AX62" i="8"/>
  <c r="BE62" i="8"/>
  <c r="P60" i="8"/>
  <c r="S60" i="8"/>
  <c r="AR60" i="8"/>
  <c r="BE60" i="8"/>
  <c r="BJ60" i="8"/>
  <c r="BJ62" i="8" s="1"/>
  <c r="P54" i="8"/>
  <c r="S54" i="8"/>
  <c r="AN54" i="8"/>
  <c r="AQ54" i="8"/>
  <c r="AR54" i="8"/>
  <c r="BE54" i="8"/>
  <c r="BK54" i="8"/>
  <c r="P52" i="8"/>
  <c r="S52" i="8"/>
  <c r="AN52" i="8"/>
  <c r="AR52" i="8"/>
  <c r="AQ52" i="8" s="1"/>
  <c r="BE52" i="8"/>
  <c r="BK52" i="8"/>
  <c r="P50" i="8"/>
  <c r="S50" i="8"/>
  <c r="AB50" i="8"/>
  <c r="AC50" i="8" s="1"/>
  <c r="AN50" i="8"/>
  <c r="AR50" i="8"/>
  <c r="AQ50" i="8" s="1"/>
  <c r="AP50" i="8" s="1"/>
  <c r="BE50" i="8"/>
  <c r="BK50" i="8"/>
  <c r="P48" i="8"/>
  <c r="S48" i="8"/>
  <c r="AN48" i="8"/>
  <c r="AR48" i="8"/>
  <c r="AQ48" i="8" s="1"/>
  <c r="BE48" i="8"/>
  <c r="BK48" i="8"/>
  <c r="P46" i="8"/>
  <c r="S46" i="8"/>
  <c r="AN46" i="8"/>
  <c r="AQ46" i="8"/>
  <c r="AR46" i="8"/>
  <c r="BE46" i="8"/>
  <c r="BJ46" i="8"/>
  <c r="BK46" i="8" s="1"/>
  <c r="P44" i="8"/>
  <c r="S44" i="8"/>
  <c r="AN44" i="8"/>
  <c r="AR44" i="8"/>
  <c r="AQ44" i="8" s="1"/>
  <c r="AP44" i="8" s="1"/>
  <c r="BE44" i="8"/>
  <c r="BK44" i="8"/>
  <c r="P42" i="8"/>
  <c r="S42" i="8"/>
  <c r="AA42" i="8"/>
  <c r="AJ42" i="8"/>
  <c r="AN42" i="8"/>
  <c r="AR42" i="8"/>
  <c r="AQ42" i="8" s="1"/>
  <c r="AP42" i="8" s="1"/>
  <c r="AX42" i="8"/>
  <c r="BE42" i="8"/>
  <c r="P40" i="8"/>
  <c r="S40" i="8"/>
  <c r="AN40" i="8"/>
  <c r="AR40" i="8"/>
  <c r="AQ40" i="8" s="1"/>
  <c r="AP40" i="8" s="1"/>
  <c r="BE40" i="8"/>
  <c r="P38" i="8"/>
  <c r="S38" i="8"/>
  <c r="AA38" i="8"/>
  <c r="AJ38" i="8"/>
  <c r="AN38" i="8"/>
  <c r="AQ38" i="8"/>
  <c r="AR38" i="8"/>
  <c r="BE38" i="8"/>
  <c r="P36" i="8"/>
  <c r="S36" i="8"/>
  <c r="AR36" i="8"/>
  <c r="AQ36" i="8" s="1"/>
  <c r="AP36" i="8" s="1"/>
  <c r="AX36" i="8"/>
  <c r="BE36" i="8"/>
  <c r="P34" i="8"/>
  <c r="S34" i="8"/>
  <c r="AB34" i="8"/>
  <c r="AC34" i="8" s="1"/>
  <c r="AN34" i="8"/>
  <c r="AR34" i="8"/>
  <c r="AQ34" i="8" s="1"/>
  <c r="AP34" i="8" s="1"/>
  <c r="BE34" i="8"/>
  <c r="P32" i="8"/>
  <c r="S32" i="8"/>
  <c r="AR32" i="8"/>
  <c r="AQ32" i="8" s="1"/>
  <c r="BE32" i="8"/>
  <c r="P30" i="8"/>
  <c r="S30" i="8"/>
  <c r="AB30" i="8"/>
  <c r="AC30" i="8" s="1"/>
  <c r="AN30" i="8"/>
  <c r="AR30" i="8"/>
  <c r="AQ30" i="8" s="1"/>
  <c r="AP30" i="8" s="1"/>
  <c r="AX30" i="8"/>
  <c r="BE30" i="8"/>
  <c r="P26" i="8"/>
  <c r="S26" i="8"/>
  <c r="AN26" i="8"/>
  <c r="AR26" i="8"/>
  <c r="AQ26" i="8" s="1"/>
  <c r="AP26" i="8" s="1"/>
  <c r="AY26" i="8"/>
  <c r="BE26" i="8"/>
  <c r="P24" i="8"/>
  <c r="S24" i="8"/>
  <c r="AN24" i="8"/>
  <c r="AQ24" i="8"/>
  <c r="AR24" i="8"/>
  <c r="AY24" i="8"/>
  <c r="BE24" i="8"/>
  <c r="P22" i="8"/>
  <c r="S22" i="8"/>
  <c r="AN22" i="8"/>
  <c r="AQ22" i="8"/>
  <c r="AR22" i="8"/>
  <c r="AY22" i="8"/>
  <c r="BE22" i="8"/>
  <c r="P20" i="8"/>
  <c r="S20" i="8"/>
  <c r="AN20" i="8"/>
  <c r="AR20" i="8"/>
  <c r="AQ20" i="8" s="1"/>
  <c r="AP20" i="8" s="1"/>
  <c r="AY20" i="8"/>
  <c r="BE20" i="8"/>
  <c r="P18" i="8"/>
  <c r="S18" i="8"/>
  <c r="AN18" i="8"/>
  <c r="AR18" i="8"/>
  <c r="AQ18" i="8" s="1"/>
  <c r="AP18" i="8" s="1"/>
  <c r="AY18" i="8"/>
  <c r="BE18" i="8"/>
  <c r="P16" i="8"/>
  <c r="S16" i="8"/>
  <c r="AA16" i="8"/>
  <c r="AN16" i="8"/>
  <c r="AR16" i="8"/>
  <c r="AQ16" i="8" s="1"/>
  <c r="AP16" i="8" s="1"/>
  <c r="AY16" i="8"/>
  <c r="BE16" i="8"/>
  <c r="P14" i="8"/>
  <c r="S14" i="8"/>
  <c r="AN14" i="8"/>
  <c r="AR14" i="8"/>
  <c r="AQ14" i="8" s="1"/>
  <c r="AP14" i="8" s="1"/>
  <c r="AY14" i="8"/>
  <c r="BE14" i="8"/>
  <c r="P12" i="8"/>
  <c r="S12" i="8"/>
  <c r="AA12" i="8"/>
  <c r="AN12" i="8"/>
  <c r="AR12" i="8"/>
  <c r="AQ12" i="8" s="1"/>
  <c r="AP12" i="8" s="1"/>
  <c r="AY12" i="8"/>
  <c r="BE12" i="8"/>
  <c r="P10" i="8"/>
  <c r="S10" i="8"/>
  <c r="AN10" i="8"/>
  <c r="AR10" i="8"/>
  <c r="AQ10" i="8" s="1"/>
  <c r="AP10" i="8" s="1"/>
  <c r="AY10" i="8"/>
  <c r="BE10" i="8"/>
  <c r="AZ60" i="15"/>
  <c r="AZ69" i="15"/>
  <c r="BA69" i="15" s="1"/>
  <c r="BA137" i="15" s="1"/>
  <c r="AH147" i="15" s="1"/>
  <c r="N22" i="5"/>
  <c r="K22" i="5"/>
  <c r="AH145" i="15"/>
  <c r="AK145" i="15" s="1"/>
  <c r="AH144" i="15"/>
  <c r="AK144" i="15" s="1"/>
  <c r="AH143" i="15"/>
  <c r="AK143" i="15" s="1"/>
  <c r="AH142" i="15"/>
  <c r="AK142" i="15" s="1"/>
  <c r="AZ114" i="15"/>
  <c r="BA114" i="15" s="1"/>
  <c r="AV1" i="15"/>
  <c r="AN2" i="15" s="1"/>
  <c r="A1" i="15"/>
  <c r="AV137" i="15"/>
  <c r="AW137" i="15"/>
  <c r="AX137" i="15"/>
  <c r="AY137" i="15"/>
  <c r="AS1" i="14"/>
  <c r="AN2" i="14" s="1"/>
  <c r="A1" i="14"/>
  <c r="AS25" i="14"/>
  <c r="AH31" i="14" s="1"/>
  <c r="AT25" i="14"/>
  <c r="AH32" i="14" s="1"/>
  <c r="AK32" i="14" s="1"/>
  <c r="AU25" i="14"/>
  <c r="AH33" i="14" s="1"/>
  <c r="AK33" i="14" s="1"/>
  <c r="AV25" i="14"/>
  <c r="AW25" i="14"/>
  <c r="AH29" i="14"/>
  <c r="AK29" i="14" s="1"/>
  <c r="AK30" i="14"/>
  <c r="AH34" i="14"/>
  <c r="AK34" i="14"/>
  <c r="AH35" i="14"/>
  <c r="AK35" i="14"/>
  <c r="AH36" i="14"/>
  <c r="AK36" i="14" s="1"/>
  <c r="AH37" i="14"/>
  <c r="AK37" i="14" s="1"/>
  <c r="AK148" i="15" l="1"/>
  <c r="AJ396" i="8"/>
  <c r="AK396" i="8" s="1"/>
  <c r="AK140" i="15"/>
  <c r="AK141" i="15"/>
  <c r="AR160" i="8"/>
  <c r="BK62" i="8"/>
  <c r="BJ64" i="8"/>
  <c r="AQ160" i="8"/>
  <c r="AP158" i="8"/>
  <c r="AP160" i="8" s="1"/>
  <c r="AK147" i="15"/>
  <c r="AZ137" i="15"/>
  <c r="AH146" i="15" s="1"/>
  <c r="AK146" i="15" s="1"/>
  <c r="AK31" i="14"/>
  <c r="K31" i="5"/>
  <c r="K30" i="5"/>
  <c r="K29" i="5"/>
  <c r="K28" i="5"/>
  <c r="K27" i="5"/>
  <c r="I21" i="13"/>
  <c r="K23" i="5"/>
  <c r="I19" i="13" s="1"/>
  <c r="K19" i="13" s="1"/>
  <c r="I18" i="13"/>
  <c r="K14" i="5"/>
  <c r="K13" i="5"/>
  <c r="I9" i="13" s="1"/>
  <c r="K9" i="5"/>
  <c r="K8" i="5"/>
  <c r="Y69" i="9"/>
  <c r="Y68" i="9"/>
  <c r="V69" i="9"/>
  <c r="V68" i="9"/>
  <c r="BE122" i="8"/>
  <c r="BF122" i="8" s="1"/>
  <c r="P27" i="13"/>
  <c r="N27" i="13"/>
  <c r="M27" i="13"/>
  <c r="K27" i="13"/>
  <c r="H27" i="13"/>
  <c r="G27" i="13"/>
  <c r="F27" i="13"/>
  <c r="E27" i="13"/>
  <c r="D27" i="13"/>
  <c r="P26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J25" i="13"/>
  <c r="J26" i="13" s="1"/>
  <c r="H25" i="13"/>
  <c r="G25" i="13"/>
  <c r="F25" i="13"/>
  <c r="E25" i="13"/>
  <c r="D25" i="13"/>
  <c r="P24" i="13"/>
  <c r="P23" i="13"/>
  <c r="N23" i="13"/>
  <c r="M23" i="13"/>
  <c r="L23" i="13"/>
  <c r="K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H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P13" i="13"/>
  <c r="N13" i="13"/>
  <c r="M13" i="13"/>
  <c r="J13" i="13"/>
  <c r="H13" i="13"/>
  <c r="G13" i="13"/>
  <c r="F13" i="13"/>
  <c r="E13" i="13"/>
  <c r="D13" i="13"/>
  <c r="P12" i="13"/>
  <c r="O12" i="13"/>
  <c r="N12" i="13"/>
  <c r="M12" i="13"/>
  <c r="J12" i="13"/>
  <c r="H12" i="13"/>
  <c r="G12" i="13"/>
  <c r="F12" i="13"/>
  <c r="E12" i="13"/>
  <c r="D12" i="13"/>
  <c r="P11" i="13"/>
  <c r="N11" i="13"/>
  <c r="M11" i="13"/>
  <c r="J11" i="13"/>
  <c r="H11" i="13"/>
  <c r="G11" i="13"/>
  <c r="F11" i="13"/>
  <c r="E11" i="13"/>
  <c r="D11" i="13"/>
  <c r="P10" i="13"/>
  <c r="P9" i="13"/>
  <c r="N9" i="13"/>
  <c r="M9" i="13"/>
  <c r="K9" i="13"/>
  <c r="J9" i="13"/>
  <c r="H9" i="13"/>
  <c r="G9" i="13"/>
  <c r="F9" i="13"/>
  <c r="E9" i="13"/>
  <c r="D9" i="13"/>
  <c r="P8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H6" i="13"/>
  <c r="G6" i="13"/>
  <c r="F6" i="13"/>
  <c r="E6" i="13"/>
  <c r="D6" i="13"/>
  <c r="P5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6" i="11"/>
  <c r="G35" i="11"/>
  <c r="G34" i="11"/>
  <c r="F29" i="11"/>
  <c r="G29" i="11" s="1"/>
  <c r="G24" i="11"/>
  <c r="H22" i="11"/>
  <c r="G20" i="11"/>
  <c r="G19" i="11"/>
  <c r="G18" i="11"/>
  <c r="G11" i="11"/>
  <c r="G4" i="11"/>
  <c r="H2" i="11"/>
  <c r="A1" i="11"/>
  <c r="H230" i="9"/>
  <c r="H229" i="9"/>
  <c r="H228" i="9"/>
  <c r="H227" i="9"/>
  <c r="H226" i="9"/>
  <c r="H225" i="9"/>
  <c r="H224" i="9"/>
  <c r="H223" i="9"/>
  <c r="H222" i="9"/>
  <c r="H221" i="9"/>
  <c r="B85" i="9"/>
  <c r="B84" i="9"/>
  <c r="B83" i="9"/>
  <c r="I82" i="9"/>
  <c r="B82" i="9"/>
  <c r="K81" i="9"/>
  <c r="I81" i="9"/>
  <c r="B81" i="9"/>
  <c r="K80" i="9"/>
  <c r="I80" i="9" s="1"/>
  <c r="H80" i="9" s="1"/>
  <c r="B80" i="9"/>
  <c r="K79" i="9"/>
  <c r="H79" i="9"/>
  <c r="B79" i="9"/>
  <c r="B78" i="9"/>
  <c r="B77" i="9"/>
  <c r="B76" i="9"/>
  <c r="K75" i="9"/>
  <c r="H75" i="9"/>
  <c r="B75" i="9"/>
  <c r="K74" i="9"/>
  <c r="H74" i="9"/>
  <c r="B74" i="9"/>
  <c r="K73" i="9"/>
  <c r="H73" i="9"/>
  <c r="B73" i="9"/>
  <c r="K72" i="9"/>
  <c r="B72" i="9"/>
  <c r="H71" i="9"/>
  <c r="B71" i="9"/>
  <c r="L70" i="9"/>
  <c r="B70" i="9"/>
  <c r="H69" i="9"/>
  <c r="B69" i="9"/>
  <c r="B68" i="9"/>
  <c r="V67" i="9"/>
  <c r="X67" i="9" s="1"/>
  <c r="Y67" i="9" s="1"/>
  <c r="B67" i="9"/>
  <c r="X66" i="9"/>
  <c r="Y65" i="9" s="1"/>
  <c r="X65" i="9" s="1"/>
  <c r="B66" i="9"/>
  <c r="B65" i="9"/>
  <c r="B64" i="9"/>
  <c r="B63" i="9"/>
  <c r="B62" i="9"/>
  <c r="B61" i="9"/>
  <c r="B60" i="9"/>
  <c r="K59" i="9"/>
  <c r="H59" i="9"/>
  <c r="B59" i="9"/>
  <c r="K58" i="9"/>
  <c r="H58" i="9"/>
  <c r="B58" i="9"/>
  <c r="K57" i="9"/>
  <c r="H57" i="9"/>
  <c r="B57" i="9"/>
  <c r="L56" i="9"/>
  <c r="H56" i="9"/>
  <c r="B56" i="9"/>
  <c r="I55" i="9"/>
  <c r="K55" i="9" s="1"/>
  <c r="L55" i="9" s="1"/>
  <c r="B55" i="9"/>
  <c r="K54" i="9"/>
  <c r="H54" i="9"/>
  <c r="B54" i="9"/>
  <c r="K53" i="9"/>
  <c r="H53" i="9"/>
  <c r="B53" i="9"/>
  <c r="K52" i="9"/>
  <c r="H52" i="9"/>
  <c r="B52" i="9"/>
  <c r="K51" i="9"/>
  <c r="H51" i="9"/>
  <c r="B51" i="9"/>
  <c r="B50" i="9"/>
  <c r="B49" i="9"/>
  <c r="K48" i="9"/>
  <c r="I48" i="9"/>
  <c r="H48" i="9" s="1"/>
  <c r="B48" i="9"/>
  <c r="K47" i="9"/>
  <c r="I47" i="9" s="1"/>
  <c r="H47" i="9" s="1"/>
  <c r="B47" i="9"/>
  <c r="K46" i="9"/>
  <c r="I46" i="9" s="1"/>
  <c r="H46" i="9" s="1"/>
  <c r="B46" i="9"/>
  <c r="B45" i="9"/>
  <c r="B44" i="9"/>
  <c r="B43" i="9"/>
  <c r="B42" i="9"/>
  <c r="B41" i="9"/>
  <c r="B40" i="9"/>
  <c r="B39" i="9"/>
  <c r="B38" i="9"/>
  <c r="K37" i="9"/>
  <c r="B37" i="9"/>
  <c r="K36" i="9"/>
  <c r="I36" i="9"/>
  <c r="I37" i="9" s="1"/>
  <c r="B36" i="9"/>
  <c r="K35" i="9"/>
  <c r="H35" i="9"/>
  <c r="H36" i="9" s="1"/>
  <c r="H37" i="9" s="1"/>
  <c r="B35" i="9"/>
  <c r="K34" i="9"/>
  <c r="H34" i="9"/>
  <c r="B34" i="9"/>
  <c r="B33" i="9"/>
  <c r="B32" i="9"/>
  <c r="B31" i="9"/>
  <c r="B30" i="9"/>
  <c r="B29" i="9"/>
  <c r="K28" i="9"/>
  <c r="I28" i="9" s="1"/>
  <c r="H28" i="9" s="1"/>
  <c r="B28" i="9"/>
  <c r="L27" i="9"/>
  <c r="K27" i="9" s="1"/>
  <c r="B27" i="9"/>
  <c r="K26" i="9"/>
  <c r="B26" i="9"/>
  <c r="K25" i="9"/>
  <c r="H25" i="9"/>
  <c r="B25" i="9"/>
  <c r="K24" i="9"/>
  <c r="H24" i="9"/>
  <c r="B24" i="9"/>
  <c r="K23" i="9"/>
  <c r="H23" i="9"/>
  <c r="B23" i="9"/>
  <c r="H22" i="9"/>
  <c r="B22" i="9"/>
  <c r="K21" i="9"/>
  <c r="K22" i="9" s="1"/>
  <c r="H21" i="9"/>
  <c r="B21" i="9"/>
  <c r="B20" i="9"/>
  <c r="B19" i="9"/>
  <c r="B18" i="9"/>
  <c r="K17" i="9"/>
  <c r="I17" i="9" s="1"/>
  <c r="H17" i="9" s="1"/>
  <c r="B17" i="9"/>
  <c r="K16" i="9"/>
  <c r="I16" i="9" s="1"/>
  <c r="H16" i="9" s="1"/>
  <c r="B16" i="9"/>
  <c r="B15" i="9"/>
  <c r="B14" i="9"/>
  <c r="K13" i="9"/>
  <c r="I13" i="9" s="1"/>
  <c r="H13" i="9" s="1"/>
  <c r="B13" i="9"/>
  <c r="K12" i="9"/>
  <c r="I12" i="9" s="1"/>
  <c r="H12" i="9" s="1"/>
  <c r="B12" i="9"/>
  <c r="B11" i="9"/>
  <c r="B10" i="9"/>
  <c r="L9" i="9"/>
  <c r="H9" i="9"/>
  <c r="B9" i="9"/>
  <c r="L8" i="9"/>
  <c r="H8" i="9"/>
  <c r="B8" i="9"/>
  <c r="L7" i="9"/>
  <c r="B7" i="9"/>
  <c r="L6" i="9"/>
  <c r="Y3" i="9"/>
  <c r="M17" i="5" s="1"/>
  <c r="X3" i="9"/>
  <c r="V3" i="9"/>
  <c r="U3" i="9"/>
  <c r="L3" i="9"/>
  <c r="M16" i="5" s="1"/>
  <c r="K16" i="5" s="1"/>
  <c r="K3" i="9"/>
  <c r="I3" i="9"/>
  <c r="H3" i="9"/>
  <c r="E3" i="9"/>
  <c r="D3" i="9"/>
  <c r="A2" i="9"/>
  <c r="A1" i="9"/>
  <c r="AB406" i="8"/>
  <c r="S406" i="8"/>
  <c r="BI405" i="8"/>
  <c r="BI5" i="8" s="1"/>
  <c r="BD405" i="8"/>
  <c r="BB405" i="8"/>
  <c r="M12" i="5" s="1"/>
  <c r="AV405" i="8"/>
  <c r="AO405" i="8"/>
  <c r="AM405" i="8"/>
  <c r="AM5" i="8" s="1"/>
  <c r="AB405" i="8"/>
  <c r="AB404" i="8"/>
  <c r="S404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B365" i="8"/>
  <c r="AR364" i="8"/>
  <c r="AQ364" i="8" s="1"/>
  <c r="AJ364" i="8"/>
  <c r="AK364" i="8" s="1"/>
  <c r="AB364" i="8"/>
  <c r="AA364" i="8"/>
  <c r="S364" i="8"/>
  <c r="AB363" i="8"/>
  <c r="AB361" i="8"/>
  <c r="AB359" i="8"/>
  <c r="AB357" i="8"/>
  <c r="AB355" i="8"/>
  <c r="P347" i="8"/>
  <c r="P345" i="8"/>
  <c r="P343" i="8"/>
  <c r="P341" i="8"/>
  <c r="P339" i="8"/>
  <c r="P337" i="8"/>
  <c r="P335" i="8"/>
  <c r="P333" i="8"/>
  <c r="P331" i="8"/>
  <c r="P329" i="8"/>
  <c r="P327" i="8"/>
  <c r="P325" i="8"/>
  <c r="P323" i="8"/>
  <c r="P321" i="8"/>
  <c r="P319" i="8"/>
  <c r="P317" i="8"/>
  <c r="P315" i="8"/>
  <c r="P313" i="8"/>
  <c r="P311" i="8"/>
  <c r="P309" i="8"/>
  <c r="P307" i="8"/>
  <c r="BE306" i="8"/>
  <c r="AX306" i="8"/>
  <c r="AY306" i="8" s="1"/>
  <c r="AR306" i="8"/>
  <c r="AQ306" i="8" s="1"/>
  <c r="AP306" i="8" s="1"/>
  <c r="AN306" i="8"/>
  <c r="AB306" i="8"/>
  <c r="AC306" i="8" s="1"/>
  <c r="S306" i="8"/>
  <c r="P306" i="8"/>
  <c r="P305" i="8"/>
  <c r="P303" i="8"/>
  <c r="P301" i="8"/>
  <c r="P299" i="8"/>
  <c r="P297" i="8"/>
  <c r="P295" i="8"/>
  <c r="P293" i="8"/>
  <c r="P291" i="8"/>
  <c r="P289" i="8"/>
  <c r="P287" i="8"/>
  <c r="P285" i="8"/>
  <c r="P283" i="8"/>
  <c r="P281" i="8"/>
  <c r="P279" i="8"/>
  <c r="P277" i="8"/>
  <c r="P275" i="8"/>
  <c r="P273" i="8"/>
  <c r="P271" i="8"/>
  <c r="P269" i="8"/>
  <c r="P267" i="8"/>
  <c r="P265" i="8"/>
  <c r="P263" i="8"/>
  <c r="P261" i="8"/>
  <c r="P259" i="8"/>
  <c r="P257" i="8"/>
  <c r="P255" i="8"/>
  <c r="P253" i="8"/>
  <c r="P251" i="8"/>
  <c r="P249" i="8"/>
  <c r="P247" i="8"/>
  <c r="P245" i="8"/>
  <c r="P243" i="8"/>
  <c r="P241" i="8"/>
  <c r="P239" i="8"/>
  <c r="P237" i="8"/>
  <c r="P235" i="8"/>
  <c r="P233" i="8"/>
  <c r="P231" i="8"/>
  <c r="P229" i="8"/>
  <c r="P227" i="8"/>
  <c r="P225" i="8"/>
  <c r="P223" i="8"/>
  <c r="P221" i="8"/>
  <c r="P219" i="8"/>
  <c r="P217" i="8"/>
  <c r="P215" i="8"/>
  <c r="P213" i="8"/>
  <c r="P211" i="8"/>
  <c r="BE210" i="8"/>
  <c r="AX210" i="8"/>
  <c r="AY210" i="8" s="1"/>
  <c r="AR210" i="8"/>
  <c r="AQ210" i="8" s="1"/>
  <c r="AP210" i="8" s="1"/>
  <c r="S210" i="8"/>
  <c r="P210" i="8"/>
  <c r="P209" i="8"/>
  <c r="BE208" i="8"/>
  <c r="AX208" i="8"/>
  <c r="AY208" i="8" s="1"/>
  <c r="AR208" i="8"/>
  <c r="AQ208" i="8" s="1"/>
  <c r="AP208" i="8" s="1"/>
  <c r="S208" i="8"/>
  <c r="P208" i="8"/>
  <c r="P207" i="8"/>
  <c r="BE206" i="8"/>
  <c r="AX206" i="8"/>
  <c r="AY206" i="8" s="1"/>
  <c r="AR206" i="8"/>
  <c r="AQ206" i="8" s="1"/>
  <c r="AP206" i="8" s="1"/>
  <c r="S206" i="8"/>
  <c r="P206" i="8"/>
  <c r="P205" i="8"/>
  <c r="BE204" i="8"/>
  <c r="AX204" i="8"/>
  <c r="AY204" i="8" s="1"/>
  <c r="AR204" i="8"/>
  <c r="AQ204" i="8" s="1"/>
  <c r="AP204" i="8" s="1"/>
  <c r="S204" i="8"/>
  <c r="P204" i="8"/>
  <c r="P203" i="8"/>
  <c r="BE202" i="8"/>
  <c r="AR202" i="8"/>
  <c r="AQ202" i="8" s="1"/>
  <c r="AP202" i="8" s="1"/>
  <c r="S202" i="8"/>
  <c r="P202" i="8"/>
  <c r="P201" i="8"/>
  <c r="BE200" i="8"/>
  <c r="AX200" i="8"/>
  <c r="AY200" i="8" s="1"/>
  <c r="AR200" i="8"/>
  <c r="AQ200" i="8" s="1"/>
  <c r="AP200" i="8" s="1"/>
  <c r="S200" i="8"/>
  <c r="P200" i="8"/>
  <c r="P199" i="8"/>
  <c r="P197" i="8"/>
  <c r="BE196" i="8"/>
  <c r="AX196" i="8"/>
  <c r="AR196" i="8"/>
  <c r="AQ196" i="8" s="1"/>
  <c r="AP196" i="8" s="1"/>
  <c r="S196" i="8"/>
  <c r="P196" i="8"/>
  <c r="P195" i="8"/>
  <c r="P193" i="8"/>
  <c r="P191" i="8"/>
  <c r="P189" i="8"/>
  <c r="P187" i="8"/>
  <c r="P185" i="8"/>
  <c r="P183" i="8"/>
  <c r="P181" i="8"/>
  <c r="P179" i="8"/>
  <c r="P177" i="8"/>
  <c r="P175" i="8"/>
  <c r="P173" i="8"/>
  <c r="P171" i="8"/>
  <c r="P169" i="8"/>
  <c r="P167" i="8"/>
  <c r="P165" i="8"/>
  <c r="P163" i="8"/>
  <c r="P161" i="8"/>
  <c r="P159" i="8"/>
  <c r="P157" i="8"/>
  <c r="P155" i="8"/>
  <c r="P153" i="8"/>
  <c r="P151" i="8"/>
  <c r="P149" i="8"/>
  <c r="P147" i="8"/>
  <c r="AR146" i="8"/>
  <c r="AQ146" i="8" s="1"/>
  <c r="AP146" i="8" s="1"/>
  <c r="AJ146" i="8"/>
  <c r="AK146" i="8" s="1"/>
  <c r="AA146" i="8"/>
  <c r="S146" i="8"/>
  <c r="P146" i="8"/>
  <c r="P145" i="8"/>
  <c r="P143" i="8"/>
  <c r="P141" i="8"/>
  <c r="P139" i="8"/>
  <c r="P137" i="8"/>
  <c r="P135" i="8"/>
  <c r="P133" i="8"/>
  <c r="BE132" i="8"/>
  <c r="AR132" i="8"/>
  <c r="AQ132" i="8" s="1"/>
  <c r="AP132" i="8" s="1"/>
  <c r="AJ132" i="8"/>
  <c r="AK132" i="8" s="1"/>
  <c r="AA132" i="8"/>
  <c r="S132" i="8"/>
  <c r="P132" i="8"/>
  <c r="P131" i="8"/>
  <c r="BE130" i="8"/>
  <c r="AZ130" i="8"/>
  <c r="AX130" i="8"/>
  <c r="AY130" i="8" s="1"/>
  <c r="AR130" i="8"/>
  <c r="AQ130" i="8" s="1"/>
  <c r="AP130" i="8" s="1"/>
  <c r="S130" i="8"/>
  <c r="P130" i="8"/>
  <c r="P129" i="8"/>
  <c r="BE128" i="8"/>
  <c r="AZ128" i="8"/>
  <c r="AX128" i="8"/>
  <c r="AY128" i="8" s="1"/>
  <c r="AR128" i="8"/>
  <c r="AQ128" i="8" s="1"/>
  <c r="AP128" i="8" s="1"/>
  <c r="S128" i="8"/>
  <c r="P128" i="8"/>
  <c r="P127" i="8"/>
  <c r="BE126" i="8"/>
  <c r="AZ126" i="8"/>
  <c r="AX126" i="8"/>
  <c r="AY126" i="8" s="1"/>
  <c r="AR126" i="8"/>
  <c r="AQ126" i="8" s="1"/>
  <c r="AP126" i="8" s="1"/>
  <c r="S126" i="8"/>
  <c r="P126" i="8"/>
  <c r="P125" i="8"/>
  <c r="AZ124" i="8"/>
  <c r="AX124" i="8"/>
  <c r="AY124" i="8" s="1"/>
  <c r="AR124" i="8"/>
  <c r="AQ124" i="8" s="1"/>
  <c r="AP124" i="8" s="1"/>
  <c r="S124" i="8"/>
  <c r="P124" i="8"/>
  <c r="S122" i="8"/>
  <c r="P122" i="8"/>
  <c r="P121" i="8"/>
  <c r="AR120" i="8"/>
  <c r="AQ120" i="8" s="1"/>
  <c r="AP118" i="8" s="1"/>
  <c r="S120" i="8"/>
  <c r="P120" i="8"/>
  <c r="P119" i="8"/>
  <c r="S118" i="8"/>
  <c r="P118" i="8"/>
  <c r="P117" i="8"/>
  <c r="P115" i="8"/>
  <c r="P113" i="8"/>
  <c r="P111" i="8"/>
  <c r="P109" i="8"/>
  <c r="P107" i="8"/>
  <c r="P105" i="8"/>
  <c r="P103" i="8"/>
  <c r="P101" i="8"/>
  <c r="P99" i="8"/>
  <c r="P97" i="8"/>
  <c r="P95" i="8"/>
  <c r="AR94" i="8"/>
  <c r="AQ94" i="8" s="1"/>
  <c r="AP94" i="8" s="1"/>
  <c r="AJ94" i="8"/>
  <c r="AK94" i="8" s="1"/>
  <c r="AA94" i="8"/>
  <c r="S94" i="8"/>
  <c r="P94" i="8"/>
  <c r="P93" i="8"/>
  <c r="BF92" i="8"/>
  <c r="BE90" i="8" s="1"/>
  <c r="BF90" i="8" s="1"/>
  <c r="BE88" i="8" s="1"/>
  <c r="BF88" i="8" s="1"/>
  <c r="AR92" i="8"/>
  <c r="AQ92" i="8" s="1"/>
  <c r="AP92" i="8" s="1"/>
  <c r="S92" i="8"/>
  <c r="P92" i="8"/>
  <c r="P91" i="8"/>
  <c r="AR90" i="8"/>
  <c r="AQ90" i="8" s="1"/>
  <c r="AP90" i="8" s="1"/>
  <c r="S90" i="8"/>
  <c r="P90" i="8"/>
  <c r="P89" i="8"/>
  <c r="AR88" i="8"/>
  <c r="AQ88" i="8" s="1"/>
  <c r="AP88" i="8" s="1"/>
  <c r="S88" i="8"/>
  <c r="P88" i="8"/>
  <c r="P87" i="8"/>
  <c r="P85" i="8"/>
  <c r="P83" i="8"/>
  <c r="P81" i="8"/>
  <c r="P79" i="8"/>
  <c r="P77" i="8"/>
  <c r="P75" i="8"/>
  <c r="P73" i="8"/>
  <c r="P71" i="8"/>
  <c r="P69" i="8"/>
  <c r="P67" i="8"/>
  <c r="P65" i="8"/>
  <c r="P63" i="8"/>
  <c r="P61" i="8"/>
  <c r="P59" i="8"/>
  <c r="AX58" i="8"/>
  <c r="AR58" i="8"/>
  <c r="AQ58" i="8" s="1"/>
  <c r="AP58" i="8" s="1"/>
  <c r="S58" i="8"/>
  <c r="P58" i="8"/>
  <c r="P57" i="8"/>
  <c r="AR56" i="8"/>
  <c r="AQ56" i="8" s="1"/>
  <c r="AP56" i="8" s="1"/>
  <c r="AJ56" i="8"/>
  <c r="AK56" i="8" s="1"/>
  <c r="AA56" i="8"/>
  <c r="S56" i="8"/>
  <c r="P56" i="8"/>
  <c r="P55" i="8"/>
  <c r="P53" i="8"/>
  <c r="P51" i="8"/>
  <c r="P49" i="8"/>
  <c r="P47" i="8"/>
  <c r="P45" i="8"/>
  <c r="P43" i="8"/>
  <c r="P41" i="8"/>
  <c r="P39" i="8"/>
  <c r="P37" i="8"/>
  <c r="P35" i="8"/>
  <c r="P33" i="8"/>
  <c r="P31" i="8"/>
  <c r="P29" i="8"/>
  <c r="S28" i="8"/>
  <c r="P28" i="8"/>
  <c r="P27" i="8"/>
  <c r="P25" i="8"/>
  <c r="P23" i="8"/>
  <c r="P21" i="8"/>
  <c r="P19" i="8"/>
  <c r="P17" i="8"/>
  <c r="P15" i="8"/>
  <c r="P13" i="8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83" i="7"/>
  <c r="AE82" i="7"/>
  <c r="AD82" i="7"/>
  <c r="AC82" i="7"/>
  <c r="AB82" i="7"/>
  <c r="AA82" i="7"/>
  <c r="Z82" i="7"/>
  <c r="Y82" i="7"/>
  <c r="AV79" i="7"/>
  <c r="AQ79" i="7"/>
  <c r="M26" i="5" s="1"/>
  <c r="AL79" i="7"/>
  <c r="AF79" i="7"/>
  <c r="M24" i="5" s="1"/>
  <c r="K24" i="5" s="1"/>
  <c r="S79" i="7"/>
  <c r="AI76" i="7"/>
  <c r="AH76" i="7" s="1"/>
  <c r="AG76" i="7" s="1"/>
  <c r="X76" i="7"/>
  <c r="N76" i="7"/>
  <c r="J76" i="7"/>
  <c r="E76" i="7"/>
  <c r="F76" i="7" s="1"/>
  <c r="AR74" i="7"/>
  <c r="AN74" i="7"/>
  <c r="AI74" i="7"/>
  <c r="AH74" i="7" s="1"/>
  <c r="AG74" i="7" s="1"/>
  <c r="X74" i="7"/>
  <c r="N74" i="7"/>
  <c r="I74" i="7"/>
  <c r="H74" i="7"/>
  <c r="G74" i="7"/>
  <c r="J74" i="7" s="1"/>
  <c r="E74" i="7"/>
  <c r="F74" i="7" s="1"/>
  <c r="AR72" i="7"/>
  <c r="AI72" i="7"/>
  <c r="AH72" i="7" s="1"/>
  <c r="AG72" i="7" s="1"/>
  <c r="X72" i="7"/>
  <c r="M72" i="7"/>
  <c r="L72" i="7"/>
  <c r="J72" i="7"/>
  <c r="AR70" i="7"/>
  <c r="AI70" i="7"/>
  <c r="AH70" i="7" s="1"/>
  <c r="AG70" i="7" s="1"/>
  <c r="X70" i="7"/>
  <c r="M70" i="7"/>
  <c r="L70" i="7"/>
  <c r="J70" i="7"/>
  <c r="AI68" i="7"/>
  <c r="AH68" i="7" s="1"/>
  <c r="AG68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N64" i="7"/>
  <c r="I64" i="7"/>
  <c r="H64" i="7"/>
  <c r="G64" i="7"/>
  <c r="E64" i="7"/>
  <c r="F64" i="7" s="1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M56" i="7"/>
  <c r="L56" i="7"/>
  <c r="J56" i="7"/>
  <c r="X54" i="7"/>
  <c r="M54" i="7"/>
  <c r="L54" i="7"/>
  <c r="N54" i="7" s="1"/>
  <c r="J54" i="7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J46" i="7" s="1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J40" i="7" s="1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N34" i="7"/>
  <c r="I34" i="7"/>
  <c r="H34" i="7"/>
  <c r="G34" i="7"/>
  <c r="J34" i="7" s="1"/>
  <c r="E34" i="7"/>
  <c r="F34" i="7" s="1"/>
  <c r="X32" i="7"/>
  <c r="N32" i="7"/>
  <c r="I32" i="7"/>
  <c r="H32" i="7"/>
  <c r="G32" i="7"/>
  <c r="J32" i="7" s="1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J28" i="7" s="1"/>
  <c r="E28" i="7"/>
  <c r="F28" i="7" s="1"/>
  <c r="X26" i="7"/>
  <c r="N26" i="7"/>
  <c r="I26" i="7"/>
  <c r="H26" i="7"/>
  <c r="G26" i="7"/>
  <c r="E26" i="7"/>
  <c r="F26" i="7" s="1"/>
  <c r="X24" i="7"/>
  <c r="M24" i="7"/>
  <c r="L24" i="7"/>
  <c r="N24" i="7" s="1"/>
  <c r="J24" i="7"/>
  <c r="X22" i="7"/>
  <c r="M22" i="7"/>
  <c r="L22" i="7"/>
  <c r="J22" i="7"/>
  <c r="X20" i="7"/>
  <c r="N20" i="7"/>
  <c r="I20" i="7"/>
  <c r="H20" i="7"/>
  <c r="G20" i="7"/>
  <c r="J20" i="7" s="1"/>
  <c r="E20" i="7"/>
  <c r="F20" i="7" s="1"/>
  <c r="X18" i="7"/>
  <c r="N18" i="7"/>
  <c r="I18" i="7"/>
  <c r="H18" i="7"/>
  <c r="G18" i="7"/>
  <c r="E18" i="7"/>
  <c r="F18" i="7" s="1"/>
  <c r="X16" i="7"/>
  <c r="N16" i="7"/>
  <c r="I16" i="7"/>
  <c r="H16" i="7"/>
  <c r="G16" i="7"/>
  <c r="E16" i="7"/>
  <c r="F16" i="7" s="1"/>
  <c r="X14" i="7"/>
  <c r="N14" i="7"/>
  <c r="I14" i="7"/>
  <c r="H14" i="7"/>
  <c r="G14" i="7"/>
  <c r="E14" i="7"/>
  <c r="F14" i="7" s="1"/>
  <c r="X12" i="7"/>
  <c r="N12" i="7"/>
  <c r="I12" i="7"/>
  <c r="H12" i="7"/>
  <c r="G12" i="7"/>
  <c r="E12" i="7"/>
  <c r="F12" i="7" s="1"/>
  <c r="X10" i="7"/>
  <c r="N10" i="7"/>
  <c r="I10" i="7"/>
  <c r="H10" i="7"/>
  <c r="G10" i="7"/>
  <c r="E10" i="7"/>
  <c r="F10" i="7" s="1"/>
  <c r="X8" i="7"/>
  <c r="N8" i="7"/>
  <c r="I8" i="7"/>
  <c r="H8" i="7"/>
  <c r="G8" i="7"/>
  <c r="J8" i="7" s="1"/>
  <c r="E8" i="7"/>
  <c r="F8" i="7" s="1"/>
  <c r="A2" i="7"/>
  <c r="A1" i="7"/>
  <c r="A1" i="6"/>
  <c r="Q31" i="5"/>
  <c r="O27" i="13" s="1"/>
  <c r="N31" i="5"/>
  <c r="L27" i="13" s="1"/>
  <c r="L31" i="5"/>
  <c r="J27" i="13" s="1"/>
  <c r="I27" i="13"/>
  <c r="N30" i="5"/>
  <c r="L26" i="13" s="1"/>
  <c r="L30" i="5"/>
  <c r="I26" i="13"/>
  <c r="Q29" i="5"/>
  <c r="O25" i="13" s="1"/>
  <c r="N29" i="5"/>
  <c r="L25" i="13" s="1"/>
  <c r="L29" i="5"/>
  <c r="I25" i="13"/>
  <c r="Q27" i="5"/>
  <c r="O23" i="13" s="1"/>
  <c r="N27" i="5"/>
  <c r="I23" i="13"/>
  <c r="Q26" i="5"/>
  <c r="O22" i="13" s="1"/>
  <c r="N25" i="5"/>
  <c r="L21" i="13" s="1"/>
  <c r="Q24" i="5"/>
  <c r="O20" i="13" s="1"/>
  <c r="Q23" i="5"/>
  <c r="O19" i="13" s="1"/>
  <c r="N23" i="5"/>
  <c r="L19" i="13" s="1"/>
  <c r="L23" i="5"/>
  <c r="J19" i="13" s="1"/>
  <c r="Q22" i="5"/>
  <c r="O18" i="13" s="1"/>
  <c r="L18" i="13"/>
  <c r="L22" i="5"/>
  <c r="J18" i="13" s="1"/>
  <c r="I20" i="5"/>
  <c r="G16" i="13" s="1"/>
  <c r="R19" i="5"/>
  <c r="P15" i="13" s="1"/>
  <c r="Q17" i="5"/>
  <c r="O13" i="13" s="1"/>
  <c r="Q15" i="5"/>
  <c r="O11" i="13" s="1"/>
  <c r="AQ14" i="5"/>
  <c r="Q13" i="5"/>
  <c r="O9" i="13" s="1"/>
  <c r="N13" i="5"/>
  <c r="L9" i="13" s="1"/>
  <c r="Q12" i="5"/>
  <c r="O8" i="13" s="1"/>
  <c r="Q10" i="5"/>
  <c r="O6" i="13" s="1"/>
  <c r="Q9" i="5"/>
  <c r="O5" i="13" s="1"/>
  <c r="M9" i="5"/>
  <c r="H9" i="5"/>
  <c r="Q8" i="5"/>
  <c r="O4" i="13" s="1"/>
  <c r="N8" i="5"/>
  <c r="L4" i="13" s="1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5" i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A14" i="1"/>
  <c r="A12" i="1"/>
  <c r="A10" i="1"/>
  <c r="A9" i="1"/>
  <c r="A11" i="1" s="1"/>
  <c r="A13" i="1" s="1"/>
  <c r="AV5" i="8" l="1"/>
  <c r="M11" i="5"/>
  <c r="K26" i="5"/>
  <c r="I22" i="13" s="1"/>
  <c r="K21" i="13"/>
  <c r="K12" i="5"/>
  <c r="I8" i="13" s="1"/>
  <c r="N12" i="5"/>
  <c r="L8" i="13" s="1"/>
  <c r="BJ66" i="8"/>
  <c r="BK64" i="8"/>
  <c r="N17" i="5"/>
  <c r="L13" i="13" s="1"/>
  <c r="K17" i="5"/>
  <c r="I13" i="13" s="1"/>
  <c r="I20" i="13"/>
  <c r="K20" i="13" s="1"/>
  <c r="BB5" i="8"/>
  <c r="AP364" i="8"/>
  <c r="M10" i="5"/>
  <c r="N10" i="5" s="1"/>
  <c r="L6" i="13" s="1"/>
  <c r="N26" i="5"/>
  <c r="L22" i="13" s="1"/>
  <c r="N24" i="5"/>
  <c r="L20" i="13" s="1"/>
  <c r="J64" i="7"/>
  <c r="N22" i="7"/>
  <c r="N56" i="7"/>
  <c r="J58" i="7"/>
  <c r="J26" i="7"/>
  <c r="J10" i="7"/>
  <c r="J14" i="7"/>
  <c r="N72" i="7"/>
  <c r="J60" i="7"/>
  <c r="J68" i="7"/>
  <c r="J18" i="7"/>
  <c r="J42" i="7"/>
  <c r="N70" i="7"/>
  <c r="J36" i="7"/>
  <c r="J12" i="7"/>
  <c r="J52" i="7"/>
  <c r="J66" i="7"/>
  <c r="J16" i="7"/>
  <c r="J62" i="7"/>
  <c r="V66" i="9"/>
  <c r="U66" i="9" s="1"/>
  <c r="L219" i="9"/>
  <c r="V65" i="9"/>
  <c r="U65" i="9" s="1"/>
  <c r="Y64" i="9"/>
  <c r="X64" i="9" s="1"/>
  <c r="V64" i="9" s="1"/>
  <c r="U64" i="9" s="1"/>
  <c r="M15" i="5"/>
  <c r="AA1" i="8"/>
  <c r="S5" i="8"/>
  <c r="N16" i="5"/>
  <c r="L12" i="13" s="1"/>
  <c r="I12" i="13"/>
  <c r="K12" i="13"/>
  <c r="AK408" i="8"/>
  <c r="AJ408" i="8"/>
  <c r="AJ409" i="8" s="1"/>
  <c r="AJ1" i="8"/>
  <c r="N9" i="5"/>
  <c r="L5" i="13" s="1"/>
  <c r="K13" i="13"/>
  <c r="AA5" i="8"/>
  <c r="J30" i="7"/>
  <c r="P5" i="8"/>
  <c r="AB1" i="8"/>
  <c r="K8" i="13"/>
  <c r="AC1" i="8"/>
  <c r="J48" i="7"/>
  <c r="AP120" i="8"/>
  <c r="AK1" i="8"/>
  <c r="AB5" i="8"/>
  <c r="AK5" i="8"/>
  <c r="K22" i="13"/>
  <c r="N11" i="5" l="1"/>
  <c r="L7" i="13" s="1"/>
  <c r="K11" i="5"/>
  <c r="I7" i="13" s="1"/>
  <c r="K7" i="13" s="1"/>
  <c r="BJ68" i="8"/>
  <c r="BK66" i="8"/>
  <c r="K10" i="5"/>
  <c r="I6" i="13" s="1"/>
  <c r="K6" i="13" s="1"/>
  <c r="L11" i="13"/>
  <c r="K15" i="5"/>
  <c r="I11" i="13" s="1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<sst xmlns="http://schemas.openxmlformats.org/spreadsheetml/2006/main" count="11356" uniqueCount="728">
  <si>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</si>
  <si>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</si>
  <si>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</si>
  <si>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</si>
  <si>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</si>
  <si>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</si>
  <si>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</si>
  <si>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</si>
  <si>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</si>
  <si>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</si>
  <si>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</si>
  <si>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</si>
  <si>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</si>
  <si>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</si>
  <si>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</si>
  <si>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</si>
  <si>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</si>
  <si>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</si>
  <si>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</si>
  <si>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</si>
  <si>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</si>
  <si>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</si>
  <si>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</si>
  <si>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</si>
  <si>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</si>
  <si>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</si>
  <si>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</si>
  <si>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</si>
  <si>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</si>
  <si>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</si>
  <si>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</si>
  <si>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</si>
  <si>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</si>
  <si>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</si>
  <si>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</si>
  <si>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</si>
  <si>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</si>
  <si>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</si>
  <si>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</si>
  <si>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</si>
  <si>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</si>
  <si>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</si>
  <si>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</si>
  <si>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</si>
  <si>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</si>
  <si>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</si>
  <si>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</si>
  <si>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</si>
  <si>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</si>
  <si>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</si>
  <si>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</si>
  <si>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</si>
  <si>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</si>
  <si>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</si>
  <si>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</si>
  <si>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</si>
  <si>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</si>
  <si>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</si>
  <si>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</si>
  <si>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</si>
  <si>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</si>
  <si>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</si>
  <si>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</si>
  <si>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</si>
  <si>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</si>
  <si>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</si>
  <si>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</si>
  <si>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</si>
  <si>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</si>
  <si>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</si>
  <si>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</si>
  <si>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</si>
  <si>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</si>
  <si>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</si>
  <si>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</si>
  <si>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</si>
  <si>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</si>
  <si>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</si>
  <si>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</si>
  <si>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</si>
  <si>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</si>
  <si>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</si>
  <si>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</si>
  <si>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</si>
  <si>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</si>
  <si>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</si>
  <si>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</si>
  <si>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</si>
  <si>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</si>
  <si>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</si>
  <si>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</si>
  <si>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</si>
  <si>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</si>
  <si>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</si>
  <si>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</si>
  <si>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</si>
  <si>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</si>
  <si>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</si>
  <si>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</si>
  <si>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</si>
  <si>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</si>
  <si>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</si>
  <si>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</si>
  <si>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</si>
  <si>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</si>
  <si>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</si>
  <si>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</si>
  <si>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</si>
  <si>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</si>
  <si>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</si>
  <si>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</si>
  <si>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</si>
  <si>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</si>
  <si>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</si>
  <si>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</si>
  <si>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</si>
  <si>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</si>
  <si>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</si>
  <si>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</si>
  <si>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</si>
  <si>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</si>
  <si>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</si>
  <si>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</si>
  <si>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</si>
  <si>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</si>
  <si>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</si>
  <si>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</si>
  <si>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</si>
  <si>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</si>
  <si>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</si>
  <si>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</si>
  <si>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</si>
  <si>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</si>
  <si>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</si>
  <si>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</si>
  <si>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</si>
  <si>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</si>
  <si>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</si>
  <si>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</si>
  <si>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</si>
  <si>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</si>
  <si>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</si>
  <si>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</si>
  <si>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</si>
  <si>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</si>
  <si>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</si>
  <si>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</si>
  <si>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</si>
  <si>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</si>
  <si>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</si>
  <si>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</si>
  <si>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</si>
  <si>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</si>
  <si>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</si>
  <si>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</si>
  <si>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</si>
  <si>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</si>
  <si>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</si>
  <si>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</si>
  <si>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</si>
  <si>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</si>
  <si>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</si>
  <si>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</si>
  <si>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</si>
  <si>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</si>
  <si>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</si>
  <si>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</si>
  <si>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</si>
  <si>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</si>
  <si>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</si>
  <si>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</si>
  <si>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</si>
  <si>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</si>
  <si>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</si>
  <si>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</si>
  <si>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</si>
  <si>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</si>
  <si>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</si>
  <si>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</si>
  <si>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</si>
  <si>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</si>
  <si>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</si>
  <si>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</si>
  <si>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</si>
  <si>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</si>
  <si>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</si>
  <si>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</si>
  <si>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</si>
  <si>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</si>
  <si>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</si>
  <si>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</si>
  <si>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</si>
  <si>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</si>
  <si>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</si>
  <si>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</si>
  <si>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</si>
  <si>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</si>
  <si>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</si>
  <si>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</si>
  <si>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</si>
  <si>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</si>
  <si>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</si>
  <si>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</si>
  <si>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</si>
  <si>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</si>
  <si>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</si>
  <si>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</si>
  <si>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</si>
  <si>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</si>
  <si>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</si>
  <si>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</si>
  <si>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</si>
  <si>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</si>
  <si>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</si>
  <si>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</si>
  <si>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</si>
  <si>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</si>
  <si>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</si>
  <si>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</si>
  <si>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</si>
  <si>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</si>
  <si>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</si>
  <si>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</si>
  <si>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</si>
  <si>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</si>
  <si>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</si>
  <si>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</si>
  <si>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</si>
  <si>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</si>
  <si>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</si>
  <si>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</si>
  <si>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</si>
  <si>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</si>
  <si>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</si>
  <si>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</si>
  <si>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</si>
  <si>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</si>
  <si>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</si>
  <si>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</si>
  <si>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</si>
  <si>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</si>
  <si>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</si>
  <si>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</si>
  <si>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</si>
  <si>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</si>
  <si>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</si>
  <si>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</si>
  <si>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</si>
  <si>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</si>
  <si>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</si>
  <si>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</si>
  <si>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</si>
  <si>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</si>
  <si>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</si>
  <si>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</si>
  <si>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</si>
  <si>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</si>
  <si>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</si>
  <si>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</si>
  <si>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</si>
  <si>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</si>
  <si>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</si>
  <si>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</si>
  <si>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</si>
  <si>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</si>
  <si>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</si>
  <si>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</si>
  <si>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</si>
  <si>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</si>
  <si>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</si>
  <si>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</si>
  <si>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</si>
  <si>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</si>
  <si>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</si>
  <si>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</si>
  <si>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</si>
  <si>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</si>
  <si>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</si>
  <si>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</si>
  <si>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</si>
  <si>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</si>
  <si>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</si>
  <si>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</si>
  <si>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</si>
  <si>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</si>
  <si>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</si>
  <si>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</si>
  <si>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</si>
  <si>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</si>
  <si>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</si>
  <si>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</si>
  <si>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</si>
  <si>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</si>
  <si>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</si>
  <si>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</si>
  <si>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</si>
  <si>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</si>
  <si>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</si>
  <si>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</si>
  <si>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</si>
  <si>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</si>
  <si>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</si>
  <si>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</si>
  <si>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</si>
  <si>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</si>
  <si>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</si>
  <si>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</si>
  <si>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</si>
  <si>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</si>
  <si>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</si>
  <si>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</si>
  <si>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</si>
  <si>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</si>
  <si>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</si>
  <si>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</si>
  <si>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</si>
  <si>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</si>
  <si>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</si>
  <si>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</si>
  <si>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</si>
  <si>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</si>
  <si>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</si>
  <si>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</si>
  <si>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</si>
  <si>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</si>
  <si>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</si>
  <si>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</si>
  <si>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</si>
  <si>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</si>
  <si>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</si>
  <si>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</si>
  <si>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</si>
  <si>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</si>
  <si>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</si>
  <si>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</si>
  <si>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</si>
  <si>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</si>
  <si>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</si>
  <si>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</si>
  <si>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</si>
  <si>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</si>
  <si>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</si>
  <si>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</si>
  <si>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</si>
  <si>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</si>
  <si>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</si>
  <si>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</si>
  <si>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</si>
  <si>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</si>
  <si>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</si>
  <si>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</si>
  <si>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</si>
  <si>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</si>
  <si>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</si>
  <si>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</si>
  <si>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</si>
  <si>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</si>
  <si>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</si>
  <si>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</si>
  <si>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</si>
  <si>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</si>
  <si>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</si>
  <si>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</si>
  <si>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</si>
  <si>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</si>
  <si>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</si>
  <si>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</si>
  <si>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</si>
  <si>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</si>
  <si>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</si>
  <si>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</si>
  <si>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</si>
  <si>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</si>
  <si>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</si>
  <si>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</si>
  <si>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</si>
  <si>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</si>
  <si>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</si>
  <si>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</si>
  <si>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</si>
  <si>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</si>
  <si>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</si>
  <si>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</si>
  <si>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</si>
  <si>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</si>
  <si>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</si>
  <si>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</si>
  <si>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</si>
  <si>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</si>
  <si>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</si>
  <si>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</si>
  <si>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</si>
  <si>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Detailed survey completed at site.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</si>
  <si>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</si>
  <si>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</si>
  <si>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</si>
  <si>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</si>
  <si>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</si>
  <si>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</si>
  <si>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</si>
  <si>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</si>
  <si>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</si>
  <si>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</si>
  <si>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</si>
  <si>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</si>
  <si>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</si>
  <si>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</si>
  <si>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</si>
  <si>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</si>
  <si>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</si>
  <si>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</si>
  <si>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</si>
  <si>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</si>
  <si>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</si>
  <si>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</si>
  <si>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</si>
  <si>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</si>
  <si>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</si>
  <si>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</si>
  <si>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</si>
  <si>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</si>
  <si>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</si>
  <si>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</si>
  <si>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</si>
  <si>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</si>
  <si>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</si>
  <si>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</si>
  <si>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</si>
  <si>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</si>
  <si>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</si>
  <si>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</si>
  <si>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</si>
  <si>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</si>
  <si>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</si>
  <si>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</si>
  <si>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</si>
  <si>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</si>
  <si>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</si>
  <si>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</si>
  <si>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</si>
  <si>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</si>
  <si>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</si>
  <si>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</si>
  <si>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</si>
  <si>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</si>
  <si>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</si>
  <si>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</si>
  <si>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</si>
  <si>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</si>
  <si>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</si>
  <si>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</si>
  <si>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</si>
  <si>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</si>
  <si>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</si>
  <si>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</si>
  <si>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</si>
  <si>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</si>
  <si>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</si>
  <si>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</si>
  <si>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</si>
  <si>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</si>
  <si>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</si>
  <si>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</si>
  <si>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After submission one observation regarding overbridge making has circulated, revised proposal as +3MRC was submitted.</t>
  </si>
  <si>
    <t>Approval Recieved</t>
  </si>
  <si>
    <t>06-01-2025 (2nd Submission)</t>
  </si>
  <si>
    <t>132KV</t>
  </si>
  <si>
    <t>Proposal will be submitted in Chittorgarh.</t>
  </si>
  <si>
    <t>Proposal is in KOTA</t>
  </si>
  <si>
    <t>765KV S/C LINE</t>
  </si>
  <si>
    <t>16/1-16/2</t>
  </si>
  <si>
    <t>After submission request of Tower position changing was received. Revised proposal is received from our engg. Will be submitted.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</si>
  <si>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</si>
  <si>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</si>
  <si>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</si>
  <si>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</si>
  <si>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</si>
  <si>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</si>
  <si>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</si>
  <si>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</si>
  <si>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</si>
  <si>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</si>
  <si>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</si>
  <si>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</si>
  <si>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</si>
  <si>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</si>
  <si>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</si>
  <si>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</si>
  <si>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</si>
  <si>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</si>
  <si>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</si>
  <si>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</si>
  <si>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</si>
  <si>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</si>
  <si>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</si>
  <si>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</si>
  <si>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</si>
  <si>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</si>
  <si>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</si>
  <si>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</si>
  <si>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</si>
  <si>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</si>
  <si>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</si>
  <si>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</si>
  <si>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</si>
  <si>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</si>
  <si>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</si>
  <si>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</si>
  <si>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</si>
  <si>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</si>
  <si>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</si>
  <si>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</si>
  <si>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</si>
  <si>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</si>
  <si>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</si>
  <si>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</si>
  <si>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</si>
  <si>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</si>
  <si>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</si>
  <si>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</si>
  <si>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</si>
  <si>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</si>
  <si>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</si>
  <si>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</si>
  <si>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</si>
  <si>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</si>
  <si>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</si>
  <si>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</si>
  <si>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</si>
  <si>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</si>
  <si>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</si>
  <si>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</si>
  <si>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</si>
  <si>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</si>
  <si>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</si>
  <si>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</si>
  <si>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</si>
  <si>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</si>
  <si>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</si>
  <si>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</si>
  <si>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</si>
  <si>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</si>
  <si>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</si>
  <si>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</si>
  <si>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</si>
  <si>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</si>
  <si>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</si>
  <si>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</si>
  <si>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</si>
  <si>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SS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</si>
  <si>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</si>
  <si>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</si>
  <si>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</si>
  <si>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</si>
  <si>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</si>
  <si>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</si>
  <si>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</si>
  <si>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</si>
  <si>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</si>
  <si>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</si>
  <si>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</si>
  <si>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</si>
  <si>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</si>
  <si>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</si>
  <si>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</si>
  <si>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</si>
  <si>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</si>
  <si>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</si>
  <si>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</si>
  <si>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</si>
  <si>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</si>
  <si>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</si>
  <si>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V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</si>
  <si>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</si>
  <si>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</si>
  <si>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</si>
  <si>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</si>
  <si>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</si>
  <si>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</si>
  <si>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</si>
  <si>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</si>
  <si>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</si>
  <si>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</si>
  <si>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</si>
  <si>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</si>
  <si>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</si>
  <si>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</si>
  <si>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</si>
  <si>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</si>
  <si>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</si>
  <si>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</si>
  <si>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</si>
  <si>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</si>
  <si>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</si>
  <si>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</si>
  <si>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</si>
  <si>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</si>
  <si>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</si>
  <si>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</si>
  <si>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</si>
  <si>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</si>
  <si>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</si>
  <si>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</si>
  <si>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</si>
  <si>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</si>
  <si>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</si>
  <si>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</si>
  <si>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</si>
  <si>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</si>
  <si>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</si>
  <si>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</si>
  <si>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</si>
  <si>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</si>
  <si>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</si>
  <si>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</si>
  <si>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</si>
  <si>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</si>
  <si>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</si>
  <si>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</si>
  <si>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</si>
  <si>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</si>
  <si>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</si>
  <si>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</si>
  <si>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</si>
  <si>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</si>
  <si>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</si>
  <si>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</si>
  <si>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</si>
  <si>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</si>
  <si>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</si>
  <si>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</si>
  <si>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</si>
  <si>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</si>
  <si>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</si>
  <si>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</si>
  <si>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</si>
  <si>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</si>
  <si>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</si>
  <si>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</si>
  <si>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</si>
  <si>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</si>
  <si>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</si>
  <si>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</si>
  <si>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</si>
  <si>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</si>
  <si>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</si>
  <si>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</si>
  <si>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</si>
  <si>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</si>
  <si>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</si>
  <si>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</si>
  <si>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</si>
  <si>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</si>
  <si>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</si>
  <si>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</si>
  <si>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</si>
  <si>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</si>
  <si>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</si>
  <si>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</si>
  <si>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</si>
  <si>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</si>
  <si>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</si>
  <si>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</si>
  <si>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</si>
  <si>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</si>
  <si>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</si>
  <si>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</si>
  <si>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</si>
  <si>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</si>
  <si>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</si>
  <si>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</si>
  <si>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</si>
  <si>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</si>
  <si>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</si>
  <si>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</si>
  <si>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</si>
  <si>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</si>
  <si>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</si>
  <si>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</si>
  <si>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</si>
  <si>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</si>
  <si>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</si>
  <si>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</si>
  <si>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</si>
  <si>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</si>
  <si>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</si>
  <si>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</si>
  <si>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</si>
  <si>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</si>
  <si>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</si>
  <si>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</si>
  <si>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</si>
  <si>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</si>
  <si>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</si>
  <si>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Subhas Infra</t>
  </si>
  <si>
    <t>14/12/25</t>
  </si>
  <si>
    <t>13/12/25</t>
  </si>
  <si>
    <t>NH approval Pending for 1C/0
Route Approval pending at Neemuch bay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</si>
  <si>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</si>
  <si>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</si>
  <si>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</si>
  <si>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</si>
  <si>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</si>
  <si>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</si>
  <si>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</si>
  <si>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</si>
  <si>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</si>
  <si>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U/P</t>
  </si>
  <si>
    <t>Progress of Current Month (Jan'26)</t>
  </si>
  <si>
    <t>33/1</t>
  </si>
  <si>
    <t>35/0</t>
  </si>
  <si>
    <t>6/1</t>
  </si>
  <si>
    <t>6/2</t>
  </si>
  <si>
    <t>6/3</t>
  </si>
  <si>
    <t>6/4</t>
  </si>
  <si>
    <t>4 Tower After Tapping toward CPP</t>
  </si>
  <si>
    <t>12/1 Excavation U/P
13/1 Prop setting ,PCC U/P
13/2 RCC U/P</t>
  </si>
  <si>
    <t>12/0 Erection Completed</t>
  </si>
  <si>
    <t>14/0  Erection U/P</t>
  </si>
  <si>
    <t>Location No.</t>
  </si>
  <si>
    <t>Type of Tower</t>
  </si>
  <si>
    <t>Starting Date</t>
  </si>
  <si>
    <t>Revenue</t>
  </si>
  <si>
    <t>Completion Date</t>
  </si>
  <si>
    <t>Gang Name</t>
  </si>
  <si>
    <t>No.</t>
  </si>
  <si>
    <t>District</t>
  </si>
  <si>
    <t>Ageing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</si>
</sst>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99FF99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25">
    <xf numFmtId="0" fontId="0" fillId="0" borderId="0"/>
    <xf numFmtId="0" fontId="3" fillId="0" borderId="18"/>
    <xf numFmtId="0" fontId="32" fillId="0" borderId="18"/>
    <xf numFmtId="0" fontId="3" fillId="0" borderId="18"/>
    <xf numFmtId="0" fontId="33" fillId="0" borderId="18"/>
    <xf numFmtId="185" fontId="3" fillId="0" borderId="18"/>
    <xf numFmtId="185" fontId="33" fillId="0" borderId="18"/>
    <xf numFmtId="0" fontId="3" fillId="0" borderId="18"/>
    <xf numFmtId="0" fontId="33" fillId="0" borderId="18"/>
    <xf numFmtId="0" fontId="33" fillId="0" borderId="18"/>
    <xf numFmtId="0" fontId="35" fillId="0" borderId="18"/>
    <xf numFmtId="0" fontId="33" fillId="0" borderId="18"/>
    <xf numFmtId="0" fontId="33" fillId="0" borderId="18"/>
    <xf numFmtId="0" fontId="3" fillId="0" borderId="18"/>
    <xf numFmtId="0" fontId="3" fillId="23" borderId="18" applyNumberFormat="0" applyBorder="0" applyAlignment="0" applyProtection="0"/>
    <xf numFmtId="0" fontId="36" fillId="28" borderId="18" applyNumberFormat="0" applyBorder="0" applyAlignment="0" applyProtection="0"/>
    <xf numFmtId="0" fontId="36" fillId="28" borderId="18" applyNumberFormat="0" applyBorder="0" applyAlignment="0" applyProtection="0"/>
    <xf numFmtId="0" fontId="36" fillId="29" borderId="18" applyNumberFormat="0" applyBorder="0" applyAlignment="0" applyProtection="0"/>
    <xf numFmtId="0" fontId="36" fillId="29" borderId="18" applyNumberFormat="0" applyBorder="0" applyAlignment="0" applyProtection="0"/>
    <xf numFmtId="0" fontId="36" fillId="29" borderId="18" applyNumberFormat="0" applyBorder="0" applyAlignment="0" applyProtection="0"/>
    <xf numFmtId="0" fontId="36" fillId="30" borderId="18" applyNumberFormat="0" applyBorder="0" applyAlignment="0" applyProtection="0"/>
    <xf numFmtId="0" fontId="36" fillId="30" borderId="18" applyNumberFormat="0" applyBorder="0" applyAlignment="0" applyProtection="0"/>
    <xf numFmtId="0" fontId="36" fillId="30" borderId="18" applyNumberFormat="0" applyBorder="0" applyAlignment="0" applyProtection="0"/>
    <xf numFmtId="0" fontId="36" fillId="31" borderId="18" applyNumberFormat="0" applyBorder="0" applyAlignment="0" applyProtection="0"/>
    <xf numFmtId="0" fontId="36" fillId="31" borderId="18" applyNumberFormat="0" applyBorder="0" applyAlignment="0" applyProtection="0"/>
    <xf numFmtId="0" fontId="36" fillId="31" borderId="18" applyNumberFormat="0" applyBorder="0" applyAlignment="0" applyProtection="0"/>
    <xf numFmtId="0" fontId="36" fillId="32" borderId="18" applyNumberFormat="0" applyBorder="0" applyAlignment="0" applyProtection="0"/>
    <xf numFmtId="0" fontId="36" fillId="32" borderId="18" applyNumberFormat="0" applyBorder="0" applyAlignment="0" applyProtection="0"/>
    <xf numFmtId="0" fontId="36" fillId="32" borderId="18" applyNumberFormat="0" applyBorder="0" applyAlignment="0" applyProtection="0"/>
    <xf numFmtId="0" fontId="36" fillId="33" borderId="18" applyNumberFormat="0" applyBorder="0" applyAlignment="0" applyProtection="0"/>
    <xf numFmtId="0" fontId="36" fillId="33" borderId="18" applyNumberFormat="0" applyBorder="0" applyAlignment="0" applyProtection="0"/>
    <xf numFmtId="0" fontId="36" fillId="33" borderId="18" applyNumberFormat="0" applyBorder="0" applyAlignment="0" applyProtection="0"/>
    <xf numFmtId="0" fontId="36" fillId="34" borderId="18" applyNumberFormat="0" applyBorder="0" applyAlignment="0" applyProtection="0"/>
    <xf numFmtId="0" fontId="36" fillId="34" borderId="18" applyNumberFormat="0" applyBorder="0" applyAlignment="0" applyProtection="0"/>
    <xf numFmtId="0" fontId="36" fillId="34" borderId="18" applyNumberFormat="0" applyBorder="0" applyAlignment="0" applyProtection="0"/>
    <xf numFmtId="0" fontId="36" fillId="35" borderId="18" applyNumberFormat="0" applyBorder="0" applyAlignment="0" applyProtection="0"/>
    <xf numFmtId="0" fontId="36" fillId="35" borderId="18" applyNumberFormat="0" applyBorder="0" applyAlignment="0" applyProtection="0"/>
    <xf numFmtId="0" fontId="36" fillId="35" borderId="18" applyNumberFormat="0" applyBorder="0" applyAlignment="0" applyProtection="0"/>
    <xf numFmtId="0" fontId="3" fillId="25" borderId="18" applyNumberFormat="0" applyBorder="0" applyAlignment="0" applyProtection="0"/>
    <xf numFmtId="0" fontId="36" fillId="36" borderId="18" applyNumberFormat="0" applyBorder="0" applyAlignment="0" applyProtection="0"/>
    <xf numFmtId="0" fontId="36" fillId="36" borderId="18" applyNumberFormat="0" applyBorder="0" applyAlignment="0" applyProtection="0"/>
    <xf numFmtId="0" fontId="36" fillId="31" borderId="18" applyNumberFormat="0" applyBorder="0" applyAlignment="0" applyProtection="0"/>
    <xf numFmtId="0" fontId="36" fillId="31" borderId="18" applyNumberFormat="0" applyBorder="0" applyAlignment="0" applyProtection="0"/>
    <xf numFmtId="0" fontId="36" fillId="31" borderId="18" applyNumberFormat="0" applyBorder="0" applyAlignment="0" applyProtection="0"/>
    <xf numFmtId="0" fontId="36" fillId="34" borderId="18" applyNumberFormat="0" applyBorder="0" applyAlignment="0" applyProtection="0"/>
    <xf numFmtId="0" fontId="36" fillId="34" borderId="18" applyNumberFormat="0" applyBorder="0" applyAlignment="0" applyProtection="0"/>
    <xf numFmtId="0" fontId="36" fillId="34" borderId="18" applyNumberFormat="0" applyBorder="0" applyAlignment="0" applyProtection="0"/>
    <xf numFmtId="0" fontId="36" fillId="37" borderId="18" applyNumberFormat="0" applyBorder="0" applyAlignment="0" applyProtection="0"/>
    <xf numFmtId="0" fontId="36" fillId="37" borderId="18" applyNumberFormat="0" applyBorder="0" applyAlignment="0" applyProtection="0"/>
    <xf numFmtId="0" fontId="36" fillId="37" borderId="18" applyNumberFormat="0" applyBorder="0" applyAlignment="0" applyProtection="0"/>
    <xf numFmtId="0" fontId="38" fillId="38" borderId="18" applyNumberFormat="0" applyBorder="0" applyAlignment="0" applyProtection="0"/>
    <xf numFmtId="0" fontId="38" fillId="38" borderId="18" applyNumberFormat="0" applyBorder="0" applyAlignment="0" applyProtection="0"/>
    <xf numFmtId="0" fontId="38" fillId="38" borderId="18" applyNumberFormat="0" applyBorder="0" applyAlignment="0" applyProtection="0"/>
    <xf numFmtId="0" fontId="38" fillId="35" borderId="18" applyNumberFormat="0" applyBorder="0" applyAlignment="0" applyProtection="0"/>
    <xf numFmtId="0" fontId="38" fillId="35" borderId="18" applyNumberFormat="0" applyBorder="0" applyAlignment="0" applyProtection="0"/>
    <xf numFmtId="0" fontId="38" fillId="35" borderId="18" applyNumberFormat="0" applyBorder="0" applyAlignment="0" applyProtection="0"/>
    <xf numFmtId="0" fontId="38" fillId="36" borderId="18" applyNumberFormat="0" applyBorder="0" applyAlignment="0" applyProtection="0"/>
    <xf numFmtId="0" fontId="38" fillId="36" borderId="18" applyNumberFormat="0" applyBorder="0" applyAlignment="0" applyProtection="0"/>
    <xf numFmtId="0" fontId="38" fillId="36" borderId="18" applyNumberFormat="0" applyBorder="0" applyAlignment="0" applyProtection="0"/>
    <xf numFmtId="0" fontId="38" fillId="39" borderId="18" applyNumberFormat="0" applyBorder="0" applyAlignment="0" applyProtection="0"/>
    <xf numFmtId="0" fontId="38" fillId="39" borderId="18" applyNumberFormat="0" applyBorder="0" applyAlignment="0" applyProtection="0"/>
    <xf numFmtId="0" fontId="38" fillId="39" borderId="18" applyNumberFormat="0" applyBorder="0" applyAlignment="0" applyProtection="0"/>
    <xf numFmtId="0" fontId="38" fillId="40" borderId="18" applyNumberFormat="0" applyBorder="0" applyAlignment="0" applyProtection="0"/>
    <xf numFmtId="0" fontId="38" fillId="40" borderId="18" applyNumberFormat="0" applyBorder="0" applyAlignment="0" applyProtection="0"/>
    <xf numFmtId="0" fontId="38" fillId="40" borderId="18" applyNumberFormat="0" applyBorder="0" applyAlignment="0" applyProtection="0"/>
    <xf numFmtId="0" fontId="38" fillId="41" borderId="18" applyNumberFormat="0" applyBorder="0" applyAlignment="0" applyProtection="0"/>
    <xf numFmtId="0" fontId="38" fillId="41" borderId="18" applyNumberFormat="0" applyBorder="0" applyAlignment="0" applyProtection="0"/>
    <xf numFmtId="0" fontId="38" fillId="41" borderId="18" applyNumberFormat="0" applyBorder="0" applyAlignment="0" applyProtection="0"/>
    <xf numFmtId="9" fontId="39" fillId="0" borderId="18"/>
    <xf numFmtId="0" fontId="36" fillId="42" borderId="18" applyNumberFormat="0" applyBorder="0" applyAlignment="0" applyProtection="0"/>
    <xf numFmtId="0" fontId="36" fillId="42" borderId="18" applyNumberFormat="0" applyBorder="0" applyAlignment="0" applyProtection="0"/>
    <xf numFmtId="0" fontId="36" fillId="42" borderId="18" applyNumberFormat="0" applyBorder="0" applyAlignment="0" applyProtection="0"/>
    <xf numFmtId="0" fontId="36" fillId="42" borderId="18" applyNumberFormat="0" applyBorder="0" applyAlignment="0" applyProtection="0"/>
    <xf numFmtId="0" fontId="38" fillId="43" borderId="18" applyNumberFormat="0" applyBorder="0" applyAlignment="0" applyProtection="0"/>
    <xf numFmtId="0" fontId="38" fillId="44" borderId="18" applyNumberFormat="0" applyBorder="0" applyAlignment="0" applyProtection="0"/>
    <xf numFmtId="0" fontId="38" fillId="44" borderId="18" applyNumberFormat="0" applyBorder="0" applyAlignment="0" applyProtection="0"/>
    <xf numFmtId="0" fontId="38" fillId="44" borderId="18" applyNumberFormat="0" applyBorder="0" applyAlignment="0" applyProtection="0"/>
    <xf numFmtId="0" fontId="38" fillId="45" borderId="18" applyNumberFormat="0" applyBorder="0" applyAlignment="0" applyProtection="0"/>
    <xf numFmtId="0" fontId="38" fillId="45" borderId="18" applyNumberFormat="0" applyBorder="0" applyAlignment="0" applyProtection="0"/>
    <xf numFmtId="0" fontId="36" fillId="46" borderId="18" applyNumberFormat="0" applyBorder="0" applyAlignment="0" applyProtection="0"/>
    <xf numFmtId="0" fontId="36" fillId="46" borderId="18" applyNumberFormat="0" applyBorder="0" applyAlignment="0" applyProtection="0"/>
    <xf numFmtId="0" fontId="36" fillId="47" borderId="18" applyNumberFormat="0" applyBorder="0" applyAlignment="0" applyProtection="0"/>
    <xf numFmtId="0" fontId="36" fillId="47" borderId="18" applyNumberFormat="0" applyBorder="0" applyAlignment="0" applyProtection="0"/>
    <xf numFmtId="0" fontId="38" fillId="48" borderId="18" applyNumberFormat="0" applyBorder="0" applyAlignment="0" applyProtection="0"/>
    <xf numFmtId="0" fontId="38" fillId="49" borderId="18" applyNumberFormat="0" applyBorder="0" applyAlignment="0" applyProtection="0"/>
    <xf numFmtId="0" fontId="38" fillId="49" borderId="18" applyNumberFormat="0" applyBorder="0" applyAlignment="0" applyProtection="0"/>
    <xf numFmtId="0" fontId="38" fillId="49" borderId="18" applyNumberFormat="0" applyBorder="0" applyAlignment="0" applyProtection="0"/>
    <xf numFmtId="0" fontId="38" fillId="50" borderId="18" applyNumberFormat="0" applyBorder="0" applyAlignment="0" applyProtection="0"/>
    <xf numFmtId="0" fontId="38" fillId="50" borderId="18" applyNumberFormat="0" applyBorder="0" applyAlignment="0" applyProtection="0"/>
    <xf numFmtId="0" fontId="36" fillId="46" borderId="18" applyNumberFormat="0" applyBorder="0" applyAlignment="0" applyProtection="0"/>
    <xf numFmtId="0" fontId="36" fillId="46" borderId="18" applyNumberFormat="0" applyBorder="0" applyAlignment="0" applyProtection="0"/>
    <xf numFmtId="0" fontId="36" fillId="51" borderId="18" applyNumberFormat="0" applyBorder="0" applyAlignment="0" applyProtection="0"/>
    <xf numFmtId="0" fontId="36" fillId="51" borderId="18" applyNumberFormat="0" applyBorder="0" applyAlignment="0" applyProtection="0"/>
    <xf numFmtId="0" fontId="38" fillId="47" borderId="18" applyNumberFormat="0" applyBorder="0" applyAlignment="0" applyProtection="0"/>
    <xf numFmtId="0" fontId="38" fillId="52" borderId="18" applyNumberFormat="0" applyBorder="0" applyAlignment="0" applyProtection="0"/>
    <xf numFmtId="0" fontId="38" fillId="52" borderId="18" applyNumberFormat="0" applyBorder="0" applyAlignment="0" applyProtection="0"/>
    <xf numFmtId="0" fontId="38" fillId="52" borderId="18" applyNumberFormat="0" applyBorder="0" applyAlignment="0" applyProtection="0"/>
    <xf numFmtId="0" fontId="38" fillId="48" borderId="18" applyNumberFormat="0" applyBorder="0" applyAlignment="0" applyProtection="0"/>
    <xf numFmtId="0" fontId="38" fillId="48" borderId="18" applyNumberFormat="0" applyBorder="0" applyAlignment="0" applyProtection="0"/>
    <xf numFmtId="0" fontId="36" fillId="42" borderId="18" applyNumberFormat="0" applyBorder="0" applyAlignment="0" applyProtection="0"/>
    <xf numFmtId="0" fontId="36" fillId="42" borderId="18" applyNumberFormat="0" applyBorder="0" applyAlignment="0" applyProtection="0"/>
    <xf numFmtId="0" fontId="36" fillId="47" borderId="18" applyNumberFormat="0" applyBorder="0" applyAlignment="0" applyProtection="0"/>
    <xf numFmtId="0" fontId="36" fillId="47" borderId="18" applyNumberFormat="0" applyBorder="0" applyAlignment="0" applyProtection="0"/>
    <xf numFmtId="0" fontId="38" fillId="47" borderId="18" applyNumberFormat="0" applyBorder="0" applyAlignment="0" applyProtection="0"/>
    <xf numFmtId="0" fontId="38" fillId="39" borderId="18" applyNumberFormat="0" applyBorder="0" applyAlignment="0" applyProtection="0"/>
    <xf numFmtId="0" fontId="38" fillId="39" borderId="18" applyNumberFormat="0" applyBorder="0" applyAlignment="0" applyProtection="0"/>
    <xf numFmtId="0" fontId="38" fillId="39" borderId="18" applyNumberFormat="0" applyBorder="0" applyAlignment="0" applyProtection="0"/>
    <xf numFmtId="0" fontId="38" fillId="45" borderId="18" applyNumberFormat="0" applyBorder="0" applyAlignment="0" applyProtection="0"/>
    <xf numFmtId="0" fontId="38" fillId="45" borderId="18" applyNumberFormat="0" applyBorder="0" applyAlignment="0" applyProtection="0"/>
    <xf numFmtId="0" fontId="36" fillId="53" borderId="18" applyNumberFormat="0" applyBorder="0" applyAlignment="0" applyProtection="0"/>
    <xf numFmtId="0" fontId="36" fillId="53" borderId="18" applyNumberFormat="0" applyBorder="0" applyAlignment="0" applyProtection="0"/>
    <xf numFmtId="0" fontId="36" fillId="42" borderId="18" applyNumberFormat="0" applyBorder="0" applyAlignment="0" applyProtection="0"/>
    <xf numFmtId="0" fontId="36" fillId="42" borderId="18" applyNumberFormat="0" applyBorder="0" applyAlignment="0" applyProtection="0"/>
    <xf numFmtId="0" fontId="38" fillId="43" borderId="18" applyNumberFormat="0" applyBorder="0" applyAlignment="0" applyProtection="0"/>
    <xf numFmtId="0" fontId="38" fillId="40" borderId="18" applyNumberFormat="0" applyBorder="0" applyAlignment="0" applyProtection="0"/>
    <xf numFmtId="0" fontId="38" fillId="40" borderId="18" applyNumberFormat="0" applyBorder="0" applyAlignment="0" applyProtection="0"/>
    <xf numFmtId="0" fontId="38" fillId="40" borderId="18" applyNumberFormat="0" applyBorder="0" applyAlignment="0" applyProtection="0"/>
    <xf numFmtId="0" fontId="38" fillId="54" borderId="18" applyNumberFormat="0" applyBorder="0" applyAlignment="0" applyProtection="0"/>
    <xf numFmtId="0" fontId="38" fillId="54" borderId="18" applyNumberFormat="0" applyBorder="0" applyAlignment="0" applyProtection="0"/>
    <xf numFmtId="0" fontId="36" fillId="46" borderId="18" applyNumberFormat="0" applyBorder="0" applyAlignment="0" applyProtection="0"/>
    <xf numFmtId="0" fontId="36" fillId="46" borderId="18" applyNumberFormat="0" applyBorder="0" applyAlignment="0" applyProtection="0"/>
    <xf numFmtId="0" fontId="36" fillId="55" borderId="18" applyNumberFormat="0" applyBorder="0" applyAlignment="0" applyProtection="0"/>
    <xf numFmtId="0" fontId="36" fillId="55" borderId="18" applyNumberFormat="0" applyBorder="0" applyAlignment="0" applyProtection="0"/>
    <xf numFmtId="0" fontId="38" fillId="55" borderId="18" applyNumberFormat="0" applyBorder="0" applyAlignment="0" applyProtection="0"/>
    <xf numFmtId="0" fontId="38" fillId="56" borderId="18" applyNumberFormat="0" applyBorder="0" applyAlignment="0" applyProtection="0"/>
    <xf numFmtId="0" fontId="38" fillId="56" borderId="18" applyNumberFormat="0" applyBorder="0" applyAlignment="0" applyProtection="0"/>
    <xf numFmtId="0" fontId="38" fillId="56" borderId="18" applyNumberFormat="0" applyBorder="0" applyAlignment="0" applyProtection="0"/>
    <xf numFmtId="0" fontId="38" fillId="57" borderId="18" applyNumberFormat="0" applyBorder="0" applyAlignment="0" applyProtection="0"/>
    <xf numFmtId="0" fontId="38" fillId="57" borderId="18" applyNumberFormat="0" applyBorder="0" applyAlignment="0" applyProtection="0"/>
    <xf numFmtId="187" fontId="39" fillId="0" borderId="18" applyFont="0" applyFill="0" applyBorder="0" applyAlignment="0" applyProtection="0"/>
    <xf numFmtId="188" fontId="39" fillId="0" borderId="18" applyFont="0" applyFill="0" applyBorder="0" applyAlignment="0" applyProtection="0"/>
    <xf numFmtId="0" fontId="40" fillId="0" borderId="18"/>
    <xf numFmtId="0" fontId="40" fillId="0" borderId="18"/>
    <xf numFmtId="0" fontId="33" fillId="0" borderId="18" applyFill="0" applyBorder="0">
      <alignment vertical="center"/>
    </xf>
    <xf numFmtId="0" fontId="33" fillId="0" borderId="18" applyFill="0" applyBorder="0">
      <alignment vertical="center"/>
    </xf>
    <xf numFmtId="189" fontId="39" fillId="0" borderId="18" applyFont="0" applyFill="0" applyBorder="0" applyAlignment="0" applyProtection="0"/>
    <xf numFmtId="190" fontId="39" fillId="0" borderId="18" applyFont="0" applyFill="0" applyBorder="0" applyAlignment="0" applyProtection="0"/>
    <xf numFmtId="191" fontId="37" fillId="0" borderId="93">
      <protection locked="0"/>
    </xf>
    <xf numFmtId="0" fontId="41" fillId="29" borderId="18" applyNumberFormat="0" applyBorder="0" applyAlignment="0" applyProtection="0"/>
    <xf numFmtId="0" fontId="42" fillId="58" borderId="18" applyNumberFormat="0" applyBorder="0" applyAlignment="0" applyProtection="0"/>
    <xf numFmtId="0" fontId="42" fillId="58" borderId="18" applyNumberFormat="0" applyBorder="0" applyAlignment="0" applyProtection="0"/>
    <xf numFmtId="38" fontId="43" fillId="0" borderId="18" applyFill="0" applyBorder="0" applyAlignment="0" applyProtection="0"/>
    <xf numFmtId="0" fontId="44" fillId="0" borderId="18"/>
    <xf numFmtId="0" fontId="45" fillId="59" borderId="94" applyNumberFormat="0" applyAlignment="0" applyProtection="0"/>
    <xf numFmtId="0" fontId="46" fillId="60" borderId="94" applyNumberFormat="0" applyAlignment="0" applyProtection="0"/>
    <xf numFmtId="0" fontId="46" fillId="60" borderId="94" applyNumberFormat="0" applyAlignment="0" applyProtection="0"/>
    <xf numFmtId="0" fontId="47" fillId="61" borderId="95" applyNumberFormat="0" applyAlignment="0" applyProtection="0"/>
    <xf numFmtId="0" fontId="47" fillId="48" borderId="95" applyNumberFormat="0" applyAlignment="0" applyProtection="0"/>
    <xf numFmtId="0" fontId="47" fillId="48" borderId="95" applyNumberFormat="0" applyAlignment="0" applyProtection="0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0" fontId="40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0" fontId="40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0" fontId="40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0" fontId="40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0" fontId="40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0" fontId="40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0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191" fontId="48" fillId="0" borderId="96" applyNumberFormat="0" applyBorder="0" applyAlignment="0" applyProtection="0">
      <protection locked="0"/>
    </xf>
    <xf numFmtId="0" fontId="34" fillId="62" borderId="18" applyNumberFormat="0" applyBorder="0" applyAlignment="0" applyProtection="0"/>
    <xf numFmtId="0" fontId="34" fillId="63" borderId="18" applyNumberFormat="0" applyBorder="0" applyAlignment="0" applyProtection="0"/>
    <xf numFmtId="0" fontId="34" fillId="64" borderId="18" applyNumberFormat="0" applyBorder="0" applyAlignment="0" applyProtection="0"/>
    <xf numFmtId="0" fontId="49" fillId="0" borderId="18" applyNumberFormat="0" applyFill="0" applyBorder="0" applyAlignment="0" applyProtection="0"/>
    <xf numFmtId="0" fontId="49" fillId="0" borderId="18" applyNumberFormat="0" applyFill="0" applyBorder="0" applyAlignment="0" applyProtection="0"/>
    <xf numFmtId="0" fontId="49" fillId="0" borderId="18" applyNumberFormat="0" applyFill="0" applyBorder="0" applyAlignment="0" applyProtection="0"/>
    <xf numFmtId="0" fontId="50" fillId="0" borderId="18">
      <protection locked="0"/>
    </xf>
    <xf numFmtId="0" fontId="50" fillId="0" borderId="18">
      <protection locked="0"/>
    </xf>
    <xf numFmtId="0" fontId="51" fillId="0" borderId="18">
      <protection locked="0"/>
    </xf>
    <xf numFmtId="0" fontId="50" fillId="0" borderId="18">
      <protection locked="0"/>
    </xf>
    <xf numFmtId="0" fontId="50" fillId="0" borderId="18">
      <protection locked="0"/>
    </xf>
    <xf numFmtId="0" fontId="50" fillId="0" borderId="18">
      <protection locked="0"/>
    </xf>
    <xf numFmtId="0" fontId="51" fillId="0" borderId="18">
      <protection locked="0"/>
    </xf>
    <xf numFmtId="0" fontId="37" fillId="0" borderId="97" applyNumberFormat="0" applyFill="0" applyBorder="0" applyAlignment="0" applyProtection="0">
      <protection locked="0"/>
    </xf>
    <xf numFmtId="193" fontId="52" fillId="0" borderId="98">
      <alignment horizontal="right"/>
    </xf>
    <xf numFmtId="0" fontId="53" fillId="30" borderId="18" applyNumberFormat="0" applyBorder="0" applyAlignment="0" applyProtection="0"/>
    <xf numFmtId="0" fontId="53" fillId="51" borderId="18" applyNumberFormat="0" applyBorder="0" applyAlignment="0" applyProtection="0"/>
    <xf numFmtId="0" fontId="53" fillId="51" borderId="18" applyNumberFormat="0" applyBorder="0" applyAlignment="0" applyProtection="0"/>
    <xf numFmtId="38" fontId="54" fillId="27" borderId="18" applyNumberFormat="0" applyBorder="0" applyAlignment="0" applyProtection="0"/>
    <xf numFmtId="0" fontId="55" fillId="0" borderId="91" applyNumberFormat="0" applyAlignment="0" applyProtection="0">
      <alignment horizontal="left" vertical="center"/>
    </xf>
    <xf numFmtId="0" fontId="55" fillId="0" borderId="85">
      <alignment horizontal="left" vertical="center"/>
    </xf>
    <xf numFmtId="0" fontId="56" fillId="0" borderId="99" applyNumberFormat="0" applyFill="0" applyAlignment="0" applyProtection="0"/>
    <xf numFmtId="0" fontId="57" fillId="0" borderId="100" applyNumberFormat="0" applyFill="0" applyAlignment="0" applyProtection="0"/>
    <xf numFmtId="0" fontId="57" fillId="0" borderId="100" applyNumberFormat="0" applyFill="0" applyAlignment="0" applyProtection="0"/>
    <xf numFmtId="0" fontId="58" fillId="0" borderId="101" applyNumberFormat="0" applyFill="0" applyAlignment="0" applyProtection="0"/>
    <xf numFmtId="0" fontId="59" fillId="0" borderId="101" applyNumberFormat="0" applyFill="0" applyAlignment="0" applyProtection="0"/>
    <xf numFmtId="0" fontId="59" fillId="0" borderId="101" applyNumberFormat="0" applyFill="0" applyAlignment="0" applyProtection="0"/>
    <xf numFmtId="0" fontId="60" fillId="0" borderId="102" applyNumberFormat="0" applyFill="0" applyAlignment="0" applyProtection="0"/>
    <xf numFmtId="0" fontId="61" fillId="0" borderId="103" applyNumberFormat="0" applyFill="0" applyAlignment="0" applyProtection="0"/>
    <xf numFmtId="0" fontId="61" fillId="0" borderId="103" applyNumberFormat="0" applyFill="0" applyAlignment="0" applyProtection="0"/>
    <xf numFmtId="0" fontId="60" fillId="0" borderId="18" applyNumberFormat="0" applyFill="0" applyBorder="0" applyAlignment="0" applyProtection="0"/>
    <xf numFmtId="0" fontId="61" fillId="0" borderId="18" applyNumberFormat="0" applyFill="0" applyBorder="0" applyAlignment="0" applyProtection="0"/>
    <xf numFmtId="0" fontId="61" fillId="0" borderId="18" applyNumberFormat="0" applyFill="0" applyBorder="0" applyAlignment="0" applyProtection="0"/>
    <xf numFmtId="0" fontId="62" fillId="0" borderId="18" applyNumberFormat="0" applyFill="0" applyBorder="0" applyAlignment="0" applyProtection="0">
      <alignment vertical="top"/>
      <protection locked="0"/>
    </xf>
    <xf numFmtId="0" fontId="63" fillId="0" borderId="18" applyNumberFormat="0" applyFill="0" applyBorder="0" applyAlignment="0" applyProtection="0">
      <alignment vertical="top"/>
      <protection locked="0"/>
    </xf>
    <xf numFmtId="194" fontId="33" fillId="0" borderId="18" applyProtection="0">
      <alignment horizontal="center"/>
    </xf>
    <xf numFmtId="194" fontId="33" fillId="0" borderId="18" applyProtection="0">
      <alignment horizontal="center"/>
    </xf>
    <xf numFmtId="194" fontId="33" fillId="0" borderId="18" applyProtection="0">
      <alignment horizontal="center"/>
    </xf>
    <xf numFmtId="194" fontId="33" fillId="0" borderId="18" applyProtection="0">
      <alignment horizontal="center"/>
    </xf>
    <xf numFmtId="194" fontId="33" fillId="0" borderId="18" applyProtection="0">
      <alignment horizontal="center"/>
    </xf>
    <xf numFmtId="10" fontId="54" fillId="65" borderId="87" applyNumberFormat="0" applyBorder="0" applyAlignment="0" applyProtection="0"/>
    <xf numFmtId="0" fontId="64" fillId="33" borderId="94" applyNumberFormat="0" applyAlignment="0" applyProtection="0"/>
    <xf numFmtId="0" fontId="64" fillId="33" borderId="94" applyNumberFormat="0" applyAlignment="0" applyProtection="0"/>
    <xf numFmtId="0" fontId="64" fillId="33" borderId="94" applyNumberFormat="0" applyAlignment="0" applyProtection="0"/>
    <xf numFmtId="0" fontId="64" fillId="55" borderId="94" applyNumberFormat="0" applyAlignment="0" applyProtection="0"/>
    <xf numFmtId="0" fontId="64" fillId="55" borderId="94" applyNumberFormat="0" applyAlignment="0" applyProtection="0"/>
    <xf numFmtId="0" fontId="65" fillId="0" borderId="104" applyNumberFormat="0" applyFill="0" applyAlignment="0" applyProtection="0"/>
    <xf numFmtId="0" fontId="66" fillId="0" borderId="104" applyNumberFormat="0" applyFill="0" applyAlignment="0" applyProtection="0"/>
    <xf numFmtId="0" fontId="66" fillId="0" borderId="104" applyNumberFormat="0" applyFill="0" applyAlignment="0" applyProtection="0"/>
    <xf numFmtId="195" fontId="33" fillId="0" borderId="18" applyFont="0" applyFill="0" applyBorder="0" applyAlignment="0" applyProtection="0"/>
    <xf numFmtId="196" fontId="33" fillId="0" borderId="18" applyFont="0" applyFill="0" applyBorder="0" applyAlignment="0" applyProtection="0"/>
    <xf numFmtId="190" fontId="33" fillId="0" borderId="18" applyFont="0" applyFill="0" applyBorder="0" applyAlignment="0" applyProtection="0"/>
    <xf numFmtId="197" fontId="33" fillId="0" borderId="18" applyFont="0" applyFill="0" applyBorder="0" applyAlignment="0" applyProtection="0"/>
    <xf numFmtId="188" fontId="33" fillId="0" borderId="18" applyFont="0" applyFill="0" applyBorder="0" applyAlignment="0" applyProtection="0"/>
    <xf numFmtId="198" fontId="33" fillId="0" borderId="18" applyFont="0" applyFill="0" applyBorder="0" applyAlignment="0" applyProtection="0"/>
    <xf numFmtId="0" fontId="67" fillId="66" borderId="18" applyNumberFormat="0" applyBorder="0" applyAlignment="0" applyProtection="0"/>
    <xf numFmtId="0" fontId="67" fillId="67" borderId="18" applyNumberFormat="0" applyBorder="0" applyAlignment="0" applyProtection="0"/>
    <xf numFmtId="0" fontId="67" fillId="67" borderId="18" applyNumberFormat="0" applyBorder="0" applyAlignment="0" applyProtection="0"/>
    <xf numFmtId="37" fontId="68" fillId="0" borderId="18"/>
    <xf numFmtId="199" fontId="69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0" fontId="32" fillId="0" borderId="18"/>
    <xf numFmtId="0" fontId="3" fillId="0" borderId="18"/>
    <xf numFmtId="0" fontId="32" fillId="0" borderId="18"/>
    <xf numFmtId="0" fontId="3" fillId="0" borderId="18"/>
    <xf numFmtId="0" fontId="33" fillId="0" borderId="18"/>
    <xf numFmtId="0" fontId="33" fillId="0" borderId="18"/>
    <xf numFmtId="0" fontId="32" fillId="0" borderId="18"/>
    <xf numFmtId="0" fontId="32" fillId="0" borderId="18"/>
    <xf numFmtId="0" fontId="3" fillId="0" borderId="18"/>
    <xf numFmtId="0" fontId="3" fillId="0" borderId="18"/>
    <xf numFmtId="0" fontId="3" fillId="0" borderId="18"/>
    <xf numFmtId="0" fontId="36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3" fillId="0" borderId="18"/>
    <xf numFmtId="0" fontId="32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6" fillId="0" borderId="18"/>
    <xf numFmtId="0" fontId="36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6" fillId="0" borderId="18"/>
    <xf numFmtId="0" fontId="36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6" fillId="0" borderId="18"/>
    <xf numFmtId="0" fontId="33" fillId="0" borderId="18"/>
    <xf numFmtId="0" fontId="33" fillId="0" borderId="18"/>
    <xf numFmtId="0" fontId="33" fillId="0" borderId="18"/>
    <xf numFmtId="0" fontId="35" fillId="0" borderId="18"/>
    <xf numFmtId="0" fontId="32" fillId="0" borderId="18"/>
    <xf numFmtId="0" fontId="33" fillId="0" borderId="18"/>
    <xf numFmtId="0" fontId="32" fillId="0" borderId="18"/>
    <xf numFmtId="0" fontId="33" fillId="0" borderId="18"/>
    <xf numFmtId="0" fontId="35" fillId="0" borderId="18"/>
    <xf numFmtId="0" fontId="3" fillId="0" borderId="18"/>
    <xf numFmtId="0" fontId="32" fillId="0" borderId="18"/>
    <xf numFmtId="0" fontId="32" fillId="0" borderId="18"/>
    <xf numFmtId="0" fontId="32" fillId="0" borderId="18"/>
    <xf numFmtId="0" fontId="36" fillId="0" borderId="18"/>
    <xf numFmtId="0" fontId="33" fillId="0" borderId="18"/>
    <xf numFmtId="0" fontId="3" fillId="0" borderId="18"/>
    <xf numFmtId="0" fontId="36" fillId="0" borderId="18"/>
    <xf numFmtId="0" fontId="3" fillId="0" borderId="18"/>
    <xf numFmtId="0" fontId="3" fillId="0" borderId="18"/>
    <xf numFmtId="0" fontId="32" fillId="0" borderId="18"/>
    <xf numFmtId="0" fontId="33" fillId="0" borderId="18"/>
    <xf numFmtId="0" fontId="33" fillId="0" borderId="18"/>
    <xf numFmtId="0" fontId="36" fillId="0" borderId="18"/>
    <xf numFmtId="0" fontId="33" fillId="0" borderId="18"/>
    <xf numFmtId="0" fontId="33" fillId="0" borderId="18"/>
    <xf numFmtId="0" fontId="33" fillId="0" borderId="18"/>
    <xf numFmtId="0" fontId="3" fillId="0" borderId="18"/>
    <xf numFmtId="0" fontId="36" fillId="0" borderId="18"/>
    <xf numFmtId="0" fontId="33" fillId="0" borderId="18"/>
    <xf numFmtId="0" fontId="32" fillId="0" borderId="18"/>
    <xf numFmtId="0" fontId="3" fillId="0" borderId="18"/>
    <xf numFmtId="0" fontId="32" fillId="0" borderId="18"/>
    <xf numFmtId="0" fontId="36" fillId="0" borderId="18"/>
    <xf numFmtId="0" fontId="33" fillId="0" borderId="18"/>
    <xf numFmtId="0" fontId="32" fillId="0" borderId="18"/>
    <xf numFmtId="0" fontId="33" fillId="0" borderId="18"/>
    <xf numFmtId="0" fontId="32" fillId="0" borderId="18"/>
    <xf numFmtId="0" fontId="33" fillId="0" borderId="18"/>
    <xf numFmtId="0" fontId="3" fillId="0" borderId="18"/>
    <xf numFmtId="0" fontId="33" fillId="0" borderId="18"/>
    <xf numFmtId="0" fontId="33" fillId="0" borderId="18"/>
    <xf numFmtId="0" fontId="70" fillId="0" borderId="18"/>
    <xf numFmtId="0" fontId="33" fillId="68" borderId="105" applyNumberFormat="0" applyFont="0" applyAlignment="0" applyProtection="0"/>
    <xf numFmtId="0" fontId="33" fillId="68" borderId="105" applyNumberFormat="0" applyFont="0" applyAlignment="0" applyProtection="0"/>
    <xf numFmtId="0" fontId="36" fillId="46" borderId="105" applyNumberFormat="0" applyAlignment="0" applyProtection="0"/>
    <xf numFmtId="0" fontId="36" fillId="46" borderId="105" applyNumberFormat="0" applyAlignment="0" applyProtection="0"/>
    <xf numFmtId="0" fontId="71" fillId="59" borderId="106" applyNumberFormat="0" applyAlignment="0" applyProtection="0"/>
    <xf numFmtId="0" fontId="71" fillId="60" borderId="106" applyNumberFormat="0" applyAlignment="0" applyProtection="0"/>
    <xf numFmtId="0" fontId="71" fillId="60" borderId="106" applyNumberFormat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3" fillId="0" borderId="18" applyFont="0" applyFill="0" applyBorder="0" applyAlignment="0" applyProtection="0"/>
    <xf numFmtId="0" fontId="72" fillId="0" borderId="18" applyFont="0"/>
    <xf numFmtId="0" fontId="73" fillId="0" borderId="18" applyNumberFormat="0" applyFill="0" applyBorder="0" applyAlignment="0" applyProtection="0"/>
    <xf numFmtId="0" fontId="74" fillId="0" borderId="18" applyNumberFormat="0" applyFill="0" applyBorder="0" applyAlignment="0" applyProtection="0">
      <alignment vertical="top"/>
      <protection locked="0"/>
    </xf>
    <xf numFmtId="0" fontId="43" fillId="0" borderId="18"/>
    <xf numFmtId="0" fontId="33" fillId="0" borderId="18"/>
    <xf numFmtId="0" fontId="33" fillId="0" borderId="18"/>
    <xf numFmtId="40" fontId="75" fillId="0" borderId="18"/>
    <xf numFmtId="0" fontId="76" fillId="0" borderId="18" applyNumberFormat="0" applyFill="0" applyBorder="0" applyAlignment="0" applyProtection="0"/>
    <xf numFmtId="0" fontId="76" fillId="0" borderId="18" applyNumberFormat="0" applyFill="0" applyBorder="0" applyAlignment="0" applyProtection="0"/>
    <xf numFmtId="0" fontId="76" fillId="0" borderId="18" applyNumberFormat="0" applyFill="0" applyBorder="0" applyAlignment="0" applyProtection="0"/>
    <xf numFmtId="0" fontId="34" fillId="0" borderId="107" applyNumberFormat="0" applyFill="0" applyAlignment="0" applyProtection="0"/>
    <xf numFmtId="0" fontId="34" fillId="0" borderId="108" applyNumberFormat="0" applyFill="0" applyAlignment="0" applyProtection="0"/>
    <xf numFmtId="0" fontId="34" fillId="0" borderId="108" applyNumberFormat="0" applyFill="0" applyAlignment="0" applyProtection="0"/>
    <xf numFmtId="0" fontId="77" fillId="0" borderId="18" applyNumberFormat="0" applyFill="0" applyBorder="0" applyAlignment="0" applyProtection="0"/>
    <xf numFmtId="0" fontId="77" fillId="0" borderId="18" applyNumberFormat="0" applyFill="0" applyBorder="0" applyAlignment="0" applyProtection="0"/>
    <xf numFmtId="0" fontId="77" fillId="0" borderId="18" applyNumberFormat="0" applyFill="0" applyBorder="0" applyAlignment="0" applyProtection="0"/>
    <xf numFmtId="9" fontId="78" fillId="0" borderId="18" applyFont="0" applyFill="0" applyBorder="0" applyAlignment="0" applyProtection="0"/>
    <xf numFmtId="0" fontId="78" fillId="0" borderId="18"/>
    <xf numFmtId="0" fontId="80" fillId="0" borderId="18"/>
    <xf numFmtId="0" fontId="80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" fillId="23" borderId="18" applyNumberFormat="0" applyBorder="0" applyAlignment="0" applyProtection="0"/>
    <xf numFmtId="0" fontId="3" fillId="23" borderId="18" applyNumberFormat="0" applyBorder="0" applyAlignment="0" applyProtection="0"/>
    <xf numFmtId="0" fontId="3" fillId="23" borderId="18" applyNumberFormat="0" applyBorder="0" applyAlignment="0" applyProtection="0"/>
    <xf numFmtId="0" fontId="3" fillId="23" borderId="18" applyNumberFormat="0" applyBorder="0" applyAlignment="0" applyProtection="0"/>
    <xf numFmtId="0" fontId="3" fillId="23" borderId="18" applyNumberFormat="0" applyBorder="0" applyAlignment="0" applyProtection="0"/>
    <xf numFmtId="0" fontId="3" fillId="23" borderId="18" applyNumberFormat="0" applyBorder="0" applyAlignment="0" applyProtection="0"/>
    <xf numFmtId="0" fontId="3" fillId="23" borderId="18" applyNumberFormat="0" applyBorder="0" applyAlignment="0" applyProtection="0"/>
    <xf numFmtId="0" fontId="3" fillId="23" borderId="18" applyNumberFormat="0" applyBorder="0" applyAlignment="0" applyProtection="0"/>
    <xf numFmtId="0" fontId="3" fillId="23" borderId="18" applyNumberFormat="0" applyBorder="0" applyAlignment="0" applyProtection="0"/>
    <xf numFmtId="0" fontId="36" fillId="28" borderId="18" applyNumberFormat="0" applyBorder="0" applyAlignment="0" applyProtection="0"/>
    <xf numFmtId="0" fontId="36" fillId="29" borderId="18" applyNumberFormat="0" applyBorder="0" applyAlignment="0" applyProtection="0"/>
    <xf numFmtId="0" fontId="36" fillId="29" borderId="18" applyNumberFormat="0" applyBorder="0" applyAlignment="0" applyProtection="0"/>
    <xf numFmtId="0" fontId="36" fillId="29" borderId="18" applyNumberFormat="0" applyBorder="0" applyAlignment="0" applyProtection="0"/>
    <xf numFmtId="0" fontId="36" fillId="29" borderId="18" applyNumberFormat="0" applyBorder="0" applyAlignment="0" applyProtection="0"/>
    <xf numFmtId="0" fontId="36" fillId="30" borderId="18" applyNumberFormat="0" applyBorder="0" applyAlignment="0" applyProtection="0"/>
    <xf numFmtId="0" fontId="36" fillId="30" borderId="18" applyNumberFormat="0" applyBorder="0" applyAlignment="0" applyProtection="0"/>
    <xf numFmtId="0" fontId="36" fillId="30" borderId="18" applyNumberFormat="0" applyBorder="0" applyAlignment="0" applyProtection="0"/>
    <xf numFmtId="0" fontId="36" fillId="30" borderId="18" applyNumberFormat="0" applyBorder="0" applyAlignment="0" applyProtection="0"/>
    <xf numFmtId="0" fontId="36" fillId="31" borderId="18" applyNumberFormat="0" applyBorder="0" applyAlignment="0" applyProtection="0"/>
    <xf numFmtId="0" fontId="36" fillId="31" borderId="18" applyNumberFormat="0" applyBorder="0" applyAlignment="0" applyProtection="0"/>
    <xf numFmtId="0" fontId="36" fillId="31" borderId="18" applyNumberFormat="0" applyBorder="0" applyAlignment="0" applyProtection="0"/>
    <xf numFmtId="0" fontId="36" fillId="31" borderId="18" applyNumberFormat="0" applyBorder="0" applyAlignment="0" applyProtection="0"/>
    <xf numFmtId="0" fontId="36" fillId="32" borderId="18" applyNumberFormat="0" applyBorder="0" applyAlignment="0" applyProtection="0"/>
    <xf numFmtId="0" fontId="36" fillId="32" borderId="18" applyNumberFormat="0" applyBorder="0" applyAlignment="0" applyProtection="0"/>
    <xf numFmtId="0" fontId="36" fillId="32" borderId="18" applyNumberFormat="0" applyBorder="0" applyAlignment="0" applyProtection="0"/>
    <xf numFmtId="0" fontId="36" fillId="32" borderId="18" applyNumberFormat="0" applyBorder="0" applyAlignment="0" applyProtection="0"/>
    <xf numFmtId="0" fontId="36" fillId="33" borderId="18" applyNumberFormat="0" applyBorder="0" applyAlignment="0" applyProtection="0"/>
    <xf numFmtId="0" fontId="36" fillId="33" borderId="18" applyNumberFormat="0" applyBorder="0" applyAlignment="0" applyProtection="0"/>
    <xf numFmtId="0" fontId="36" fillId="33" borderId="18" applyNumberFormat="0" applyBorder="0" applyAlignment="0" applyProtection="0"/>
    <xf numFmtId="0" fontId="36" fillId="33" borderId="18" applyNumberFormat="0" applyBorder="0" applyAlignment="0" applyProtection="0"/>
    <xf numFmtId="0" fontId="36" fillId="34" borderId="18" applyNumberFormat="0" applyBorder="0" applyAlignment="0" applyProtection="0"/>
    <xf numFmtId="0" fontId="36" fillId="34" borderId="18" applyNumberFormat="0" applyBorder="0" applyAlignment="0" applyProtection="0"/>
    <xf numFmtId="0" fontId="36" fillId="34" borderId="18" applyNumberFormat="0" applyBorder="0" applyAlignment="0" applyProtection="0"/>
    <xf numFmtId="0" fontId="36" fillId="34" borderId="18" applyNumberFormat="0" applyBorder="0" applyAlignment="0" applyProtection="0"/>
    <xf numFmtId="0" fontId="36" fillId="35" borderId="18" applyNumberFormat="0" applyBorder="0" applyAlignment="0" applyProtection="0"/>
    <xf numFmtId="0" fontId="36" fillId="35" borderId="18" applyNumberFormat="0" applyBorder="0" applyAlignment="0" applyProtection="0"/>
    <xf numFmtId="0" fontId="36" fillId="35" borderId="18" applyNumberFormat="0" applyBorder="0" applyAlignment="0" applyProtection="0"/>
    <xf numFmtId="0" fontId="36" fillId="35" borderId="18" applyNumberFormat="0" applyBorder="0" applyAlignment="0" applyProtection="0"/>
    <xf numFmtId="0" fontId="3" fillId="25" borderId="18" applyNumberFormat="0" applyBorder="0" applyAlignment="0" applyProtection="0"/>
    <xf numFmtId="0" fontId="3" fillId="25" borderId="18" applyNumberFormat="0" applyBorder="0" applyAlignment="0" applyProtection="0"/>
    <xf numFmtId="0" fontId="3" fillId="25" borderId="18" applyNumberFormat="0" applyBorder="0" applyAlignment="0" applyProtection="0"/>
    <xf numFmtId="0" fontId="3" fillId="25" borderId="18" applyNumberFormat="0" applyBorder="0" applyAlignment="0" applyProtection="0"/>
    <xf numFmtId="0" fontId="3" fillId="25" borderId="18" applyNumberFormat="0" applyBorder="0" applyAlignment="0" applyProtection="0"/>
    <xf numFmtId="0" fontId="3" fillId="25" borderId="18" applyNumberFormat="0" applyBorder="0" applyAlignment="0" applyProtection="0"/>
    <xf numFmtId="0" fontId="3" fillId="25" borderId="18" applyNumberFormat="0" applyBorder="0" applyAlignment="0" applyProtection="0"/>
    <xf numFmtId="0" fontId="3" fillId="25" borderId="18" applyNumberFormat="0" applyBorder="0" applyAlignment="0" applyProtection="0"/>
    <xf numFmtId="0" fontId="3" fillId="25" borderId="18" applyNumberFormat="0" applyBorder="0" applyAlignment="0" applyProtection="0"/>
    <xf numFmtId="0" fontId="36" fillId="36" borderId="18" applyNumberFormat="0" applyBorder="0" applyAlignment="0" applyProtection="0"/>
    <xf numFmtId="0" fontId="36" fillId="31" borderId="18" applyNumberFormat="0" applyBorder="0" applyAlignment="0" applyProtection="0"/>
    <xf numFmtId="0" fontId="36" fillId="31" borderId="18" applyNumberFormat="0" applyBorder="0" applyAlignment="0" applyProtection="0"/>
    <xf numFmtId="0" fontId="36" fillId="31" borderId="18" applyNumberFormat="0" applyBorder="0" applyAlignment="0" applyProtection="0"/>
    <xf numFmtId="0" fontId="36" fillId="31" borderId="18" applyNumberFormat="0" applyBorder="0" applyAlignment="0" applyProtection="0"/>
    <xf numFmtId="0" fontId="36" fillId="34" borderId="18" applyNumberFormat="0" applyBorder="0" applyAlignment="0" applyProtection="0"/>
    <xf numFmtId="0" fontId="36" fillId="34" borderId="18" applyNumberFormat="0" applyBorder="0" applyAlignment="0" applyProtection="0"/>
    <xf numFmtId="0" fontId="36" fillId="34" borderId="18" applyNumberFormat="0" applyBorder="0" applyAlignment="0" applyProtection="0"/>
    <xf numFmtId="0" fontId="36" fillId="34" borderId="18" applyNumberFormat="0" applyBorder="0" applyAlignment="0" applyProtection="0"/>
    <xf numFmtId="0" fontId="36" fillId="37" borderId="18" applyNumberFormat="0" applyBorder="0" applyAlignment="0" applyProtection="0"/>
    <xf numFmtId="0" fontId="36" fillId="37" borderId="18" applyNumberFormat="0" applyBorder="0" applyAlignment="0" applyProtection="0"/>
    <xf numFmtId="0" fontId="36" fillId="37" borderId="18" applyNumberFormat="0" applyBorder="0" applyAlignment="0" applyProtection="0"/>
    <xf numFmtId="0" fontId="36" fillId="37" borderId="18" applyNumberFormat="0" applyBorder="0" applyAlignment="0" applyProtection="0"/>
    <xf numFmtId="0" fontId="38" fillId="38" borderId="18" applyNumberFormat="0" applyBorder="0" applyAlignment="0" applyProtection="0"/>
    <xf numFmtId="0" fontId="38" fillId="35" borderId="18" applyNumberFormat="0" applyBorder="0" applyAlignment="0" applyProtection="0"/>
    <xf numFmtId="0" fontId="38" fillId="36" borderId="18" applyNumberFormat="0" applyBorder="0" applyAlignment="0" applyProtection="0"/>
    <xf numFmtId="0" fontId="38" fillId="39" borderId="18" applyNumberFormat="0" applyBorder="0" applyAlignment="0" applyProtection="0"/>
    <xf numFmtId="0" fontId="38" fillId="40" borderId="18" applyNumberFormat="0" applyBorder="0" applyAlignment="0" applyProtection="0"/>
    <xf numFmtId="0" fontId="38" fillId="41" borderId="18" applyNumberFormat="0" applyBorder="0" applyAlignment="0" applyProtection="0"/>
    <xf numFmtId="9" fontId="39" fillId="0" borderId="18"/>
    <xf numFmtId="9" fontId="39" fillId="0" borderId="18"/>
    <xf numFmtId="0" fontId="36" fillId="42" borderId="18" applyNumberFormat="0" applyBorder="0" applyAlignment="0" applyProtection="0"/>
    <xf numFmtId="0" fontId="36" fillId="42" borderId="18" applyNumberFormat="0" applyBorder="0" applyAlignment="0" applyProtection="0"/>
    <xf numFmtId="0" fontId="36" fillId="42" borderId="18" applyNumberFormat="0" applyBorder="0" applyAlignment="0" applyProtection="0"/>
    <xf numFmtId="0" fontId="36" fillId="42" borderId="18" applyNumberFormat="0" applyBorder="0" applyAlignment="0" applyProtection="0"/>
    <xf numFmtId="0" fontId="38" fillId="43" borderId="18" applyNumberFormat="0" applyBorder="0" applyAlignment="0" applyProtection="0"/>
    <xf numFmtId="0" fontId="38" fillId="45" borderId="18" applyNumberFormat="0" applyBorder="0" applyAlignment="0" applyProtection="0"/>
    <xf numFmtId="0" fontId="36" fillId="46" borderId="18" applyNumberFormat="0" applyBorder="0" applyAlignment="0" applyProtection="0"/>
    <xf numFmtId="0" fontId="36" fillId="46" borderId="18" applyNumberFormat="0" applyBorder="0" applyAlignment="0" applyProtection="0"/>
    <xf numFmtId="0" fontId="36" fillId="47" borderId="18" applyNumberFormat="0" applyBorder="0" applyAlignment="0" applyProtection="0"/>
    <xf numFmtId="0" fontId="36" fillId="47" borderId="18" applyNumberFormat="0" applyBorder="0" applyAlignment="0" applyProtection="0"/>
    <xf numFmtId="0" fontId="38" fillId="48" borderId="18" applyNumberFormat="0" applyBorder="0" applyAlignment="0" applyProtection="0"/>
    <xf numFmtId="0" fontId="38" fillId="50" borderId="18" applyNumberFormat="0" applyBorder="0" applyAlignment="0" applyProtection="0"/>
    <xf numFmtId="0" fontId="36" fillId="46" borderId="18" applyNumberFormat="0" applyBorder="0" applyAlignment="0" applyProtection="0"/>
    <xf numFmtId="0" fontId="36" fillId="46" borderId="18" applyNumberFormat="0" applyBorder="0" applyAlignment="0" applyProtection="0"/>
    <xf numFmtId="0" fontId="36" fillId="51" borderId="18" applyNumberFormat="0" applyBorder="0" applyAlignment="0" applyProtection="0"/>
    <xf numFmtId="0" fontId="36" fillId="51" borderId="18" applyNumberFormat="0" applyBorder="0" applyAlignment="0" applyProtection="0"/>
    <xf numFmtId="0" fontId="38" fillId="47" borderId="18" applyNumberFormat="0" applyBorder="0" applyAlignment="0" applyProtection="0"/>
    <xf numFmtId="0" fontId="38" fillId="48" borderId="18" applyNumberFormat="0" applyBorder="0" applyAlignment="0" applyProtection="0"/>
    <xf numFmtId="0" fontId="36" fillId="42" borderId="18" applyNumberFormat="0" applyBorder="0" applyAlignment="0" applyProtection="0"/>
    <xf numFmtId="0" fontId="36" fillId="42" borderId="18" applyNumberFormat="0" applyBorder="0" applyAlignment="0" applyProtection="0"/>
    <xf numFmtId="0" fontId="36" fillId="47" borderId="18" applyNumberFormat="0" applyBorder="0" applyAlignment="0" applyProtection="0"/>
    <xf numFmtId="0" fontId="36" fillId="47" borderId="18" applyNumberFormat="0" applyBorder="0" applyAlignment="0" applyProtection="0"/>
    <xf numFmtId="0" fontId="38" fillId="47" borderId="18" applyNumberFormat="0" applyBorder="0" applyAlignment="0" applyProtection="0"/>
    <xf numFmtId="0" fontId="38" fillId="45" borderId="18" applyNumberFormat="0" applyBorder="0" applyAlignment="0" applyProtection="0"/>
    <xf numFmtId="0" fontId="36" fillId="53" borderId="18" applyNumberFormat="0" applyBorder="0" applyAlignment="0" applyProtection="0"/>
    <xf numFmtId="0" fontId="36" fillId="53" borderId="18" applyNumberFormat="0" applyBorder="0" applyAlignment="0" applyProtection="0"/>
    <xf numFmtId="0" fontId="36" fillId="42" borderId="18" applyNumberFormat="0" applyBorder="0" applyAlignment="0" applyProtection="0"/>
    <xf numFmtId="0" fontId="36" fillId="42" borderId="18" applyNumberFormat="0" applyBorder="0" applyAlignment="0" applyProtection="0"/>
    <xf numFmtId="0" fontId="38" fillId="43" borderId="18" applyNumberFormat="0" applyBorder="0" applyAlignment="0" applyProtection="0"/>
    <xf numFmtId="0" fontId="38" fillId="54" borderId="18" applyNumberFormat="0" applyBorder="0" applyAlignment="0" applyProtection="0"/>
    <xf numFmtId="0" fontId="36" fillId="46" borderId="18" applyNumberFormat="0" applyBorder="0" applyAlignment="0" applyProtection="0"/>
    <xf numFmtId="0" fontId="36" fillId="46" borderId="18" applyNumberFormat="0" applyBorder="0" applyAlignment="0" applyProtection="0"/>
    <xf numFmtId="0" fontId="36" fillId="55" borderId="18" applyNumberFormat="0" applyBorder="0" applyAlignment="0" applyProtection="0"/>
    <xf numFmtId="0" fontId="36" fillId="55" borderId="18" applyNumberFormat="0" applyBorder="0" applyAlignment="0" applyProtection="0"/>
    <xf numFmtId="0" fontId="38" fillId="55" borderId="18" applyNumberFormat="0" applyBorder="0" applyAlignment="0" applyProtection="0"/>
    <xf numFmtId="0" fontId="38" fillId="57" borderId="18" applyNumberFormat="0" applyBorder="0" applyAlignment="0" applyProtection="0"/>
    <xf numFmtId="0" fontId="33" fillId="0" borderId="18" applyFill="0" applyBorder="0">
      <alignment vertical="center"/>
    </xf>
    <xf numFmtId="0" fontId="33" fillId="0" borderId="18" applyFill="0" applyBorder="0">
      <alignment vertical="center"/>
    </xf>
    <xf numFmtId="0" fontId="33" fillId="0" borderId="18" applyFill="0" applyBorder="0">
      <alignment vertical="center"/>
    </xf>
    <xf numFmtId="0" fontId="33" fillId="0" borderId="18" applyFill="0" applyBorder="0">
      <alignment vertical="center"/>
    </xf>
    <xf numFmtId="0" fontId="33" fillId="0" borderId="18" applyFill="0" applyBorder="0">
      <alignment vertical="center"/>
    </xf>
    <xf numFmtId="0" fontId="33" fillId="0" borderId="18" applyFill="0" applyBorder="0">
      <alignment vertical="center"/>
    </xf>
    <xf numFmtId="0" fontId="33" fillId="0" borderId="18" applyFill="0" applyBorder="0">
      <alignment vertical="center"/>
    </xf>
    <xf numFmtId="0" fontId="81" fillId="69" borderId="110" applyNumberFormat="0"/>
    <xf numFmtId="0" fontId="82" fillId="59" borderId="94" applyNumberFormat="0" applyAlignment="0" applyProtection="0"/>
    <xf numFmtId="0" fontId="46" fillId="60" borderId="94" applyNumberFormat="0" applyAlignment="0" applyProtection="0"/>
    <xf numFmtId="0" fontId="82" fillId="59" borderId="94" applyNumberFormat="0" applyAlignment="0" applyProtection="0"/>
    <xf numFmtId="0" fontId="45" fillId="59" borderId="94" applyNumberFormat="0" applyAlignment="0" applyProtection="0"/>
    <xf numFmtId="0" fontId="82" fillId="59" borderId="94" applyNumberFormat="0" applyAlignment="0" applyProtection="0"/>
    <xf numFmtId="0" fontId="83" fillId="70" borderId="111">
      <alignment horizontal="center"/>
    </xf>
    <xf numFmtId="0" fontId="84" fillId="0" borderId="18"/>
    <xf numFmtId="0" fontId="85" fillId="0" borderId="18">
      <alignment vertical="center"/>
    </xf>
    <xf numFmtId="202" fontId="86" fillId="71" borderId="112">
      <alignment horizontal="center"/>
    </xf>
    <xf numFmtId="0" fontId="47" fillId="48" borderId="95" applyNumberFormat="0" applyAlignment="0" applyProtection="0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203" fontId="87" fillId="0" borderId="18"/>
    <xf numFmtId="192" fontId="33" fillId="0" borderId="18"/>
    <xf numFmtId="204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203" fontId="87" fillId="0" borderId="18"/>
    <xf numFmtId="192" fontId="33" fillId="0" borderId="18"/>
    <xf numFmtId="204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203" fontId="87" fillId="0" borderId="18"/>
    <xf numFmtId="192" fontId="33" fillId="0" borderId="18"/>
    <xf numFmtId="204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203" fontId="87" fillId="0" borderId="18"/>
    <xf numFmtId="192" fontId="33" fillId="0" borderId="18"/>
    <xf numFmtId="204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203" fontId="87" fillId="0" borderId="18"/>
    <xf numFmtId="192" fontId="33" fillId="0" borderId="18"/>
    <xf numFmtId="204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203" fontId="87" fillId="0" borderId="18"/>
    <xf numFmtId="192" fontId="33" fillId="0" borderId="18"/>
    <xf numFmtId="204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203" fontId="87" fillId="0" borderId="18"/>
    <xf numFmtId="192" fontId="33" fillId="0" borderId="18"/>
    <xf numFmtId="204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203" fontId="87" fillId="0" borderId="18"/>
    <xf numFmtId="192" fontId="33" fillId="0" borderId="18"/>
    <xf numFmtId="204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192" fontId="33" fillId="0" borderId="18"/>
    <xf numFmtId="38" fontId="88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8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" fillId="0" borderId="18" applyFont="0" applyFill="0" applyBorder="0" applyAlignment="0" applyProtection="0"/>
    <xf numFmtId="43" fontId="3" fillId="0" borderId="18" applyFont="0" applyFill="0" applyBorder="0" applyAlignment="0" applyProtection="0"/>
    <xf numFmtId="43" fontId="3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0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196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196" fontId="33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43" fontId="36" fillId="0" borderId="18" applyFont="0" applyFill="0" applyBorder="0" applyAlignment="0" applyProtection="0"/>
    <xf numFmtId="181" fontId="3" fillId="0" borderId="18" applyFont="0" applyFill="0" applyBorder="0" applyAlignment="0" applyProtection="0"/>
    <xf numFmtId="43" fontId="33" fillId="0" borderId="18" applyFont="0" applyFill="0" applyBorder="0" applyAlignment="0" applyProtection="0"/>
    <xf numFmtId="0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3" fillId="0" borderId="18" applyFont="0" applyFill="0" applyBorder="0" applyAlignment="0" applyProtection="0"/>
    <xf numFmtId="43" fontId="37" fillId="0" borderId="18" applyFont="0" applyFill="0" applyBorder="0" applyAlignment="0" applyProtection="0"/>
    <xf numFmtId="0" fontId="33" fillId="0" borderId="18"/>
    <xf numFmtId="0" fontId="33" fillId="0" borderId="18"/>
    <xf numFmtId="205" fontId="33" fillId="0" borderId="18">
      <protection locked="0"/>
    </xf>
    <xf numFmtId="205" fontId="33" fillId="0" borderId="18">
      <protection locked="0"/>
    </xf>
    <xf numFmtId="205" fontId="33" fillId="0" borderId="18">
      <protection locked="0"/>
    </xf>
    <xf numFmtId="0" fontId="79" fillId="0" borderId="18"/>
    <xf numFmtId="44" fontId="33" fillId="0" borderId="18" applyFont="0" applyFill="0" applyBorder="0" applyAlignment="0" applyProtection="0"/>
    <xf numFmtId="44" fontId="33" fillId="0" borderId="18" applyFont="0" applyFill="0" applyBorder="0" applyAlignment="0" applyProtection="0"/>
    <xf numFmtId="206" fontId="33" fillId="0" borderId="18">
      <protection locked="0"/>
    </xf>
    <xf numFmtId="206" fontId="33" fillId="0" borderId="18">
      <protection locked="0"/>
    </xf>
    <xf numFmtId="206" fontId="33" fillId="0" borderId="18">
      <protection locked="0"/>
    </xf>
    <xf numFmtId="0" fontId="89" fillId="0" borderId="18">
      <protection locked="0"/>
    </xf>
    <xf numFmtId="207" fontId="33" fillId="0" borderId="18" applyFont="0" applyFill="0" applyBorder="0" applyAlignment="0" applyProtection="0"/>
    <xf numFmtId="208" fontId="33" fillId="0" borderId="18" applyFont="0" applyFill="0" applyBorder="0" applyAlignment="0" applyProtection="0"/>
    <xf numFmtId="0" fontId="34" fillId="62" borderId="18" applyNumberFormat="0" applyBorder="0" applyAlignment="0" applyProtection="0"/>
    <xf numFmtId="0" fontId="34" fillId="63" borderId="18" applyNumberFormat="0" applyBorder="0" applyAlignment="0" applyProtection="0"/>
    <xf numFmtId="0" fontId="34" fillId="64" borderId="18" applyNumberFormat="0" applyBorder="0" applyAlignment="0" applyProtection="0"/>
    <xf numFmtId="0" fontId="33" fillId="72" borderId="87" applyNumberFormat="0"/>
    <xf numFmtId="0" fontId="90" fillId="73" borderId="113" applyNumberFormat="0" applyAlignment="0">
      <alignment horizontal="center"/>
    </xf>
    <xf numFmtId="209" fontId="33" fillId="0" borderId="18" applyFont="0" applyFill="0" applyBorder="0" applyAlignment="0" applyProtection="0"/>
    <xf numFmtId="186" fontId="33" fillId="0" borderId="18" applyFont="0" applyFill="0" applyBorder="0" applyAlignment="0" applyProtection="0"/>
    <xf numFmtId="210" fontId="33" fillId="0" borderId="18" applyFont="0" applyFill="0" applyBorder="0" applyAlignment="0" applyProtection="0"/>
    <xf numFmtId="0" fontId="33" fillId="74" borderId="18" applyNumberFormat="0" applyFont="0" applyAlignment="0"/>
    <xf numFmtId="211" fontId="33" fillId="0" borderId="18">
      <protection locked="0"/>
    </xf>
    <xf numFmtId="211" fontId="33" fillId="0" borderId="18">
      <protection locked="0"/>
    </xf>
    <xf numFmtId="211" fontId="33" fillId="0" borderId="18">
      <protection locked="0"/>
    </xf>
    <xf numFmtId="212" fontId="91" fillId="75" borderId="94"/>
    <xf numFmtId="0" fontId="37" fillId="0" borderId="97" applyNumberFormat="0" applyFill="0" applyBorder="0" applyAlignment="0" applyProtection="0">
      <protection locked="0"/>
    </xf>
    <xf numFmtId="0" fontId="37" fillId="0" borderId="97" applyNumberFormat="0" applyFill="0" applyBorder="0" applyAlignment="0" applyProtection="0">
      <protection locked="0"/>
    </xf>
    <xf numFmtId="0" fontId="37" fillId="0" borderId="97" applyNumberFormat="0" applyFill="0" applyBorder="0" applyAlignment="0" applyProtection="0">
      <protection locked="0"/>
    </xf>
    <xf numFmtId="193" fontId="52" fillId="0" borderId="98">
      <alignment horizontal="right"/>
    </xf>
    <xf numFmtId="193" fontId="52" fillId="0" borderId="98">
      <alignment horizontal="right"/>
    </xf>
    <xf numFmtId="0" fontId="53" fillId="51" borderId="18" applyNumberFormat="0" applyBorder="0" applyAlignment="0" applyProtection="0"/>
    <xf numFmtId="38" fontId="54" fillId="27" borderId="18" applyNumberFormat="0" applyBorder="0" applyAlignment="0" applyProtection="0"/>
    <xf numFmtId="0" fontId="33" fillId="76" borderId="112" applyNumberFormat="0" applyFont="0" applyAlignment="0"/>
    <xf numFmtId="0" fontId="92" fillId="0" borderId="18">
      <alignment horizontal="left"/>
    </xf>
    <xf numFmtId="0" fontId="93" fillId="0" borderId="18"/>
    <xf numFmtId="0" fontId="94" fillId="0" borderId="18">
      <alignment wrapText="1"/>
    </xf>
    <xf numFmtId="0" fontId="95" fillId="0" borderId="18"/>
    <xf numFmtId="0" fontId="55" fillId="0" borderId="91" applyNumberFormat="0" applyAlignment="0" applyProtection="0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55" fillId="0" borderId="85">
      <alignment horizontal="left" vertical="center"/>
    </xf>
    <xf numFmtId="0" fontId="96" fillId="0" borderId="18"/>
    <xf numFmtId="0" fontId="55" fillId="0" borderId="18" applyNumberFormat="0" applyFill="0" applyBorder="0" applyAlignment="0"/>
    <xf numFmtId="0" fontId="96" fillId="0" borderId="18" applyNumberFormat="0" applyFill="0" applyBorder="0" applyAlignment="0"/>
    <xf numFmtId="213" fontId="97" fillId="0" borderId="18">
      <protection locked="0"/>
    </xf>
    <xf numFmtId="213" fontId="97" fillId="0" borderId="18">
      <protection locked="0"/>
    </xf>
    <xf numFmtId="199" fontId="98" fillId="0" borderId="89" applyNumberFormat="0" applyFont="0" applyBorder="0" applyAlignment="0"/>
    <xf numFmtId="199" fontId="98" fillId="0" borderId="89" applyNumberFormat="0" applyFont="0" applyBorder="0" applyAlignment="0"/>
    <xf numFmtId="199" fontId="98" fillId="0" borderId="89" applyNumberFormat="0" applyFont="0" applyBorder="0" applyAlignment="0"/>
    <xf numFmtId="199" fontId="98" fillId="0" borderId="89" applyNumberFormat="0" applyFont="0" applyBorder="0" applyAlignment="0"/>
    <xf numFmtId="199" fontId="98" fillId="0" borderId="89" applyNumberFormat="0" applyFont="0" applyBorder="0" applyAlignment="0"/>
    <xf numFmtId="199" fontId="98" fillId="0" borderId="89" applyNumberFormat="0" applyFont="0" applyBorder="0" applyAlignment="0"/>
    <xf numFmtId="199" fontId="98" fillId="0" borderId="89" applyNumberFormat="0" applyFont="0" applyBorder="0" applyAlignment="0"/>
    <xf numFmtId="199" fontId="98" fillId="0" borderId="89" applyNumberFormat="0" applyFont="0" applyBorder="0" applyAlignment="0"/>
    <xf numFmtId="0" fontId="99" fillId="0" borderId="18" applyNumberFormat="0" applyFill="0" applyBorder="0" applyAlignment="0" applyProtection="0">
      <alignment vertical="top"/>
      <protection locked="0"/>
    </xf>
    <xf numFmtId="0" fontId="100" fillId="0" borderId="18" applyNumberFormat="0" applyFill="0" applyBorder="0" applyAlignment="0" applyProtection="0">
      <alignment vertical="top"/>
      <protection locked="0"/>
    </xf>
    <xf numFmtId="0" fontId="62" fillId="0" borderId="18" applyNumberFormat="0" applyFill="0" applyBorder="0" applyAlignment="0" applyProtection="0">
      <alignment vertical="top"/>
      <protection locked="0"/>
    </xf>
    <xf numFmtId="0" fontId="99" fillId="0" borderId="18" applyNumberFormat="0" applyFill="0" applyBorder="0" applyAlignment="0" applyProtection="0">
      <alignment vertical="top"/>
      <protection locked="0"/>
    </xf>
    <xf numFmtId="0" fontId="62" fillId="0" borderId="18" applyNumberFormat="0" applyFill="0" applyBorder="0" applyAlignment="0" applyProtection="0">
      <alignment vertical="top"/>
      <protection locked="0"/>
    </xf>
    <xf numFmtId="0" fontId="101" fillId="0" borderId="18" applyNumberFormat="0" applyFill="0" applyBorder="0" applyAlignment="0" applyProtection="0">
      <alignment vertical="top"/>
      <protection locked="0"/>
    </xf>
    <xf numFmtId="0" fontId="62" fillId="0" borderId="18" applyNumberFormat="0" applyFill="0" applyBorder="0" applyAlignment="0" applyProtection="0">
      <alignment vertical="top"/>
      <protection locked="0"/>
    </xf>
    <xf numFmtId="0" fontId="62" fillId="0" borderId="18" applyNumberFormat="0" applyFill="0" applyBorder="0" applyAlignment="0" applyProtection="0">
      <alignment vertical="top"/>
      <protection locked="0"/>
    </xf>
    <xf numFmtId="0" fontId="62" fillId="0" borderId="18" applyNumberFormat="0" applyFill="0" applyBorder="0" applyAlignment="0" applyProtection="0">
      <alignment vertical="top"/>
      <protection locked="0"/>
    </xf>
    <xf numFmtId="0" fontId="62" fillId="0" borderId="18" applyNumberFormat="0" applyFill="0" applyBorder="0" applyAlignment="0" applyProtection="0">
      <alignment vertical="top"/>
      <protection locked="0"/>
    </xf>
    <xf numFmtId="0" fontId="62" fillId="0" borderId="18" applyNumberFormat="0" applyFill="0" applyBorder="0" applyAlignment="0" applyProtection="0">
      <alignment vertical="top"/>
      <protection locked="0"/>
    </xf>
    <xf numFmtId="0" fontId="102" fillId="0" borderId="18" applyNumberFormat="0" applyFill="0" applyBorder="0" applyAlignment="0" applyProtection="0"/>
    <xf numFmtId="0" fontId="63" fillId="0" borderId="18" applyNumberFormat="0" applyFill="0" applyBorder="0" applyAlignment="0" applyProtection="0">
      <alignment vertical="top"/>
      <protection locked="0"/>
    </xf>
    <xf numFmtId="0" fontId="63" fillId="0" borderId="18" applyNumberFormat="0" applyFill="0" applyBorder="0" applyAlignment="0" applyProtection="0">
      <alignment vertical="top"/>
      <protection locked="0"/>
    </xf>
    <xf numFmtId="194" fontId="33" fillId="0" borderId="18" applyProtection="0">
      <alignment horizontal="center"/>
    </xf>
    <xf numFmtId="194" fontId="33" fillId="0" borderId="18" applyProtection="0">
      <alignment horizontal="center"/>
    </xf>
    <xf numFmtId="194" fontId="33" fillId="0" borderId="18" applyProtection="0">
      <alignment horizontal="center"/>
    </xf>
    <xf numFmtId="194" fontId="33" fillId="0" borderId="18" applyProtection="0">
      <alignment horizontal="center"/>
    </xf>
    <xf numFmtId="0" fontId="86" fillId="0" borderId="18" applyNumberFormat="0" applyFill="0" applyBorder="0">
      <alignment horizontal="left"/>
    </xf>
    <xf numFmtId="10" fontId="54" fillId="65" borderId="87" applyNumberFormat="0" applyBorder="0" applyAlignment="0" applyProtection="0"/>
    <xf numFmtId="10" fontId="54" fillId="65" borderId="87" applyNumberFormat="0" applyBorder="0" applyAlignment="0" applyProtection="0"/>
    <xf numFmtId="10" fontId="54" fillId="65" borderId="87" applyNumberFormat="0" applyBorder="0" applyAlignment="0" applyProtection="0"/>
    <xf numFmtId="10" fontId="54" fillId="65" borderId="87" applyNumberFormat="0" applyBorder="0" applyAlignment="0" applyProtection="0"/>
    <xf numFmtId="0" fontId="64" fillId="55" borderId="94" applyNumberFormat="0" applyAlignment="0" applyProtection="0"/>
    <xf numFmtId="0" fontId="64" fillId="55" borderId="94" applyNumberFormat="0" applyAlignment="0" applyProtection="0"/>
    <xf numFmtId="0" fontId="64" fillId="55" borderId="94" applyNumberFormat="0" applyAlignment="0" applyProtection="0"/>
    <xf numFmtId="0" fontId="103" fillId="33" borderId="94" applyNumberFormat="0" applyAlignment="0" applyProtection="0"/>
    <xf numFmtId="0" fontId="64" fillId="33" borderId="94" applyNumberFormat="0" applyAlignment="0" applyProtection="0"/>
    <xf numFmtId="0" fontId="103" fillId="33" borderId="94" applyNumberFormat="0" applyAlignment="0" applyProtection="0"/>
    <xf numFmtId="0" fontId="64" fillId="33" borderId="94" applyNumberFormat="0" applyAlignment="0" applyProtection="0"/>
    <xf numFmtId="0" fontId="104" fillId="77" borderId="18"/>
    <xf numFmtId="0" fontId="33" fillId="0" borderId="87" applyNumberFormat="0"/>
    <xf numFmtId="0" fontId="33" fillId="0" borderId="114" applyNumberFormat="0" applyFont="0" applyFill="0" applyAlignment="0"/>
    <xf numFmtId="0" fontId="105" fillId="0" borderId="109"/>
    <xf numFmtId="182" fontId="33" fillId="0" borderId="18" applyFont="0" applyFill="0" applyBorder="0" applyAlignment="0" applyProtection="0"/>
    <xf numFmtId="183" fontId="33" fillId="0" borderId="18" applyFont="0" applyFill="0" applyBorder="0" applyAlignment="0" applyProtection="0"/>
    <xf numFmtId="0" fontId="67" fillId="67" borderId="18" applyNumberFormat="0" applyBorder="0" applyAlignment="0" applyProtection="0"/>
    <xf numFmtId="37" fontId="68" fillId="0" borderId="18"/>
    <xf numFmtId="37" fontId="68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99" fontId="69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169" fontId="33" fillId="0" borderId="18"/>
    <xf numFmtId="0" fontId="33" fillId="0" borderId="18" applyNumberFormat="0" applyFont="0" applyFill="0" applyBorder="0" applyAlignment="0" applyProtection="0">
      <alignment vertical="top"/>
    </xf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80" fillId="0" borderId="18"/>
    <xf numFmtId="0" fontId="80" fillId="0" borderId="18"/>
    <xf numFmtId="0" fontId="80" fillId="0" borderId="18"/>
    <xf numFmtId="0" fontId="80" fillId="0" borderId="18"/>
    <xf numFmtId="0" fontId="80" fillId="0" borderId="18"/>
    <xf numFmtId="0" fontId="3" fillId="0" borderId="18"/>
    <xf numFmtId="0" fontId="30" fillId="0" borderId="18"/>
    <xf numFmtId="0" fontId="3" fillId="0" borderId="18"/>
    <xf numFmtId="0" fontId="30" fillId="0" borderId="18"/>
    <xf numFmtId="0" fontId="30" fillId="0" borderId="18"/>
    <xf numFmtId="0" fontId="30" fillId="0" borderId="18"/>
    <xf numFmtId="0" fontId="33" fillId="0" borderId="18"/>
    <xf numFmtId="0" fontId="30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3" fillId="0" borderId="18" applyNumberFormat="0" applyFont="0" applyFill="0" applyBorder="0" applyAlignment="0" applyProtection="0">
      <alignment vertical="top"/>
    </xf>
    <xf numFmtId="0" fontId="30" fillId="0" borderId="18"/>
    <xf numFmtId="0" fontId="30" fillId="0" borderId="18"/>
    <xf numFmtId="0" fontId="30" fillId="0" borderId="18"/>
    <xf numFmtId="0" fontId="30" fillId="0" borderId="18"/>
    <xf numFmtId="0" fontId="30" fillId="0" borderId="18"/>
    <xf numFmtId="0" fontId="33" fillId="0" borderId="18"/>
    <xf numFmtId="0" fontId="33" fillId="0" borderId="18" applyNumberFormat="0" applyFont="0" applyFill="0" applyBorder="0" applyAlignment="0" applyProtection="0">
      <alignment vertical="top"/>
    </xf>
    <xf numFmtId="0" fontId="33" fillId="0" borderId="18" applyNumberFormat="0" applyFont="0" applyFill="0" applyBorder="0" applyAlignment="0" applyProtection="0">
      <alignment vertical="top"/>
    </xf>
    <xf numFmtId="0" fontId="33" fillId="0" borderId="18"/>
    <xf numFmtId="0" fontId="30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3" fillId="0" borderId="18" applyNumberFormat="0" applyFont="0" applyFill="0" applyBorder="0" applyAlignment="0" applyProtection="0">
      <alignment vertical="top"/>
    </xf>
    <xf numFmtId="0" fontId="33" fillId="0" borderId="18" applyNumberFormat="0" applyFont="0" applyFill="0" applyBorder="0" applyAlignment="0" applyProtection="0">
      <alignment vertical="top"/>
    </xf>
    <xf numFmtId="0" fontId="30" fillId="0" borderId="18"/>
    <xf numFmtId="186" fontId="30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7" fillId="0" borderId="18"/>
    <xf numFmtId="0" fontId="3" fillId="0" borderId="18"/>
    <xf numFmtId="186" fontId="30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3" fillId="0" borderId="18"/>
    <xf numFmtId="186" fontId="30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186" fontId="30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3" fillId="0" borderId="18"/>
    <xf numFmtId="0" fontId="33" fillId="0" borderId="18" applyNumberFormat="0" applyFont="0" applyFill="0" applyBorder="0" applyAlignment="0" applyProtection="0">
      <alignment vertical="top"/>
    </xf>
    <xf numFmtId="0" fontId="33" fillId="0" borderId="18" applyNumberFormat="0" applyFont="0" applyFill="0" applyBorder="0" applyAlignment="0" applyProtection="0">
      <alignment vertical="top"/>
    </xf>
    <xf numFmtId="0" fontId="33" fillId="0" borderId="18" applyNumberFormat="0" applyFont="0" applyFill="0" applyBorder="0" applyAlignment="0" applyProtection="0">
      <alignment vertical="top"/>
    </xf>
    <xf numFmtId="0" fontId="33" fillId="0" borderId="18"/>
    <xf numFmtId="0" fontId="33" fillId="0" borderId="18" applyNumberFormat="0" applyFont="0" applyFill="0" applyBorder="0" applyAlignment="0" applyProtection="0">
      <alignment vertical="top"/>
    </xf>
    <xf numFmtId="0" fontId="33" fillId="0" borderId="18"/>
    <xf numFmtId="0" fontId="33" fillId="0" borderId="18" applyNumberFormat="0" applyFont="0" applyFill="0" applyBorder="0" applyAlignment="0" applyProtection="0">
      <alignment vertical="top"/>
    </xf>
    <xf numFmtId="0" fontId="33" fillId="0" borderId="18" applyNumberFormat="0" applyFont="0" applyFill="0" applyBorder="0" applyAlignment="0" applyProtection="0">
      <alignment vertical="top"/>
    </xf>
    <xf numFmtId="0" fontId="36" fillId="0" borderId="18"/>
    <xf numFmtId="0" fontId="36" fillId="0" borderId="18"/>
    <xf numFmtId="0" fontId="36" fillId="0" borderId="18"/>
    <xf numFmtId="0" fontId="36" fillId="0" borderId="18"/>
    <xf numFmtId="0" fontId="36" fillId="0" borderId="18"/>
    <xf numFmtId="0" fontId="36" fillId="0" borderId="18"/>
    <xf numFmtId="0" fontId="36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3" fillId="0" borderId="18"/>
    <xf numFmtId="0" fontId="33" fillId="0" borderId="18" applyNumberFormat="0" applyFont="0" applyFill="0" applyBorder="0" applyAlignment="0" applyProtection="0">
      <alignment vertical="top"/>
    </xf>
    <xf numFmtId="0" fontId="80" fillId="0" borderId="18"/>
    <xf numFmtId="0" fontId="33" fillId="0" borderId="18"/>
    <xf numFmtId="0" fontId="36" fillId="0" borderId="18"/>
    <xf numFmtId="0" fontId="3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7" fillId="0" borderId="18"/>
    <xf numFmtId="0" fontId="30" fillId="0" borderId="18"/>
    <xf numFmtId="0" fontId="36" fillId="0" borderId="18"/>
    <xf numFmtId="0" fontId="36" fillId="0" borderId="18"/>
    <xf numFmtId="0" fontId="36" fillId="0" borderId="18"/>
    <xf numFmtId="0" fontId="36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0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3" fillId="0" borderId="18" applyNumberFormat="0" applyFont="0" applyFill="0" applyBorder="0" applyAlignment="0" applyProtection="0">
      <alignment vertical="top"/>
    </xf>
    <xf numFmtId="0" fontId="33" fillId="0" borderId="18" applyNumberFormat="0" applyFont="0" applyFill="0" applyBorder="0" applyAlignment="0" applyProtection="0">
      <alignment vertical="top"/>
    </xf>
    <xf numFmtId="0" fontId="30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3" fillId="0" borderId="18"/>
    <xf numFmtId="0" fontId="33" fillId="0" borderId="18"/>
    <xf numFmtId="0" fontId="33" fillId="0" borderId="18" applyNumberFormat="0" applyFont="0" applyFill="0" applyBorder="0" applyAlignment="0" applyProtection="0">
      <alignment vertical="top"/>
    </xf>
    <xf numFmtId="0" fontId="33" fillId="0" borderId="18"/>
    <xf numFmtId="0" fontId="36" fillId="0" borderId="18"/>
    <xf numFmtId="0" fontId="37" fillId="0" borderId="18"/>
    <xf numFmtId="0" fontId="36" fillId="0" borderId="18"/>
    <xf numFmtId="0" fontId="33" fillId="0" borderId="18" applyNumberFormat="0" applyFont="0" applyFill="0" applyBorder="0" applyAlignment="0" applyProtection="0">
      <alignment vertical="top"/>
    </xf>
    <xf numFmtId="0" fontId="33" fillId="0" borderId="18" applyNumberFormat="0" applyFont="0" applyFill="0" applyBorder="0" applyAlignment="0" applyProtection="0">
      <alignment vertical="top"/>
    </xf>
    <xf numFmtId="186" fontId="30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0" fontId="33" fillId="0" borderId="18"/>
    <xf numFmtId="0" fontId="80" fillId="0" borderId="18"/>
    <xf numFmtId="0" fontId="33" fillId="0" borderId="18"/>
    <xf numFmtId="0" fontId="80" fillId="0" borderId="18"/>
    <xf numFmtId="0" fontId="33" fillId="0" borderId="18" applyNumberFormat="0" applyFont="0" applyFill="0" applyBorder="0" applyAlignment="0" applyProtection="0">
      <alignment vertical="top"/>
    </xf>
    <xf numFmtId="0" fontId="33" fillId="0" borderId="18" applyNumberFormat="0" applyFont="0" applyFill="0" applyBorder="0" applyAlignment="0" applyProtection="0">
      <alignment vertical="top"/>
    </xf>
    <xf numFmtId="0" fontId="33" fillId="0" borderId="18" applyNumberFormat="0" applyFont="0" applyFill="0" applyBorder="0" applyAlignment="0" applyProtection="0">
      <alignment vertical="top"/>
    </xf>
    <xf numFmtId="0" fontId="37" fillId="0" borderId="18"/>
    <xf numFmtId="0" fontId="30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0" fillId="0" borderId="18"/>
    <xf numFmtId="0" fontId="30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7" fillId="0" borderId="18"/>
    <xf numFmtId="0" fontId="3" fillId="0" borderId="18"/>
    <xf numFmtId="0" fontId="30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0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0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3" fillId="0" borderId="18"/>
    <xf numFmtId="0" fontId="106" fillId="0" borderId="18">
      <alignment vertical="top"/>
    </xf>
    <xf numFmtId="0" fontId="106" fillId="0" borderId="18">
      <alignment vertical="top"/>
    </xf>
    <xf numFmtId="0" fontId="37" fillId="0" borderId="18"/>
    <xf numFmtId="0" fontId="33" fillId="0" borderId="18" applyNumberFormat="0" applyFont="0" applyFill="0" applyBorder="0" applyAlignment="0" applyProtection="0">
      <alignment vertical="top"/>
    </xf>
    <xf numFmtId="0" fontId="33" fillId="0" borderId="18"/>
    <xf numFmtId="0" fontId="37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7" fillId="0" borderId="18"/>
    <xf numFmtId="0" fontId="3" fillId="0" borderId="18"/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33" fillId="0" borderId="18"/>
    <xf numFmtId="0" fontId="33" fillId="0" borderId="18"/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30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7" fillId="0" borderId="18"/>
    <xf numFmtId="0" fontId="33" fillId="0" borderId="18" applyNumberFormat="0" applyFont="0" applyFill="0" applyBorder="0" applyAlignment="0" applyProtection="0">
      <alignment vertical="top"/>
    </xf>
    <xf numFmtId="0" fontId="33" fillId="0" borderId="18"/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3" fillId="0" borderId="18"/>
    <xf numFmtId="0" fontId="3" fillId="0" borderId="18"/>
    <xf numFmtId="0" fontId="3" fillId="0" borderId="18"/>
    <xf numFmtId="0" fontId="3" fillId="0" borderId="18"/>
    <xf numFmtId="0" fontId="106" fillId="0" borderId="18">
      <alignment vertical="top"/>
    </xf>
    <xf numFmtId="0" fontId="36" fillId="0" borderId="18"/>
    <xf numFmtId="0" fontId="33" fillId="0" borderId="18"/>
    <xf numFmtId="0" fontId="36" fillId="0" borderId="18"/>
    <xf numFmtId="0" fontId="33" fillId="0" borderId="18"/>
    <xf numFmtId="0" fontId="36" fillId="0" borderId="18"/>
    <xf numFmtId="0" fontId="36" fillId="0" borderId="18"/>
    <xf numFmtId="0" fontId="36" fillId="0" borderId="18"/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33" fillId="0" borderId="18"/>
    <xf numFmtId="0" fontId="33" fillId="0" borderId="18"/>
    <xf numFmtId="0" fontId="37" fillId="0" borderId="18"/>
    <xf numFmtId="0" fontId="30" fillId="0" borderId="18"/>
    <xf numFmtId="186" fontId="30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186" fontId="30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186" fontId="3" fillId="0" borderId="18"/>
    <xf numFmtId="0" fontId="37" fillId="0" borderId="18"/>
    <xf numFmtId="0" fontId="107" fillId="0" borderId="18"/>
    <xf numFmtId="0" fontId="106" fillId="0" borderId="18">
      <alignment vertical="top"/>
    </xf>
    <xf numFmtId="0" fontId="30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106" fillId="0" borderId="18">
      <alignment vertical="top"/>
    </xf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3" fillId="0" borderId="18" applyNumberFormat="0" applyFont="0" applyFill="0" applyBorder="0" applyAlignment="0" applyProtection="0">
      <alignment vertical="top"/>
    </xf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7" fillId="0" borderId="18"/>
    <xf numFmtId="0" fontId="32" fillId="0" borderId="18"/>
    <xf numFmtId="0" fontId="32" fillId="0" borderId="18"/>
    <xf numFmtId="0" fontId="108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109" fillId="0" borderId="18"/>
    <xf numFmtId="0" fontId="3" fillId="0" borderId="18"/>
    <xf numFmtId="0" fontId="30" fillId="0" borderId="18"/>
    <xf numFmtId="0" fontId="30" fillId="0" borderId="18"/>
    <xf numFmtId="0" fontId="33" fillId="0" borderId="18" applyNumberFormat="0" applyFont="0" applyFill="0" applyBorder="0" applyAlignment="0" applyProtection="0">
      <alignment vertical="top"/>
    </xf>
    <xf numFmtId="0" fontId="30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3" fillId="0" borderId="18" applyNumberFormat="0" applyFont="0" applyFill="0" applyBorder="0" applyAlignment="0" applyProtection="0">
      <alignment vertical="top"/>
    </xf>
    <xf numFmtId="0" fontId="30" fillId="0" borderId="18"/>
    <xf numFmtId="0" fontId="33" fillId="0" borderId="18" applyNumberFormat="0" applyFont="0" applyFill="0" applyBorder="0" applyAlignment="0" applyProtection="0">
      <alignment vertical="top"/>
    </xf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" fillId="0" borderId="18"/>
    <xf numFmtId="0" fontId="37" fillId="0" borderId="18"/>
    <xf numFmtId="0" fontId="33" fillId="0" borderId="18" applyNumberFormat="0" applyFont="0" applyFill="0" applyBorder="0" applyAlignment="0" applyProtection="0">
      <alignment vertical="top"/>
    </xf>
    <xf numFmtId="0" fontId="80" fillId="0" borderId="18"/>
    <xf numFmtId="0" fontId="80" fillId="0" borderId="18"/>
    <xf numFmtId="0" fontId="80" fillId="0" borderId="18"/>
    <xf numFmtId="0" fontId="80" fillId="0" borderId="18"/>
    <xf numFmtId="0" fontId="80" fillId="0" borderId="18"/>
    <xf numFmtId="0" fontId="80" fillId="0" borderId="18"/>
    <xf numFmtId="0" fontId="80" fillId="0" borderId="18"/>
    <xf numFmtId="0" fontId="80" fillId="0" borderId="18"/>
    <xf numFmtId="0" fontId="80" fillId="0" borderId="18"/>
    <xf numFmtId="0" fontId="80" fillId="0" borderId="18"/>
    <xf numFmtId="0" fontId="36" fillId="46" borderId="105" applyNumberFormat="0" applyFont="0" applyAlignment="0" applyProtection="0"/>
    <xf numFmtId="0" fontId="36" fillId="46" borderId="105" applyNumberFormat="0" applyFont="0" applyAlignment="0" applyProtection="0"/>
    <xf numFmtId="0" fontId="36" fillId="46" borderId="105" applyNumberFormat="0" applyFont="0" applyAlignment="0" applyProtection="0"/>
    <xf numFmtId="0" fontId="36" fillId="46" borderId="105" applyNumberFormat="0" applyFont="0" applyAlignment="0" applyProtection="0"/>
    <xf numFmtId="0" fontId="36" fillId="46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3" fillId="68" borderId="105" applyNumberFormat="0" applyFont="0" applyAlignment="0" applyProtection="0"/>
    <xf numFmtId="0" fontId="33" fillId="68" borderId="105" applyNumberFormat="0" applyFont="0" applyAlignment="0" applyProtection="0"/>
    <xf numFmtId="0" fontId="36" fillId="68" borderId="105" applyNumberFormat="0" applyFont="0" applyAlignment="0" applyProtection="0"/>
    <xf numFmtId="0" fontId="36" fillId="68" borderId="105" applyNumberFormat="0" applyFont="0" applyAlignment="0" applyProtection="0"/>
    <xf numFmtId="0" fontId="33" fillId="68" borderId="105" applyNumberFormat="0" applyFont="0" applyAlignment="0" applyProtection="0"/>
    <xf numFmtId="0" fontId="110" fillId="78" borderId="115" applyNumberFormat="0"/>
    <xf numFmtId="0" fontId="71" fillId="60" borderId="106" applyNumberFormat="0" applyAlignment="0" applyProtection="0"/>
    <xf numFmtId="0" fontId="71" fillId="60" borderId="106" applyNumberFormat="0" applyAlignment="0" applyProtection="0"/>
    <xf numFmtId="0" fontId="71" fillId="60" borderId="106" applyNumberFormat="0" applyAlignment="0" applyProtection="0"/>
    <xf numFmtId="0" fontId="111" fillId="59" borderId="106" applyNumberFormat="0" applyAlignment="0" applyProtection="0"/>
    <xf numFmtId="0" fontId="71" fillId="59" borderId="106" applyNumberFormat="0" applyAlignment="0" applyProtection="0"/>
    <xf numFmtId="0" fontId="111" fillId="59" borderId="106" applyNumberFormat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10" fontId="3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8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0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3" fillId="0" borderId="18" applyFont="0" applyFill="0" applyBorder="0" applyAlignment="0" applyProtection="0"/>
    <xf numFmtId="9" fontId="33" fillId="0" borderId="18" applyFont="0" applyFill="0" applyBorder="0" applyAlignment="0" applyProtection="0"/>
    <xf numFmtId="0" fontId="72" fillId="0" borderId="18" applyFont="0"/>
    <xf numFmtId="9" fontId="33" fillId="0" borderId="18" applyFont="0" applyFill="0" applyBorder="0" applyAlignment="0" applyProtection="0"/>
    <xf numFmtId="0" fontId="112" fillId="79" borderId="116" applyNumberFormat="0">
      <alignment horizontal="center"/>
    </xf>
    <xf numFmtId="214" fontId="33" fillId="0" borderId="18" applyBorder="0"/>
    <xf numFmtId="0" fontId="113" fillId="77" borderId="18"/>
    <xf numFmtId="0" fontId="114" fillId="77" borderId="18"/>
    <xf numFmtId="0" fontId="115" fillId="77" borderId="18"/>
    <xf numFmtId="0" fontId="74" fillId="0" borderId="18" applyNumberFormat="0" applyFill="0" applyBorder="0" applyAlignment="0" applyProtection="0">
      <alignment vertical="top"/>
      <protection locked="0"/>
    </xf>
    <xf numFmtId="0" fontId="74" fillId="0" borderId="18" applyNumberFormat="0" applyFill="0" applyBorder="0" applyAlignment="0" applyProtection="0">
      <alignment vertical="top"/>
      <protection locked="0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16" fillId="0" borderId="105" applyNumberFormat="0" applyFont="0">
      <alignment vertical="center" wrapText="1"/>
    </xf>
    <xf numFmtId="0" fontId="105" fillId="0" borderId="18"/>
    <xf numFmtId="0" fontId="37" fillId="0" borderId="18">
      <alignment horizontal="right"/>
    </xf>
    <xf numFmtId="0" fontId="37" fillId="0" borderId="18">
      <alignment horizontal="right"/>
    </xf>
    <xf numFmtId="0" fontId="117" fillId="0" borderId="92">
      <alignment horizontal="center" vertical="top"/>
    </xf>
    <xf numFmtId="0" fontId="118" fillId="80" borderId="85" applyNumberFormat="0">
      <alignment horizontal="center" vertical="center"/>
    </xf>
    <xf numFmtId="0" fontId="86" fillId="76" borderId="112">
      <alignment horizontal="left"/>
    </xf>
    <xf numFmtId="0" fontId="54" fillId="0" borderId="117" applyNumberFormat="0" applyProtection="0"/>
    <xf numFmtId="0" fontId="33" fillId="0" borderId="18" applyProtection="0"/>
    <xf numFmtId="0" fontId="33" fillId="0" borderId="18" applyProtection="0"/>
    <xf numFmtId="0" fontId="119" fillId="0" borderId="107" applyNumberFormat="0" applyFill="0" applyAlignment="0" applyProtection="0"/>
    <xf numFmtId="0" fontId="119" fillId="0" borderId="107" applyNumberFormat="0" applyFill="0" applyAlignment="0" applyProtection="0"/>
    <xf numFmtId="0" fontId="34" fillId="0" borderId="107" applyNumberFormat="0" applyFill="0" applyAlignment="0" applyProtection="0"/>
    <xf numFmtId="0" fontId="119" fillId="0" borderId="107" applyNumberFormat="0" applyFill="0" applyAlignment="0" applyProtection="0"/>
    <xf numFmtId="179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79" fontId="120" fillId="0" borderId="18" applyFont="0" applyFill="0" applyBorder="0" applyAlignment="0" applyProtection="0"/>
    <xf numFmtId="181" fontId="120" fillId="0" borderId="18" applyFont="0" applyFill="0" applyBorder="0" applyAlignment="0" applyProtection="0"/>
    <xf numFmtId="0" fontId="86" fillId="0" borderId="18" applyNumberFormat="0"/>
    <xf numFmtId="215" fontId="120" fillId="0" borderId="18" applyFont="0" applyFill="0" applyBorder="0" applyAlignment="0" applyProtection="0"/>
    <xf numFmtId="216" fontId="33" fillId="0" borderId="18" applyFont="0" applyFill="0" applyBorder="0" applyAlignment="0" applyProtection="0"/>
    <xf numFmtId="217" fontId="120" fillId="0" borderId="18" applyFont="0" applyFill="0" applyBorder="0" applyAlignment="0" applyProtection="0"/>
    <xf numFmtId="218" fontId="33" fillId="0" borderId="18" applyFont="0" applyFill="0" applyBorder="0" applyAlignment="0" applyProtection="0"/>
    <xf numFmtId="219" fontId="33" fillId="0" borderId="18" applyFont="0" applyFill="0" applyBorder="0" applyAlignment="0" applyProtection="0"/>
    <xf numFmtId="0" fontId="121" fillId="81" borderId="118">
      <alignment horizontal="center"/>
    </xf>
    <xf numFmtId="195" fontId="33" fillId="0" borderId="18" applyFont="0" applyFill="0" applyBorder="0" applyAlignment="0" applyProtection="0"/>
    <xf numFmtId="179" fontId="122" fillId="0" borderId="18" applyFont="0" applyFill="0" applyBorder="0" applyAlignment="0" applyProtection="0"/>
    <xf numFmtId="181" fontId="122" fillId="0" borderId="18" applyFont="0" applyFill="0" applyBorder="0" applyAlignment="0" applyProtection="0"/>
    <xf numFmtId="200" fontId="122" fillId="0" borderId="18" applyFont="0" applyFill="0" applyBorder="0" applyAlignment="0" applyProtection="0"/>
    <xf numFmtId="201" fontId="122" fillId="0" borderId="18" applyFont="0" applyFill="0" applyBorder="0" applyAlignment="0" applyProtection="0"/>
    <xf numFmtId="0" fontId="123" fillId="0" borderId="18">
      <alignment vertical="center"/>
    </xf>
    <xf numFmtId="0" fontId="124" fillId="0" borderId="18"/>
    <xf numFmtId="0" fontId="3" fillId="28" borderId="18" applyNumberFormat="0" applyBorder="0" applyAlignment="0" applyProtection="0"/>
    <xf numFmtId="0" fontId="3" fillId="0" borderId="18"/>
    <xf numFmtId="0" fontId="33" fillId="0" borderId="18"/>
    <xf numFmtId="0" fontId="3" fillId="0" borderId="18"/>
    <xf numFmtId="0" fontId="33" fillId="0" borderId="18"/>
    <xf numFmtId="0" fontId="3" fillId="26" borderId="18" applyNumberFormat="0" applyBorder="0" applyAlignment="0" applyProtection="0"/>
    <xf numFmtId="0" fontId="3" fillId="0" borderId="18"/>
    <xf numFmtId="0" fontId="3" fillId="24" borderId="18" applyNumberFormat="0" applyBorder="0" applyAlignment="0" applyProtection="0"/>
    <xf numFmtId="0" fontId="3" fillId="0" borderId="18"/>
    <xf numFmtId="0" fontId="33" fillId="0" borderId="18"/>
    <xf numFmtId="0" fontId="3" fillId="0" borderId="18"/>
    <xf numFmtId="184" fontId="3" fillId="0" borderId="18" applyFont="0" applyFill="0" applyBorder="0" applyAlignment="0" applyProtection="0"/>
    <xf numFmtId="0" fontId="130" fillId="0" borderId="18">
      <alignment vertical="center"/>
    </xf>
    <xf numFmtId="0" fontId="128" fillId="0" borderId="18"/>
    <xf numFmtId="0" fontId="33" fillId="0" borderId="18"/>
    <xf numFmtId="181" fontId="33" fillId="0" borderId="18" applyFont="0" applyFill="0" applyBorder="0" applyAlignment="0" applyProtection="0"/>
    <xf numFmtId="0" fontId="33" fillId="0" borderId="18"/>
    <xf numFmtId="0" fontId="127" fillId="0" borderId="18"/>
    <xf numFmtId="0" fontId="33" fillId="0" borderId="18"/>
    <xf numFmtId="0" fontId="33" fillId="0" borderId="18"/>
    <xf numFmtId="0" fontId="33" fillId="0" borderId="18"/>
    <xf numFmtId="0" fontId="36" fillId="0" borderId="18"/>
    <xf numFmtId="0" fontId="33" fillId="0" borderId="18"/>
    <xf numFmtId="0" fontId="33" fillId="0" borderId="18"/>
    <xf numFmtId="0" fontId="3" fillId="0" borderId="18"/>
    <xf numFmtId="0" fontId="3" fillId="0" borderId="18"/>
    <xf numFmtId="9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0" fontId="3" fillId="0" borderId="18"/>
    <xf numFmtId="0" fontId="32" fillId="0" borderId="18"/>
    <xf numFmtId="0" fontId="31" fillId="0" borderId="18"/>
    <xf numFmtId="9" fontId="31" fillId="0" borderId="18" applyFont="0" applyFill="0" applyBorder="0" applyAlignment="0" applyProtection="0"/>
    <xf numFmtId="164" fontId="1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9" fontId="136" fillId="0" borderId="18" applyFont="0" applyFill="0" applyBorder="0" applyAlignment="0" applyProtection="0"/>
    <xf numFmtId="180" fontId="136" fillId="0" borderId="18" applyFont="0" applyFill="0" applyBorder="0" applyAlignment="0" applyProtection="0"/>
    <xf numFmtId="178" fontId="136" fillId="0" borderId="18" applyFont="0" applyFill="0" applyBorder="0" applyAlignment="0" applyProtection="0"/>
    <xf numFmtId="181" fontId="136" fillId="0" borderId="18" applyFont="0" applyFill="0" applyBorder="0" applyAlignment="0" applyProtection="0"/>
    <xf numFmtId="179" fontId="136" fillId="0" borderId="18" applyFont="0" applyFill="0" applyBorder="0" applyAlignment="0" applyProtection="0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181" fontId="3" fillId="0" borderId="18" applyFont="0" applyFill="0" applyBorder="0" applyAlignment="0" applyProtection="0"/>
    <xf numFmtId="184" fontId="3" fillId="0" borderId="18" applyFont="0" applyFill="0" applyBorder="0" applyAlignment="0" applyProtection="0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80" fillId="0" borderId="18" applyFont="0" applyFill="0" applyBorder="0" applyAlignment="0" applyProtection="0"/>
    <xf numFmtId="181" fontId="37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0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7" fillId="0" borderId="18" applyFont="0" applyFill="0" applyBorder="0" applyAlignment="0" applyProtection="0"/>
    <xf numFmtId="184" fontId="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1" fontId="33" fillId="0" borderId="18" applyFont="0" applyFill="0" applyBorder="0" applyAlignment="0" applyProtection="0"/>
    <xf numFmtId="180" fontId="136" fillId="0" borderId="18" applyFont="0" applyFill="0" applyBorder="0" applyAlignment="0" applyProtection="0"/>
    <xf numFmtId="178" fontId="136" fillId="0" borderId="18" applyFont="0" applyFill="0" applyBorder="0" applyAlignment="0" applyProtection="0"/>
    <xf numFmtId="181" fontId="136" fillId="0" borderId="18" applyFont="0" applyFill="0" applyBorder="0" applyAlignment="0" applyProtection="0"/>
    <xf numFmtId="179" fontId="136" fillId="0" borderId="18" applyFont="0" applyFill="0" applyBorder="0" applyAlignment="0" applyProtection="0"/>
    <xf numFmtId="181" fontId="3" fillId="0" borderId="18" applyFont="0" applyFill="0" applyBorder="0" applyAlignment="0" applyProtection="0"/>
    <xf numFmtId="0" fontId="33" fillId="0" borderId="18"/>
    <xf numFmtId="0" fontId="33" fillId="0" borderId="18"/>
    <xf numFmtId="0" fontId="33" fillId="0" borderId="18"/>
    <xf numFmtId="0" fontId="33" fillId="0" borderId="18"/>
    <xf numFmtId="0" fontId="33" fillId="0" borderId="18"/>
    <xf numFmtId="184" fontId="3" fillId="0" borderId="18" applyFont="0" applyFill="0" applyBorder="0" applyAlignment="0" applyProtection="0"/>
  </cellStyleXfs>
  <cellXfs count="68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left" vertical="center" wrapText="1"/>
    </xf>
    <xf numFmtId="166" fontId="4" fillId="0" borderId="4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165" fontId="7" fillId="5" borderId="4" xfId="0" applyNumberFormat="1" applyFont="1" applyFill="1" applyBorder="1" applyAlignment="1">
      <alignment horizontal="center" vertical="center" wrapText="1"/>
    </xf>
    <xf numFmtId="168" fontId="8" fillId="5" borderId="4" xfId="0" applyNumberFormat="1" applyFont="1" applyFill="1" applyBorder="1" applyAlignment="1">
      <alignment horizontal="center" vertical="center" wrapText="1"/>
    </xf>
    <xf numFmtId="168" fontId="8" fillId="0" borderId="4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8" xfId="0" applyFont="1" applyBorder="1"/>
    <xf numFmtId="0" fontId="6" fillId="0" borderId="8" xfId="0" applyFont="1" applyBorder="1" applyAlignment="1">
      <alignment horizontal="center" vertical="center"/>
    </xf>
    <xf numFmtId="0" fontId="6" fillId="6" borderId="4" xfId="0" applyFont="1" applyFill="1" applyBorder="1"/>
    <xf numFmtId="0" fontId="6" fillId="7" borderId="4" xfId="0" applyFont="1" applyFill="1" applyBorder="1" applyAlignment="1">
      <alignment horizontal="center" vertical="center"/>
    </xf>
    <xf numFmtId="2" fontId="6" fillId="7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69" fontId="6" fillId="0" borderId="4" xfId="0" applyNumberFormat="1" applyFont="1" applyBorder="1" applyAlignment="1">
      <alignment horizontal="center" vertical="center"/>
    </xf>
    <xf numFmtId="169" fontId="6" fillId="0" borderId="4" xfId="0" applyNumberFormat="1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67" fontId="6" fillId="0" borderId="4" xfId="0" applyNumberFormat="1" applyFont="1" applyBorder="1" applyAlignment="1">
      <alignment horizontal="center" vertical="center" wrapText="1"/>
    </xf>
    <xf numFmtId="169" fontId="6" fillId="0" borderId="0" xfId="0" applyNumberFormat="1" applyFont="1" applyAlignment="1">
      <alignment vertical="center"/>
    </xf>
    <xf numFmtId="167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2" fontId="6" fillId="5" borderId="4" xfId="0" applyNumberFormat="1" applyFont="1" applyFill="1" applyBorder="1" applyAlignment="1">
      <alignment horizontal="center" vertical="center"/>
    </xf>
    <xf numFmtId="167" fontId="6" fillId="0" borderId="3" xfId="0" applyNumberFormat="1" applyFont="1" applyBorder="1" applyAlignment="1">
      <alignment horizontal="center" vertical="center"/>
    </xf>
    <xf numFmtId="2" fontId="6" fillId="5" borderId="9" xfId="0" applyNumberFormat="1" applyFont="1" applyFill="1" applyBorder="1" applyAlignment="1">
      <alignment horizontal="center" vertical="center"/>
    </xf>
    <xf numFmtId="167" fontId="6" fillId="0" borderId="8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69" fontId="4" fillId="0" borderId="4" xfId="0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2" fontId="6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/>
    </xf>
    <xf numFmtId="165" fontId="4" fillId="10" borderId="4" xfId="0" applyNumberFormat="1" applyFont="1" applyFill="1" applyBorder="1" applyAlignment="1">
      <alignment horizontal="center" vertical="center" wrapText="1"/>
    </xf>
    <xf numFmtId="2" fontId="6" fillId="10" borderId="4" xfId="0" applyNumberFormat="1" applyFont="1" applyFill="1" applyBorder="1" applyAlignment="1">
      <alignment horizontal="center" vertical="center"/>
    </xf>
    <xf numFmtId="167" fontId="6" fillId="10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vertical="center"/>
    </xf>
    <xf numFmtId="2" fontId="6" fillId="9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 wrapText="1"/>
    </xf>
    <xf numFmtId="2" fontId="6" fillId="3" borderId="4" xfId="0" applyNumberFormat="1" applyFont="1" applyFill="1" applyBorder="1" applyAlignment="1">
      <alignment horizontal="center" vertical="center"/>
    </xf>
    <xf numFmtId="167" fontId="6" fillId="3" borderId="4" xfId="0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167" fontId="14" fillId="5" borderId="19" xfId="0" applyNumberFormat="1" applyFont="1" applyFill="1" applyBorder="1" applyAlignment="1">
      <alignment horizontal="center" vertical="center"/>
    </xf>
    <xf numFmtId="167" fontId="13" fillId="0" borderId="24" xfId="0" applyNumberFormat="1" applyFont="1" applyBorder="1" applyAlignment="1">
      <alignment horizontal="center" vertical="center"/>
    </xf>
    <xf numFmtId="1" fontId="11" fillId="5" borderId="15" xfId="0" applyNumberFormat="1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/>
    </xf>
    <xf numFmtId="170" fontId="16" fillId="3" borderId="29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5" borderId="38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1" fontId="11" fillId="5" borderId="4" xfId="0" applyNumberFormat="1" applyFont="1" applyFill="1" applyBorder="1" applyAlignment="1">
      <alignment horizontal="center" vertical="center" wrapText="1"/>
    </xf>
    <xf numFmtId="15" fontId="8" fillId="5" borderId="4" xfId="0" applyNumberFormat="1" applyFont="1" applyFill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1" fontId="17" fillId="0" borderId="4" xfId="0" applyNumberFormat="1" applyFont="1" applyBorder="1" applyAlignment="1">
      <alignment horizontal="center" vertical="center" wrapText="1"/>
    </xf>
    <xf numFmtId="1" fontId="17" fillId="5" borderId="4" xfId="0" applyNumberFormat="1" applyFont="1" applyFill="1" applyBorder="1" applyAlignment="1">
      <alignment horizontal="center" vertical="center" wrapText="1"/>
    </xf>
    <xf numFmtId="2" fontId="12" fillId="5" borderId="15" xfId="0" applyNumberFormat="1" applyFont="1" applyFill="1" applyBorder="1" applyAlignment="1">
      <alignment horizontal="center" vertical="center" wrapText="1"/>
    </xf>
    <xf numFmtId="169" fontId="11" fillId="5" borderId="15" xfId="0" applyNumberFormat="1" applyFont="1" applyFill="1" applyBorder="1" applyAlignment="1">
      <alignment horizontal="center" vertical="center" wrapText="1"/>
    </xf>
    <xf numFmtId="2" fontId="11" fillId="5" borderId="15" xfId="0" applyNumberFormat="1" applyFont="1" applyFill="1" applyBorder="1" applyAlignment="1">
      <alignment horizontal="center" vertical="center" wrapText="1"/>
    </xf>
    <xf numFmtId="1" fontId="12" fillId="5" borderId="15" xfId="0" applyNumberFormat="1" applyFont="1" applyFill="1" applyBorder="1" applyAlignment="1">
      <alignment horizontal="center" vertical="center" wrapText="1"/>
    </xf>
    <xf numFmtId="2" fontId="17" fillId="0" borderId="4" xfId="0" applyNumberFormat="1" applyFont="1" applyBorder="1" applyAlignment="1">
      <alignment horizontal="center" vertical="center" wrapText="1"/>
    </xf>
    <xf numFmtId="171" fontId="17" fillId="5" borderId="4" xfId="0" applyNumberFormat="1" applyFont="1" applyFill="1" applyBorder="1" applyAlignment="1">
      <alignment horizontal="center" vertical="center" wrapText="1"/>
    </xf>
    <xf numFmtId="171" fontId="11" fillId="0" borderId="4" xfId="0" applyNumberFormat="1" applyFont="1" applyBorder="1" applyAlignment="1">
      <alignment horizontal="center" vertical="center" wrapText="1"/>
    </xf>
    <xf numFmtId="169" fontId="11" fillId="0" borderId="4" xfId="0" applyNumberFormat="1" applyFont="1" applyBorder="1" applyAlignment="1">
      <alignment horizontal="center" vertical="center" wrapText="1"/>
    </xf>
    <xf numFmtId="0" fontId="14" fillId="5" borderId="41" xfId="0" applyFont="1" applyFill="1" applyBorder="1" applyAlignment="1">
      <alignment horizontal="center" vertical="center" wrapText="1"/>
    </xf>
    <xf numFmtId="0" fontId="11" fillId="5" borderId="42" xfId="0" applyFont="1" applyFill="1" applyBorder="1" applyAlignment="1">
      <alignment horizontal="center" vertical="center" wrapText="1"/>
    </xf>
    <xf numFmtId="1" fontId="11" fillId="5" borderId="42" xfId="0" applyNumberFormat="1" applyFont="1" applyFill="1" applyBorder="1" applyAlignment="1">
      <alignment horizontal="center" vertical="center" wrapText="1"/>
    </xf>
    <xf numFmtId="15" fontId="8" fillId="5" borderId="42" xfId="0" applyNumberFormat="1" applyFont="1" applyFill="1" applyBorder="1" applyAlignment="1">
      <alignment horizontal="center" vertical="center"/>
    </xf>
    <xf numFmtId="1" fontId="11" fillId="0" borderId="42" xfId="0" applyNumberFormat="1" applyFont="1" applyBorder="1" applyAlignment="1">
      <alignment horizontal="center" vertical="center" wrapText="1"/>
    </xf>
    <xf numFmtId="1" fontId="17" fillId="0" borderId="42" xfId="0" applyNumberFormat="1" applyFont="1" applyBorder="1" applyAlignment="1">
      <alignment horizontal="center" vertical="center" wrapText="1"/>
    </xf>
    <xf numFmtId="171" fontId="17" fillId="5" borderId="42" xfId="0" applyNumberFormat="1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wrapText="1"/>
    </xf>
    <xf numFmtId="0" fontId="6" fillId="0" borderId="0" xfId="0" applyFont="1" applyAlignment="1">
      <alignment horizontal="left" vertical="center" wrapText="1"/>
    </xf>
    <xf numFmtId="1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 wrapText="1"/>
    </xf>
    <xf numFmtId="0" fontId="19" fillId="11" borderId="45" xfId="0" applyFont="1" applyFill="1" applyBorder="1" applyAlignment="1">
      <alignment horizontal="center" vertical="center" wrapText="1"/>
    </xf>
    <xf numFmtId="0" fontId="19" fillId="11" borderId="46" xfId="0" applyFont="1" applyFill="1" applyBorder="1" applyAlignment="1">
      <alignment vertical="center" wrapText="1"/>
    </xf>
    <xf numFmtId="0" fontId="19" fillId="11" borderId="46" xfId="0" applyFont="1" applyFill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167" fontId="20" fillId="0" borderId="24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0" fillId="0" borderId="47" xfId="0" applyFont="1" applyBorder="1" applyAlignment="1">
      <alignment vertical="center" wrapText="1"/>
    </xf>
    <xf numFmtId="0" fontId="20" fillId="0" borderId="24" xfId="0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67" fontId="20" fillId="0" borderId="24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48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165" fontId="4" fillId="0" borderId="1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167" fontId="6" fillId="0" borderId="4" xfId="0" applyNumberFormat="1" applyFont="1" applyBorder="1"/>
    <xf numFmtId="0" fontId="6" fillId="0" borderId="4" xfId="0" quotePrefix="1" applyFont="1" applyBorder="1" applyAlignment="1">
      <alignment horizontal="center" vertical="center"/>
    </xf>
    <xf numFmtId="167" fontId="23" fillId="0" borderId="4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/>
    </xf>
    <xf numFmtId="171" fontId="6" fillId="0" borderId="4" xfId="0" applyNumberFormat="1" applyFont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8" borderId="4" xfId="0" quotePrefix="1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4" fillId="0" borderId="0" xfId="0" applyFont="1"/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14" borderId="15" xfId="0" applyFont="1" applyFill="1" applyBorder="1" applyAlignment="1">
      <alignment horizontal="center" vertical="center"/>
    </xf>
    <xf numFmtId="0" fontId="6" fillId="14" borderId="15" xfId="0" applyFont="1" applyFill="1" applyBorder="1"/>
    <xf numFmtId="0" fontId="4" fillId="0" borderId="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14" borderId="4" xfId="0" applyFont="1" applyFill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 wrapText="1"/>
    </xf>
    <xf numFmtId="0" fontId="4" fillId="0" borderId="59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14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4" borderId="6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65" fontId="4" fillId="0" borderId="64" xfId="0" applyNumberFormat="1" applyFont="1" applyBorder="1" applyAlignment="1">
      <alignment horizontal="center" vertical="center" wrapText="1"/>
    </xf>
    <xf numFmtId="0" fontId="4" fillId="14" borderId="6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4" xfId="0" applyFont="1" applyFill="1" applyBorder="1"/>
    <xf numFmtId="0" fontId="6" fillId="0" borderId="1" xfId="0" applyFont="1" applyBorder="1" applyAlignment="1">
      <alignment horizontal="left" vertical="center"/>
    </xf>
    <xf numFmtId="0" fontId="6" fillId="0" borderId="54" xfId="0" applyFont="1" applyBorder="1" applyAlignment="1">
      <alignment horizontal="left" vertical="center"/>
    </xf>
    <xf numFmtId="0" fontId="6" fillId="0" borderId="63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14" borderId="4" xfId="0" applyFont="1" applyFill="1" applyBorder="1" applyAlignment="1">
      <alignment horizontal="left"/>
    </xf>
    <xf numFmtId="173" fontId="6" fillId="0" borderId="55" xfId="0" applyNumberFormat="1" applyFont="1" applyBorder="1" applyAlignment="1">
      <alignment horizontal="center" vertical="center"/>
    </xf>
    <xf numFmtId="0" fontId="6" fillId="15" borderId="4" xfId="0" applyFont="1" applyFill="1" applyBorder="1"/>
    <xf numFmtId="0" fontId="25" fillId="0" borderId="4" xfId="0" applyFont="1" applyBorder="1" applyAlignment="1">
      <alignment horizontal="center" vertical="center"/>
    </xf>
    <xf numFmtId="167" fontId="6" fillId="14" borderId="4" xfId="0" applyNumberFormat="1" applyFont="1" applyFill="1" applyBorder="1"/>
    <xf numFmtId="167" fontId="6" fillId="14" borderId="4" xfId="0" applyNumberFormat="1" applyFont="1" applyFill="1" applyBorder="1" applyAlignment="1">
      <alignment horizontal="center" vertical="center"/>
    </xf>
    <xf numFmtId="167" fontId="6" fillId="14" borderId="4" xfId="0" applyNumberFormat="1" applyFont="1" applyFill="1" applyBorder="1" applyAlignment="1">
      <alignment horizontal="center"/>
    </xf>
    <xf numFmtId="0" fontId="6" fillId="16" borderId="4" xfId="0" applyFont="1" applyFill="1" applyBorder="1" applyAlignment="1">
      <alignment horizontal="center" vertical="center"/>
    </xf>
    <xf numFmtId="0" fontId="26" fillId="8" borderId="4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left" vertical="center"/>
    </xf>
    <xf numFmtId="0" fontId="26" fillId="3" borderId="4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167" fontId="6" fillId="0" borderId="4" xfId="0" applyNumberFormat="1" applyFont="1" applyBorder="1" applyAlignment="1">
      <alignment vertical="center"/>
    </xf>
    <xf numFmtId="3" fontId="6" fillId="0" borderId="64" xfId="0" applyNumberFormat="1" applyFont="1" applyBorder="1" applyAlignment="1">
      <alignment horizontal="center" vertical="center"/>
    </xf>
    <xf numFmtId="0" fontId="6" fillId="12" borderId="66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left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4" xfId="0" applyFont="1" applyBorder="1"/>
    <xf numFmtId="16" fontId="6" fillId="0" borderId="4" xfId="0" quotePrefix="1" applyNumberFormat="1" applyFont="1" applyBorder="1" applyAlignment="1">
      <alignment horizontal="left" vertical="center"/>
    </xf>
    <xf numFmtId="0" fontId="6" fillId="0" borderId="67" xfId="0" applyFont="1" applyBorder="1" applyAlignment="1">
      <alignment horizontal="center" vertical="center"/>
    </xf>
    <xf numFmtId="0" fontId="6" fillId="0" borderId="68" xfId="0" applyFont="1" applyBorder="1" applyAlignment="1">
      <alignment horizontal="left" vertical="center"/>
    </xf>
    <xf numFmtId="0" fontId="6" fillId="0" borderId="69" xfId="0" applyFont="1" applyBorder="1" applyAlignment="1">
      <alignment horizontal="left" vertical="center"/>
    </xf>
    <xf numFmtId="0" fontId="6" fillId="0" borderId="70" xfId="0" applyFont="1" applyBorder="1" applyAlignment="1">
      <alignment horizontal="left" vertical="center"/>
    </xf>
    <xf numFmtId="0" fontId="6" fillId="0" borderId="68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3" fontId="6" fillId="0" borderId="72" xfId="0" applyNumberFormat="1" applyFont="1" applyBorder="1" applyAlignment="1">
      <alignment horizontal="center" vertical="center"/>
    </xf>
    <xf numFmtId="0" fontId="4" fillId="18" borderId="73" xfId="0" applyFont="1" applyFill="1" applyBorder="1" applyAlignment="1">
      <alignment horizontal="center"/>
    </xf>
    <xf numFmtId="167" fontId="4" fillId="3" borderId="4" xfId="0" applyNumberFormat="1" applyFont="1" applyFill="1" applyBorder="1"/>
    <xf numFmtId="2" fontId="4" fillId="6" borderId="4" xfId="0" applyNumberFormat="1" applyFont="1" applyFill="1" applyBorder="1" applyAlignment="1">
      <alignment horizontal="center" vertical="center"/>
    </xf>
    <xf numFmtId="0" fontId="4" fillId="0" borderId="4" xfId="0" applyFont="1" applyBorder="1"/>
    <xf numFmtId="2" fontId="4" fillId="0" borderId="4" xfId="0" applyNumberFormat="1" applyFont="1" applyBorder="1" applyAlignment="1">
      <alignment horizontal="center" vertical="center"/>
    </xf>
    <xf numFmtId="0" fontId="4" fillId="18" borderId="4" xfId="0" applyFont="1" applyFill="1" applyBorder="1"/>
    <xf numFmtId="0" fontId="4" fillId="19" borderId="4" xfId="0" applyFont="1" applyFill="1" applyBorder="1" applyAlignment="1">
      <alignment horizontal="center" vertical="center" wrapText="1"/>
    </xf>
    <xf numFmtId="0" fontId="4" fillId="19" borderId="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18" borderId="74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/>
    </xf>
    <xf numFmtId="0" fontId="4" fillId="19" borderId="6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18" borderId="65" xfId="0" applyFont="1" applyFill="1" applyBorder="1" applyAlignment="1">
      <alignment horizontal="center" vertical="center" wrapText="1"/>
    </xf>
    <xf numFmtId="0" fontId="6" fillId="18" borderId="4" xfId="0" applyFont="1" applyFill="1" applyBorder="1"/>
    <xf numFmtId="0" fontId="6" fillId="18" borderId="4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/>
    </xf>
    <xf numFmtId="2" fontId="27" fillId="20" borderId="4" xfId="0" applyNumberFormat="1" applyFont="1" applyFill="1" applyBorder="1" applyAlignment="1">
      <alignment horizontal="center"/>
    </xf>
    <xf numFmtId="0" fontId="6" fillId="18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wrapText="1"/>
    </xf>
    <xf numFmtId="0" fontId="6" fillId="0" borderId="4" xfId="0" applyFont="1" applyBorder="1" applyAlignment="1">
      <alignment horizontal="center" wrapText="1"/>
    </xf>
    <xf numFmtId="0" fontId="6" fillId="18" borderId="4" xfId="0" applyFont="1" applyFill="1" applyBorder="1" applyAlignment="1">
      <alignment horizontal="center" wrapText="1"/>
    </xf>
    <xf numFmtId="2" fontId="20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/>
    </xf>
    <xf numFmtId="169" fontId="4" fillId="0" borderId="4" xfId="0" applyNumberFormat="1" applyFont="1" applyBorder="1" applyAlignment="1">
      <alignment horizontal="center"/>
    </xf>
    <xf numFmtId="0" fontId="6" fillId="18" borderId="15" xfId="0" applyFont="1" applyFill="1" applyBorder="1"/>
    <xf numFmtId="2" fontId="6" fillId="0" borderId="0" xfId="0" applyNumberFormat="1" applyFont="1"/>
    <xf numFmtId="167" fontId="4" fillId="2" borderId="2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8" xfId="0" applyFont="1" applyBorder="1"/>
    <xf numFmtId="0" fontId="6" fillId="0" borderId="37" xfId="0" applyFont="1" applyBorder="1" applyAlignment="1">
      <alignment horizontal="center" vertical="center" wrapText="1"/>
    </xf>
    <xf numFmtId="9" fontId="4" fillId="0" borderId="4" xfId="0" applyNumberFormat="1" applyFont="1" applyBorder="1" applyAlignment="1">
      <alignment horizontal="center" vertical="center"/>
    </xf>
    <xf numFmtId="0" fontId="6" fillId="0" borderId="39" xfId="0" applyFont="1" applyBorder="1"/>
    <xf numFmtId="0" fontId="4" fillId="0" borderId="38" xfId="0" applyFont="1" applyBorder="1" applyAlignment="1">
      <alignment horizont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left" vertical="center"/>
    </xf>
    <xf numFmtId="0" fontId="4" fillId="0" borderId="42" xfId="0" applyFont="1" applyBorder="1" applyAlignment="1">
      <alignment horizontal="center" vertical="center"/>
    </xf>
    <xf numFmtId="9" fontId="4" fillId="0" borderId="42" xfId="0" applyNumberFormat="1" applyFont="1" applyBorder="1" applyAlignment="1">
      <alignment horizontal="center" vertical="center"/>
    </xf>
    <xf numFmtId="0" fontId="6" fillId="0" borderId="43" xfId="0" applyFont="1" applyBorder="1"/>
    <xf numFmtId="0" fontId="6" fillId="0" borderId="40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4" fillId="21" borderId="80" xfId="0" applyFont="1" applyFill="1" applyBorder="1" applyAlignment="1">
      <alignment horizontal="center" vertical="center"/>
    </xf>
    <xf numFmtId="175" fontId="4" fillId="21" borderId="46" xfId="0" applyNumberFormat="1" applyFont="1" applyFill="1" applyBorder="1" applyAlignment="1">
      <alignment horizontal="center" vertical="center"/>
    </xf>
    <xf numFmtId="0" fontId="10" fillId="0" borderId="0" xfId="0" applyFont="1"/>
    <xf numFmtId="0" fontId="19" fillId="22" borderId="4" xfId="0" applyFont="1" applyFill="1" applyBorder="1" applyAlignment="1">
      <alignment horizontal="center" vertical="center" wrapText="1"/>
    </xf>
    <xf numFmtId="0" fontId="19" fillId="22" borderId="65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 wrapText="1"/>
    </xf>
    <xf numFmtId="1" fontId="19" fillId="0" borderId="4" xfId="0" applyNumberFormat="1" applyFont="1" applyBorder="1" applyAlignment="1">
      <alignment horizontal="center" vertical="center"/>
    </xf>
    <xf numFmtId="176" fontId="19" fillId="0" borderId="4" xfId="0" applyNumberFormat="1" applyFont="1" applyBorder="1" applyAlignment="1">
      <alignment horizontal="center" vertical="center"/>
    </xf>
    <xf numFmtId="1" fontId="19" fillId="0" borderId="8" xfId="0" applyNumberFormat="1" applyFont="1" applyBorder="1" applyAlignment="1">
      <alignment horizontal="center" vertical="center"/>
    </xf>
    <xf numFmtId="1" fontId="19" fillId="0" borderId="79" xfId="0" applyNumberFormat="1" applyFont="1" applyBorder="1" applyAlignment="1">
      <alignment horizontal="left" vertical="center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horizontal="center" vertical="center" wrapText="1"/>
    </xf>
    <xf numFmtId="1" fontId="10" fillId="0" borderId="0" xfId="0" applyNumberFormat="1" applyFont="1"/>
    <xf numFmtId="176" fontId="19" fillId="0" borderId="79" xfId="0" applyNumberFormat="1" applyFont="1" applyBorder="1" applyAlignment="1">
      <alignment horizontal="right" vertical="center"/>
    </xf>
    <xf numFmtId="176" fontId="19" fillId="0" borderId="79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28" fillId="0" borderId="41" xfId="0" applyFont="1" applyBorder="1" applyAlignment="1">
      <alignment horizontal="center" vertical="center"/>
    </xf>
    <xf numFmtId="0" fontId="19" fillId="0" borderId="42" xfId="0" applyFont="1" applyBorder="1" applyAlignment="1">
      <alignment horizontal="left" vertical="center"/>
    </xf>
    <xf numFmtId="0" fontId="19" fillId="0" borderId="42" xfId="0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 wrapText="1"/>
    </xf>
    <xf numFmtId="176" fontId="20" fillId="0" borderId="43" xfId="0" applyNumberFormat="1" applyFont="1" applyBorder="1" applyAlignment="1">
      <alignment vertical="center" wrapText="1"/>
    </xf>
    <xf numFmtId="176" fontId="19" fillId="0" borderId="4" xfId="0" applyNumberFormat="1" applyFont="1" applyBorder="1" applyAlignment="1">
      <alignment vertical="center" wrapText="1"/>
    </xf>
    <xf numFmtId="1" fontId="19" fillId="0" borderId="79" xfId="0" applyNumberFormat="1" applyFont="1" applyBorder="1" applyAlignment="1">
      <alignment horizontal="center" vertical="center" wrapText="1"/>
    </xf>
    <xf numFmtId="172" fontId="19" fillId="0" borderId="4" xfId="0" applyNumberFormat="1" applyFont="1" applyBorder="1" applyAlignment="1">
      <alignment vertical="center" wrapText="1"/>
    </xf>
    <xf numFmtId="176" fontId="19" fillId="0" borderId="79" xfId="0" applyNumberFormat="1" applyFont="1" applyBorder="1" applyAlignment="1">
      <alignment vertical="center"/>
    </xf>
    <xf numFmtId="176" fontId="19" fillId="0" borderId="4" xfId="0" applyNumberFormat="1" applyFont="1" applyBorder="1" applyAlignment="1">
      <alignment horizontal="center" vertical="center" wrapText="1"/>
    </xf>
    <xf numFmtId="176" fontId="19" fillId="0" borderId="42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 wrapText="1"/>
    </xf>
    <xf numFmtId="177" fontId="6" fillId="0" borderId="4" xfId="0" applyNumberFormat="1" applyFont="1" applyBorder="1"/>
    <xf numFmtId="177" fontId="6" fillId="0" borderId="4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24" fillId="0" borderId="0" xfId="0" applyNumberFormat="1" applyFont="1"/>
    <xf numFmtId="0" fontId="30" fillId="0" borderId="4" xfId="0" applyFont="1" applyBorder="1" applyAlignment="1">
      <alignment horizontal="center" vertical="center"/>
    </xf>
    <xf numFmtId="0" fontId="3" fillId="0" borderId="18" xfId="335"/>
    <xf numFmtId="0" fontId="3" fillId="0" borderId="18" xfId="335" applyAlignment="1">
      <alignment horizontal="center" vertical="center"/>
    </xf>
    <xf numFmtId="0" fontId="3" fillId="0" borderId="132" xfId="335" applyBorder="1"/>
    <xf numFmtId="0" fontId="3" fillId="0" borderId="109" xfId="335" applyBorder="1" applyAlignment="1">
      <alignment horizontal="center" vertical="center"/>
    </xf>
    <xf numFmtId="0" fontId="3" fillId="0" borderId="109" xfId="335" applyBorder="1"/>
    <xf numFmtId="0" fontId="3" fillId="0" borderId="131" xfId="335" applyBorder="1"/>
    <xf numFmtId="0" fontId="3" fillId="0" borderId="97" xfId="335" applyBorder="1"/>
    <xf numFmtId="0" fontId="3" fillId="0" borderId="87" xfId="335" applyBorder="1" applyAlignment="1">
      <alignment horizontal="center" vertical="center"/>
    </xf>
    <xf numFmtId="171" fontId="3" fillId="0" borderId="18" xfId="335" applyNumberFormat="1" applyAlignment="1">
      <alignment horizontal="center" vertical="center"/>
    </xf>
    <xf numFmtId="0" fontId="3" fillId="83" borderId="18" xfId="335" applyFill="1" applyAlignment="1">
      <alignment horizontal="center" vertical="center"/>
    </xf>
    <xf numFmtId="0" fontId="3" fillId="0" borderId="18" xfId="335" applyAlignment="1">
      <alignment horizontal="center"/>
    </xf>
    <xf numFmtId="0" fontId="131" fillId="0" borderId="18" xfId="335" applyFont="1"/>
    <xf numFmtId="0" fontId="131" fillId="0" borderId="96" xfId="335" applyFont="1" applyBorder="1"/>
    <xf numFmtId="0" fontId="3" fillId="0" borderId="96" xfId="335" applyBorder="1"/>
    <xf numFmtId="1" fontId="3" fillId="0" borderId="18" xfId="335" applyNumberFormat="1" applyAlignment="1">
      <alignment horizontal="right" vertical="center"/>
    </xf>
    <xf numFmtId="0" fontId="3" fillId="0" borderId="87" xfId="335" applyBorder="1"/>
    <xf numFmtId="0" fontId="129" fillId="0" borderId="87" xfId="335" applyFont="1" applyBorder="1" applyAlignment="1">
      <alignment horizontal="center"/>
    </xf>
    <xf numFmtId="0" fontId="129" fillId="87" borderId="87" xfId="335" applyFont="1" applyFill="1" applyBorder="1" applyAlignment="1">
      <alignment horizontal="center"/>
    </xf>
    <xf numFmtId="171" fontId="3" fillId="0" borderId="18" xfId="335" applyNumberFormat="1" applyAlignment="1">
      <alignment horizontal="left" vertical="center"/>
    </xf>
    <xf numFmtId="0" fontId="132" fillId="87" borderId="87" xfId="335" applyFont="1" applyFill="1" applyBorder="1" applyAlignment="1">
      <alignment horizontal="center" vertical="center"/>
    </xf>
    <xf numFmtId="0" fontId="131" fillId="0" borderId="92" xfId="335" applyFont="1" applyBorder="1"/>
    <xf numFmtId="0" fontId="3" fillId="0" borderId="18" xfId="335" applyAlignment="1">
      <alignment horizontal="left" vertical="center"/>
    </xf>
    <xf numFmtId="0" fontId="129" fillId="0" borderId="18" xfId="335" applyFont="1" applyAlignment="1">
      <alignment horizontal="center"/>
    </xf>
    <xf numFmtId="0" fontId="3" fillId="0" borderId="125" xfId="335" applyBorder="1" applyAlignment="1">
      <alignment horizontal="center" vertical="center"/>
    </xf>
    <xf numFmtId="0" fontId="3" fillId="0" borderId="97" xfId="335" applyBorder="1" applyAlignment="1">
      <alignment horizontal="center" vertical="center"/>
    </xf>
    <xf numFmtId="0" fontId="29" fillId="0" borderId="18" xfId="335" applyFont="1" applyAlignment="1">
      <alignment horizontal="center"/>
    </xf>
    <xf numFmtId="0" fontId="29" fillId="0" borderId="18" xfId="335" applyFont="1" applyAlignment="1">
      <alignment horizontal="center" vertical="center"/>
    </xf>
    <xf numFmtId="0" fontId="29" fillId="0" borderId="97" xfId="335" applyFont="1" applyBorder="1" applyAlignment="1">
      <alignment horizontal="center" vertical="center"/>
    </xf>
    <xf numFmtId="1" fontId="29" fillId="0" borderId="18" xfId="335" applyNumberFormat="1" applyFont="1" applyAlignment="1">
      <alignment horizontal="center" vertical="center"/>
    </xf>
    <xf numFmtId="1" fontId="29" fillId="0" borderId="97" xfId="335" applyNumberFormat="1" applyFont="1" applyBorder="1" applyAlignment="1">
      <alignment horizontal="center" vertical="center"/>
    </xf>
    <xf numFmtId="0" fontId="29" fillId="0" borderId="18" xfId="335" applyFont="1"/>
    <xf numFmtId="0" fontId="134" fillId="0" borderId="18" xfId="335" applyFont="1" applyAlignment="1">
      <alignment horizontal="center"/>
    </xf>
    <xf numFmtId="0" fontId="29" fillId="87" borderId="87" xfId="335" applyFont="1" applyFill="1" applyBorder="1"/>
    <xf numFmtId="0" fontId="29" fillId="0" borderId="87" xfId="335" applyFont="1" applyBorder="1"/>
    <xf numFmtId="1" fontId="29" fillId="0" borderId="18" xfId="335" applyNumberFormat="1" applyFont="1" applyAlignment="1">
      <alignment horizontal="right" vertical="center"/>
    </xf>
    <xf numFmtId="0" fontId="132" fillId="82" borderId="87" xfId="335" applyFont="1" applyFill="1" applyBorder="1" applyAlignment="1">
      <alignment horizontal="center" vertical="center"/>
    </xf>
    <xf numFmtId="1" fontId="3" fillId="0" borderId="18" xfId="335" applyNumberFormat="1" applyAlignment="1">
      <alignment horizontal="center" vertical="center"/>
    </xf>
    <xf numFmtId="0" fontId="29" fillId="0" borderId="109" xfId="335" applyFont="1" applyBorder="1" applyAlignment="1">
      <alignment horizontal="center"/>
    </xf>
    <xf numFmtId="2" fontId="3" fillId="0" borderId="18" xfId="335" applyNumberFormat="1" applyAlignment="1">
      <alignment horizontal="center"/>
    </xf>
    <xf numFmtId="2" fontId="29" fillId="0" borderId="18" xfId="335" applyNumberFormat="1" applyFont="1" applyAlignment="1">
      <alignment horizontal="center"/>
    </xf>
    <xf numFmtId="0" fontId="29" fillId="0" borderId="109" xfId="335" applyFont="1" applyBorder="1" applyAlignment="1">
      <alignment horizontal="center" vertical="center"/>
    </xf>
    <xf numFmtId="1" fontId="29" fillId="0" borderId="18" xfId="335" applyNumberFormat="1" applyFont="1"/>
    <xf numFmtId="1" fontId="134" fillId="0" borderId="18" xfId="335" applyNumberFormat="1" applyFont="1" applyAlignment="1">
      <alignment horizontal="center"/>
    </xf>
    <xf numFmtId="0" fontId="29" fillId="89" borderId="18" xfId="335" applyFont="1" applyFill="1" applyAlignment="1">
      <alignment horizontal="center"/>
    </xf>
    <xf numFmtId="0" fontId="3" fillId="89" borderId="18" xfId="335" applyFill="1" applyAlignment="1">
      <alignment horizontal="center" vertical="center"/>
    </xf>
    <xf numFmtId="0" fontId="29" fillId="89" borderId="18" xfId="335" applyFont="1" applyFill="1" applyAlignment="1">
      <alignment horizontal="center" vertical="center"/>
    </xf>
    <xf numFmtId="1" fontId="29" fillId="0" borderId="18" xfId="335" applyNumberFormat="1" applyFont="1" applyAlignment="1">
      <alignment horizontal="center"/>
    </xf>
    <xf numFmtId="1" fontId="3" fillId="0" borderId="18" xfId="335" applyNumberFormat="1"/>
    <xf numFmtId="0" fontId="134" fillId="87" borderId="87" xfId="335" applyFont="1" applyFill="1" applyBorder="1" applyAlignment="1">
      <alignment horizontal="center"/>
    </xf>
    <xf numFmtId="2" fontId="29" fillId="89" borderId="18" xfId="335" applyNumberFormat="1" applyFont="1" applyFill="1" applyAlignment="1">
      <alignment horizontal="center"/>
    </xf>
    <xf numFmtId="0" fontId="29" fillId="88" borderId="18" xfId="335" applyFont="1" applyFill="1" applyAlignment="1">
      <alignment horizontal="center" vertical="center"/>
    </xf>
    <xf numFmtId="0" fontId="29" fillId="88" borderId="18" xfId="335" applyFont="1" applyFill="1" applyAlignment="1">
      <alignment horizontal="center"/>
    </xf>
    <xf numFmtId="0" fontId="135" fillId="87" borderId="87" xfId="335" applyFont="1" applyFill="1" applyBorder="1" applyAlignment="1">
      <alignment horizontal="center" vertical="center"/>
    </xf>
    <xf numFmtId="2" fontId="29" fillId="88" borderId="18" xfId="335" applyNumberFormat="1" applyFont="1" applyFill="1" applyAlignment="1">
      <alignment horizontal="center"/>
    </xf>
    <xf numFmtId="0" fontId="3" fillId="87" borderId="87" xfId="335" applyFill="1" applyBorder="1"/>
    <xf numFmtId="0" fontId="29" fillId="0" borderId="18" xfId="335" applyFont="1" applyAlignment="1">
      <alignment horizontal="right" vertical="center"/>
    </xf>
    <xf numFmtId="0" fontId="29" fillId="0" borderId="18" xfId="335" quotePrefix="1" applyFont="1" applyAlignment="1">
      <alignment horizontal="center" vertical="center"/>
    </xf>
    <xf numFmtId="0" fontId="29" fillId="0" borderId="18" xfId="335" applyFont="1" applyAlignment="1">
      <alignment vertical="center"/>
    </xf>
    <xf numFmtId="1" fontId="29" fillId="0" borderId="18" xfId="335" applyNumberFormat="1" applyFont="1" applyAlignment="1">
      <alignment horizontal="left" vertical="center"/>
    </xf>
    <xf numFmtId="0" fontId="3" fillId="88" borderId="18" xfId="335" applyFill="1" applyAlignment="1">
      <alignment horizontal="center" vertical="center"/>
    </xf>
    <xf numFmtId="1" fontId="29" fillId="88" borderId="18" xfId="335" applyNumberFormat="1" applyFont="1" applyFill="1" applyAlignment="1">
      <alignment horizontal="center" vertical="center"/>
    </xf>
    <xf numFmtId="16" fontId="29" fillId="0" borderId="18" xfId="335" applyNumberFormat="1" applyFont="1" applyAlignment="1">
      <alignment horizontal="center"/>
    </xf>
    <xf numFmtId="0" fontId="4" fillId="90" borderId="18" xfId="0" applyFont="1" applyFill="1" applyBorder="1" applyAlignment="1">
      <alignment horizontal="center" wrapText="1"/>
    </xf>
    <xf numFmtId="0" fontId="136" fillId="90" borderId="18" xfId="0" applyFont="1" applyFill="1" applyBorder="1" applyAlignment="1">
      <alignment wrapText="1"/>
    </xf>
    <xf numFmtId="0" fontId="2" fillId="0" borderId="18" xfId="335" applyFont="1"/>
    <xf numFmtId="0" fontId="136" fillId="0" borderId="18" xfId="0" applyFont="1" applyBorder="1" applyAlignment="1">
      <alignment wrapText="1"/>
    </xf>
    <xf numFmtId="0" fontId="6" fillId="0" borderId="87" xfId="0" applyFont="1" applyBorder="1" applyAlignment="1">
      <alignment horizontal="center" vertical="center" wrapText="1"/>
    </xf>
    <xf numFmtId="0" fontId="136" fillId="0" borderId="87" xfId="0" applyFont="1" applyBorder="1" applyAlignment="1">
      <alignment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220" fontId="6" fillId="0" borderId="4" xfId="0" applyNumberFormat="1" applyFont="1" applyBorder="1"/>
    <xf numFmtId="2" fontId="17" fillId="0" borderId="42" xfId="0" applyNumberFormat="1" applyFont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7" fillId="5" borderId="39" xfId="0" applyFont="1" applyFill="1" applyBorder="1" applyAlignment="1">
      <alignment horizontal="center" vertical="center" wrapText="1"/>
    </xf>
    <xf numFmtId="0" fontId="11" fillId="5" borderId="39" xfId="0" applyFont="1" applyFill="1" applyBorder="1" applyAlignment="1">
      <alignment horizontal="center" vertical="center" wrapText="1"/>
    </xf>
    <xf numFmtId="0" fontId="14" fillId="5" borderId="42" xfId="0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1" fillId="5" borderId="43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44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6" fillId="92" borderId="4" xfId="0" applyFont="1" applyFill="1" applyBorder="1" applyAlignment="1">
      <alignment horizontal="center" vertical="center"/>
    </xf>
    <xf numFmtId="176" fontId="20" fillId="0" borderId="79" xfId="0" applyNumberFormat="1" applyFont="1" applyBorder="1" applyAlignment="1">
      <alignment horizontal="center" vertical="center"/>
    </xf>
    <xf numFmtId="0" fontId="29" fillId="0" borderId="87" xfId="335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9" fillId="93" borderId="18" xfId="335" applyFont="1" applyFill="1" applyAlignment="1">
      <alignment horizontal="center" vertical="center"/>
    </xf>
    <xf numFmtId="0" fontId="29" fillId="93" borderId="18" xfId="335" applyFont="1" applyFill="1" applyAlignment="1">
      <alignment horizontal="center"/>
    </xf>
    <xf numFmtId="2" fontId="29" fillId="93" borderId="18" xfId="335" applyNumberFormat="1" applyFont="1" applyFill="1" applyAlignment="1">
      <alignment horizontal="center"/>
    </xf>
    <xf numFmtId="0" fontId="3" fillId="93" borderId="18" xfId="335" applyFill="1" applyAlignment="1">
      <alignment horizontal="center" vertical="center"/>
    </xf>
    <xf numFmtId="0" fontId="3" fillId="93" borderId="18" xfId="335" applyFill="1" applyAlignment="1">
      <alignment horizontal="center"/>
    </xf>
    <xf numFmtId="0" fontId="134" fillId="93" borderId="18" xfId="335" applyFont="1" applyFill="1" applyAlignment="1">
      <alignment horizontal="center"/>
    </xf>
    <xf numFmtId="0" fontId="29" fillId="93" borderId="109" xfId="335" applyFont="1" applyFill="1" applyBorder="1" applyAlignment="1">
      <alignment horizontal="center" vertical="center"/>
    </xf>
    <xf numFmtId="0" fontId="134" fillId="0" borderId="87" xfId="335" applyFont="1" applyBorder="1" applyAlignment="1">
      <alignment horizontal="center"/>
    </xf>
    <xf numFmtId="0" fontId="134" fillId="0" borderId="18" xfId="335" applyFont="1"/>
    <xf numFmtId="0" fontId="126" fillId="82" borderId="18" xfId="335" applyFont="1" applyFill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0" fontId="139" fillId="88" borderId="18" xfId="335" applyFont="1" applyFill="1" applyAlignment="1">
      <alignment horizontal="center" vertical="center"/>
    </xf>
    <xf numFmtId="1" fontId="139" fillId="0" borderId="18" xfId="335" applyNumberFormat="1" applyFont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8" borderId="18" xfId="335" applyFont="1" applyFill="1" applyAlignment="1">
      <alignment horizontal="center" vertical="center"/>
    </xf>
    <xf numFmtId="0" fontId="139" fillId="0" borderId="18" xfId="335" applyFont="1"/>
    <xf numFmtId="0" fontId="138" fillId="0" borderId="18" xfId="335" applyFont="1"/>
    <xf numFmtId="0" fontId="3" fillId="93" borderId="18" xfId="335" applyFill="1"/>
    <xf numFmtId="2" fontId="1" fillId="0" borderId="18" xfId="0" applyNumberFormat="1" applyFont="1" applyBorder="1" applyAlignment="1">
      <alignment horizontal="center" vertical="center"/>
    </xf>
    <xf numFmtId="2" fontId="29" fillId="0" borderId="18" xfId="0" applyNumberFormat="1" applyFont="1" applyBorder="1" applyAlignment="1">
      <alignment horizontal="center" vertical="center"/>
    </xf>
    <xf numFmtId="0" fontId="3" fillId="0" borderId="133" xfId="335" applyBorder="1" applyAlignment="1">
      <alignment horizontal="center" vertical="center"/>
    </xf>
    <xf numFmtId="0" fontId="129" fillId="0" borderId="87" xfId="335" applyFont="1" applyBorder="1" applyAlignment="1">
      <alignment horizontal="center" vertical="center"/>
    </xf>
    <xf numFmtId="0" fontId="129" fillId="84" borderId="87" xfId="335" applyFont="1" applyFill="1" applyBorder="1" applyAlignment="1">
      <alignment horizontal="center" vertical="center"/>
    </xf>
    <xf numFmtId="0" fontId="3" fillId="0" borderId="96" xfId="335" applyBorder="1" applyAlignment="1">
      <alignment horizontal="center" vertical="center"/>
    </xf>
    <xf numFmtId="0" fontId="29" fillId="0" borderId="96" xfId="335" applyFont="1" applyBorder="1" applyAlignment="1">
      <alignment horizontal="center" vertical="center"/>
    </xf>
    <xf numFmtId="0" fontId="29" fillId="87" borderId="87" xfId="335" applyFont="1" applyFill="1" applyBorder="1" applyAlignment="1">
      <alignment horizontal="center" vertical="center"/>
    </xf>
    <xf numFmtId="0" fontId="29" fillId="91" borderId="87" xfId="335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71" fontId="29" fillId="0" borderId="18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29" fillId="0" borderId="18" xfId="335" applyFont="1" applyAlignment="1">
      <alignment horizontal="center" vertical="center"/>
    </xf>
    <xf numFmtId="0" fontId="131" fillId="0" borderId="96" xfId="335" applyFont="1" applyBorder="1" applyAlignment="1">
      <alignment horizontal="center" vertical="center"/>
    </xf>
    <xf numFmtId="0" fontId="131" fillId="0" borderId="18" xfId="335" applyFont="1" applyAlignment="1">
      <alignment horizontal="center" vertical="center"/>
    </xf>
    <xf numFmtId="0" fontId="131" fillId="0" borderId="92" xfId="335" applyFont="1" applyBorder="1" applyAlignment="1">
      <alignment horizontal="center" vertical="center"/>
    </xf>
    <xf numFmtId="0" fontId="129" fillId="87" borderId="87" xfId="335" applyFont="1" applyFill="1" applyBorder="1" applyAlignment="1">
      <alignment horizontal="center" vertical="center"/>
    </xf>
    <xf numFmtId="0" fontId="3" fillId="0" borderId="131" xfId="335" applyBorder="1" applyAlignment="1">
      <alignment horizontal="center" vertical="center"/>
    </xf>
    <xf numFmtId="0" fontId="3" fillId="0" borderId="132" xfId="335" applyBorder="1" applyAlignment="1">
      <alignment horizontal="center" vertical="center"/>
    </xf>
    <xf numFmtId="0" fontId="134" fillId="87" borderId="87" xfId="335" applyFont="1" applyFill="1" applyBorder="1" applyAlignment="1">
      <alignment horizontal="center" vertical="center"/>
    </xf>
    <xf numFmtId="2" fontId="29" fillId="0" borderId="97" xfId="0" applyNumberFormat="1" applyFont="1" applyBorder="1" applyAlignment="1">
      <alignment horizontal="center" vertical="center"/>
    </xf>
    <xf numFmtId="2" fontId="1" fillId="0" borderId="97" xfId="0" applyNumberFormat="1" applyFont="1" applyBorder="1" applyAlignment="1">
      <alignment horizontal="center" vertical="center"/>
    </xf>
    <xf numFmtId="0" fontId="134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6" fillId="82" borderId="4" xfId="0" applyFont="1" applyFill="1" applyBorder="1" applyAlignment="1">
      <alignment horizontal="center" vertical="center"/>
    </xf>
    <xf numFmtId="0" fontId="29" fillId="94" borderId="87" xfId="0" applyFont="1" applyFill="1" applyBorder="1" applyAlignment="1">
      <alignment horizontal="center" vertical="center" wrapText="1"/>
    </xf>
    <xf numFmtId="15" fontId="29" fillId="94" borderId="87" xfId="0" applyNumberFormat="1" applyFont="1" applyFill="1" applyBorder="1" applyAlignment="1">
      <alignment horizontal="center" vertical="center" wrapText="1"/>
    </xf>
    <xf numFmtId="0" fontId="29" fillId="94" borderId="87" xfId="0" applyFont="1" applyFill="1" applyBorder="1" applyAlignment="1">
      <alignment horizontal="center" vertical="center"/>
    </xf>
    <xf numFmtId="0" fontId="29" fillId="94" borderId="14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4" fillId="0" borderId="8" xfId="0" applyFont="1" applyBorder="1" applyAlignment="1">
      <alignment horizontal="center" vertical="center"/>
    </xf>
    <xf numFmtId="0" fontId="5" fillId="0" borderId="11" xfId="0" applyFont="1" applyBorder="1"/>
    <xf numFmtId="0" fontId="4" fillId="0" borderId="8" xfId="0" applyFont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172" fontId="17" fillId="5" borderId="31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172" fontId="11" fillId="5" borderId="8" xfId="0" applyNumberFormat="1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4" fillId="5" borderId="23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 wrapText="1"/>
    </xf>
    <xf numFmtId="0" fontId="14" fillId="5" borderId="20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5" borderId="18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5" fillId="0" borderId="50" xfId="0" applyFont="1" applyBorder="1"/>
    <xf numFmtId="0" fontId="5" fillId="0" borderId="51" xfId="0" applyFont="1" applyBorder="1"/>
    <xf numFmtId="0" fontId="4" fillId="0" borderId="1" xfId="0" applyFont="1" applyBorder="1" applyAlignment="1">
      <alignment horizontal="center"/>
    </xf>
    <xf numFmtId="0" fontId="4" fillId="19" borderId="1" xfId="0" applyFont="1" applyFill="1" applyBorder="1" applyAlignment="1">
      <alignment horizontal="center" vertical="center"/>
    </xf>
    <xf numFmtId="0" fontId="134" fillId="0" borderId="18" xfId="335" applyFont="1" applyAlignment="1">
      <alignment horizontal="center"/>
    </xf>
    <xf numFmtId="0" fontId="3" fillId="0" borderId="88" xfId="335" applyBorder="1" applyAlignment="1">
      <alignment horizontal="center"/>
    </xf>
    <xf numFmtId="1" fontId="29" fillId="0" borderId="129" xfId="335" applyNumberFormat="1" applyFont="1" applyBorder="1" applyAlignment="1">
      <alignment horizontal="center" vertical="center"/>
    </xf>
    <xf numFmtId="0" fontId="3" fillId="0" borderId="18" xfId="335" applyAlignment="1">
      <alignment horizontal="center"/>
    </xf>
    <xf numFmtId="0" fontId="29" fillId="0" borderId="18" xfId="335" applyFont="1" applyAlignment="1">
      <alignment horizontal="center"/>
    </xf>
    <xf numFmtId="0" fontId="29" fillId="0" borderId="18" xfId="335" applyFont="1" applyAlignment="1">
      <alignment horizontal="center" vertical="center"/>
    </xf>
    <xf numFmtId="2" fontId="29" fillId="0" borderId="129" xfId="335" quotePrefix="1" applyNumberFormat="1" applyFont="1" applyBorder="1" applyAlignment="1">
      <alignment horizontal="center"/>
    </xf>
    <xf numFmtId="0" fontId="29" fillId="0" borderId="129" xfId="335" applyFont="1" applyBorder="1" applyAlignment="1">
      <alignment horizontal="center"/>
    </xf>
    <xf numFmtId="0" fontId="29" fillId="0" borderId="88" xfId="335" applyFont="1" applyBorder="1" applyAlignment="1">
      <alignment horizontal="center"/>
    </xf>
    <xf numFmtId="0" fontId="29" fillId="0" borderId="18" xfId="335" quotePrefix="1" applyFont="1" applyAlignment="1">
      <alignment horizontal="center"/>
    </xf>
    <xf numFmtId="2" fontId="29" fillId="0" borderId="18" xfId="335" applyNumberFormat="1" applyFont="1" applyAlignment="1">
      <alignment horizontal="center"/>
    </xf>
    <xf numFmtId="2" fontId="3" fillId="0" borderId="18" xfId="335" applyNumberFormat="1" applyAlignment="1">
      <alignment horizontal="center"/>
    </xf>
    <xf numFmtId="0" fontId="29" fillId="0" borderId="129" xfId="335" quotePrefix="1" applyFont="1" applyBorder="1" applyAlignment="1">
      <alignment horizontal="center"/>
    </xf>
    <xf numFmtId="0" fontId="131" fillId="0" borderId="87" xfId="335" applyFont="1" applyBorder="1" applyAlignment="1">
      <alignment horizontal="center" vertical="center" wrapText="1"/>
    </xf>
    <xf numFmtId="0" fontId="131" fillId="0" borderId="135" xfId="335" applyFont="1" applyBorder="1" applyAlignment="1">
      <alignment horizontal="center" vertical="center" wrapText="1"/>
    </xf>
    <xf numFmtId="0" fontId="29" fillId="0" borderId="124" xfId="335" applyFont="1" applyBorder="1" applyAlignment="1">
      <alignment horizontal="center"/>
    </xf>
    <xf numFmtId="0" fontId="29" fillId="0" borderId="91" xfId="335" applyFont="1" applyBorder="1" applyAlignment="1">
      <alignment horizontal="center"/>
    </xf>
    <xf numFmtId="0" fontId="29" fillId="0" borderId="128" xfId="335" applyFont="1" applyBorder="1" applyAlignment="1">
      <alignment horizontal="center"/>
    </xf>
    <xf numFmtId="0" fontId="29" fillId="0" borderId="131" xfId="335" applyFont="1" applyBorder="1" applyAlignment="1">
      <alignment horizontal="center"/>
    </xf>
    <xf numFmtId="0" fontId="29" fillId="0" borderId="109" xfId="335" applyFont="1" applyBorder="1" applyAlignment="1">
      <alignment horizontal="center"/>
    </xf>
    <xf numFmtId="0" fontId="3" fillId="0" borderId="87" xfId="335" applyBorder="1" applyAlignment="1">
      <alignment horizontal="center"/>
    </xf>
    <xf numFmtId="0" fontId="3" fillId="0" borderId="135" xfId="335" applyBorder="1" applyAlignment="1">
      <alignment horizontal="center"/>
    </xf>
    <xf numFmtId="0" fontId="131" fillId="86" borderId="138" xfId="335" applyFont="1" applyFill="1" applyBorder="1" applyAlignment="1">
      <alignment horizontal="left"/>
    </xf>
    <xf numFmtId="0" fontId="131" fillId="86" borderId="85" xfId="335" applyFont="1" applyFill="1" applyBorder="1" applyAlignment="1">
      <alignment horizontal="left"/>
    </xf>
    <xf numFmtId="0" fontId="131" fillId="86" borderId="86" xfId="335" applyFont="1" applyFill="1" applyBorder="1" applyAlignment="1">
      <alignment horizontal="left"/>
    </xf>
    <xf numFmtId="0" fontId="3" fillId="0" borderId="87" xfId="335" applyBorder="1" applyAlignment="1">
      <alignment horizontal="center" vertical="center"/>
    </xf>
    <xf numFmtId="0" fontId="3" fillId="86" borderId="138" xfId="335" applyFill="1" applyBorder="1" applyAlignment="1">
      <alignment horizontal="center"/>
    </xf>
    <xf numFmtId="0" fontId="3" fillId="86" borderId="85" xfId="335" applyFill="1" applyBorder="1" applyAlignment="1">
      <alignment horizontal="center"/>
    </xf>
    <xf numFmtId="0" fontId="3" fillId="86" borderId="86" xfId="335" applyFill="1" applyBorder="1" applyAlignment="1">
      <alignment horizontal="center"/>
    </xf>
    <xf numFmtId="0" fontId="131" fillId="86" borderId="96" xfId="335" applyFont="1" applyFill="1" applyBorder="1" applyAlignment="1">
      <alignment horizontal="left"/>
    </xf>
    <xf numFmtId="0" fontId="131" fillId="86" borderId="18" xfId="335" applyFont="1" applyFill="1" applyAlignment="1">
      <alignment horizontal="left"/>
    </xf>
    <xf numFmtId="0" fontId="131" fillId="86" borderId="92" xfId="335" applyFont="1" applyFill="1" applyBorder="1" applyAlignment="1">
      <alignment horizontal="left"/>
    </xf>
    <xf numFmtId="0" fontId="3" fillId="86" borderId="135" xfId="335" applyFill="1" applyBorder="1" applyAlignment="1">
      <alignment horizontal="center"/>
    </xf>
    <xf numFmtId="16" fontId="3" fillId="83" borderId="18" xfId="335" applyNumberFormat="1" applyFill="1" applyAlignment="1">
      <alignment horizontal="center"/>
    </xf>
    <xf numFmtId="0" fontId="3" fillId="83" borderId="18" xfId="335" applyFill="1" applyAlignment="1">
      <alignment horizontal="center"/>
    </xf>
    <xf numFmtId="0" fontId="3" fillId="0" borderId="129" xfId="335" applyBorder="1" applyAlignment="1">
      <alignment horizontal="center"/>
    </xf>
    <xf numFmtId="16" fontId="3" fillId="0" borderId="129" xfId="335" quotePrefix="1" applyNumberFormat="1" applyBorder="1" applyAlignment="1">
      <alignment horizontal="center"/>
    </xf>
    <xf numFmtId="0" fontId="3" fillId="83" borderId="129" xfId="335" quotePrefix="1" applyFill="1" applyBorder="1" applyAlignment="1">
      <alignment horizontal="center"/>
    </xf>
    <xf numFmtId="0" fontId="3" fillId="83" borderId="129" xfId="335" applyFill="1" applyBorder="1" applyAlignment="1">
      <alignment horizontal="center"/>
    </xf>
    <xf numFmtId="0" fontId="134" fillId="0" borderId="129" xfId="335" applyFont="1" applyBorder="1" applyAlignment="1">
      <alignment horizontal="center"/>
    </xf>
    <xf numFmtId="1" fontId="134" fillId="0" borderId="129" xfId="335" applyNumberFormat="1" applyFont="1" applyBorder="1" applyAlignment="1">
      <alignment horizontal="center"/>
    </xf>
    <xf numFmtId="2" fontId="29" fillId="0" borderId="129" xfId="335" applyNumberFormat="1" applyFont="1" applyBorder="1" applyAlignment="1">
      <alignment horizontal="center"/>
    </xf>
    <xf numFmtId="1" fontId="3" fillId="0" borderId="88" xfId="335" applyNumberFormat="1" applyBorder="1" applyAlignment="1">
      <alignment horizontal="center"/>
    </xf>
    <xf numFmtId="2" fontId="3" fillId="0" borderId="88" xfId="335" applyNumberFormat="1" applyBorder="1" applyAlignment="1">
      <alignment horizontal="center"/>
    </xf>
    <xf numFmtId="0" fontId="3" fillId="0" borderId="129" xfId="335" quotePrefix="1" applyBorder="1" applyAlignment="1">
      <alignment horizontal="center"/>
    </xf>
    <xf numFmtId="2" fontId="29" fillId="0" borderId="18" xfId="335" quotePrefix="1" applyNumberFormat="1" applyFont="1" applyAlignment="1">
      <alignment horizontal="center"/>
    </xf>
    <xf numFmtId="16" fontId="29" fillId="0" borderId="18" xfId="335" applyNumberFormat="1" applyFont="1" applyAlignment="1">
      <alignment horizontal="center"/>
    </xf>
    <xf numFmtId="16" fontId="29" fillId="0" borderId="129" xfId="335" quotePrefix="1" applyNumberFormat="1" applyFont="1" applyBorder="1" applyAlignment="1">
      <alignment horizontal="center"/>
    </xf>
    <xf numFmtId="12" fontId="29" fillId="0" borderId="129" xfId="335" quotePrefix="1" applyNumberFormat="1" applyFont="1" applyBorder="1" applyAlignment="1">
      <alignment horizontal="center"/>
    </xf>
    <xf numFmtId="12" fontId="29" fillId="0" borderId="129" xfId="335" applyNumberFormat="1" applyFont="1" applyBorder="1" applyAlignment="1">
      <alignment horizontal="center"/>
    </xf>
    <xf numFmtId="16" fontId="3" fillId="0" borderId="18" xfId="335" applyNumberFormat="1" applyAlignment="1">
      <alignment horizontal="center"/>
    </xf>
    <xf numFmtId="16" fontId="3" fillId="0" borderId="88" xfId="335" applyNumberFormat="1" applyBorder="1" applyAlignment="1">
      <alignment horizontal="center"/>
    </xf>
    <xf numFmtId="0" fontId="29" fillId="0" borderId="18" xfId="335" quotePrefix="1" applyFont="1" applyAlignment="1">
      <alignment horizontal="center" vertical="center"/>
    </xf>
    <xf numFmtId="0" fontId="29" fillId="0" borderId="129" xfId="335" quotePrefix="1" applyFont="1" applyBorder="1" applyAlignment="1">
      <alignment horizontal="center" vertical="center"/>
    </xf>
    <xf numFmtId="0" fontId="126" fillId="0" borderId="122" xfId="335" applyFont="1" applyBorder="1" applyAlignment="1">
      <alignment horizontal="center" vertical="center"/>
    </xf>
    <xf numFmtId="0" fontId="126" fillId="0" borderId="141" xfId="335" applyFont="1" applyBorder="1" applyAlignment="1">
      <alignment horizontal="center" vertical="center"/>
    </xf>
    <xf numFmtId="0" fontId="126" fillId="0" borderId="123" xfId="335" applyFont="1" applyBorder="1" applyAlignment="1">
      <alignment horizontal="center" vertical="center"/>
    </xf>
    <xf numFmtId="14" fontId="29" fillId="0" borderId="87" xfId="335" applyNumberFormat="1" applyFont="1" applyBorder="1" applyAlignment="1">
      <alignment horizontal="center" vertical="center"/>
    </xf>
    <xf numFmtId="14" fontId="29" fillId="0" borderId="84" xfId="335" applyNumberFormat="1" applyFont="1" applyBorder="1" applyAlignment="1">
      <alignment horizontal="center" vertical="center"/>
    </xf>
    <xf numFmtId="14" fontId="29" fillId="0" borderId="127" xfId="335" applyNumberFormat="1" applyFont="1" applyBorder="1" applyAlignment="1">
      <alignment horizontal="center" vertical="center"/>
    </xf>
    <xf numFmtId="0" fontId="125" fillId="82" borderId="124" xfId="335" applyFont="1" applyFill="1" applyBorder="1" applyAlignment="1">
      <alignment horizontal="center" vertical="center"/>
    </xf>
    <xf numFmtId="0" fontId="125" fillId="82" borderId="91" xfId="335" applyFont="1" applyFill="1" applyBorder="1" applyAlignment="1">
      <alignment horizontal="center" vertical="center"/>
    </xf>
    <xf numFmtId="0" fontId="125" fillId="82" borderId="128" xfId="335" applyFont="1" applyFill="1" applyBorder="1" applyAlignment="1">
      <alignment horizontal="center" vertical="center"/>
    </xf>
    <xf numFmtId="174" fontId="29" fillId="0" borderId="87" xfId="335" applyNumberFormat="1" applyFont="1" applyBorder="1" applyAlignment="1">
      <alignment horizontal="center" vertical="center"/>
    </xf>
    <xf numFmtId="0" fontId="129" fillId="84" borderId="93" xfId="335" applyFont="1" applyFill="1" applyBorder="1" applyAlignment="1">
      <alignment horizontal="center"/>
    </xf>
    <xf numFmtId="0" fontId="129" fillId="84" borderId="18" xfId="335" applyFont="1" applyFill="1" applyAlignment="1">
      <alignment horizontal="center"/>
    </xf>
    <xf numFmtId="14" fontId="29" fillId="0" borderId="18" xfId="335" applyNumberFormat="1" applyFont="1" applyAlignment="1">
      <alignment horizontal="center" vertical="center"/>
    </xf>
    <xf numFmtId="0" fontId="125" fillId="0" borderId="119" xfId="335" applyFont="1" applyBorder="1" applyAlignment="1">
      <alignment horizontal="center"/>
    </xf>
    <xf numFmtId="0" fontId="29" fillId="0" borderId="87" xfId="335" applyFont="1" applyBorder="1" applyAlignment="1">
      <alignment horizontal="center" vertical="center"/>
    </xf>
    <xf numFmtId="0" fontId="29" fillId="0" borderId="84" xfId="335" applyFont="1" applyBorder="1" applyAlignment="1">
      <alignment horizontal="center" vertical="center"/>
    </xf>
    <xf numFmtId="0" fontId="29" fillId="0" borderId="127" xfId="335" applyFont="1" applyBorder="1" applyAlignment="1">
      <alignment horizontal="center" vertical="center"/>
    </xf>
    <xf numFmtId="1" fontId="29" fillId="0" borderId="87" xfId="335" applyNumberFormat="1" applyFont="1" applyBorder="1" applyAlignment="1">
      <alignment horizontal="center" vertical="center"/>
    </xf>
    <xf numFmtId="0" fontId="29" fillId="85" borderId="126" xfId="335" applyFont="1" applyFill="1" applyBorder="1" applyAlignment="1">
      <alignment horizontal="center"/>
    </xf>
    <xf numFmtId="0" fontId="29" fillId="85" borderId="87" xfId="335" applyFont="1" applyFill="1" applyBorder="1" applyAlignment="1">
      <alignment horizontal="center"/>
    </xf>
    <xf numFmtId="0" fontId="29" fillId="85" borderId="87" xfId="335" applyFont="1" applyFill="1" applyBorder="1" applyAlignment="1">
      <alignment horizontal="center" vertical="center"/>
    </xf>
    <xf numFmtId="0" fontId="29" fillId="0" borderId="126" xfId="335" applyFont="1" applyBorder="1" applyAlignment="1">
      <alignment horizontal="center"/>
    </xf>
    <xf numFmtId="0" fontId="29" fillId="0" borderId="87" xfId="335" applyFont="1" applyBorder="1" applyAlignment="1">
      <alignment horizontal="center"/>
    </xf>
    <xf numFmtId="0" fontId="29" fillId="0" borderId="87" xfId="335" applyFont="1" applyBorder="1" applyAlignment="1">
      <alignment horizontal="left" vertical="center"/>
    </xf>
    <xf numFmtId="0" fontId="29" fillId="85" borderId="84" xfId="335" applyFont="1" applyFill="1" applyBorder="1" applyAlignment="1">
      <alignment horizontal="center" vertical="center"/>
    </xf>
    <xf numFmtId="0" fontId="29" fillId="85" borderId="127" xfId="335" applyFont="1" applyFill="1" applyBorder="1" applyAlignment="1">
      <alignment horizontal="center" vertical="center"/>
    </xf>
    <xf numFmtId="0" fontId="29" fillId="0" borderId="135" xfId="335" applyFont="1" applyBorder="1" applyAlignment="1">
      <alignment horizontal="center" vertical="center"/>
    </xf>
    <xf numFmtId="0" fontId="29" fillId="0" borderId="142" xfId="335" applyFont="1" applyBorder="1" applyAlignment="1">
      <alignment horizontal="center" vertical="center"/>
    </xf>
    <xf numFmtId="0" fontId="29" fillId="0" borderId="130" xfId="335" applyFont="1" applyBorder="1" applyAlignment="1">
      <alignment horizontal="center" vertical="center"/>
    </xf>
    <xf numFmtId="0" fontId="29" fillId="0" borderId="84" xfId="335" applyFont="1" applyBorder="1" applyAlignment="1">
      <alignment horizontal="left" vertical="center"/>
    </xf>
    <xf numFmtId="0" fontId="29" fillId="0" borderId="127" xfId="335" applyFont="1" applyBorder="1" applyAlignment="1">
      <alignment horizontal="left" vertical="center"/>
    </xf>
    <xf numFmtId="0" fontId="3" fillId="86" borderId="87" xfId="335" applyFill="1" applyBorder="1" applyAlignment="1">
      <alignment horizontal="center"/>
    </xf>
    <xf numFmtId="0" fontId="3" fillId="86" borderId="87" xfId="335" applyFill="1" applyBorder="1" applyAlignment="1">
      <alignment horizontal="center" vertical="center"/>
    </xf>
    <xf numFmtId="0" fontId="3" fillId="86" borderId="135" xfId="335" applyFill="1" applyBorder="1" applyAlignment="1">
      <alignment horizontal="center" vertical="center"/>
    </xf>
    <xf numFmtId="0" fontId="29" fillId="0" borderId="87" xfId="335" applyFont="1" applyBorder="1" applyAlignment="1">
      <alignment horizontal="center" vertical="center" wrapText="1"/>
    </xf>
    <xf numFmtId="0" fontId="29" fillId="0" borderId="135" xfId="335" applyFont="1" applyBorder="1" applyAlignment="1">
      <alignment horizontal="center" vertical="center" wrapText="1"/>
    </xf>
    <xf numFmtId="1" fontId="3" fillId="0" borderId="18" xfId="335" applyNumberFormat="1" applyAlignment="1">
      <alignment horizontal="center"/>
    </xf>
    <xf numFmtId="0" fontId="29" fillId="0" borderId="136" xfId="335" applyFont="1" applyBorder="1" applyAlignment="1">
      <alignment horizontal="center"/>
    </xf>
    <xf numFmtId="0" fontId="29" fillId="0" borderId="135" xfId="335" applyFont="1" applyBorder="1" applyAlignment="1">
      <alignment horizontal="center"/>
    </xf>
    <xf numFmtId="0" fontId="29" fillId="0" borderId="135" xfId="335" applyFont="1" applyBorder="1" applyAlignment="1">
      <alignment horizontal="left" vertical="center"/>
    </xf>
    <xf numFmtId="1" fontId="29" fillId="0" borderId="135" xfId="335" applyNumberFormat="1" applyFont="1" applyBorder="1" applyAlignment="1">
      <alignment horizontal="center" vertical="center"/>
    </xf>
    <xf numFmtId="0" fontId="3" fillId="0" borderId="135" xfId="335" applyBorder="1" applyAlignment="1">
      <alignment horizontal="center" vertical="center"/>
    </xf>
    <xf numFmtId="0" fontId="3" fillId="0" borderId="89" xfId="335" applyBorder="1" applyAlignment="1">
      <alignment horizontal="center" vertical="center"/>
    </xf>
    <xf numFmtId="0" fontId="3" fillId="0" borderId="120" xfId="335" applyBorder="1" applyAlignment="1">
      <alignment horizontal="center" vertical="center"/>
    </xf>
    <xf numFmtId="0" fontId="3" fillId="0" borderId="93" xfId="335" applyBorder="1" applyAlignment="1">
      <alignment horizontal="center" vertical="center"/>
    </xf>
    <xf numFmtId="0" fontId="3" fillId="0" borderId="92" xfId="335" applyBorder="1" applyAlignment="1">
      <alignment horizontal="center" vertical="center"/>
    </xf>
    <xf numFmtId="0" fontId="3" fillId="0" borderId="140" xfId="335" applyBorder="1" applyAlignment="1">
      <alignment horizontal="center" vertical="center"/>
    </xf>
    <xf numFmtId="0" fontId="3" fillId="0" borderId="90" xfId="335" applyBorder="1" applyAlignment="1">
      <alignment horizontal="center" vertical="center"/>
    </xf>
    <xf numFmtId="0" fontId="3" fillId="0" borderId="89" xfId="335" applyBorder="1" applyAlignment="1">
      <alignment horizontal="center"/>
    </xf>
    <xf numFmtId="0" fontId="3" fillId="0" borderId="120" xfId="335" applyBorder="1" applyAlignment="1">
      <alignment horizontal="center"/>
    </xf>
    <xf numFmtId="0" fontId="3" fillId="0" borderId="93" xfId="335" applyBorder="1" applyAlignment="1">
      <alignment horizontal="center"/>
    </xf>
    <xf numFmtId="0" fontId="3" fillId="0" borderId="92" xfId="335" applyBorder="1" applyAlignment="1">
      <alignment horizontal="center"/>
    </xf>
    <xf numFmtId="0" fontId="3" fillId="0" borderId="140" xfId="335" applyBorder="1" applyAlignment="1">
      <alignment horizontal="center"/>
    </xf>
    <xf numFmtId="0" fontId="3" fillId="0" borderId="90" xfId="335" applyBorder="1" applyAlignment="1">
      <alignment horizontal="center"/>
    </xf>
    <xf numFmtId="0" fontId="137" fillId="0" borderId="121" xfId="335" applyFont="1" applyBorder="1" applyAlignment="1">
      <alignment horizontal="center" vertical="center"/>
    </xf>
    <xf numFmtId="0" fontId="137" fillId="0" borderId="122" xfId="335" applyFont="1" applyBorder="1" applyAlignment="1">
      <alignment horizontal="center" vertical="center"/>
    </xf>
    <xf numFmtId="0" fontId="137" fillId="0" borderId="126" xfId="335" applyFont="1" applyBorder="1" applyAlignment="1">
      <alignment horizontal="center" vertical="center"/>
    </xf>
    <xf numFmtId="0" fontId="137" fillId="0" borderId="87" xfId="335" applyFont="1" applyBorder="1" applyAlignment="1">
      <alignment horizontal="center" vertical="center"/>
    </xf>
    <xf numFmtId="0" fontId="29" fillId="0" borderId="133" xfId="335" applyFont="1" applyBorder="1" applyAlignment="1">
      <alignment horizontal="center" vertical="center"/>
    </xf>
    <xf numFmtId="0" fontId="29" fillId="0" borderId="134" xfId="335" applyFont="1" applyBorder="1" applyAlignment="1">
      <alignment horizontal="center" vertical="center"/>
    </xf>
    <xf numFmtId="0" fontId="29" fillId="0" borderId="131" xfId="335" applyFont="1" applyBorder="1" applyAlignment="1">
      <alignment horizontal="center" vertical="center"/>
    </xf>
    <xf numFmtId="0" fontId="29" fillId="0" borderId="132" xfId="335" applyFont="1" applyBorder="1" applyAlignment="1">
      <alignment horizontal="center" vertical="center"/>
    </xf>
    <xf numFmtId="0" fontId="29" fillId="0" borderId="18" xfId="335" applyFont="1" applyAlignment="1">
      <alignment horizontal="center" vertical="center" wrapText="1"/>
    </xf>
    <xf numFmtId="0" fontId="29" fillId="0" borderId="136" xfId="335" applyFont="1" applyBorder="1" applyAlignment="1">
      <alignment horizontal="center" vertical="center"/>
    </xf>
    <xf numFmtId="0" fontId="3" fillId="0" borderId="18" xfId="335" applyAlignment="1">
      <alignment horizontal="center" vertical="center"/>
    </xf>
    <xf numFmtId="16" fontId="3" fillId="83" borderId="18" xfId="335" applyNumberFormat="1" applyFill="1" applyAlignment="1">
      <alignment horizontal="center" vertical="center"/>
    </xf>
    <xf numFmtId="0" fontId="3" fillId="83" borderId="18" xfId="335" applyFill="1" applyAlignment="1">
      <alignment horizontal="center" vertical="center"/>
    </xf>
    <xf numFmtId="0" fontId="29" fillId="0" borderId="126" xfId="335" applyFont="1" applyBorder="1" applyAlignment="1">
      <alignment horizontal="center" vertical="center"/>
    </xf>
    <xf numFmtId="0" fontId="3" fillId="86" borderId="138" xfId="335" applyFill="1" applyBorder="1" applyAlignment="1">
      <alignment horizontal="center" vertical="center"/>
    </xf>
    <xf numFmtId="0" fontId="3" fillId="86" borderId="85" xfId="335" applyFill="1" applyBorder="1" applyAlignment="1">
      <alignment horizontal="center" vertical="center"/>
    </xf>
    <xf numFmtId="0" fontId="3" fillId="86" borderId="86" xfId="335" applyFill="1" applyBorder="1" applyAlignment="1">
      <alignment horizontal="center" vertical="center"/>
    </xf>
    <xf numFmtId="16" fontId="3" fillId="0" borderId="88" xfId="335" applyNumberFormat="1" applyBorder="1" applyAlignment="1">
      <alignment horizontal="center" vertical="center"/>
    </xf>
    <xf numFmtId="0" fontId="3" fillId="0" borderId="88" xfId="335" applyBorder="1" applyAlignment="1">
      <alignment horizontal="center" vertical="center"/>
    </xf>
    <xf numFmtId="1" fontId="3" fillId="0" borderId="18" xfId="335" applyNumberFormat="1" applyAlignment="1">
      <alignment horizontal="center" vertical="center"/>
    </xf>
    <xf numFmtId="0" fontId="29" fillId="0" borderId="85" xfId="335" applyFont="1" applyBorder="1" applyAlignment="1">
      <alignment horizontal="center" vertical="center"/>
    </xf>
    <xf numFmtId="0" fontId="29" fillId="0" borderId="139" xfId="335" applyFont="1" applyBorder="1" applyAlignment="1">
      <alignment horizontal="center" vertical="center"/>
    </xf>
    <xf numFmtId="171" fontId="29" fillId="0" borderId="87" xfId="335" applyNumberFormat="1" applyFont="1" applyBorder="1" applyAlignment="1">
      <alignment horizontal="center" vertical="center"/>
    </xf>
    <xf numFmtId="0" fontId="3" fillId="0" borderId="129" xfId="335" applyBorder="1" applyAlignment="1">
      <alignment horizontal="center" vertical="center"/>
    </xf>
    <xf numFmtId="16" fontId="3" fillId="0" borderId="129" xfId="335" quotePrefix="1" applyNumberFormat="1" applyBorder="1" applyAlignment="1">
      <alignment horizontal="center" vertical="center"/>
    </xf>
    <xf numFmtId="0" fontId="3" fillId="83" borderId="129" xfId="335" quotePrefix="1" applyFill="1" applyBorder="1" applyAlignment="1">
      <alignment horizontal="center" vertical="center"/>
    </xf>
    <xf numFmtId="0" fontId="3" fillId="83" borderId="129" xfId="335" applyFill="1" applyBorder="1" applyAlignment="1">
      <alignment horizontal="center" vertical="center"/>
    </xf>
    <xf numFmtId="0" fontId="137" fillId="0" borderId="96" xfId="335" applyFont="1" applyBorder="1" applyAlignment="1">
      <alignment horizontal="center" vertical="center"/>
    </xf>
    <xf numFmtId="0" fontId="137" fillId="0" borderId="18" xfId="335" applyFont="1" applyAlignment="1">
      <alignment horizontal="center" vertical="center"/>
    </xf>
    <xf numFmtId="0" fontId="137" fillId="0" borderId="137" xfId="335" applyFont="1" applyBorder="1" applyAlignment="1">
      <alignment horizontal="center" vertical="center"/>
    </xf>
    <xf numFmtId="0" fontId="137" fillId="0" borderId="88" xfId="335" applyFont="1" applyBorder="1" applyAlignment="1">
      <alignment horizontal="center" vertical="center"/>
    </xf>
    <xf numFmtId="0" fontId="126" fillId="0" borderId="119" xfId="335" applyFont="1" applyBorder="1" applyAlignment="1">
      <alignment horizontal="center" vertical="center"/>
    </xf>
    <xf numFmtId="0" fontId="126" fillId="0" borderId="143" xfId="335" applyFont="1" applyBorder="1" applyAlignment="1">
      <alignment horizontal="center" vertical="center"/>
    </xf>
    <xf numFmtId="177" fontId="29" fillId="0" borderId="87" xfId="335" applyNumberFormat="1" applyFont="1" applyBorder="1" applyAlignment="1">
      <alignment horizontal="center" vertical="center"/>
    </xf>
    <xf numFmtId="177" fontId="29" fillId="0" borderId="127" xfId="335" applyNumberFormat="1" applyFont="1" applyBorder="1" applyAlignment="1">
      <alignment horizontal="center" vertical="center"/>
    </xf>
    <xf numFmtId="0" fontId="29" fillId="85" borderId="126" xfId="335" applyFont="1" applyFill="1" applyBorder="1" applyAlignment="1">
      <alignment horizontal="center" vertical="center"/>
    </xf>
    <xf numFmtId="0" fontId="131" fillId="86" borderId="96" xfId="335" applyFont="1" applyFill="1" applyBorder="1" applyAlignment="1">
      <alignment horizontal="center" vertical="center"/>
    </xf>
    <xf numFmtId="0" fontId="131" fillId="86" borderId="18" xfId="335" applyFont="1" applyFill="1" applyAlignment="1">
      <alignment horizontal="center" vertical="center"/>
    </xf>
    <xf numFmtId="0" fontId="131" fillId="86" borderId="92" xfId="335" applyFont="1" applyFill="1" applyBorder="1" applyAlignment="1">
      <alignment horizontal="center" vertical="center"/>
    </xf>
    <xf numFmtId="0" fontId="29" fillId="0" borderId="109" xfId="335" applyFont="1" applyBorder="1" applyAlignment="1">
      <alignment horizontal="center" vertical="center"/>
    </xf>
    <xf numFmtId="0" fontId="131" fillId="86" borderId="138" xfId="335" applyFont="1" applyFill="1" applyBorder="1" applyAlignment="1">
      <alignment horizontal="center" vertical="center"/>
    </xf>
    <xf numFmtId="0" fontId="131" fillId="86" borderId="85" xfId="335" applyFont="1" applyFill="1" applyBorder="1" applyAlignment="1">
      <alignment horizontal="center" vertical="center"/>
    </xf>
    <xf numFmtId="0" fontId="131" fillId="86" borderId="86" xfId="335" applyFont="1" applyFill="1" applyBorder="1" applyAlignment="1">
      <alignment horizontal="center" vertical="center"/>
    </xf>
    <xf numFmtId="0" fontId="29" fillId="0" borderId="129" xfId="335" applyFont="1" applyBorder="1" applyAlignment="1">
      <alignment horizontal="center" vertical="center"/>
    </xf>
    <xf numFmtId="0" fontId="29" fillId="0" borderId="88" xfId="335" applyFont="1" applyBorder="1" applyAlignment="1">
      <alignment horizontal="center" vertical="center"/>
    </xf>
    <xf numFmtId="16" fontId="29" fillId="0" borderId="129" xfId="335" quotePrefix="1" applyNumberFormat="1" applyFont="1" applyBorder="1" applyAlignment="1">
      <alignment horizontal="center" vertical="center"/>
    </xf>
    <xf numFmtId="17" fontId="29" fillId="0" borderId="18" xfId="335" quotePrefix="1" applyNumberFormat="1" applyFont="1" applyAlignment="1">
      <alignment horizontal="center" vertical="center"/>
    </xf>
    <xf numFmtId="16" fontId="29" fillId="0" borderId="18" xfId="335" quotePrefix="1" applyNumberFormat="1" applyFont="1" applyAlignment="1">
      <alignment horizontal="center" vertical="center"/>
    </xf>
    <xf numFmtId="0" fontId="125" fillId="0" borderId="124" xfId="335" applyFont="1" applyBorder="1" applyAlignment="1">
      <alignment horizontal="center" vertical="center"/>
    </xf>
    <xf numFmtId="0" fontId="125" fillId="0" borderId="91" xfId="335" applyFont="1" applyBorder="1" applyAlignment="1">
      <alignment horizontal="center" vertical="center"/>
    </xf>
    <xf numFmtId="0" fontId="125" fillId="0" borderId="128" xfId="335" applyFont="1" applyBorder="1" applyAlignment="1">
      <alignment horizontal="center" vertical="center"/>
    </xf>
    <xf numFmtId="0" fontId="125" fillId="0" borderId="125" xfId="335" applyFont="1" applyBorder="1" applyAlignment="1">
      <alignment horizontal="center" vertical="center"/>
    </xf>
    <xf numFmtId="0" fontId="29" fillId="0" borderId="125" xfId="335" applyFont="1" applyBorder="1" applyAlignment="1">
      <alignment horizontal="center" vertical="center"/>
    </xf>
    <xf numFmtId="14" fontId="29" fillId="0" borderId="125" xfId="335" applyNumberFormat="1" applyFont="1" applyBorder="1" applyAlignment="1">
      <alignment horizontal="center" vertical="center"/>
    </xf>
    <xf numFmtId="14" fontId="29" fillId="0" borderId="134" xfId="335" applyNumberFormat="1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5" fillId="0" borderId="40" xfId="0" applyFont="1" applyBorder="1"/>
    <xf numFmtId="0" fontId="5" fillId="0" borderId="37" xfId="0" applyFont="1" applyBorder="1"/>
    <xf numFmtId="0" fontId="6" fillId="0" borderId="79" xfId="0" applyFont="1" applyBorder="1" applyAlignment="1">
      <alignment horizontal="center" vertical="center" wrapText="1"/>
    </xf>
    <xf numFmtId="0" fontId="4" fillId="2" borderId="75" xfId="0" applyFont="1" applyFill="1" applyBorder="1" applyAlignment="1">
      <alignment horizontal="center"/>
    </xf>
    <xf numFmtId="0" fontId="5" fillId="0" borderId="76" xfId="0" applyFont="1" applyBorder="1"/>
    <xf numFmtId="0" fontId="5" fillId="0" borderId="77" xfId="0" applyFont="1" applyBorder="1"/>
    <xf numFmtId="0" fontId="4" fillId="2" borderId="25" xfId="0" applyFont="1" applyFill="1" applyBorder="1" applyAlignment="1">
      <alignment horizontal="center"/>
    </xf>
    <xf numFmtId="0" fontId="5" fillId="0" borderId="26" xfId="0" applyFont="1" applyBorder="1"/>
    <xf numFmtId="0" fontId="5" fillId="0" borderId="27" xfId="0" applyFont="1" applyBorder="1"/>
    <xf numFmtId="0" fontId="4" fillId="21" borderId="75" xfId="0" applyFont="1" applyFill="1" applyBorder="1" applyAlignment="1">
      <alignment horizontal="center" vertical="center"/>
    </xf>
    <xf numFmtId="0" fontId="19" fillId="22" borderId="78" xfId="0" applyFont="1" applyFill="1" applyBorder="1" applyAlignment="1">
      <alignment horizontal="center" vertical="center" wrapText="1"/>
    </xf>
    <xf numFmtId="0" fontId="19" fillId="22" borderId="83" xfId="0" applyFont="1" applyFill="1" applyBorder="1" applyAlignment="1">
      <alignment horizontal="center" vertical="center" wrapText="1"/>
    </xf>
    <xf numFmtId="172" fontId="19" fillId="0" borderId="8" xfId="0" applyNumberFormat="1" applyFont="1" applyBorder="1" applyAlignment="1">
      <alignment horizontal="center" vertical="center"/>
    </xf>
    <xf numFmtId="176" fontId="6" fillId="0" borderId="79" xfId="0" applyNumberFormat="1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/>
    </xf>
    <xf numFmtId="0" fontId="19" fillId="22" borderId="81" xfId="0" applyFont="1" applyFill="1" applyBorder="1" applyAlignment="1">
      <alignment horizontal="center" vertical="center" wrapText="1"/>
    </xf>
    <xf numFmtId="0" fontId="5" fillId="0" borderId="36" xfId="0" applyFont="1" applyBorder="1"/>
    <xf numFmtId="0" fontId="19" fillId="22" borderId="82" xfId="0" applyFont="1" applyFill="1" applyBorder="1" applyAlignment="1">
      <alignment horizontal="center" vertical="center"/>
    </xf>
    <xf numFmtId="0" fontId="19" fillId="22" borderId="82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09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64</xdr:col>
      <xdr:colOff>278606</xdr:colOff>
      <xdr:row>72</xdr:row>
      <xdr:rowOff>130969</xdr:rowOff>
    </xdr:from>
    <xdr:to>
      <xdr:col>64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157554</xdr:colOff>
      <xdr:row>65</xdr:row>
      <xdr:rowOff>129945</xdr:rowOff>
    </xdr:from>
    <xdr:to>
      <xdr:col>8</xdr:col>
      <xdr:colOff>83332</xdr:colOff>
      <xdr:row>66</xdr:row>
      <xdr:rowOff>129945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980929D8-445C-46AF-A64A-1EE957E34FD4}"/>
            </a:ext>
          </a:extLst>
        </xdr:cNvPr>
        <xdr:cNvSpPr/>
      </xdr:nvSpPr>
      <xdr:spPr>
        <a:xfrm flipH="1">
          <a:off x="2154583" y="108697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/Users/shuklap05/Downloads/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22">
          <cell r="M22">
            <v>7</v>
          </cell>
        </row>
        <row r="30">
          <cell r="M30"/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648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441" t="s">
        <v>0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3"/>
    </row>
    <row r="2" spans="1:26" ht="14.25" customHeight="1">
      <c r="A2" s="441" t="s">
        <v>1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3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444" t="s">
        <v>7</v>
      </c>
      <c r="G3" s="442"/>
      <c r="H3" s="442"/>
      <c r="I3" s="443"/>
      <c r="J3" s="2" t="s">
        <v>8</v>
      </c>
      <c r="K3" s="444" t="s">
        <v>9</v>
      </c>
      <c r="L3" s="442"/>
      <c r="M3" s="442"/>
      <c r="N3" s="443"/>
      <c r="O3" s="2" t="s">
        <v>10</v>
      </c>
      <c r="P3" s="4" t="s">
        <v>11</v>
      </c>
      <c r="Q3" s="445" t="s">
        <v>12</v>
      </c>
      <c r="R3" s="442"/>
      <c r="S3" s="443"/>
      <c r="T3" s="446" t="s">
        <v>13</v>
      </c>
      <c r="U3" s="442"/>
      <c r="V3" s="443"/>
      <c r="W3" s="447" t="s">
        <v>14</v>
      </c>
      <c r="X3" s="448"/>
      <c r="Y3" s="449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hidden="1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hidden="1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hidden="1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hidden="1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hidden="1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hidden="1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hidden="1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hidden="1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hidden="1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hidden="1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hidden="1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hidden="1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hidden="1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hidden="1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hidden="1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hidden="1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hidden="1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hidden="1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hidden="1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hidden="1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hidden="1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hidden="1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hidden="1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hidden="1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hidden="1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hidden="1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hidden="1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hidden="1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hidden="1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hidden="1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hidden="1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hidden="1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hidden="1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hidden="1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hidden="1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hidden="1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hidden="1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hidden="1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hidden="1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hidden="1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hidden="1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hidden="1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hidden="1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hidden="1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hidden="1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hidden="1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hidden="1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hidden="1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hidden="1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hidden="1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hidden="1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hidden="1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hidden="1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hidden="1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hidden="1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hidden="1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hidden="1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hidden="1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hidden="1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hidden="1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hidden="1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hidden="1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hidden="1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hidden="1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hidden="1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hidden="1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hidden="1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hidden="1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hidden="1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hidden="1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hidden="1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hidden="1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hidden="1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hidden="1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hidden="1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hidden="1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hidden="1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hidden="1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hidden="1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hidden="1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hidden="1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hidden="1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hidden="1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hidden="1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hidden="1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hidden="1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hidden="1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hidden="1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hidden="1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hidden="1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hidden="1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hidden="1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hidden="1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hidden="1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hidden="1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hidden="1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hidden="1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hidden="1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hidden="1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hidden="1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hidden="1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hidden="1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hidden="1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hidden="1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hidden="1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hidden="1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hidden="1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hidden="1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hidden="1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hidden="1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hidden="1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hidden="1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hidden="1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hidden="1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hidden="1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hidden="1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hidden="1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hidden="1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hidden="1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hidden="1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hidden="1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hidden="1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hidden="1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hidden="1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hidden="1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hidden="1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hidden="1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hidden="1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hidden="1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hidden="1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hidden="1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hidden="1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hidden="1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hidden="1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hidden="1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hidden="1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hidden="1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hidden="1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hidden="1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hidden="1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hidden="1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hidden="1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hidden="1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hidden="1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hidden="1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hidden="1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hidden="1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hidden="1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hidden="1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hidden="1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hidden="1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hidden="1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hidden="1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hidden="1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hidden="1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hidden="1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hidden="1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hidden="1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hidden="1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hidden="1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hidden="1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hidden="1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hidden="1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hidden="1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hidden="1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hidden="1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hidden="1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hidden="1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hidden="1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hidden="1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hidden="1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hidden="1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hidden="1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hidden="1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hidden="1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hidden="1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hidden="1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hidden="1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hidden="1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hidden="1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hidden="1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hidden="1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hidden="1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hidden="1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hidden="1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hidden="1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hidden="1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hidden="1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hidden="1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hidden="1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hidden="1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hidden="1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hidden="1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hidden="1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hidden="1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hidden="1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hidden="1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hidden="1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hidden="1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hidden="1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hidden="1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hidden="1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hidden="1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hidden="1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hidden="1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hidden="1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hidden="1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hidden="1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hidden="1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hidden="1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hidden="1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hidden="1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hidden="1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hidden="1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hidden="1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hidden="1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hidden="1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hidden="1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hidden="1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hidden="1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hidden="1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hidden="1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hidden="1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hidden="1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hidden="1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hidden="1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hidden="1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hidden="1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hidden="1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hidden="1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hidden="1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hidden="1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hidden="1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hidden="1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hidden="1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hidden="1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hidden="1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hidden="1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hidden="1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hidden="1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hidden="1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hidden="1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hidden="1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hidden="1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hidden="1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hidden="1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hidden="1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hidden="1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hidden="1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hidden="1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hidden="1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hidden="1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hidden="1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hidden="1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hidden="1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hidden="1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hidden="1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hidden="1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hidden="1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hidden="1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hidden="1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hidden="1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hidden="1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hidden="1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hidden="1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hidden="1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hidden="1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hidden="1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hidden="1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hidden="1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hidden="1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hidden="1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hidden="1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hidden="1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hidden="1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hidden="1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hidden="1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hidden="1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hidden="1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hidden="1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hidden="1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hidden="1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hidden="1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hidden="1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hidden="1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hidden="1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hidden="1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hidden="1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hidden="1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hidden="1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hidden="1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hidden="1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hidden="1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hidden="1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hidden="1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hidden="1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hidden="1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hidden="1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hidden="1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hidden="1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hidden="1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hidden="1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hidden="1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hidden="1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hidden="1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hidden="1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hidden="1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hidden="1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hidden="1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hidden="1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hidden="1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hidden="1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hidden="1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hidden="1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hidden="1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hidden="1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hidden="1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hidden="1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hidden="1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hidden="1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hidden="1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hidden="1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hidden="1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hidden="1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hidden="1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hidden="1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hidden="1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hidden="1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hidden="1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hidden="1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hidden="1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hidden="1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hidden="1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hidden="1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hidden="1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hidden="1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hidden="1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hidden="1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hidden="1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hidden="1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hidden="1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hidden="1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hidden="1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hidden="1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hidden="1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hidden="1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hidden="1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hidden="1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hidden="1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hidden="1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hidden="1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hidden="1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hidden="1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hidden="1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hidden="1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hidden="1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hidden="1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hidden="1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hidden="1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hidden="1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hidden="1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hidden="1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hidden="1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hidden="1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hidden="1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hidden="1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hidden="1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hidden="1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hidden="1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hidden="1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hidden="1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hidden="1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hidden="1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hidden="1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hidden="1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hidden="1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hidden="1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hidden="1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hidden="1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hidden="1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hidden="1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hidden="1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hidden="1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hidden="1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hidden="1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hidden="1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hidden="1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hidden="1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hidden="1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hidden="1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hidden="1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hidden="1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hidden="1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hidden="1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hidden="1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hidden="1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hidden="1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hidden="1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hidden="1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hidden="1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hidden="1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hidden="1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hidden="1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hidden="1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hidden="1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hidden="1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hidden="1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hidden="1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hidden="1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hidden="1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hidden="1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hidden="1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hidden="1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hidden="1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hidden="1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hidden="1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hidden="1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hidden="1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hidden="1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hidden="1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hidden="1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hidden="1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hidden="1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hidden="1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hidden="1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hidden="1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hidden="1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hidden="1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hidden="1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hidden="1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hidden="1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hidden="1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hidden="1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hidden="1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hidden="1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hidden="1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hidden="1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hidden="1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hidden="1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hidden="1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hidden="1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hidden="1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hidden="1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hidden="1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hidden="1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hidden="1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hidden="1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hidden="1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hidden="1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hidden="1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hidden="1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hidden="1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hidden="1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hidden="1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hidden="1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hidden="1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hidden="1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hidden="1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hidden="1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hidden="1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hidden="1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hidden="1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hidden="1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hidden="1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hidden="1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hidden="1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hidden="1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hidden="1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hidden="1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hidden="1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hidden="1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hidden="1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hidden="1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hidden="1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hidden="1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>
    <filterColumn colId="2">
      <filters>
        <filter val="DB+6"/>
      </filters>
    </filterColumn>
  </autoFilter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441" t="str">
        <f>+Summary!A2</f>
        <v>Name of the Line: 220KV DC AL59 line from Neemuch - Chanderiya + 132KV DC ACSS Line from Chanderiya to Hindustan Zinc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3"/>
    </row>
    <row r="2" spans="1:26" ht="14.25" customHeight="1">
      <c r="A2" s="441" t="s">
        <v>296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3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444" t="s">
        <v>7</v>
      </c>
      <c r="G3" s="442"/>
      <c r="H3" s="442"/>
      <c r="I3" s="443"/>
      <c r="J3" s="2" t="s">
        <v>8</v>
      </c>
      <c r="K3" s="444" t="s">
        <v>9</v>
      </c>
      <c r="L3" s="442"/>
      <c r="M3" s="442"/>
      <c r="N3" s="443"/>
      <c r="O3" s="2" t="s">
        <v>10</v>
      </c>
      <c r="P3" s="4" t="s">
        <v>11</v>
      </c>
      <c r="Q3" s="445" t="s">
        <v>12</v>
      </c>
      <c r="R3" s="442"/>
      <c r="S3" s="443"/>
      <c r="T3" s="446" t="s">
        <v>13</v>
      </c>
      <c r="U3" s="442"/>
      <c r="V3" s="443"/>
      <c r="W3" s="447" t="s">
        <v>14</v>
      </c>
      <c r="X3" s="448"/>
      <c r="Y3" s="449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441" t="str">
        <f>+Summary!A2</f>
        <v>Name of the Line: 220KV DC AL59 line from Neemuch - Chanderiya + 132KV DC ACSS Line from Chanderiya to Hindustan Zinc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3"/>
    </row>
    <row r="2" spans="1:26" ht="14.25" customHeight="1">
      <c r="A2" s="441" t="s">
        <v>302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3"/>
    </row>
    <row r="3" spans="1:26" ht="30" customHeight="1">
      <c r="A3" s="452" t="s">
        <v>2</v>
      </c>
      <c r="B3" s="452" t="s">
        <v>3</v>
      </c>
      <c r="C3" s="452" t="s">
        <v>4</v>
      </c>
      <c r="D3" s="2" t="s">
        <v>5</v>
      </c>
      <c r="E3" s="2" t="s">
        <v>6</v>
      </c>
      <c r="F3" s="444" t="s">
        <v>7</v>
      </c>
      <c r="G3" s="442"/>
      <c r="H3" s="442"/>
      <c r="I3" s="443"/>
      <c r="J3" s="2" t="s">
        <v>8</v>
      </c>
      <c r="K3" s="444" t="s">
        <v>9</v>
      </c>
      <c r="L3" s="442"/>
      <c r="M3" s="442"/>
      <c r="N3" s="443"/>
      <c r="O3" s="2" t="s">
        <v>10</v>
      </c>
      <c r="P3" s="4" t="s">
        <v>11</v>
      </c>
      <c r="Q3" s="445" t="s">
        <v>12</v>
      </c>
      <c r="R3" s="442"/>
      <c r="S3" s="443"/>
      <c r="T3" s="446" t="s">
        <v>13</v>
      </c>
      <c r="U3" s="442"/>
      <c r="V3" s="443"/>
      <c r="W3" s="447" t="s">
        <v>14</v>
      </c>
      <c r="X3" s="448"/>
      <c r="Y3" s="449"/>
      <c r="Z3" s="450" t="s">
        <v>15</v>
      </c>
    </row>
    <row r="4" spans="1:26" ht="22.5" customHeight="1">
      <c r="A4" s="451"/>
      <c r="B4" s="451"/>
      <c r="C4" s="451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451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441" t="str">
        <f>+Summary!A2</f>
        <v>Name of the Line: 220KV DC AL59 line from Neemuch - Chanderiya + 132KV DC ACSS Line from Chanderiya to Hindustan Zinc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3"/>
    </row>
    <row r="2" spans="1:26" ht="14.25" customHeight="1">
      <c r="A2" s="441" t="s">
        <v>296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3"/>
    </row>
    <row r="3" spans="1:26" ht="30" customHeight="1">
      <c r="A3" s="452" t="s">
        <v>2</v>
      </c>
      <c r="B3" s="452" t="s">
        <v>3</v>
      </c>
      <c r="C3" s="452" t="s">
        <v>4</v>
      </c>
      <c r="D3" s="2" t="s">
        <v>5</v>
      </c>
      <c r="E3" s="2" t="s">
        <v>6</v>
      </c>
      <c r="F3" s="444" t="s">
        <v>7</v>
      </c>
      <c r="G3" s="442"/>
      <c r="H3" s="442"/>
      <c r="I3" s="443"/>
      <c r="J3" s="2" t="s">
        <v>8</v>
      </c>
      <c r="K3" s="444" t="s">
        <v>9</v>
      </c>
      <c r="L3" s="442"/>
      <c r="M3" s="442"/>
      <c r="N3" s="443"/>
      <c r="O3" s="2" t="s">
        <v>10</v>
      </c>
      <c r="P3" s="4" t="s">
        <v>11</v>
      </c>
      <c r="Q3" s="445" t="s">
        <v>12</v>
      </c>
      <c r="R3" s="442"/>
      <c r="S3" s="443"/>
      <c r="T3" s="446" t="s">
        <v>13</v>
      </c>
      <c r="U3" s="442"/>
      <c r="V3" s="443"/>
      <c r="W3" s="447" t="s">
        <v>14</v>
      </c>
      <c r="X3" s="448"/>
      <c r="Y3" s="449"/>
      <c r="Z3" s="450" t="s">
        <v>15</v>
      </c>
    </row>
    <row r="4" spans="1:26" ht="22.5" customHeight="1">
      <c r="A4" s="451"/>
      <c r="B4" s="451"/>
      <c r="C4" s="451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451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G19" activePane="bottomRight" state="frozen"/>
      <selection pane="topRight" activeCell="C1" sqref="C1"/>
      <selection pane="bottomLeft" activeCell="A8" sqref="A8"/>
      <selection pane="bottomRight" activeCell="R6" sqref="R6:R7"/>
    </sheetView>
  </sheetViews>
  <sheetFormatPr defaultColWidth="14.453125" defaultRowHeight="15" customHeight="1"/>
  <cols>
    <col min="1" max="1" width="6.54296875" style="385" customWidth="1"/>
    <col min="2" max="2" width="18.81640625" style="385" customWidth="1"/>
    <col min="3" max="3" width="6.26953125" style="385" customWidth="1"/>
    <col min="4" max="4" width="13" style="385" customWidth="1"/>
    <col min="5" max="5" width="12.08984375" style="385" hidden="1" customWidth="1"/>
    <col min="6" max="6" width="11.26953125" style="385" hidden="1" customWidth="1"/>
    <col min="7" max="8" width="11.453125" style="385" customWidth="1"/>
    <col min="9" max="9" width="11.08984375" style="385" customWidth="1"/>
    <col min="10" max="10" width="10.81640625" style="385" customWidth="1"/>
    <col min="11" max="11" width="13.08984375" style="385" customWidth="1"/>
    <col min="12" max="12" width="11.54296875" style="385" customWidth="1"/>
    <col min="13" max="13" width="13.81640625" style="385" customWidth="1"/>
    <col min="14" max="14" width="12.453125" style="385" customWidth="1"/>
    <col min="15" max="15" width="11.54296875" style="385" customWidth="1"/>
    <col min="16" max="16" width="12" style="385" customWidth="1"/>
    <col min="17" max="17" width="11.08984375" style="385" customWidth="1"/>
    <col min="18" max="18" width="41.08984375" style="385" customWidth="1"/>
    <col min="19" max="19" width="13.54296875" style="385" customWidth="1"/>
    <col min="20" max="20" width="13.7265625" style="385" customWidth="1"/>
    <col min="21" max="21" width="14.81640625" style="385" customWidth="1"/>
    <col min="22" max="22" width="12.26953125" style="385" customWidth="1"/>
    <col min="23" max="42" width="9.08984375" style="385" customWidth="1"/>
    <col min="43" max="43" width="14.08984375" style="385" customWidth="1"/>
    <col min="44" max="63" width="9.08984375" style="385" customWidth="1"/>
    <col min="64" max="16384" width="14.453125" style="385"/>
  </cols>
  <sheetData>
    <row r="1" spans="1:43" ht="12.75" customHeight="1">
      <c r="A1" s="474" t="s">
        <v>345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6"/>
      <c r="S1" s="384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84"/>
      <c r="AF1" s="384"/>
      <c r="AG1" s="384"/>
      <c r="AH1" s="384"/>
      <c r="AI1" s="384"/>
      <c r="AJ1" s="384"/>
      <c r="AK1" s="384"/>
      <c r="AL1" s="384"/>
      <c r="AM1" s="384"/>
      <c r="AN1" s="384"/>
      <c r="AO1" s="384"/>
      <c r="AP1" s="384"/>
      <c r="AQ1" s="384"/>
    </row>
    <row r="2" spans="1:43" ht="15.75" customHeight="1">
      <c r="A2" s="477" t="s">
        <v>346</v>
      </c>
      <c r="B2" s="478"/>
      <c r="C2" s="478"/>
      <c r="D2" s="478"/>
      <c r="E2" s="478"/>
      <c r="F2" s="478"/>
      <c r="G2" s="478"/>
      <c r="H2" s="478"/>
      <c r="I2" s="478"/>
      <c r="J2" s="478"/>
      <c r="K2" s="478"/>
      <c r="L2" s="478"/>
      <c r="M2" s="478"/>
      <c r="N2" s="374"/>
      <c r="O2" s="479" t="s">
        <v>347</v>
      </c>
      <c r="P2" s="478"/>
      <c r="Q2" s="478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84"/>
      <c r="AF2" s="384"/>
      <c r="AG2" s="384"/>
      <c r="AH2" s="384"/>
      <c r="AI2" s="384"/>
      <c r="AJ2" s="384"/>
      <c r="AK2" s="384"/>
      <c r="AL2" s="384"/>
      <c r="AM2" s="384"/>
      <c r="AN2" s="384"/>
      <c r="AO2" s="384"/>
      <c r="AP2" s="384"/>
      <c r="AQ2" s="384"/>
    </row>
    <row r="3" spans="1:43" ht="13.5" customHeight="1">
      <c r="A3" s="480" t="s">
        <v>348</v>
      </c>
      <c r="B3" s="478"/>
      <c r="C3" s="478"/>
      <c r="D3" s="478"/>
      <c r="E3" s="478"/>
      <c r="F3" s="478"/>
      <c r="G3" s="478"/>
      <c r="H3" s="478"/>
      <c r="I3" s="478"/>
      <c r="J3" s="478"/>
      <c r="K3" s="478"/>
      <c r="L3" s="478"/>
      <c r="M3" s="481"/>
      <c r="N3" s="482"/>
      <c r="O3" s="483" t="s">
        <v>349</v>
      </c>
      <c r="P3" s="478"/>
      <c r="Q3" s="478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473" t="s">
        <v>350</v>
      </c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375"/>
      <c r="N4" s="375"/>
      <c r="O4" s="470" t="s">
        <v>351</v>
      </c>
      <c r="P4" s="471"/>
      <c r="Q4" s="471"/>
      <c r="R4" s="72">
        <v>46022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>
      <c r="A5" s="463" t="s">
        <v>353</v>
      </c>
      <c r="B5" s="464"/>
      <c r="C5" s="464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5"/>
      <c r="Q5" s="74" t="s">
        <v>354</v>
      </c>
      <c r="R5" s="75">
        <v>46030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466" t="s">
        <v>355</v>
      </c>
      <c r="B6" s="468" t="s">
        <v>356</v>
      </c>
      <c r="C6" s="468" t="s">
        <v>357</v>
      </c>
      <c r="D6" s="468" t="s">
        <v>358</v>
      </c>
      <c r="E6" s="459" t="s">
        <v>359</v>
      </c>
      <c r="F6" s="460"/>
      <c r="G6" s="459" t="s">
        <v>360</v>
      </c>
      <c r="H6" s="460"/>
      <c r="I6" s="472" t="s">
        <v>708</v>
      </c>
      <c r="J6" s="461"/>
      <c r="K6" s="460"/>
      <c r="L6" s="459" t="s">
        <v>361</v>
      </c>
      <c r="M6" s="461"/>
      <c r="N6" s="460"/>
      <c r="O6" s="459" t="s">
        <v>362</v>
      </c>
      <c r="P6" s="461"/>
      <c r="Q6" s="460"/>
      <c r="R6" s="453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467"/>
      <c r="B7" s="456"/>
      <c r="C7" s="456"/>
      <c r="D7" s="456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454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77">
        <v>1</v>
      </c>
      <c r="B8" s="376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69.180000000000007</v>
      </c>
      <c r="H8" s="81">
        <v>64.177999999999997</v>
      </c>
      <c r="I8" s="81">
        <v>0</v>
      </c>
      <c r="J8" s="81">
        <v>0</v>
      </c>
      <c r="K8" s="79">
        <f t="shared" ref="K8:K11" si="0">M8-H8</f>
        <v>0</v>
      </c>
      <c r="L8" s="79">
        <v>69.180000000000007</v>
      </c>
      <c r="M8" s="79">
        <v>64.177999999999997</v>
      </c>
      <c r="N8" s="79">
        <f t="shared" ref="N8:N13" si="1">D8-M8</f>
        <v>-0.17799999999999727</v>
      </c>
      <c r="O8" s="78">
        <v>0</v>
      </c>
      <c r="P8" s="78">
        <v>0</v>
      </c>
      <c r="Q8" s="78">
        <f t="shared" ref="Q8:Q10" si="2">+O8-P8</f>
        <v>0</v>
      </c>
      <c r="R8" s="377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77">
        <v>2</v>
      </c>
      <c r="B9" s="376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69.180000000000007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69.180000000000007</v>
      </c>
      <c r="M9" s="81">
        <f>M8</f>
        <v>64.177999999999997</v>
      </c>
      <c r="N9" s="79">
        <f t="shared" si="1"/>
        <v>-0.17799999999999727</v>
      </c>
      <c r="O9" s="78"/>
      <c r="P9" s="78"/>
      <c r="Q9" s="78">
        <f t="shared" si="2"/>
        <v>0</v>
      </c>
      <c r="R9" s="377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77">
        <v>3</v>
      </c>
      <c r="B10" s="376" t="s">
        <v>379</v>
      </c>
      <c r="C10" s="78" t="s">
        <v>380</v>
      </c>
      <c r="D10" s="82">
        <v>201</v>
      </c>
      <c r="E10" s="80">
        <v>45505</v>
      </c>
      <c r="F10" s="80">
        <v>45688</v>
      </c>
      <c r="G10" s="78">
        <v>184</v>
      </c>
      <c r="H10" s="83">
        <v>196</v>
      </c>
      <c r="I10" s="83">
        <v>1</v>
      </c>
      <c r="J10" s="81">
        <v>0</v>
      </c>
      <c r="K10" s="84">
        <f t="shared" si="0"/>
        <v>0</v>
      </c>
      <c r="L10" s="79">
        <v>184</v>
      </c>
      <c r="M10" s="81">
        <f>'Progress-220kV'!AM405</f>
        <v>196</v>
      </c>
      <c r="N10" s="79">
        <f t="shared" si="1"/>
        <v>5</v>
      </c>
      <c r="O10" s="462">
        <v>0</v>
      </c>
      <c r="P10" s="462">
        <v>0</v>
      </c>
      <c r="Q10" s="458">
        <f t="shared" si="2"/>
        <v>0</v>
      </c>
      <c r="R10" s="469" t="s">
        <v>697</v>
      </c>
      <c r="S10" s="374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77">
        <v>4</v>
      </c>
      <c r="B11" s="376" t="s">
        <v>381</v>
      </c>
      <c r="C11" s="78" t="s">
        <v>380</v>
      </c>
      <c r="D11" s="82">
        <v>201</v>
      </c>
      <c r="E11" s="80">
        <v>45505</v>
      </c>
      <c r="F11" s="80">
        <v>45688</v>
      </c>
      <c r="G11" s="78">
        <v>184</v>
      </c>
      <c r="H11" s="83">
        <v>196</v>
      </c>
      <c r="I11" s="83">
        <v>1</v>
      </c>
      <c r="J11" s="81">
        <v>0</v>
      </c>
      <c r="K11" s="79">
        <f t="shared" si="0"/>
        <v>0</v>
      </c>
      <c r="L11" s="79">
        <v>184</v>
      </c>
      <c r="M11" s="83">
        <f>'Progress-220kV'!AV405</f>
        <v>196</v>
      </c>
      <c r="N11" s="79">
        <f>D11-M11</f>
        <v>5</v>
      </c>
      <c r="O11" s="456"/>
      <c r="P11" s="456"/>
      <c r="Q11" s="456"/>
      <c r="R11" s="454"/>
      <c r="S11" s="374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77">
        <v>5</v>
      </c>
      <c r="B12" s="376" t="s">
        <v>382</v>
      </c>
      <c r="C12" s="78" t="s">
        <v>380</v>
      </c>
      <c r="D12" s="82">
        <v>201</v>
      </c>
      <c r="E12" s="80">
        <v>45555</v>
      </c>
      <c r="F12" s="80">
        <v>45716</v>
      </c>
      <c r="G12" s="78">
        <v>184</v>
      </c>
      <c r="H12" s="83">
        <v>195</v>
      </c>
      <c r="I12" s="83">
        <v>2</v>
      </c>
      <c r="J12" s="83">
        <v>0</v>
      </c>
      <c r="K12" s="79">
        <f>M12-H12</f>
        <v>0</v>
      </c>
      <c r="L12" s="79">
        <v>184</v>
      </c>
      <c r="M12" s="81">
        <f>'Progress-220kV'!BB405</f>
        <v>195</v>
      </c>
      <c r="N12" s="79">
        <f>D12-M12</f>
        <v>6</v>
      </c>
      <c r="O12" s="78">
        <v>0</v>
      </c>
      <c r="P12" s="78">
        <v>0</v>
      </c>
      <c r="Q12" s="78">
        <f t="shared" ref="Q12:Q13" si="3">+O12-P12</f>
        <v>0</v>
      </c>
      <c r="R12" s="378"/>
      <c r="S12" s="374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77">
        <v>6</v>
      </c>
      <c r="B13" s="376" t="s">
        <v>383</v>
      </c>
      <c r="C13" s="78" t="s">
        <v>380</v>
      </c>
      <c r="D13" s="82">
        <v>201</v>
      </c>
      <c r="E13" s="80">
        <v>45555</v>
      </c>
      <c r="F13" s="80">
        <v>45716</v>
      </c>
      <c r="G13" s="78">
        <v>184</v>
      </c>
      <c r="H13" s="83">
        <v>167</v>
      </c>
      <c r="I13" s="83">
        <v>26</v>
      </c>
      <c r="J13" s="83">
        <v>0</v>
      </c>
      <c r="K13" s="84">
        <f t="shared" ref="K13:K17" si="4">M13-H13</f>
        <v>0</v>
      </c>
      <c r="L13" s="79">
        <v>184</v>
      </c>
      <c r="M13" s="83">
        <v>167</v>
      </c>
      <c r="N13" s="79">
        <f t="shared" si="1"/>
        <v>34</v>
      </c>
      <c r="O13" s="78">
        <v>1</v>
      </c>
      <c r="P13" s="78">
        <v>0</v>
      </c>
      <c r="Q13" s="78">
        <f t="shared" si="3"/>
        <v>1</v>
      </c>
      <c r="R13" s="379"/>
      <c r="S13" s="374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12.75" customHeight="1">
      <c r="A14" s="77">
        <v>7</v>
      </c>
      <c r="B14" s="376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si="4"/>
        <v>0</v>
      </c>
      <c r="L14" s="79"/>
      <c r="M14" s="81"/>
      <c r="N14" s="79"/>
      <c r="O14" s="78"/>
      <c r="P14" s="78"/>
      <c r="Q14" s="78"/>
      <c r="R14" s="379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9" customHeight="1">
      <c r="A15" s="77" t="s">
        <v>385</v>
      </c>
      <c r="B15" s="376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81">
        <v>64</v>
      </c>
      <c r="H15" s="89">
        <v>54.1</v>
      </c>
      <c r="I15" s="83">
        <v>10</v>
      </c>
      <c r="J15" s="91">
        <v>0</v>
      </c>
      <c r="K15" s="90">
        <f t="shared" si="4"/>
        <v>1.1127999999992255E-2</v>
      </c>
      <c r="L15" s="79">
        <v>64</v>
      </c>
      <c r="M15" s="91">
        <f>'Stringing-220kV'!I3</f>
        <v>54.111127999999994</v>
      </c>
      <c r="N15" s="79">
        <f>D15-M15</f>
        <v>9.8888720000000063</v>
      </c>
      <c r="O15" s="458">
        <v>2</v>
      </c>
      <c r="P15" s="462">
        <v>1</v>
      </c>
      <c r="Q15" s="458">
        <f>+O15-P15</f>
        <v>1</v>
      </c>
      <c r="R15" s="378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12.75" customHeight="1">
      <c r="A16" s="77" t="s">
        <v>387</v>
      </c>
      <c r="B16" s="376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81">
        <v>64</v>
      </c>
      <c r="H16" s="89">
        <v>54.1</v>
      </c>
      <c r="I16" s="83">
        <v>10</v>
      </c>
      <c r="J16" s="92">
        <v>0</v>
      </c>
      <c r="K16" s="90">
        <f>M16-H16</f>
        <v>1.1127999999992255E-2</v>
      </c>
      <c r="L16" s="79">
        <v>64</v>
      </c>
      <c r="M16" s="91">
        <f>'Stringing-220kV'!L3</f>
        <v>54.111127999999994</v>
      </c>
      <c r="N16" s="79">
        <f t="shared" ref="N16:N17" si="5">D16-M16</f>
        <v>9.8888720000000063</v>
      </c>
      <c r="O16" s="456"/>
      <c r="P16" s="456"/>
      <c r="Q16" s="456"/>
      <c r="R16" s="379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12.75" customHeight="1">
      <c r="A17" s="93" t="s">
        <v>389</v>
      </c>
      <c r="B17" s="380" t="s">
        <v>390</v>
      </c>
      <c r="C17" s="94" t="s">
        <v>377</v>
      </c>
      <c r="D17" s="95">
        <v>64</v>
      </c>
      <c r="E17" s="96">
        <v>45627</v>
      </c>
      <c r="F17" s="96">
        <v>45777</v>
      </c>
      <c r="G17" s="97">
        <v>64</v>
      </c>
      <c r="H17" s="98">
        <v>39.299999999999997</v>
      </c>
      <c r="I17" s="98">
        <v>15</v>
      </c>
      <c r="J17" s="373">
        <v>0</v>
      </c>
      <c r="K17" s="99">
        <f t="shared" si="4"/>
        <v>1.0409999999936304E-3</v>
      </c>
      <c r="L17" s="95">
        <v>64</v>
      </c>
      <c r="M17" s="97">
        <f>'Stringing-220kV'!Y3</f>
        <v>39.301040999999991</v>
      </c>
      <c r="N17" s="79">
        <f t="shared" si="5"/>
        <v>24.698959000000009</v>
      </c>
      <c r="O17" s="94">
        <v>1</v>
      </c>
      <c r="P17" s="100">
        <v>0</v>
      </c>
      <c r="Q17" s="94">
        <f>+O17-P17</f>
        <v>1</v>
      </c>
      <c r="R17" s="381"/>
    </row>
    <row r="18" spans="1:18" ht="12.75" customHeight="1">
      <c r="A18" s="386"/>
      <c r="B18" s="384"/>
      <c r="C18" s="384"/>
      <c r="D18" s="384"/>
      <c r="E18" s="384"/>
      <c r="F18" s="384"/>
      <c r="G18" s="384"/>
      <c r="H18" s="384"/>
      <c r="I18" s="384"/>
      <c r="J18" s="384"/>
      <c r="K18" s="384"/>
      <c r="L18" s="384"/>
      <c r="M18" s="384"/>
      <c r="N18" s="384"/>
      <c r="O18" s="384"/>
      <c r="P18" s="384"/>
      <c r="Q18" s="384"/>
      <c r="R18" s="387"/>
    </row>
    <row r="19" spans="1:18" ht="12.75" customHeight="1">
      <c r="A19" s="463" t="s">
        <v>391</v>
      </c>
      <c r="B19" s="464"/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5"/>
      <c r="Q19" s="74" t="s">
        <v>354</v>
      </c>
      <c r="R19" s="75">
        <f>+R5</f>
        <v>46030</v>
      </c>
    </row>
    <row r="20" spans="1:18" ht="30" customHeight="1">
      <c r="A20" s="466" t="s">
        <v>355</v>
      </c>
      <c r="B20" s="468" t="s">
        <v>356</v>
      </c>
      <c r="C20" s="468" t="s">
        <v>357</v>
      </c>
      <c r="D20" s="468" t="s">
        <v>358</v>
      </c>
      <c r="E20" s="459" t="s">
        <v>359</v>
      </c>
      <c r="F20" s="460"/>
      <c r="G20" s="459" t="s">
        <v>360</v>
      </c>
      <c r="H20" s="460"/>
      <c r="I20" s="459" t="str">
        <f>+I6</f>
        <v>Progress of Current Month (Jan'26)</v>
      </c>
      <c r="J20" s="461"/>
      <c r="K20" s="460"/>
      <c r="L20" s="459" t="s">
        <v>361</v>
      </c>
      <c r="M20" s="461"/>
      <c r="N20" s="460"/>
      <c r="O20" s="459" t="s">
        <v>362</v>
      </c>
      <c r="P20" s="461"/>
      <c r="Q20" s="460"/>
      <c r="R20" s="453" t="s">
        <v>363</v>
      </c>
    </row>
    <row r="21" spans="1:18" ht="12.75" customHeight="1">
      <c r="A21" s="467"/>
      <c r="B21" s="456"/>
      <c r="C21" s="456"/>
      <c r="D21" s="456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454"/>
    </row>
    <row r="22" spans="1:18" ht="12.75" customHeight="1">
      <c r="A22" s="77">
        <v>1</v>
      </c>
      <c r="B22" s="376" t="s">
        <v>376</v>
      </c>
      <c r="C22" s="78" t="s">
        <v>377</v>
      </c>
      <c r="D22" s="79">
        <v>8.18</v>
      </c>
      <c r="E22" s="80">
        <v>45461</v>
      </c>
      <c r="F22" s="80">
        <v>45535</v>
      </c>
      <c r="G22" s="81">
        <v>9</v>
      </c>
      <c r="H22" s="81">
        <v>8.18</v>
      </c>
      <c r="I22" s="81"/>
      <c r="J22" s="81">
        <v>0</v>
      </c>
      <c r="K22" s="79">
        <f>M22-H22</f>
        <v>0</v>
      </c>
      <c r="L22" s="79">
        <f t="shared" ref="L22:L23" si="6">+G22+I22</f>
        <v>9</v>
      </c>
      <c r="M22" s="79">
        <v>8.18</v>
      </c>
      <c r="N22" s="79">
        <f>D22-M22</f>
        <v>0</v>
      </c>
      <c r="O22" s="78"/>
      <c r="P22" s="78"/>
      <c r="Q22" s="78">
        <f t="shared" ref="Q22:Q24" si="7">+O22-P22</f>
        <v>0</v>
      </c>
      <c r="R22" s="377" t="s">
        <v>392</v>
      </c>
    </row>
    <row r="23" spans="1:18" ht="12.75" customHeight="1">
      <c r="A23" s="77">
        <v>2</v>
      </c>
      <c r="B23" s="376" t="s">
        <v>378</v>
      </c>
      <c r="C23" s="78" t="s">
        <v>377</v>
      </c>
      <c r="D23" s="79">
        <v>8.18</v>
      </c>
      <c r="E23" s="80">
        <v>45474</v>
      </c>
      <c r="F23" s="80">
        <v>45565</v>
      </c>
      <c r="G23" s="81">
        <v>9</v>
      </c>
      <c r="H23" s="81">
        <v>8.18</v>
      </c>
      <c r="I23" s="81"/>
      <c r="J23" s="81">
        <v>0</v>
      </c>
      <c r="K23" s="79">
        <f t="shared" ref="K23:K31" si="8">M23-H23</f>
        <v>0</v>
      </c>
      <c r="L23" s="79">
        <f t="shared" si="6"/>
        <v>9</v>
      </c>
      <c r="M23" s="79">
        <v>8.18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77"/>
    </row>
    <row r="24" spans="1:18" ht="69" customHeight="1">
      <c r="A24" s="77">
        <v>3</v>
      </c>
      <c r="B24" s="376" t="s">
        <v>379</v>
      </c>
      <c r="C24" s="78" t="s">
        <v>380</v>
      </c>
      <c r="D24" s="78">
        <v>35</v>
      </c>
      <c r="E24" s="80">
        <v>45505</v>
      </c>
      <c r="F24" s="80">
        <v>45688</v>
      </c>
      <c r="G24" s="78">
        <v>34</v>
      </c>
      <c r="H24" s="83">
        <v>13</v>
      </c>
      <c r="I24" s="83">
        <v>9</v>
      </c>
      <c r="J24" s="81">
        <v>0</v>
      </c>
      <c r="K24" s="84">
        <f>M24-H24</f>
        <v>0</v>
      </c>
      <c r="L24" s="79">
        <v>35</v>
      </c>
      <c r="M24" s="81">
        <f>'Progress-132kV'!AF79</f>
        <v>13</v>
      </c>
      <c r="N24" s="79">
        <f t="shared" si="9"/>
        <v>22</v>
      </c>
      <c r="O24" s="455">
        <v>2</v>
      </c>
      <c r="P24" s="455">
        <v>2</v>
      </c>
      <c r="Q24" s="457">
        <f t="shared" si="7"/>
        <v>0</v>
      </c>
      <c r="R24" s="382" t="s">
        <v>716</v>
      </c>
    </row>
    <row r="25" spans="1:18" ht="12.75" customHeight="1">
      <c r="A25" s="77">
        <v>4</v>
      </c>
      <c r="B25" s="376" t="s">
        <v>381</v>
      </c>
      <c r="C25" s="78" t="s">
        <v>380</v>
      </c>
      <c r="D25" s="78">
        <v>35</v>
      </c>
      <c r="E25" s="80">
        <v>45505</v>
      </c>
      <c r="F25" s="80">
        <v>45688</v>
      </c>
      <c r="G25" s="78">
        <v>34</v>
      </c>
      <c r="H25" s="83">
        <v>10</v>
      </c>
      <c r="I25" s="83">
        <v>9</v>
      </c>
      <c r="J25" s="81">
        <v>3</v>
      </c>
      <c r="K25" s="84">
        <f>M25-H25</f>
        <v>3</v>
      </c>
      <c r="L25" s="79">
        <v>35</v>
      </c>
      <c r="M25" s="81">
        <v>13</v>
      </c>
      <c r="N25" s="79">
        <f t="shared" si="9"/>
        <v>22</v>
      </c>
      <c r="O25" s="456"/>
      <c r="P25" s="456"/>
      <c r="Q25" s="456"/>
      <c r="R25" s="382"/>
    </row>
    <row r="26" spans="1:18" ht="12.75" customHeight="1">
      <c r="A26" s="77">
        <v>5</v>
      </c>
      <c r="B26" s="376" t="s">
        <v>382</v>
      </c>
      <c r="C26" s="78" t="s">
        <v>380</v>
      </c>
      <c r="D26" s="78">
        <v>35</v>
      </c>
      <c r="E26" s="80">
        <v>45555</v>
      </c>
      <c r="F26" s="80">
        <v>45716</v>
      </c>
      <c r="G26" s="78">
        <v>34</v>
      </c>
      <c r="H26" s="83">
        <v>8</v>
      </c>
      <c r="I26" s="83">
        <v>8</v>
      </c>
      <c r="J26" s="83">
        <v>1</v>
      </c>
      <c r="K26" s="84">
        <f>M26-H26</f>
        <v>3</v>
      </c>
      <c r="L26" s="79">
        <v>35</v>
      </c>
      <c r="M26" s="81">
        <f>'Progress-132kV'!AQ79</f>
        <v>11</v>
      </c>
      <c r="N26" s="79">
        <f t="shared" si="9"/>
        <v>24</v>
      </c>
      <c r="O26" s="82">
        <v>1</v>
      </c>
      <c r="P26" s="78">
        <v>1</v>
      </c>
      <c r="Q26" s="78">
        <f t="shared" ref="Q26:Q27" si="10">+O26-P26</f>
        <v>0</v>
      </c>
      <c r="R26" s="379" t="s">
        <v>717</v>
      </c>
    </row>
    <row r="27" spans="1:18" ht="12.75" customHeight="1">
      <c r="A27" s="77">
        <v>6</v>
      </c>
      <c r="B27" s="376" t="s">
        <v>383</v>
      </c>
      <c r="C27" s="78" t="s">
        <v>380</v>
      </c>
      <c r="D27" s="78">
        <v>35</v>
      </c>
      <c r="E27" s="80">
        <v>45555</v>
      </c>
      <c r="F27" s="80">
        <v>45716</v>
      </c>
      <c r="G27" s="78">
        <v>34</v>
      </c>
      <c r="H27" s="81">
        <v>0</v>
      </c>
      <c r="I27" s="81">
        <v>5</v>
      </c>
      <c r="J27" s="81">
        <v>0</v>
      </c>
      <c r="K27" s="79">
        <f t="shared" si="8"/>
        <v>0</v>
      </c>
      <c r="L27" s="79">
        <v>35</v>
      </c>
      <c r="M27" s="81"/>
      <c r="N27" s="79">
        <f t="shared" si="9"/>
        <v>35</v>
      </c>
      <c r="O27" s="78"/>
      <c r="P27" s="78"/>
      <c r="Q27" s="78">
        <f t="shared" si="10"/>
        <v>0</v>
      </c>
      <c r="R27" s="379"/>
    </row>
    <row r="28" spans="1:18" ht="12.75" customHeight="1">
      <c r="A28" s="77">
        <v>7</v>
      </c>
      <c r="B28" s="376" t="s">
        <v>384</v>
      </c>
      <c r="C28" s="78"/>
      <c r="D28" s="79"/>
      <c r="E28" s="80"/>
      <c r="F28" s="80"/>
      <c r="G28" s="79"/>
      <c r="H28" s="79"/>
      <c r="I28" s="81"/>
      <c r="J28" s="83">
        <v>0</v>
      </c>
      <c r="K28" s="79">
        <f t="shared" si="8"/>
        <v>0</v>
      </c>
      <c r="L28" s="79"/>
      <c r="M28" s="81"/>
      <c r="N28" s="79"/>
      <c r="O28" s="78"/>
      <c r="P28" s="78"/>
      <c r="Q28" s="78"/>
      <c r="R28" s="379"/>
    </row>
    <row r="29" spans="1:18" ht="12.75" customHeight="1">
      <c r="A29" s="77" t="s">
        <v>385</v>
      </c>
      <c r="B29" s="376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0</v>
      </c>
      <c r="H29" s="79">
        <v>0</v>
      </c>
      <c r="I29" s="81"/>
      <c r="J29" s="81">
        <v>0</v>
      </c>
      <c r="K29" s="79">
        <f t="shared" si="8"/>
        <v>0</v>
      </c>
      <c r="L29" s="79">
        <f t="shared" ref="L29:L31" si="11">+G29+I29</f>
        <v>0</v>
      </c>
      <c r="M29" s="79"/>
      <c r="N29" s="79">
        <f t="shared" ref="N29:N31" si="12">D29-M29</f>
        <v>9</v>
      </c>
      <c r="O29" s="78"/>
      <c r="P29" s="78"/>
      <c r="Q29" s="458">
        <f>+O29-P29</f>
        <v>0</v>
      </c>
      <c r="R29" s="379"/>
    </row>
    <row r="30" spans="1:18" ht="12.75" customHeight="1">
      <c r="A30" s="77" t="s">
        <v>387</v>
      </c>
      <c r="B30" s="376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0</v>
      </c>
      <c r="H30" s="79">
        <v>0</v>
      </c>
      <c r="I30" s="81"/>
      <c r="J30" s="81">
        <v>0</v>
      </c>
      <c r="K30" s="79">
        <f t="shared" si="8"/>
        <v>0</v>
      </c>
      <c r="L30" s="79">
        <f t="shared" si="11"/>
        <v>0</v>
      </c>
      <c r="M30" s="79"/>
      <c r="N30" s="79">
        <f t="shared" si="12"/>
        <v>9</v>
      </c>
      <c r="O30" s="78"/>
      <c r="P30" s="78"/>
      <c r="Q30" s="456"/>
      <c r="R30" s="379"/>
    </row>
    <row r="31" spans="1:18" ht="12.75" customHeight="1">
      <c r="A31" s="93" t="s">
        <v>389</v>
      </c>
      <c r="B31" s="380" t="s">
        <v>390</v>
      </c>
      <c r="C31" s="94" t="s">
        <v>377</v>
      </c>
      <c r="D31" s="95">
        <v>9</v>
      </c>
      <c r="E31" s="96">
        <v>45627</v>
      </c>
      <c r="F31" s="96">
        <v>45777</v>
      </c>
      <c r="G31" s="97">
        <v>0</v>
      </c>
      <c r="H31" s="97">
        <v>0</v>
      </c>
      <c r="I31" s="97"/>
      <c r="J31" s="97">
        <v>0</v>
      </c>
      <c r="K31" s="95">
        <f t="shared" si="8"/>
        <v>0</v>
      </c>
      <c r="L31" s="95">
        <f t="shared" si="11"/>
        <v>0</v>
      </c>
      <c r="M31" s="95"/>
      <c r="N31" s="95">
        <f t="shared" si="12"/>
        <v>9</v>
      </c>
      <c r="O31" s="94"/>
      <c r="P31" s="94"/>
      <c r="Q31" s="94">
        <f>+O31-P31</f>
        <v>0</v>
      </c>
      <c r="R31" s="383"/>
    </row>
  </sheetData>
  <mergeCells count="41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6:R7"/>
    <mergeCell ref="L6:N6"/>
    <mergeCell ref="O6:Q6"/>
    <mergeCell ref="O10:O11"/>
    <mergeCell ref="P10:P11"/>
    <mergeCell ref="Q10:Q11"/>
    <mergeCell ref="R10:R11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  <mergeCell ref="R20:R21"/>
    <mergeCell ref="O24:O25"/>
    <mergeCell ref="P24:P25"/>
    <mergeCell ref="Q24:Q25"/>
    <mergeCell ref="Q29:Q30"/>
  </mergeCells>
  <conditionalFormatting sqref="R5">
    <cfRule type="cellIs" dxfId="1508" priority="1" operator="equal">
      <formula>"U/P"</formula>
    </cfRule>
    <cfRule type="cellIs" dxfId="1507" priority="2" operator="equal">
      <formula>"C"</formula>
    </cfRule>
  </conditionalFormatting>
  <conditionalFormatting sqref="R19">
    <cfRule type="cellIs" dxfId="1506" priority="3" operator="equal">
      <formula>"U/P"</formula>
    </cfRule>
    <cfRule type="cellIs" dxfId="1505" priority="4" operator="equal">
      <formula>"C"</formula>
    </cfRule>
  </conditionalFormatting>
  <pageMargins left="0.31496062992125984" right="0.23622047244094491" top="0.62992125984251968" bottom="0.74803149606299213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5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G23" sqref="G23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484" t="str">
        <f>+Summary!A2</f>
        <v>Name of the Line: 220KV DC AL59 line from Neemuch - Chanderiya + 132KV DC ACSS Line from Chanderiya to Hindustan Zinc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3"/>
    </row>
    <row r="2" spans="1:19" ht="14.25" hidden="1" customHeight="1">
      <c r="A2" s="101" t="s">
        <v>393</v>
      </c>
      <c r="B2" s="101" t="s">
        <v>394</v>
      </c>
      <c r="C2" s="102" t="s">
        <v>395</v>
      </c>
      <c r="D2" s="101" t="s">
        <v>396</v>
      </c>
      <c r="E2" s="101" t="s">
        <v>397</v>
      </c>
      <c r="F2" s="101" t="s">
        <v>398</v>
      </c>
      <c r="G2" s="13" t="s">
        <v>399</v>
      </c>
      <c r="H2" s="13" t="s">
        <v>400</v>
      </c>
      <c r="I2" s="13" t="s">
        <v>401</v>
      </c>
      <c r="J2" s="103" t="s">
        <v>402</v>
      </c>
      <c r="K2" s="103" t="s">
        <v>403</v>
      </c>
      <c r="L2" s="103" t="s">
        <v>404</v>
      </c>
      <c r="M2" s="103" t="s">
        <v>405</v>
      </c>
      <c r="N2" s="103" t="s">
        <v>406</v>
      </c>
      <c r="O2" s="103" t="s">
        <v>407</v>
      </c>
      <c r="P2" s="103" t="s">
        <v>408</v>
      </c>
      <c r="Q2" s="103" t="s">
        <v>409</v>
      </c>
      <c r="R2" s="103" t="s">
        <v>410</v>
      </c>
      <c r="S2" s="103" t="s">
        <v>15</v>
      </c>
    </row>
    <row r="3" spans="1:19" ht="14.25" hidden="1" customHeight="1">
      <c r="A3" s="485" t="s">
        <v>411</v>
      </c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3"/>
    </row>
    <row r="4" spans="1:19" ht="14.25" hidden="1" customHeight="1">
      <c r="A4" s="15">
        <v>1</v>
      </c>
      <c r="B4" s="104" t="s">
        <v>412</v>
      </c>
      <c r="C4" s="35" t="s">
        <v>413</v>
      </c>
      <c r="D4" s="35" t="s">
        <v>414</v>
      </c>
      <c r="E4" s="35"/>
      <c r="F4" s="35"/>
      <c r="G4" s="35" t="s">
        <v>415</v>
      </c>
      <c r="H4" s="35" t="s">
        <v>416</v>
      </c>
      <c r="I4" s="15" t="s">
        <v>417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5"/>
    </row>
    <row r="5" spans="1:19" ht="14.25" hidden="1" customHeight="1">
      <c r="A5" s="15">
        <v>2</v>
      </c>
      <c r="B5" s="104" t="s">
        <v>412</v>
      </c>
      <c r="C5" s="35" t="s">
        <v>413</v>
      </c>
      <c r="D5" s="35" t="s">
        <v>414</v>
      </c>
      <c r="E5" s="35"/>
      <c r="F5" s="35"/>
      <c r="G5" s="15" t="s">
        <v>418</v>
      </c>
      <c r="H5" s="15" t="s">
        <v>419</v>
      </c>
      <c r="I5" s="15" t="s">
        <v>417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5"/>
    </row>
    <row r="6" spans="1:19" ht="14.25" hidden="1" customHeight="1">
      <c r="A6" s="15">
        <v>3</v>
      </c>
      <c r="B6" s="104" t="s">
        <v>420</v>
      </c>
      <c r="C6" s="15" t="s">
        <v>421</v>
      </c>
      <c r="D6" s="35" t="s">
        <v>422</v>
      </c>
      <c r="E6" s="35" t="s">
        <v>423</v>
      </c>
      <c r="F6" s="35"/>
      <c r="G6" s="15" t="s">
        <v>424</v>
      </c>
      <c r="H6" s="15" t="s">
        <v>425</v>
      </c>
      <c r="I6" s="15" t="s">
        <v>426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5"/>
    </row>
    <row r="7" spans="1:19" ht="14.25" hidden="1" customHeight="1">
      <c r="A7" s="15">
        <v>4</v>
      </c>
      <c r="B7" s="104" t="s">
        <v>427</v>
      </c>
      <c r="C7" s="15" t="s">
        <v>421</v>
      </c>
      <c r="D7" s="35" t="s">
        <v>422</v>
      </c>
      <c r="E7" s="35" t="s">
        <v>423</v>
      </c>
      <c r="F7" s="15"/>
      <c r="G7" s="15" t="s">
        <v>428</v>
      </c>
      <c r="H7" s="15" t="s">
        <v>429</v>
      </c>
      <c r="I7" s="15" t="s">
        <v>430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5"/>
    </row>
    <row r="8" spans="1:19" ht="14.25" hidden="1" customHeight="1">
      <c r="A8" s="15">
        <v>5</v>
      </c>
      <c r="B8" s="104" t="s">
        <v>431</v>
      </c>
      <c r="C8" s="15"/>
      <c r="D8" s="35" t="s">
        <v>422</v>
      </c>
      <c r="E8" s="35"/>
      <c r="F8" s="35"/>
      <c r="G8" s="15" t="s">
        <v>432</v>
      </c>
      <c r="H8" s="15" t="s">
        <v>433</v>
      </c>
      <c r="I8" s="15" t="s">
        <v>417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6"/>
    </row>
    <row r="9" spans="1:19" ht="14.25" hidden="1" customHeight="1">
      <c r="A9" s="15">
        <v>6</v>
      </c>
      <c r="B9" s="104" t="s">
        <v>434</v>
      </c>
      <c r="C9" s="15"/>
      <c r="D9" s="35"/>
      <c r="E9" s="35"/>
      <c r="F9" s="35"/>
      <c r="G9" s="15" t="s">
        <v>435</v>
      </c>
      <c r="H9" s="15" t="s">
        <v>436</v>
      </c>
      <c r="I9" s="15" t="s">
        <v>437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5"/>
    </row>
    <row r="10" spans="1:19" ht="14.25" hidden="1" customHeight="1">
      <c r="A10" s="15"/>
      <c r="B10" s="104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6"/>
    </row>
    <row r="11" spans="1:19" ht="14.25" hidden="1" customHeight="1">
      <c r="A11" s="485" t="s">
        <v>438</v>
      </c>
      <c r="B11" s="442"/>
      <c r="C11" s="442"/>
      <c r="D11" s="442"/>
      <c r="E11" s="442"/>
      <c r="F11" s="442"/>
      <c r="G11" s="442"/>
      <c r="H11" s="442"/>
      <c r="I11" s="442"/>
      <c r="J11" s="442"/>
      <c r="K11" s="442"/>
      <c r="L11" s="442"/>
      <c r="M11" s="442"/>
      <c r="N11" s="442"/>
      <c r="O11" s="442"/>
      <c r="P11" s="442"/>
      <c r="Q11" s="442"/>
      <c r="R11" s="442"/>
      <c r="S11" s="443"/>
    </row>
    <row r="12" spans="1:19" ht="14.25" hidden="1" customHeight="1">
      <c r="A12" s="15">
        <v>1</v>
      </c>
      <c r="B12" s="104" t="s">
        <v>439</v>
      </c>
      <c r="C12" s="15"/>
      <c r="D12" s="35" t="s">
        <v>440</v>
      </c>
      <c r="E12" s="35"/>
      <c r="F12" s="35"/>
      <c r="G12" s="35" t="s">
        <v>441</v>
      </c>
      <c r="H12" s="35" t="s">
        <v>442</v>
      </c>
      <c r="I12" s="15" t="s">
        <v>417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5"/>
    </row>
    <row r="13" spans="1:19" ht="14.25" hidden="1" customHeight="1">
      <c r="A13" s="15">
        <v>2</v>
      </c>
      <c r="B13" s="104" t="s">
        <v>443</v>
      </c>
      <c r="C13" s="15"/>
      <c r="D13" s="35" t="s">
        <v>440</v>
      </c>
      <c r="E13" s="35"/>
      <c r="F13" s="35"/>
      <c r="G13" s="15" t="s">
        <v>444</v>
      </c>
      <c r="H13" s="15" t="s">
        <v>445</v>
      </c>
      <c r="I13" s="15" t="s">
        <v>417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4" t="s">
        <v>446</v>
      </c>
      <c r="C14" s="15"/>
      <c r="D14" s="15" t="s">
        <v>446</v>
      </c>
      <c r="E14" s="15"/>
      <c r="F14" s="15"/>
      <c r="G14" s="15" t="s">
        <v>447</v>
      </c>
      <c r="H14" s="15" t="s">
        <v>448</v>
      </c>
      <c r="I14" s="15" t="s">
        <v>417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4" t="s">
        <v>449</v>
      </c>
      <c r="C15" s="15"/>
      <c r="D15" s="15" t="s">
        <v>422</v>
      </c>
      <c r="E15" s="15"/>
      <c r="F15" s="15"/>
      <c r="G15" s="15" t="s">
        <v>450</v>
      </c>
      <c r="H15" s="15" t="s">
        <v>451</v>
      </c>
      <c r="I15" s="15" t="s">
        <v>417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5"/>
    </row>
    <row r="16" spans="1:19" ht="14.25" hidden="1" customHeight="1">
      <c r="A16" s="15">
        <v>5</v>
      </c>
      <c r="B16" s="104" t="s">
        <v>452</v>
      </c>
      <c r="C16" s="15"/>
      <c r="D16" s="15" t="s">
        <v>453</v>
      </c>
      <c r="E16" s="15"/>
      <c r="F16" s="15"/>
      <c r="G16" s="15" t="s">
        <v>454</v>
      </c>
      <c r="H16" s="15" t="s">
        <v>455</v>
      </c>
      <c r="I16" s="15" t="s">
        <v>417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6"/>
    </row>
    <row r="17" spans="1:19" ht="14.25" hidden="1" customHeight="1">
      <c r="A17" s="15">
        <v>6</v>
      </c>
      <c r="B17" s="104" t="s">
        <v>420</v>
      </c>
      <c r="C17" s="15"/>
      <c r="D17" s="15" t="s">
        <v>422</v>
      </c>
      <c r="E17" s="15"/>
      <c r="F17" s="15"/>
      <c r="G17" s="15" t="s">
        <v>456</v>
      </c>
      <c r="H17" s="15" t="s">
        <v>457</v>
      </c>
      <c r="I17" s="15" t="s">
        <v>417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6"/>
    </row>
    <row r="18" spans="1:19" ht="14.25" hidden="1" customHeight="1">
      <c r="A18" s="15">
        <v>7</v>
      </c>
      <c r="B18" s="104" t="s">
        <v>412</v>
      </c>
      <c r="C18" s="35" t="s">
        <v>413</v>
      </c>
      <c r="D18" s="15" t="s">
        <v>414</v>
      </c>
      <c r="E18" s="15"/>
      <c r="F18" s="15"/>
      <c r="G18" s="15" t="s">
        <v>458</v>
      </c>
      <c r="H18" s="15" t="s">
        <v>459</v>
      </c>
      <c r="I18" s="15" t="s">
        <v>417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6"/>
    </row>
    <row r="19" spans="1:19" ht="14.25" hidden="1" customHeight="1">
      <c r="A19" s="43"/>
      <c r="B19" s="107"/>
      <c r="C19" s="43"/>
      <c r="D19" s="43"/>
      <c r="E19" s="43"/>
      <c r="F19" s="43"/>
      <c r="G19" s="108"/>
      <c r="H19" s="43"/>
      <c r="I19" s="43"/>
      <c r="J19" s="43"/>
      <c r="L19" s="43"/>
      <c r="M19" s="109"/>
      <c r="N19" s="109"/>
      <c r="O19" s="110"/>
      <c r="P19" s="109"/>
      <c r="Q19" s="109"/>
      <c r="R19" s="109"/>
    </row>
    <row r="20" spans="1:19" ht="14.25" hidden="1" customHeight="1"/>
    <row r="21" spans="1:19" ht="14.25" customHeight="1"/>
    <row r="22" spans="1:19" ht="14.25" customHeight="1">
      <c r="A22" s="111" t="s">
        <v>394</v>
      </c>
      <c r="B22" s="112" t="s">
        <v>395</v>
      </c>
      <c r="C22" s="113" t="s">
        <v>396</v>
      </c>
      <c r="D22" s="113" t="s">
        <v>460</v>
      </c>
      <c r="E22" s="113" t="s">
        <v>461</v>
      </c>
      <c r="F22" s="113" t="s">
        <v>462</v>
      </c>
      <c r="G22" s="113" t="s">
        <v>15</v>
      </c>
    </row>
    <row r="23" spans="1:19" ht="14.25" customHeight="1">
      <c r="A23" s="114" t="s">
        <v>412</v>
      </c>
      <c r="B23" s="115" t="s">
        <v>413</v>
      </c>
      <c r="C23" s="115" t="s">
        <v>414</v>
      </c>
      <c r="D23" s="115" t="s">
        <v>415</v>
      </c>
      <c r="E23" s="115"/>
      <c r="F23" s="116">
        <v>45654</v>
      </c>
      <c r="G23" s="115" t="s">
        <v>463</v>
      </c>
    </row>
    <row r="24" spans="1:19" ht="14.25" customHeight="1">
      <c r="A24" s="114" t="s">
        <v>412</v>
      </c>
      <c r="B24" s="115" t="s">
        <v>413</v>
      </c>
      <c r="C24" s="115" t="s">
        <v>414</v>
      </c>
      <c r="D24" s="115" t="s">
        <v>418</v>
      </c>
      <c r="E24" s="115"/>
      <c r="F24" s="116">
        <v>45586</v>
      </c>
      <c r="G24" s="115" t="s">
        <v>464</v>
      </c>
    </row>
    <row r="25" spans="1:19" ht="14.25" customHeight="1">
      <c r="A25" s="114" t="s">
        <v>420</v>
      </c>
      <c r="B25" s="115" t="s">
        <v>421</v>
      </c>
      <c r="C25" s="115" t="s">
        <v>422</v>
      </c>
      <c r="D25" s="115" t="s">
        <v>424</v>
      </c>
      <c r="E25" s="115" t="s">
        <v>465</v>
      </c>
      <c r="F25" s="115"/>
      <c r="G25" s="115" t="s">
        <v>464</v>
      </c>
    </row>
    <row r="26" spans="1:19" ht="14.25" customHeight="1">
      <c r="A26" s="114" t="s">
        <v>427</v>
      </c>
      <c r="B26" s="115" t="s">
        <v>421</v>
      </c>
      <c r="C26" s="115" t="s">
        <v>422</v>
      </c>
      <c r="D26" s="115" t="s">
        <v>428</v>
      </c>
      <c r="E26" s="115" t="s">
        <v>465</v>
      </c>
      <c r="F26" s="115"/>
      <c r="G26" s="115" t="s">
        <v>464</v>
      </c>
    </row>
    <row r="27" spans="1:19" ht="14.25" customHeight="1">
      <c r="A27" s="114" t="s">
        <v>431</v>
      </c>
      <c r="B27" s="115"/>
      <c r="C27" s="115" t="s">
        <v>422</v>
      </c>
      <c r="D27" s="115" t="s">
        <v>432</v>
      </c>
      <c r="E27" s="115" t="s">
        <v>465</v>
      </c>
      <c r="F27" s="115"/>
      <c r="G27" s="115" t="s">
        <v>464</v>
      </c>
    </row>
    <row r="28" spans="1:19" ht="14.25" customHeight="1">
      <c r="A28" s="117"/>
    </row>
    <row r="29" spans="1:19" ht="14.25" customHeight="1">
      <c r="A29" s="117" t="s">
        <v>466</v>
      </c>
    </row>
    <row r="30" spans="1:19" ht="14.25" customHeight="1">
      <c r="A30" s="117"/>
    </row>
    <row r="31" spans="1:19" ht="14.25" customHeight="1">
      <c r="A31" s="111" t="s">
        <v>394</v>
      </c>
      <c r="B31" s="112" t="s">
        <v>395</v>
      </c>
      <c r="C31" s="113" t="s">
        <v>396</v>
      </c>
      <c r="D31" s="113" t="s">
        <v>460</v>
      </c>
      <c r="E31" s="113" t="s">
        <v>461</v>
      </c>
      <c r="F31" s="113" t="s">
        <v>462</v>
      </c>
      <c r="G31" s="113" t="s">
        <v>15</v>
      </c>
    </row>
    <row r="32" spans="1:19" ht="14.25" customHeight="1">
      <c r="A32" s="118" t="s">
        <v>449</v>
      </c>
      <c r="B32" s="119" t="s">
        <v>422</v>
      </c>
      <c r="C32" s="120"/>
      <c r="D32" s="119" t="s">
        <v>450</v>
      </c>
      <c r="E32" s="121">
        <v>45667</v>
      </c>
      <c r="F32" s="121">
        <v>45667</v>
      </c>
      <c r="G32" s="120" t="s">
        <v>467</v>
      </c>
    </row>
    <row r="33" spans="1:7" ht="14.25" customHeight="1">
      <c r="A33" s="118" t="s">
        <v>452</v>
      </c>
      <c r="B33" s="119" t="s">
        <v>453</v>
      </c>
      <c r="C33" s="120"/>
      <c r="D33" s="119" t="s">
        <v>454</v>
      </c>
      <c r="E33" s="121">
        <v>45659</v>
      </c>
      <c r="F33" s="121">
        <v>45666</v>
      </c>
      <c r="G33" s="120" t="s">
        <v>468</v>
      </c>
    </row>
    <row r="34" spans="1:7" ht="14.25" customHeight="1">
      <c r="A34" s="118" t="s">
        <v>420</v>
      </c>
      <c r="B34" s="119" t="s">
        <v>422</v>
      </c>
      <c r="C34" s="120"/>
      <c r="D34" s="119" t="s">
        <v>456</v>
      </c>
      <c r="E34" s="120"/>
      <c r="F34" s="121">
        <v>45648</v>
      </c>
      <c r="G34" s="120" t="s">
        <v>467</v>
      </c>
    </row>
    <row r="35" spans="1:7" ht="14.25" customHeight="1">
      <c r="A35" s="118" t="s">
        <v>469</v>
      </c>
      <c r="B35" s="119" t="s">
        <v>422</v>
      </c>
      <c r="C35" s="120"/>
      <c r="D35" s="119" t="s">
        <v>470</v>
      </c>
      <c r="E35" s="121">
        <v>45637</v>
      </c>
      <c r="F35" s="120"/>
      <c r="G35" s="115" t="s">
        <v>471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pageSetUpPr fitToPage="1"/>
  </sheetPr>
  <dimension ref="A1:BA83"/>
  <sheetViews>
    <sheetView zoomScale="70" zoomScaleNormal="70" workbookViewId="0">
      <pane xSplit="3" ySplit="5" topLeftCell="D44" activePane="bottomRight" state="frozen"/>
      <selection pane="topRight" activeCell="D1" sqref="D1"/>
      <selection pane="bottomLeft" activeCell="A6" sqref="A6"/>
      <selection pane="bottomRight" activeCell="J44" sqref="J44:J76"/>
    </sheetView>
  </sheetViews>
  <sheetFormatPr defaultColWidth="14.453125" defaultRowHeight="15" customHeight="1"/>
  <cols>
    <col min="1" max="1" width="4.54296875" style="385" customWidth="1"/>
    <col min="2" max="2" width="8.7265625" style="385" customWidth="1"/>
    <col min="3" max="14" width="14.54296875" style="385" customWidth="1"/>
    <col min="15" max="17" width="4.26953125" style="385" customWidth="1"/>
    <col min="18" max="18" width="3.453125" style="385" customWidth="1"/>
    <col min="19" max="19" width="10.54296875" style="385" customWidth="1"/>
    <col min="20" max="25" width="10.453125" style="385" customWidth="1"/>
    <col min="26" max="29" width="11.453125" style="385" customWidth="1"/>
    <col min="30" max="30" width="11" style="385" customWidth="1"/>
    <col min="31" max="31" width="10.453125" style="385" customWidth="1"/>
    <col min="32" max="32" width="8.26953125" style="385" customWidth="1"/>
    <col min="33" max="36" width="10.453125" style="385" customWidth="1"/>
    <col min="37" max="37" width="26.453125" style="385" customWidth="1"/>
    <col min="38" max="38" width="9.08984375" hidden="1" customWidth="1"/>
    <col min="39" max="39" width="5.26953125" hidden="1" customWidth="1"/>
    <col min="40" max="40" width="10.453125" hidden="1" customWidth="1"/>
    <col min="41" max="41" width="7.81640625" customWidth="1"/>
    <col min="42" max="42" width="8.453125" customWidth="1"/>
    <col min="43" max="43" width="9.08984375" style="385" customWidth="1"/>
    <col min="44" max="45" width="10.453125" style="385" customWidth="1"/>
    <col min="46" max="46" width="20.26953125" style="385" customWidth="1"/>
    <col min="47" max="47" width="10.81640625" style="385" customWidth="1"/>
    <col min="48" max="48" width="8.54296875" style="385" customWidth="1"/>
    <col min="49" max="51" width="10.54296875" style="385" customWidth="1"/>
    <col min="52" max="52" width="15.7265625" style="385" customWidth="1"/>
    <col min="53" max="53" width="11.453125" style="385" customWidth="1"/>
    <col min="54" max="16384" width="14.453125" style="385"/>
  </cols>
  <sheetData>
    <row r="1" spans="1:53" ht="14.25" customHeight="1">
      <c r="A1" s="441" t="str">
        <f>+Summary!A2</f>
        <v>Name of the Line: 220KV DC AL59 line from Neemuch - Chanderiya + 132KV DC ACSS Line from Chanderiya to Hindustan Zinc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7"/>
      <c r="P1" s="487"/>
      <c r="Q1" s="487"/>
      <c r="R1" s="487"/>
      <c r="S1" s="487"/>
      <c r="T1" s="487"/>
      <c r="U1" s="487"/>
      <c r="V1" s="487"/>
      <c r="W1" s="487"/>
      <c r="X1" s="487"/>
      <c r="Y1" s="487"/>
      <c r="Z1" s="487"/>
      <c r="AA1" s="487"/>
      <c r="AB1" s="487"/>
      <c r="AC1" s="487"/>
      <c r="AD1" s="487"/>
      <c r="AE1" s="487"/>
      <c r="AF1" s="487"/>
      <c r="AG1" s="487"/>
      <c r="AH1" s="487"/>
      <c r="AI1" s="487"/>
      <c r="AJ1" s="487"/>
      <c r="AK1" s="487"/>
      <c r="AL1" s="442"/>
      <c r="AM1" s="442"/>
      <c r="AN1" s="442"/>
      <c r="AO1" s="442"/>
      <c r="AP1" s="442"/>
      <c r="AQ1" s="487"/>
      <c r="AR1" s="487"/>
      <c r="AS1" s="487"/>
      <c r="AT1" s="487"/>
      <c r="AU1" s="487"/>
      <c r="AV1" s="487"/>
      <c r="AW1" s="487"/>
      <c r="AX1" s="487"/>
      <c r="AY1" s="487"/>
      <c r="AZ1" s="487"/>
      <c r="BA1" s="486"/>
    </row>
    <row r="2" spans="1:53" ht="14.25" customHeight="1">
      <c r="A2" s="441" t="str">
        <f>+Summary!A5</f>
        <v>Progress of 220kV Line</v>
      </c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  <c r="AD2" s="487"/>
      <c r="AE2" s="487"/>
      <c r="AF2" s="487"/>
      <c r="AG2" s="487"/>
      <c r="AH2" s="487"/>
      <c r="AI2" s="487"/>
      <c r="AJ2" s="487"/>
      <c r="AK2" s="487"/>
      <c r="AL2" s="442"/>
      <c r="AM2" s="442"/>
      <c r="AN2" s="442"/>
      <c r="AO2" s="442"/>
      <c r="AP2" s="442"/>
      <c r="AQ2" s="487"/>
      <c r="AR2" s="487"/>
      <c r="AS2" s="487"/>
      <c r="AT2" s="487"/>
      <c r="AU2" s="487"/>
      <c r="AV2" s="487"/>
      <c r="AW2" s="487"/>
      <c r="AX2" s="487"/>
      <c r="AY2" s="487"/>
      <c r="AZ2" s="487"/>
      <c r="BA2" s="486"/>
    </row>
    <row r="3" spans="1:53" ht="15" customHeight="1">
      <c r="A3" s="441" t="s">
        <v>472</v>
      </c>
      <c r="B3" s="487"/>
      <c r="C3" s="487"/>
      <c r="D3" s="487"/>
      <c r="E3" s="487"/>
      <c r="F3" s="487"/>
      <c r="G3" s="487"/>
      <c r="H3" s="487"/>
      <c r="I3" s="487"/>
      <c r="J3" s="487"/>
      <c r="K3" s="487"/>
      <c r="L3" s="487"/>
      <c r="M3" s="487"/>
      <c r="N3" s="487"/>
      <c r="O3" s="487"/>
      <c r="P3" s="487"/>
      <c r="Q3" s="487"/>
      <c r="R3" s="487"/>
      <c r="S3" s="486"/>
      <c r="T3" s="441" t="s">
        <v>379</v>
      </c>
      <c r="U3" s="487"/>
      <c r="V3" s="487"/>
      <c r="W3" s="487"/>
      <c r="X3" s="487"/>
      <c r="Y3" s="487"/>
      <c r="Z3" s="487"/>
      <c r="AA3" s="487"/>
      <c r="AB3" s="487"/>
      <c r="AC3" s="487"/>
      <c r="AD3" s="487"/>
      <c r="AE3" s="487"/>
      <c r="AF3" s="487"/>
      <c r="AG3" s="487"/>
      <c r="AH3" s="487"/>
      <c r="AI3" s="487"/>
      <c r="AJ3" s="487"/>
      <c r="AK3" s="486"/>
      <c r="AL3" s="441" t="s">
        <v>381</v>
      </c>
      <c r="AM3" s="442"/>
      <c r="AN3" s="442"/>
      <c r="AO3" s="442"/>
      <c r="AP3" s="443"/>
      <c r="AQ3" s="441" t="s">
        <v>473</v>
      </c>
      <c r="AR3" s="487"/>
      <c r="AS3" s="487"/>
      <c r="AT3" s="486"/>
      <c r="AU3" s="55" t="s">
        <v>474</v>
      </c>
      <c r="AV3" s="441" t="s">
        <v>475</v>
      </c>
      <c r="AW3" s="487"/>
      <c r="AX3" s="487"/>
      <c r="AY3" s="487"/>
      <c r="AZ3" s="486"/>
      <c r="BA3" s="55" t="s">
        <v>476</v>
      </c>
    </row>
    <row r="4" spans="1:53" ht="24" customHeight="1">
      <c r="A4" s="2" t="s">
        <v>2</v>
      </c>
      <c r="B4" s="2" t="s">
        <v>3</v>
      </c>
      <c r="C4" s="2" t="s">
        <v>400</v>
      </c>
      <c r="D4" s="124"/>
      <c r="E4" s="124"/>
      <c r="F4" s="124"/>
      <c r="G4" s="488" t="s">
        <v>477</v>
      </c>
      <c r="H4" s="489"/>
      <c r="I4" s="489"/>
      <c r="J4" s="490"/>
      <c r="K4" s="488" t="s">
        <v>478</v>
      </c>
      <c r="L4" s="489"/>
      <c r="M4" s="489"/>
      <c r="N4" s="490"/>
      <c r="O4" s="491" t="s">
        <v>9</v>
      </c>
      <c r="P4" s="487"/>
      <c r="Q4" s="487"/>
      <c r="R4" s="486"/>
      <c r="S4" s="125" t="s">
        <v>479</v>
      </c>
      <c r="T4" s="55" t="s">
        <v>480</v>
      </c>
      <c r="U4" s="2" t="s">
        <v>481</v>
      </c>
      <c r="V4" s="441" t="s">
        <v>482</v>
      </c>
      <c r="W4" s="487"/>
      <c r="X4" s="486"/>
      <c r="Y4" s="126" t="s">
        <v>483</v>
      </c>
      <c r="Z4" s="126" t="s">
        <v>484</v>
      </c>
      <c r="AA4" s="126" t="s">
        <v>485</v>
      </c>
      <c r="AB4" s="126" t="s">
        <v>486</v>
      </c>
      <c r="AC4" s="126" t="s">
        <v>487</v>
      </c>
      <c r="AD4" s="126" t="s">
        <v>488</v>
      </c>
      <c r="AE4" s="127" t="s">
        <v>489</v>
      </c>
      <c r="AF4" s="55" t="s">
        <v>490</v>
      </c>
      <c r="AG4" s="492" t="s">
        <v>491</v>
      </c>
      <c r="AH4" s="486"/>
      <c r="AI4" s="441" t="s">
        <v>492</v>
      </c>
      <c r="AJ4" s="486"/>
      <c r="AK4" s="55" t="s">
        <v>493</v>
      </c>
      <c r="AL4" s="55" t="s">
        <v>494</v>
      </c>
      <c r="AM4" s="55" t="s">
        <v>495</v>
      </c>
      <c r="AN4" s="6" t="s">
        <v>496</v>
      </c>
      <c r="AO4" s="6" t="s">
        <v>23</v>
      </c>
      <c r="AP4" s="55" t="s">
        <v>493</v>
      </c>
      <c r="AQ4" s="55" t="s">
        <v>494</v>
      </c>
      <c r="AR4" s="6" t="s">
        <v>496</v>
      </c>
      <c r="AS4" s="6" t="s">
        <v>23</v>
      </c>
      <c r="AT4" s="55" t="s">
        <v>493</v>
      </c>
      <c r="AU4" s="127"/>
      <c r="AV4" s="55" t="s">
        <v>494</v>
      </c>
      <c r="AW4" s="6" t="s">
        <v>496</v>
      </c>
      <c r="AX4" s="6" t="s">
        <v>23</v>
      </c>
      <c r="AY4" s="128" t="s">
        <v>497</v>
      </c>
      <c r="AZ4" s="55" t="s">
        <v>493</v>
      </c>
      <c r="BA4" s="127"/>
    </row>
    <row r="5" spans="1:53" ht="14.25" customHeight="1">
      <c r="A5" s="2"/>
      <c r="B5" s="2"/>
      <c r="C5" s="2"/>
      <c r="D5" s="129"/>
      <c r="E5" s="129"/>
      <c r="F5" s="129"/>
      <c r="G5" s="130" t="s">
        <v>498</v>
      </c>
      <c r="H5" s="2" t="s">
        <v>499</v>
      </c>
      <c r="I5" s="2" t="s">
        <v>500</v>
      </c>
      <c r="J5" s="131" t="s">
        <v>501</v>
      </c>
      <c r="K5" s="130" t="s">
        <v>498</v>
      </c>
      <c r="L5" s="129" t="s">
        <v>499</v>
      </c>
      <c r="M5" s="2" t="s">
        <v>500</v>
      </c>
      <c r="N5" s="131" t="s">
        <v>501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32"/>
      <c r="U5" s="55"/>
      <c r="V5" s="55" t="s">
        <v>502</v>
      </c>
      <c r="W5" s="55" t="s">
        <v>503</v>
      </c>
      <c r="X5" s="55" t="s">
        <v>501</v>
      </c>
      <c r="Y5" s="127"/>
      <c r="Z5" s="127"/>
      <c r="AA5" s="127"/>
      <c r="AB5" s="127"/>
      <c r="AC5" s="127"/>
      <c r="AD5" s="127"/>
      <c r="AE5" s="132"/>
      <c r="AF5" s="132"/>
      <c r="AG5" s="6" t="s">
        <v>496</v>
      </c>
      <c r="AH5" s="6" t="s">
        <v>23</v>
      </c>
      <c r="AI5" s="6" t="s">
        <v>496</v>
      </c>
      <c r="AJ5" s="6" t="s">
        <v>23</v>
      </c>
      <c r="AK5" s="132"/>
      <c r="AL5" s="132"/>
      <c r="AM5" s="132"/>
      <c r="AN5" s="6"/>
      <c r="AO5" s="6"/>
      <c r="AP5" s="132"/>
      <c r="AQ5" s="132"/>
      <c r="AR5" s="6"/>
      <c r="AS5" s="6"/>
      <c r="AT5" s="132"/>
      <c r="AU5" s="132"/>
      <c r="AV5" s="132"/>
      <c r="AW5" s="6"/>
      <c r="AX5" s="6"/>
      <c r="AY5" s="133"/>
      <c r="AZ5" s="132"/>
      <c r="BA5" s="132"/>
    </row>
    <row r="6" spans="1:53" ht="14.25" hidden="1" customHeight="1">
      <c r="A6" s="15"/>
      <c r="B6" s="35" t="s">
        <v>303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4"/>
      <c r="AM6" s="24"/>
      <c r="AN6" s="24"/>
      <c r="AO6" s="24"/>
      <c r="AP6" s="24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</row>
    <row r="7" spans="1:53" customFormat="1" ht="14.25" hidden="1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6">
        <v>25.92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</row>
    <row r="8" spans="1:53" ht="14.25" hidden="1" customHeight="1">
      <c r="A8" s="15">
        <v>1</v>
      </c>
      <c r="B8" s="15" t="s">
        <v>38</v>
      </c>
      <c r="C8" s="15" t="s">
        <v>34</v>
      </c>
      <c r="D8" s="177">
        <v>9.6539999999999999</v>
      </c>
      <c r="E8" s="177">
        <f>D8*4</f>
        <v>38.616</v>
      </c>
      <c r="F8" s="177">
        <f>E8*8</f>
        <v>308.928</v>
      </c>
      <c r="G8" s="15">
        <f>4.906+1.456+0.596</f>
        <v>6.9580000000000002</v>
      </c>
      <c r="H8" s="15">
        <f>0.066+0.717+0.272</f>
        <v>1.0549999999999999</v>
      </c>
      <c r="I8" s="15">
        <f>0.274+0.083+0.043</f>
        <v>0.4</v>
      </c>
      <c r="J8" s="15">
        <f>SUM(G8:I8)</f>
        <v>8.4130000000000003</v>
      </c>
      <c r="K8" s="15">
        <v>0.53200000000000003</v>
      </c>
      <c r="L8" s="15"/>
      <c r="M8" s="15">
        <v>1.0999999999999999E-2</v>
      </c>
      <c r="N8" s="15">
        <f>K8+M8</f>
        <v>0.54300000000000004</v>
      </c>
      <c r="O8" s="15"/>
      <c r="P8" s="15"/>
      <c r="Q8" s="15"/>
      <c r="R8" s="15"/>
      <c r="S8" s="16"/>
      <c r="T8" s="15" t="s">
        <v>504</v>
      </c>
      <c r="U8" s="15">
        <v>75.36</v>
      </c>
      <c r="V8" s="15">
        <v>1.35</v>
      </c>
      <c r="W8" s="15">
        <v>13.06</v>
      </c>
      <c r="X8" s="15">
        <f>V8+W8</f>
        <v>14.41</v>
      </c>
      <c r="Y8" s="15">
        <v>89.9</v>
      </c>
      <c r="Z8" s="15"/>
      <c r="AA8" s="15">
        <v>1287.27</v>
      </c>
      <c r="AB8" s="15">
        <v>193.64</v>
      </c>
      <c r="AC8" s="15"/>
      <c r="AD8" s="15"/>
      <c r="AE8" s="15">
        <v>1.571</v>
      </c>
      <c r="AF8" s="15"/>
      <c r="AG8" s="17"/>
      <c r="AH8" s="17"/>
      <c r="AI8" s="17"/>
      <c r="AJ8" s="17"/>
      <c r="AK8" s="15"/>
      <c r="AL8" s="15"/>
      <c r="AM8" s="15"/>
      <c r="AN8" s="135"/>
      <c r="AO8" s="135"/>
      <c r="AP8" s="24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</row>
    <row r="9" spans="1:53" customFormat="1" ht="14.25" hidden="1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6">
        <v>230.15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</row>
    <row r="10" spans="1:53" ht="14.25" hidden="1" customHeight="1">
      <c r="A10" s="15">
        <v>2</v>
      </c>
      <c r="B10" s="15" t="s">
        <v>64</v>
      </c>
      <c r="C10" s="15" t="s">
        <v>34</v>
      </c>
      <c r="D10" s="177">
        <v>9.6539999999999999</v>
      </c>
      <c r="E10" s="177">
        <f>D10*4</f>
        <v>38.616</v>
      </c>
      <c r="F10" s="177">
        <f>E10*8</f>
        <v>308.928</v>
      </c>
      <c r="G10" s="15">
        <f>4.906+1.456+0.596</f>
        <v>6.9580000000000002</v>
      </c>
      <c r="H10" s="15">
        <f>0.066+0.717+0.272</f>
        <v>1.0549999999999999</v>
      </c>
      <c r="I10" s="15">
        <f>0.274+0.083+0.043</f>
        <v>0.4</v>
      </c>
      <c r="J10" s="15">
        <f>SUM(G10:I10)</f>
        <v>8.4130000000000003</v>
      </c>
      <c r="K10" s="15">
        <v>0.53200000000000003</v>
      </c>
      <c r="L10" s="15"/>
      <c r="M10" s="15">
        <v>1.0999999999999999E-2</v>
      </c>
      <c r="N10" s="15">
        <f>K10+M10</f>
        <v>0.54300000000000004</v>
      </c>
      <c r="O10" s="15"/>
      <c r="P10" s="15"/>
      <c r="Q10" s="15"/>
      <c r="R10" s="15"/>
      <c r="S10" s="16"/>
      <c r="T10" s="15" t="s">
        <v>504</v>
      </c>
      <c r="U10" s="15">
        <v>75.36</v>
      </c>
      <c r="V10" s="15">
        <v>1.35</v>
      </c>
      <c r="W10" s="15">
        <v>13.06</v>
      </c>
      <c r="X10" s="15">
        <f>V10+W10</f>
        <v>14.41</v>
      </c>
      <c r="Y10" s="15">
        <v>89.9</v>
      </c>
      <c r="Z10" s="15"/>
      <c r="AA10" s="15">
        <v>1287.27</v>
      </c>
      <c r="AB10" s="15">
        <v>193.64</v>
      </c>
      <c r="AC10" s="15"/>
      <c r="AD10" s="15"/>
      <c r="AE10" s="15">
        <v>1.571</v>
      </c>
      <c r="AF10" s="15"/>
      <c r="AG10" s="17"/>
      <c r="AH10" s="17"/>
      <c r="AI10" s="17"/>
      <c r="AJ10" s="17"/>
      <c r="AK10" s="15"/>
      <c r="AL10" s="15"/>
      <c r="AM10" s="15"/>
      <c r="AN10" s="135"/>
      <c r="AO10" s="135"/>
      <c r="AP10" s="24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</row>
    <row r="11" spans="1:53" customFormat="1" ht="14.25" hidden="1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6">
        <v>234.56</v>
      </c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</row>
    <row r="12" spans="1:53" ht="14.25" hidden="1" customHeight="1">
      <c r="A12" s="15">
        <v>3</v>
      </c>
      <c r="B12" s="136" t="s">
        <v>344</v>
      </c>
      <c r="C12" s="15" t="s">
        <v>62</v>
      </c>
      <c r="D12" s="177">
        <v>11.987</v>
      </c>
      <c r="E12" s="177">
        <f>D12*4</f>
        <v>47.948</v>
      </c>
      <c r="F12" s="177">
        <f>E12*8</f>
        <v>383.584</v>
      </c>
      <c r="G12" s="15">
        <f>4.906+4.424+0.596</f>
        <v>9.9260000000000002</v>
      </c>
      <c r="H12" s="15">
        <f>0.066+1.053+0.272</f>
        <v>1.391</v>
      </c>
      <c r="I12" s="15">
        <f>0.274+0.181+0.043</f>
        <v>0.498</v>
      </c>
      <c r="J12" s="15">
        <f>SUM(G12:I12)</f>
        <v>11.815</v>
      </c>
      <c r="K12" s="15">
        <v>0.53200000000000003</v>
      </c>
      <c r="L12" s="15"/>
      <c r="M12" s="15">
        <v>1.0999999999999999E-2</v>
      </c>
      <c r="N12" s="15">
        <f>K12+M12</f>
        <v>0.54300000000000004</v>
      </c>
      <c r="O12" s="15"/>
      <c r="P12" s="15"/>
      <c r="Q12" s="15"/>
      <c r="R12" s="15"/>
      <c r="S12" s="16"/>
      <c r="T12" s="15" t="s">
        <v>504</v>
      </c>
      <c r="U12" s="15">
        <v>75.36</v>
      </c>
      <c r="V12" s="15">
        <v>1.35</v>
      </c>
      <c r="W12" s="15">
        <v>13.06</v>
      </c>
      <c r="X12" s="15">
        <f>V12+W12</f>
        <v>14.41</v>
      </c>
      <c r="Y12" s="15">
        <v>89.9</v>
      </c>
      <c r="Z12" s="15"/>
      <c r="AA12" s="15">
        <v>1287.27</v>
      </c>
      <c r="AB12" s="15">
        <v>193.64</v>
      </c>
      <c r="AC12" s="15"/>
      <c r="AD12" s="15"/>
      <c r="AE12" s="15">
        <v>1.571</v>
      </c>
      <c r="AF12" s="15"/>
      <c r="AG12" s="17"/>
      <c r="AH12" s="17"/>
      <c r="AI12" s="17"/>
      <c r="AJ12" s="17"/>
      <c r="AK12" s="15"/>
      <c r="AL12" s="15"/>
      <c r="AM12" s="15"/>
      <c r="AN12" s="135"/>
      <c r="AO12" s="135"/>
      <c r="AP12" s="24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spans="1:53" customFormat="1" ht="14.25" hidden="1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6">
        <v>251.12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</row>
    <row r="14" spans="1:53" ht="14.25" hidden="1" customHeight="1">
      <c r="A14" s="15">
        <v>4</v>
      </c>
      <c r="B14" s="136" t="s">
        <v>67</v>
      </c>
      <c r="C14" s="15" t="s">
        <v>34</v>
      </c>
      <c r="D14" s="177">
        <v>9.6539999999999999</v>
      </c>
      <c r="E14" s="177">
        <f>D14*4</f>
        <v>38.616</v>
      </c>
      <c r="F14" s="177">
        <f>E14*8</f>
        <v>308.928</v>
      </c>
      <c r="G14" s="15">
        <f>4.906+1.456+0.596</f>
        <v>6.9580000000000002</v>
      </c>
      <c r="H14" s="15">
        <f>0.066+0.717+0.272</f>
        <v>1.0549999999999999</v>
      </c>
      <c r="I14" s="15">
        <f>0.274+0.083+0.043</f>
        <v>0.4</v>
      </c>
      <c r="J14" s="15">
        <f>SUM(G14:I14)</f>
        <v>8.4130000000000003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504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5"/>
      <c r="AO14" s="135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customFormat="1" ht="14.25" hidden="1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6">
        <v>183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</row>
    <row r="16" spans="1:53" ht="14.25" hidden="1" customHeight="1">
      <c r="A16" s="15">
        <v>5</v>
      </c>
      <c r="B16" s="136" t="s">
        <v>310</v>
      </c>
      <c r="C16" s="15" t="s">
        <v>37</v>
      </c>
      <c r="D16" s="177">
        <v>6.992</v>
      </c>
      <c r="E16" s="177">
        <f>D16*4</f>
        <v>27.968</v>
      </c>
      <c r="F16" s="177">
        <f>E16*8</f>
        <v>223.744</v>
      </c>
      <c r="G16" s="15">
        <f>1.267+0.234+1.276</f>
        <v>2.7770000000000001</v>
      </c>
      <c r="H16" s="15">
        <f>1.137+0.487+0.273</f>
        <v>1.8970000000000002</v>
      </c>
      <c r="I16" s="15">
        <f>0.182+0.074+0.032</f>
        <v>0.28800000000000003</v>
      </c>
      <c r="J16" s="15">
        <f>SUM(G16:I16)</f>
        <v>4.9620000000000006</v>
      </c>
      <c r="K16" s="15">
        <v>0.27100000000000002</v>
      </c>
      <c r="L16" s="15"/>
      <c r="M16" s="15">
        <v>7.0000000000000001E-3</v>
      </c>
      <c r="N16" s="15">
        <f>M16+K16</f>
        <v>0.27800000000000002</v>
      </c>
      <c r="O16" s="15"/>
      <c r="P16" s="15"/>
      <c r="Q16" s="15"/>
      <c r="R16" s="15"/>
      <c r="S16" s="16"/>
      <c r="T16" s="15" t="s">
        <v>504</v>
      </c>
      <c r="U16" s="15">
        <v>41.44</v>
      </c>
      <c r="V16" s="15">
        <v>0.8</v>
      </c>
      <c r="W16" s="15">
        <v>7.73</v>
      </c>
      <c r="X16" s="15">
        <f>W16+V16</f>
        <v>8.5300000000000011</v>
      </c>
      <c r="Y16" s="15">
        <v>73.75</v>
      </c>
      <c r="Z16" s="15">
        <v>235.38</v>
      </c>
      <c r="AA16" s="15"/>
      <c r="AB16" s="15">
        <v>201.4</v>
      </c>
      <c r="AC16" s="15"/>
      <c r="AD16" s="15"/>
      <c r="AE16" s="15">
        <v>0.51</v>
      </c>
      <c r="AF16" s="15"/>
      <c r="AG16" s="17"/>
      <c r="AH16" s="17"/>
      <c r="AI16" s="17"/>
      <c r="AJ16" s="17"/>
      <c r="AK16" s="15"/>
      <c r="AL16" s="15"/>
      <c r="AM16" s="15"/>
      <c r="AN16" s="135"/>
      <c r="AO16" s="135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hidden="1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182.07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hidden="1" customHeight="1">
      <c r="A18" s="15">
        <v>6</v>
      </c>
      <c r="B18" s="15" t="s">
        <v>69</v>
      </c>
      <c r="C18" s="15" t="s">
        <v>34</v>
      </c>
      <c r="D18" s="177">
        <v>9.6539999999999999</v>
      </c>
      <c r="E18" s="177">
        <f>D18*4</f>
        <v>38.616</v>
      </c>
      <c r="F18" s="177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504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5"/>
      <c r="AO18" s="135"/>
      <c r="AP18" s="24"/>
      <c r="AQ18" s="15"/>
      <c r="AR18" s="17"/>
      <c r="AS18" s="17"/>
      <c r="AT18" s="137"/>
      <c r="AU18" s="15"/>
      <c r="AV18" s="15"/>
      <c r="AW18" s="15"/>
      <c r="AX18" s="15"/>
      <c r="AY18" s="15"/>
      <c r="AZ18" s="15"/>
      <c r="BA18" s="15"/>
    </row>
    <row r="19" spans="1:53" customFormat="1" ht="14.25" hidden="1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328.09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hidden="1" customHeight="1">
      <c r="A20" s="15">
        <v>7</v>
      </c>
      <c r="B20" s="136" t="s">
        <v>93</v>
      </c>
      <c r="C20" s="15" t="s">
        <v>51</v>
      </c>
      <c r="D20" s="177">
        <v>10.82</v>
      </c>
      <c r="E20" s="177">
        <f>D20*4</f>
        <v>43.28</v>
      </c>
      <c r="F20" s="177">
        <f>E20*8</f>
        <v>346.24</v>
      </c>
      <c r="G20" s="15">
        <f>4.906+2.484+0.596</f>
        <v>7.9859999999999998</v>
      </c>
      <c r="H20" s="15">
        <f>0.066+1.044+0.272</f>
        <v>1.3820000000000001</v>
      </c>
      <c r="I20" s="15">
        <f>0.274+0.132+0.043</f>
        <v>0.44900000000000001</v>
      </c>
      <c r="J20" s="15">
        <f>SUM(G20:I20)</f>
        <v>9.8170000000000002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504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5"/>
      <c r="AG20" s="17"/>
      <c r="AH20" s="17"/>
      <c r="AI20" s="17"/>
      <c r="AJ20" s="17"/>
      <c r="AK20" s="15"/>
      <c r="AL20" s="15"/>
      <c r="AM20" s="15"/>
      <c r="AN20" s="135"/>
      <c r="AO20" s="135"/>
      <c r="AP20" s="24"/>
      <c r="AQ20" s="15"/>
      <c r="AR20" s="17"/>
      <c r="AS20" s="17"/>
      <c r="AT20" s="137"/>
      <c r="AU20" s="15"/>
      <c r="AV20" s="15"/>
      <c r="AW20" s="15"/>
      <c r="AX20" s="15"/>
      <c r="AY20" s="15"/>
      <c r="AZ20" s="15"/>
      <c r="BA20" s="15"/>
    </row>
    <row r="21" spans="1:53" customFormat="1" ht="14.25" hidden="1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40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hidden="1" customHeight="1">
      <c r="A22" s="15">
        <v>8</v>
      </c>
      <c r="B22" s="136" t="s">
        <v>94</v>
      </c>
      <c r="C22" s="15" t="s">
        <v>505</v>
      </c>
      <c r="D22" s="15"/>
      <c r="E22" s="15"/>
      <c r="F22" s="15">
        <v>54</v>
      </c>
      <c r="G22" s="15"/>
      <c r="H22" s="15">
        <v>4.1059999999999999</v>
      </c>
      <c r="I22" s="15">
        <v>0.23</v>
      </c>
      <c r="J22" s="15">
        <f>SUM(G22:I22)</f>
        <v>4.3360000000000003</v>
      </c>
      <c r="K22" s="15"/>
      <c r="L22" s="15">
        <f>0.12+0.219</f>
        <v>0.33899999999999997</v>
      </c>
      <c r="M22" s="15">
        <f>0.003+0.003</f>
        <v>6.0000000000000001E-3</v>
      </c>
      <c r="N22" s="15">
        <f>SUM(K22:M22)</f>
        <v>0.34499999999999997</v>
      </c>
      <c r="O22" s="15"/>
      <c r="P22" s="15"/>
      <c r="Q22" s="15"/>
      <c r="R22" s="15"/>
      <c r="S22" s="16"/>
      <c r="T22" s="15"/>
      <c r="U22" s="15">
        <v>315</v>
      </c>
      <c r="V22" s="15">
        <v>4.0999999999999996</v>
      </c>
      <c r="W22" s="15">
        <v>42</v>
      </c>
      <c r="X22" s="15">
        <f>W22+V22</f>
        <v>46.1</v>
      </c>
      <c r="Y22" s="15"/>
      <c r="Z22" s="15"/>
      <c r="AA22" s="15"/>
      <c r="AB22" s="15"/>
      <c r="AC22" s="15"/>
      <c r="AD22" s="15"/>
      <c r="AE22" s="15">
        <v>3.95</v>
      </c>
      <c r="AF22" s="15"/>
      <c r="AG22" s="17"/>
      <c r="AH22" s="17"/>
      <c r="AI22" s="17"/>
      <c r="AJ22" s="17"/>
      <c r="AK22" s="15"/>
      <c r="AL22" s="15"/>
      <c r="AM22" s="15"/>
      <c r="AN22" s="135"/>
      <c r="AO22" s="135"/>
      <c r="AP22" s="24"/>
      <c r="AQ22" s="15"/>
      <c r="AR22" s="17"/>
      <c r="AS22" s="17"/>
      <c r="AT22" s="137"/>
      <c r="AU22" s="15"/>
      <c r="AV22" s="15"/>
      <c r="AW22" s="15"/>
      <c r="AX22" s="15"/>
      <c r="AY22" s="15"/>
      <c r="AZ22" s="15"/>
      <c r="BA22" s="15"/>
    </row>
    <row r="23" spans="1:53" customFormat="1" ht="14.25" hidden="1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57.414999999999999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hidden="1" customHeight="1">
      <c r="A24" s="15">
        <v>9</v>
      </c>
      <c r="B24" s="136" t="s">
        <v>95</v>
      </c>
      <c r="C24" s="15" t="s">
        <v>505</v>
      </c>
      <c r="D24" s="15"/>
      <c r="E24" s="15"/>
      <c r="F24" s="15">
        <v>54</v>
      </c>
      <c r="G24" s="15"/>
      <c r="H24" s="15">
        <v>4.1059999999999999</v>
      </c>
      <c r="I24" s="15">
        <v>0.23</v>
      </c>
      <c r="J24" s="15">
        <f>SUM(G24:I24)</f>
        <v>4.3360000000000003</v>
      </c>
      <c r="K24" s="15"/>
      <c r="L24" s="15">
        <f>0.12+0.219</f>
        <v>0.33899999999999997</v>
      </c>
      <c r="M24" s="15">
        <f>0.003+0.003</f>
        <v>6.0000000000000001E-3</v>
      </c>
      <c r="N24" s="15">
        <f>SUM(K24:M24)</f>
        <v>0.34499999999999997</v>
      </c>
      <c r="O24" s="15"/>
      <c r="P24" s="15"/>
      <c r="Q24" s="15"/>
      <c r="R24" s="15"/>
      <c r="S24" s="16"/>
      <c r="T24" s="15"/>
      <c r="U24" s="15">
        <v>315</v>
      </c>
      <c r="V24" s="15">
        <v>4.0999999999999996</v>
      </c>
      <c r="W24" s="15">
        <v>42</v>
      </c>
      <c r="X24" s="15">
        <f>W24+V24</f>
        <v>46.1</v>
      </c>
      <c r="Y24" s="15"/>
      <c r="Z24" s="15"/>
      <c r="AA24" s="15"/>
      <c r="AB24" s="15"/>
      <c r="AC24" s="15"/>
      <c r="AD24" s="15"/>
      <c r="AE24" s="15">
        <v>3.95</v>
      </c>
      <c r="AF24" s="15"/>
      <c r="AG24" s="17"/>
      <c r="AH24" s="17"/>
      <c r="AI24" s="17"/>
      <c r="AJ24" s="17"/>
      <c r="AK24" s="15"/>
      <c r="AL24" s="15"/>
      <c r="AM24" s="15"/>
      <c r="AN24" s="135"/>
      <c r="AO24" s="135"/>
      <c r="AP24" s="24"/>
      <c r="AQ24" s="15"/>
      <c r="AR24" s="17"/>
      <c r="AS24" s="17"/>
      <c r="AT24" s="137"/>
      <c r="AU24" s="15"/>
      <c r="AV24" s="15"/>
      <c r="AW24" s="15"/>
      <c r="AX24" s="15"/>
      <c r="AY24" s="15"/>
      <c r="AZ24" s="15"/>
      <c r="BA24" s="15"/>
    </row>
    <row r="25" spans="1:53" customFormat="1" ht="14.25" hidden="1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38.566000000000003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hidden="1" customHeight="1">
      <c r="A26" s="15">
        <v>10</v>
      </c>
      <c r="B26" s="136" t="s">
        <v>104</v>
      </c>
      <c r="C26" s="15" t="s">
        <v>34</v>
      </c>
      <c r="D26" s="177">
        <v>9.6539999999999999</v>
      </c>
      <c r="E26" s="177">
        <f>D26*4</f>
        <v>38.616</v>
      </c>
      <c r="F26" s="177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504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5"/>
      <c r="AG26" s="17"/>
      <c r="AH26" s="17"/>
      <c r="AI26" s="17"/>
      <c r="AJ26" s="17"/>
      <c r="AK26" s="15"/>
      <c r="AL26" s="15"/>
      <c r="AM26" s="15"/>
      <c r="AN26" s="135"/>
      <c r="AO26" s="135"/>
      <c r="AP26" s="24"/>
      <c r="AQ26" s="15"/>
      <c r="AR26" s="17"/>
      <c r="AS26" s="17"/>
      <c r="AT26" s="17"/>
      <c r="AU26" s="17"/>
      <c r="AV26" s="15"/>
      <c r="AW26" s="17"/>
      <c r="AX26" s="17"/>
      <c r="AY26" s="17"/>
      <c r="AZ26" s="15"/>
      <c r="BA26" s="15"/>
    </row>
    <row r="27" spans="1:53" customFormat="1" ht="14.25" hidden="1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182.04300000000001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hidden="1" customHeight="1">
      <c r="A28" s="15">
        <v>11</v>
      </c>
      <c r="B28" s="136" t="s">
        <v>316</v>
      </c>
      <c r="C28" s="15" t="s">
        <v>34</v>
      </c>
      <c r="D28" s="177">
        <v>9.6539999999999999</v>
      </c>
      <c r="E28" s="177">
        <f>D28*4</f>
        <v>38.616</v>
      </c>
      <c r="F28" s="177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504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5"/>
      <c r="AG28" s="17"/>
      <c r="AH28" s="17"/>
      <c r="AI28" s="17"/>
      <c r="AJ28" s="17"/>
      <c r="AK28" s="15"/>
      <c r="AL28" s="15"/>
      <c r="AM28" s="15"/>
      <c r="AN28" s="135"/>
      <c r="AO28" s="135"/>
      <c r="AP28" s="24"/>
      <c r="AQ28" s="15"/>
      <c r="AR28" s="17"/>
      <c r="AS28" s="17"/>
      <c r="AT28" s="15"/>
      <c r="AU28" s="15"/>
      <c r="AV28" s="15"/>
      <c r="AW28" s="15"/>
      <c r="AX28" s="15"/>
      <c r="AY28" s="15"/>
      <c r="AZ28" s="15"/>
      <c r="BA28" s="15"/>
    </row>
    <row r="29" spans="1:53" customFormat="1" ht="14.25" hidden="1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204.148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hidden="1" customHeight="1">
      <c r="A30" s="15">
        <v>12</v>
      </c>
      <c r="B30" s="136" t="s">
        <v>106</v>
      </c>
      <c r="C30" s="15" t="s">
        <v>34</v>
      </c>
      <c r="D30" s="177">
        <v>9.6539999999999999</v>
      </c>
      <c r="E30" s="177">
        <f>D30*4</f>
        <v>38.616</v>
      </c>
      <c r="F30" s="177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504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5"/>
      <c r="AG30" s="17"/>
      <c r="AH30" s="17"/>
      <c r="AI30" s="17"/>
      <c r="AJ30" s="17"/>
      <c r="AK30" s="15"/>
      <c r="AL30" s="15"/>
      <c r="AM30" s="24"/>
      <c r="AN30" s="135"/>
      <c r="AO30" s="135"/>
      <c r="AP30" s="24"/>
      <c r="AQ30" s="15"/>
      <c r="AR30" s="17"/>
      <c r="AS30" s="17"/>
      <c r="AT30" s="137"/>
      <c r="AU30" s="15"/>
      <c r="AV30" s="15"/>
      <c r="AW30" s="15"/>
      <c r="AX30" s="15"/>
      <c r="AY30" s="15"/>
      <c r="AZ30" s="15"/>
      <c r="BA30" s="15"/>
    </row>
    <row r="31" spans="1:53" customFormat="1" ht="14.25" hidden="1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254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hidden="1" customHeight="1">
      <c r="A32" s="15">
        <v>13</v>
      </c>
      <c r="B32" s="136" t="s">
        <v>107</v>
      </c>
      <c r="C32" s="15" t="s">
        <v>37</v>
      </c>
      <c r="D32" s="177">
        <v>6.992</v>
      </c>
      <c r="E32" s="177">
        <f>D32*4</f>
        <v>27.968</v>
      </c>
      <c r="F32" s="177">
        <f>E32*8</f>
        <v>223.744</v>
      </c>
      <c r="G32" s="15">
        <f>1.267+0.234+1.276</f>
        <v>2.7770000000000001</v>
      </c>
      <c r="H32" s="15">
        <f>1.137+0.487+0.273</f>
        <v>1.8970000000000002</v>
      </c>
      <c r="I32" s="15">
        <f>0.182+0.074+0.032</f>
        <v>0.28800000000000003</v>
      </c>
      <c r="J32" s="15">
        <f>SUM(G32:I32)</f>
        <v>4.9620000000000006</v>
      </c>
      <c r="K32" s="15">
        <v>0.27100000000000002</v>
      </c>
      <c r="L32" s="15"/>
      <c r="M32" s="15">
        <v>7.0000000000000001E-3</v>
      </c>
      <c r="N32" s="15">
        <f>M32+K32</f>
        <v>0.27800000000000002</v>
      </c>
      <c r="O32" s="15"/>
      <c r="P32" s="15"/>
      <c r="Q32" s="15"/>
      <c r="R32" s="15"/>
      <c r="S32" s="16"/>
      <c r="T32" s="15" t="s">
        <v>504</v>
      </c>
      <c r="U32" s="15">
        <v>41.44</v>
      </c>
      <c r="V32" s="15">
        <v>0.8</v>
      </c>
      <c r="W32" s="15">
        <v>7.73</v>
      </c>
      <c r="X32" s="15">
        <f>W32+V32</f>
        <v>8.5300000000000011</v>
      </c>
      <c r="Y32" s="15">
        <v>73.75</v>
      </c>
      <c r="Z32" s="15">
        <v>235.38</v>
      </c>
      <c r="AA32" s="15"/>
      <c r="AB32" s="15">
        <v>201.4</v>
      </c>
      <c r="AC32" s="15"/>
      <c r="AD32" s="15"/>
      <c r="AE32" s="15">
        <v>0.51</v>
      </c>
      <c r="AF32" s="15"/>
      <c r="AG32" s="17"/>
      <c r="AH32" s="17"/>
      <c r="AI32" s="17"/>
      <c r="AJ32" s="17"/>
      <c r="AK32" s="15"/>
      <c r="AL32" s="15"/>
      <c r="AM32" s="24"/>
      <c r="AN32" s="135"/>
      <c r="AO32" s="135"/>
      <c r="AP32" s="24"/>
      <c r="AQ32" s="15"/>
      <c r="AR32" s="17"/>
      <c r="AS32" s="17"/>
      <c r="AT32" s="137"/>
      <c r="AU32" s="15"/>
      <c r="AV32" s="15"/>
      <c r="AW32" s="15"/>
      <c r="AX32" s="15"/>
      <c r="AY32" s="15"/>
      <c r="AZ32" s="15"/>
      <c r="BA32" s="15"/>
    </row>
    <row r="33" spans="1:53" customFormat="1" ht="14.25" hidden="1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294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hidden="1" customHeight="1">
      <c r="A34" s="15">
        <v>14</v>
      </c>
      <c r="B34" s="136" t="s">
        <v>108</v>
      </c>
      <c r="C34" s="15" t="s">
        <v>37</v>
      </c>
      <c r="D34" s="177">
        <v>6.992</v>
      </c>
      <c r="E34" s="177">
        <f>D34*4</f>
        <v>27.968</v>
      </c>
      <c r="F34" s="177">
        <f>E34*8</f>
        <v>223.744</v>
      </c>
      <c r="G34" s="15">
        <f>1.267+0.234+1.276</f>
        <v>2.7770000000000001</v>
      </c>
      <c r="H34" s="15">
        <f>1.137+0.487+0.273</f>
        <v>1.8970000000000002</v>
      </c>
      <c r="I34" s="15">
        <f>0.182+0.074+0.032</f>
        <v>0.28800000000000003</v>
      </c>
      <c r="J34" s="15">
        <f>SUM(G34:I34)</f>
        <v>4.9620000000000006</v>
      </c>
      <c r="K34" s="15">
        <v>0.27100000000000002</v>
      </c>
      <c r="L34" s="15"/>
      <c r="M34" s="15">
        <v>7.0000000000000001E-3</v>
      </c>
      <c r="N34" s="15">
        <f>M34+K34</f>
        <v>0.27800000000000002</v>
      </c>
      <c r="O34" s="15"/>
      <c r="P34" s="15"/>
      <c r="Q34" s="15"/>
      <c r="R34" s="15"/>
      <c r="S34" s="16"/>
      <c r="T34" s="15" t="s">
        <v>504</v>
      </c>
      <c r="U34" s="15">
        <v>41.44</v>
      </c>
      <c r="V34" s="15">
        <v>0.8</v>
      </c>
      <c r="W34" s="15">
        <v>7.73</v>
      </c>
      <c r="X34" s="15">
        <f>W34+V34</f>
        <v>8.5300000000000011</v>
      </c>
      <c r="Y34" s="15">
        <v>73.75</v>
      </c>
      <c r="Z34" s="15">
        <v>235.38</v>
      </c>
      <c r="AA34" s="15"/>
      <c r="AB34" s="15">
        <v>201.4</v>
      </c>
      <c r="AC34" s="15"/>
      <c r="AD34" s="15"/>
      <c r="AE34" s="15">
        <v>0.51</v>
      </c>
      <c r="AF34" s="15"/>
      <c r="AG34" s="17"/>
      <c r="AH34" s="17"/>
      <c r="AI34" s="17"/>
      <c r="AJ34" s="17"/>
      <c r="AK34" s="15"/>
      <c r="AL34" s="15"/>
      <c r="AM34" s="24"/>
      <c r="AN34" s="135"/>
      <c r="AO34" s="135"/>
      <c r="AP34" s="24"/>
      <c r="AQ34" s="15"/>
      <c r="AR34" s="17"/>
      <c r="AS34" s="17"/>
      <c r="AT34" s="137"/>
      <c r="AU34" s="15"/>
      <c r="AV34" s="15"/>
      <c r="AW34" s="15"/>
      <c r="AX34" s="15"/>
      <c r="AY34" s="15"/>
      <c r="AZ34" s="15"/>
      <c r="BA34" s="15"/>
    </row>
    <row r="35" spans="1:53" customFormat="1" ht="14.25" hidden="1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249.82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hidden="1" customHeight="1">
      <c r="A36" s="15">
        <v>15</v>
      </c>
      <c r="B36" s="15" t="s">
        <v>111</v>
      </c>
      <c r="C36" s="15" t="s">
        <v>51</v>
      </c>
      <c r="D36" s="177">
        <v>10.82</v>
      </c>
      <c r="E36" s="177">
        <f>D36*4</f>
        <v>43.28</v>
      </c>
      <c r="F36" s="177">
        <f>E36*8</f>
        <v>346.24</v>
      </c>
      <c r="G36" s="15">
        <f>4.906+2.484+0.596</f>
        <v>7.9859999999999998</v>
      </c>
      <c r="H36" s="15">
        <f>0.066+1.044+0.272</f>
        <v>1.3820000000000001</v>
      </c>
      <c r="I36" s="15">
        <f>0.274+0.132+0.043</f>
        <v>0.44900000000000001</v>
      </c>
      <c r="J36" s="15">
        <f>SUM(G36:I36)</f>
        <v>9.8170000000000002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504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5"/>
      <c r="AG36" s="17"/>
      <c r="AH36" s="17"/>
      <c r="AI36" s="17"/>
      <c r="AJ36" s="17"/>
      <c r="AK36" s="15"/>
      <c r="AL36" s="15"/>
      <c r="AM36" s="18"/>
      <c r="AN36" s="135"/>
      <c r="AO36" s="135"/>
      <c r="AP36" s="19"/>
      <c r="AQ36" s="15"/>
      <c r="AR36" s="17"/>
      <c r="AS36" s="17"/>
      <c r="AT36" s="137"/>
      <c r="AU36" s="15"/>
      <c r="AV36" s="15"/>
      <c r="AW36" s="15"/>
      <c r="AX36" s="15"/>
      <c r="AY36" s="15"/>
      <c r="AZ36" s="15"/>
      <c r="BA36" s="15"/>
    </row>
    <row r="37" spans="1:53" customFormat="1" ht="14.25" hidden="1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329.66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hidden="1" customHeight="1">
      <c r="A38" s="15">
        <v>16</v>
      </c>
      <c r="B38" s="15" t="s">
        <v>320</v>
      </c>
      <c r="C38" s="15" t="s">
        <v>51</v>
      </c>
      <c r="D38" s="177">
        <v>10.82</v>
      </c>
      <c r="E38" s="177">
        <f>D38*4</f>
        <v>43.28</v>
      </c>
      <c r="F38" s="177">
        <f>E38*8</f>
        <v>346.24</v>
      </c>
      <c r="G38" s="15">
        <f>4.906+2.484+0.596</f>
        <v>7.9859999999999998</v>
      </c>
      <c r="H38" s="15">
        <f>0.066+1.044+0.272</f>
        <v>1.3820000000000001</v>
      </c>
      <c r="I38" s="15">
        <f>0.274+0.132+0.043</f>
        <v>0.44900000000000001</v>
      </c>
      <c r="J38" s="15">
        <f>SUM(G38:I38)</f>
        <v>9.8170000000000002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504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5"/>
      <c r="AG38" s="17"/>
      <c r="AH38" s="17"/>
      <c r="AI38" s="17"/>
      <c r="AJ38" s="17"/>
      <c r="AK38" s="15"/>
      <c r="AL38" s="15"/>
      <c r="AM38" s="18"/>
      <c r="AN38" s="135"/>
      <c r="AO38" s="135"/>
      <c r="AP38" s="19"/>
      <c r="AQ38" s="15"/>
      <c r="AR38" s="17"/>
      <c r="AS38" s="17"/>
      <c r="AT38" s="17"/>
      <c r="AU38" s="17"/>
      <c r="AV38" s="15"/>
      <c r="AW38" s="17"/>
      <c r="AX38" s="17"/>
      <c r="AY38" s="17"/>
      <c r="AZ38" s="15"/>
      <c r="BA38" s="15"/>
    </row>
    <row r="39" spans="1:53" customFormat="1" ht="14.25" hidden="1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170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hidden="1" customHeight="1">
      <c r="A40" s="15">
        <v>17</v>
      </c>
      <c r="B40" s="136" t="s">
        <v>145</v>
      </c>
      <c r="C40" s="15" t="s">
        <v>56</v>
      </c>
      <c r="D40" s="177">
        <v>7.6219999999999999</v>
      </c>
      <c r="E40" s="177">
        <f>D40*4</f>
        <v>30.488</v>
      </c>
      <c r="F40" s="177">
        <f>E40*8</f>
        <v>243.904</v>
      </c>
      <c r="G40" s="15">
        <f>1.267+1.845+0.234</f>
        <v>3.3460000000000001</v>
      </c>
      <c r="H40" s="15">
        <f>1.137+0.646+0.273</f>
        <v>2.056</v>
      </c>
      <c r="I40" s="15">
        <f>0.182+0.091+0.032</f>
        <v>0.30500000000000005</v>
      </c>
      <c r="J40" s="15">
        <f>SUM(G40:I40)</f>
        <v>5.7069999999999999</v>
      </c>
      <c r="K40" s="15">
        <v>0.27100000000000002</v>
      </c>
      <c r="L40" s="15"/>
      <c r="M40" s="15">
        <v>7.0000000000000001E-3</v>
      </c>
      <c r="N40" s="15">
        <f>M40+K40</f>
        <v>0.27800000000000002</v>
      </c>
      <c r="O40" s="15"/>
      <c r="P40" s="15"/>
      <c r="Q40" s="15"/>
      <c r="R40" s="15"/>
      <c r="S40" s="16"/>
      <c r="T40" s="15" t="s">
        <v>504</v>
      </c>
      <c r="U40" s="15">
        <v>41.44</v>
      </c>
      <c r="V40" s="15">
        <v>0.8</v>
      </c>
      <c r="W40" s="15">
        <v>7.73</v>
      </c>
      <c r="X40" s="15">
        <f>W40+V40</f>
        <v>8.5300000000000011</v>
      </c>
      <c r="Y40" s="15">
        <v>73.75</v>
      </c>
      <c r="Z40" s="15">
        <v>235.38</v>
      </c>
      <c r="AA40" s="15"/>
      <c r="AB40" s="15">
        <v>201.4</v>
      </c>
      <c r="AC40" s="15"/>
      <c r="AD40" s="15"/>
      <c r="AE40" s="15">
        <v>0.51</v>
      </c>
      <c r="AF40" s="15"/>
      <c r="AG40" s="17"/>
      <c r="AH40" s="17"/>
      <c r="AI40" s="17"/>
      <c r="AJ40" s="17"/>
      <c r="AK40" s="15"/>
      <c r="AL40" s="15"/>
      <c r="AM40" s="18"/>
      <c r="AN40" s="135"/>
      <c r="AO40" s="135"/>
      <c r="AP40" s="19"/>
      <c r="AQ40" s="15"/>
      <c r="AR40" s="17"/>
      <c r="AS40" s="17"/>
      <c r="AT40" s="17"/>
      <c r="AU40" s="17"/>
      <c r="AV40" s="15"/>
      <c r="AW40" s="17"/>
      <c r="AX40" s="17"/>
      <c r="AY40" s="17"/>
      <c r="AZ40" s="15"/>
      <c r="BA40" s="15"/>
    </row>
    <row r="41" spans="1:53" customFormat="1" ht="14.25" hidden="1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312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hidden="1" customHeight="1">
      <c r="A42" s="15">
        <v>18</v>
      </c>
      <c r="B42" s="136" t="s">
        <v>146</v>
      </c>
      <c r="C42" s="15" t="s">
        <v>56</v>
      </c>
      <c r="D42" s="177">
        <v>7.6219999999999999</v>
      </c>
      <c r="E42" s="177">
        <f>D42*4</f>
        <v>30.488</v>
      </c>
      <c r="F42" s="177">
        <f>E42*8</f>
        <v>243.904</v>
      </c>
      <c r="G42" s="15">
        <f>1.267+1.845+0.234</f>
        <v>3.3460000000000001</v>
      </c>
      <c r="H42" s="15">
        <f>1.137+0.646+0.273</f>
        <v>2.056</v>
      </c>
      <c r="I42" s="15">
        <f>0.182+0.091+0.032</f>
        <v>0.30500000000000005</v>
      </c>
      <c r="J42" s="15">
        <f>SUM(G42:I42)</f>
        <v>5.7069999999999999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>
        <v>3</v>
      </c>
      <c r="P42" s="15">
        <v>3</v>
      </c>
      <c r="Q42" s="15">
        <v>3</v>
      </c>
      <c r="R42" s="15">
        <v>3</v>
      </c>
      <c r="S42" s="16"/>
      <c r="T42" s="15" t="s">
        <v>504</v>
      </c>
      <c r="U42" s="15">
        <v>41.44</v>
      </c>
      <c r="V42" s="15">
        <v>0.8</v>
      </c>
      <c r="W42" s="15">
        <v>16.82</v>
      </c>
      <c r="X42" s="15">
        <f>W42+V42</f>
        <v>17.62</v>
      </c>
      <c r="Y42" s="15">
        <v>171.13</v>
      </c>
      <c r="Z42" s="15">
        <v>265.41000000000003</v>
      </c>
      <c r="AA42" s="15"/>
      <c r="AB42" s="15">
        <v>352.63</v>
      </c>
      <c r="AC42" s="15">
        <v>275.5</v>
      </c>
      <c r="AD42" s="15"/>
      <c r="AE42" s="15">
        <v>1.0649999999999999</v>
      </c>
      <c r="AF42" s="15"/>
      <c r="AG42" s="17"/>
      <c r="AH42" s="17"/>
      <c r="AI42" s="17"/>
      <c r="AJ42" s="17"/>
      <c r="AK42" s="15"/>
      <c r="AL42" s="24"/>
      <c r="AM42" s="18"/>
      <c r="AN42" s="24"/>
      <c r="AO42" s="24"/>
      <c r="AP42" s="24"/>
      <c r="AQ42" s="15"/>
      <c r="AR42" s="17"/>
      <c r="AS42" s="17"/>
      <c r="AT42" s="17"/>
      <c r="AU42" s="17"/>
      <c r="AV42" s="15"/>
      <c r="AW42" s="17"/>
      <c r="AX42" s="17"/>
      <c r="AY42" s="17"/>
      <c r="AZ42" s="15"/>
      <c r="BA42" s="15"/>
    </row>
    <row r="43" spans="1:53" customFormat="1" ht="14.25" hidden="1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259.92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v>19</v>
      </c>
      <c r="B44" s="15" t="s">
        <v>322</v>
      </c>
      <c r="C44" s="15" t="s">
        <v>62</v>
      </c>
      <c r="D44" s="177">
        <v>11.987</v>
      </c>
      <c r="E44" s="177">
        <f>D44*4</f>
        <v>47.948</v>
      </c>
      <c r="F44" s="177">
        <f>E44*8</f>
        <v>383.584</v>
      </c>
      <c r="G44" s="15">
        <f>4.906+4.424+0.596</f>
        <v>9.9260000000000002</v>
      </c>
      <c r="H44" s="15">
        <f>0.066+1.053+0.272</f>
        <v>1.391</v>
      </c>
      <c r="I44" s="15">
        <f>0.274+0.181+0.043</f>
        <v>0.498</v>
      </c>
      <c r="J44" s="15">
        <f>SUM(G44:I44)</f>
        <v>11.815</v>
      </c>
      <c r="K44" s="15">
        <v>0.53200000000000003</v>
      </c>
      <c r="L44" s="15"/>
      <c r="M44" s="15">
        <v>1.0999999999999999E-2</v>
      </c>
      <c r="N44" s="15">
        <f>K44+M44</f>
        <v>0.54300000000000004</v>
      </c>
      <c r="O44" s="15">
        <v>3</v>
      </c>
      <c r="P44" s="15">
        <v>3</v>
      </c>
      <c r="Q44" s="15">
        <v>3</v>
      </c>
      <c r="R44" s="15">
        <v>3</v>
      </c>
      <c r="S44" s="16"/>
      <c r="T44" s="15" t="s">
        <v>506</v>
      </c>
      <c r="U44" s="15">
        <v>230.76</v>
      </c>
      <c r="V44" s="15">
        <v>3.77</v>
      </c>
      <c r="W44" s="15">
        <v>38.65</v>
      </c>
      <c r="X44" s="15">
        <f>W44+V44</f>
        <v>42.42</v>
      </c>
      <c r="Y44" s="15">
        <v>184.2</v>
      </c>
      <c r="Z44" s="15">
        <v>1264.5899999999999</v>
      </c>
      <c r="AA44" s="15"/>
      <c r="AB44" s="15"/>
      <c r="AC44" s="15">
        <v>832.39</v>
      </c>
      <c r="AD44" s="15"/>
      <c r="AE44" s="15">
        <v>2.2810000000000001</v>
      </c>
      <c r="AF44" s="142" t="s">
        <v>20</v>
      </c>
      <c r="AG44" s="17">
        <v>45988</v>
      </c>
      <c r="AH44" s="17"/>
      <c r="AI44" s="17">
        <v>45996</v>
      </c>
      <c r="AJ44" s="17">
        <v>46004</v>
      </c>
      <c r="AK44" s="302" t="s">
        <v>691</v>
      </c>
      <c r="AL44" s="24"/>
      <c r="AM44" s="18"/>
      <c r="AN44" s="24"/>
      <c r="AO44" s="24"/>
      <c r="AP44" s="24"/>
      <c r="AQ44" s="142" t="s">
        <v>20</v>
      </c>
      <c r="AR44" s="17" t="s">
        <v>703</v>
      </c>
      <c r="AS44" s="17" t="s">
        <v>704</v>
      </c>
      <c r="AT44" s="15" t="s">
        <v>706</v>
      </c>
      <c r="AU44" s="17"/>
      <c r="AV44" s="15"/>
      <c r="AW44" s="17"/>
      <c r="AX44" s="17"/>
      <c r="AY44" s="17"/>
      <c r="AZ44" s="15"/>
      <c r="BA44" s="15"/>
    </row>
    <row r="45" spans="1:53" customFormat="1" ht="14.25" hidden="1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215.13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" hidden="1" customHeight="1">
      <c r="A46" s="15">
        <v>20</v>
      </c>
      <c r="B46" s="15" t="s">
        <v>324</v>
      </c>
      <c r="C46" s="15" t="s">
        <v>62</v>
      </c>
      <c r="D46" s="177">
        <v>11.987</v>
      </c>
      <c r="E46" s="177">
        <f>D46*4</f>
        <v>47.948</v>
      </c>
      <c r="F46" s="177">
        <f>E46*8</f>
        <v>383.584</v>
      </c>
      <c r="G46" s="15">
        <f>4.906+4.424+0.596</f>
        <v>9.9260000000000002</v>
      </c>
      <c r="H46" s="15">
        <f>0.066+1.053+0.272</f>
        <v>1.391</v>
      </c>
      <c r="I46" s="15">
        <f>0.274+0.181+0.043</f>
        <v>0.498</v>
      </c>
      <c r="J46" s="15">
        <f>SUM(G46:I46)</f>
        <v>11.815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>
        <v>3</v>
      </c>
      <c r="P46" s="15">
        <v>3</v>
      </c>
      <c r="Q46" s="15">
        <v>3</v>
      </c>
      <c r="R46" s="15">
        <v>3</v>
      </c>
      <c r="S46" s="16"/>
      <c r="T46" s="15" t="s">
        <v>506</v>
      </c>
      <c r="U46" s="15">
        <v>230.76</v>
      </c>
      <c r="V46" s="15">
        <v>3.77</v>
      </c>
      <c r="W46" s="15">
        <v>38.65</v>
      </c>
      <c r="X46" s="15">
        <f>W46+V46</f>
        <v>42.42</v>
      </c>
      <c r="Y46" s="15">
        <v>184.2</v>
      </c>
      <c r="Z46" s="15">
        <v>1264.5899999999999</v>
      </c>
      <c r="AA46" s="15"/>
      <c r="AB46" s="15"/>
      <c r="AC46" s="15">
        <v>832.39</v>
      </c>
      <c r="AD46" s="15"/>
      <c r="AE46" s="15">
        <v>2.2810000000000001</v>
      </c>
      <c r="AF46" s="142" t="s">
        <v>20</v>
      </c>
      <c r="AG46" s="17">
        <v>45998</v>
      </c>
      <c r="AH46" s="17"/>
      <c r="AI46" s="17">
        <v>46003</v>
      </c>
      <c r="AJ46" s="17">
        <v>46007</v>
      </c>
      <c r="AK46" s="302" t="s">
        <v>691</v>
      </c>
      <c r="AL46" s="15"/>
      <c r="AM46" s="18"/>
      <c r="AN46" s="135"/>
      <c r="AO46" s="135"/>
      <c r="AP46" s="19"/>
      <c r="AQ46" s="15"/>
      <c r="AR46" s="17"/>
      <c r="AS46" s="17"/>
      <c r="AT46" s="17"/>
      <c r="AU46" s="17"/>
      <c r="AV46" s="15"/>
      <c r="AW46" s="17"/>
      <c r="AX46" s="17"/>
      <c r="AY46" s="17"/>
      <c r="AZ46" s="15"/>
      <c r="BA46" s="15"/>
    </row>
    <row r="47" spans="1:53" customFormat="1" ht="14.25" hidden="1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316.14999999999998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v>21</v>
      </c>
      <c r="B48" s="15" t="s">
        <v>326</v>
      </c>
      <c r="C48" s="15" t="s">
        <v>34</v>
      </c>
      <c r="D48" s="177">
        <v>9.6539999999999999</v>
      </c>
      <c r="E48" s="177">
        <f>D48*4</f>
        <v>38.616</v>
      </c>
      <c r="F48" s="177">
        <f>E48*8</f>
        <v>308.928</v>
      </c>
      <c r="G48" s="15">
        <f>4.906+1.456+0.596</f>
        <v>6.9580000000000002</v>
      </c>
      <c r="H48" s="15">
        <f>0.066+0.717+0.272</f>
        <v>1.0549999999999999</v>
      </c>
      <c r="I48" s="15">
        <f>0.274+0.083+0.043</f>
        <v>0.4</v>
      </c>
      <c r="J48" s="15">
        <f>SUM(G48:I48)</f>
        <v>8.4130000000000003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507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70.930000000000007</v>
      </c>
      <c r="Z48" s="15">
        <v>900.95</v>
      </c>
      <c r="AA48" s="15"/>
      <c r="AB48" s="15">
        <v>96.82</v>
      </c>
      <c r="AC48" s="15">
        <v>151.27000000000001</v>
      </c>
      <c r="AD48" s="15"/>
      <c r="AE48" s="15">
        <v>1.22</v>
      </c>
      <c r="AF48" s="142" t="s">
        <v>20</v>
      </c>
      <c r="AG48" s="17">
        <v>45992</v>
      </c>
      <c r="AH48" s="17"/>
      <c r="AI48" s="17">
        <v>46007</v>
      </c>
      <c r="AJ48" s="17">
        <v>46008</v>
      </c>
      <c r="AK48" s="302" t="s">
        <v>691</v>
      </c>
      <c r="AL48" s="15"/>
      <c r="AM48" s="18"/>
      <c r="AN48" s="135"/>
      <c r="AO48" s="135"/>
      <c r="AP48" s="19"/>
      <c r="AQ48" s="142" t="s">
        <v>20</v>
      </c>
      <c r="AR48" s="17">
        <v>46028</v>
      </c>
      <c r="AS48" s="17">
        <v>46029</v>
      </c>
      <c r="AT48" s="15" t="s">
        <v>706</v>
      </c>
      <c r="AU48" s="17"/>
      <c r="AV48" s="15"/>
      <c r="AW48" s="17"/>
      <c r="AX48" s="17"/>
      <c r="AY48" s="17"/>
      <c r="AZ48" s="15"/>
      <c r="BA48" s="15"/>
    </row>
    <row r="49" spans="1:53" customFormat="1" ht="14.25" hidden="1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267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hidden="1" customHeight="1">
      <c r="A50" s="15">
        <v>22</v>
      </c>
      <c r="B50" s="136" t="s">
        <v>328</v>
      </c>
      <c r="C50" s="15" t="s">
        <v>37</v>
      </c>
      <c r="D50" s="177">
        <v>6.992</v>
      </c>
      <c r="E50" s="177">
        <f>D50*4</f>
        <v>27.968</v>
      </c>
      <c r="F50" s="177">
        <f>E50*8</f>
        <v>223.744</v>
      </c>
      <c r="G50" s="15">
        <f>1.267+0.234+1.276</f>
        <v>2.7770000000000001</v>
      </c>
      <c r="H50" s="15">
        <f>1.137+0.487+0.273</f>
        <v>1.8970000000000002</v>
      </c>
      <c r="I50" s="15">
        <f>0.182+0.074+0.032</f>
        <v>0.28800000000000003</v>
      </c>
      <c r="J50" s="15">
        <f>SUM(G50:I50)</f>
        <v>4.9620000000000006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39"/>
      <c r="P50" s="139"/>
      <c r="Q50" s="139"/>
      <c r="R50" s="139"/>
      <c r="S50" s="16"/>
      <c r="T50" s="15" t="s">
        <v>507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564.37</v>
      </c>
      <c r="AA50" s="15"/>
      <c r="AB50" s="15">
        <v>201.4</v>
      </c>
      <c r="AC50" s="15"/>
      <c r="AD50" s="15"/>
      <c r="AE50" s="15">
        <v>0.84</v>
      </c>
      <c r="AF50" s="388" t="s">
        <v>707</v>
      </c>
      <c r="AG50" s="17"/>
      <c r="AH50" s="17"/>
      <c r="AI50" s="17"/>
      <c r="AJ50" s="17"/>
      <c r="AK50" s="15"/>
      <c r="AL50" s="15"/>
      <c r="AM50" s="18"/>
      <c r="AN50" s="135"/>
      <c r="AO50" s="135"/>
      <c r="AP50" s="24"/>
      <c r="AQ50" s="15"/>
      <c r="AR50" s="17"/>
      <c r="AS50" s="17"/>
      <c r="AT50" s="15"/>
      <c r="AU50" s="15"/>
      <c r="AV50" s="15"/>
      <c r="AW50" s="17"/>
      <c r="AX50" s="17"/>
      <c r="AY50" s="17"/>
      <c r="AZ50" s="15"/>
      <c r="BA50" s="15"/>
    </row>
    <row r="51" spans="1:53" customFormat="1" ht="14" hidden="1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267.185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" customHeight="1">
      <c r="A52" s="15">
        <v>23</v>
      </c>
      <c r="B52" s="15" t="s">
        <v>329</v>
      </c>
      <c r="C52" s="15" t="s">
        <v>34</v>
      </c>
      <c r="D52" s="177">
        <v>9.6539999999999999</v>
      </c>
      <c r="E52" s="177">
        <f>D52*4</f>
        <v>38.616</v>
      </c>
      <c r="F52" s="177">
        <f>E52*8</f>
        <v>308.928</v>
      </c>
      <c r="G52" s="15">
        <f>4.906+1.456+0.596</f>
        <v>6.9580000000000002</v>
      </c>
      <c r="H52" s="15">
        <f>0.066+0.717+0.272</f>
        <v>1.0549999999999999</v>
      </c>
      <c r="I52" s="15">
        <f>0.274+0.083+0.043</f>
        <v>0.4</v>
      </c>
      <c r="J52" s="15">
        <f>SUM(G52:I52)</f>
        <v>8.4130000000000003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/>
      <c r="P52" s="15"/>
      <c r="Q52" s="15"/>
      <c r="R52" s="15"/>
      <c r="S52" s="16"/>
      <c r="T52" s="15" t="s">
        <v>507</v>
      </c>
      <c r="U52" s="15">
        <v>75.36</v>
      </c>
      <c r="V52" s="15">
        <v>1.35</v>
      </c>
      <c r="W52" s="15">
        <v>13.06</v>
      </c>
      <c r="X52" s="15">
        <f>V52+W52</f>
        <v>14.41</v>
      </c>
      <c r="Y52" s="15">
        <v>70.930000000000007</v>
      </c>
      <c r="Z52" s="15">
        <v>900.95</v>
      </c>
      <c r="AA52" s="15"/>
      <c r="AB52" s="15">
        <v>96.82</v>
      </c>
      <c r="AC52" s="15">
        <v>151.27000000000001</v>
      </c>
      <c r="AD52" s="15"/>
      <c r="AE52" s="15">
        <v>1.22</v>
      </c>
      <c r="AF52" s="142" t="s">
        <v>20</v>
      </c>
      <c r="AG52" s="17">
        <v>46010</v>
      </c>
      <c r="AH52" s="17">
        <v>46013</v>
      </c>
      <c r="AI52" s="17">
        <v>46015</v>
      </c>
      <c r="AJ52" s="17">
        <v>46016</v>
      </c>
      <c r="AK52" s="302" t="s">
        <v>691</v>
      </c>
      <c r="AL52" s="15"/>
      <c r="AM52" s="18"/>
      <c r="AN52" s="135"/>
      <c r="AO52" s="135"/>
      <c r="AP52" s="24"/>
      <c r="AQ52" s="142" t="s">
        <v>20</v>
      </c>
      <c r="AR52" s="17">
        <v>46025</v>
      </c>
      <c r="AS52" s="17">
        <v>46027</v>
      </c>
      <c r="AT52" s="15" t="s">
        <v>706</v>
      </c>
      <c r="AU52" s="17"/>
      <c r="AV52" s="15"/>
      <c r="AW52" s="15"/>
      <c r="AX52" s="15"/>
      <c r="AY52" s="15"/>
      <c r="AZ52" s="15"/>
      <c r="BA52" s="15"/>
    </row>
    <row r="53" spans="1:53" customFormat="1" ht="14.25" hidden="1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87.412000000000006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hidden="1" customHeight="1">
      <c r="A54" s="15">
        <v>24</v>
      </c>
      <c r="B54" s="136" t="s">
        <v>167</v>
      </c>
      <c r="C54" s="15" t="s">
        <v>505</v>
      </c>
      <c r="D54" s="15"/>
      <c r="E54" s="15"/>
      <c r="F54" s="15">
        <v>54</v>
      </c>
      <c r="G54" s="15"/>
      <c r="H54" s="15">
        <v>4.1059999999999999</v>
      </c>
      <c r="I54" s="15">
        <v>0.23</v>
      </c>
      <c r="J54" s="15">
        <f>SUM(G54:I54)</f>
        <v>4.3360000000000003</v>
      </c>
      <c r="K54" s="15"/>
      <c r="L54" s="15">
        <f>0.12+0.219</f>
        <v>0.33899999999999997</v>
      </c>
      <c r="M54" s="15">
        <f>0.003+0.003</f>
        <v>6.0000000000000001E-3</v>
      </c>
      <c r="N54" s="15">
        <f>SUM(K54:M54)</f>
        <v>0.34499999999999997</v>
      </c>
      <c r="O54" s="15"/>
      <c r="P54" s="15"/>
      <c r="Q54" s="15"/>
      <c r="R54" s="15"/>
      <c r="S54" s="16"/>
      <c r="T54" s="15"/>
      <c r="U54" s="15">
        <v>315</v>
      </c>
      <c r="V54" s="15">
        <v>4.0999999999999996</v>
      </c>
      <c r="W54" s="15">
        <v>42</v>
      </c>
      <c r="X54" s="15">
        <f>W54+V54</f>
        <v>46.1</v>
      </c>
      <c r="Y54" s="15"/>
      <c r="Z54" s="15"/>
      <c r="AA54" s="15"/>
      <c r="AB54" s="15"/>
      <c r="AC54" s="15"/>
      <c r="AD54" s="15"/>
      <c r="AE54" s="15">
        <v>3.95</v>
      </c>
      <c r="AF54" s="388" t="s">
        <v>707</v>
      </c>
      <c r="AG54" s="17">
        <v>46016</v>
      </c>
      <c r="AH54" s="17">
        <v>46020</v>
      </c>
      <c r="AI54" s="17"/>
      <c r="AJ54" s="17"/>
      <c r="AK54" s="302" t="s">
        <v>691</v>
      </c>
      <c r="AL54" s="15"/>
      <c r="AM54" s="18"/>
      <c r="AN54" s="135"/>
      <c r="AO54" s="135"/>
      <c r="AP54" s="24"/>
      <c r="AQ54" s="15"/>
      <c r="AR54" s="17"/>
      <c r="AS54" s="17"/>
      <c r="AT54" s="137"/>
      <c r="AU54" s="15"/>
      <c r="AV54" s="15"/>
      <c r="AW54" s="15"/>
      <c r="AX54" s="15"/>
      <c r="AY54" s="15"/>
      <c r="AZ54" s="15"/>
      <c r="BA54" s="15"/>
    </row>
    <row r="55" spans="1:53" customFormat="1" ht="14.25" hidden="1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66.460999999999999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hidden="1" customHeight="1">
      <c r="A56" s="15">
        <v>25</v>
      </c>
      <c r="B56" s="136" t="s">
        <v>331</v>
      </c>
      <c r="C56" s="15" t="s">
        <v>505</v>
      </c>
      <c r="D56" s="15"/>
      <c r="E56" s="15"/>
      <c r="F56" s="15">
        <v>54</v>
      </c>
      <c r="G56" s="15"/>
      <c r="H56" s="15">
        <v>4.1059999999999999</v>
      </c>
      <c r="I56" s="15">
        <v>0.23</v>
      </c>
      <c r="J56" s="15">
        <f>SUM(G56:I56)</f>
        <v>4.3360000000000003</v>
      </c>
      <c r="K56" s="15"/>
      <c r="L56" s="15">
        <f>0.12+0.219</f>
        <v>0.33899999999999997</v>
      </c>
      <c r="M56" s="15">
        <f>0.003+0.003</f>
        <v>6.0000000000000001E-3</v>
      </c>
      <c r="N56" s="15">
        <f>SUM(K56:M56)</f>
        <v>0.34499999999999997</v>
      </c>
      <c r="O56" s="15"/>
      <c r="P56" s="15"/>
      <c r="Q56" s="15"/>
      <c r="R56" s="15"/>
      <c r="S56" s="16"/>
      <c r="T56" s="15"/>
      <c r="U56" s="15">
        <v>315</v>
      </c>
      <c r="V56" s="15">
        <v>4.0999999999999996</v>
      </c>
      <c r="W56" s="15">
        <v>42</v>
      </c>
      <c r="X56" s="15">
        <f>W56+V56</f>
        <v>46.1</v>
      </c>
      <c r="Y56" s="15"/>
      <c r="Z56" s="15"/>
      <c r="AA56" s="15"/>
      <c r="AB56" s="15"/>
      <c r="AC56" s="15"/>
      <c r="AD56" s="15"/>
      <c r="AE56" s="15">
        <v>3.95</v>
      </c>
      <c r="AF56" s="388" t="s">
        <v>707</v>
      </c>
      <c r="AG56" s="17">
        <v>46020</v>
      </c>
      <c r="AH56" s="17">
        <v>46024</v>
      </c>
      <c r="AI56" s="17">
        <v>46025</v>
      </c>
      <c r="AJ56" s="17"/>
      <c r="AK56" s="15" t="s">
        <v>702</v>
      </c>
      <c r="AL56" s="15"/>
      <c r="AM56" s="15"/>
      <c r="AN56" s="135"/>
      <c r="AO56" s="135"/>
      <c r="AP56" s="24"/>
      <c r="AQ56" s="15"/>
      <c r="AR56" s="17"/>
      <c r="AS56" s="17"/>
      <c r="AT56" s="15"/>
      <c r="AU56" s="17"/>
      <c r="AV56" s="15"/>
      <c r="AW56" s="17"/>
      <c r="AX56" s="17"/>
      <c r="AY56" s="17"/>
      <c r="AZ56" s="15"/>
      <c r="BA56" s="15"/>
    </row>
    <row r="57" spans="1:53" customFormat="1" ht="14.25" hidden="1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56.381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hidden="1" customHeight="1">
      <c r="A58" s="15">
        <v>26</v>
      </c>
      <c r="B58" s="15" t="s">
        <v>332</v>
      </c>
      <c r="C58" s="15" t="s">
        <v>62</v>
      </c>
      <c r="D58" s="177">
        <v>11.987</v>
      </c>
      <c r="E58" s="177">
        <f>D58*4</f>
        <v>47.948</v>
      </c>
      <c r="F58" s="177">
        <f>E58*8</f>
        <v>383.584</v>
      </c>
      <c r="G58" s="15">
        <f>4.906+4.424+0.596</f>
        <v>9.9260000000000002</v>
      </c>
      <c r="H58" s="15">
        <f>0.066+1.053+0.272</f>
        <v>1.391</v>
      </c>
      <c r="I58" s="15">
        <f>0.274+0.181+0.043</f>
        <v>0.498</v>
      </c>
      <c r="J58" s="15">
        <f>SUM(G58:I58)</f>
        <v>11.815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507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42" t="s">
        <v>20</v>
      </c>
      <c r="AG58" s="17">
        <v>46013</v>
      </c>
      <c r="AH58" s="17">
        <v>46015</v>
      </c>
      <c r="AI58" s="17">
        <v>46018</v>
      </c>
      <c r="AJ58" s="17">
        <v>46019</v>
      </c>
      <c r="AK58" s="15" t="s">
        <v>702</v>
      </c>
      <c r="AL58" s="15"/>
      <c r="AM58" s="15"/>
      <c r="AN58" s="135"/>
      <c r="AO58" s="135"/>
      <c r="AP58" s="24"/>
      <c r="AQ58" s="436" t="s">
        <v>707</v>
      </c>
      <c r="AR58" s="17">
        <v>46030</v>
      </c>
      <c r="AS58" s="17"/>
      <c r="AT58" s="15" t="s">
        <v>706</v>
      </c>
      <c r="AU58" s="17"/>
      <c r="AV58" s="15"/>
      <c r="AW58" s="15"/>
      <c r="AX58" s="15"/>
      <c r="AY58" s="15"/>
      <c r="AZ58" s="15"/>
      <c r="BA58" s="15"/>
    </row>
    <row r="59" spans="1:53" customFormat="1" ht="14.25" hidden="1" customHeight="1">
      <c r="A59" s="15"/>
      <c r="B59" s="15"/>
      <c r="C59" s="140"/>
      <c r="D59" s="140"/>
      <c r="E59" s="140"/>
      <c r="F59" s="140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224.23099999999999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hidden="1" customHeight="1">
      <c r="A60" s="15">
        <v>27</v>
      </c>
      <c r="B60" s="15" t="s">
        <v>334</v>
      </c>
      <c r="C60" s="15" t="s">
        <v>51</v>
      </c>
      <c r="D60" s="177">
        <v>10.82</v>
      </c>
      <c r="E60" s="177">
        <f>D60*4</f>
        <v>43.28</v>
      </c>
      <c r="F60" s="177">
        <f>E60*8</f>
        <v>346.24</v>
      </c>
      <c r="G60" s="15">
        <f>4.906+2.484+0.596</f>
        <v>7.9859999999999998</v>
      </c>
      <c r="H60" s="15">
        <f>0.066+1.044+0.272</f>
        <v>1.3820000000000001</v>
      </c>
      <c r="I60" s="15">
        <f>0.274+0.132+0.043</f>
        <v>0.44900000000000001</v>
      </c>
      <c r="J60" s="15">
        <f>SUM(G60:I60)</f>
        <v>9.8170000000000002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507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5"/>
      <c r="AG60" s="17"/>
      <c r="AH60" s="17"/>
      <c r="AI60" s="17"/>
      <c r="AJ60" s="17"/>
      <c r="AK60" s="15"/>
      <c r="AL60" s="15"/>
      <c r="AM60" s="15"/>
      <c r="AN60" s="135"/>
      <c r="AO60" s="135"/>
      <c r="AP60" s="24"/>
      <c r="AQ60" s="15"/>
      <c r="AR60" s="17"/>
      <c r="AS60" s="17"/>
      <c r="AT60" s="17"/>
      <c r="AU60" s="17"/>
      <c r="AV60" s="15"/>
      <c r="AW60" s="17"/>
      <c r="AX60" s="17"/>
      <c r="AY60" s="17"/>
      <c r="AZ60" s="15"/>
      <c r="BA60" s="15"/>
    </row>
    <row r="61" spans="1:53" customFormat="1" ht="14.25" hidden="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276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v>28</v>
      </c>
      <c r="B62" s="136" t="s">
        <v>181</v>
      </c>
      <c r="C62" s="15" t="s">
        <v>42</v>
      </c>
      <c r="D62" s="177">
        <v>6.3620000000000001</v>
      </c>
      <c r="E62" s="177">
        <f>D62*4</f>
        <v>25.448</v>
      </c>
      <c r="F62" s="177">
        <f>E62*8</f>
        <v>203.584</v>
      </c>
      <c r="G62" s="15">
        <f>1.267+0.929+0.234</f>
        <v>2.4299999999999997</v>
      </c>
      <c r="H62" s="15">
        <f>1.137+0.231+0.273</f>
        <v>1.641</v>
      </c>
      <c r="I62" s="15">
        <f>0.182+0.054+0.032</f>
        <v>0.26800000000000002</v>
      </c>
      <c r="J62" s="15">
        <f>SUM(G62:I62)</f>
        <v>4.3389999999999995</v>
      </c>
      <c r="K62" s="15">
        <v>0.27100000000000002</v>
      </c>
      <c r="L62" s="15"/>
      <c r="M62" s="15">
        <v>7.0000000000000001E-3</v>
      </c>
      <c r="N62" s="15">
        <f>M62+K62</f>
        <v>0.27800000000000002</v>
      </c>
      <c r="O62" s="15"/>
      <c r="P62" s="15"/>
      <c r="Q62" s="15"/>
      <c r="R62" s="15"/>
      <c r="S62" s="16"/>
      <c r="T62" s="15" t="s">
        <v>507</v>
      </c>
      <c r="U62" s="15">
        <v>41.44</v>
      </c>
      <c r="V62" s="15">
        <v>0.8</v>
      </c>
      <c r="W62" s="15">
        <v>7.73</v>
      </c>
      <c r="X62" s="15">
        <f>W62+V62</f>
        <v>8.5300000000000011</v>
      </c>
      <c r="Y62" s="15">
        <v>73.75</v>
      </c>
      <c r="Z62" s="15">
        <v>564.37</v>
      </c>
      <c r="AA62" s="15"/>
      <c r="AB62" s="15">
        <v>201.4</v>
      </c>
      <c r="AC62" s="15"/>
      <c r="AD62" s="15"/>
      <c r="AE62" s="15">
        <v>0.84</v>
      </c>
      <c r="AF62" s="142" t="s">
        <v>20</v>
      </c>
      <c r="AG62" s="17"/>
      <c r="AH62" s="17"/>
      <c r="AI62" s="17">
        <v>46005</v>
      </c>
      <c r="AJ62" s="17">
        <v>46007</v>
      </c>
      <c r="AK62" s="15" t="s">
        <v>694</v>
      </c>
      <c r="AL62" s="15"/>
      <c r="AM62" s="15"/>
      <c r="AN62" s="135"/>
      <c r="AO62" s="135"/>
      <c r="AP62" s="24"/>
      <c r="AQ62" s="142" t="s">
        <v>20</v>
      </c>
      <c r="AR62" s="17" t="s">
        <v>705</v>
      </c>
      <c r="AS62" s="17">
        <v>46024</v>
      </c>
      <c r="AT62" s="15" t="s">
        <v>706</v>
      </c>
      <c r="AU62" s="17"/>
      <c r="AV62" s="15"/>
      <c r="AW62" s="17"/>
      <c r="AX62" s="17"/>
      <c r="AY62" s="17"/>
      <c r="AZ62" s="15"/>
      <c r="BA62" s="15"/>
    </row>
    <row r="63" spans="1:53" customFormat="1" ht="14.25" hidden="1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244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v>29</v>
      </c>
      <c r="B64" s="141" t="s">
        <v>182</v>
      </c>
      <c r="C64" s="15" t="s">
        <v>42</v>
      </c>
      <c r="D64" s="177">
        <v>6.3620000000000001</v>
      </c>
      <c r="E64" s="177">
        <f>D64*4</f>
        <v>25.448</v>
      </c>
      <c r="F64" s="177">
        <f>E64*8</f>
        <v>203.584</v>
      </c>
      <c r="G64" s="15">
        <f>1.267+0.929+0.234</f>
        <v>2.4299999999999997</v>
      </c>
      <c r="H64" s="15">
        <f>1.137+0.231+0.273</f>
        <v>1.641</v>
      </c>
      <c r="I64" s="15">
        <f>0.182+0.054+0.032</f>
        <v>0.26800000000000002</v>
      </c>
      <c r="J64" s="15">
        <f>SUM(G64:I64)</f>
        <v>4.3389999999999995</v>
      </c>
      <c r="K64" s="15">
        <v>0.27100000000000002</v>
      </c>
      <c r="L64" s="15"/>
      <c r="M64" s="15">
        <v>7.0000000000000001E-3</v>
      </c>
      <c r="N64" s="15">
        <f>M64+K64</f>
        <v>0.27800000000000002</v>
      </c>
      <c r="O64" s="15"/>
      <c r="P64" s="15"/>
      <c r="Q64" s="15"/>
      <c r="R64" s="15"/>
      <c r="S64" s="16"/>
      <c r="T64" s="15" t="s">
        <v>507</v>
      </c>
      <c r="U64" s="15">
        <v>41.44</v>
      </c>
      <c r="V64" s="15">
        <v>0.8</v>
      </c>
      <c r="W64" s="15">
        <v>7.73</v>
      </c>
      <c r="X64" s="15">
        <f>W64+V64</f>
        <v>8.5300000000000011</v>
      </c>
      <c r="Y64" s="15">
        <v>73.75</v>
      </c>
      <c r="Z64" s="15">
        <v>564.37</v>
      </c>
      <c r="AA64" s="15"/>
      <c r="AB64" s="15">
        <v>201.4</v>
      </c>
      <c r="AC64" s="15"/>
      <c r="AD64" s="15"/>
      <c r="AE64" s="15">
        <v>0.84</v>
      </c>
      <c r="AF64" s="142" t="s">
        <v>20</v>
      </c>
      <c r="AG64" s="17">
        <v>46004</v>
      </c>
      <c r="AH64" s="17" t="s">
        <v>695</v>
      </c>
      <c r="AI64" s="17">
        <v>46005</v>
      </c>
      <c r="AJ64" s="17">
        <v>46006</v>
      </c>
      <c r="AK64" s="302" t="s">
        <v>691</v>
      </c>
      <c r="AL64" s="15"/>
      <c r="AM64" s="15"/>
      <c r="AN64" s="135"/>
      <c r="AO64" s="135"/>
      <c r="AP64" s="24"/>
      <c r="AQ64" s="142" t="s">
        <v>20</v>
      </c>
      <c r="AR64" s="17">
        <v>46018</v>
      </c>
      <c r="AS64" s="17">
        <v>46018</v>
      </c>
      <c r="AT64" s="15" t="s">
        <v>706</v>
      </c>
      <c r="AU64" s="17"/>
      <c r="AV64" s="15"/>
      <c r="AW64" s="17"/>
      <c r="AX64" s="17"/>
      <c r="AY64" s="17"/>
      <c r="AZ64" s="15"/>
      <c r="BA64" s="15"/>
    </row>
    <row r="65" spans="1:53" customFormat="1" ht="14.25" hidden="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241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v>30</v>
      </c>
      <c r="B66" s="136" t="s">
        <v>183</v>
      </c>
      <c r="C66" s="15" t="s">
        <v>42</v>
      </c>
      <c r="D66" s="177">
        <v>6.3620000000000001</v>
      </c>
      <c r="E66" s="177">
        <f>D66*4</f>
        <v>25.448</v>
      </c>
      <c r="F66" s="177">
        <f>E66*8</f>
        <v>203.584</v>
      </c>
      <c r="G66" s="15">
        <f>1.267+0.929+0.234</f>
        <v>2.4299999999999997</v>
      </c>
      <c r="H66" s="15">
        <f>1.137+0.231+0.273</f>
        <v>1.641</v>
      </c>
      <c r="I66" s="15">
        <f>0.182+0.054+0.032</f>
        <v>0.26800000000000002</v>
      </c>
      <c r="J66" s="15">
        <f>SUM(G66:I66)</f>
        <v>4.3389999999999995</v>
      </c>
      <c r="K66" s="15">
        <v>0.27100000000000002</v>
      </c>
      <c r="L66" s="15"/>
      <c r="M66" s="15">
        <v>7.0000000000000001E-3</v>
      </c>
      <c r="N66" s="15">
        <f>M66+K66</f>
        <v>0.27800000000000002</v>
      </c>
      <c r="O66" s="15"/>
      <c r="P66" s="15"/>
      <c r="Q66" s="15"/>
      <c r="R66" s="15"/>
      <c r="S66" s="16"/>
      <c r="T66" s="15" t="s">
        <v>507</v>
      </c>
      <c r="U66" s="15">
        <v>41.44</v>
      </c>
      <c r="V66" s="15">
        <v>0.8</v>
      </c>
      <c r="W66" s="15">
        <v>7.73</v>
      </c>
      <c r="X66" s="15">
        <f>W66+V66</f>
        <v>8.5300000000000011</v>
      </c>
      <c r="Y66" s="15">
        <v>73.75</v>
      </c>
      <c r="Z66" s="15">
        <v>564.37</v>
      </c>
      <c r="AA66" s="15"/>
      <c r="AB66" s="15">
        <v>201.4</v>
      </c>
      <c r="AC66" s="15"/>
      <c r="AD66" s="15"/>
      <c r="AE66" s="15">
        <v>0.84</v>
      </c>
      <c r="AF66" s="142" t="s">
        <v>20</v>
      </c>
      <c r="AG66" s="17">
        <v>45987</v>
      </c>
      <c r="AH66" s="17"/>
      <c r="AI66" s="17" t="s">
        <v>698</v>
      </c>
      <c r="AJ66" s="17" t="s">
        <v>701</v>
      </c>
      <c r="AK66" s="15" t="s">
        <v>694</v>
      </c>
      <c r="AL66" s="15"/>
      <c r="AM66" s="15"/>
      <c r="AN66" s="135"/>
      <c r="AO66" s="135"/>
      <c r="AP66" s="24"/>
      <c r="AQ66" s="142" t="s">
        <v>20</v>
      </c>
      <c r="AR66" s="17">
        <v>46016</v>
      </c>
      <c r="AS66" s="17">
        <v>46017</v>
      </c>
      <c r="AT66" s="15" t="s">
        <v>706</v>
      </c>
      <c r="AU66" s="15"/>
      <c r="AV66" s="15"/>
      <c r="AW66" s="15"/>
      <c r="AX66" s="15"/>
      <c r="AY66" s="15"/>
      <c r="AZ66" s="15"/>
      <c r="BA66" s="15"/>
    </row>
    <row r="67" spans="1:53" customFormat="1" ht="14.25" hidden="1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240.727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v>31</v>
      </c>
      <c r="B68" s="15" t="s">
        <v>336</v>
      </c>
      <c r="C68" s="15" t="s">
        <v>34</v>
      </c>
      <c r="D68" s="177">
        <v>9.6539999999999999</v>
      </c>
      <c r="E68" s="177">
        <f>D68*4</f>
        <v>38.616</v>
      </c>
      <c r="F68" s="177">
        <f>E68*8</f>
        <v>308.928</v>
      </c>
      <c r="G68" s="15">
        <f>4.906+1.456+0.596</f>
        <v>6.9580000000000002</v>
      </c>
      <c r="H68" s="15">
        <f>0.066+0.717+0.272</f>
        <v>1.0549999999999999</v>
      </c>
      <c r="I68" s="15">
        <f>0.274+0.083+0.043</f>
        <v>0.4</v>
      </c>
      <c r="J68" s="15">
        <f>SUM(G68:I68)</f>
        <v>8.4130000000000003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507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42" t="s">
        <v>20</v>
      </c>
      <c r="AG68" s="17">
        <f>AH68-3</f>
        <v>45946</v>
      </c>
      <c r="AH68" s="17">
        <f t="shared" ref="AH68:AI68" si="0">AI68-2</f>
        <v>45949</v>
      </c>
      <c r="AI68" s="17">
        <f t="shared" si="0"/>
        <v>45951</v>
      </c>
      <c r="AJ68" s="17">
        <v>45953</v>
      </c>
      <c r="AK68" s="302" t="s">
        <v>691</v>
      </c>
      <c r="AL68" s="142" t="s">
        <v>20</v>
      </c>
      <c r="AM68" s="15"/>
      <c r="AN68" s="135"/>
      <c r="AO68" s="135"/>
      <c r="AP68" s="24"/>
      <c r="AQ68" s="142" t="s">
        <v>20</v>
      </c>
      <c r="AR68" s="17">
        <v>45973</v>
      </c>
      <c r="AS68" s="17" t="s">
        <v>696</v>
      </c>
      <c r="AT68" s="15" t="s">
        <v>706</v>
      </c>
      <c r="AU68" s="15"/>
      <c r="AV68" s="15"/>
      <c r="AW68" s="17"/>
      <c r="AX68" s="17"/>
      <c r="AY68" s="17"/>
      <c r="AZ68" s="15"/>
      <c r="BA68" s="17"/>
    </row>
    <row r="69" spans="1:53" customFormat="1" ht="14.25" hidden="1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48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v>32</v>
      </c>
      <c r="B70" s="136" t="s">
        <v>192</v>
      </c>
      <c r="C70" s="15" t="s">
        <v>505</v>
      </c>
      <c r="D70" s="15"/>
      <c r="E70" s="15"/>
      <c r="F70" s="15">
        <v>54</v>
      </c>
      <c r="G70" s="15"/>
      <c r="H70" s="15">
        <v>4.1059999999999999</v>
      </c>
      <c r="I70" s="15">
        <v>0.23</v>
      </c>
      <c r="J70" s="15">
        <f>SUM(G70:I70)</f>
        <v>4.3360000000000003</v>
      </c>
      <c r="K70" s="15"/>
      <c r="L70" s="15">
        <f>0.12+0.219</f>
        <v>0.33899999999999997</v>
      </c>
      <c r="M70" s="15">
        <f>0.003+0.003</f>
        <v>6.0000000000000001E-3</v>
      </c>
      <c r="N70" s="15">
        <f>SUM(K70:M70)</f>
        <v>0.34499999999999997</v>
      </c>
      <c r="O70" s="15"/>
      <c r="P70" s="15"/>
      <c r="Q70" s="15"/>
      <c r="R70" s="15"/>
      <c r="S70" s="16"/>
      <c r="T70" s="15"/>
      <c r="U70" s="15">
        <v>315</v>
      </c>
      <c r="V70" s="15">
        <v>4.0999999999999996</v>
      </c>
      <c r="W70" s="15">
        <v>42</v>
      </c>
      <c r="X70" s="15">
        <f>W70+V70</f>
        <v>46.1</v>
      </c>
      <c r="Y70" s="15"/>
      <c r="Z70" s="15"/>
      <c r="AA70" s="15"/>
      <c r="AB70" s="15"/>
      <c r="AC70" s="15"/>
      <c r="AD70" s="15"/>
      <c r="AE70" s="15">
        <v>3.95</v>
      </c>
      <c r="AF70" s="142" t="s">
        <v>20</v>
      </c>
      <c r="AG70" s="17">
        <f>AH70-3</f>
        <v>45950</v>
      </c>
      <c r="AH70" s="17">
        <f t="shared" ref="AH70:AI70" si="1">AI70-2</f>
        <v>45953</v>
      </c>
      <c r="AI70" s="17">
        <f t="shared" si="1"/>
        <v>45955</v>
      </c>
      <c r="AJ70" s="17">
        <v>45957</v>
      </c>
      <c r="AK70" s="302" t="s">
        <v>691</v>
      </c>
      <c r="AL70" s="142" t="s">
        <v>20</v>
      </c>
      <c r="AM70" s="15"/>
      <c r="AN70" s="135"/>
      <c r="AO70" s="135"/>
      <c r="AP70" s="24"/>
      <c r="AQ70" s="142" t="s">
        <v>20</v>
      </c>
      <c r="AR70" s="17">
        <f>AS70-3</f>
        <v>45975</v>
      </c>
      <c r="AS70" s="17">
        <v>45978</v>
      </c>
      <c r="AT70" s="15" t="s">
        <v>508</v>
      </c>
      <c r="AU70" s="15"/>
      <c r="AV70" s="15"/>
      <c r="AW70" s="15"/>
      <c r="AX70" s="15"/>
      <c r="AY70" s="15"/>
      <c r="AZ70" s="15"/>
      <c r="BA70" s="15"/>
    </row>
    <row r="71" spans="1:53" customFormat="1" ht="14.25" hidden="1" customHeight="1">
      <c r="A71" s="15"/>
      <c r="B71" s="302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v>33</v>
      </c>
      <c r="B72" s="136" t="s">
        <v>193</v>
      </c>
      <c r="C72" s="15" t="s">
        <v>505</v>
      </c>
      <c r="D72" s="15"/>
      <c r="E72" s="15"/>
      <c r="F72" s="15">
        <v>54</v>
      </c>
      <c r="G72" s="15"/>
      <c r="H72" s="15">
        <v>4.1059999999999999</v>
      </c>
      <c r="I72" s="15">
        <v>0.23</v>
      </c>
      <c r="J72" s="15">
        <f>SUM(G72:I72)</f>
        <v>4.3360000000000003</v>
      </c>
      <c r="K72" s="15"/>
      <c r="L72" s="15">
        <f>0.12+0.219</f>
        <v>0.33899999999999997</v>
      </c>
      <c r="M72" s="15">
        <f>0.003+0.003</f>
        <v>6.0000000000000001E-3</v>
      </c>
      <c r="N72" s="15">
        <f>SUM(K72:M72)</f>
        <v>0.34499999999999997</v>
      </c>
      <c r="O72" s="15"/>
      <c r="P72" s="15"/>
      <c r="Q72" s="15"/>
      <c r="R72" s="15"/>
      <c r="S72" s="16"/>
      <c r="T72" s="15"/>
      <c r="U72" s="15">
        <v>315</v>
      </c>
      <c r="V72" s="15">
        <v>4.0999999999999996</v>
      </c>
      <c r="W72" s="15">
        <v>42</v>
      </c>
      <c r="X72" s="15">
        <f>W72+V72</f>
        <v>46.1</v>
      </c>
      <c r="Y72" s="15"/>
      <c r="Z72" s="15"/>
      <c r="AA72" s="15"/>
      <c r="AB72" s="15"/>
      <c r="AC72" s="15"/>
      <c r="AD72" s="15"/>
      <c r="AE72" s="15">
        <v>3.95</v>
      </c>
      <c r="AF72" s="142" t="s">
        <v>20</v>
      </c>
      <c r="AG72" s="17">
        <f>AH72-2</f>
        <v>45969</v>
      </c>
      <c r="AH72" s="17">
        <f>AI72-3</f>
        <v>45971</v>
      </c>
      <c r="AI72" s="17">
        <f>AJ72-2</f>
        <v>45974</v>
      </c>
      <c r="AJ72" s="17">
        <v>45976</v>
      </c>
      <c r="AK72" s="302" t="s">
        <v>691</v>
      </c>
      <c r="AL72" s="142" t="s">
        <v>20</v>
      </c>
      <c r="AM72" s="24"/>
      <c r="AN72" s="24"/>
      <c r="AO72" s="24"/>
      <c r="AP72" s="24"/>
      <c r="AQ72" s="142" t="s">
        <v>20</v>
      </c>
      <c r="AR72" s="17">
        <f>AS72-3</f>
        <v>45978</v>
      </c>
      <c r="AS72" s="17">
        <v>45981</v>
      </c>
      <c r="AT72" s="15" t="s">
        <v>508</v>
      </c>
      <c r="AU72" s="15"/>
      <c r="AV72" s="15"/>
      <c r="AW72" s="15"/>
      <c r="AX72" s="15"/>
      <c r="AY72" s="15"/>
      <c r="AZ72" s="15"/>
      <c r="BA72" s="15"/>
    </row>
    <row r="73" spans="1:53" customFormat="1" ht="14.25" hidden="1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48.938000000000002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v>34</v>
      </c>
      <c r="B74" s="136" t="s">
        <v>338</v>
      </c>
      <c r="C74" s="15" t="s">
        <v>34</v>
      </c>
      <c r="D74" s="177">
        <v>9.6539999999999999</v>
      </c>
      <c r="E74" s="177">
        <f>D74*4</f>
        <v>38.616</v>
      </c>
      <c r="F74" s="177">
        <f>E74*8</f>
        <v>308.928</v>
      </c>
      <c r="G74" s="15">
        <f>4.906+1.456+0.596</f>
        <v>6.9580000000000002</v>
      </c>
      <c r="H74" s="15">
        <f>0.066+0.717+0.272</f>
        <v>1.0549999999999999</v>
      </c>
      <c r="I74" s="15">
        <f>0.274+0.083+0.043</f>
        <v>0.4</v>
      </c>
      <c r="J74" s="15">
        <f>SUM(G74:I74)</f>
        <v>8.4130000000000003</v>
      </c>
      <c r="K74" s="15">
        <v>0.53200000000000003</v>
      </c>
      <c r="L74" s="15"/>
      <c r="M74" s="15">
        <v>1.0999999999999999E-2</v>
      </c>
      <c r="N74" s="15">
        <f>K74+M74</f>
        <v>0.54300000000000004</v>
      </c>
      <c r="O74" s="15"/>
      <c r="P74" s="15"/>
      <c r="Q74" s="15"/>
      <c r="R74" s="15"/>
      <c r="S74" s="16"/>
      <c r="T74" s="15" t="s">
        <v>507</v>
      </c>
      <c r="U74" s="15">
        <v>75.36</v>
      </c>
      <c r="V74" s="15">
        <v>1.35</v>
      </c>
      <c r="W74" s="15">
        <v>13.06</v>
      </c>
      <c r="X74" s="15">
        <f>V74+W74</f>
        <v>14.41</v>
      </c>
      <c r="Y74" s="15">
        <v>70.930000000000007</v>
      </c>
      <c r="Z74" s="15">
        <v>900.95</v>
      </c>
      <c r="AA74" s="15"/>
      <c r="AB74" s="15">
        <v>96.82</v>
      </c>
      <c r="AC74" s="15">
        <v>151.27000000000001</v>
      </c>
      <c r="AD74" s="15"/>
      <c r="AE74" s="15">
        <v>1.22</v>
      </c>
      <c r="AF74" s="142" t="s">
        <v>20</v>
      </c>
      <c r="AG74" s="17">
        <f t="shared" ref="AG74:AI74" si="2">AH74-2</f>
        <v>45842</v>
      </c>
      <c r="AH74" s="17">
        <f t="shared" si="2"/>
        <v>45844</v>
      </c>
      <c r="AI74" s="17">
        <f t="shared" si="2"/>
        <v>45846</v>
      </c>
      <c r="AJ74" s="17">
        <v>45848</v>
      </c>
      <c r="AK74" s="15" t="s">
        <v>509</v>
      </c>
      <c r="AL74" s="142" t="s">
        <v>20</v>
      </c>
      <c r="AM74" s="24"/>
      <c r="AN74" s="135">
        <f>AO74</f>
        <v>45853</v>
      </c>
      <c r="AO74" s="135">
        <v>45853</v>
      </c>
      <c r="AP74" s="24" t="s">
        <v>509</v>
      </c>
      <c r="AQ74" s="142" t="s">
        <v>20</v>
      </c>
      <c r="AR74" s="17">
        <f>AS74-3</f>
        <v>45897</v>
      </c>
      <c r="AS74" s="17">
        <v>45900</v>
      </c>
      <c r="AT74" s="15" t="s">
        <v>706</v>
      </c>
      <c r="AU74" s="15"/>
      <c r="AV74" s="15"/>
      <c r="AW74" s="15"/>
      <c r="AX74" s="15"/>
      <c r="AY74" s="15"/>
      <c r="AZ74" s="15"/>
      <c r="BA74" s="15"/>
    </row>
    <row r="75" spans="1:53" customFormat="1" ht="14.25" hidden="1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165.14699999999999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v>35</v>
      </c>
      <c r="B76" s="136" t="s">
        <v>340</v>
      </c>
      <c r="C76" s="15" t="s">
        <v>511</v>
      </c>
      <c r="D76" s="177">
        <v>9.6539999999999999</v>
      </c>
      <c r="E76" s="177">
        <f>D76*4</f>
        <v>38.616</v>
      </c>
      <c r="F76" s="177">
        <f>E76*8</f>
        <v>308.928</v>
      </c>
      <c r="G76" s="15">
        <v>9.9130000000000003</v>
      </c>
      <c r="H76" s="15">
        <v>0.874</v>
      </c>
      <c r="I76" s="15">
        <v>0.73</v>
      </c>
      <c r="J76" s="15">
        <f>SUM(G76:I76)</f>
        <v>11.517000000000001</v>
      </c>
      <c r="K76" s="15">
        <v>0.84499999999999997</v>
      </c>
      <c r="L76" s="15"/>
      <c r="M76" s="15">
        <v>8.9999999999999993E-3</v>
      </c>
      <c r="N76" s="15">
        <f>SUM(K76:M76)</f>
        <v>0.85399999999999998</v>
      </c>
      <c r="O76" s="15"/>
      <c r="P76" s="15"/>
      <c r="Q76" s="15"/>
      <c r="R76" s="15"/>
      <c r="S76" s="16"/>
      <c r="T76" s="15"/>
      <c r="U76" s="15">
        <v>315</v>
      </c>
      <c r="V76" s="15">
        <v>4.0999999999999996</v>
      </c>
      <c r="W76" s="15">
        <v>42</v>
      </c>
      <c r="X76" s="15">
        <f>W76+V76</f>
        <v>46.1</v>
      </c>
      <c r="Y76" s="15"/>
      <c r="Z76" s="15"/>
      <c r="AA76" s="15"/>
      <c r="AB76" s="15"/>
      <c r="AC76" s="15"/>
      <c r="AD76" s="15"/>
      <c r="AE76" s="15">
        <v>3.95</v>
      </c>
      <c r="AF76" s="142" t="s">
        <v>20</v>
      </c>
      <c r="AG76" s="17">
        <f>AH76-3</f>
        <v>45961</v>
      </c>
      <c r="AH76" s="17">
        <f t="shared" ref="AH76:AI76" si="3">AI76-2</f>
        <v>45964</v>
      </c>
      <c r="AI76" s="17">
        <f t="shared" si="3"/>
        <v>45966</v>
      </c>
      <c r="AJ76" s="17">
        <v>45968</v>
      </c>
      <c r="AK76" s="302" t="s">
        <v>691</v>
      </c>
      <c r="AL76" s="142" t="s">
        <v>20</v>
      </c>
      <c r="AM76" s="24"/>
      <c r="AN76" s="24"/>
      <c r="AO76" s="24"/>
      <c r="AP76" s="24"/>
      <c r="AQ76" s="142" t="s">
        <v>20</v>
      </c>
      <c r="AR76" s="15" t="s">
        <v>700</v>
      </c>
      <c r="AS76" s="391" t="s">
        <v>699</v>
      </c>
      <c r="AT76" s="15" t="s">
        <v>706</v>
      </c>
      <c r="AU76" s="15"/>
      <c r="AV76" s="15"/>
      <c r="AW76" s="15"/>
      <c r="AX76" s="15"/>
      <c r="AY76" s="15"/>
      <c r="AZ76" s="15"/>
      <c r="BA76" s="15"/>
    </row>
    <row r="77" spans="1:53" customFormat="1" ht="14.25" hidden="1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39.999000000000002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customFormat="1" ht="14.25" hidden="1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5"/>
      <c r="AH78" s="135"/>
      <c r="AI78" s="135"/>
      <c r="AJ78" s="135"/>
      <c r="AK78" s="19"/>
      <c r="AL78" s="15"/>
      <c r="AM78" s="15"/>
      <c r="AN78" s="135"/>
      <c r="AO78" s="135"/>
      <c r="AP78" s="19"/>
      <c r="AQ78" s="15"/>
      <c r="AR78" s="24"/>
      <c r="AS78" s="24"/>
      <c r="AT78" s="24"/>
      <c r="AU78" s="24"/>
      <c r="AV78" s="24"/>
      <c r="AW78" s="24"/>
      <c r="AX78" s="24"/>
      <c r="AY78" s="24"/>
      <c r="AZ78" s="24"/>
      <c r="BA78" s="24"/>
    </row>
    <row r="79" spans="1:53" customFormat="1" ht="14.25" customHeight="1">
      <c r="A79" s="15"/>
      <c r="B79" s="15"/>
      <c r="C79" s="15"/>
      <c r="D79" s="43"/>
      <c r="E79" s="43"/>
      <c r="F79" s="43">
        <v>8944</v>
      </c>
      <c r="G79" s="43"/>
      <c r="H79" s="43"/>
      <c r="I79" s="43"/>
      <c r="J79" s="43"/>
      <c r="K79" s="43"/>
      <c r="L79" s="43"/>
      <c r="M79" s="43"/>
      <c r="N79" s="43"/>
      <c r="S79" s="143">
        <f>SUM(S6:S78)/1000</f>
        <v>6.6302430000000001</v>
      </c>
      <c r="T79" s="15" t="s">
        <v>32</v>
      </c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5">
        <f>+COUNTIF($AF$6:$AF$78,"C")</f>
        <v>13</v>
      </c>
      <c r="AL79" s="144">
        <f>+COUNTIF($AL$6:$AL$78,"C")</f>
        <v>5</v>
      </c>
      <c r="AM79" s="144"/>
      <c r="AQ79" s="43">
        <f>+COUNTIF($AQ$6:$AQ$78,"C")</f>
        <v>11</v>
      </c>
      <c r="AV79" s="144">
        <f>+COUNTIF(AV6:AV78,"C")</f>
        <v>0</v>
      </c>
    </row>
    <row r="82" spans="9:31" ht="14.25" customHeight="1">
      <c r="I82" s="43"/>
      <c r="J82" s="43"/>
      <c r="K82" s="43"/>
      <c r="L82" s="43">
        <v>15</v>
      </c>
      <c r="M82" s="43"/>
      <c r="N82" s="43"/>
      <c r="T82" s="43"/>
      <c r="U82" s="43"/>
      <c r="V82" s="43"/>
      <c r="W82" s="43"/>
      <c r="X82" s="43"/>
      <c r="Y82" s="43">
        <f t="shared" ref="Y82:AD82" si="4">SUM(Y6:Y79)/1000</f>
        <v>2.5440099999999997</v>
      </c>
      <c r="Z82" s="43">
        <f t="shared" si="4"/>
        <v>11.399290000000002</v>
      </c>
      <c r="AA82" s="43">
        <f t="shared" si="4"/>
        <v>14.159970000000003</v>
      </c>
      <c r="AB82" s="43">
        <f t="shared" si="4"/>
        <v>4.6747899999999989</v>
      </c>
      <c r="AC82" s="43">
        <f t="shared" si="4"/>
        <v>2.8478999999999997</v>
      </c>
      <c r="AD82" s="43">
        <f t="shared" si="4"/>
        <v>0</v>
      </c>
      <c r="AE82" s="43">
        <f>SUM(AE6:AE79)</f>
        <v>63.278000000000034</v>
      </c>
    </row>
    <row r="83" spans="9:31" ht="14.25" customHeight="1">
      <c r="I83" s="392">
        <f>10.738*4</f>
        <v>42.951999999999998</v>
      </c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</sheetData>
  <autoFilter ref="A5:BA79" xr:uid="{00000000-0009-0000-0000-000006000000}">
    <filterColumn colId="42">
      <filters>
        <filter val="11"/>
        <filter val="C"/>
      </filters>
    </filterColumn>
  </autoFilter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pageSetUpPr fitToPage="1"/>
  </sheetPr>
  <dimension ref="A1:BP409"/>
  <sheetViews>
    <sheetView topLeftCell="A5" zoomScale="70" zoomScaleNormal="70" workbookViewId="0">
      <pane xSplit="11" ySplit="15" topLeftCell="L376" activePane="bottomRight" state="frozen"/>
      <selection activeCell="A5" sqref="A5"/>
      <selection pane="topRight" activeCell="L5" sqref="L5"/>
      <selection pane="bottomLeft" activeCell="A20" sqref="A20"/>
      <selection pane="bottomRight" activeCell="B10" sqref="B10:B402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0.08984375" customWidth="1"/>
    <col min="6" max="6" width="11.2695312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4.81640625" customWidth="1"/>
    <col min="54" max="54" width="14" customWidth="1"/>
    <col min="55" max="55" width="29.26953125" customWidth="1"/>
    <col min="56" max="56" width="39" customWidth="1"/>
    <col min="57" max="57" width="17.7265625" style="300" customWidth="1"/>
    <col min="58" max="58" width="14.08984375" style="300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435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6"/>
      <c r="Y1" s="147">
        <f t="shared" ref="Y1:AK1" si="0">SUBTOTAL(109,Y9:Y406)</f>
        <v>268.20900000000029</v>
      </c>
      <c r="Z1" s="49">
        <f t="shared" si="0"/>
        <v>2391.9190000000012</v>
      </c>
      <c r="AA1" s="43">
        <f t="shared" si="0"/>
        <v>2660.1279999999979</v>
      </c>
      <c r="AB1" s="43">
        <f t="shared" si="0"/>
        <v>19262.774999999983</v>
      </c>
      <c r="AC1" s="43">
        <f t="shared" si="0"/>
        <v>841980.64999999991</v>
      </c>
      <c r="AD1" s="43">
        <f t="shared" si="0"/>
        <v>15848.029999999981</v>
      </c>
      <c r="AE1" s="43">
        <f t="shared" si="0"/>
        <v>75028.210000000021</v>
      </c>
      <c r="AF1" s="43">
        <f t="shared" si="0"/>
        <v>31392.420000000006</v>
      </c>
      <c r="AG1" s="43">
        <f t="shared" si="0"/>
        <v>34169.989999999925</v>
      </c>
      <c r="AH1" s="43">
        <f t="shared" si="0"/>
        <v>14107.700000000008</v>
      </c>
      <c r="AI1" s="43">
        <f t="shared" si="0"/>
        <v>3104.4</v>
      </c>
      <c r="AJ1" s="43">
        <f t="shared" si="0"/>
        <v>173650.75000000032</v>
      </c>
      <c r="AK1" s="43">
        <f t="shared" si="0"/>
        <v>173.56077999999988</v>
      </c>
      <c r="AL1" s="148"/>
      <c r="AM1" s="43"/>
      <c r="AU1" s="149"/>
      <c r="BA1" s="149"/>
      <c r="BE1"/>
      <c r="BF1"/>
      <c r="BH1" s="149"/>
      <c r="BL1"/>
    </row>
    <row r="2" spans="1:67" ht="14.25" hidden="1" customHeight="1">
      <c r="A2" s="150" t="str">
        <f>+Summary!A2</f>
        <v>Name of the Line: 220KV DC AL59 line from Neemuch - Chanderiya + 132KV DC ACSS Line from Chanderiya to Hindustan Zinc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22"/>
      <c r="X2" s="150"/>
      <c r="Y2" s="150"/>
      <c r="Z2" s="150"/>
      <c r="AA2" s="151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2"/>
      <c r="AM2" s="150"/>
      <c r="AN2" s="150"/>
      <c r="AO2" s="150"/>
      <c r="AP2" s="150"/>
      <c r="AQ2" s="150"/>
      <c r="AR2" s="150"/>
      <c r="AS2" s="150"/>
      <c r="AT2" s="150"/>
      <c r="AU2" s="152"/>
      <c r="AV2" s="150"/>
      <c r="AW2" s="150"/>
      <c r="AX2" s="150"/>
      <c r="AY2" s="150"/>
      <c r="AZ2" s="150"/>
      <c r="BA2" s="152"/>
      <c r="BB2" s="150"/>
      <c r="BC2" s="150"/>
      <c r="BD2" s="150"/>
      <c r="BE2" s="150"/>
      <c r="BF2" s="150"/>
      <c r="BG2" s="150"/>
      <c r="BH2" s="152"/>
      <c r="BI2" s="150"/>
      <c r="BJ2" s="150"/>
      <c r="BK2" s="150"/>
      <c r="BL2" s="150"/>
      <c r="BM2" s="150"/>
      <c r="BN2" s="150"/>
      <c r="BO2" s="150"/>
    </row>
    <row r="3" spans="1:67" ht="14.25" hidden="1" customHeight="1">
      <c r="A3" s="150" t="str">
        <f>+Summary!A5</f>
        <v>Progress of 220kV Line</v>
      </c>
      <c r="B3" s="150"/>
      <c r="C3" s="150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0"/>
      <c r="W3" s="122"/>
      <c r="X3" s="150"/>
      <c r="Y3" s="150"/>
      <c r="Z3" s="150"/>
      <c r="AA3" s="151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2"/>
      <c r="AM3" s="150"/>
      <c r="AN3" s="150"/>
      <c r="AO3" s="150"/>
      <c r="AP3" s="150"/>
      <c r="AQ3" s="150"/>
      <c r="AR3" s="150"/>
      <c r="AS3" s="150"/>
      <c r="AT3" s="150"/>
      <c r="AU3" s="152"/>
      <c r="AV3" s="150"/>
      <c r="AW3" s="150"/>
      <c r="AX3" s="150"/>
      <c r="AY3" s="150"/>
      <c r="AZ3" s="150"/>
      <c r="BA3" s="152"/>
      <c r="BB3" s="150"/>
      <c r="BC3" s="150"/>
      <c r="BD3" s="150"/>
      <c r="BE3" s="150"/>
      <c r="BF3" s="150"/>
      <c r="BG3" s="150"/>
      <c r="BH3" s="152"/>
      <c r="BI3" s="150"/>
      <c r="BJ3" s="150"/>
      <c r="BK3" s="150"/>
      <c r="BL3" s="150"/>
      <c r="BM3" s="150"/>
      <c r="BN3" s="150"/>
      <c r="BO3" s="150"/>
    </row>
    <row r="4" spans="1:67" ht="15" hidden="1" customHeight="1">
      <c r="A4" s="154" t="s">
        <v>472</v>
      </c>
      <c r="B4" s="154"/>
      <c r="C4" s="123"/>
      <c r="D4" s="155"/>
      <c r="E4" s="155"/>
      <c r="F4" s="155"/>
      <c r="G4" s="155"/>
      <c r="H4" s="493" t="s">
        <v>512</v>
      </c>
      <c r="I4" s="494"/>
      <c r="J4" s="494"/>
      <c r="K4" s="495"/>
      <c r="L4" s="493" t="s">
        <v>477</v>
      </c>
      <c r="M4" s="496"/>
      <c r="N4" s="496"/>
      <c r="O4" s="496"/>
      <c r="P4" s="497"/>
      <c r="Q4" s="493" t="s">
        <v>478</v>
      </c>
      <c r="R4" s="496"/>
      <c r="S4" s="497"/>
      <c r="T4" s="156"/>
      <c r="U4" s="156"/>
      <c r="V4" s="154"/>
      <c r="W4" s="1" t="s">
        <v>379</v>
      </c>
      <c r="X4" s="5"/>
      <c r="Y4" s="5"/>
      <c r="Z4" s="5"/>
      <c r="AA4" s="157"/>
      <c r="AB4" s="5"/>
      <c r="AC4" s="5"/>
      <c r="AD4" s="5"/>
      <c r="AE4" s="5"/>
      <c r="AF4" s="5"/>
      <c r="AG4" s="5"/>
      <c r="AH4" s="5"/>
      <c r="AI4" s="5"/>
      <c r="AJ4" s="5"/>
      <c r="AK4" s="5"/>
      <c r="AL4" s="158"/>
      <c r="AM4" s="5"/>
      <c r="AN4" s="5"/>
      <c r="AO4" s="5"/>
      <c r="AP4" s="5"/>
      <c r="AQ4" s="5"/>
      <c r="AR4" s="5"/>
      <c r="AS4" s="5"/>
      <c r="AT4" s="5"/>
      <c r="AU4" s="158"/>
      <c r="AV4" s="5" t="s">
        <v>381</v>
      </c>
      <c r="AW4" s="5"/>
      <c r="AX4" s="5"/>
      <c r="AY4" s="5"/>
      <c r="AZ4" s="5"/>
      <c r="BA4" s="158"/>
      <c r="BB4" s="5" t="s">
        <v>473</v>
      </c>
      <c r="BC4" s="5"/>
      <c r="BD4" s="5"/>
      <c r="BE4" s="5"/>
      <c r="BF4" s="5"/>
      <c r="BG4" s="5"/>
      <c r="BH4" s="159"/>
      <c r="BI4" s="5" t="s">
        <v>475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54"/>
      <c r="B5" s="154"/>
      <c r="C5" s="123"/>
      <c r="D5" s="155"/>
      <c r="E5" s="155"/>
      <c r="F5" s="155"/>
      <c r="G5" s="155"/>
      <c r="H5" s="160"/>
      <c r="I5" s="155"/>
      <c r="J5" s="155"/>
      <c r="K5" s="161"/>
      <c r="L5" s="160"/>
      <c r="M5" s="155"/>
      <c r="N5" s="155"/>
      <c r="O5" s="155"/>
      <c r="P5" s="161">
        <f>SUBTOTAL(109,P8:P406)</f>
        <v>1268.1002000000035</v>
      </c>
      <c r="Q5" s="160"/>
      <c r="R5" s="155"/>
      <c r="S5" s="161">
        <f>SUBTOTAL(109,S8:S406)</f>
        <v>64.196000000000154</v>
      </c>
      <c r="T5" s="162"/>
      <c r="U5" s="162"/>
      <c r="V5" s="154">
        <f>SUBTOTAL(109,V8:V406)</f>
        <v>0</v>
      </c>
      <c r="W5" s="163"/>
      <c r="X5" s="154">
        <f>SUBTOTAL(109,X8:X406)</f>
        <v>17610.649999999998</v>
      </c>
      <c r="Y5" s="154">
        <f>SUBTOTAL(109,Y8:Y406)</f>
        <v>268.20900000000029</v>
      </c>
      <c r="Z5" s="164">
        <f>SUBTOTAL(109,Z8:Z406)</f>
        <v>2391.9190000000012</v>
      </c>
      <c r="AA5" s="164">
        <f>SUBTOTAL(109,AA8:AA406)</f>
        <v>2660.1279999999979</v>
      </c>
      <c r="AB5" s="154">
        <f>SUBTOTAL(109,AB8:AB406)</f>
        <v>19262.774999999983</v>
      </c>
      <c r="AC5" s="157"/>
      <c r="AD5" s="5"/>
      <c r="AE5" s="5"/>
      <c r="AF5" s="5"/>
      <c r="AG5" s="5"/>
      <c r="AH5" s="5"/>
      <c r="AI5" s="5"/>
      <c r="AJ5" s="5"/>
      <c r="AK5" s="161">
        <f>SUBTOTAL(109,AK8:AK406)</f>
        <v>173.56077999999988</v>
      </c>
      <c r="AL5" s="165"/>
      <c r="AM5" s="154">
        <f>SUBTOTAL(109,AM8:AM406)</f>
        <v>0</v>
      </c>
      <c r="AN5" s="157"/>
      <c r="AO5" s="5"/>
      <c r="AP5" s="5"/>
      <c r="AQ5" s="5"/>
      <c r="AR5" s="5"/>
      <c r="AS5" s="5"/>
      <c r="AT5" s="56"/>
      <c r="AU5" s="165"/>
      <c r="AV5" s="154">
        <f>SUBTOTAL(109,AV8:AV406)</f>
        <v>0</v>
      </c>
      <c r="AW5" s="166"/>
      <c r="AX5" s="5"/>
      <c r="AY5" s="5"/>
      <c r="AZ5" s="56"/>
      <c r="BA5" s="165"/>
      <c r="BB5" s="154">
        <f>SUBTOTAL(109,BB8:BB406)</f>
        <v>0</v>
      </c>
      <c r="BC5" s="157"/>
      <c r="BD5" s="5"/>
      <c r="BE5" s="295"/>
      <c r="BF5" s="295"/>
      <c r="BG5" s="56"/>
      <c r="BH5" s="167"/>
      <c r="BI5" s="154">
        <f>SUBTOTAL(109,BI8:BI406)</f>
        <v>0</v>
      </c>
      <c r="BJ5" s="157"/>
      <c r="BK5" s="5"/>
      <c r="BL5" s="56"/>
      <c r="BM5" s="56"/>
      <c r="BN5" s="127"/>
      <c r="BO5" s="127"/>
    </row>
    <row r="6" spans="1:67" ht="58.5" customHeight="1">
      <c r="A6" s="2" t="s">
        <v>2</v>
      </c>
      <c r="B6" s="2" t="s">
        <v>3</v>
      </c>
      <c r="C6" s="3" t="s">
        <v>400</v>
      </c>
      <c r="D6" s="168"/>
      <c r="E6" s="168"/>
      <c r="F6" s="168"/>
      <c r="G6" s="168"/>
      <c r="H6" s="130" t="s">
        <v>18</v>
      </c>
      <c r="I6" s="2" t="s">
        <v>19</v>
      </c>
      <c r="J6" s="3" t="s">
        <v>20</v>
      </c>
      <c r="K6" s="169" t="s">
        <v>21</v>
      </c>
      <c r="L6" s="130" t="s">
        <v>498</v>
      </c>
      <c r="M6" s="2" t="s">
        <v>499</v>
      </c>
      <c r="N6" s="2" t="s">
        <v>513</v>
      </c>
      <c r="O6" s="2" t="s">
        <v>500</v>
      </c>
      <c r="P6" s="131" t="s">
        <v>514</v>
      </c>
      <c r="Q6" s="130" t="s">
        <v>498</v>
      </c>
      <c r="R6" s="2" t="s">
        <v>500</v>
      </c>
      <c r="S6" s="131" t="s">
        <v>515</v>
      </c>
      <c r="T6" s="170" t="s">
        <v>5</v>
      </c>
      <c r="U6" s="170" t="s">
        <v>516</v>
      </c>
      <c r="V6" s="125" t="s">
        <v>479</v>
      </c>
      <c r="W6" s="55" t="s">
        <v>480</v>
      </c>
      <c r="X6" s="2" t="s">
        <v>481</v>
      </c>
      <c r="Y6" s="171" t="s">
        <v>482</v>
      </c>
      <c r="Z6" s="172"/>
      <c r="AA6" s="173"/>
      <c r="AB6" s="444" t="s">
        <v>517</v>
      </c>
      <c r="AC6" s="443"/>
      <c r="AD6" s="444" t="s">
        <v>518</v>
      </c>
      <c r="AE6" s="442"/>
      <c r="AF6" s="442"/>
      <c r="AG6" s="442"/>
      <c r="AH6" s="442"/>
      <c r="AI6" s="442"/>
      <c r="AJ6" s="442"/>
      <c r="AK6" s="443"/>
      <c r="AL6" s="165"/>
      <c r="AM6" s="55" t="s">
        <v>519</v>
      </c>
      <c r="AN6" s="6" t="s">
        <v>520</v>
      </c>
      <c r="AO6" s="6" t="s">
        <v>521</v>
      </c>
      <c r="AP6" s="492" t="s">
        <v>491</v>
      </c>
      <c r="AQ6" s="443"/>
      <c r="AR6" s="441" t="s">
        <v>492</v>
      </c>
      <c r="AS6" s="443"/>
      <c r="AT6" s="2" t="s">
        <v>493</v>
      </c>
      <c r="AU6" s="159"/>
      <c r="AV6" s="2" t="s">
        <v>522</v>
      </c>
      <c r="AW6" s="2" t="s">
        <v>523</v>
      </c>
      <c r="AX6" s="6" t="s">
        <v>496</v>
      </c>
      <c r="AY6" s="6" t="s">
        <v>23</v>
      </c>
      <c r="AZ6" s="2" t="s">
        <v>524</v>
      </c>
      <c r="BA6" s="159"/>
      <c r="BB6" s="55" t="s">
        <v>525</v>
      </c>
      <c r="BC6" s="6" t="s">
        <v>520</v>
      </c>
      <c r="BD6" s="6" t="s">
        <v>521</v>
      </c>
      <c r="BE6" s="296" t="s">
        <v>496</v>
      </c>
      <c r="BF6" s="296" t="s">
        <v>23</v>
      </c>
      <c r="BG6" s="2" t="s">
        <v>524</v>
      </c>
      <c r="BH6" s="167"/>
      <c r="BI6" s="55" t="s">
        <v>494</v>
      </c>
      <c r="BJ6" s="6" t="s">
        <v>496</v>
      </c>
      <c r="BK6" s="6" t="s">
        <v>23</v>
      </c>
      <c r="BL6" s="128" t="s">
        <v>526</v>
      </c>
      <c r="BM6" s="55" t="s">
        <v>493</v>
      </c>
      <c r="BN6" s="127"/>
      <c r="BO6" s="127"/>
    </row>
    <row r="7" spans="1:67" ht="14.25" hidden="1" customHeight="1">
      <c r="A7" s="2" t="s">
        <v>0</v>
      </c>
      <c r="B7" s="2"/>
      <c r="C7" s="3"/>
      <c r="D7" s="168" t="s">
        <v>527</v>
      </c>
      <c r="E7" s="168" t="s">
        <v>528</v>
      </c>
      <c r="F7" s="168" t="s">
        <v>529</v>
      </c>
      <c r="G7" s="168" t="s">
        <v>512</v>
      </c>
      <c r="H7" s="130"/>
      <c r="I7" s="2"/>
      <c r="J7" s="3"/>
      <c r="K7" s="169"/>
      <c r="L7" s="130" t="s">
        <v>530</v>
      </c>
      <c r="M7" s="2" t="s">
        <v>530</v>
      </c>
      <c r="N7" s="2" t="s">
        <v>530</v>
      </c>
      <c r="O7" s="2" t="s">
        <v>530</v>
      </c>
      <c r="P7" s="131" t="s">
        <v>530</v>
      </c>
      <c r="Q7" s="131" t="s">
        <v>530</v>
      </c>
      <c r="R7" s="131" t="s">
        <v>530</v>
      </c>
      <c r="S7" s="131" t="s">
        <v>530</v>
      </c>
      <c r="T7" s="174" t="s">
        <v>16</v>
      </c>
      <c r="U7" s="174"/>
      <c r="V7" s="8" t="s">
        <v>17</v>
      </c>
      <c r="W7" s="132"/>
      <c r="X7" s="55"/>
      <c r="Y7" s="55" t="s">
        <v>502</v>
      </c>
      <c r="Z7" s="55" t="s">
        <v>503</v>
      </c>
      <c r="AA7" s="55" t="s">
        <v>501</v>
      </c>
      <c r="AB7" s="55" t="s">
        <v>531</v>
      </c>
      <c r="AC7" s="55" t="s">
        <v>532</v>
      </c>
      <c r="AD7" s="127" t="s">
        <v>533</v>
      </c>
      <c r="AE7" s="127" t="s">
        <v>534</v>
      </c>
      <c r="AF7" s="127" t="s">
        <v>535</v>
      </c>
      <c r="AG7" s="127" t="s">
        <v>536</v>
      </c>
      <c r="AH7" s="127" t="s">
        <v>537</v>
      </c>
      <c r="AI7" s="127" t="s">
        <v>538</v>
      </c>
      <c r="AJ7" s="127" t="s">
        <v>539</v>
      </c>
      <c r="AK7" s="127" t="s">
        <v>489</v>
      </c>
      <c r="AL7" s="167"/>
      <c r="AM7" s="132"/>
      <c r="AN7" s="6"/>
      <c r="AO7" s="6"/>
      <c r="AP7" s="6" t="s">
        <v>496</v>
      </c>
      <c r="AQ7" s="6" t="s">
        <v>23</v>
      </c>
      <c r="AR7" s="6" t="s">
        <v>496</v>
      </c>
      <c r="AS7" s="6">
        <v>9</v>
      </c>
      <c r="AT7" s="132"/>
      <c r="AU7" s="175"/>
      <c r="AV7" s="132"/>
      <c r="AW7" s="132"/>
      <c r="AX7" s="371"/>
      <c r="AY7" s="371"/>
      <c r="AZ7" s="132"/>
      <c r="BA7" s="175"/>
      <c r="BB7" s="132"/>
      <c r="BC7" s="6"/>
      <c r="BD7" s="6"/>
      <c r="BE7" s="296"/>
      <c r="BF7" s="296"/>
      <c r="BG7" s="132"/>
      <c r="BH7" s="175"/>
      <c r="BI7" s="132"/>
      <c r="BJ7" s="6"/>
      <c r="BK7" s="6"/>
      <c r="BL7" s="133"/>
      <c r="BM7" s="132"/>
      <c r="BN7" s="132"/>
      <c r="BO7" s="132"/>
    </row>
    <row r="8" spans="1:67" ht="14.25" hidden="1" customHeight="1">
      <c r="A8" s="2">
        <v>0</v>
      </c>
      <c r="B8" s="15" t="s">
        <v>30</v>
      </c>
      <c r="C8" s="176" t="s">
        <v>30</v>
      </c>
      <c r="D8" s="177"/>
      <c r="E8" s="177"/>
      <c r="F8" s="177"/>
      <c r="G8" s="177"/>
      <c r="H8" s="178"/>
      <c r="I8" s="15"/>
      <c r="J8" s="15"/>
      <c r="K8" s="179"/>
      <c r="L8" s="178"/>
      <c r="M8" s="15"/>
      <c r="N8" s="15"/>
      <c r="O8" s="15"/>
      <c r="P8" s="180">
        <v>13</v>
      </c>
      <c r="Q8" s="178"/>
      <c r="R8" s="15"/>
      <c r="S8" s="180"/>
      <c r="T8" s="181" t="s">
        <v>31</v>
      </c>
      <c r="U8" s="181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82"/>
      <c r="AM8" s="15"/>
      <c r="AN8" s="24"/>
      <c r="AO8" s="24"/>
      <c r="AP8" s="372"/>
      <c r="AQ8" s="372"/>
      <c r="AR8" s="372"/>
      <c r="AS8" s="372"/>
      <c r="AT8" s="24"/>
      <c r="AU8" s="183"/>
      <c r="AV8" s="24"/>
      <c r="AW8" s="24"/>
      <c r="AX8" s="297"/>
      <c r="AY8" s="297"/>
      <c r="AZ8" s="24"/>
      <c r="BA8" s="183"/>
      <c r="BB8" s="24"/>
      <c r="BC8" s="24"/>
      <c r="BD8" s="24"/>
      <c r="BE8" s="24"/>
      <c r="BF8" s="24"/>
      <c r="BG8" s="24"/>
      <c r="BH8" s="183"/>
      <c r="BI8" s="24"/>
      <c r="BJ8" s="24"/>
      <c r="BK8" s="24"/>
      <c r="BL8" s="25"/>
      <c r="BM8" s="24"/>
      <c r="BN8" s="24"/>
      <c r="BO8" s="24"/>
    </row>
    <row r="9" spans="1:67" ht="14.25" hidden="1" customHeight="1">
      <c r="A9" s="2"/>
      <c r="B9" s="15"/>
      <c r="C9" s="176"/>
      <c r="D9" s="177"/>
      <c r="E9" s="177"/>
      <c r="F9" s="177"/>
      <c r="G9" s="177"/>
      <c r="H9" s="178"/>
      <c r="I9" s="15"/>
      <c r="J9" s="15"/>
      <c r="K9" s="179"/>
      <c r="L9" s="178"/>
      <c r="M9" s="15"/>
      <c r="N9" s="15"/>
      <c r="O9" s="15"/>
      <c r="P9" s="180"/>
      <c r="Q9" s="178"/>
      <c r="R9" s="15"/>
      <c r="S9" s="180"/>
      <c r="T9" s="181"/>
      <c r="U9" s="181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82"/>
      <c r="AM9" s="15"/>
      <c r="AN9" s="24"/>
      <c r="AO9" s="24"/>
      <c r="AP9" s="24"/>
      <c r="AQ9" s="24"/>
      <c r="AR9" s="24"/>
      <c r="AS9" s="24"/>
      <c r="AT9" s="24"/>
      <c r="AU9" s="183"/>
      <c r="AV9" s="24"/>
      <c r="AW9" s="24"/>
      <c r="AX9" s="297"/>
      <c r="AY9" s="297"/>
      <c r="AZ9" s="24"/>
      <c r="BA9" s="183"/>
      <c r="BB9" s="24"/>
      <c r="BC9" s="24"/>
      <c r="BD9" s="24"/>
      <c r="BE9" s="24"/>
      <c r="BF9" s="24"/>
      <c r="BG9" s="24"/>
      <c r="BH9" s="183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84" t="s">
        <v>34</v>
      </c>
      <c r="D10" s="134">
        <v>9.6539999999999999</v>
      </c>
      <c r="E10" s="134">
        <f>D10*4</f>
        <v>38.616</v>
      </c>
      <c r="F10" s="134">
        <f>E10*8</f>
        <v>308.928</v>
      </c>
      <c r="G10" s="134"/>
      <c r="H10" s="185"/>
      <c r="I10" s="19"/>
      <c r="J10" s="19"/>
      <c r="K10" s="186"/>
      <c r="L10" s="178">
        <v>4.8070000000000004</v>
      </c>
      <c r="M10" s="15">
        <v>4.016</v>
      </c>
      <c r="N10" s="15">
        <v>7.0000000000000001E-3</v>
      </c>
      <c r="O10" s="15">
        <v>0.43099999999999999</v>
      </c>
      <c r="P10" s="180">
        <f>SUM(L10:O10)</f>
        <v>9.2609999999999992</v>
      </c>
      <c r="Q10" s="178">
        <v>0.55700000000000005</v>
      </c>
      <c r="R10" s="15">
        <v>0.01</v>
      </c>
      <c r="S10" s="180">
        <f>SUM(Q10:R10)</f>
        <v>0.56700000000000006</v>
      </c>
      <c r="T10" s="181" t="s">
        <v>35</v>
      </c>
      <c r="U10" s="181" t="s">
        <v>540</v>
      </c>
      <c r="V10" s="15"/>
      <c r="W10" s="15" t="s">
        <v>541</v>
      </c>
      <c r="X10" s="15">
        <v>220.64</v>
      </c>
      <c r="Y10" s="15">
        <v>3.61</v>
      </c>
      <c r="Z10" s="15">
        <v>27.92</v>
      </c>
      <c r="AA10" s="15">
        <v>31.53</v>
      </c>
      <c r="AB10" s="15">
        <v>241.06360000000004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82"/>
      <c r="AM10" s="142" t="s">
        <v>20</v>
      </c>
      <c r="AN10" s="135" t="str">
        <f>AO10</f>
        <v>D</v>
      </c>
      <c r="AO10" s="135" t="s">
        <v>21</v>
      </c>
      <c r="AP10" s="372">
        <f>AQ10-1</f>
        <v>45703</v>
      </c>
      <c r="AQ10" s="372">
        <f t="shared" ref="AQ10:AR10" si="1">AR10-2</f>
        <v>45704</v>
      </c>
      <c r="AR10" s="372">
        <f t="shared" si="1"/>
        <v>45706</v>
      </c>
      <c r="AS10" s="372">
        <v>45708</v>
      </c>
      <c r="AT10" s="24" t="s">
        <v>542</v>
      </c>
      <c r="AU10" s="183"/>
      <c r="AV10" s="142" t="s">
        <v>20</v>
      </c>
      <c r="AW10" s="15" t="s">
        <v>6</v>
      </c>
      <c r="AX10" s="297">
        <v>45737</v>
      </c>
      <c r="AY10" s="297">
        <f>AX10</f>
        <v>45737</v>
      </c>
      <c r="AZ10" s="187" t="s">
        <v>543</v>
      </c>
      <c r="BA10" s="188"/>
      <c r="BB10" s="142" t="s">
        <v>20</v>
      </c>
      <c r="BC10" s="135" t="s">
        <v>544</v>
      </c>
      <c r="BD10" s="135" t="s">
        <v>21</v>
      </c>
      <c r="BE10" s="298">
        <f>BF10-2</f>
        <v>45754</v>
      </c>
      <c r="BF10" s="298">
        <v>45756</v>
      </c>
      <c r="BG10" s="15" t="s">
        <v>510</v>
      </c>
      <c r="BH10" s="183"/>
      <c r="BI10" s="142" t="s">
        <v>20</v>
      </c>
      <c r="BJ10" s="135">
        <v>45824</v>
      </c>
      <c r="BK10" s="135">
        <v>45824</v>
      </c>
      <c r="BL10" s="25">
        <v>1202</v>
      </c>
      <c r="BM10" s="24" t="s">
        <v>545</v>
      </c>
      <c r="BN10" s="24"/>
      <c r="BO10" s="24"/>
    </row>
    <row r="11" spans="1:67" ht="14.25" hidden="1" customHeight="1">
      <c r="A11" s="2"/>
      <c r="B11" s="19"/>
      <c r="C11" s="184"/>
      <c r="D11" s="134"/>
      <c r="E11" s="134"/>
      <c r="F11" s="134"/>
      <c r="G11" s="134"/>
      <c r="H11" s="185"/>
      <c r="I11" s="19"/>
      <c r="J11" s="19"/>
      <c r="K11" s="186"/>
      <c r="L11" s="178"/>
      <c r="M11" s="15"/>
      <c r="N11" s="15"/>
      <c r="O11" s="15"/>
      <c r="P11" s="180"/>
      <c r="Q11" s="178"/>
      <c r="R11" s="15"/>
      <c r="S11" s="180"/>
      <c r="T11" s="181"/>
      <c r="U11" s="181"/>
      <c r="V11" s="16">
        <v>196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82"/>
      <c r="AM11" s="15"/>
      <c r="AN11" s="24"/>
      <c r="AO11" s="24"/>
      <c r="AP11" s="24"/>
      <c r="AQ11" s="24"/>
      <c r="AR11" s="24"/>
      <c r="AS11" s="24"/>
      <c r="AT11" s="24"/>
      <c r="AU11" s="183"/>
      <c r="AV11" s="24"/>
      <c r="AW11" s="24"/>
      <c r="AX11" s="297"/>
      <c r="AY11" s="297"/>
      <c r="AZ11" s="24"/>
      <c r="BA11" s="183"/>
      <c r="BB11" s="24"/>
      <c r="BC11" s="24"/>
      <c r="BD11" s="24"/>
      <c r="BE11" s="24"/>
      <c r="BF11" s="24"/>
      <c r="BG11" s="24"/>
      <c r="BH11" s="183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v>2</v>
      </c>
      <c r="B12" s="19" t="s">
        <v>36</v>
      </c>
      <c r="C12" s="184" t="s">
        <v>37</v>
      </c>
      <c r="D12" s="134">
        <v>6.992</v>
      </c>
      <c r="E12" s="134">
        <f>D12*4</f>
        <v>27.968</v>
      </c>
      <c r="F12" s="134">
        <f>E12*8</f>
        <v>223.744</v>
      </c>
      <c r="G12" s="134"/>
      <c r="H12" s="185"/>
      <c r="I12" s="19"/>
      <c r="J12" s="19"/>
      <c r="K12" s="186"/>
      <c r="L12" s="178">
        <v>2.6070000000000002</v>
      </c>
      <c r="M12" s="15">
        <v>2.657</v>
      </c>
      <c r="N12" s="15">
        <v>2E-3</v>
      </c>
      <c r="O12" s="15">
        <v>0.21299999999999999</v>
      </c>
      <c r="P12" s="189">
        <f t="shared" ref="P12:P122" si="2">SUM(L12:O12)</f>
        <v>5.4790000000000001</v>
      </c>
      <c r="Q12" s="178">
        <v>0.24399999999999999</v>
      </c>
      <c r="R12" s="15">
        <v>5.0000000000000001E-3</v>
      </c>
      <c r="S12" s="180">
        <f>SUM(Q12:R12)</f>
        <v>0.249</v>
      </c>
      <c r="T12" s="181" t="s">
        <v>31</v>
      </c>
      <c r="U12" s="181" t="s">
        <v>540</v>
      </c>
      <c r="V12" s="15"/>
      <c r="W12" s="15" t="s">
        <v>546</v>
      </c>
      <c r="X12" s="15">
        <v>121.84</v>
      </c>
      <c r="Y12" s="15">
        <v>1.4</v>
      </c>
      <c r="Z12" s="15">
        <v>12.03</v>
      </c>
      <c r="AA12" s="15">
        <f>Y12+Z12</f>
        <v>13.43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82"/>
      <c r="AM12" s="142" t="s">
        <v>20</v>
      </c>
      <c r="AN12" s="135" t="str">
        <f>AO12</f>
        <v>D</v>
      </c>
      <c r="AO12" s="135" t="s">
        <v>21</v>
      </c>
      <c r="AP12" s="372">
        <f>AQ12-2</f>
        <v>45693</v>
      </c>
      <c r="AQ12" s="372">
        <f t="shared" ref="AQ12:AR12" si="3">AR12-1</f>
        <v>45695</v>
      </c>
      <c r="AR12" s="372">
        <f t="shared" si="3"/>
        <v>45696</v>
      </c>
      <c r="AS12" s="372">
        <v>45697</v>
      </c>
      <c r="AT12" s="24" t="s">
        <v>542</v>
      </c>
      <c r="AU12" s="183"/>
      <c r="AV12" s="142" t="s">
        <v>20</v>
      </c>
      <c r="AW12" s="15" t="s">
        <v>6</v>
      </c>
      <c r="AX12" s="297">
        <v>45709</v>
      </c>
      <c r="AY12" s="297">
        <f>AX12</f>
        <v>45709</v>
      </c>
      <c r="AZ12" s="187" t="s">
        <v>543</v>
      </c>
      <c r="BA12" s="188"/>
      <c r="BB12" s="142" t="s">
        <v>20</v>
      </c>
      <c r="BC12" s="135" t="s">
        <v>544</v>
      </c>
      <c r="BD12" s="135" t="s">
        <v>21</v>
      </c>
      <c r="BE12" s="298">
        <f>BF12-2</f>
        <v>45749</v>
      </c>
      <c r="BF12" s="298">
        <v>45751</v>
      </c>
      <c r="BG12" s="15" t="s">
        <v>510</v>
      </c>
      <c r="BH12" s="183"/>
      <c r="BI12" s="142" t="s">
        <v>20</v>
      </c>
      <c r="BJ12" s="135">
        <v>45824</v>
      </c>
      <c r="BK12" s="135">
        <v>45824</v>
      </c>
      <c r="BL12" s="25">
        <v>1330</v>
      </c>
      <c r="BM12" s="24" t="s">
        <v>545</v>
      </c>
      <c r="BN12" s="24"/>
      <c r="BO12" s="24"/>
    </row>
    <row r="13" spans="1:67" ht="14.25" hidden="1" customHeight="1">
      <c r="A13" s="15" t="s">
        <v>0</v>
      </c>
      <c r="B13" s="19"/>
      <c r="C13" s="184"/>
      <c r="D13" s="134"/>
      <c r="E13" s="134"/>
      <c r="F13" s="134"/>
      <c r="G13" s="134"/>
      <c r="H13" s="185"/>
      <c r="I13" s="19"/>
      <c r="J13" s="19"/>
      <c r="K13" s="186"/>
      <c r="L13" s="178"/>
      <c r="M13" s="15"/>
      <c r="N13" s="15"/>
      <c r="O13" s="15"/>
      <c r="P13" s="180">
        <f t="shared" si="2"/>
        <v>0</v>
      </c>
      <c r="Q13" s="178"/>
      <c r="R13" s="15"/>
      <c r="S13" s="180"/>
      <c r="T13" s="181"/>
      <c r="U13" s="181"/>
      <c r="V13" s="16">
        <v>196.74299999999999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82"/>
      <c r="AM13" s="15"/>
      <c r="AN13" s="24"/>
      <c r="AO13" s="24"/>
      <c r="AP13" s="24"/>
      <c r="AQ13" s="24"/>
      <c r="AR13" s="24"/>
      <c r="AS13" s="24"/>
      <c r="AT13" s="24"/>
      <c r="AU13" s="183"/>
      <c r="AV13" s="24"/>
      <c r="AW13" s="24"/>
      <c r="AX13" s="297"/>
      <c r="AY13" s="297"/>
      <c r="AZ13" s="24"/>
      <c r="BA13" s="183"/>
      <c r="BB13" s="24"/>
      <c r="BC13" s="24"/>
      <c r="BD13" s="24"/>
      <c r="BE13" s="24"/>
      <c r="BF13" s="24"/>
      <c r="BG13" s="24"/>
      <c r="BH13" s="183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v>3</v>
      </c>
      <c r="B14" s="19" t="s">
        <v>38</v>
      </c>
      <c r="C14" s="184" t="s">
        <v>39</v>
      </c>
      <c r="D14" s="134">
        <v>7.7080000000000002</v>
      </c>
      <c r="E14" s="134">
        <f>D14*4</f>
        <v>30.832000000000001</v>
      </c>
      <c r="F14" s="134">
        <f>E14*8</f>
        <v>246.65600000000001</v>
      </c>
      <c r="G14" s="134"/>
      <c r="H14" s="185"/>
      <c r="I14" s="19"/>
      <c r="J14" s="19"/>
      <c r="K14" s="186"/>
      <c r="L14" s="178">
        <v>4.0570000000000004</v>
      </c>
      <c r="M14" s="15">
        <v>2.48</v>
      </c>
      <c r="N14" s="15">
        <v>6.0000000000000001E-3</v>
      </c>
      <c r="O14" s="15">
        <v>0.36499999999999999</v>
      </c>
      <c r="P14" s="180">
        <f t="shared" si="2"/>
        <v>6.9080000000000013</v>
      </c>
      <c r="Q14" s="178">
        <v>0.436</v>
      </c>
      <c r="R14" s="15">
        <v>0.01</v>
      </c>
      <c r="S14" s="180">
        <f>SUM(Q14:R14)</f>
        <v>0.44600000000000001</v>
      </c>
      <c r="T14" s="181" t="s">
        <v>40</v>
      </c>
      <c r="U14" s="181" t="s">
        <v>540</v>
      </c>
      <c r="V14" s="15"/>
      <c r="W14" s="15" t="s">
        <v>504</v>
      </c>
      <c r="X14" s="15">
        <v>75.36</v>
      </c>
      <c r="Y14" s="15">
        <v>1.35</v>
      </c>
      <c r="Z14" s="15">
        <v>12.85</v>
      </c>
      <c r="AA14" s="15"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82"/>
      <c r="AM14" s="142" t="s">
        <v>20</v>
      </c>
      <c r="AN14" s="135" t="str">
        <f>AO14</f>
        <v>D</v>
      </c>
      <c r="AO14" s="135" t="s">
        <v>21</v>
      </c>
      <c r="AP14" s="372">
        <f>AQ14-3</f>
        <v>45736</v>
      </c>
      <c r="AQ14" s="372">
        <f t="shared" ref="AQ14:AR14" si="4">AR14-2</f>
        <v>45739</v>
      </c>
      <c r="AR14" s="372">
        <f t="shared" si="4"/>
        <v>45741</v>
      </c>
      <c r="AS14" s="372">
        <v>45743</v>
      </c>
      <c r="AT14" s="24" t="s">
        <v>542</v>
      </c>
      <c r="AU14" s="183"/>
      <c r="AV14" s="142" t="s">
        <v>20</v>
      </c>
      <c r="AW14" s="15" t="s">
        <v>6</v>
      </c>
      <c r="AX14" s="297">
        <v>45709</v>
      </c>
      <c r="AY14" s="297">
        <f>AX14</f>
        <v>45709</v>
      </c>
      <c r="AZ14" s="187" t="s">
        <v>543</v>
      </c>
      <c r="BA14" s="188"/>
      <c r="BB14" s="142" t="s">
        <v>20</v>
      </c>
      <c r="BC14" s="135" t="s">
        <v>547</v>
      </c>
      <c r="BD14" s="135" t="s">
        <v>21</v>
      </c>
      <c r="BE14" s="298">
        <f>BF14-2</f>
        <v>45758</v>
      </c>
      <c r="BF14" s="298">
        <v>45760</v>
      </c>
      <c r="BG14" s="15" t="s">
        <v>510</v>
      </c>
      <c r="BH14" s="183"/>
      <c r="BI14" s="142" t="s">
        <v>20</v>
      </c>
      <c r="BJ14" s="135">
        <v>45824</v>
      </c>
      <c r="BK14" s="135">
        <v>45824</v>
      </c>
      <c r="BL14" s="25">
        <v>1001</v>
      </c>
      <c r="BM14" s="190" t="s">
        <v>545</v>
      </c>
      <c r="BN14" s="24"/>
      <c r="BO14" s="24"/>
    </row>
    <row r="15" spans="1:67" ht="14.25" hidden="1" customHeight="1">
      <c r="A15" s="15" t="s">
        <v>0</v>
      </c>
      <c r="B15" s="19"/>
      <c r="C15" s="184"/>
      <c r="D15" s="134"/>
      <c r="E15" s="134"/>
      <c r="F15" s="134"/>
      <c r="G15" s="134"/>
      <c r="H15" s="185"/>
      <c r="I15" s="19"/>
      <c r="J15" s="19"/>
      <c r="K15" s="186"/>
      <c r="L15" s="178"/>
      <c r="M15" s="15"/>
      <c r="N15" s="15"/>
      <c r="O15" s="15"/>
      <c r="P15" s="180">
        <f t="shared" si="2"/>
        <v>0</v>
      </c>
      <c r="Q15" s="178"/>
      <c r="R15" s="15"/>
      <c r="S15" s="180"/>
      <c r="T15" s="181"/>
      <c r="U15" s="181"/>
      <c r="V15" s="16">
        <v>334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82"/>
      <c r="AM15" s="15"/>
      <c r="AN15" s="24"/>
      <c r="AO15" s="24"/>
      <c r="AP15" s="24"/>
      <c r="AQ15" s="24"/>
      <c r="AR15" s="24"/>
      <c r="AS15" s="24"/>
      <c r="AT15" s="24"/>
      <c r="AU15" s="183"/>
      <c r="AV15" s="24"/>
      <c r="AW15" s="24"/>
      <c r="AX15" s="297"/>
      <c r="AY15" s="297"/>
      <c r="AZ15" s="24"/>
      <c r="BA15" s="183"/>
      <c r="BB15" s="24"/>
      <c r="BC15" s="24"/>
      <c r="BD15" s="24"/>
      <c r="BE15" s="24"/>
      <c r="BF15" s="24"/>
      <c r="BG15" s="24"/>
      <c r="BH15" s="183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v>4</v>
      </c>
      <c r="B16" s="19" t="s">
        <v>41</v>
      </c>
      <c r="C16" s="184" t="s">
        <v>42</v>
      </c>
      <c r="D16" s="134">
        <v>6.3620000000000001</v>
      </c>
      <c r="E16" s="134">
        <f>D16*4</f>
        <v>25.448</v>
      </c>
      <c r="F16" s="134">
        <f>E16*8</f>
        <v>203.584</v>
      </c>
      <c r="G16" s="134"/>
      <c r="H16" s="185"/>
      <c r="I16" s="19"/>
      <c r="J16" s="19"/>
      <c r="K16" s="186"/>
      <c r="L16" s="178">
        <v>2.25</v>
      </c>
      <c r="M16" s="15">
        <v>2.1880000000000002</v>
      </c>
      <c r="N16" s="15">
        <v>2E-3</v>
      </c>
      <c r="O16" s="15">
        <v>0.183</v>
      </c>
      <c r="P16" s="180">
        <f t="shared" si="2"/>
        <v>4.6230000000000002</v>
      </c>
      <c r="Q16" s="178">
        <v>0.24399999999999999</v>
      </c>
      <c r="R16" s="15">
        <v>5.0000000000000001E-3</v>
      </c>
      <c r="S16" s="180">
        <f>SUM(Q16:R16)</f>
        <v>0.249</v>
      </c>
      <c r="T16" s="181" t="s">
        <v>31</v>
      </c>
      <c r="U16" s="181" t="s">
        <v>540</v>
      </c>
      <c r="V16" s="15"/>
      <c r="W16" s="15" t="s">
        <v>546</v>
      </c>
      <c r="X16" s="15">
        <v>121.84</v>
      </c>
      <c r="Y16" s="15">
        <v>1.4</v>
      </c>
      <c r="Z16" s="15">
        <v>12.03</v>
      </c>
      <c r="AA16" s="15">
        <f>Y16+Z16</f>
        <v>13.43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82"/>
      <c r="AM16" s="142" t="s">
        <v>20</v>
      </c>
      <c r="AN16" s="135" t="str">
        <f>AO16</f>
        <v>D</v>
      </c>
      <c r="AO16" s="135" t="s">
        <v>21</v>
      </c>
      <c r="AP16" s="372">
        <f>AQ16-2</f>
        <v>45706</v>
      </c>
      <c r="AQ16" s="372">
        <f>AR16-1</f>
        <v>45708</v>
      </c>
      <c r="AR16" s="372">
        <f>AS16-2</f>
        <v>45709</v>
      </c>
      <c r="AS16" s="372">
        <v>45711</v>
      </c>
      <c r="AT16" s="24" t="s">
        <v>542</v>
      </c>
      <c r="AU16" s="183"/>
      <c r="AV16" s="142" t="s">
        <v>20</v>
      </c>
      <c r="AW16" s="15" t="s">
        <v>548</v>
      </c>
      <c r="AX16" s="297">
        <v>45709</v>
      </c>
      <c r="AY16" s="297">
        <f>AX16</f>
        <v>45709</v>
      </c>
      <c r="AZ16" s="187" t="s">
        <v>543</v>
      </c>
      <c r="BA16" s="188"/>
      <c r="BB16" s="142" t="s">
        <v>20</v>
      </c>
      <c r="BC16" s="135" t="s">
        <v>544</v>
      </c>
      <c r="BD16" s="135" t="s">
        <v>21</v>
      </c>
      <c r="BE16" s="298">
        <f>BF16-2</f>
        <v>45747</v>
      </c>
      <c r="BF16" s="298">
        <v>45749</v>
      </c>
      <c r="BG16" s="15" t="s">
        <v>510</v>
      </c>
      <c r="BH16" s="183"/>
      <c r="BI16" s="142" t="s">
        <v>20</v>
      </c>
      <c r="BJ16" s="135">
        <v>45825</v>
      </c>
      <c r="BK16" s="135">
        <v>45825</v>
      </c>
      <c r="BL16" s="25">
        <v>980</v>
      </c>
      <c r="BM16" s="24" t="s">
        <v>545</v>
      </c>
      <c r="BN16" s="24"/>
      <c r="BO16" s="24"/>
    </row>
    <row r="17" spans="1:65" ht="14.25" hidden="1" customHeight="1">
      <c r="A17" s="15" t="s">
        <v>0</v>
      </c>
      <c r="B17" s="19"/>
      <c r="C17" s="184"/>
      <c r="D17" s="134"/>
      <c r="E17" s="134"/>
      <c r="F17" s="134"/>
      <c r="G17" s="134"/>
      <c r="H17" s="185"/>
      <c r="I17" s="19"/>
      <c r="J17" s="19"/>
      <c r="K17" s="186"/>
      <c r="L17" s="178"/>
      <c r="M17" s="15"/>
      <c r="N17" s="15"/>
      <c r="O17" s="15"/>
      <c r="P17" s="180">
        <f t="shared" si="2"/>
        <v>0</v>
      </c>
      <c r="Q17" s="178"/>
      <c r="R17" s="15"/>
      <c r="S17" s="180"/>
      <c r="T17" s="181"/>
      <c r="U17" s="181"/>
      <c r="V17" s="16">
        <v>319</v>
      </c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82"/>
      <c r="AM17" s="15"/>
      <c r="AN17" s="24"/>
      <c r="AO17" s="24"/>
      <c r="AP17" s="24"/>
      <c r="AQ17" s="24"/>
      <c r="AR17" s="24"/>
      <c r="AS17" s="24"/>
      <c r="AT17" s="24"/>
      <c r="AU17" s="183"/>
      <c r="AV17" s="24"/>
      <c r="AW17" s="24"/>
      <c r="AX17" s="297"/>
      <c r="AY17" s="297"/>
      <c r="AZ17" s="24"/>
      <c r="BA17" s="183"/>
      <c r="BB17" s="24"/>
      <c r="BC17" s="24"/>
      <c r="BD17" s="24"/>
      <c r="BE17" s="24"/>
      <c r="BF17" s="24"/>
      <c r="BG17" s="24"/>
      <c r="BH17" s="183"/>
      <c r="BI17" s="24"/>
      <c r="BJ17" s="24"/>
      <c r="BK17" s="24"/>
      <c r="BL17" s="24"/>
      <c r="BM17" s="24"/>
    </row>
    <row r="18" spans="1:65" ht="14.25" customHeight="1">
      <c r="A18" s="15">
        <v>5</v>
      </c>
      <c r="B18" s="19" t="s">
        <v>43</v>
      </c>
      <c r="C18" s="184" t="s">
        <v>37</v>
      </c>
      <c r="D18" s="134">
        <v>6.992</v>
      </c>
      <c r="E18" s="134">
        <f>D18*4</f>
        <v>27.968</v>
      </c>
      <c r="F18" s="134">
        <f>E18*8</f>
        <v>223.744</v>
      </c>
      <c r="G18" s="134"/>
      <c r="H18" s="185"/>
      <c r="I18" s="19"/>
      <c r="J18" s="19"/>
      <c r="K18" s="186"/>
      <c r="L18" s="178">
        <v>2.6070000000000002</v>
      </c>
      <c r="M18" s="15">
        <v>2.657</v>
      </c>
      <c r="N18" s="15">
        <v>2E-3</v>
      </c>
      <c r="O18" s="15">
        <v>0.21299999999999999</v>
      </c>
      <c r="P18" s="180">
        <f t="shared" si="2"/>
        <v>5.4790000000000001</v>
      </c>
      <c r="Q18" s="178">
        <v>0.24399999999999999</v>
      </c>
      <c r="R18" s="15">
        <v>5.0000000000000001E-3</v>
      </c>
      <c r="S18" s="180">
        <f>SUM(Q18:R18)</f>
        <v>0.249</v>
      </c>
      <c r="T18" s="181"/>
      <c r="U18" s="181" t="s">
        <v>540</v>
      </c>
      <c r="V18" s="16"/>
      <c r="W18" s="15" t="s">
        <v>504</v>
      </c>
      <c r="X18" s="15">
        <v>41.44</v>
      </c>
      <c r="Y18" s="15">
        <v>0.8</v>
      </c>
      <c r="Z18" s="15">
        <v>7.8</v>
      </c>
      <c r="AA18" s="15"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91"/>
      <c r="AG18" s="191">
        <v>206.46</v>
      </c>
      <c r="AH18" s="191"/>
      <c r="AI18" s="191"/>
      <c r="AJ18" s="191">
        <v>581.69000000000005</v>
      </c>
      <c r="AK18" s="15">
        <v>0.58169000000000004</v>
      </c>
      <c r="AL18" s="182"/>
      <c r="AM18" s="142" t="s">
        <v>20</v>
      </c>
      <c r="AN18" s="135" t="str">
        <f>AO18</f>
        <v>D</v>
      </c>
      <c r="AO18" s="135" t="s">
        <v>21</v>
      </c>
      <c r="AP18" s="372">
        <f t="shared" ref="AP18:AR18" si="5">AQ18-1</f>
        <v>45691</v>
      </c>
      <c r="AQ18" s="372">
        <f t="shared" si="5"/>
        <v>45692</v>
      </c>
      <c r="AR18" s="372">
        <f t="shared" si="5"/>
        <v>45693</v>
      </c>
      <c r="AS18" s="372">
        <v>45694</v>
      </c>
      <c r="AT18" s="24" t="s">
        <v>542</v>
      </c>
      <c r="AU18" s="183"/>
      <c r="AV18" s="142" t="s">
        <v>20</v>
      </c>
      <c r="AW18" s="15" t="s">
        <v>6</v>
      </c>
      <c r="AX18" s="297">
        <v>45709</v>
      </c>
      <c r="AY18" s="297">
        <f>AX18</f>
        <v>45709</v>
      </c>
      <c r="AZ18" s="187" t="s">
        <v>543</v>
      </c>
      <c r="BA18" s="188"/>
      <c r="BB18" s="142" t="s">
        <v>20</v>
      </c>
      <c r="BC18" s="135" t="s">
        <v>547</v>
      </c>
      <c r="BD18" s="135" t="s">
        <v>21</v>
      </c>
      <c r="BE18" s="298">
        <f>BF18-2</f>
        <v>45745</v>
      </c>
      <c r="BF18" s="298">
        <v>45747</v>
      </c>
      <c r="BG18" s="15" t="s">
        <v>510</v>
      </c>
      <c r="BH18" s="183"/>
      <c r="BI18" s="142" t="s">
        <v>20</v>
      </c>
      <c r="BJ18" s="135">
        <v>45825</v>
      </c>
      <c r="BK18" s="135">
        <v>45825</v>
      </c>
      <c r="BL18" s="25">
        <v>1330</v>
      </c>
      <c r="BM18" s="24" t="s">
        <v>545</v>
      </c>
    </row>
    <row r="19" spans="1:65" ht="14.25" hidden="1" customHeight="1">
      <c r="A19" s="15" t="s">
        <v>0</v>
      </c>
      <c r="B19" s="19"/>
      <c r="C19" s="184"/>
      <c r="D19" s="134"/>
      <c r="E19" s="134"/>
      <c r="F19" s="134"/>
      <c r="G19" s="134"/>
      <c r="H19" s="185"/>
      <c r="I19" s="19"/>
      <c r="J19" s="19"/>
      <c r="K19" s="186"/>
      <c r="L19" s="178"/>
      <c r="M19" s="15"/>
      <c r="N19" s="15"/>
      <c r="O19" s="15"/>
      <c r="P19" s="180">
        <f t="shared" si="2"/>
        <v>0</v>
      </c>
      <c r="Q19" s="178"/>
      <c r="R19" s="15"/>
      <c r="S19" s="180"/>
      <c r="T19" s="181"/>
      <c r="U19" s="181"/>
      <c r="V19" s="16">
        <v>384.31799999999998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82"/>
      <c r="AM19" s="15"/>
      <c r="AN19" s="24"/>
      <c r="AO19" s="24"/>
      <c r="AP19" s="24"/>
      <c r="AQ19" s="24"/>
      <c r="AR19" s="24"/>
      <c r="AS19" s="24"/>
      <c r="AT19" s="24"/>
      <c r="AU19" s="183"/>
      <c r="AV19" s="24"/>
      <c r="AW19" s="24"/>
      <c r="AX19" s="297"/>
      <c r="AY19" s="297"/>
      <c r="AZ19" s="24"/>
      <c r="BA19" s="183"/>
      <c r="BB19" s="24"/>
      <c r="BC19" s="24"/>
      <c r="BD19" s="24"/>
      <c r="BE19" s="24"/>
      <c r="BF19" s="24"/>
      <c r="BG19" s="24"/>
      <c r="BH19" s="183"/>
      <c r="BI19" s="24"/>
      <c r="BJ19" s="24"/>
      <c r="BK19" s="24"/>
      <c r="BL19" s="24"/>
      <c r="BM19" s="24"/>
    </row>
    <row r="20" spans="1:65" ht="14.25" customHeight="1">
      <c r="A20" s="15">
        <v>6</v>
      </c>
      <c r="B20" s="19" t="s">
        <v>45</v>
      </c>
      <c r="C20" s="184" t="s">
        <v>46</v>
      </c>
      <c r="D20" s="134">
        <v>8.6259999999999994</v>
      </c>
      <c r="E20" s="134">
        <f>D20*4</f>
        <v>34.503999999999998</v>
      </c>
      <c r="F20" s="134">
        <f>E20*8</f>
        <v>276.03199999999998</v>
      </c>
      <c r="G20" s="134"/>
      <c r="H20" s="185"/>
      <c r="I20" s="19"/>
      <c r="J20" s="19"/>
      <c r="K20" s="186"/>
      <c r="L20" s="178">
        <v>4.5380000000000003</v>
      </c>
      <c r="M20" s="15">
        <v>3.23</v>
      </c>
      <c r="N20" s="15">
        <v>6.4000000000000003E-3</v>
      </c>
      <c r="O20" s="15">
        <v>0.42899999999999999</v>
      </c>
      <c r="P20" s="180">
        <f t="shared" si="2"/>
        <v>8.2034000000000002</v>
      </c>
      <c r="Q20" s="178">
        <v>0.436</v>
      </c>
      <c r="R20" s="15">
        <v>0.01</v>
      </c>
      <c r="S20" s="180">
        <f>SUM(Q20:R20)</f>
        <v>0.44600000000000001</v>
      </c>
      <c r="T20" s="181" t="s">
        <v>297</v>
      </c>
      <c r="U20" s="181" t="s">
        <v>540</v>
      </c>
      <c r="V20" s="15"/>
      <c r="W20" s="15" t="s">
        <v>504</v>
      </c>
      <c r="X20" s="15">
        <v>75.36</v>
      </c>
      <c r="Y20" s="15">
        <v>1.35</v>
      </c>
      <c r="Z20" s="15">
        <v>12.85</v>
      </c>
      <c r="AA20" s="15"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82"/>
      <c r="AM20" s="142" t="s">
        <v>20</v>
      </c>
      <c r="AN20" s="135" t="str">
        <f>AO20</f>
        <v>D</v>
      </c>
      <c r="AO20" s="135" t="s">
        <v>21</v>
      </c>
      <c r="AP20" s="372">
        <f>AQ20-3</f>
        <v>45698</v>
      </c>
      <c r="AQ20" s="372">
        <f t="shared" ref="AQ20:AR20" si="6">AR20-2</f>
        <v>45701</v>
      </c>
      <c r="AR20" s="372">
        <f t="shared" si="6"/>
        <v>45703</v>
      </c>
      <c r="AS20" s="372">
        <v>45705</v>
      </c>
      <c r="AT20" s="24" t="s">
        <v>542</v>
      </c>
      <c r="AU20" s="183"/>
      <c r="AV20" s="142" t="s">
        <v>20</v>
      </c>
      <c r="AW20" s="15" t="s">
        <v>6</v>
      </c>
      <c r="AX20" s="297">
        <v>45733</v>
      </c>
      <c r="AY20" s="297">
        <f>AX20</f>
        <v>45733</v>
      </c>
      <c r="AZ20" s="187" t="s">
        <v>543</v>
      </c>
      <c r="BA20" s="188"/>
      <c r="BB20" s="142" t="s">
        <v>20</v>
      </c>
      <c r="BC20" s="135" t="s">
        <v>547</v>
      </c>
      <c r="BD20" s="135" t="s">
        <v>21</v>
      </c>
      <c r="BE20" s="298">
        <f>BF20-2</f>
        <v>45768</v>
      </c>
      <c r="BF20" s="298">
        <v>45770</v>
      </c>
      <c r="BG20" s="15" t="s">
        <v>510</v>
      </c>
      <c r="BH20" s="183"/>
      <c r="BI20" s="142" t="s">
        <v>20</v>
      </c>
      <c r="BJ20" s="135">
        <v>45827</v>
      </c>
      <c r="BK20" s="135">
        <v>45827</v>
      </c>
      <c r="BL20" s="25">
        <v>1433</v>
      </c>
      <c r="BM20" s="190" t="s">
        <v>545</v>
      </c>
    </row>
    <row r="21" spans="1:65" ht="14.25" hidden="1" customHeight="1">
      <c r="A21" s="15" t="s">
        <v>0</v>
      </c>
      <c r="B21" s="19"/>
      <c r="C21" s="184"/>
      <c r="D21" s="134"/>
      <c r="E21" s="134"/>
      <c r="F21" s="134"/>
      <c r="G21" s="134"/>
      <c r="H21" s="185"/>
      <c r="I21" s="19"/>
      <c r="J21" s="19"/>
      <c r="K21" s="186"/>
      <c r="L21" s="178"/>
      <c r="M21" s="15"/>
      <c r="N21" s="15"/>
      <c r="O21" s="15"/>
      <c r="P21" s="180">
        <f t="shared" si="2"/>
        <v>0</v>
      </c>
      <c r="Q21" s="178"/>
      <c r="R21" s="15"/>
      <c r="S21" s="180"/>
      <c r="T21" s="181"/>
      <c r="U21" s="181"/>
      <c r="V21" s="16">
        <v>329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82"/>
      <c r="AM21" s="15"/>
      <c r="AN21" s="24"/>
      <c r="AO21" s="24"/>
      <c r="AP21" s="24"/>
      <c r="AQ21" s="24"/>
      <c r="AR21" s="24"/>
      <c r="AS21" s="24"/>
      <c r="AT21" s="24"/>
      <c r="AU21" s="183"/>
      <c r="AV21" s="24"/>
      <c r="AW21" s="24"/>
      <c r="AX21" s="297"/>
      <c r="AY21" s="297"/>
      <c r="AZ21" s="24"/>
      <c r="BA21" s="183"/>
      <c r="BB21" s="24"/>
      <c r="BC21" s="24"/>
      <c r="BD21" s="24"/>
      <c r="BE21" s="24"/>
      <c r="BF21" s="24"/>
      <c r="BG21" s="24"/>
      <c r="BH21" s="183"/>
      <c r="BI21" s="24"/>
      <c r="BJ21" s="24"/>
      <c r="BK21" s="24"/>
      <c r="BL21" s="24"/>
      <c r="BM21" s="24"/>
    </row>
    <row r="22" spans="1:65" ht="14.25" customHeight="1">
      <c r="A22" s="15">
        <v>7</v>
      </c>
      <c r="B22" s="19" t="s">
        <v>47</v>
      </c>
      <c r="C22" s="184" t="s">
        <v>37</v>
      </c>
      <c r="D22" s="134">
        <v>6.992</v>
      </c>
      <c r="E22" s="134">
        <f>D22*4</f>
        <v>27.968</v>
      </c>
      <c r="F22" s="134">
        <f>E22*8</f>
        <v>223.744</v>
      </c>
      <c r="G22" s="134"/>
      <c r="H22" s="185"/>
      <c r="I22" s="19"/>
      <c r="J22" s="19"/>
      <c r="K22" s="186"/>
      <c r="L22" s="178">
        <v>2.6070000000000002</v>
      </c>
      <c r="M22" s="15">
        <v>2.657</v>
      </c>
      <c r="N22" s="15">
        <v>2E-3</v>
      </c>
      <c r="O22" s="15">
        <v>0.21299999999999999</v>
      </c>
      <c r="P22" s="180">
        <f t="shared" si="2"/>
        <v>5.4790000000000001</v>
      </c>
      <c r="Q22" s="178">
        <v>0.24399999999999999</v>
      </c>
      <c r="R22" s="15">
        <v>5.0000000000000001E-3</v>
      </c>
      <c r="S22" s="180">
        <f>SUM(Q22:R22)</f>
        <v>0.249</v>
      </c>
      <c r="T22" s="181" t="s">
        <v>31</v>
      </c>
      <c r="U22" s="181" t="s">
        <v>540</v>
      </c>
      <c r="V22" s="15"/>
      <c r="W22" s="15" t="s">
        <v>504</v>
      </c>
      <c r="X22" s="15">
        <v>41.44</v>
      </c>
      <c r="Y22" s="15">
        <v>0.8</v>
      </c>
      <c r="Z22" s="15">
        <v>7.8</v>
      </c>
      <c r="AA22" s="15"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91"/>
      <c r="AG22" s="191">
        <v>206.46</v>
      </c>
      <c r="AH22" s="191"/>
      <c r="AI22" s="191"/>
      <c r="AJ22" s="191">
        <v>581.69000000000005</v>
      </c>
      <c r="AK22" s="15">
        <v>0.58169000000000004</v>
      </c>
      <c r="AL22" s="182"/>
      <c r="AM22" s="142" t="s">
        <v>20</v>
      </c>
      <c r="AN22" s="135" t="str">
        <f>AO22</f>
        <v>D</v>
      </c>
      <c r="AO22" s="135" t="s">
        <v>21</v>
      </c>
      <c r="AP22" s="372">
        <v>45688</v>
      </c>
      <c r="AQ22" s="372">
        <f>AP22+2</f>
        <v>45690</v>
      </c>
      <c r="AR22" s="372">
        <f>AS22-2</f>
        <v>45691</v>
      </c>
      <c r="AS22" s="372">
        <v>45693</v>
      </c>
      <c r="AT22" s="24" t="s">
        <v>543</v>
      </c>
      <c r="AU22" s="183"/>
      <c r="AV22" s="142" t="s">
        <v>20</v>
      </c>
      <c r="AW22" s="15" t="s">
        <v>6</v>
      </c>
      <c r="AX22" s="297">
        <v>45709</v>
      </c>
      <c r="AY22" s="297">
        <f>AX22</f>
        <v>45709</v>
      </c>
      <c r="AZ22" s="187" t="s">
        <v>543</v>
      </c>
      <c r="BA22" s="188"/>
      <c r="BB22" s="142" t="s">
        <v>20</v>
      </c>
      <c r="BC22" s="135" t="s">
        <v>544</v>
      </c>
      <c r="BD22" s="135" t="s">
        <v>21</v>
      </c>
      <c r="BE22" s="298">
        <f>BF22-2</f>
        <v>45751</v>
      </c>
      <c r="BF22" s="298">
        <v>45753</v>
      </c>
      <c r="BG22" s="15" t="s">
        <v>510</v>
      </c>
      <c r="BH22" s="183"/>
      <c r="BI22" s="142" t="s">
        <v>20</v>
      </c>
      <c r="BJ22" s="135">
        <v>45827</v>
      </c>
      <c r="BK22" s="135">
        <v>45827</v>
      </c>
      <c r="BL22" s="25">
        <v>1330</v>
      </c>
      <c r="BM22" s="24" t="s">
        <v>545</v>
      </c>
    </row>
    <row r="23" spans="1:65" ht="14.25" hidden="1" customHeight="1">
      <c r="A23" s="15" t="s">
        <v>0</v>
      </c>
      <c r="B23" s="19"/>
      <c r="C23" s="184"/>
      <c r="D23" s="134"/>
      <c r="E23" s="134"/>
      <c r="F23" s="134"/>
      <c r="G23" s="134"/>
      <c r="H23" s="185"/>
      <c r="I23" s="19"/>
      <c r="J23" s="19"/>
      <c r="K23" s="186"/>
      <c r="L23" s="178"/>
      <c r="M23" s="15"/>
      <c r="N23" s="15"/>
      <c r="O23" s="15"/>
      <c r="P23" s="180">
        <f t="shared" si="2"/>
        <v>0</v>
      </c>
      <c r="Q23" s="178"/>
      <c r="R23" s="15"/>
      <c r="S23" s="180"/>
      <c r="T23" s="181"/>
      <c r="U23" s="181"/>
      <c r="V23" s="16">
        <v>280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82"/>
      <c r="AM23" s="15"/>
      <c r="AN23" s="24"/>
      <c r="AO23" s="24"/>
      <c r="AP23" s="24"/>
      <c r="AQ23" s="24"/>
      <c r="AR23" s="24"/>
      <c r="AS23" s="24"/>
      <c r="AT23" s="24"/>
      <c r="AU23" s="183"/>
      <c r="AV23" s="24"/>
      <c r="AW23" s="24"/>
      <c r="AX23" s="297"/>
      <c r="AY23" s="297"/>
      <c r="AZ23" s="24"/>
      <c r="BA23" s="183"/>
      <c r="BB23" s="24"/>
      <c r="BC23" s="24"/>
      <c r="BD23" s="24"/>
      <c r="BE23" s="24"/>
      <c r="BF23" s="24"/>
      <c r="BG23" s="24"/>
      <c r="BH23" s="183"/>
      <c r="BI23" s="24"/>
      <c r="BJ23" s="24"/>
      <c r="BK23" s="24"/>
      <c r="BL23" s="24"/>
      <c r="BM23" s="24"/>
    </row>
    <row r="24" spans="1:65" ht="14.25" customHeight="1">
      <c r="A24" s="15">
        <v>8</v>
      </c>
      <c r="B24" s="19" t="s">
        <v>48</v>
      </c>
      <c r="C24" s="184" t="s">
        <v>39</v>
      </c>
      <c r="D24" s="134">
        <v>7.7080000000000002</v>
      </c>
      <c r="E24" s="134">
        <f>D24*4</f>
        <v>30.832000000000001</v>
      </c>
      <c r="F24" s="134">
        <f>E24*8</f>
        <v>246.65600000000001</v>
      </c>
      <c r="G24" s="134"/>
      <c r="H24" s="185"/>
      <c r="I24" s="19"/>
      <c r="J24" s="19"/>
      <c r="K24" s="186"/>
      <c r="L24" s="178">
        <v>4.0570000000000004</v>
      </c>
      <c r="M24" s="15">
        <v>2.48</v>
      </c>
      <c r="N24" s="15">
        <v>6.0000000000000001E-3</v>
      </c>
      <c r="O24" s="15">
        <v>0.36499999999999999</v>
      </c>
      <c r="P24" s="180">
        <f t="shared" si="2"/>
        <v>6.9080000000000013</v>
      </c>
      <c r="Q24" s="178">
        <v>0.436</v>
      </c>
      <c r="R24" s="15">
        <v>0.01</v>
      </c>
      <c r="S24" s="180">
        <f>SUM(Q24:R24)</f>
        <v>0.44600000000000001</v>
      </c>
      <c r="T24" s="181" t="s">
        <v>31</v>
      </c>
      <c r="U24" s="181" t="s">
        <v>540</v>
      </c>
      <c r="V24" s="15"/>
      <c r="W24" s="15" t="s">
        <v>541</v>
      </c>
      <c r="X24" s="15">
        <v>148.80000000000001</v>
      </c>
      <c r="Y24" s="15">
        <v>2.5099999999999998</v>
      </c>
      <c r="Z24" s="15">
        <v>19.47</v>
      </c>
      <c r="AA24" s="15"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82"/>
      <c r="AM24" s="142" t="s">
        <v>20</v>
      </c>
      <c r="AN24" s="135" t="str">
        <f>AO24</f>
        <v>D</v>
      </c>
      <c r="AO24" s="135" t="s">
        <v>21</v>
      </c>
      <c r="AP24" s="372">
        <v>45681</v>
      </c>
      <c r="AQ24" s="372">
        <f>AP24+2</f>
        <v>45683</v>
      </c>
      <c r="AR24" s="372">
        <f>AS24-2</f>
        <v>45688</v>
      </c>
      <c r="AS24" s="372">
        <v>45690</v>
      </c>
      <c r="AT24" s="24" t="s">
        <v>543</v>
      </c>
      <c r="AU24" s="183"/>
      <c r="AV24" s="142" t="s">
        <v>20</v>
      </c>
      <c r="AW24" s="15" t="s">
        <v>6</v>
      </c>
      <c r="AX24" s="297">
        <v>45733</v>
      </c>
      <c r="AY24" s="297">
        <f>AX24</f>
        <v>45733</v>
      </c>
      <c r="AZ24" s="187" t="s">
        <v>543</v>
      </c>
      <c r="BA24" s="188"/>
      <c r="BB24" s="142" t="s">
        <v>20</v>
      </c>
      <c r="BC24" s="135" t="s">
        <v>547</v>
      </c>
      <c r="BD24" s="135" t="s">
        <v>21</v>
      </c>
      <c r="BE24" s="298">
        <f>BF24-2</f>
        <v>45761</v>
      </c>
      <c r="BF24" s="298">
        <v>45763</v>
      </c>
      <c r="BG24" s="15" t="s">
        <v>510</v>
      </c>
      <c r="BH24" s="183"/>
      <c r="BI24" s="142" t="s">
        <v>20</v>
      </c>
      <c r="BJ24" s="135">
        <v>45830</v>
      </c>
      <c r="BK24" s="135">
        <v>45830</v>
      </c>
      <c r="BL24" s="25">
        <v>1001</v>
      </c>
      <c r="BM24" s="190" t="s">
        <v>545</v>
      </c>
    </row>
    <row r="25" spans="1:65" ht="14.25" hidden="1" customHeight="1">
      <c r="A25" s="15" t="s">
        <v>0</v>
      </c>
      <c r="B25" s="19"/>
      <c r="C25" s="184"/>
      <c r="D25" s="134"/>
      <c r="E25" s="134"/>
      <c r="F25" s="134"/>
      <c r="G25" s="134"/>
      <c r="H25" s="185"/>
      <c r="I25" s="19"/>
      <c r="J25" s="19"/>
      <c r="K25" s="186"/>
      <c r="L25" s="178"/>
      <c r="M25" s="15"/>
      <c r="N25" s="15"/>
      <c r="O25" s="15"/>
      <c r="P25" s="180">
        <f t="shared" si="2"/>
        <v>0</v>
      </c>
      <c r="Q25" s="178"/>
      <c r="R25" s="15"/>
      <c r="S25" s="180"/>
      <c r="T25" s="181"/>
      <c r="U25" s="181"/>
      <c r="V25" s="16">
        <v>232.09800000000001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82"/>
      <c r="AM25" s="15"/>
      <c r="AN25" s="24"/>
      <c r="AO25" s="24"/>
      <c r="AP25" s="24"/>
      <c r="AQ25" s="24"/>
      <c r="AR25" s="24"/>
      <c r="AS25" s="24"/>
      <c r="AT25" s="24"/>
      <c r="AU25" s="183"/>
      <c r="AV25" s="24"/>
      <c r="AW25" s="24"/>
      <c r="AX25" s="297"/>
      <c r="AY25" s="297"/>
      <c r="AZ25" s="24"/>
      <c r="BA25" s="183"/>
      <c r="BB25" s="24"/>
      <c r="BC25" s="24"/>
      <c r="BD25" s="24"/>
      <c r="BE25" s="24"/>
      <c r="BF25" s="24"/>
      <c r="BG25" s="24"/>
      <c r="BH25" s="183"/>
      <c r="BI25" s="24"/>
      <c r="BJ25" s="24"/>
      <c r="BK25" s="24"/>
      <c r="BL25" s="24"/>
      <c r="BM25" s="24"/>
    </row>
    <row r="26" spans="1:65" ht="14.25" customHeight="1">
      <c r="A26" s="15">
        <v>9</v>
      </c>
      <c r="B26" s="19" t="s">
        <v>50</v>
      </c>
      <c r="C26" s="184" t="s">
        <v>51</v>
      </c>
      <c r="D26" s="134">
        <v>10.82</v>
      </c>
      <c r="E26" s="134">
        <f>D26*4</f>
        <v>43.28</v>
      </c>
      <c r="F26" s="134">
        <f>E26*8</f>
        <v>346.24</v>
      </c>
      <c r="G26" s="134"/>
      <c r="H26" s="185"/>
      <c r="I26" s="19"/>
      <c r="J26" s="19"/>
      <c r="K26" s="186"/>
      <c r="L26" s="178">
        <v>5.4920000000000009</v>
      </c>
      <c r="M26" s="15">
        <v>5.0969999999999995</v>
      </c>
      <c r="N26" s="15">
        <v>7.4000000000000003E-3</v>
      </c>
      <c r="O26" s="15">
        <v>0.502</v>
      </c>
      <c r="P26" s="180">
        <f t="shared" si="2"/>
        <v>11.098400000000002</v>
      </c>
      <c r="Q26" s="178">
        <v>0.55700000000000005</v>
      </c>
      <c r="R26" s="15">
        <v>0.01</v>
      </c>
      <c r="S26" s="180">
        <f>SUM(Q26:R26)</f>
        <v>0.56700000000000006</v>
      </c>
      <c r="T26" s="181" t="s">
        <v>298</v>
      </c>
      <c r="U26" s="181" t="s">
        <v>540</v>
      </c>
      <c r="V26" s="15"/>
      <c r="W26" s="15" t="s">
        <v>541</v>
      </c>
      <c r="X26" s="15">
        <v>220.64</v>
      </c>
      <c r="Y26" s="15">
        <v>3.61</v>
      </c>
      <c r="Z26" s="15">
        <v>27.92</v>
      </c>
      <c r="AA26" s="15"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82"/>
      <c r="AM26" s="142" t="s">
        <v>20</v>
      </c>
      <c r="AN26" s="135" t="str">
        <f>AO26</f>
        <v>D</v>
      </c>
      <c r="AO26" s="135" t="s">
        <v>21</v>
      </c>
      <c r="AP26" s="372">
        <f>AQ26-2</f>
        <v>45717</v>
      </c>
      <c r="AQ26" s="372">
        <f t="shared" ref="AQ26:AR26" si="7">AR26-1</f>
        <v>45719</v>
      </c>
      <c r="AR26" s="372">
        <f t="shared" si="7"/>
        <v>45720</v>
      </c>
      <c r="AS26" s="372">
        <v>45721</v>
      </c>
      <c r="AT26" s="24" t="s">
        <v>543</v>
      </c>
      <c r="AU26" s="183"/>
      <c r="AV26" s="142" t="s">
        <v>20</v>
      </c>
      <c r="AW26" s="15" t="s">
        <v>6</v>
      </c>
      <c r="AX26" s="297">
        <v>45733</v>
      </c>
      <c r="AY26" s="297">
        <f>AX26</f>
        <v>45733</v>
      </c>
      <c r="AZ26" s="187" t="s">
        <v>543</v>
      </c>
      <c r="BA26" s="188"/>
      <c r="BB26" s="142" t="s">
        <v>20</v>
      </c>
      <c r="BC26" s="135" t="s">
        <v>544</v>
      </c>
      <c r="BD26" s="135" t="s">
        <v>21</v>
      </c>
      <c r="BE26" s="298">
        <f>BF26-2</f>
        <v>45772</v>
      </c>
      <c r="BF26" s="298">
        <v>45774</v>
      </c>
      <c r="BG26" s="15" t="s">
        <v>510</v>
      </c>
      <c r="BH26" s="183"/>
      <c r="BI26" s="142" t="s">
        <v>20</v>
      </c>
      <c r="BJ26" s="135">
        <v>45830</v>
      </c>
      <c r="BK26" s="135">
        <v>45830</v>
      </c>
      <c r="BL26" s="25">
        <v>1552</v>
      </c>
      <c r="BM26" s="190" t="s">
        <v>545</v>
      </c>
    </row>
    <row r="27" spans="1:65" ht="14.25" hidden="1" customHeight="1">
      <c r="A27" s="15" t="s">
        <v>0</v>
      </c>
      <c r="B27" s="19"/>
      <c r="C27" s="184"/>
      <c r="D27" s="134"/>
      <c r="E27" s="134"/>
      <c r="F27" s="134"/>
      <c r="G27" s="134"/>
      <c r="H27" s="185"/>
      <c r="I27" s="19"/>
      <c r="J27" s="19"/>
      <c r="K27" s="186"/>
      <c r="L27" s="178"/>
      <c r="M27" s="15"/>
      <c r="N27" s="15"/>
      <c r="O27" s="15"/>
      <c r="P27" s="180">
        <f t="shared" si="2"/>
        <v>0</v>
      </c>
      <c r="Q27" s="178"/>
      <c r="R27" s="15"/>
      <c r="S27" s="180"/>
      <c r="T27" s="181"/>
      <c r="U27" s="181"/>
      <c r="V27" s="16">
        <v>237.78299999999999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82"/>
      <c r="AM27" s="15"/>
      <c r="AN27" s="24"/>
      <c r="AO27" s="24"/>
      <c r="AP27" s="24"/>
      <c r="AQ27" s="24"/>
      <c r="AR27" s="24"/>
      <c r="AS27" s="24"/>
      <c r="AT27" s="24"/>
      <c r="AU27" s="183"/>
      <c r="AV27" s="24"/>
      <c r="AW27" s="24"/>
      <c r="AX27" s="297"/>
      <c r="AY27" s="297"/>
      <c r="AZ27" s="24"/>
      <c r="BA27" s="183"/>
      <c r="BB27" s="24"/>
      <c r="BC27" s="24"/>
      <c r="BD27" s="24"/>
      <c r="BE27" s="24"/>
      <c r="BF27" s="24"/>
      <c r="BG27" s="24"/>
      <c r="BH27" s="183"/>
      <c r="BI27" s="24"/>
      <c r="BJ27" s="24"/>
      <c r="BK27" s="24"/>
      <c r="BL27" s="24"/>
      <c r="BM27" s="24"/>
    </row>
    <row r="28" spans="1:65" ht="14.25" hidden="1" customHeight="1">
      <c r="A28" s="15">
        <v>10</v>
      </c>
      <c r="B28" s="19" t="s">
        <v>53</v>
      </c>
      <c r="C28" s="184" t="s">
        <v>54</v>
      </c>
      <c r="D28" s="134">
        <v>13.257999999999999</v>
      </c>
      <c r="E28" s="134">
        <f>D28*4</f>
        <v>53.031999999999996</v>
      </c>
      <c r="F28" s="134">
        <f>E28*8</f>
        <v>424.25599999999997</v>
      </c>
      <c r="G28" s="134"/>
      <c r="H28" s="185"/>
      <c r="I28" s="19"/>
      <c r="J28" s="19"/>
      <c r="K28" s="186"/>
      <c r="L28" s="178">
        <v>6.0579999999999998</v>
      </c>
      <c r="M28" s="15">
        <v>5.8739999999999997</v>
      </c>
      <c r="N28" s="15">
        <v>7.7000000000000002E-3</v>
      </c>
      <c r="O28" s="15">
        <v>0.56299999999999994</v>
      </c>
      <c r="P28" s="180">
        <f t="shared" si="2"/>
        <v>12.502699999999999</v>
      </c>
      <c r="Q28" s="178">
        <v>0.55700000000000005</v>
      </c>
      <c r="R28" s="15">
        <v>0.01</v>
      </c>
      <c r="S28" s="180">
        <f>SUM(Q28:R28)</f>
        <v>0.56700000000000006</v>
      </c>
      <c r="T28" s="181" t="s">
        <v>52</v>
      </c>
      <c r="U28" s="181" t="s">
        <v>540</v>
      </c>
      <c r="V28" s="15"/>
      <c r="W28" s="15" t="s">
        <v>504</v>
      </c>
      <c r="X28" s="15">
        <v>119.36</v>
      </c>
      <c r="Y28" s="15">
        <v>2.0499999999999998</v>
      </c>
      <c r="Z28" s="15">
        <v>18.37</v>
      </c>
      <c r="AA28" s="15"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82"/>
      <c r="AM28" s="15"/>
      <c r="AN28" s="135"/>
      <c r="AO28" s="135"/>
      <c r="AP28" s="372"/>
      <c r="AQ28" s="372"/>
      <c r="AR28" s="372"/>
      <c r="AS28" s="372"/>
      <c r="AT28" s="24" t="s">
        <v>549</v>
      </c>
      <c r="AU28" s="183"/>
      <c r="AV28" s="15"/>
      <c r="AW28" s="15" t="s">
        <v>6</v>
      </c>
      <c r="AX28" s="297"/>
      <c r="AY28" s="297"/>
      <c r="AZ28" s="24"/>
      <c r="BA28" s="183"/>
      <c r="BB28" s="15"/>
      <c r="BC28" s="135"/>
      <c r="BD28" s="135"/>
      <c r="BE28" s="135"/>
      <c r="BF28" s="135"/>
      <c r="BG28" s="137"/>
      <c r="BH28" s="183"/>
      <c r="BI28" s="24"/>
      <c r="BJ28" s="24"/>
      <c r="BK28" s="24"/>
      <c r="BL28" s="25">
        <v>2008</v>
      </c>
      <c r="BM28" s="24"/>
    </row>
    <row r="29" spans="1:65" ht="14.25" hidden="1" customHeight="1">
      <c r="A29" s="15" t="s">
        <v>0</v>
      </c>
      <c r="B29" s="19"/>
      <c r="C29" s="184"/>
      <c r="D29" s="134"/>
      <c r="E29" s="134"/>
      <c r="F29" s="134"/>
      <c r="G29" s="134"/>
      <c r="H29" s="185"/>
      <c r="I29" s="19"/>
      <c r="J29" s="19"/>
      <c r="K29" s="186"/>
      <c r="L29" s="178"/>
      <c r="M29" s="15"/>
      <c r="N29" s="15"/>
      <c r="O29" s="15"/>
      <c r="P29" s="180">
        <f t="shared" si="2"/>
        <v>0</v>
      </c>
      <c r="Q29" s="178"/>
      <c r="R29" s="15"/>
      <c r="S29" s="180"/>
      <c r="T29" s="181"/>
      <c r="U29" s="181"/>
      <c r="V29" s="16">
        <v>334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82"/>
      <c r="AM29" s="15"/>
      <c r="AN29" s="24"/>
      <c r="AO29" s="24"/>
      <c r="AP29" s="24"/>
      <c r="AQ29" s="24"/>
      <c r="AR29" s="24"/>
      <c r="AS29" s="24"/>
      <c r="AT29" s="24"/>
      <c r="AU29" s="183"/>
      <c r="AV29" s="24"/>
      <c r="AW29" s="24"/>
      <c r="AX29" s="297"/>
      <c r="AY29" s="297"/>
      <c r="AZ29" s="24"/>
      <c r="BA29" s="183"/>
      <c r="BB29" s="24"/>
      <c r="BC29" s="24"/>
      <c r="BD29" s="24"/>
      <c r="BE29" s="24"/>
      <c r="BF29" s="24"/>
      <c r="BG29" s="24"/>
      <c r="BH29" s="183"/>
      <c r="BI29" s="24"/>
      <c r="BJ29" s="24"/>
      <c r="BK29" s="24"/>
      <c r="BL29" s="24"/>
      <c r="BM29" s="24"/>
    </row>
    <row r="30" spans="1:65" ht="14.25" customHeight="1">
      <c r="A30" s="15">
        <v>11</v>
      </c>
      <c r="B30" s="19" t="s">
        <v>55</v>
      </c>
      <c r="C30" s="184" t="s">
        <v>56</v>
      </c>
      <c r="D30" s="134">
        <v>7.6219999999999999</v>
      </c>
      <c r="E30" s="134">
        <f>D30*4</f>
        <v>30.488</v>
      </c>
      <c r="F30" s="134">
        <f>E30*8</f>
        <v>243.904</v>
      </c>
      <c r="G30" s="134"/>
      <c r="H30" s="185"/>
      <c r="I30" s="19"/>
      <c r="J30" s="19"/>
      <c r="K30" s="186"/>
      <c r="L30" s="178">
        <v>2.6789999999999998</v>
      </c>
      <c r="M30" s="15">
        <v>3.133</v>
      </c>
      <c r="N30" s="15">
        <v>2.3E-3</v>
      </c>
      <c r="O30" s="15">
        <v>0.23299999999999998</v>
      </c>
      <c r="P30" s="180">
        <f t="shared" si="2"/>
        <v>6.047299999999999</v>
      </c>
      <c r="Q30" s="178">
        <v>0.24399999999999999</v>
      </c>
      <c r="R30" s="15">
        <v>5.0000000000000001E-3</v>
      </c>
      <c r="S30" s="180">
        <f>SUM(Q30:R30)</f>
        <v>0.249</v>
      </c>
      <c r="T30" s="181" t="s">
        <v>31</v>
      </c>
      <c r="U30" s="181" t="s">
        <v>540</v>
      </c>
      <c r="V30" s="15"/>
      <c r="W30" s="191" t="s">
        <v>507</v>
      </c>
      <c r="X30" s="191">
        <v>143.35999999999999</v>
      </c>
      <c r="Y30" s="191">
        <v>1.68</v>
      </c>
      <c r="Z30" s="191">
        <v>11.97</v>
      </c>
      <c r="AA30" s="191"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91"/>
      <c r="AG30" s="15">
        <v>100.6</v>
      </c>
      <c r="AH30" s="15">
        <v>157.18</v>
      </c>
      <c r="AI30" s="191"/>
      <c r="AJ30" s="15">
        <v>856.94</v>
      </c>
      <c r="AK30" s="15">
        <v>0.85694000000000004</v>
      </c>
      <c r="AL30" s="182"/>
      <c r="AM30" s="142" t="s">
        <v>20</v>
      </c>
      <c r="AN30" s="135" t="str">
        <f>AO30</f>
        <v>D</v>
      </c>
      <c r="AO30" s="135" t="s">
        <v>21</v>
      </c>
      <c r="AP30" s="372">
        <f t="shared" ref="AP30:AR30" si="8">AQ30-2</f>
        <v>45707</v>
      </c>
      <c r="AQ30" s="372">
        <f t="shared" si="8"/>
        <v>45709</v>
      </c>
      <c r="AR30" s="372">
        <f t="shared" si="8"/>
        <v>45711</v>
      </c>
      <c r="AS30" s="372">
        <v>45713</v>
      </c>
      <c r="AT30" s="24" t="s">
        <v>550</v>
      </c>
      <c r="AU30" s="183"/>
      <c r="AV30" s="142" t="s">
        <v>20</v>
      </c>
      <c r="AW30" s="15" t="s">
        <v>548</v>
      </c>
      <c r="AX30" s="297">
        <f>AY30</f>
        <v>45720</v>
      </c>
      <c r="AY30" s="297">
        <v>45720</v>
      </c>
      <c r="AZ30" s="187" t="s">
        <v>543</v>
      </c>
      <c r="BA30" s="188"/>
      <c r="BB30" s="142" t="s">
        <v>20</v>
      </c>
      <c r="BC30" s="135" t="s">
        <v>544</v>
      </c>
      <c r="BD30" s="135" t="s">
        <v>21</v>
      </c>
      <c r="BE30" s="298">
        <f>BF30-2</f>
        <v>45794</v>
      </c>
      <c r="BF30" s="298">
        <v>45796</v>
      </c>
      <c r="BG30" s="17" t="s">
        <v>551</v>
      </c>
      <c r="BH30" s="192"/>
      <c r="BI30" s="142" t="s">
        <v>20</v>
      </c>
      <c r="BJ30" s="135">
        <v>45830</v>
      </c>
      <c r="BK30" s="135">
        <v>45830</v>
      </c>
      <c r="BL30" s="25">
        <v>1545</v>
      </c>
      <c r="BM30" s="190" t="s">
        <v>545</v>
      </c>
    </row>
    <row r="31" spans="1:65" ht="14.25" hidden="1" customHeight="1">
      <c r="A31" s="15" t="s">
        <v>0</v>
      </c>
      <c r="B31" s="19"/>
      <c r="C31" s="184"/>
      <c r="D31" s="134"/>
      <c r="E31" s="134"/>
      <c r="F31" s="134"/>
      <c r="G31" s="134"/>
      <c r="H31" s="185"/>
      <c r="I31" s="19"/>
      <c r="J31" s="19"/>
      <c r="K31" s="186"/>
      <c r="L31" s="178"/>
      <c r="M31" s="15"/>
      <c r="N31" s="15"/>
      <c r="O31" s="15"/>
      <c r="P31" s="180">
        <f t="shared" si="2"/>
        <v>0</v>
      </c>
      <c r="Q31" s="178"/>
      <c r="R31" s="15"/>
      <c r="S31" s="180"/>
      <c r="T31" s="181"/>
      <c r="U31" s="181"/>
      <c r="V31" s="16">
        <v>341.209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82"/>
      <c r="AM31" s="15"/>
      <c r="AN31" s="24"/>
      <c r="AO31" s="24"/>
      <c r="AP31" s="24"/>
      <c r="AQ31" s="24"/>
      <c r="AR31" s="24"/>
      <c r="AS31" s="24"/>
      <c r="AT31" s="24"/>
      <c r="AU31" s="183"/>
      <c r="AV31" s="24"/>
      <c r="AW31" s="24"/>
      <c r="AX31" s="297"/>
      <c r="AY31" s="297"/>
      <c r="AZ31" s="24"/>
      <c r="BA31" s="183"/>
      <c r="BB31" s="24"/>
      <c r="BC31" s="24"/>
      <c r="BD31" s="24"/>
      <c r="BE31" s="24"/>
      <c r="BF31" s="24"/>
      <c r="BG31" s="24"/>
      <c r="BH31" s="183"/>
      <c r="BI31" s="24"/>
      <c r="BJ31" s="24"/>
      <c r="BK31" s="24"/>
      <c r="BL31" s="24"/>
      <c r="BM31" s="24"/>
    </row>
    <row r="32" spans="1:65" ht="14.25" customHeight="1">
      <c r="A32" s="15">
        <v>12</v>
      </c>
      <c r="B32" s="19" t="s">
        <v>58</v>
      </c>
      <c r="C32" s="184" t="s">
        <v>39</v>
      </c>
      <c r="D32" s="134">
        <v>7.7080000000000002</v>
      </c>
      <c r="E32" s="134">
        <f>D32*4</f>
        <v>30.832000000000001</v>
      </c>
      <c r="F32" s="134">
        <f>E32*8</f>
        <v>246.65600000000001</v>
      </c>
      <c r="G32" s="134"/>
      <c r="H32" s="185"/>
      <c r="I32" s="19"/>
      <c r="J32" s="19"/>
      <c r="K32" s="186"/>
      <c r="L32" s="178">
        <v>4.0570000000000004</v>
      </c>
      <c r="M32" s="15">
        <v>2.48</v>
      </c>
      <c r="N32" s="15">
        <v>6.0000000000000001E-3</v>
      </c>
      <c r="O32" s="15">
        <v>0.36499999999999999</v>
      </c>
      <c r="P32" s="180">
        <f t="shared" si="2"/>
        <v>6.9080000000000013</v>
      </c>
      <c r="Q32" s="178">
        <v>0.436</v>
      </c>
      <c r="R32" s="15">
        <v>0.01</v>
      </c>
      <c r="S32" s="180">
        <f>SUM(Q32:R32)</f>
        <v>0.44600000000000001</v>
      </c>
      <c r="T32" s="181" t="s">
        <v>57</v>
      </c>
      <c r="U32" s="181" t="s">
        <v>540</v>
      </c>
      <c r="V32" s="15"/>
      <c r="W32" s="191" t="s">
        <v>507</v>
      </c>
      <c r="X32" s="15">
        <v>229.64</v>
      </c>
      <c r="Y32" s="15">
        <v>2.81</v>
      </c>
      <c r="Z32" s="15">
        <v>21.11</v>
      </c>
      <c r="AA32" s="15"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82"/>
      <c r="AM32" s="142" t="s">
        <v>20</v>
      </c>
      <c r="AN32" s="135" t="s">
        <v>552</v>
      </c>
      <c r="AO32" s="135" t="s">
        <v>21</v>
      </c>
      <c r="AP32" s="372">
        <v>45679</v>
      </c>
      <c r="AQ32" s="372">
        <f t="shared" ref="AQ32:AR32" si="9">AR32-2</f>
        <v>45684</v>
      </c>
      <c r="AR32" s="372">
        <f t="shared" si="9"/>
        <v>45686</v>
      </c>
      <c r="AS32" s="372">
        <v>45688</v>
      </c>
      <c r="AT32" s="187" t="s">
        <v>543</v>
      </c>
      <c r="AU32" s="188"/>
      <c r="AV32" s="142" t="s">
        <v>20</v>
      </c>
      <c r="AW32" s="15" t="s">
        <v>548</v>
      </c>
      <c r="AX32" s="297">
        <v>45703</v>
      </c>
      <c r="AY32" s="297">
        <v>45703</v>
      </c>
      <c r="AZ32" s="187" t="s">
        <v>543</v>
      </c>
      <c r="BA32" s="188"/>
      <c r="BB32" s="142" t="s">
        <v>20</v>
      </c>
      <c r="BC32" s="135" t="s">
        <v>544</v>
      </c>
      <c r="BD32" s="135" t="s">
        <v>21</v>
      </c>
      <c r="BE32" s="298">
        <f>BF32-1</f>
        <v>45745</v>
      </c>
      <c r="BF32" s="298">
        <v>45746</v>
      </c>
      <c r="BG32" s="15" t="s">
        <v>510</v>
      </c>
      <c r="BH32" s="183"/>
      <c r="BI32" s="142" t="s">
        <v>20</v>
      </c>
      <c r="BJ32" s="135">
        <v>45831</v>
      </c>
      <c r="BK32" s="135">
        <v>45831</v>
      </c>
      <c r="BL32" s="25">
        <v>1001</v>
      </c>
      <c r="BM32" s="24" t="s">
        <v>545</v>
      </c>
    </row>
    <row r="33" spans="1:65" ht="14.25" hidden="1" customHeight="1">
      <c r="A33" s="15" t="s">
        <v>0</v>
      </c>
      <c r="B33" s="19"/>
      <c r="C33" s="184"/>
      <c r="D33" s="134"/>
      <c r="E33" s="134"/>
      <c r="F33" s="134"/>
      <c r="G33" s="134"/>
      <c r="H33" s="185"/>
      <c r="I33" s="19"/>
      <c r="J33" s="19"/>
      <c r="K33" s="186"/>
      <c r="L33" s="178"/>
      <c r="M33" s="15"/>
      <c r="N33" s="15"/>
      <c r="O33" s="15"/>
      <c r="P33" s="180">
        <f t="shared" si="2"/>
        <v>0</v>
      </c>
      <c r="Q33" s="178"/>
      <c r="R33" s="15"/>
      <c r="S33" s="180"/>
      <c r="T33" s="181"/>
      <c r="U33" s="181"/>
      <c r="V33" s="16">
        <v>306.00099999999998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82"/>
      <c r="AM33" s="15"/>
      <c r="AN33" s="24"/>
      <c r="AO33" s="24"/>
      <c r="AP33" s="24"/>
      <c r="AQ33" s="24"/>
      <c r="AR33" s="24"/>
      <c r="AS33" s="24"/>
      <c r="AT33" s="24"/>
      <c r="AU33" s="183"/>
      <c r="AV33" s="24"/>
      <c r="AW33" s="24"/>
      <c r="AX33" s="297"/>
      <c r="AY33" s="297"/>
      <c r="AZ33" s="24"/>
      <c r="BA33" s="183"/>
      <c r="BB33" s="24"/>
      <c r="BC33" s="24"/>
      <c r="BD33" s="24"/>
      <c r="BE33" s="24"/>
      <c r="BF33" s="24"/>
      <c r="BG33" s="24"/>
      <c r="BH33" s="183"/>
      <c r="BI33" s="24"/>
      <c r="BJ33" s="24"/>
      <c r="BK33" s="24"/>
      <c r="BL33" s="24"/>
      <c r="BM33" s="24"/>
    </row>
    <row r="34" spans="1:65" ht="14.25" customHeight="1">
      <c r="A34" s="15">
        <v>13</v>
      </c>
      <c r="B34" s="19" t="s">
        <v>59</v>
      </c>
      <c r="C34" s="184" t="s">
        <v>42</v>
      </c>
      <c r="D34" s="134">
        <v>6.3620000000000001</v>
      </c>
      <c r="E34" s="134">
        <f>D34*4</f>
        <v>25.448</v>
      </c>
      <c r="F34" s="134">
        <f>E34*8</f>
        <v>203.584</v>
      </c>
      <c r="G34" s="134"/>
      <c r="H34" s="185"/>
      <c r="I34" s="19"/>
      <c r="J34" s="19"/>
      <c r="K34" s="186"/>
      <c r="L34" s="178">
        <v>2.25</v>
      </c>
      <c r="M34" s="15">
        <v>2.1880000000000002</v>
      </c>
      <c r="N34" s="15">
        <v>2E-3</v>
      </c>
      <c r="O34" s="15">
        <v>0.183</v>
      </c>
      <c r="P34" s="180">
        <f t="shared" si="2"/>
        <v>4.6230000000000002</v>
      </c>
      <c r="Q34" s="178">
        <v>0.24399999999999999</v>
      </c>
      <c r="R34" s="15">
        <v>5.0000000000000001E-3</v>
      </c>
      <c r="S34" s="180">
        <f>SUM(Q34:R34)</f>
        <v>0.249</v>
      </c>
      <c r="T34" s="181" t="s">
        <v>31</v>
      </c>
      <c r="U34" s="181" t="s">
        <v>540</v>
      </c>
      <c r="V34" s="15"/>
      <c r="W34" s="191" t="s">
        <v>507</v>
      </c>
      <c r="X34" s="15">
        <v>143.36000000000001</v>
      </c>
      <c r="Y34" s="15">
        <v>1.68</v>
      </c>
      <c r="Z34" s="15">
        <v>11.97</v>
      </c>
      <c r="AA34" s="15"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82"/>
      <c r="AM34" s="142" t="s">
        <v>20</v>
      </c>
      <c r="AN34" s="135" t="str">
        <f>AO34</f>
        <v>D</v>
      </c>
      <c r="AO34" s="135" t="s">
        <v>21</v>
      </c>
      <c r="AP34" s="372">
        <f t="shared" ref="AP34:AR34" si="10">AQ34-2</f>
        <v>45704</v>
      </c>
      <c r="AQ34" s="372">
        <f t="shared" si="10"/>
        <v>45706</v>
      </c>
      <c r="AR34" s="372">
        <f t="shared" si="10"/>
        <v>45708</v>
      </c>
      <c r="AS34" s="372">
        <v>45710</v>
      </c>
      <c r="AT34" s="24" t="s">
        <v>550</v>
      </c>
      <c r="AU34" s="183"/>
      <c r="AV34" s="142" t="s">
        <v>20</v>
      </c>
      <c r="AW34" s="15" t="s">
        <v>548</v>
      </c>
      <c r="AX34" s="297">
        <v>45703</v>
      </c>
      <c r="AY34" s="297">
        <v>45703</v>
      </c>
      <c r="AZ34" s="187" t="s">
        <v>543</v>
      </c>
      <c r="BA34" s="188"/>
      <c r="BB34" s="142" t="s">
        <v>20</v>
      </c>
      <c r="BC34" s="135" t="s">
        <v>544</v>
      </c>
      <c r="BD34" s="135" t="s">
        <v>21</v>
      </c>
      <c r="BE34" s="298">
        <f>BF34-1</f>
        <v>45743</v>
      </c>
      <c r="BF34" s="298">
        <v>45744</v>
      </c>
      <c r="BG34" s="15" t="s">
        <v>510</v>
      </c>
      <c r="BH34" s="183"/>
      <c r="BI34" s="142" t="s">
        <v>20</v>
      </c>
      <c r="BJ34" s="135">
        <v>45831</v>
      </c>
      <c r="BK34" s="135">
        <v>45831</v>
      </c>
      <c r="BL34" s="25">
        <v>980</v>
      </c>
      <c r="BM34" s="190" t="s">
        <v>545</v>
      </c>
    </row>
    <row r="35" spans="1:65" ht="14.25" hidden="1" customHeight="1">
      <c r="A35" s="15" t="s">
        <v>0</v>
      </c>
      <c r="B35" s="19"/>
      <c r="C35" s="184"/>
      <c r="D35" s="134"/>
      <c r="E35" s="134"/>
      <c r="F35" s="134"/>
      <c r="G35" s="134"/>
      <c r="H35" s="185"/>
      <c r="I35" s="19"/>
      <c r="J35" s="19"/>
      <c r="K35" s="186"/>
      <c r="L35" s="178"/>
      <c r="M35" s="15"/>
      <c r="N35" s="15"/>
      <c r="O35" s="15"/>
      <c r="P35" s="180">
        <f t="shared" si="2"/>
        <v>0</v>
      </c>
      <c r="Q35" s="178"/>
      <c r="R35" s="15"/>
      <c r="S35" s="180"/>
      <c r="T35" s="181"/>
      <c r="U35" s="181"/>
      <c r="V35" s="16">
        <v>393.92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82"/>
      <c r="AM35" s="15"/>
      <c r="AN35" s="24"/>
      <c r="AO35" s="24"/>
      <c r="AP35" s="24"/>
      <c r="AQ35" s="24"/>
      <c r="AR35" s="24"/>
      <c r="AS35" s="24"/>
      <c r="AT35" s="24"/>
      <c r="AU35" s="183"/>
      <c r="AV35" s="24"/>
      <c r="AW35" s="24"/>
      <c r="AX35" s="297"/>
      <c r="AY35" s="297"/>
      <c r="AZ35" s="24"/>
      <c r="BA35" s="183"/>
      <c r="BB35" s="24"/>
      <c r="BC35" s="24"/>
      <c r="BD35" s="24"/>
      <c r="BE35" s="24"/>
      <c r="BF35" s="24"/>
      <c r="BG35" s="24"/>
      <c r="BH35" s="183"/>
      <c r="BI35" s="24"/>
      <c r="BJ35" s="24"/>
      <c r="BK35" s="24"/>
      <c r="BL35" s="24"/>
      <c r="BM35" s="24"/>
    </row>
    <row r="36" spans="1:65" ht="14.25" customHeight="1">
      <c r="A36" s="15">
        <v>14</v>
      </c>
      <c r="B36" s="19" t="s">
        <v>61</v>
      </c>
      <c r="C36" s="184" t="s">
        <v>62</v>
      </c>
      <c r="D36" s="134">
        <v>11.987</v>
      </c>
      <c r="E36" s="134">
        <f>D36*4</f>
        <v>47.948</v>
      </c>
      <c r="F36" s="134">
        <f>E36*8</f>
        <v>383.584</v>
      </c>
      <c r="G36" s="134"/>
      <c r="H36" s="185"/>
      <c r="I36" s="19"/>
      <c r="J36" s="19"/>
      <c r="K36" s="186"/>
      <c r="L36" s="178">
        <v>5.9039999999999999</v>
      </c>
      <c r="M36" s="15">
        <v>5.5410000000000004</v>
      </c>
      <c r="N36" s="15">
        <v>7.4999999999999997E-3</v>
      </c>
      <c r="O36" s="15">
        <v>0.53500000000000003</v>
      </c>
      <c r="P36" s="180">
        <f t="shared" si="2"/>
        <v>11.987500000000001</v>
      </c>
      <c r="Q36" s="178">
        <v>0.55700000000000005</v>
      </c>
      <c r="R36" s="15">
        <v>0.01</v>
      </c>
      <c r="S36" s="180">
        <f>SUM(Q36:R36)</f>
        <v>0.56700000000000006</v>
      </c>
      <c r="T36" s="181" t="s">
        <v>60</v>
      </c>
      <c r="U36" s="181" t="s">
        <v>540</v>
      </c>
      <c r="V36" s="15"/>
      <c r="W36" s="191" t="s">
        <v>541</v>
      </c>
      <c r="X36" s="15">
        <v>220.64</v>
      </c>
      <c r="Y36" s="15">
        <v>3.61</v>
      </c>
      <c r="Z36" s="15">
        <v>27.92</v>
      </c>
      <c r="AA36" s="15"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82"/>
      <c r="AM36" s="142" t="s">
        <v>20</v>
      </c>
      <c r="AN36" s="135" t="s">
        <v>21</v>
      </c>
      <c r="AO36" s="135" t="s">
        <v>21</v>
      </c>
      <c r="AP36" s="372">
        <f t="shared" ref="AP36:AQ36" si="11">AQ36-2</f>
        <v>45731</v>
      </c>
      <c r="AQ36" s="372">
        <f t="shared" si="11"/>
        <v>45733</v>
      </c>
      <c r="AR36" s="372">
        <f>AS36-3</f>
        <v>45735</v>
      </c>
      <c r="AS36" s="372">
        <v>45738</v>
      </c>
      <c r="AT36" s="24" t="s">
        <v>550</v>
      </c>
      <c r="AU36" s="183"/>
      <c r="AV36" s="142" t="s">
        <v>20</v>
      </c>
      <c r="AW36" s="15" t="s">
        <v>6</v>
      </c>
      <c r="AX36" s="297">
        <f>AY36</f>
        <v>45661</v>
      </c>
      <c r="AY36" s="297">
        <v>45661</v>
      </c>
      <c r="AZ36" s="187" t="s">
        <v>543</v>
      </c>
      <c r="BA36" s="188"/>
      <c r="BB36" s="142" t="s">
        <v>20</v>
      </c>
      <c r="BC36" s="135" t="s">
        <v>544</v>
      </c>
      <c r="BD36" s="135" t="s">
        <v>21</v>
      </c>
      <c r="BE36" s="298">
        <f>BF36-2</f>
        <v>45802</v>
      </c>
      <c r="BF36" s="298">
        <v>45804</v>
      </c>
      <c r="BG36" s="17" t="s">
        <v>553</v>
      </c>
      <c r="BH36" s="183"/>
      <c r="BI36" s="142" t="s">
        <v>20</v>
      </c>
      <c r="BJ36" s="135">
        <v>45837</v>
      </c>
      <c r="BK36" s="135">
        <v>45837</v>
      </c>
      <c r="BL36" s="25">
        <v>1750</v>
      </c>
      <c r="BM36" s="190" t="s">
        <v>545</v>
      </c>
    </row>
    <row r="37" spans="1:65" ht="14.25" hidden="1" customHeight="1">
      <c r="A37" s="15" t="s">
        <v>0</v>
      </c>
      <c r="B37" s="19"/>
      <c r="C37" s="184"/>
      <c r="D37" s="134"/>
      <c r="E37" s="134"/>
      <c r="F37" s="134"/>
      <c r="G37" s="134"/>
      <c r="H37" s="185"/>
      <c r="I37" s="19"/>
      <c r="J37" s="19"/>
      <c r="K37" s="186"/>
      <c r="L37" s="178"/>
      <c r="M37" s="15"/>
      <c r="N37" s="15"/>
      <c r="O37" s="15"/>
      <c r="P37" s="180">
        <f t="shared" si="2"/>
        <v>0</v>
      </c>
      <c r="Q37" s="178"/>
      <c r="R37" s="15"/>
      <c r="S37" s="180"/>
      <c r="T37" s="181"/>
      <c r="U37" s="181"/>
      <c r="V37" s="16">
        <v>356.66399999999999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82"/>
      <c r="AM37" s="15"/>
      <c r="AN37" s="24"/>
      <c r="AO37" s="24"/>
      <c r="AP37" s="24"/>
      <c r="AQ37" s="24"/>
      <c r="AR37" s="24"/>
      <c r="AS37" s="24"/>
      <c r="AT37" s="24"/>
      <c r="AU37" s="183"/>
      <c r="AV37" s="24"/>
      <c r="AW37" s="24"/>
      <c r="AX37" s="297"/>
      <c r="AY37" s="297"/>
      <c r="AZ37" s="24"/>
      <c r="BA37" s="183"/>
      <c r="BB37" s="24"/>
      <c r="BC37" s="24"/>
      <c r="BD37" s="24"/>
      <c r="BE37" s="24"/>
      <c r="BF37" s="24"/>
      <c r="BG37" s="24"/>
      <c r="BH37" s="183"/>
      <c r="BI37" s="24"/>
      <c r="BJ37" s="24"/>
      <c r="BK37" s="24"/>
      <c r="BL37" s="24"/>
      <c r="BM37" s="24"/>
    </row>
    <row r="38" spans="1:65" ht="14.25" customHeight="1">
      <c r="A38" s="15">
        <v>15</v>
      </c>
      <c r="B38" s="19" t="s">
        <v>64</v>
      </c>
      <c r="C38" s="184" t="s">
        <v>65</v>
      </c>
      <c r="D38" s="134">
        <v>9.5440000000000005</v>
      </c>
      <c r="E38" s="134">
        <f>D38*4</f>
        <v>38.176000000000002</v>
      </c>
      <c r="F38" s="134">
        <f>E38*8</f>
        <v>305.40800000000002</v>
      </c>
      <c r="G38" s="134"/>
      <c r="H38" s="185"/>
      <c r="I38" s="19"/>
      <c r="J38" s="19"/>
      <c r="K38" s="186"/>
      <c r="L38" s="178">
        <v>4.9380000000000006</v>
      </c>
      <c r="M38" s="15">
        <v>3.609</v>
      </c>
      <c r="N38" s="15">
        <v>6.3E-3</v>
      </c>
      <c r="O38" s="15">
        <v>0.42399999999999999</v>
      </c>
      <c r="P38" s="180">
        <f t="shared" si="2"/>
        <v>8.9772999999999996</v>
      </c>
      <c r="Q38" s="178">
        <v>0.436</v>
      </c>
      <c r="R38" s="15">
        <v>0.01</v>
      </c>
      <c r="S38" s="180">
        <f>SUM(Q38:R38)</f>
        <v>0.44600000000000001</v>
      </c>
      <c r="T38" s="181" t="s">
        <v>63</v>
      </c>
      <c r="U38" s="181" t="s">
        <v>540</v>
      </c>
      <c r="V38" s="15"/>
      <c r="W38" s="15" t="s">
        <v>546</v>
      </c>
      <c r="X38" s="15">
        <v>184.48</v>
      </c>
      <c r="Y38" s="15">
        <v>2.2200000000000002</v>
      </c>
      <c r="Z38" s="15">
        <v>17.649999999999999</v>
      </c>
      <c r="AA38" s="15">
        <f>Y38+Z38</f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82"/>
      <c r="AM38" s="142" t="s">
        <v>20</v>
      </c>
      <c r="AN38" s="135" t="str">
        <f>AO38</f>
        <v>D</v>
      </c>
      <c r="AO38" s="135" t="s">
        <v>21</v>
      </c>
      <c r="AP38" s="372">
        <v>45679</v>
      </c>
      <c r="AQ38" s="372">
        <f>AP38+2</f>
        <v>45681</v>
      </c>
      <c r="AR38" s="372">
        <f>AS38-2</f>
        <v>45688</v>
      </c>
      <c r="AS38" s="372">
        <v>45690</v>
      </c>
      <c r="AT38" s="24" t="s">
        <v>550</v>
      </c>
      <c r="AU38" s="183"/>
      <c r="AV38" s="142" t="s">
        <v>20</v>
      </c>
      <c r="AW38" s="15" t="s">
        <v>548</v>
      </c>
      <c r="AX38" s="297">
        <v>45703</v>
      </c>
      <c r="AY38" s="297">
        <v>45703</v>
      </c>
      <c r="AZ38" s="187" t="s">
        <v>543</v>
      </c>
      <c r="BA38" s="188"/>
      <c r="BB38" s="142" t="s">
        <v>20</v>
      </c>
      <c r="BC38" s="135" t="s">
        <v>547</v>
      </c>
      <c r="BD38" s="135" t="s">
        <v>21</v>
      </c>
      <c r="BE38" s="298">
        <f>BF38-2</f>
        <v>45766</v>
      </c>
      <c r="BF38" s="298">
        <v>45768</v>
      </c>
      <c r="BG38" s="15" t="s">
        <v>510</v>
      </c>
      <c r="BH38" s="193"/>
      <c r="BI38" s="142" t="s">
        <v>20</v>
      </c>
      <c r="BJ38" s="135">
        <v>45831</v>
      </c>
      <c r="BK38" s="135">
        <v>45831</v>
      </c>
      <c r="BL38" s="25">
        <v>1657</v>
      </c>
      <c r="BM38" s="190" t="s">
        <v>545</v>
      </c>
    </row>
    <row r="39" spans="1:65" ht="14.25" hidden="1" customHeight="1">
      <c r="A39" s="15" t="s">
        <v>0</v>
      </c>
      <c r="B39" s="19"/>
      <c r="C39" s="184"/>
      <c r="D39" s="134"/>
      <c r="E39" s="134"/>
      <c r="F39" s="134"/>
      <c r="G39" s="134"/>
      <c r="H39" s="185"/>
      <c r="I39" s="19"/>
      <c r="J39" s="19"/>
      <c r="K39" s="186"/>
      <c r="L39" s="178"/>
      <c r="M39" s="15"/>
      <c r="N39" s="15"/>
      <c r="O39" s="15"/>
      <c r="P39" s="180">
        <f t="shared" si="2"/>
        <v>0</v>
      </c>
      <c r="Q39" s="178"/>
      <c r="R39" s="15"/>
      <c r="S39" s="180"/>
      <c r="T39" s="181"/>
      <c r="U39" s="181"/>
      <c r="V39" s="16">
        <v>174.20500000000001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82"/>
      <c r="AM39" s="15"/>
      <c r="AN39" s="24"/>
      <c r="AO39" s="24"/>
      <c r="AP39" s="24"/>
      <c r="AQ39" s="24"/>
      <c r="AR39" s="24"/>
      <c r="AS39" s="24"/>
      <c r="AT39" s="24"/>
      <c r="AU39" s="183"/>
      <c r="AV39" s="24"/>
      <c r="AW39" s="24"/>
      <c r="AX39" s="297"/>
      <c r="AY39" s="297"/>
      <c r="AZ39" s="24"/>
      <c r="BA39" s="183"/>
      <c r="BB39" s="24"/>
      <c r="BC39" s="24"/>
      <c r="BD39" s="24"/>
      <c r="BE39" s="24"/>
      <c r="BF39" s="24"/>
      <c r="BG39" s="24"/>
      <c r="BH39" s="183"/>
      <c r="BI39" s="24"/>
      <c r="BJ39" s="24"/>
      <c r="BK39" s="24"/>
      <c r="BL39" s="24"/>
      <c r="BM39" s="24"/>
    </row>
    <row r="40" spans="1:65" ht="14.25" customHeight="1">
      <c r="A40" s="15">
        <v>16</v>
      </c>
      <c r="B40" s="19" t="s">
        <v>67</v>
      </c>
      <c r="C40" s="184" t="s">
        <v>51</v>
      </c>
      <c r="D40" s="134">
        <v>10.82</v>
      </c>
      <c r="E40" s="134">
        <f>D40*4</f>
        <v>43.28</v>
      </c>
      <c r="F40" s="134">
        <f>E40*8</f>
        <v>346.24</v>
      </c>
      <c r="G40" s="134"/>
      <c r="H40" s="185"/>
      <c r="I40" s="19"/>
      <c r="J40" s="19"/>
      <c r="K40" s="186"/>
      <c r="L40" s="178">
        <v>5.4920000000000009</v>
      </c>
      <c r="M40" s="15">
        <v>5.0969999999999995</v>
      </c>
      <c r="N40" s="15">
        <v>7.4000000000000003E-3</v>
      </c>
      <c r="O40" s="15">
        <v>0.502</v>
      </c>
      <c r="P40" s="180">
        <f t="shared" si="2"/>
        <v>11.098400000000002</v>
      </c>
      <c r="Q40" s="178">
        <v>0.55700000000000005</v>
      </c>
      <c r="R40" s="15">
        <v>0.01</v>
      </c>
      <c r="S40" s="180">
        <f>SUM(Q40:R40)</f>
        <v>0.56700000000000006</v>
      </c>
      <c r="T40" s="181" t="s">
        <v>66</v>
      </c>
      <c r="U40" s="181" t="s">
        <v>540</v>
      </c>
      <c r="V40" s="15"/>
      <c r="W40" s="191" t="s">
        <v>546</v>
      </c>
      <c r="X40" s="15">
        <v>268.58</v>
      </c>
      <c r="Y40" s="15">
        <v>3.33</v>
      </c>
      <c r="Z40" s="15">
        <v>26.1</v>
      </c>
      <c r="AA40" s="15"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82"/>
      <c r="AM40" s="142" t="s">
        <v>20</v>
      </c>
      <c r="AN40" s="135" t="str">
        <f>AO40</f>
        <v>D</v>
      </c>
      <c r="AO40" s="135" t="s">
        <v>21</v>
      </c>
      <c r="AP40" s="372">
        <f t="shared" ref="AP40:AR40" si="12">AQ40-2</f>
        <v>45700</v>
      </c>
      <c r="AQ40" s="372">
        <f t="shared" si="12"/>
        <v>45702</v>
      </c>
      <c r="AR40" s="372">
        <f t="shared" si="12"/>
        <v>45704</v>
      </c>
      <c r="AS40" s="372">
        <v>45706</v>
      </c>
      <c r="AT40" s="24" t="s">
        <v>550</v>
      </c>
      <c r="AU40" s="183"/>
      <c r="AV40" s="142" t="s">
        <v>20</v>
      </c>
      <c r="AW40" s="15" t="s">
        <v>548</v>
      </c>
      <c r="AX40" s="297">
        <v>45703</v>
      </c>
      <c r="AY40" s="297">
        <v>45703</v>
      </c>
      <c r="AZ40" s="187" t="s">
        <v>543</v>
      </c>
      <c r="BA40" s="188"/>
      <c r="BB40" s="142" t="s">
        <v>20</v>
      </c>
      <c r="BC40" s="135" t="s">
        <v>547</v>
      </c>
      <c r="BD40" s="135" t="s">
        <v>21</v>
      </c>
      <c r="BE40" s="298">
        <f>BF40-2</f>
        <v>45778</v>
      </c>
      <c r="BF40" s="298">
        <v>45780</v>
      </c>
      <c r="BG40" s="15" t="s">
        <v>510</v>
      </c>
      <c r="BH40" s="183"/>
      <c r="BI40" s="142" t="s">
        <v>20</v>
      </c>
      <c r="BJ40" s="135">
        <v>45802</v>
      </c>
      <c r="BK40" s="135">
        <v>45802</v>
      </c>
      <c r="BL40" s="25">
        <v>1552</v>
      </c>
      <c r="BM40" s="190" t="s">
        <v>545</v>
      </c>
    </row>
    <row r="41" spans="1:65" ht="14.25" hidden="1" customHeight="1">
      <c r="A41" s="15" t="s">
        <v>0</v>
      </c>
      <c r="B41" s="19"/>
      <c r="C41" s="184"/>
      <c r="D41" s="134"/>
      <c r="E41" s="134"/>
      <c r="F41" s="134"/>
      <c r="G41" s="134"/>
      <c r="H41" s="185"/>
      <c r="I41" s="19"/>
      <c r="J41" s="19"/>
      <c r="K41" s="186"/>
      <c r="L41" s="178"/>
      <c r="M41" s="15"/>
      <c r="N41" s="15"/>
      <c r="O41" s="15"/>
      <c r="P41" s="180">
        <f t="shared" si="2"/>
        <v>0</v>
      </c>
      <c r="Q41" s="178"/>
      <c r="R41" s="15"/>
      <c r="S41" s="180"/>
      <c r="T41" s="181"/>
      <c r="U41" s="181"/>
      <c r="V41" s="16">
        <v>229.73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82"/>
      <c r="AM41" s="15"/>
      <c r="AN41" s="24"/>
      <c r="AO41" s="24"/>
      <c r="AP41" s="24"/>
      <c r="AQ41" s="24"/>
      <c r="AR41" s="24"/>
      <c r="AS41" s="24"/>
      <c r="AT41" s="24"/>
      <c r="AU41" s="183"/>
      <c r="AV41" s="24"/>
      <c r="AW41" s="24"/>
      <c r="AX41" s="297"/>
      <c r="AY41" s="297"/>
      <c r="AZ41" s="24"/>
      <c r="BA41" s="183"/>
      <c r="BB41" s="24"/>
      <c r="BC41" s="24"/>
      <c r="BD41" s="24"/>
      <c r="BE41" s="24"/>
      <c r="BF41" s="24"/>
      <c r="BG41" s="24"/>
      <c r="BH41" s="183"/>
      <c r="BI41" s="24"/>
      <c r="BJ41" s="24"/>
      <c r="BK41" s="24"/>
      <c r="BL41" s="24"/>
      <c r="BM41" s="24"/>
    </row>
    <row r="42" spans="1:65" ht="14.25" customHeight="1">
      <c r="A42" s="15">
        <v>17</v>
      </c>
      <c r="B42" s="19" t="s">
        <v>69</v>
      </c>
      <c r="C42" s="184" t="s">
        <v>70</v>
      </c>
      <c r="D42" s="134">
        <v>10.468</v>
      </c>
      <c r="E42" s="134">
        <f>D42*4</f>
        <v>41.872</v>
      </c>
      <c r="F42" s="134">
        <f>E42*8</f>
        <v>334.976</v>
      </c>
      <c r="G42" s="134"/>
      <c r="H42" s="185"/>
      <c r="I42" s="19"/>
      <c r="J42" s="19"/>
      <c r="K42" s="186"/>
      <c r="L42" s="178">
        <v>4.351</v>
      </c>
      <c r="M42" s="15">
        <v>4.2219999999999995</v>
      </c>
      <c r="N42" s="15">
        <v>4.3E-3</v>
      </c>
      <c r="O42" s="15">
        <v>0.32100000000000001</v>
      </c>
      <c r="P42" s="180">
        <f t="shared" si="2"/>
        <v>8.8983000000000008</v>
      </c>
      <c r="Q42" s="178">
        <v>0.36299999999999999</v>
      </c>
      <c r="R42" s="15">
        <v>6.0000000000000001E-3</v>
      </c>
      <c r="S42" s="180">
        <f>SUM(Q42:R42)</f>
        <v>0.36899999999999999</v>
      </c>
      <c r="T42" s="181" t="s">
        <v>68</v>
      </c>
      <c r="U42" s="181" t="s">
        <v>540</v>
      </c>
      <c r="V42" s="15"/>
      <c r="W42" s="15" t="s">
        <v>541</v>
      </c>
      <c r="X42" s="15">
        <v>103.6</v>
      </c>
      <c r="Y42" s="15">
        <v>1.8</v>
      </c>
      <c r="Z42" s="15">
        <v>13.84</v>
      </c>
      <c r="AA42" s="15">
        <f>Y42+Z42</f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82"/>
      <c r="AM42" s="142" t="s">
        <v>20</v>
      </c>
      <c r="AN42" s="135" t="str">
        <f>AO42</f>
        <v>D</v>
      </c>
      <c r="AO42" s="135" t="s">
        <v>21</v>
      </c>
      <c r="AP42" s="372">
        <f t="shared" ref="AP42:AQ42" si="13">AQ42-1</f>
        <v>45689</v>
      </c>
      <c r="AQ42" s="372">
        <f t="shared" si="13"/>
        <v>45690</v>
      </c>
      <c r="AR42" s="372">
        <f>AS42-2</f>
        <v>45691</v>
      </c>
      <c r="AS42" s="372">
        <v>45693</v>
      </c>
      <c r="AT42" s="24" t="s">
        <v>550</v>
      </c>
      <c r="AU42" s="183"/>
      <c r="AV42" s="142" t="s">
        <v>20</v>
      </c>
      <c r="AW42" s="15" t="s">
        <v>6</v>
      </c>
      <c r="AX42" s="297">
        <f>AY42</f>
        <v>45661</v>
      </c>
      <c r="AY42" s="297">
        <v>45661</v>
      </c>
      <c r="AZ42" s="187" t="s">
        <v>543</v>
      </c>
      <c r="BA42" s="188"/>
      <c r="BB42" s="142" t="s">
        <v>20</v>
      </c>
      <c r="BC42" s="135" t="s">
        <v>547</v>
      </c>
      <c r="BD42" s="135" t="s">
        <v>21</v>
      </c>
      <c r="BE42" s="298">
        <f>BF42-2</f>
        <v>45805</v>
      </c>
      <c r="BF42" s="298">
        <v>45807</v>
      </c>
      <c r="BG42" s="15" t="s">
        <v>510</v>
      </c>
      <c r="BH42" s="193"/>
      <c r="BI42" s="142" t="s">
        <v>20</v>
      </c>
      <c r="BJ42" s="135">
        <v>45802</v>
      </c>
      <c r="BK42" s="135">
        <v>45802</v>
      </c>
      <c r="BL42" s="25">
        <v>2144</v>
      </c>
      <c r="BM42" s="190" t="s">
        <v>545</v>
      </c>
    </row>
    <row r="43" spans="1:65" ht="14.25" hidden="1" customHeight="1">
      <c r="A43" s="15" t="s">
        <v>0</v>
      </c>
      <c r="B43" s="19"/>
      <c r="C43" s="184"/>
      <c r="D43" s="134"/>
      <c r="E43" s="134"/>
      <c r="F43" s="134"/>
      <c r="G43" s="134"/>
      <c r="H43" s="185"/>
      <c r="I43" s="19"/>
      <c r="J43" s="19"/>
      <c r="K43" s="186"/>
      <c r="L43" s="178"/>
      <c r="M43" s="15"/>
      <c r="N43" s="15"/>
      <c r="O43" s="15"/>
      <c r="P43" s="180">
        <f t="shared" si="2"/>
        <v>0</v>
      </c>
      <c r="Q43" s="178"/>
      <c r="R43" s="15"/>
      <c r="S43" s="180"/>
      <c r="T43" s="181"/>
      <c r="U43" s="181"/>
      <c r="V43" s="16">
        <v>391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82"/>
      <c r="AM43" s="15"/>
      <c r="AN43" s="24"/>
      <c r="AO43" s="24"/>
      <c r="AP43" s="24"/>
      <c r="AQ43" s="24"/>
      <c r="AR43" s="24"/>
      <c r="AS43" s="24"/>
      <c r="AT43" s="24"/>
      <c r="AU43" s="183"/>
      <c r="AV43" s="24"/>
      <c r="AW43" s="24"/>
      <c r="AX43" s="297"/>
      <c r="AY43" s="297"/>
      <c r="AZ43" s="24"/>
      <c r="BA43" s="183"/>
      <c r="BB43" s="24"/>
      <c r="BC43" s="24"/>
      <c r="BD43" s="24"/>
      <c r="BE43" s="24"/>
      <c r="BF43" s="24"/>
      <c r="BG43" s="24"/>
      <c r="BH43" s="183"/>
      <c r="BI43" s="24"/>
      <c r="BJ43" s="24"/>
      <c r="BK43" s="24"/>
      <c r="BL43" s="24"/>
      <c r="BM43" s="24"/>
    </row>
    <row r="44" spans="1:65" ht="14.25" customHeight="1">
      <c r="A44" s="15">
        <v>18</v>
      </c>
      <c r="B44" s="19" t="s">
        <v>71</v>
      </c>
      <c r="C44" s="184" t="s">
        <v>56</v>
      </c>
      <c r="D44" s="134">
        <v>7.6219999999999999</v>
      </c>
      <c r="E44" s="134">
        <f>D44*4</f>
        <v>30.488</v>
      </c>
      <c r="F44" s="134">
        <f>E44*8</f>
        <v>243.904</v>
      </c>
      <c r="G44" s="134"/>
      <c r="H44" s="185"/>
      <c r="I44" s="19"/>
      <c r="J44" s="19"/>
      <c r="K44" s="186"/>
      <c r="L44" s="178">
        <v>2.6789999999999998</v>
      </c>
      <c r="M44" s="15">
        <v>3.133</v>
      </c>
      <c r="N44" s="15">
        <v>2.3E-3</v>
      </c>
      <c r="O44" s="15">
        <v>0.23299999999999998</v>
      </c>
      <c r="P44" s="180">
        <f t="shared" si="2"/>
        <v>6.047299999999999</v>
      </c>
      <c r="Q44" s="178">
        <v>0.24399999999999999</v>
      </c>
      <c r="R44" s="15">
        <v>5.0000000000000001E-3</v>
      </c>
      <c r="S44" s="180">
        <f>SUM(Q44:R44)</f>
        <v>0.249</v>
      </c>
      <c r="T44" s="181" t="s">
        <v>31</v>
      </c>
      <c r="U44" s="181" t="s">
        <v>540</v>
      </c>
      <c r="V44" s="15"/>
      <c r="W44" s="15" t="s">
        <v>546</v>
      </c>
      <c r="X44" s="15">
        <v>121.84</v>
      </c>
      <c r="Y44" s="15">
        <v>1.4</v>
      </c>
      <c r="Z44" s="15">
        <v>10.63</v>
      </c>
      <c r="AA44" s="15"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82"/>
      <c r="AM44" s="142" t="s">
        <v>20</v>
      </c>
      <c r="AN44" s="135" t="str">
        <f>AO44</f>
        <v>D</v>
      </c>
      <c r="AO44" s="135" t="s">
        <v>21</v>
      </c>
      <c r="AP44" s="372">
        <f t="shared" ref="AP44:AQ44" si="14">AQ44-1</f>
        <v>45677</v>
      </c>
      <c r="AQ44" s="372">
        <f t="shared" si="14"/>
        <v>45678</v>
      </c>
      <c r="AR44" s="372">
        <f>AS44-2</f>
        <v>45679</v>
      </c>
      <c r="AS44" s="372">
        <v>45681</v>
      </c>
      <c r="AT44" s="24" t="s">
        <v>550</v>
      </c>
      <c r="AU44" s="183"/>
      <c r="AV44" s="142" t="s">
        <v>20</v>
      </c>
      <c r="AW44" s="15" t="s">
        <v>548</v>
      </c>
      <c r="AX44" s="297">
        <v>45703</v>
      </c>
      <c r="AY44" s="297">
        <v>45703</v>
      </c>
      <c r="AZ44" s="187" t="s">
        <v>543</v>
      </c>
      <c r="BA44" s="188"/>
      <c r="BB44" s="142" t="s">
        <v>20</v>
      </c>
      <c r="BC44" s="135" t="s">
        <v>544</v>
      </c>
      <c r="BD44" s="135" t="s">
        <v>21</v>
      </c>
      <c r="BE44" s="298">
        <f>BF44</f>
        <v>45742</v>
      </c>
      <c r="BF44" s="298">
        <v>45742</v>
      </c>
      <c r="BG44" s="15" t="s">
        <v>510</v>
      </c>
      <c r="BH44" s="194"/>
      <c r="BI44" s="142" t="s">
        <v>20</v>
      </c>
      <c r="BJ44" s="135">
        <v>45818</v>
      </c>
      <c r="BK44" s="135">
        <f>BJ44</f>
        <v>45818</v>
      </c>
      <c r="BL44" s="25">
        <v>1545</v>
      </c>
      <c r="BM44" s="190" t="s">
        <v>545</v>
      </c>
    </row>
    <row r="45" spans="1:65" ht="14.25" hidden="1" customHeight="1">
      <c r="A45" s="15" t="s">
        <v>0</v>
      </c>
      <c r="B45" s="19"/>
      <c r="C45" s="184"/>
      <c r="D45" s="134"/>
      <c r="E45" s="134"/>
      <c r="F45" s="134"/>
      <c r="G45" s="134"/>
      <c r="H45" s="185"/>
      <c r="I45" s="19"/>
      <c r="J45" s="19"/>
      <c r="K45" s="186"/>
      <c r="L45" s="178"/>
      <c r="M45" s="15"/>
      <c r="N45" s="15"/>
      <c r="O45" s="15"/>
      <c r="P45" s="180">
        <f t="shared" si="2"/>
        <v>0</v>
      </c>
      <c r="Q45" s="178"/>
      <c r="R45" s="15"/>
      <c r="S45" s="180"/>
      <c r="T45" s="181"/>
      <c r="U45" s="181"/>
      <c r="V45" s="16">
        <v>328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82"/>
      <c r="AM45" s="15"/>
      <c r="AN45" s="24"/>
      <c r="AO45" s="24"/>
      <c r="AP45" s="24"/>
      <c r="AQ45" s="24"/>
      <c r="AR45" s="24"/>
      <c r="AS45" s="24"/>
      <c r="AT45" s="24"/>
      <c r="AU45" s="183"/>
      <c r="AV45" s="24"/>
      <c r="AW45" s="24"/>
      <c r="AX45" s="297"/>
      <c r="AY45" s="297"/>
      <c r="AZ45" s="24"/>
      <c r="BA45" s="183"/>
      <c r="BB45" s="24"/>
      <c r="BC45" s="24"/>
      <c r="BD45" s="24"/>
      <c r="BE45" s="24"/>
      <c r="BF45" s="24"/>
      <c r="BG45" s="24"/>
      <c r="BH45" s="183"/>
      <c r="BI45" s="24"/>
      <c r="BJ45" s="24"/>
      <c r="BK45" s="135"/>
      <c r="BL45" s="24"/>
      <c r="BM45" s="24"/>
    </row>
    <row r="46" spans="1:65" ht="14.25" customHeight="1">
      <c r="A46" s="15">
        <v>19</v>
      </c>
      <c r="B46" s="19" t="s">
        <v>72</v>
      </c>
      <c r="C46" s="184" t="s">
        <v>37</v>
      </c>
      <c r="D46" s="134">
        <v>6.992</v>
      </c>
      <c r="E46" s="134">
        <f>D46*4</f>
        <v>27.968</v>
      </c>
      <c r="F46" s="134">
        <f>E46*8</f>
        <v>223.744</v>
      </c>
      <c r="G46" s="134"/>
      <c r="H46" s="185"/>
      <c r="I46" s="19"/>
      <c r="J46" s="19"/>
      <c r="K46" s="186"/>
      <c r="L46" s="178">
        <v>2.6070000000000002</v>
      </c>
      <c r="M46" s="15">
        <v>2.657</v>
      </c>
      <c r="N46" s="15">
        <v>2E-3</v>
      </c>
      <c r="O46" s="15">
        <v>0.21299999999999999</v>
      </c>
      <c r="P46" s="180">
        <f t="shared" si="2"/>
        <v>5.4790000000000001</v>
      </c>
      <c r="Q46" s="178">
        <v>0.24399999999999999</v>
      </c>
      <c r="R46" s="15">
        <v>5.0000000000000001E-3</v>
      </c>
      <c r="S46" s="180">
        <f>SUM(Q46:R46)</f>
        <v>0.249</v>
      </c>
      <c r="T46" s="181" t="s">
        <v>31</v>
      </c>
      <c r="U46" s="181" t="s">
        <v>540</v>
      </c>
      <c r="V46" s="15"/>
      <c r="W46" s="15" t="s">
        <v>546</v>
      </c>
      <c r="X46" s="15">
        <v>121.84</v>
      </c>
      <c r="Y46" s="15">
        <v>1.4</v>
      </c>
      <c r="Z46" s="15">
        <v>10.63</v>
      </c>
      <c r="AA46" s="15"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82"/>
      <c r="AM46" s="142" t="s">
        <v>20</v>
      </c>
      <c r="AN46" s="135" t="str">
        <f>AO46</f>
        <v>D</v>
      </c>
      <c r="AO46" s="135" t="s">
        <v>21</v>
      </c>
      <c r="AP46" s="372">
        <v>45666</v>
      </c>
      <c r="AQ46" s="372">
        <f>AP46+3</f>
        <v>45669</v>
      </c>
      <c r="AR46" s="372">
        <f>AS46-2</f>
        <v>45673</v>
      </c>
      <c r="AS46" s="372">
        <v>45675</v>
      </c>
      <c r="AT46" s="24" t="s">
        <v>550</v>
      </c>
      <c r="AU46" s="183"/>
      <c r="AV46" s="142" t="s">
        <v>20</v>
      </c>
      <c r="AW46" s="15" t="s">
        <v>548</v>
      </c>
      <c r="AX46" s="297">
        <v>45703</v>
      </c>
      <c r="AY46" s="297">
        <v>45703</v>
      </c>
      <c r="AZ46" s="187" t="s">
        <v>543</v>
      </c>
      <c r="BA46" s="188"/>
      <c r="BB46" s="142" t="s">
        <v>20</v>
      </c>
      <c r="BC46" s="135" t="s">
        <v>544</v>
      </c>
      <c r="BD46" s="135" t="s">
        <v>21</v>
      </c>
      <c r="BE46" s="298">
        <f>BF46-2</f>
        <v>45737</v>
      </c>
      <c r="BF46" s="298">
        <v>45739</v>
      </c>
      <c r="BG46" s="15" t="s">
        <v>510</v>
      </c>
      <c r="BH46" s="194"/>
      <c r="BI46" s="142" t="s">
        <v>20</v>
      </c>
      <c r="BJ46" s="135">
        <f>BJ44</f>
        <v>45818</v>
      </c>
      <c r="BK46" s="135">
        <f>BJ46</f>
        <v>45818</v>
      </c>
      <c r="BL46" s="25">
        <v>1330</v>
      </c>
      <c r="BM46" s="190" t="s">
        <v>545</v>
      </c>
    </row>
    <row r="47" spans="1:65" ht="14.25" hidden="1" customHeight="1">
      <c r="A47" s="15" t="s">
        <v>0</v>
      </c>
      <c r="B47" s="19"/>
      <c r="C47" s="184"/>
      <c r="D47" s="134"/>
      <c r="E47" s="134"/>
      <c r="F47" s="134"/>
      <c r="G47" s="134"/>
      <c r="H47" s="185"/>
      <c r="I47" s="19"/>
      <c r="J47" s="19"/>
      <c r="K47" s="186"/>
      <c r="L47" s="178"/>
      <c r="M47" s="15"/>
      <c r="N47" s="15"/>
      <c r="O47" s="15"/>
      <c r="P47" s="180">
        <f t="shared" si="2"/>
        <v>0</v>
      </c>
      <c r="Q47" s="178"/>
      <c r="R47" s="15"/>
      <c r="S47" s="180"/>
      <c r="T47" s="181"/>
      <c r="U47" s="181"/>
      <c r="V47" s="16">
        <v>333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82"/>
      <c r="AM47" s="15"/>
      <c r="AN47" s="24"/>
      <c r="AO47" s="24"/>
      <c r="AP47" s="24"/>
      <c r="AQ47" s="24"/>
      <c r="AR47" s="24"/>
      <c r="AS47" s="24"/>
      <c r="AT47" s="24"/>
      <c r="AU47" s="183"/>
      <c r="AV47" s="24"/>
      <c r="AW47" s="24"/>
      <c r="AX47" s="297"/>
      <c r="AY47" s="297"/>
      <c r="AZ47" s="24"/>
      <c r="BA47" s="183"/>
      <c r="BB47" s="24"/>
      <c r="BC47" s="24"/>
      <c r="BD47" s="24"/>
      <c r="BE47" s="24"/>
      <c r="BF47" s="24"/>
      <c r="BG47" s="24"/>
      <c r="BH47" s="183"/>
      <c r="BI47" s="24"/>
      <c r="BJ47" s="24"/>
      <c r="BK47" s="135"/>
      <c r="BL47" s="24"/>
      <c r="BM47" s="24"/>
    </row>
    <row r="48" spans="1:65" ht="14.25" customHeight="1">
      <c r="A48" s="15">
        <v>20</v>
      </c>
      <c r="B48" s="19" t="s">
        <v>73</v>
      </c>
      <c r="C48" s="184" t="s">
        <v>56</v>
      </c>
      <c r="D48" s="134">
        <v>7.6219999999999999</v>
      </c>
      <c r="E48" s="134">
        <f>D48*4</f>
        <v>30.488</v>
      </c>
      <c r="F48" s="134">
        <f>E48*8</f>
        <v>243.904</v>
      </c>
      <c r="G48" s="134"/>
      <c r="H48" s="185"/>
      <c r="I48" s="19"/>
      <c r="J48" s="19"/>
      <c r="K48" s="186"/>
      <c r="L48" s="178">
        <v>2.6789999999999998</v>
      </c>
      <c r="M48" s="15">
        <v>3.133</v>
      </c>
      <c r="N48" s="15">
        <v>2.3E-3</v>
      </c>
      <c r="O48" s="15">
        <v>0.23299999999999998</v>
      </c>
      <c r="P48" s="180">
        <f t="shared" si="2"/>
        <v>6.047299999999999</v>
      </c>
      <c r="Q48" s="178">
        <v>0.24399999999999999</v>
      </c>
      <c r="R48" s="15">
        <v>5.0000000000000001E-3</v>
      </c>
      <c r="S48" s="180">
        <f>SUM(Q48:R48)</f>
        <v>0.249</v>
      </c>
      <c r="T48" s="181" t="s">
        <v>31</v>
      </c>
      <c r="U48" s="181" t="s">
        <v>540</v>
      </c>
      <c r="V48" s="15"/>
      <c r="W48" s="15" t="s">
        <v>546</v>
      </c>
      <c r="X48" s="15">
        <v>121.84</v>
      </c>
      <c r="Y48" s="15">
        <v>1.4</v>
      </c>
      <c r="Z48" s="15">
        <v>10.63</v>
      </c>
      <c r="AA48" s="15"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82"/>
      <c r="AM48" s="142" t="s">
        <v>20</v>
      </c>
      <c r="AN48" s="135" t="str">
        <f>AO48</f>
        <v>D</v>
      </c>
      <c r="AO48" s="135" t="s">
        <v>21</v>
      </c>
      <c r="AP48" s="372">
        <v>45666</v>
      </c>
      <c r="AQ48" s="372">
        <f t="shared" ref="AQ48:AR48" si="15">AR48-2</f>
        <v>45667</v>
      </c>
      <c r="AR48" s="372">
        <f t="shared" si="15"/>
        <v>45669</v>
      </c>
      <c r="AS48" s="372">
        <v>45671</v>
      </c>
      <c r="AT48" s="24" t="s">
        <v>550</v>
      </c>
      <c r="AU48" s="183"/>
      <c r="AV48" s="142" t="s">
        <v>20</v>
      </c>
      <c r="AW48" s="15" t="s">
        <v>548</v>
      </c>
      <c r="AX48" s="297">
        <v>45703</v>
      </c>
      <c r="AY48" s="297">
        <v>45703</v>
      </c>
      <c r="AZ48" s="187" t="s">
        <v>543</v>
      </c>
      <c r="BA48" s="188"/>
      <c r="BB48" s="142" t="s">
        <v>20</v>
      </c>
      <c r="BC48" s="135" t="s">
        <v>544</v>
      </c>
      <c r="BD48" s="135" t="s">
        <v>21</v>
      </c>
      <c r="BE48" s="298">
        <f>BF48-2</f>
        <v>45734</v>
      </c>
      <c r="BF48" s="298">
        <v>45736</v>
      </c>
      <c r="BG48" s="15" t="s">
        <v>510</v>
      </c>
      <c r="BH48" s="193"/>
      <c r="BI48" s="142" t="s">
        <v>20</v>
      </c>
      <c r="BJ48" s="135">
        <v>45821</v>
      </c>
      <c r="BK48" s="135">
        <f>BJ48</f>
        <v>45821</v>
      </c>
      <c r="BL48" s="25">
        <v>1545</v>
      </c>
      <c r="BM48" s="190" t="s">
        <v>545</v>
      </c>
    </row>
    <row r="49" spans="1:68" ht="14.25" hidden="1" customHeight="1">
      <c r="A49" s="15" t="s">
        <v>0</v>
      </c>
      <c r="B49" s="19"/>
      <c r="C49" s="184"/>
      <c r="D49" s="134"/>
      <c r="E49" s="134"/>
      <c r="F49" s="134"/>
      <c r="G49" s="134"/>
      <c r="H49" s="185"/>
      <c r="I49" s="19"/>
      <c r="J49" s="19"/>
      <c r="K49" s="186"/>
      <c r="L49" s="178"/>
      <c r="M49" s="15"/>
      <c r="N49" s="15"/>
      <c r="O49" s="15"/>
      <c r="P49" s="180">
        <f t="shared" si="2"/>
        <v>0</v>
      </c>
      <c r="Q49" s="178"/>
      <c r="R49" s="15"/>
      <c r="S49" s="180"/>
      <c r="T49" s="181"/>
      <c r="U49" s="181"/>
      <c r="V49" s="16">
        <v>349.99900000000002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82"/>
      <c r="AM49" s="15"/>
      <c r="AN49" s="24"/>
      <c r="AO49" s="24"/>
      <c r="AP49" s="24"/>
      <c r="AQ49" s="24"/>
      <c r="AR49" s="24"/>
      <c r="AS49" s="24"/>
      <c r="AT49" s="24"/>
      <c r="AU49" s="183"/>
      <c r="AV49" s="24"/>
      <c r="AW49" s="24"/>
      <c r="AX49" s="297"/>
      <c r="AY49" s="297"/>
      <c r="AZ49" s="24"/>
      <c r="BA49" s="183"/>
      <c r="BB49" s="24"/>
      <c r="BC49" s="24"/>
      <c r="BD49" s="24"/>
      <c r="BE49" s="24"/>
      <c r="BF49" s="24"/>
      <c r="BG49" s="24"/>
      <c r="BH49" s="183"/>
      <c r="BI49" s="24"/>
      <c r="BJ49" s="24"/>
      <c r="BK49" s="135"/>
      <c r="BL49" s="24"/>
      <c r="BM49" s="24"/>
      <c r="BN49" s="24"/>
      <c r="BO49" s="24"/>
    </row>
    <row r="50" spans="1:68" ht="14.25" customHeight="1">
      <c r="A50" s="15">
        <v>21</v>
      </c>
      <c r="B50" s="19" t="s">
        <v>74</v>
      </c>
      <c r="C50" s="184" t="s">
        <v>37</v>
      </c>
      <c r="D50" s="134">
        <v>6.992</v>
      </c>
      <c r="E50" s="134">
        <f>D50*4</f>
        <v>27.968</v>
      </c>
      <c r="F50" s="134">
        <f>E50*8</f>
        <v>223.744</v>
      </c>
      <c r="G50" s="134"/>
      <c r="H50" s="185"/>
      <c r="I50" s="19"/>
      <c r="J50" s="19"/>
      <c r="K50" s="186"/>
      <c r="L50" s="178">
        <v>2.6070000000000002</v>
      </c>
      <c r="M50" s="15">
        <v>2.657</v>
      </c>
      <c r="N50" s="15">
        <v>2E-3</v>
      </c>
      <c r="O50" s="15">
        <v>0.21299999999999999</v>
      </c>
      <c r="P50" s="180">
        <f t="shared" si="2"/>
        <v>5.4790000000000001</v>
      </c>
      <c r="Q50" s="178">
        <v>0.24399999999999999</v>
      </c>
      <c r="R50" s="15">
        <v>5.0000000000000001E-3</v>
      </c>
      <c r="S50" s="180">
        <f>SUM(Q50:R50)</f>
        <v>0.249</v>
      </c>
      <c r="T50" s="181" t="s">
        <v>31</v>
      </c>
      <c r="U50" s="181" t="s">
        <v>540</v>
      </c>
      <c r="V50" s="15"/>
      <c r="W50" s="195" t="s">
        <v>507</v>
      </c>
      <c r="X50" s="15">
        <v>143.36000000000001</v>
      </c>
      <c r="Y50" s="15">
        <v>1.68</v>
      </c>
      <c r="Z50" s="15">
        <v>11.97</v>
      </c>
      <c r="AA50" s="15">
        <v>13.65</v>
      </c>
      <c r="AB50" s="23">
        <f>+Y50*4.44+Z50*8.06</f>
        <v>103.93740000000001</v>
      </c>
      <c r="AC50" s="16">
        <f>+AB50*50</f>
        <v>5196.8700000000008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82"/>
      <c r="AM50" s="142" t="s">
        <v>20</v>
      </c>
      <c r="AN50" s="135" t="str">
        <f>AO50</f>
        <v>D</v>
      </c>
      <c r="AO50" s="135" t="s">
        <v>21</v>
      </c>
      <c r="AP50" s="372">
        <f>AQ50-1</f>
        <v>45660</v>
      </c>
      <c r="AQ50" s="372">
        <f t="shared" ref="AQ50:AR50" si="16">AR50-2</f>
        <v>45661</v>
      </c>
      <c r="AR50" s="372">
        <f t="shared" si="16"/>
        <v>45663</v>
      </c>
      <c r="AS50" s="372">
        <v>45665</v>
      </c>
      <c r="AT50" s="187" t="s">
        <v>543</v>
      </c>
      <c r="AU50" s="188"/>
      <c r="AV50" s="142" t="s">
        <v>20</v>
      </c>
      <c r="AW50" s="15" t="s">
        <v>548</v>
      </c>
      <c r="AX50" s="297">
        <v>45703</v>
      </c>
      <c r="AY50" s="297">
        <v>45703</v>
      </c>
      <c r="AZ50" s="187" t="s">
        <v>543</v>
      </c>
      <c r="BA50" s="188"/>
      <c r="BB50" s="142" t="s">
        <v>20</v>
      </c>
      <c r="BC50" s="135" t="s">
        <v>544</v>
      </c>
      <c r="BD50" s="135" t="s">
        <v>21</v>
      </c>
      <c r="BE50" s="298">
        <f>BF50-2</f>
        <v>45736</v>
      </c>
      <c r="BF50" s="298">
        <v>45738</v>
      </c>
      <c r="BG50" s="15" t="s">
        <v>510</v>
      </c>
      <c r="BH50" s="194"/>
      <c r="BI50" s="142" t="s">
        <v>20</v>
      </c>
      <c r="BJ50" s="135">
        <v>45824</v>
      </c>
      <c r="BK50" s="135">
        <f>BJ50</f>
        <v>45824</v>
      </c>
      <c r="BL50" s="25">
        <v>1330</v>
      </c>
      <c r="BM50" s="190" t="s">
        <v>545</v>
      </c>
      <c r="BN50" s="24"/>
      <c r="BO50" s="24"/>
    </row>
    <row r="51" spans="1:68" ht="14.25" hidden="1" customHeight="1">
      <c r="A51" s="15" t="s">
        <v>0</v>
      </c>
      <c r="B51" s="19"/>
      <c r="C51" s="184"/>
      <c r="D51" s="134"/>
      <c r="E51" s="134"/>
      <c r="F51" s="134"/>
      <c r="G51" s="134"/>
      <c r="H51" s="185"/>
      <c r="I51" s="19"/>
      <c r="J51" s="19"/>
      <c r="K51" s="186"/>
      <c r="L51" s="178"/>
      <c r="M51" s="15"/>
      <c r="N51" s="15"/>
      <c r="O51" s="15"/>
      <c r="P51" s="180">
        <f t="shared" si="2"/>
        <v>0</v>
      </c>
      <c r="Q51" s="178"/>
      <c r="R51" s="15"/>
      <c r="S51" s="180"/>
      <c r="T51" s="181"/>
      <c r="U51" s="181"/>
      <c r="V51" s="16">
        <v>331.00099999999998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82"/>
      <c r="AM51" s="15"/>
      <c r="AN51" s="24"/>
      <c r="AO51" s="24"/>
      <c r="AP51" s="24"/>
      <c r="AQ51" s="24"/>
      <c r="AR51" s="24"/>
      <c r="AS51" s="24"/>
      <c r="AT51" s="24"/>
      <c r="AU51" s="183"/>
      <c r="AV51" s="24"/>
      <c r="AW51" s="24"/>
      <c r="AX51" s="297"/>
      <c r="AY51" s="297"/>
      <c r="AZ51" s="24"/>
      <c r="BA51" s="183"/>
      <c r="BB51" s="24"/>
      <c r="BC51" s="24"/>
      <c r="BD51" s="24"/>
      <c r="BE51" s="24"/>
      <c r="BF51" s="24"/>
      <c r="BG51" s="24"/>
      <c r="BH51" s="183"/>
      <c r="BI51" s="24"/>
      <c r="BJ51" s="24"/>
      <c r="BK51" s="135"/>
      <c r="BL51" s="24"/>
      <c r="BM51" s="24"/>
      <c r="BN51" s="24"/>
      <c r="BO51" s="24"/>
    </row>
    <row r="52" spans="1:68" ht="14.25" customHeight="1">
      <c r="A52" s="15">
        <v>22</v>
      </c>
      <c r="B52" s="19" t="s">
        <v>75</v>
      </c>
      <c r="C52" s="184" t="s">
        <v>76</v>
      </c>
      <c r="D52" s="134">
        <v>7.71</v>
      </c>
      <c r="E52" s="134">
        <f>D52*4</f>
        <v>30.84</v>
      </c>
      <c r="F52" s="134">
        <f>E52*8</f>
        <v>246.72</v>
      </c>
      <c r="G52" s="134"/>
      <c r="H52" s="185"/>
      <c r="I52" s="19"/>
      <c r="J52" s="19"/>
      <c r="K52" s="186"/>
      <c r="L52" s="178">
        <v>3.452</v>
      </c>
      <c r="M52" s="15">
        <v>2.633</v>
      </c>
      <c r="N52" s="15">
        <v>4.0000000000000001E-3</v>
      </c>
      <c r="O52" s="15">
        <v>0.24099999999999999</v>
      </c>
      <c r="P52" s="180">
        <f t="shared" si="2"/>
        <v>6.3299999999999992</v>
      </c>
      <c r="Q52" s="178">
        <v>0.36299999999999999</v>
      </c>
      <c r="R52" s="15">
        <v>6.0000000000000001E-3</v>
      </c>
      <c r="S52" s="180">
        <f>SUM(Q52:R52)</f>
        <v>0.36899999999999999</v>
      </c>
      <c r="T52" s="181" t="s">
        <v>31</v>
      </c>
      <c r="U52" s="181" t="s">
        <v>540</v>
      </c>
      <c r="V52" s="15"/>
      <c r="W52" s="15" t="s">
        <v>504</v>
      </c>
      <c r="X52" s="15">
        <v>51.64</v>
      </c>
      <c r="Y52" s="15">
        <v>0.97</v>
      </c>
      <c r="Z52" s="15">
        <v>9.82</v>
      </c>
      <c r="AA52" s="15"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82"/>
      <c r="AM52" s="142" t="s">
        <v>20</v>
      </c>
      <c r="AN52" s="135" t="str">
        <f>AO52</f>
        <v>D</v>
      </c>
      <c r="AO52" s="135" t="s">
        <v>21</v>
      </c>
      <c r="AP52" s="372">
        <v>45672</v>
      </c>
      <c r="AQ52" s="372">
        <f>AR52-2</f>
        <v>45673</v>
      </c>
      <c r="AR52" s="372">
        <f>AS52-1</f>
        <v>45675</v>
      </c>
      <c r="AS52" s="372">
        <v>45676</v>
      </c>
      <c r="AT52" s="187" t="s">
        <v>543</v>
      </c>
      <c r="AU52" s="188"/>
      <c r="AV52" s="142" t="s">
        <v>20</v>
      </c>
      <c r="AW52" s="15" t="s">
        <v>6</v>
      </c>
      <c r="AX52" s="297">
        <v>45698</v>
      </c>
      <c r="AY52" s="297">
        <v>45698</v>
      </c>
      <c r="AZ52" s="24" t="s">
        <v>554</v>
      </c>
      <c r="BA52" s="183"/>
      <c r="BB52" s="142" t="s">
        <v>20</v>
      </c>
      <c r="BC52" s="135" t="s">
        <v>555</v>
      </c>
      <c r="BD52" s="135" t="s">
        <v>21</v>
      </c>
      <c r="BE52" s="298">
        <f>BF52-2</f>
        <v>45739</v>
      </c>
      <c r="BF52" s="298">
        <v>45741</v>
      </c>
      <c r="BG52" s="15" t="s">
        <v>510</v>
      </c>
      <c r="BH52" s="194"/>
      <c r="BI52" s="142" t="s">
        <v>20</v>
      </c>
      <c r="BJ52" s="135">
        <v>45828</v>
      </c>
      <c r="BK52" s="135">
        <f>BJ52</f>
        <v>45828</v>
      </c>
      <c r="BL52" s="25">
        <v>1252</v>
      </c>
      <c r="BM52" s="190" t="s">
        <v>545</v>
      </c>
      <c r="BN52" s="24"/>
      <c r="BO52" s="24"/>
    </row>
    <row r="53" spans="1:68" ht="14.25" hidden="1" customHeight="1">
      <c r="A53" s="15" t="s">
        <v>0</v>
      </c>
      <c r="B53" s="19"/>
      <c r="C53" s="184"/>
      <c r="D53" s="134"/>
      <c r="E53" s="134"/>
      <c r="F53" s="134"/>
      <c r="G53" s="134"/>
      <c r="H53" s="185"/>
      <c r="I53" s="19"/>
      <c r="J53" s="19"/>
      <c r="K53" s="186"/>
      <c r="L53" s="178"/>
      <c r="M53" s="15"/>
      <c r="N53" s="15"/>
      <c r="O53" s="15"/>
      <c r="P53" s="180">
        <f t="shared" si="2"/>
        <v>0</v>
      </c>
      <c r="Q53" s="178"/>
      <c r="R53" s="15"/>
      <c r="S53" s="180"/>
      <c r="T53" s="181"/>
      <c r="U53" s="181"/>
      <c r="V53" s="16">
        <v>349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82"/>
      <c r="AM53" s="15"/>
      <c r="AN53" s="24"/>
      <c r="AO53" s="24"/>
      <c r="AP53" s="24"/>
      <c r="AQ53" s="24"/>
      <c r="AR53" s="24"/>
      <c r="AS53" s="24"/>
      <c r="AT53" s="24"/>
      <c r="AU53" s="183"/>
      <c r="AV53" s="24"/>
      <c r="AW53" s="24"/>
      <c r="AX53" s="297"/>
      <c r="AY53" s="297"/>
      <c r="AZ53" s="24"/>
      <c r="BA53" s="183"/>
      <c r="BB53" s="24"/>
      <c r="BC53" s="24"/>
      <c r="BD53" s="24"/>
      <c r="BE53" s="24"/>
      <c r="BF53" s="24"/>
      <c r="BG53" s="24"/>
      <c r="BH53" s="183"/>
      <c r="BI53" s="24"/>
      <c r="BJ53" s="24"/>
      <c r="BK53" s="135"/>
      <c r="BL53" s="24"/>
      <c r="BM53" s="24"/>
      <c r="BN53" s="24"/>
      <c r="BO53" s="24"/>
    </row>
    <row r="54" spans="1:68" ht="16.5" customHeight="1">
      <c r="A54" s="15">
        <v>23</v>
      </c>
      <c r="B54" s="19" t="s">
        <v>77</v>
      </c>
      <c r="C54" s="184" t="s">
        <v>70</v>
      </c>
      <c r="D54" s="134">
        <v>10.468</v>
      </c>
      <c r="E54" s="134">
        <f>D54*4</f>
        <v>41.872</v>
      </c>
      <c r="F54" s="134">
        <f>E54*8</f>
        <v>334.976</v>
      </c>
      <c r="G54" s="134"/>
      <c r="H54" s="185"/>
      <c r="I54" s="19"/>
      <c r="J54" s="19"/>
      <c r="K54" s="186"/>
      <c r="L54" s="178">
        <v>4.351</v>
      </c>
      <c r="M54" s="15">
        <v>4.2219999999999995</v>
      </c>
      <c r="N54" s="15">
        <v>4.3E-3</v>
      </c>
      <c r="O54" s="15">
        <v>0.32100000000000001</v>
      </c>
      <c r="P54" s="180">
        <f t="shared" si="2"/>
        <v>8.8983000000000008</v>
      </c>
      <c r="Q54" s="178">
        <v>0.36299999999999999</v>
      </c>
      <c r="R54" s="15">
        <v>6.0000000000000001E-3</v>
      </c>
      <c r="S54" s="180">
        <f>SUM(Q54:R54)</f>
        <v>0.36899999999999999</v>
      </c>
      <c r="T54" s="181" t="s">
        <v>31</v>
      </c>
      <c r="U54" s="181" t="s">
        <v>540</v>
      </c>
      <c r="V54" s="15"/>
      <c r="W54" s="15" t="s">
        <v>504</v>
      </c>
      <c r="X54" s="15">
        <v>51.64</v>
      </c>
      <c r="Y54" s="15">
        <v>0.97</v>
      </c>
      <c r="Z54" s="15">
        <v>9.82</v>
      </c>
      <c r="AA54" s="15"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82"/>
      <c r="AM54" s="142" t="s">
        <v>20</v>
      </c>
      <c r="AN54" s="135" t="str">
        <f>AO54</f>
        <v>D</v>
      </c>
      <c r="AO54" s="135" t="s">
        <v>21</v>
      </c>
      <c r="AP54" s="372">
        <v>45667</v>
      </c>
      <c r="AQ54" s="372">
        <f>AP54+1</f>
        <v>45668</v>
      </c>
      <c r="AR54" s="372">
        <f>AS54-1</f>
        <v>45670</v>
      </c>
      <c r="AS54" s="372">
        <v>45671</v>
      </c>
      <c r="AT54" s="187" t="s">
        <v>543</v>
      </c>
      <c r="AU54" s="188"/>
      <c r="AV54" s="142" t="s">
        <v>20</v>
      </c>
      <c r="AW54" s="15" t="s">
        <v>6</v>
      </c>
      <c r="AX54" s="297">
        <v>45698</v>
      </c>
      <c r="AY54" s="297">
        <v>45698</v>
      </c>
      <c r="AZ54" s="24" t="s">
        <v>554</v>
      </c>
      <c r="BA54" s="183"/>
      <c r="BB54" s="142" t="s">
        <v>20</v>
      </c>
      <c r="BC54" s="135" t="s">
        <v>556</v>
      </c>
      <c r="BD54" s="135" t="s">
        <v>21</v>
      </c>
      <c r="BE54" s="298">
        <f>BF54-1</f>
        <v>45725</v>
      </c>
      <c r="BF54" s="298">
        <v>45726</v>
      </c>
      <c r="BG54" s="15" t="s">
        <v>510</v>
      </c>
      <c r="BH54" s="182"/>
      <c r="BI54" s="142" t="s">
        <v>20</v>
      </c>
      <c r="BJ54" s="135">
        <v>45840</v>
      </c>
      <c r="BK54" s="135">
        <f>BJ54</f>
        <v>45840</v>
      </c>
      <c r="BL54" s="25">
        <v>2144</v>
      </c>
      <c r="BM54" s="190" t="s">
        <v>545</v>
      </c>
      <c r="BN54" s="196" t="s">
        <v>557</v>
      </c>
      <c r="BO54" s="197"/>
    </row>
    <row r="55" spans="1:68" ht="14.25" hidden="1" customHeight="1">
      <c r="A55" s="15" t="s">
        <v>0</v>
      </c>
      <c r="B55" s="19"/>
      <c r="C55" s="184"/>
      <c r="D55" s="134"/>
      <c r="E55" s="134"/>
      <c r="F55" s="134"/>
      <c r="G55" s="134"/>
      <c r="H55" s="185"/>
      <c r="I55" s="19"/>
      <c r="J55" s="19"/>
      <c r="K55" s="186"/>
      <c r="L55" s="178"/>
      <c r="M55" s="15"/>
      <c r="N55" s="15"/>
      <c r="O55" s="15"/>
      <c r="P55" s="180">
        <f t="shared" si="2"/>
        <v>0</v>
      </c>
      <c r="Q55" s="178"/>
      <c r="R55" s="15"/>
      <c r="S55" s="180"/>
      <c r="T55" s="181"/>
      <c r="U55" s="181"/>
      <c r="V55" s="16">
        <v>360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82"/>
      <c r="AM55" s="15"/>
      <c r="AN55" s="24"/>
      <c r="AO55" s="24"/>
      <c r="AP55" s="24"/>
      <c r="AQ55" s="24"/>
      <c r="AR55" s="24"/>
      <c r="AS55" s="24"/>
      <c r="AT55" s="24"/>
      <c r="AU55" s="183"/>
      <c r="AV55" s="24"/>
      <c r="AW55" s="24"/>
      <c r="AX55" s="297"/>
      <c r="AY55" s="297"/>
      <c r="AZ55" s="24"/>
      <c r="BA55" s="183"/>
      <c r="BB55" s="24"/>
      <c r="BC55" s="24"/>
      <c r="BD55" s="24"/>
      <c r="BE55" s="24"/>
      <c r="BF55" s="24"/>
      <c r="BG55" s="24"/>
      <c r="BH55" s="183"/>
      <c r="BI55" s="24"/>
      <c r="BJ55" s="24"/>
      <c r="BK55" s="24"/>
      <c r="BL55" s="24"/>
      <c r="BM55" s="24"/>
      <c r="BN55" s="24"/>
      <c r="BO55" s="24"/>
    </row>
    <row r="56" spans="1:68" ht="14.25" hidden="1" customHeight="1">
      <c r="A56" s="15">
        <v>24</v>
      </c>
      <c r="B56" s="19" t="s">
        <v>78</v>
      </c>
      <c r="C56" s="184" t="s">
        <v>70</v>
      </c>
      <c r="D56" s="134">
        <v>10.468</v>
      </c>
      <c r="E56" s="134">
        <f>D56*4</f>
        <v>41.872</v>
      </c>
      <c r="F56" s="134">
        <f>E56*8</f>
        <v>334.976</v>
      </c>
      <c r="G56" s="134">
        <v>1</v>
      </c>
      <c r="H56" s="185">
        <v>2</v>
      </c>
      <c r="I56" s="19">
        <v>2</v>
      </c>
      <c r="J56" s="19">
        <v>2</v>
      </c>
      <c r="K56" s="186">
        <v>2</v>
      </c>
      <c r="L56" s="178">
        <v>4.351</v>
      </c>
      <c r="M56" s="15">
        <v>4.2219999999999995</v>
      </c>
      <c r="N56" s="15">
        <v>4.3E-3</v>
      </c>
      <c r="O56" s="15">
        <v>0.32100000000000001</v>
      </c>
      <c r="P56" s="180">
        <f t="shared" si="2"/>
        <v>8.8983000000000008</v>
      </c>
      <c r="Q56" s="178">
        <v>0.36299999999999999</v>
      </c>
      <c r="R56" s="15">
        <v>6.0000000000000001E-3</v>
      </c>
      <c r="S56" s="180">
        <f>SUM(Q56:R56)</f>
        <v>0.36899999999999999</v>
      </c>
      <c r="T56" s="181" t="s">
        <v>31</v>
      </c>
      <c r="U56" s="181" t="s">
        <v>540</v>
      </c>
      <c r="V56" s="15"/>
      <c r="W56" s="15" t="s">
        <v>541</v>
      </c>
      <c r="X56" s="15">
        <v>103.6</v>
      </c>
      <c r="Y56" s="15">
        <v>1.8</v>
      </c>
      <c r="Z56" s="15">
        <v>18.989999999999998</v>
      </c>
      <c r="AA56" s="15">
        <f>Z56+Y56</f>
        <v>20.79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82"/>
      <c r="AM56" s="142" t="s">
        <v>20</v>
      </c>
      <c r="AN56" s="135"/>
      <c r="AO56" s="135"/>
      <c r="AP56" s="372">
        <f>AQ56-4</f>
        <v>45915</v>
      </c>
      <c r="AQ56" s="372">
        <f>AR56-3</f>
        <v>45919</v>
      </c>
      <c r="AR56" s="372">
        <f>AS56-4</f>
        <v>45922</v>
      </c>
      <c r="AS56" s="372">
        <v>45926</v>
      </c>
      <c r="AT56" s="24" t="s">
        <v>558</v>
      </c>
      <c r="AU56" s="183"/>
      <c r="AV56" s="142" t="s">
        <v>20</v>
      </c>
      <c r="AW56" s="15" t="s">
        <v>6</v>
      </c>
      <c r="AX56" s="297"/>
      <c r="AY56" s="297"/>
      <c r="AZ56" s="24"/>
      <c r="BA56" s="183"/>
      <c r="BB56" s="15"/>
      <c r="BC56" s="135"/>
      <c r="BD56" s="135"/>
      <c r="BE56" s="135"/>
      <c r="BF56" s="135"/>
      <c r="BG56" s="137"/>
      <c r="BH56" s="193"/>
      <c r="BI56" s="24"/>
      <c r="BJ56" s="24"/>
      <c r="BK56" s="24"/>
      <c r="BL56" s="25">
        <v>2144</v>
      </c>
      <c r="BM56" s="24"/>
      <c r="BN56" s="196" t="s">
        <v>557</v>
      </c>
      <c r="BO56" s="197"/>
      <c r="BP56" s="145" t="s">
        <v>559</v>
      </c>
    </row>
    <row r="57" spans="1:68" ht="14.25" hidden="1" customHeight="1">
      <c r="A57" s="15" t="s">
        <v>0</v>
      </c>
      <c r="B57" s="19"/>
      <c r="C57" s="184"/>
      <c r="D57" s="134"/>
      <c r="E57" s="134"/>
      <c r="F57" s="134"/>
      <c r="G57" s="134"/>
      <c r="H57" s="185"/>
      <c r="I57" s="19"/>
      <c r="J57" s="19"/>
      <c r="K57" s="186"/>
      <c r="L57" s="178"/>
      <c r="M57" s="15"/>
      <c r="N57" s="15"/>
      <c r="O57" s="15"/>
      <c r="P57" s="180">
        <f t="shared" si="2"/>
        <v>0</v>
      </c>
      <c r="Q57" s="178"/>
      <c r="R57" s="15"/>
      <c r="S57" s="180"/>
      <c r="T57" s="181"/>
      <c r="U57" s="181"/>
      <c r="V57" s="16">
        <v>460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82"/>
      <c r="AM57" s="15"/>
      <c r="AN57" s="24"/>
      <c r="AO57" s="24"/>
      <c r="AP57" s="24"/>
      <c r="AQ57" s="24"/>
      <c r="AR57" s="24"/>
      <c r="AS57" s="24"/>
      <c r="AT57" s="24"/>
      <c r="AU57" s="183"/>
      <c r="AV57" s="24"/>
      <c r="AW57" s="24"/>
      <c r="AX57" s="297"/>
      <c r="AY57" s="297"/>
      <c r="AZ57" s="24"/>
      <c r="BA57" s="183"/>
      <c r="BB57" s="24"/>
      <c r="BC57" s="24"/>
      <c r="BD57" s="24"/>
      <c r="BE57" s="24"/>
      <c r="BF57" s="24"/>
      <c r="BG57" s="24"/>
      <c r="BH57" s="183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v>25</v>
      </c>
      <c r="B58" s="19" t="s">
        <v>79</v>
      </c>
      <c r="C58" s="184" t="s">
        <v>70</v>
      </c>
      <c r="D58" s="134">
        <v>10.468</v>
      </c>
      <c r="E58" s="134">
        <f>D58*4</f>
        <v>41.872</v>
      </c>
      <c r="F58" s="134">
        <f>E58*8</f>
        <v>334.976</v>
      </c>
      <c r="G58" s="134"/>
      <c r="H58" s="185"/>
      <c r="I58" s="19"/>
      <c r="J58" s="19"/>
      <c r="K58" s="186"/>
      <c r="L58" s="178">
        <v>4.351</v>
      </c>
      <c r="M58" s="15">
        <v>4.2219999999999995</v>
      </c>
      <c r="N58" s="15">
        <v>4.3E-3</v>
      </c>
      <c r="O58" s="15">
        <v>0.32100000000000001</v>
      </c>
      <c r="P58" s="180">
        <f t="shared" si="2"/>
        <v>8.8983000000000008</v>
      </c>
      <c r="Q58" s="178">
        <v>0.36299999999999999</v>
      </c>
      <c r="R58" s="15">
        <v>6.0000000000000001E-3</v>
      </c>
      <c r="S58" s="180">
        <f>SUM(Q58:R58)</f>
        <v>0.36899999999999999</v>
      </c>
      <c r="T58" s="181" t="s">
        <v>31</v>
      </c>
      <c r="U58" s="181" t="s">
        <v>540</v>
      </c>
      <c r="V58" s="15"/>
      <c r="W58" s="15" t="s">
        <v>504</v>
      </c>
      <c r="X58" s="15">
        <v>51.64</v>
      </c>
      <c r="Y58" s="15">
        <v>0.97</v>
      </c>
      <c r="Z58" s="15">
        <v>9.82</v>
      </c>
      <c r="AA58" s="15"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82"/>
      <c r="AM58" s="142" t="s">
        <v>20</v>
      </c>
      <c r="AN58" s="135"/>
      <c r="AO58" s="135"/>
      <c r="AP58" s="372">
        <f t="shared" ref="AP58:AR58" si="17">AQ58-2</f>
        <v>45897</v>
      </c>
      <c r="AQ58" s="372">
        <f t="shared" si="17"/>
        <v>45899</v>
      </c>
      <c r="AR58" s="372">
        <f t="shared" si="17"/>
        <v>45901</v>
      </c>
      <c r="AS58" s="372">
        <v>45903</v>
      </c>
      <c r="AT58" s="187" t="s">
        <v>554</v>
      </c>
      <c r="AU58" s="188"/>
      <c r="AV58" s="142" t="s">
        <v>20</v>
      </c>
      <c r="AW58" s="15" t="s">
        <v>6</v>
      </c>
      <c r="AX58" s="297">
        <f>AY58</f>
        <v>45905</v>
      </c>
      <c r="AY58" s="297">
        <v>45905</v>
      </c>
      <c r="AZ58" s="24" t="s">
        <v>554</v>
      </c>
      <c r="BA58" s="183"/>
      <c r="BB58" s="142" t="s">
        <v>20</v>
      </c>
      <c r="BC58" s="135"/>
      <c r="BD58" s="135"/>
      <c r="BE58" s="298">
        <v>46013</v>
      </c>
      <c r="BF58" s="298">
        <v>46015</v>
      </c>
      <c r="BG58" s="137"/>
      <c r="BH58" s="198"/>
      <c r="BI58" s="24"/>
      <c r="BJ58" s="24"/>
      <c r="BK58" s="24"/>
      <c r="BL58" s="25">
        <v>2144</v>
      </c>
      <c r="BM58" s="24"/>
      <c r="BN58" s="24"/>
      <c r="BO58" s="24"/>
    </row>
    <row r="59" spans="1:68" ht="14.25" hidden="1" customHeight="1">
      <c r="A59" s="15" t="s">
        <v>0</v>
      </c>
      <c r="B59" s="19"/>
      <c r="C59" s="184"/>
      <c r="D59" s="134"/>
      <c r="E59" s="134"/>
      <c r="F59" s="134"/>
      <c r="G59" s="134"/>
      <c r="H59" s="185"/>
      <c r="I59" s="19"/>
      <c r="J59" s="19"/>
      <c r="K59" s="186"/>
      <c r="L59" s="178"/>
      <c r="M59" s="15"/>
      <c r="N59" s="15"/>
      <c r="O59" s="15"/>
      <c r="P59" s="180">
        <f t="shared" si="2"/>
        <v>0</v>
      </c>
      <c r="Q59" s="178"/>
      <c r="R59" s="15"/>
      <c r="S59" s="180"/>
      <c r="T59" s="181"/>
      <c r="U59" s="181"/>
      <c r="V59" s="16">
        <v>230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82"/>
      <c r="AM59" s="15"/>
      <c r="AN59" s="24"/>
      <c r="AO59" s="24"/>
      <c r="AP59" s="24"/>
      <c r="AQ59" s="24"/>
      <c r="AR59" s="24"/>
      <c r="AS59" s="24"/>
      <c r="AT59" s="24"/>
      <c r="AU59" s="183"/>
      <c r="AV59" s="24"/>
      <c r="AW59" s="24"/>
      <c r="AX59" s="297"/>
      <c r="AY59" s="297"/>
      <c r="AZ59" s="24"/>
      <c r="BA59" s="183"/>
      <c r="BB59" s="24"/>
      <c r="BC59" s="24"/>
      <c r="BD59" s="24"/>
      <c r="BE59" s="24"/>
      <c r="BF59" s="24"/>
      <c r="BG59" s="24"/>
      <c r="BH59" s="183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v>26</v>
      </c>
      <c r="B60" s="19" t="s">
        <v>80</v>
      </c>
      <c r="C60" s="184" t="s">
        <v>81</v>
      </c>
      <c r="D60" s="134">
        <v>9.5489999999999995</v>
      </c>
      <c r="E60" s="134">
        <f>D60*4</f>
        <v>38.195999999999998</v>
      </c>
      <c r="F60" s="134">
        <f>E60*8</f>
        <v>305.56799999999998</v>
      </c>
      <c r="G60" s="134"/>
      <c r="H60" s="185"/>
      <c r="I60" s="19"/>
      <c r="J60" s="19"/>
      <c r="K60" s="186"/>
      <c r="L60" s="178">
        <v>4.1440000000000001</v>
      </c>
      <c r="M60" s="15">
        <v>3.6950000000000003</v>
      </c>
      <c r="N60" s="15">
        <v>4.4000000000000003E-3</v>
      </c>
      <c r="O60" s="15">
        <v>0.29699999999999999</v>
      </c>
      <c r="P60" s="180">
        <f t="shared" si="2"/>
        <v>8.1404000000000014</v>
      </c>
      <c r="Q60" s="178">
        <v>0.36299999999999999</v>
      </c>
      <c r="R60" s="15">
        <v>6.0000000000000001E-3</v>
      </c>
      <c r="S60" s="180">
        <f>SUM(Q60:R60)</f>
        <v>0.36899999999999999</v>
      </c>
      <c r="T60" s="181" t="s">
        <v>31</v>
      </c>
      <c r="U60" s="181" t="s">
        <v>540</v>
      </c>
      <c r="V60" s="15"/>
      <c r="W60" s="15" t="s">
        <v>504</v>
      </c>
      <c r="X60" s="15">
        <v>51.64</v>
      </c>
      <c r="Y60" s="15">
        <v>0.97</v>
      </c>
      <c r="Z60" s="15">
        <v>9.82</v>
      </c>
      <c r="AA60" s="15"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82"/>
      <c r="AM60" s="142" t="s">
        <v>20</v>
      </c>
      <c r="AN60" s="135" t="s">
        <v>544</v>
      </c>
      <c r="AO60" s="135" t="s">
        <v>21</v>
      </c>
      <c r="AP60" s="372">
        <v>45685</v>
      </c>
      <c r="AQ60" s="372">
        <v>45686</v>
      </c>
      <c r="AR60" s="372">
        <f>AQ60</f>
        <v>45686</v>
      </c>
      <c r="AS60" s="372">
        <v>45687</v>
      </c>
      <c r="AT60" s="187" t="s">
        <v>554</v>
      </c>
      <c r="AU60" s="188"/>
      <c r="AV60" s="142" t="s">
        <v>20</v>
      </c>
      <c r="AW60" s="15" t="s">
        <v>6</v>
      </c>
      <c r="AX60" s="297">
        <v>45698</v>
      </c>
      <c r="AY60" s="297">
        <v>45698</v>
      </c>
      <c r="AZ60" s="24" t="s">
        <v>554</v>
      </c>
      <c r="BA60" s="183"/>
      <c r="BB60" s="142" t="s">
        <v>20</v>
      </c>
      <c r="BC60" s="135" t="s">
        <v>560</v>
      </c>
      <c r="BD60" s="135" t="s">
        <v>21</v>
      </c>
      <c r="BE60" s="298">
        <f>BF60-2</f>
        <v>45731</v>
      </c>
      <c r="BF60" s="298">
        <v>45733</v>
      </c>
      <c r="BG60" s="15" t="s">
        <v>510</v>
      </c>
      <c r="BH60" s="194"/>
      <c r="BI60" s="142" t="s">
        <v>20</v>
      </c>
      <c r="BJ60" s="135">
        <f>BK60</f>
        <v>45846</v>
      </c>
      <c r="BK60" s="135">
        <v>45846</v>
      </c>
      <c r="BL60" s="15">
        <v>1812</v>
      </c>
      <c r="BM60" s="190" t="s">
        <v>545</v>
      </c>
      <c r="BN60" s="24" t="s">
        <v>557</v>
      </c>
      <c r="BO60" s="24"/>
      <c r="BP60" s="145" t="s">
        <v>559</v>
      </c>
    </row>
    <row r="61" spans="1:68" ht="14.25" hidden="1" customHeight="1">
      <c r="A61" s="15" t="s">
        <v>0</v>
      </c>
      <c r="B61" s="19"/>
      <c r="C61" s="184"/>
      <c r="D61" s="134"/>
      <c r="E61" s="134"/>
      <c r="F61" s="134"/>
      <c r="G61" s="134"/>
      <c r="H61" s="185"/>
      <c r="I61" s="19"/>
      <c r="J61" s="19"/>
      <c r="K61" s="186"/>
      <c r="L61" s="178"/>
      <c r="M61" s="15"/>
      <c r="N61" s="15"/>
      <c r="O61" s="15"/>
      <c r="P61" s="180">
        <f t="shared" si="2"/>
        <v>0</v>
      </c>
      <c r="Q61" s="178"/>
      <c r="R61" s="15"/>
      <c r="S61" s="180"/>
      <c r="T61" s="181"/>
      <c r="U61" s="181"/>
      <c r="V61" s="16">
        <v>371.51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82"/>
      <c r="AM61" s="15"/>
      <c r="AN61" s="24"/>
      <c r="AO61" s="24"/>
      <c r="AP61" s="24"/>
      <c r="AQ61" s="24"/>
      <c r="AR61" s="24"/>
      <c r="AS61" s="24"/>
      <c r="AT61" s="24"/>
      <c r="AU61" s="183"/>
      <c r="AV61" s="24"/>
      <c r="AW61" s="24"/>
      <c r="AX61" s="297"/>
      <c r="AY61" s="297"/>
      <c r="AZ61" s="24"/>
      <c r="BA61" s="183"/>
      <c r="BB61" s="24"/>
      <c r="BC61" s="24"/>
      <c r="BD61" s="24"/>
      <c r="BE61" s="24"/>
      <c r="BF61" s="24"/>
      <c r="BG61" s="24"/>
      <c r="BH61" s="183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v>27</v>
      </c>
      <c r="B62" s="19" t="s">
        <v>82</v>
      </c>
      <c r="C62" s="184" t="s">
        <v>81</v>
      </c>
      <c r="D62" s="134">
        <v>9.5489999999999995</v>
      </c>
      <c r="E62" s="134">
        <f>D62*4</f>
        <v>38.195999999999998</v>
      </c>
      <c r="F62" s="134">
        <f>E62*8</f>
        <v>305.56799999999998</v>
      </c>
      <c r="G62" s="134"/>
      <c r="H62" s="185"/>
      <c r="I62" s="19"/>
      <c r="J62" s="19"/>
      <c r="K62" s="186"/>
      <c r="L62" s="178">
        <v>4.1440000000000001</v>
      </c>
      <c r="M62" s="15">
        <v>3.6950000000000003</v>
      </c>
      <c r="N62" s="15">
        <v>4.4000000000000003E-3</v>
      </c>
      <c r="O62" s="15">
        <v>0.29699999999999999</v>
      </c>
      <c r="P62" s="180">
        <f t="shared" si="2"/>
        <v>8.1404000000000014</v>
      </c>
      <c r="Q62" s="178">
        <v>0.36299999999999999</v>
      </c>
      <c r="R62" s="15">
        <v>6.0000000000000001E-3</v>
      </c>
      <c r="S62" s="180">
        <f>SUM(Q62:R62)</f>
        <v>0.36899999999999999</v>
      </c>
      <c r="T62" s="181" t="s">
        <v>31</v>
      </c>
      <c r="U62" s="181" t="s">
        <v>540</v>
      </c>
      <c r="V62" s="15"/>
      <c r="W62" s="15" t="s">
        <v>504</v>
      </c>
      <c r="X62" s="15">
        <v>51.64</v>
      </c>
      <c r="Y62" s="15">
        <v>0.97</v>
      </c>
      <c r="Z62" s="15">
        <v>9.82</v>
      </c>
      <c r="AA62" s="15"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82"/>
      <c r="AM62" s="142" t="s">
        <v>20</v>
      </c>
      <c r="AN62" s="135"/>
      <c r="AO62" s="135"/>
      <c r="AP62" s="372">
        <v>45688</v>
      </c>
      <c r="AQ62" s="372">
        <f t="shared" ref="AQ62:AR62" si="18">AR62-2</f>
        <v>45692</v>
      </c>
      <c r="AR62" s="372">
        <f t="shared" si="18"/>
        <v>45694</v>
      </c>
      <c r="AS62" s="372">
        <v>45696</v>
      </c>
      <c r="AT62" s="187" t="s">
        <v>554</v>
      </c>
      <c r="AU62" s="188"/>
      <c r="AV62" s="142" t="s">
        <v>20</v>
      </c>
      <c r="AW62" s="15" t="s">
        <v>6</v>
      </c>
      <c r="AX62" s="297">
        <f>AY62</f>
        <v>45721</v>
      </c>
      <c r="AY62" s="297">
        <v>45721</v>
      </c>
      <c r="AZ62" s="24" t="s">
        <v>554</v>
      </c>
      <c r="BA62" s="183"/>
      <c r="BB62" s="142" t="s">
        <v>20</v>
      </c>
      <c r="BC62" s="135" t="s">
        <v>560</v>
      </c>
      <c r="BD62" s="135" t="s">
        <v>21</v>
      </c>
      <c r="BE62" s="298">
        <f>BF62-2</f>
        <v>45727</v>
      </c>
      <c r="BF62" s="298">
        <v>45729</v>
      </c>
      <c r="BG62" s="15" t="s">
        <v>510</v>
      </c>
      <c r="BH62" s="194"/>
      <c r="BI62" s="142" t="s">
        <v>20</v>
      </c>
      <c r="BJ62" s="135">
        <f>BJ60+1</f>
        <v>45847</v>
      </c>
      <c r="BK62" s="135">
        <f>BJ62</f>
        <v>45847</v>
      </c>
      <c r="BL62" s="15">
        <v>1812</v>
      </c>
      <c r="BM62" s="190" t="s">
        <v>545</v>
      </c>
      <c r="BN62" s="24"/>
      <c r="BO62" s="24"/>
    </row>
    <row r="63" spans="1:68" ht="13.5" hidden="1" customHeight="1">
      <c r="A63" s="15" t="s">
        <v>0</v>
      </c>
      <c r="B63" s="19"/>
      <c r="C63" s="184"/>
      <c r="D63" s="134"/>
      <c r="E63" s="134"/>
      <c r="F63" s="134"/>
      <c r="G63" s="134"/>
      <c r="H63" s="185"/>
      <c r="I63" s="19"/>
      <c r="J63" s="19"/>
      <c r="K63" s="186"/>
      <c r="L63" s="178"/>
      <c r="M63" s="15"/>
      <c r="N63" s="15"/>
      <c r="O63" s="15"/>
      <c r="P63" s="180">
        <f t="shared" si="2"/>
        <v>0</v>
      </c>
      <c r="Q63" s="178"/>
      <c r="R63" s="15"/>
      <c r="S63" s="180"/>
      <c r="T63" s="181"/>
      <c r="U63" s="181"/>
      <c r="V63" s="16">
        <v>332.471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82"/>
      <c r="AM63" s="15"/>
      <c r="AN63" s="24"/>
      <c r="AO63" s="24"/>
      <c r="AP63" s="24"/>
      <c r="AQ63" s="24"/>
      <c r="AR63" s="24"/>
      <c r="AS63" s="24"/>
      <c r="AT63" s="24"/>
      <c r="AU63" s="183"/>
      <c r="AV63" s="24"/>
      <c r="AW63" s="24"/>
      <c r="AX63" s="297"/>
      <c r="AY63" s="297"/>
      <c r="AZ63" s="24"/>
      <c r="BA63" s="183"/>
      <c r="BB63" s="24"/>
      <c r="BC63" s="24"/>
      <c r="BD63" s="24"/>
      <c r="BE63" s="24"/>
      <c r="BF63" s="24"/>
      <c r="BG63" s="24"/>
      <c r="BH63" s="183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v>28</v>
      </c>
      <c r="B64" s="19" t="s">
        <v>83</v>
      </c>
      <c r="C64" s="184" t="s">
        <v>76</v>
      </c>
      <c r="D64" s="134">
        <v>7.71</v>
      </c>
      <c r="E64" s="134">
        <f>D64*4</f>
        <v>30.84</v>
      </c>
      <c r="F64" s="134">
        <f>E64*8</f>
        <v>246.72</v>
      </c>
      <c r="G64" s="134"/>
      <c r="H64" s="185"/>
      <c r="I64" s="19"/>
      <c r="J64" s="19"/>
      <c r="K64" s="186"/>
      <c r="L64" s="178">
        <v>3.452</v>
      </c>
      <c r="M64" s="15">
        <v>2.633</v>
      </c>
      <c r="N64" s="15">
        <v>4.0000000000000001E-3</v>
      </c>
      <c r="O64" s="15">
        <v>0.24099999999999999</v>
      </c>
      <c r="P64" s="180">
        <f t="shared" si="2"/>
        <v>6.3299999999999992</v>
      </c>
      <c r="Q64" s="178">
        <v>0.36299999999999999</v>
      </c>
      <c r="R64" s="15">
        <v>6.0000000000000001E-3</v>
      </c>
      <c r="S64" s="180">
        <f>SUM(Q64:R64)</f>
        <v>0.36899999999999999</v>
      </c>
      <c r="T64" s="181" t="s">
        <v>31</v>
      </c>
      <c r="U64" s="181" t="s">
        <v>540</v>
      </c>
      <c r="V64" s="15"/>
      <c r="W64" s="15" t="s">
        <v>504</v>
      </c>
      <c r="X64" s="15">
        <v>51.64</v>
      </c>
      <c r="Y64" s="15">
        <v>0.97</v>
      </c>
      <c r="Z64" s="15">
        <v>9.82</v>
      </c>
      <c r="AA64" s="15"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82"/>
      <c r="AM64" s="142" t="s">
        <v>20</v>
      </c>
      <c r="AN64" s="135" t="str">
        <f>AO64</f>
        <v>D</v>
      </c>
      <c r="AO64" s="135" t="s">
        <v>21</v>
      </c>
      <c r="AP64" s="372">
        <v>45656</v>
      </c>
      <c r="AQ64" s="372">
        <f>AR64-4</f>
        <v>45663</v>
      </c>
      <c r="AR64" s="372">
        <f>AS64-2</f>
        <v>45667</v>
      </c>
      <c r="AS64" s="372">
        <v>45669</v>
      </c>
      <c r="AT64" s="24" t="s">
        <v>554</v>
      </c>
      <c r="AU64" s="183"/>
      <c r="AV64" s="142" t="s">
        <v>20</v>
      </c>
      <c r="AW64" s="15" t="s">
        <v>6</v>
      </c>
      <c r="AX64" s="297">
        <f>AY64</f>
        <v>45721</v>
      </c>
      <c r="AY64" s="297">
        <v>45721</v>
      </c>
      <c r="AZ64" s="24" t="s">
        <v>554</v>
      </c>
      <c r="BA64" s="183"/>
      <c r="BB64" s="142" t="s">
        <v>20</v>
      </c>
      <c r="BC64" s="135" t="s">
        <v>547</v>
      </c>
      <c r="BD64" s="135" t="s">
        <v>21</v>
      </c>
      <c r="BE64" s="298">
        <f>BF64-1</f>
        <v>45727</v>
      </c>
      <c r="BF64" s="298">
        <v>45728</v>
      </c>
      <c r="BG64" s="17" t="s">
        <v>553</v>
      </c>
      <c r="BH64" s="192"/>
      <c r="BI64" s="142" t="s">
        <v>20</v>
      </c>
      <c r="BJ64" s="135">
        <f>BJ62+1</f>
        <v>45848</v>
      </c>
      <c r="BK64" s="135">
        <f>BJ64</f>
        <v>45848</v>
      </c>
      <c r="BL64" s="25">
        <v>1252</v>
      </c>
      <c r="BM64" s="190" t="s">
        <v>545</v>
      </c>
      <c r="BN64" s="24"/>
      <c r="BO64" s="24"/>
    </row>
    <row r="65" spans="1:68" ht="14.25" hidden="1" customHeight="1">
      <c r="A65" s="15" t="s">
        <v>0</v>
      </c>
      <c r="B65" s="19"/>
      <c r="C65" s="184"/>
      <c r="D65" s="134"/>
      <c r="E65" s="134"/>
      <c r="F65" s="134"/>
      <c r="G65" s="134"/>
      <c r="H65" s="185"/>
      <c r="I65" s="19"/>
      <c r="J65" s="19"/>
      <c r="K65" s="186"/>
      <c r="L65" s="178"/>
      <c r="M65" s="15"/>
      <c r="N65" s="15"/>
      <c r="O65" s="15"/>
      <c r="P65" s="180">
        <f t="shared" si="2"/>
        <v>0</v>
      </c>
      <c r="Q65" s="178"/>
      <c r="R65" s="15"/>
      <c r="S65" s="180"/>
      <c r="T65" s="181"/>
      <c r="U65" s="181"/>
      <c r="V65" s="16">
        <v>424.43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82"/>
      <c r="AM65" s="15"/>
      <c r="AN65" s="24"/>
      <c r="AO65" s="24"/>
      <c r="AP65" s="24"/>
      <c r="AQ65" s="24"/>
      <c r="AR65" s="24"/>
      <c r="AS65" s="24"/>
      <c r="AT65" s="24"/>
      <c r="AU65" s="183"/>
      <c r="AV65" s="24"/>
      <c r="AW65" s="24"/>
      <c r="AX65" s="297"/>
      <c r="AY65" s="297"/>
      <c r="AZ65" s="24"/>
      <c r="BA65" s="183"/>
      <c r="BB65" s="24"/>
      <c r="BC65" s="24"/>
      <c r="BD65" s="24"/>
      <c r="BE65" s="24"/>
      <c r="BF65" s="24"/>
      <c r="BG65" s="24"/>
      <c r="BH65" s="183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v>29</v>
      </c>
      <c r="B66" s="19" t="s">
        <v>84</v>
      </c>
      <c r="C66" s="184" t="s">
        <v>85</v>
      </c>
      <c r="D66" s="134">
        <v>8.2520000000000007</v>
      </c>
      <c r="E66" s="134">
        <f>D66*4</f>
        <v>33.008000000000003</v>
      </c>
      <c r="F66" s="134">
        <f>E66*8</f>
        <v>264.06400000000002</v>
      </c>
      <c r="G66" s="134">
        <v>1</v>
      </c>
      <c r="H66" s="185">
        <v>3</v>
      </c>
      <c r="I66" s="19">
        <v>3</v>
      </c>
      <c r="J66" s="19">
        <v>3</v>
      </c>
      <c r="K66" s="186">
        <v>3</v>
      </c>
      <c r="L66" s="178">
        <v>3.077</v>
      </c>
      <c r="M66" s="15">
        <v>3.6589999999999998</v>
      </c>
      <c r="N66" s="15">
        <v>2.5000000000000001E-3</v>
      </c>
      <c r="O66" s="15">
        <v>0.26600000000000001</v>
      </c>
      <c r="P66" s="180">
        <f t="shared" si="2"/>
        <v>7.0045000000000002</v>
      </c>
      <c r="Q66" s="178">
        <v>0.24399999999999999</v>
      </c>
      <c r="R66" s="15">
        <v>5.0000000000000001E-3</v>
      </c>
      <c r="S66" s="180">
        <f>SUM(Q66:R66)</f>
        <v>0.249</v>
      </c>
      <c r="T66" s="181" t="s">
        <v>31</v>
      </c>
      <c r="U66" s="181" t="s">
        <v>540</v>
      </c>
      <c r="V66" s="15"/>
      <c r="W66" s="15" t="s">
        <v>504</v>
      </c>
      <c r="X66" s="15">
        <v>41.44</v>
      </c>
      <c r="Y66" s="15">
        <v>0.8</v>
      </c>
      <c r="Z66" s="15">
        <v>7.8</v>
      </c>
      <c r="AA66" s="15">
        <v>8.6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82"/>
      <c r="AM66" s="142" t="s">
        <v>20</v>
      </c>
      <c r="AN66" s="135" t="s">
        <v>21</v>
      </c>
      <c r="AO66" s="135" t="s">
        <v>21</v>
      </c>
      <c r="AP66" s="372">
        <f t="shared" ref="AP66:AR66" si="19">AQ66-2</f>
        <v>45784</v>
      </c>
      <c r="AQ66" s="372">
        <f t="shared" si="19"/>
        <v>45786</v>
      </c>
      <c r="AR66" s="372">
        <f t="shared" si="19"/>
        <v>45788</v>
      </c>
      <c r="AS66" s="372">
        <v>45790</v>
      </c>
      <c r="AT66" s="187" t="s">
        <v>554</v>
      </c>
      <c r="AU66" s="188"/>
      <c r="AV66" s="142" t="s">
        <v>20</v>
      </c>
      <c r="AW66" s="15" t="s">
        <v>6</v>
      </c>
      <c r="AX66" s="297">
        <f>AY66</f>
        <v>45797</v>
      </c>
      <c r="AY66" s="297">
        <v>45797</v>
      </c>
      <c r="AZ66" s="24" t="s">
        <v>554</v>
      </c>
      <c r="BA66" s="183"/>
      <c r="BB66" s="142" t="s">
        <v>20</v>
      </c>
      <c r="BC66" s="135" t="s">
        <v>561</v>
      </c>
      <c r="BD66" s="135" t="s">
        <v>21</v>
      </c>
      <c r="BE66" s="298">
        <f>BF66</f>
        <v>45812</v>
      </c>
      <c r="BF66" s="298">
        <v>45812</v>
      </c>
      <c r="BG66" s="15" t="s">
        <v>553</v>
      </c>
      <c r="BH66" s="194"/>
      <c r="BI66" s="142" t="s">
        <v>20</v>
      </c>
      <c r="BJ66" s="135">
        <f>BJ64+1</f>
        <v>45849</v>
      </c>
      <c r="BK66" s="135">
        <f>BJ66</f>
        <v>45849</v>
      </c>
      <c r="BL66" s="25">
        <v>1588</v>
      </c>
      <c r="BM66" s="190" t="s">
        <v>545</v>
      </c>
      <c r="BN66" s="24"/>
      <c r="BO66" s="24"/>
    </row>
    <row r="67" spans="1:68" ht="14.25" hidden="1" customHeight="1">
      <c r="A67" s="15" t="s">
        <v>0</v>
      </c>
      <c r="B67" s="19"/>
      <c r="C67" s="184"/>
      <c r="D67" s="134"/>
      <c r="E67" s="134"/>
      <c r="F67" s="134"/>
      <c r="G67" s="134"/>
      <c r="H67" s="185"/>
      <c r="I67" s="19"/>
      <c r="J67" s="19"/>
      <c r="K67" s="186"/>
      <c r="L67" s="178"/>
      <c r="M67" s="15"/>
      <c r="N67" s="15"/>
      <c r="O67" s="15"/>
      <c r="P67" s="180">
        <f t="shared" si="2"/>
        <v>0</v>
      </c>
      <c r="Q67" s="178"/>
      <c r="R67" s="15"/>
      <c r="S67" s="180"/>
      <c r="T67" s="181"/>
      <c r="U67" s="181"/>
      <c r="V67" s="16">
        <v>326.73099999999999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82"/>
      <c r="AM67" s="15"/>
      <c r="AN67" s="24"/>
      <c r="AO67" s="24"/>
      <c r="AP67" s="24"/>
      <c r="AQ67" s="24"/>
      <c r="AR67" s="24"/>
      <c r="AS67" s="24"/>
      <c r="AT67" s="24"/>
      <c r="AU67" s="183"/>
      <c r="AV67" s="24"/>
      <c r="AW67" s="24"/>
      <c r="AX67" s="297"/>
      <c r="AY67" s="297"/>
      <c r="AZ67" s="24"/>
      <c r="BA67" s="183"/>
      <c r="BB67" s="24"/>
      <c r="BC67" s="24"/>
      <c r="BD67" s="24"/>
      <c r="BE67" s="24"/>
      <c r="BF67" s="24"/>
      <c r="BG67" s="24"/>
      <c r="BH67" s="183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v>30</v>
      </c>
      <c r="B68" s="19" t="s">
        <v>86</v>
      </c>
      <c r="C68" s="184" t="s">
        <v>56</v>
      </c>
      <c r="D68" s="134">
        <v>7.6219999999999999</v>
      </c>
      <c r="E68" s="134">
        <f>D68*4</f>
        <v>30.488</v>
      </c>
      <c r="F68" s="134">
        <f>E68*8</f>
        <v>243.904</v>
      </c>
      <c r="G68" s="134"/>
      <c r="H68" s="185"/>
      <c r="I68" s="19"/>
      <c r="J68" s="19"/>
      <c r="K68" s="186"/>
      <c r="L68" s="178">
        <v>2.6789999999999998</v>
      </c>
      <c r="M68" s="15">
        <v>3.133</v>
      </c>
      <c r="N68" s="15">
        <v>2.3E-3</v>
      </c>
      <c r="O68" s="15">
        <v>0.23299999999999998</v>
      </c>
      <c r="P68" s="180">
        <f t="shared" si="2"/>
        <v>6.047299999999999</v>
      </c>
      <c r="Q68" s="178">
        <v>0.24399999999999999</v>
      </c>
      <c r="R68" s="15">
        <v>5.0000000000000001E-3</v>
      </c>
      <c r="S68" s="180">
        <f>SUM(Q68:R68)</f>
        <v>0.249</v>
      </c>
      <c r="T68" s="181" t="s">
        <v>31</v>
      </c>
      <c r="U68" s="181" t="s">
        <v>540</v>
      </c>
      <c r="V68" s="15"/>
      <c r="W68" s="15" t="s">
        <v>504</v>
      </c>
      <c r="X68" s="15">
        <v>41.44</v>
      </c>
      <c r="Y68" s="15">
        <v>0.8</v>
      </c>
      <c r="Z68" s="15">
        <v>7.8</v>
      </c>
      <c r="AA68" s="15"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82"/>
      <c r="AM68" s="142" t="s">
        <v>20</v>
      </c>
      <c r="AN68" s="135" t="str">
        <f>AO68</f>
        <v>D</v>
      </c>
      <c r="AO68" s="135" t="s">
        <v>21</v>
      </c>
      <c r="AP68" s="372">
        <f>AQ68-3</f>
        <v>45639</v>
      </c>
      <c r="AQ68" s="372">
        <f t="shared" ref="AQ68:AR68" si="20">AR68-2</f>
        <v>45642</v>
      </c>
      <c r="AR68" s="372">
        <f t="shared" si="20"/>
        <v>45644</v>
      </c>
      <c r="AS68" s="372">
        <v>45646</v>
      </c>
      <c r="AT68" s="24" t="s">
        <v>554</v>
      </c>
      <c r="AU68" s="183"/>
      <c r="AV68" s="142" t="s">
        <v>20</v>
      </c>
      <c r="AW68" s="15" t="s">
        <v>6</v>
      </c>
      <c r="AX68" s="297">
        <f>AY68</f>
        <v>45708</v>
      </c>
      <c r="AY68" s="297">
        <v>45708</v>
      </c>
      <c r="AZ68" s="24" t="s">
        <v>554</v>
      </c>
      <c r="BA68" s="183"/>
      <c r="BB68" s="142" t="s">
        <v>20</v>
      </c>
      <c r="BC68" s="135" t="s">
        <v>562</v>
      </c>
      <c r="BD68" s="135" t="s">
        <v>21</v>
      </c>
      <c r="BE68" s="298">
        <f>BF68-3</f>
        <v>45729</v>
      </c>
      <c r="BF68" s="298">
        <v>45732</v>
      </c>
      <c r="BG68" s="17" t="s">
        <v>553</v>
      </c>
      <c r="BH68" s="192"/>
      <c r="BI68" s="142" t="s">
        <v>20</v>
      </c>
      <c r="BJ68" s="135">
        <f>BJ66+1</f>
        <v>45850</v>
      </c>
      <c r="BK68" s="135">
        <f>BJ68</f>
        <v>45850</v>
      </c>
      <c r="BL68" s="25">
        <v>1545</v>
      </c>
      <c r="BM68" s="190" t="s">
        <v>545</v>
      </c>
      <c r="BN68" s="15"/>
      <c r="BO68" s="15"/>
    </row>
    <row r="69" spans="1:68" ht="14.25" hidden="1" customHeight="1">
      <c r="A69" s="15" t="s">
        <v>0</v>
      </c>
      <c r="B69" s="19"/>
      <c r="C69" s="184"/>
      <c r="D69" s="134"/>
      <c r="E69" s="134"/>
      <c r="F69" s="134"/>
      <c r="G69" s="134"/>
      <c r="H69" s="185"/>
      <c r="I69" s="19"/>
      <c r="J69" s="19"/>
      <c r="K69" s="186"/>
      <c r="L69" s="178"/>
      <c r="M69" s="15"/>
      <c r="N69" s="15"/>
      <c r="O69" s="15"/>
      <c r="P69" s="180">
        <f t="shared" si="2"/>
        <v>0</v>
      </c>
      <c r="Q69" s="178"/>
      <c r="R69" s="15"/>
      <c r="S69" s="180"/>
      <c r="T69" s="181"/>
      <c r="U69" s="181"/>
      <c r="V69" s="16">
        <v>291.85700000000003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82"/>
      <c r="AM69" s="15"/>
      <c r="AN69" s="135"/>
      <c r="AO69" s="135"/>
      <c r="AP69" s="135"/>
      <c r="AQ69" s="135"/>
      <c r="AR69" s="135"/>
      <c r="AS69" s="135"/>
      <c r="AT69" s="24"/>
      <c r="AU69" s="183"/>
      <c r="AV69" s="24"/>
      <c r="AW69" s="24"/>
      <c r="AX69" s="297"/>
      <c r="AY69" s="297"/>
      <c r="AZ69" s="24"/>
      <c r="BA69" s="183"/>
      <c r="BB69" s="24"/>
      <c r="BC69" s="135"/>
      <c r="BD69" s="135"/>
      <c r="BE69" s="24"/>
      <c r="BF69" s="24"/>
      <c r="BG69" s="24"/>
      <c r="BH69" s="183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v>31</v>
      </c>
      <c r="B70" s="19" t="s">
        <v>87</v>
      </c>
      <c r="C70" s="184" t="s">
        <v>42</v>
      </c>
      <c r="D70" s="134">
        <v>6.3620000000000001</v>
      </c>
      <c r="E70" s="134">
        <f>D70*4</f>
        <v>25.448</v>
      </c>
      <c r="F70" s="134">
        <f>E70*8</f>
        <v>203.584</v>
      </c>
      <c r="G70" s="134"/>
      <c r="H70" s="185"/>
      <c r="I70" s="19"/>
      <c r="J70" s="19"/>
      <c r="K70" s="186"/>
      <c r="L70" s="178">
        <v>2.25</v>
      </c>
      <c r="M70" s="15">
        <v>2.1880000000000002</v>
      </c>
      <c r="N70" s="15">
        <v>2E-3</v>
      </c>
      <c r="O70" s="15">
        <v>0.183</v>
      </c>
      <c r="P70" s="180">
        <f t="shared" si="2"/>
        <v>4.6230000000000002</v>
      </c>
      <c r="Q70" s="178">
        <v>0.24399999999999999</v>
      </c>
      <c r="R70" s="15">
        <v>5.0000000000000001E-3</v>
      </c>
      <c r="S70" s="180">
        <f>SUM(Q70:R70)</f>
        <v>0.249</v>
      </c>
      <c r="T70" s="181" t="s">
        <v>31</v>
      </c>
      <c r="U70" s="181" t="s">
        <v>540</v>
      </c>
      <c r="V70" s="15"/>
      <c r="W70" s="15" t="s">
        <v>504</v>
      </c>
      <c r="X70" s="15">
        <v>41.44</v>
      </c>
      <c r="Y70" s="15">
        <v>0.8</v>
      </c>
      <c r="Z70" s="15">
        <v>7.8</v>
      </c>
      <c r="AA70" s="15"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82"/>
      <c r="AM70" s="142" t="s">
        <v>20</v>
      </c>
      <c r="AN70" s="135" t="str">
        <f>AO70</f>
        <v>D</v>
      </c>
      <c r="AO70" s="135" t="s">
        <v>21</v>
      </c>
      <c r="AP70" s="372">
        <f>AQ70-3</f>
        <v>45638</v>
      </c>
      <c r="AQ70" s="372">
        <f t="shared" ref="AQ70:AR70" si="21">AR70-2</f>
        <v>45641</v>
      </c>
      <c r="AR70" s="372">
        <f t="shared" si="21"/>
        <v>45643</v>
      </c>
      <c r="AS70" s="372">
        <v>45645</v>
      </c>
      <c r="AT70" s="24" t="s">
        <v>554</v>
      </c>
      <c r="AU70" s="183"/>
      <c r="AV70" s="142" t="s">
        <v>20</v>
      </c>
      <c r="AW70" s="15" t="s">
        <v>6</v>
      </c>
      <c r="AX70" s="297">
        <f>AY70</f>
        <v>45677</v>
      </c>
      <c r="AY70" s="297">
        <v>45677</v>
      </c>
      <c r="AZ70" s="24" t="s">
        <v>554</v>
      </c>
      <c r="BA70" s="183"/>
      <c r="BB70" s="142" t="s">
        <v>20</v>
      </c>
      <c r="BC70" s="135" t="s">
        <v>547</v>
      </c>
      <c r="BD70" s="135" t="s">
        <v>21</v>
      </c>
      <c r="BE70" s="298">
        <f>BF70-2</f>
        <v>45732</v>
      </c>
      <c r="BF70" s="298">
        <v>45734</v>
      </c>
      <c r="BG70" s="17" t="s">
        <v>553</v>
      </c>
      <c r="BH70" s="182"/>
      <c r="BI70" s="142" t="s">
        <v>20</v>
      </c>
      <c r="BJ70" s="135">
        <f>BJ68+1</f>
        <v>45851</v>
      </c>
      <c r="BK70" s="135">
        <f>BJ70</f>
        <v>45851</v>
      </c>
      <c r="BL70" s="25">
        <v>980</v>
      </c>
      <c r="BM70" s="190" t="s">
        <v>545</v>
      </c>
      <c r="BN70" s="24"/>
      <c r="BO70" s="24"/>
    </row>
    <row r="71" spans="1:68" ht="14.25" hidden="1" customHeight="1">
      <c r="A71" s="15" t="s">
        <v>0</v>
      </c>
      <c r="B71" s="19"/>
      <c r="C71" s="184"/>
      <c r="D71" s="134"/>
      <c r="E71" s="134"/>
      <c r="F71" s="134"/>
      <c r="G71" s="134"/>
      <c r="H71" s="185"/>
      <c r="I71" s="19"/>
      <c r="J71" s="19"/>
      <c r="K71" s="186"/>
      <c r="L71" s="178"/>
      <c r="M71" s="15"/>
      <c r="N71" s="15"/>
      <c r="O71" s="15"/>
      <c r="P71" s="180">
        <f t="shared" si="2"/>
        <v>0</v>
      </c>
      <c r="Q71" s="178"/>
      <c r="R71" s="15"/>
      <c r="S71" s="180"/>
      <c r="T71" s="181"/>
      <c r="U71" s="181"/>
      <c r="V71" s="16">
        <v>292.00099999999998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82"/>
      <c r="AM71" s="15"/>
      <c r="AN71" s="24"/>
      <c r="AO71" s="24"/>
      <c r="AP71" s="24"/>
      <c r="AQ71" s="24"/>
      <c r="AR71" s="24"/>
      <c r="AS71" s="24"/>
      <c r="AT71" s="24"/>
      <c r="AU71" s="183"/>
      <c r="AV71" s="24"/>
      <c r="AW71" s="24"/>
      <c r="AX71" s="297"/>
      <c r="AY71" s="297"/>
      <c r="AZ71" s="24"/>
      <c r="BA71" s="183"/>
      <c r="BB71" s="24"/>
      <c r="BC71" s="24"/>
      <c r="BD71" s="24"/>
      <c r="BE71" s="24"/>
      <c r="BF71" s="24"/>
      <c r="BG71" s="24"/>
      <c r="BH71" s="183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v>32</v>
      </c>
      <c r="B72" s="19" t="s">
        <v>88</v>
      </c>
      <c r="C72" s="184" t="s">
        <v>89</v>
      </c>
      <c r="D72" s="134">
        <v>8.6300000000000008</v>
      </c>
      <c r="E72" s="134">
        <f>D72*4</f>
        <v>34.520000000000003</v>
      </c>
      <c r="F72" s="134">
        <f>E72*8</f>
        <v>276.16000000000003</v>
      </c>
      <c r="G72" s="134"/>
      <c r="H72" s="185"/>
      <c r="I72" s="19"/>
      <c r="J72" s="19"/>
      <c r="K72" s="186"/>
      <c r="L72" s="178">
        <v>3.867</v>
      </c>
      <c r="M72" s="15">
        <v>3.306</v>
      </c>
      <c r="N72" s="15">
        <v>4.3E-3</v>
      </c>
      <c r="O72" s="15">
        <v>0.27500000000000002</v>
      </c>
      <c r="P72" s="180">
        <f t="shared" si="2"/>
        <v>7.4523000000000001</v>
      </c>
      <c r="Q72" s="178">
        <v>0.36299999999999999</v>
      </c>
      <c r="R72" s="15">
        <v>6.0000000000000001E-3</v>
      </c>
      <c r="S72" s="180">
        <f>SUM(Q72:R72)</f>
        <v>0.36899999999999999</v>
      </c>
      <c r="T72" s="181" t="s">
        <v>31</v>
      </c>
      <c r="U72" s="181" t="s">
        <v>540</v>
      </c>
      <c r="V72" s="15"/>
      <c r="W72" s="15" t="s">
        <v>504</v>
      </c>
      <c r="X72" s="15">
        <v>51.64</v>
      </c>
      <c r="Y72" s="15">
        <v>0.97</v>
      </c>
      <c r="Z72" s="15">
        <v>9.82</v>
      </c>
      <c r="AA72" s="15"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82"/>
      <c r="AM72" s="142" t="s">
        <v>20</v>
      </c>
      <c r="AN72" s="135" t="str">
        <f>AO72</f>
        <v>D</v>
      </c>
      <c r="AO72" s="135" t="s">
        <v>21</v>
      </c>
      <c r="AP72" s="372">
        <f>AQ72-3</f>
        <v>45644</v>
      </c>
      <c r="AQ72" s="372">
        <f t="shared" ref="AQ72:AR72" si="22">AR72-2</f>
        <v>45647</v>
      </c>
      <c r="AR72" s="372">
        <f t="shared" si="22"/>
        <v>45649</v>
      </c>
      <c r="AS72" s="372">
        <v>45651</v>
      </c>
      <c r="AT72" s="24" t="s">
        <v>554</v>
      </c>
      <c r="AU72" s="183"/>
      <c r="AV72" s="142" t="s">
        <v>20</v>
      </c>
      <c r="AW72" s="15" t="s">
        <v>6</v>
      </c>
      <c r="AX72" s="297">
        <f>AY72</f>
        <v>45677</v>
      </c>
      <c r="AY72" s="297">
        <v>45677</v>
      </c>
      <c r="AZ72" s="24" t="s">
        <v>554</v>
      </c>
      <c r="BA72" s="183"/>
      <c r="BB72" s="142" t="s">
        <v>20</v>
      </c>
      <c r="BC72" s="135" t="s">
        <v>547</v>
      </c>
      <c r="BD72" s="135" t="s">
        <v>21</v>
      </c>
      <c r="BE72" s="298">
        <f>BF72-2</f>
        <v>45739</v>
      </c>
      <c r="BF72" s="298">
        <v>45741</v>
      </c>
      <c r="BG72" s="17" t="s">
        <v>553</v>
      </c>
      <c r="BH72" s="182"/>
      <c r="BI72" s="142" t="s">
        <v>20</v>
      </c>
      <c r="BJ72" s="135">
        <f>BJ70+1</f>
        <v>45852</v>
      </c>
      <c r="BK72" s="135">
        <f>BJ72</f>
        <v>45852</v>
      </c>
      <c r="BL72" s="25">
        <v>1560</v>
      </c>
      <c r="BM72" s="190" t="s">
        <v>545</v>
      </c>
      <c r="BN72" s="17"/>
      <c r="BO72" s="17"/>
    </row>
    <row r="73" spans="1:68" ht="14.25" hidden="1" customHeight="1">
      <c r="A73" s="15" t="s">
        <v>0</v>
      </c>
      <c r="B73" s="19"/>
      <c r="C73" s="184"/>
      <c r="D73" s="134"/>
      <c r="E73" s="134"/>
      <c r="F73" s="134"/>
      <c r="G73" s="134"/>
      <c r="H73" s="185"/>
      <c r="I73" s="19"/>
      <c r="J73" s="19"/>
      <c r="K73" s="186"/>
      <c r="L73" s="178"/>
      <c r="M73" s="15"/>
      <c r="N73" s="15"/>
      <c r="O73" s="15"/>
      <c r="P73" s="180">
        <f t="shared" si="2"/>
        <v>0</v>
      </c>
      <c r="Q73" s="178"/>
      <c r="R73" s="15"/>
      <c r="S73" s="180"/>
      <c r="T73" s="181"/>
      <c r="U73" s="181"/>
      <c r="V73" s="16">
        <v>415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82"/>
      <c r="AM73" s="15"/>
      <c r="AN73" s="24"/>
      <c r="AO73" s="24"/>
      <c r="AP73" s="24"/>
      <c r="AQ73" s="24"/>
      <c r="AR73" s="24"/>
      <c r="AS73" s="24"/>
      <c r="AT73" s="24"/>
      <c r="AU73" s="183"/>
      <c r="AV73" s="24"/>
      <c r="AW73" s="24"/>
      <c r="AX73" s="297"/>
      <c r="AY73" s="297"/>
      <c r="AZ73" s="24"/>
      <c r="BA73" s="183"/>
      <c r="BB73" s="24"/>
      <c r="BC73" s="24"/>
      <c r="BD73" s="24"/>
      <c r="BE73" s="24"/>
      <c r="BF73" s="24"/>
      <c r="BG73" s="24"/>
      <c r="BH73" s="183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v>33</v>
      </c>
      <c r="B74" s="19" t="s">
        <v>90</v>
      </c>
      <c r="C74" s="184" t="s">
        <v>76</v>
      </c>
      <c r="D74" s="134">
        <v>7.71</v>
      </c>
      <c r="E74" s="134">
        <f>D74*4</f>
        <v>30.84</v>
      </c>
      <c r="F74" s="134">
        <f>E74*8</f>
        <v>246.72</v>
      </c>
      <c r="G74" s="134"/>
      <c r="H74" s="185"/>
      <c r="I74" s="19"/>
      <c r="J74" s="19"/>
      <c r="K74" s="186"/>
      <c r="L74" s="178">
        <v>3.452</v>
      </c>
      <c r="M74" s="15">
        <v>2.633</v>
      </c>
      <c r="N74" s="15">
        <v>4.0000000000000001E-3</v>
      </c>
      <c r="O74" s="15">
        <v>0.24099999999999999</v>
      </c>
      <c r="P74" s="180">
        <f t="shared" si="2"/>
        <v>6.3299999999999992</v>
      </c>
      <c r="Q74" s="178">
        <v>0.36299999999999999</v>
      </c>
      <c r="R74" s="15">
        <v>6.0000000000000001E-3</v>
      </c>
      <c r="S74" s="180">
        <f>SUM(Q74:R74)</f>
        <v>0.36899999999999999</v>
      </c>
      <c r="T74" s="181" t="s">
        <v>31</v>
      </c>
      <c r="U74" s="181" t="s">
        <v>540</v>
      </c>
      <c r="V74" s="15"/>
      <c r="W74" s="15" t="s">
        <v>504</v>
      </c>
      <c r="X74" s="15">
        <v>51.64</v>
      </c>
      <c r="Y74" s="15">
        <v>0.97</v>
      </c>
      <c r="Z74" s="15">
        <v>9.82</v>
      </c>
      <c r="AA74" s="15"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82"/>
      <c r="AM74" s="142" t="s">
        <v>20</v>
      </c>
      <c r="AN74" s="135" t="str">
        <f>AO74</f>
        <v>D</v>
      </c>
      <c r="AO74" s="135" t="s">
        <v>21</v>
      </c>
      <c r="AP74" s="372">
        <v>45677</v>
      </c>
      <c r="AQ74" s="372">
        <f t="shared" ref="AQ74:AR74" si="23">AR74-2</f>
        <v>45696</v>
      </c>
      <c r="AR74" s="372">
        <f t="shared" si="23"/>
        <v>45698</v>
      </c>
      <c r="AS74" s="372">
        <v>45700</v>
      </c>
      <c r="AT74" s="24" t="s">
        <v>542</v>
      </c>
      <c r="AU74" s="183"/>
      <c r="AV74" s="142" t="s">
        <v>20</v>
      </c>
      <c r="AW74" s="15" t="s">
        <v>6</v>
      </c>
      <c r="AX74" s="297">
        <f>AY74</f>
        <v>45708</v>
      </c>
      <c r="AY74" s="297">
        <v>45708</v>
      </c>
      <c r="AZ74" s="24" t="s">
        <v>554</v>
      </c>
      <c r="BA74" s="183"/>
      <c r="BB74" s="142" t="s">
        <v>20</v>
      </c>
      <c r="BC74" s="135" t="s">
        <v>563</v>
      </c>
      <c r="BD74" s="135" t="s">
        <v>21</v>
      </c>
      <c r="BE74" s="298">
        <f>BF74-2</f>
        <v>45737</v>
      </c>
      <c r="BF74" s="298">
        <v>45739</v>
      </c>
      <c r="BG74" s="17" t="s">
        <v>553</v>
      </c>
      <c r="BH74" s="193"/>
      <c r="BI74" s="142" t="s">
        <v>20</v>
      </c>
      <c r="BJ74" s="135">
        <f>BJ72+1</f>
        <v>45853</v>
      </c>
      <c r="BK74" s="135">
        <f>BJ74</f>
        <v>45853</v>
      </c>
      <c r="BL74" s="25">
        <v>1252</v>
      </c>
      <c r="BM74" s="190" t="s">
        <v>545</v>
      </c>
      <c r="BN74" s="24" t="s">
        <v>557</v>
      </c>
      <c r="BO74" s="24"/>
      <c r="BP74" s="145" t="s">
        <v>559</v>
      </c>
    </row>
    <row r="75" spans="1:68" ht="14.25" hidden="1" customHeight="1">
      <c r="A75" s="15" t="s">
        <v>0</v>
      </c>
      <c r="B75" s="19"/>
      <c r="C75" s="184"/>
      <c r="D75" s="134"/>
      <c r="E75" s="134"/>
      <c r="F75" s="134"/>
      <c r="G75" s="134"/>
      <c r="H75" s="185"/>
      <c r="I75" s="19"/>
      <c r="J75" s="19"/>
      <c r="K75" s="186"/>
      <c r="L75" s="178"/>
      <c r="M75" s="15"/>
      <c r="N75" s="15"/>
      <c r="O75" s="15"/>
      <c r="P75" s="180">
        <f t="shared" si="2"/>
        <v>0</v>
      </c>
      <c r="Q75" s="178"/>
      <c r="R75" s="15"/>
      <c r="S75" s="180"/>
      <c r="T75" s="181"/>
      <c r="U75" s="181"/>
      <c r="V75" s="16">
        <v>237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82"/>
      <c r="AM75" s="15"/>
      <c r="AN75" s="24"/>
      <c r="AO75" s="24"/>
      <c r="AP75" s="24"/>
      <c r="AQ75" s="24"/>
      <c r="AR75" s="24"/>
      <c r="AS75" s="24"/>
      <c r="AT75" s="24"/>
      <c r="AU75" s="183"/>
      <c r="AV75" s="24"/>
      <c r="AW75" s="24"/>
      <c r="AX75" s="297"/>
      <c r="AY75" s="297"/>
      <c r="AZ75" s="24"/>
      <c r="BA75" s="183"/>
      <c r="BB75" s="24"/>
      <c r="BC75" s="24"/>
      <c r="BD75" s="24"/>
      <c r="BE75" s="24"/>
      <c r="BF75" s="24"/>
      <c r="BG75" s="24"/>
      <c r="BH75" s="183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v>34</v>
      </c>
      <c r="B76" s="19" t="s">
        <v>91</v>
      </c>
      <c r="C76" s="184" t="s">
        <v>76</v>
      </c>
      <c r="D76" s="134">
        <v>7.71</v>
      </c>
      <c r="E76" s="134">
        <f>D76*4</f>
        <v>30.84</v>
      </c>
      <c r="F76" s="134">
        <f>E76*8</f>
        <v>246.72</v>
      </c>
      <c r="G76" s="134"/>
      <c r="H76" s="185"/>
      <c r="I76" s="19"/>
      <c r="J76" s="19"/>
      <c r="K76" s="186"/>
      <c r="L76" s="178">
        <v>3.452</v>
      </c>
      <c r="M76" s="15">
        <v>2.633</v>
      </c>
      <c r="N76" s="15">
        <v>4.0000000000000001E-3</v>
      </c>
      <c r="O76" s="15">
        <v>0.24099999999999999</v>
      </c>
      <c r="P76" s="180">
        <f t="shared" si="2"/>
        <v>6.3299999999999992</v>
      </c>
      <c r="Q76" s="178">
        <v>0.36299999999999999</v>
      </c>
      <c r="R76" s="15">
        <v>6.0000000000000001E-3</v>
      </c>
      <c r="S76" s="180">
        <f>SUM(Q76:R76)</f>
        <v>0.36899999999999999</v>
      </c>
      <c r="T76" s="181" t="s">
        <v>31</v>
      </c>
      <c r="U76" s="181" t="s">
        <v>540</v>
      </c>
      <c r="V76" s="15"/>
      <c r="W76" s="15" t="s">
        <v>504</v>
      </c>
      <c r="X76" s="15">
        <v>51.64</v>
      </c>
      <c r="Y76" s="15">
        <v>0.97</v>
      </c>
      <c r="Z76" s="15">
        <v>9.82</v>
      </c>
      <c r="AA76" s="15"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82"/>
      <c r="AM76" s="142" t="s">
        <v>20</v>
      </c>
      <c r="AN76" s="135" t="str">
        <f>AO76</f>
        <v>D</v>
      </c>
      <c r="AO76" s="135" t="s">
        <v>21</v>
      </c>
      <c r="AP76" s="372">
        <f>AQ76-3</f>
        <v>45697</v>
      </c>
      <c r="AQ76" s="372">
        <f>AR76-2</f>
        <v>45700</v>
      </c>
      <c r="AR76" s="372">
        <f>AS76-1</f>
        <v>45702</v>
      </c>
      <c r="AS76" s="372">
        <v>45703</v>
      </c>
      <c r="AT76" s="24" t="s">
        <v>542</v>
      </c>
      <c r="AU76" s="183"/>
      <c r="AV76" s="142" t="s">
        <v>20</v>
      </c>
      <c r="AW76" s="15" t="s">
        <v>6</v>
      </c>
      <c r="AX76" s="297">
        <f>AY76</f>
        <v>45708</v>
      </c>
      <c r="AY76" s="297">
        <v>45708</v>
      </c>
      <c r="AZ76" s="24" t="s">
        <v>554</v>
      </c>
      <c r="BA76" s="183"/>
      <c r="BB76" s="142" t="s">
        <v>20</v>
      </c>
      <c r="BC76" s="135" t="s">
        <v>547</v>
      </c>
      <c r="BD76" s="135" t="s">
        <v>21</v>
      </c>
      <c r="BE76" s="298">
        <f>BF76-1</f>
        <v>45735</v>
      </c>
      <c r="BF76" s="298">
        <v>45736</v>
      </c>
      <c r="BG76" s="17" t="s">
        <v>553</v>
      </c>
      <c r="BH76" s="193"/>
      <c r="BI76" s="142" t="s">
        <v>20</v>
      </c>
      <c r="BJ76" s="135">
        <f>BJ74+1</f>
        <v>45854</v>
      </c>
      <c r="BK76" s="135">
        <f>BJ76</f>
        <v>45854</v>
      </c>
      <c r="BL76" s="25">
        <v>1252</v>
      </c>
      <c r="BM76" s="190" t="s">
        <v>545</v>
      </c>
      <c r="BN76" s="24" t="s">
        <v>557</v>
      </c>
      <c r="BO76" s="24"/>
      <c r="BP76" s="145" t="s">
        <v>559</v>
      </c>
    </row>
    <row r="77" spans="1:68" ht="14.25" hidden="1" customHeight="1">
      <c r="A77" s="15"/>
      <c r="B77" s="19"/>
      <c r="C77" s="184"/>
      <c r="D77" s="134"/>
      <c r="E77" s="134"/>
      <c r="F77" s="134"/>
      <c r="G77" s="134"/>
      <c r="H77" s="185"/>
      <c r="I77" s="19"/>
      <c r="J77" s="19"/>
      <c r="K77" s="186"/>
      <c r="L77" s="178"/>
      <c r="M77" s="15"/>
      <c r="N77" s="15"/>
      <c r="O77" s="15"/>
      <c r="P77" s="180">
        <f t="shared" si="2"/>
        <v>0</v>
      </c>
      <c r="Q77" s="178"/>
      <c r="R77" s="15"/>
      <c r="S77" s="180"/>
      <c r="T77" s="181"/>
      <c r="U77" s="181"/>
      <c r="V77" s="16">
        <v>188.45400000000001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82"/>
      <c r="AM77" s="15"/>
      <c r="AN77" s="24"/>
      <c r="AO77" s="24"/>
      <c r="AP77" s="24"/>
      <c r="AQ77" s="24"/>
      <c r="AR77" s="24"/>
      <c r="AS77" s="24"/>
      <c r="AT77" s="24"/>
      <c r="AU77" s="183"/>
      <c r="AV77" s="24"/>
      <c r="AW77" s="24"/>
      <c r="AX77" s="297"/>
      <c r="AY77" s="297"/>
      <c r="AZ77" s="24"/>
      <c r="BA77" s="183"/>
      <c r="BB77" s="24"/>
      <c r="BC77" s="24"/>
      <c r="BD77" s="24"/>
      <c r="BE77" s="24"/>
      <c r="BF77" s="24"/>
      <c r="BG77" s="24"/>
      <c r="BH77" s="183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v>35</v>
      </c>
      <c r="B78" s="19" t="s">
        <v>93</v>
      </c>
      <c r="C78" s="184" t="s">
        <v>81</v>
      </c>
      <c r="D78" s="134">
        <v>9.5489999999999995</v>
      </c>
      <c r="E78" s="134">
        <f>D78*4</f>
        <v>38.195999999999998</v>
      </c>
      <c r="F78" s="134">
        <f>E78*8</f>
        <v>305.56799999999998</v>
      </c>
      <c r="G78" s="134">
        <v>1</v>
      </c>
      <c r="H78" s="185"/>
      <c r="I78" s="19"/>
      <c r="J78" s="15">
        <v>4</v>
      </c>
      <c r="K78" s="179">
        <v>2</v>
      </c>
      <c r="L78" s="178">
        <v>4.1440000000000001</v>
      </c>
      <c r="M78" s="15">
        <v>3.6950000000000003</v>
      </c>
      <c r="N78" s="15">
        <v>4.4000000000000003E-3</v>
      </c>
      <c r="O78" s="15">
        <v>0.29699999999999999</v>
      </c>
      <c r="P78" s="180">
        <f t="shared" si="2"/>
        <v>8.1404000000000014</v>
      </c>
      <c r="Q78" s="178">
        <v>0.36299999999999999</v>
      </c>
      <c r="R78" s="15">
        <v>6.0000000000000001E-3</v>
      </c>
      <c r="S78" s="180">
        <f>SUM(Q78:R78)</f>
        <v>0.36899999999999999</v>
      </c>
      <c r="T78" s="181" t="s">
        <v>299</v>
      </c>
      <c r="U78" s="181" t="s">
        <v>540</v>
      </c>
      <c r="V78" s="15"/>
      <c r="W78" s="15" t="s">
        <v>504</v>
      </c>
      <c r="X78" s="15">
        <v>55.22</v>
      </c>
      <c r="Y78" s="15">
        <v>1.028</v>
      </c>
      <c r="Z78" s="15">
        <v>14.568</v>
      </c>
      <c r="AA78" s="15">
        <f>Z78+Y78</f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82"/>
      <c r="AM78" s="142" t="s">
        <v>20</v>
      </c>
      <c r="AN78" s="135" t="s">
        <v>544</v>
      </c>
      <c r="AO78" s="135" t="s">
        <v>21</v>
      </c>
      <c r="AP78" s="372">
        <f t="shared" ref="AP78:AR78" si="24">AQ78-2</f>
        <v>45738</v>
      </c>
      <c r="AQ78" s="372">
        <f t="shared" si="24"/>
        <v>45740</v>
      </c>
      <c r="AR78" s="372">
        <f t="shared" si="24"/>
        <v>45742</v>
      </c>
      <c r="AS78" s="372">
        <v>45744</v>
      </c>
      <c r="AT78" s="24" t="s">
        <v>554</v>
      </c>
      <c r="AU78" s="183"/>
      <c r="AV78" s="142" t="s">
        <v>20</v>
      </c>
      <c r="AW78" s="15" t="s">
        <v>6</v>
      </c>
      <c r="AX78" s="297">
        <f>AY78</f>
        <v>45661</v>
      </c>
      <c r="AY78" s="297">
        <v>45661</v>
      </c>
      <c r="AZ78" s="187" t="s">
        <v>543</v>
      </c>
      <c r="BA78" s="188"/>
      <c r="BB78" s="142" t="s">
        <v>20</v>
      </c>
      <c r="BC78" s="135" t="s">
        <v>564</v>
      </c>
      <c r="BD78" s="135" t="s">
        <v>565</v>
      </c>
      <c r="BE78" s="298">
        <v>45852</v>
      </c>
      <c r="BF78" s="298">
        <v>45854</v>
      </c>
      <c r="BG78" s="17" t="s">
        <v>553</v>
      </c>
      <c r="BH78" s="193"/>
      <c r="BI78" s="142" t="s">
        <v>20</v>
      </c>
      <c r="BJ78" s="135">
        <v>45895</v>
      </c>
      <c r="BK78" s="135">
        <v>45895</v>
      </c>
      <c r="BL78" s="15">
        <v>1812</v>
      </c>
      <c r="BM78" s="24" t="s">
        <v>545</v>
      </c>
      <c r="BN78" s="197" t="s">
        <v>557</v>
      </c>
      <c r="BO78" s="197"/>
      <c r="BP78" s="145" t="s">
        <v>559</v>
      </c>
    </row>
    <row r="79" spans="1:68" ht="14.25" hidden="1" customHeight="1">
      <c r="A79" s="15"/>
      <c r="B79" s="19"/>
      <c r="C79" s="184"/>
      <c r="D79" s="134"/>
      <c r="E79" s="134"/>
      <c r="F79" s="134"/>
      <c r="G79" s="134"/>
      <c r="H79" s="185"/>
      <c r="I79" s="19"/>
      <c r="J79" s="19"/>
      <c r="K79" s="186"/>
      <c r="L79" s="178"/>
      <c r="M79" s="15"/>
      <c r="N79" s="15"/>
      <c r="O79" s="15"/>
      <c r="P79" s="180">
        <f t="shared" si="2"/>
        <v>0</v>
      </c>
      <c r="Q79" s="178"/>
      <c r="R79" s="15"/>
      <c r="S79" s="180"/>
      <c r="T79" s="181"/>
      <c r="U79" s="181"/>
      <c r="V79" s="16">
        <v>383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82"/>
      <c r="AM79" s="15"/>
      <c r="AN79" s="24"/>
      <c r="AO79" s="24"/>
      <c r="AP79" s="24"/>
      <c r="AQ79" s="24"/>
      <c r="AR79" s="24"/>
      <c r="AS79" s="24"/>
      <c r="AT79" s="24"/>
      <c r="AU79" s="183"/>
      <c r="AV79" s="24"/>
      <c r="AW79" s="24"/>
      <c r="AX79" s="297"/>
      <c r="AY79" s="297"/>
      <c r="AZ79" s="24"/>
      <c r="BA79" s="183"/>
      <c r="BB79" s="24"/>
      <c r="BC79" s="24"/>
      <c r="BD79" s="24"/>
      <c r="BE79" s="24"/>
      <c r="BF79" s="24"/>
      <c r="BG79" s="24"/>
      <c r="BH79" s="183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v>36</v>
      </c>
      <c r="B80" s="19" t="s">
        <v>94</v>
      </c>
      <c r="C80" s="184" t="s">
        <v>89</v>
      </c>
      <c r="D80" s="134">
        <v>8.6300000000000008</v>
      </c>
      <c r="E80" s="134">
        <f>D80*4</f>
        <v>34.520000000000003</v>
      </c>
      <c r="F80" s="134">
        <f>E80*8</f>
        <v>276.16000000000003</v>
      </c>
      <c r="G80" s="134"/>
      <c r="H80" s="185"/>
      <c r="I80" s="19"/>
      <c r="J80" s="19"/>
      <c r="K80" s="186"/>
      <c r="L80" s="178">
        <v>3.867</v>
      </c>
      <c r="M80" s="15">
        <v>3.306</v>
      </c>
      <c r="N80" s="15">
        <v>4.3E-3</v>
      </c>
      <c r="O80" s="15">
        <v>0.27500000000000002</v>
      </c>
      <c r="P80" s="180">
        <f t="shared" si="2"/>
        <v>7.4523000000000001</v>
      </c>
      <c r="Q80" s="178">
        <v>0.36299999999999999</v>
      </c>
      <c r="R80" s="15">
        <v>6.0000000000000001E-3</v>
      </c>
      <c r="S80" s="180">
        <f>SUM(Q80:R80)</f>
        <v>0.36899999999999999</v>
      </c>
      <c r="T80" s="181" t="s">
        <v>31</v>
      </c>
      <c r="U80" s="181" t="s">
        <v>540</v>
      </c>
      <c r="V80" s="15"/>
      <c r="W80" s="15" t="s">
        <v>504</v>
      </c>
      <c r="X80" s="15">
        <v>51.64</v>
      </c>
      <c r="Y80" s="15">
        <v>0.97</v>
      </c>
      <c r="Z80" s="15">
        <v>9.82</v>
      </c>
      <c r="AA80" s="15"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82"/>
      <c r="AM80" s="142" t="s">
        <v>20</v>
      </c>
      <c r="AN80" s="135" t="s">
        <v>544</v>
      </c>
      <c r="AO80" s="135" t="s">
        <v>21</v>
      </c>
      <c r="AP80" s="372">
        <v>46022</v>
      </c>
      <c r="AQ80" s="372">
        <f>AR80-1</f>
        <v>45658</v>
      </c>
      <c r="AR80" s="372">
        <f>AS80-3</f>
        <v>45659</v>
      </c>
      <c r="AS80" s="372">
        <v>45662</v>
      </c>
      <c r="AT80" s="24" t="s">
        <v>554</v>
      </c>
      <c r="AU80" s="183"/>
      <c r="AV80" s="142" t="s">
        <v>20</v>
      </c>
      <c r="AW80" s="15" t="s">
        <v>6</v>
      </c>
      <c r="AX80" s="297">
        <v>45644</v>
      </c>
      <c r="AY80" s="297">
        <v>45644</v>
      </c>
      <c r="AZ80" s="24" t="s">
        <v>566</v>
      </c>
      <c r="BA80" s="183"/>
      <c r="BB80" s="142" t="s">
        <v>20</v>
      </c>
      <c r="BC80" s="135" t="s">
        <v>560</v>
      </c>
      <c r="BD80" s="135" t="s">
        <v>21</v>
      </c>
      <c r="BE80" s="298">
        <f>BF80-1</f>
        <v>45759</v>
      </c>
      <c r="BF80" s="298">
        <v>45760</v>
      </c>
      <c r="BG80" s="17" t="s">
        <v>553</v>
      </c>
      <c r="BH80" s="183"/>
      <c r="BI80" s="142" t="s">
        <v>20</v>
      </c>
      <c r="BJ80" s="135">
        <v>45895</v>
      </c>
      <c r="BK80" s="135">
        <v>45895</v>
      </c>
      <c r="BL80" s="25">
        <v>1560</v>
      </c>
      <c r="BM80" s="24" t="s">
        <v>545</v>
      </c>
      <c r="BN80" s="24"/>
      <c r="BO80" s="24"/>
    </row>
    <row r="81" spans="1:68" ht="14.25" hidden="1" customHeight="1">
      <c r="A81" s="15"/>
      <c r="B81" s="19"/>
      <c r="C81" s="184"/>
      <c r="D81" s="134"/>
      <c r="E81" s="134"/>
      <c r="F81" s="134"/>
      <c r="G81" s="134"/>
      <c r="H81" s="185"/>
      <c r="I81" s="19"/>
      <c r="J81" s="19"/>
      <c r="K81" s="186"/>
      <c r="L81" s="178"/>
      <c r="M81" s="15"/>
      <c r="N81" s="15"/>
      <c r="O81" s="15"/>
      <c r="P81" s="180">
        <f t="shared" si="2"/>
        <v>0</v>
      </c>
      <c r="Q81" s="178"/>
      <c r="R81" s="15"/>
      <c r="S81" s="180"/>
      <c r="T81" s="181"/>
      <c r="U81" s="181"/>
      <c r="V81" s="16">
        <v>311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82"/>
      <c r="AM81" s="15"/>
      <c r="AN81" s="24"/>
      <c r="AO81" s="24"/>
      <c r="AP81" s="24"/>
      <c r="AQ81" s="24"/>
      <c r="AR81" s="24"/>
      <c r="AS81" s="24"/>
      <c r="AT81" s="24"/>
      <c r="AU81" s="183"/>
      <c r="AV81" s="24"/>
      <c r="AW81" s="24"/>
      <c r="AX81" s="297"/>
      <c r="AY81" s="297"/>
      <c r="AZ81" s="24"/>
      <c r="BA81" s="183"/>
      <c r="BB81" s="24"/>
      <c r="BC81" s="24"/>
      <c r="BD81" s="24"/>
      <c r="BE81" s="24"/>
      <c r="BF81" s="24"/>
      <c r="BG81" s="24"/>
      <c r="BH81" s="183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v>37</v>
      </c>
      <c r="B82" s="19" t="s">
        <v>95</v>
      </c>
      <c r="C82" s="184" t="s">
        <v>56</v>
      </c>
      <c r="D82" s="134">
        <v>7.6219999999999999</v>
      </c>
      <c r="E82" s="134">
        <f>D82*4</f>
        <v>30.488</v>
      </c>
      <c r="F82" s="134">
        <f>E82*8</f>
        <v>243.904</v>
      </c>
      <c r="G82" s="134"/>
      <c r="H82" s="185"/>
      <c r="I82" s="19"/>
      <c r="J82" s="19"/>
      <c r="K82" s="186"/>
      <c r="L82" s="178">
        <v>2.6789999999999998</v>
      </c>
      <c r="M82" s="15">
        <v>3.133</v>
      </c>
      <c r="N82" s="15">
        <v>2.3E-3</v>
      </c>
      <c r="O82" s="15">
        <v>0.23299999999999998</v>
      </c>
      <c r="P82" s="180">
        <f t="shared" si="2"/>
        <v>6.047299999999999</v>
      </c>
      <c r="Q82" s="178">
        <v>0.24399999999999999</v>
      </c>
      <c r="R82" s="15">
        <v>5.0000000000000001E-3</v>
      </c>
      <c r="S82" s="180">
        <f>SUM(Q82:R82)</f>
        <v>0.249</v>
      </c>
      <c r="T82" s="181" t="s">
        <v>31</v>
      </c>
      <c r="U82" s="181" t="s">
        <v>540</v>
      </c>
      <c r="V82" s="15"/>
      <c r="W82" s="15" t="s">
        <v>504</v>
      </c>
      <c r="X82" s="15">
        <v>41.44</v>
      </c>
      <c r="Y82" s="15">
        <v>0.8</v>
      </c>
      <c r="Z82" s="15">
        <v>7.8</v>
      </c>
      <c r="AA82" s="15"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82"/>
      <c r="AM82" s="142" t="s">
        <v>20</v>
      </c>
      <c r="AN82" s="135" t="str">
        <f>AO82</f>
        <v>D</v>
      </c>
      <c r="AO82" s="135" t="s">
        <v>21</v>
      </c>
      <c r="AP82" s="372">
        <f t="shared" ref="AP82:AR82" si="25">AQ82-2</f>
        <v>45626</v>
      </c>
      <c r="AQ82" s="372">
        <f t="shared" si="25"/>
        <v>45628</v>
      </c>
      <c r="AR82" s="372">
        <f t="shared" si="25"/>
        <v>45630</v>
      </c>
      <c r="AS82" s="372">
        <v>45632</v>
      </c>
      <c r="AT82" s="24" t="s">
        <v>554</v>
      </c>
      <c r="AU82" s="183"/>
      <c r="AV82" s="142" t="s">
        <v>20</v>
      </c>
      <c r="AW82" s="15" t="s">
        <v>6</v>
      </c>
      <c r="AX82" s="297">
        <v>45644</v>
      </c>
      <c r="AY82" s="297">
        <v>45644</v>
      </c>
      <c r="AZ82" s="24" t="s">
        <v>566</v>
      </c>
      <c r="BA82" s="183"/>
      <c r="BB82" s="142" t="s">
        <v>20</v>
      </c>
      <c r="BC82" s="135" t="s">
        <v>567</v>
      </c>
      <c r="BD82" s="135" t="s">
        <v>21</v>
      </c>
      <c r="BE82" s="298">
        <f>BF82-2</f>
        <v>45742</v>
      </c>
      <c r="BF82" s="298">
        <v>45744</v>
      </c>
      <c r="BG82" s="17" t="s">
        <v>553</v>
      </c>
      <c r="BH82" s="193"/>
      <c r="BI82" s="142" t="s">
        <v>20</v>
      </c>
      <c r="BJ82" s="135">
        <v>45895</v>
      </c>
      <c r="BK82" s="135">
        <v>45895</v>
      </c>
      <c r="BL82" s="25">
        <v>1545</v>
      </c>
      <c r="BM82" s="24" t="s">
        <v>545</v>
      </c>
      <c r="BN82" s="24"/>
      <c r="BO82" s="24"/>
    </row>
    <row r="83" spans="1:68" ht="14.25" hidden="1" customHeight="1">
      <c r="A83" s="15"/>
      <c r="B83" s="19"/>
      <c r="C83" s="184"/>
      <c r="D83" s="134"/>
      <c r="E83" s="134"/>
      <c r="F83" s="134"/>
      <c r="G83" s="134"/>
      <c r="H83" s="185"/>
      <c r="I83" s="19"/>
      <c r="J83" s="19"/>
      <c r="K83" s="186"/>
      <c r="L83" s="178"/>
      <c r="M83" s="15"/>
      <c r="N83" s="15"/>
      <c r="O83" s="15"/>
      <c r="P83" s="180">
        <f t="shared" si="2"/>
        <v>0</v>
      </c>
      <c r="Q83" s="178"/>
      <c r="R83" s="15"/>
      <c r="S83" s="180"/>
      <c r="T83" s="181"/>
      <c r="U83" s="181"/>
      <c r="V83" s="16">
        <v>350</v>
      </c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82"/>
      <c r="AM83" s="15"/>
      <c r="AN83" s="24"/>
      <c r="AO83" s="24"/>
      <c r="AP83" s="24"/>
      <c r="AQ83" s="24"/>
      <c r="AR83" s="24"/>
      <c r="AS83" s="24"/>
      <c r="AT83" s="24"/>
      <c r="AU83" s="183"/>
      <c r="AV83" s="24"/>
      <c r="AW83" s="24"/>
      <c r="AX83" s="297"/>
      <c r="AY83" s="297"/>
      <c r="AZ83" s="24"/>
      <c r="BA83" s="183"/>
      <c r="BB83" s="24"/>
      <c r="BC83" s="24"/>
      <c r="BD83" s="24"/>
      <c r="BE83" s="24"/>
      <c r="BF83" s="24"/>
      <c r="BG83" s="24"/>
      <c r="BH83" s="183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v>38</v>
      </c>
      <c r="B84" s="19" t="s">
        <v>96</v>
      </c>
      <c r="C84" s="184" t="s">
        <v>37</v>
      </c>
      <c r="D84" s="134">
        <v>6.992</v>
      </c>
      <c r="E84" s="134">
        <f>D84*4</f>
        <v>27.968</v>
      </c>
      <c r="F84" s="134">
        <f>E84*8</f>
        <v>223.744</v>
      </c>
      <c r="G84" s="134"/>
      <c r="H84" s="185"/>
      <c r="I84" s="19"/>
      <c r="J84" s="19"/>
      <c r="K84" s="186"/>
      <c r="L84" s="178">
        <v>2.6070000000000002</v>
      </c>
      <c r="M84" s="15">
        <v>2.657</v>
      </c>
      <c r="N84" s="15">
        <v>2E-3</v>
      </c>
      <c r="O84" s="15">
        <v>0.21299999999999999</v>
      </c>
      <c r="P84" s="180">
        <f t="shared" si="2"/>
        <v>5.4790000000000001</v>
      </c>
      <c r="Q84" s="178">
        <v>0.24399999999999999</v>
      </c>
      <c r="R84" s="15">
        <v>5.0000000000000001E-3</v>
      </c>
      <c r="S84" s="180">
        <f>SUM(Q84:R84)</f>
        <v>0.249</v>
      </c>
      <c r="T84" s="181" t="s">
        <v>31</v>
      </c>
      <c r="U84" s="181" t="s">
        <v>540</v>
      </c>
      <c r="V84" s="15"/>
      <c r="W84" s="15" t="s">
        <v>504</v>
      </c>
      <c r="X84" s="15">
        <v>41.44</v>
      </c>
      <c r="Y84" s="15">
        <v>0.8</v>
      </c>
      <c r="Z84" s="15">
        <v>7.8</v>
      </c>
      <c r="AA84" s="15"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82"/>
      <c r="AM84" s="142" t="s">
        <v>20</v>
      </c>
      <c r="AN84" s="135" t="str">
        <f>AO84</f>
        <v>D</v>
      </c>
      <c r="AO84" s="135" t="s">
        <v>21</v>
      </c>
      <c r="AP84" s="372">
        <f t="shared" ref="AP84:AR84" si="26">AQ84-2</f>
        <v>45627</v>
      </c>
      <c r="AQ84" s="372">
        <f t="shared" si="26"/>
        <v>45629</v>
      </c>
      <c r="AR84" s="372">
        <f t="shared" si="26"/>
        <v>45631</v>
      </c>
      <c r="AS84" s="372">
        <v>45633</v>
      </c>
      <c r="AT84" s="24" t="s">
        <v>554</v>
      </c>
      <c r="AU84" s="183"/>
      <c r="AV84" s="142" t="s">
        <v>20</v>
      </c>
      <c r="AW84" s="15" t="s">
        <v>6</v>
      </c>
      <c r="AX84" s="297">
        <v>45645</v>
      </c>
      <c r="AY84" s="297">
        <v>45645</v>
      </c>
      <c r="AZ84" s="24" t="s">
        <v>566</v>
      </c>
      <c r="BA84" s="183"/>
      <c r="BB84" s="142" t="s">
        <v>20</v>
      </c>
      <c r="BC84" s="135" t="s">
        <v>563</v>
      </c>
      <c r="BD84" s="135" t="s">
        <v>21</v>
      </c>
      <c r="BE84" s="298">
        <f>BF84-2</f>
        <v>45745</v>
      </c>
      <c r="BF84" s="298">
        <v>45747</v>
      </c>
      <c r="BG84" s="17" t="s">
        <v>553</v>
      </c>
      <c r="BH84" s="182"/>
      <c r="BI84" s="142" t="s">
        <v>20</v>
      </c>
      <c r="BJ84" s="135">
        <v>45897</v>
      </c>
      <c r="BK84" s="135">
        <v>45897</v>
      </c>
      <c r="BL84" s="25">
        <v>1330</v>
      </c>
      <c r="BM84" s="24" t="s">
        <v>545</v>
      </c>
      <c r="BN84" s="17"/>
      <c r="BO84" s="17"/>
    </row>
    <row r="85" spans="1:68" ht="14.25" hidden="1" customHeight="1">
      <c r="A85" s="15"/>
      <c r="B85" s="19"/>
      <c r="C85" s="184"/>
      <c r="D85" s="134"/>
      <c r="E85" s="134"/>
      <c r="F85" s="134"/>
      <c r="G85" s="134"/>
      <c r="H85" s="185"/>
      <c r="I85" s="19"/>
      <c r="J85" s="19"/>
      <c r="K85" s="186"/>
      <c r="L85" s="178"/>
      <c r="M85" s="15"/>
      <c r="N85" s="15"/>
      <c r="O85" s="15"/>
      <c r="P85" s="180">
        <f t="shared" si="2"/>
        <v>0</v>
      </c>
      <c r="Q85" s="178"/>
      <c r="R85" s="15"/>
      <c r="S85" s="180"/>
      <c r="T85" s="181"/>
      <c r="U85" s="181"/>
      <c r="V85" s="16">
        <v>291</v>
      </c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82"/>
      <c r="AM85" s="15"/>
      <c r="AN85" s="24"/>
      <c r="AO85" s="24"/>
      <c r="AP85" s="24"/>
      <c r="AQ85" s="24"/>
      <c r="AR85" s="24"/>
      <c r="AS85" s="24"/>
      <c r="AT85" s="24"/>
      <c r="AU85" s="183"/>
      <c r="AV85" s="24"/>
      <c r="AW85" s="24"/>
      <c r="AX85" s="297"/>
      <c r="AY85" s="297"/>
      <c r="AZ85" s="24"/>
      <c r="BA85" s="183"/>
      <c r="BB85" s="24"/>
      <c r="BC85" s="24"/>
      <c r="BD85" s="24"/>
      <c r="BE85" s="24"/>
      <c r="BF85" s="24"/>
      <c r="BG85" s="24"/>
      <c r="BH85" s="183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v>39</v>
      </c>
      <c r="B86" s="19" t="s">
        <v>98</v>
      </c>
      <c r="C86" s="184" t="s">
        <v>39</v>
      </c>
      <c r="D86" s="134">
        <v>7.7080000000000002</v>
      </c>
      <c r="E86" s="134">
        <f>D86*4</f>
        <v>30.832000000000001</v>
      </c>
      <c r="F86" s="134">
        <f>E86*8</f>
        <v>246.65600000000001</v>
      </c>
      <c r="G86" s="134"/>
      <c r="H86" s="185"/>
      <c r="I86" s="19"/>
      <c r="J86" s="19"/>
      <c r="K86" s="186"/>
      <c r="L86" s="178">
        <v>4.0570000000000004</v>
      </c>
      <c r="M86" s="15">
        <v>2.48</v>
      </c>
      <c r="N86" s="15">
        <v>6.0000000000000001E-3</v>
      </c>
      <c r="O86" s="15">
        <v>0.36499999999999999</v>
      </c>
      <c r="P86" s="180">
        <f t="shared" si="2"/>
        <v>6.9080000000000013</v>
      </c>
      <c r="Q86" s="178">
        <v>0.436</v>
      </c>
      <c r="R86" s="15">
        <v>0.01</v>
      </c>
      <c r="S86" s="180">
        <f>SUM(Q86:R86)</f>
        <v>0.44600000000000001</v>
      </c>
      <c r="T86" s="181" t="s">
        <v>97</v>
      </c>
      <c r="U86" s="181" t="s">
        <v>540</v>
      </c>
      <c r="V86" s="15"/>
      <c r="W86" s="15" t="s">
        <v>504</v>
      </c>
      <c r="X86" s="15">
        <v>75.36</v>
      </c>
      <c r="Y86" s="15">
        <v>1.35</v>
      </c>
      <c r="Z86" s="15">
        <v>12.85</v>
      </c>
      <c r="AA86" s="15"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82"/>
      <c r="AM86" s="142" t="s">
        <v>20</v>
      </c>
      <c r="AN86" s="135" t="str">
        <f>AO86</f>
        <v>D</v>
      </c>
      <c r="AO86" s="135" t="s">
        <v>21</v>
      </c>
      <c r="AP86" s="372">
        <f>AQ86-2</f>
        <v>45648</v>
      </c>
      <c r="AQ86" s="372">
        <f>AR86-3</f>
        <v>45650</v>
      </c>
      <c r="AR86" s="372">
        <f>AS86-2</f>
        <v>45653</v>
      </c>
      <c r="AS86" s="372">
        <v>45655</v>
      </c>
      <c r="AT86" s="24" t="s">
        <v>554</v>
      </c>
      <c r="AU86" s="183"/>
      <c r="AV86" s="142" t="s">
        <v>20</v>
      </c>
      <c r="AW86" s="15" t="s">
        <v>6</v>
      </c>
      <c r="AX86" s="297">
        <f>AY86</f>
        <v>45695</v>
      </c>
      <c r="AY86" s="297">
        <v>45695</v>
      </c>
      <c r="AZ86" s="187" t="s">
        <v>543</v>
      </c>
      <c r="BA86" s="188"/>
      <c r="BB86" s="142" t="s">
        <v>20</v>
      </c>
      <c r="BC86" s="135" t="s">
        <v>563</v>
      </c>
      <c r="BD86" s="135" t="s">
        <v>21</v>
      </c>
      <c r="BE86" s="298">
        <f>BF86</f>
        <v>45746</v>
      </c>
      <c r="BF86" s="298">
        <v>45746</v>
      </c>
      <c r="BG86" s="17" t="s">
        <v>553</v>
      </c>
      <c r="BH86" s="192"/>
      <c r="BI86" s="142" t="s">
        <v>20</v>
      </c>
      <c r="BJ86" s="135">
        <v>45897</v>
      </c>
      <c r="BK86" s="135">
        <v>45897</v>
      </c>
      <c r="BL86" s="25">
        <v>1001</v>
      </c>
      <c r="BM86" s="24" t="s">
        <v>545</v>
      </c>
      <c r="BN86" s="196" t="s">
        <v>557</v>
      </c>
      <c r="BO86" s="197"/>
    </row>
    <row r="87" spans="1:68" ht="14.25" hidden="1" customHeight="1">
      <c r="A87" s="15"/>
      <c r="B87" s="19"/>
      <c r="C87" s="184"/>
      <c r="D87" s="134"/>
      <c r="E87" s="134"/>
      <c r="F87" s="134"/>
      <c r="G87" s="134"/>
      <c r="H87" s="185"/>
      <c r="I87" s="19"/>
      <c r="J87" s="19"/>
      <c r="K87" s="186"/>
      <c r="L87" s="178"/>
      <c r="M87" s="15"/>
      <c r="N87" s="15"/>
      <c r="O87" s="15"/>
      <c r="P87" s="180">
        <f t="shared" si="2"/>
        <v>0</v>
      </c>
      <c r="Q87" s="178"/>
      <c r="R87" s="15"/>
      <c r="S87" s="180"/>
      <c r="T87" s="181"/>
      <c r="U87" s="181"/>
      <c r="V87" s="16">
        <v>322</v>
      </c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82"/>
      <c r="AM87" s="15"/>
      <c r="AN87" s="24"/>
      <c r="AO87" s="24"/>
      <c r="AP87" s="24"/>
      <c r="AQ87" s="24"/>
      <c r="AR87" s="24"/>
      <c r="AS87" s="24"/>
      <c r="AT87" s="24"/>
      <c r="AU87" s="183"/>
      <c r="AV87" s="24"/>
      <c r="AW87" s="24"/>
      <c r="AX87" s="297"/>
      <c r="AY87" s="297"/>
      <c r="AZ87" s="24"/>
      <c r="BA87" s="183"/>
      <c r="BB87" s="24"/>
      <c r="BC87" s="24"/>
      <c r="BD87" s="24"/>
      <c r="BE87" s="24"/>
      <c r="BF87" s="24"/>
      <c r="BG87" s="24"/>
      <c r="BH87" s="183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v>40</v>
      </c>
      <c r="B88" s="19" t="s">
        <v>99</v>
      </c>
      <c r="C88" s="184" t="s">
        <v>76</v>
      </c>
      <c r="D88" s="134">
        <v>7.71</v>
      </c>
      <c r="E88" s="134">
        <f>D88*4</f>
        <v>30.84</v>
      </c>
      <c r="F88" s="134">
        <f>E88*8</f>
        <v>246.72</v>
      </c>
      <c r="G88" s="134"/>
      <c r="H88" s="185"/>
      <c r="I88" s="19"/>
      <c r="J88" s="19"/>
      <c r="K88" s="186"/>
      <c r="L88" s="178">
        <v>3.452</v>
      </c>
      <c r="M88" s="15">
        <v>2.633</v>
      </c>
      <c r="N88" s="15">
        <v>4.0000000000000001E-3</v>
      </c>
      <c r="O88" s="15">
        <v>0.24099999999999999</v>
      </c>
      <c r="P88" s="180">
        <f t="shared" si="2"/>
        <v>6.3299999999999992</v>
      </c>
      <c r="Q88" s="178">
        <v>0.36299999999999999</v>
      </c>
      <c r="R88" s="15">
        <v>6.0000000000000001E-3</v>
      </c>
      <c r="S88" s="180">
        <f>SUM(Q88:R88)</f>
        <v>0.36899999999999999</v>
      </c>
      <c r="T88" s="181" t="s">
        <v>31</v>
      </c>
      <c r="U88" s="181" t="s">
        <v>540</v>
      </c>
      <c r="V88" s="15"/>
      <c r="W88" s="15" t="s">
        <v>504</v>
      </c>
      <c r="X88" s="15">
        <v>51.64</v>
      </c>
      <c r="Y88" s="15">
        <v>0.97</v>
      </c>
      <c r="Z88" s="15">
        <v>9.82</v>
      </c>
      <c r="AA88" s="15"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82"/>
      <c r="AM88" s="142" t="s">
        <v>20</v>
      </c>
      <c r="AN88" s="135"/>
      <c r="AO88" s="135"/>
      <c r="AP88" s="372">
        <f t="shared" ref="AP88:AR88" si="27">AQ88-3</f>
        <v>45929</v>
      </c>
      <c r="AQ88" s="372">
        <f t="shared" si="27"/>
        <v>45932</v>
      </c>
      <c r="AR88" s="372">
        <f t="shared" si="27"/>
        <v>45935</v>
      </c>
      <c r="AS88" s="372">
        <v>45938</v>
      </c>
      <c r="AT88" s="19" t="s">
        <v>558</v>
      </c>
      <c r="AU88" s="183"/>
      <c r="AV88" s="142" t="s">
        <v>20</v>
      </c>
      <c r="AW88" s="15" t="s">
        <v>6</v>
      </c>
      <c r="AX88" s="297"/>
      <c r="AY88" s="297"/>
      <c r="AZ88" s="24"/>
      <c r="BA88" s="183"/>
      <c r="BB88" s="142" t="s">
        <v>20</v>
      </c>
      <c r="BC88" s="135"/>
      <c r="BD88" s="135"/>
      <c r="BE88" s="298">
        <f>BF90</f>
        <v>45984</v>
      </c>
      <c r="BF88" s="298">
        <f>BE88+1</f>
        <v>45985</v>
      </c>
      <c r="BG88" s="17"/>
      <c r="BH88" s="193"/>
      <c r="BI88" s="15"/>
      <c r="BJ88" s="135"/>
      <c r="BK88" s="135"/>
      <c r="BL88" s="25">
        <v>1252</v>
      </c>
      <c r="BM88" s="24"/>
      <c r="BN88" s="196" t="s">
        <v>557</v>
      </c>
      <c r="BO88" s="197"/>
      <c r="BP88" s="145" t="s">
        <v>559</v>
      </c>
    </row>
    <row r="89" spans="1:68" ht="14.25" hidden="1" customHeight="1">
      <c r="A89" s="15"/>
      <c r="B89" s="19"/>
      <c r="C89" s="184"/>
      <c r="D89" s="134"/>
      <c r="E89" s="134"/>
      <c r="F89" s="134"/>
      <c r="G89" s="134"/>
      <c r="H89" s="185"/>
      <c r="I89" s="19"/>
      <c r="J89" s="19"/>
      <c r="K89" s="186"/>
      <c r="L89" s="178"/>
      <c r="M89" s="15"/>
      <c r="N89" s="15"/>
      <c r="O89" s="15"/>
      <c r="P89" s="180">
        <f t="shared" si="2"/>
        <v>0</v>
      </c>
      <c r="Q89" s="178"/>
      <c r="R89" s="15"/>
      <c r="S89" s="180"/>
      <c r="T89" s="181"/>
      <c r="U89" s="181"/>
      <c r="V89" s="16">
        <v>284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82"/>
      <c r="AM89" s="15"/>
      <c r="AN89" s="24"/>
      <c r="AO89" s="24"/>
      <c r="AP89" s="24"/>
      <c r="AQ89" s="24"/>
      <c r="AR89" s="24"/>
      <c r="AS89" s="24"/>
      <c r="AT89" s="24"/>
      <c r="AU89" s="183"/>
      <c r="AV89" s="24"/>
      <c r="AW89" s="24"/>
      <c r="AX89" s="297"/>
      <c r="AY89" s="297"/>
      <c r="AZ89" s="24"/>
      <c r="BA89" s="183"/>
      <c r="BB89" s="24"/>
      <c r="BC89" s="24"/>
      <c r="BD89" s="24"/>
      <c r="BE89" s="24"/>
      <c r="BF89" s="24"/>
      <c r="BG89" s="24"/>
      <c r="BH89" s="183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v>41</v>
      </c>
      <c r="B90" s="19" t="s">
        <v>100</v>
      </c>
      <c r="C90" s="184" t="s">
        <v>76</v>
      </c>
      <c r="D90" s="134">
        <v>7.71</v>
      </c>
      <c r="E90" s="134">
        <f>D90*4</f>
        <v>30.84</v>
      </c>
      <c r="F90" s="134">
        <f>E90*8</f>
        <v>246.72</v>
      </c>
      <c r="G90" s="134"/>
      <c r="H90" s="185"/>
      <c r="I90" s="19"/>
      <c r="J90" s="19"/>
      <c r="K90" s="186"/>
      <c r="L90" s="178">
        <v>3.452</v>
      </c>
      <c r="M90" s="15">
        <v>2.633</v>
      </c>
      <c r="N90" s="15">
        <v>4.0000000000000001E-3</v>
      </c>
      <c r="O90" s="15">
        <v>0.24099999999999999</v>
      </c>
      <c r="P90" s="180">
        <f t="shared" si="2"/>
        <v>6.3299999999999992</v>
      </c>
      <c r="Q90" s="178">
        <v>0.36299999999999999</v>
      </c>
      <c r="R90" s="15">
        <v>6.0000000000000001E-3</v>
      </c>
      <c r="S90" s="180">
        <f>SUM(Q90:R90)</f>
        <v>0.36899999999999999</v>
      </c>
      <c r="T90" s="181" t="s">
        <v>31</v>
      </c>
      <c r="U90" s="181" t="s">
        <v>540</v>
      </c>
      <c r="V90" s="15"/>
      <c r="W90" s="15" t="s">
        <v>504</v>
      </c>
      <c r="X90" s="15">
        <v>51.64</v>
      </c>
      <c r="Y90" s="15">
        <v>0.97</v>
      </c>
      <c r="Z90" s="15">
        <v>9.82</v>
      </c>
      <c r="AA90" s="15"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82"/>
      <c r="AM90" s="142" t="s">
        <v>20</v>
      </c>
      <c r="AN90" s="135"/>
      <c r="AO90" s="135"/>
      <c r="AP90" s="372">
        <f>AQ90-3</f>
        <v>45935</v>
      </c>
      <c r="AQ90" s="372">
        <f t="shared" ref="AQ90:AR90" si="28">AR90-2</f>
        <v>45938</v>
      </c>
      <c r="AR90" s="372">
        <f t="shared" si="28"/>
        <v>45940</v>
      </c>
      <c r="AS90" s="372">
        <v>45942</v>
      </c>
      <c r="AT90" s="19" t="s">
        <v>558</v>
      </c>
      <c r="AU90" s="183"/>
      <c r="AV90" s="142" t="s">
        <v>20</v>
      </c>
      <c r="AW90" s="15" t="s">
        <v>6</v>
      </c>
      <c r="AX90" s="297"/>
      <c r="AY90" s="297"/>
      <c r="AZ90" s="24"/>
      <c r="BA90" s="183"/>
      <c r="BB90" s="142" t="s">
        <v>20</v>
      </c>
      <c r="BC90" s="135"/>
      <c r="BD90" s="135"/>
      <c r="BE90" s="298">
        <f>BF92</f>
        <v>45983</v>
      </c>
      <c r="BF90" s="298">
        <f>BE90+1</f>
        <v>45984</v>
      </c>
      <c r="BG90" s="17"/>
      <c r="BH90" s="193"/>
      <c r="BI90" s="15"/>
      <c r="BJ90" s="135"/>
      <c r="BK90" s="135"/>
      <c r="BL90" s="25">
        <v>1252</v>
      </c>
      <c r="BM90" s="24"/>
      <c r="BN90" s="24"/>
      <c r="BO90" s="24"/>
    </row>
    <row r="91" spans="1:68" ht="14.25" hidden="1" customHeight="1">
      <c r="A91" s="15"/>
      <c r="B91" s="19"/>
      <c r="C91" s="184"/>
      <c r="D91" s="134"/>
      <c r="E91" s="134"/>
      <c r="F91" s="134"/>
      <c r="G91" s="134"/>
      <c r="H91" s="185"/>
      <c r="I91" s="19"/>
      <c r="J91" s="19"/>
      <c r="K91" s="186"/>
      <c r="L91" s="178"/>
      <c r="M91" s="15"/>
      <c r="N91" s="15"/>
      <c r="O91" s="15"/>
      <c r="P91" s="180">
        <f t="shared" si="2"/>
        <v>0</v>
      </c>
      <c r="Q91" s="178"/>
      <c r="R91" s="15"/>
      <c r="S91" s="180"/>
      <c r="T91" s="181"/>
      <c r="U91" s="181"/>
      <c r="V91" s="16">
        <v>282.74</v>
      </c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82"/>
      <c r="AM91" s="15"/>
      <c r="AN91" s="24"/>
      <c r="AO91" s="24"/>
      <c r="AP91" s="24"/>
      <c r="AQ91" s="24"/>
      <c r="AR91" s="24"/>
      <c r="AS91" s="24"/>
      <c r="AT91" s="24"/>
      <c r="AU91" s="183"/>
      <c r="AV91" s="24"/>
      <c r="AW91" s="24"/>
      <c r="AX91" s="297"/>
      <c r="AY91" s="297"/>
      <c r="AZ91" s="24"/>
      <c r="BA91" s="183"/>
      <c r="BB91" s="24"/>
      <c r="BC91" s="24"/>
      <c r="BD91" s="24"/>
      <c r="BE91" s="24"/>
      <c r="BF91" s="24"/>
      <c r="BG91" s="24"/>
      <c r="BH91" s="183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v>42</v>
      </c>
      <c r="B92" s="19" t="s">
        <v>102</v>
      </c>
      <c r="C92" s="184" t="s">
        <v>89</v>
      </c>
      <c r="D92" s="134">
        <v>8.6300000000000008</v>
      </c>
      <c r="E92" s="134">
        <f>D92*4</f>
        <v>34.520000000000003</v>
      </c>
      <c r="F92" s="134">
        <f>E92*8</f>
        <v>276.16000000000003</v>
      </c>
      <c r="G92" s="134"/>
      <c r="H92" s="185"/>
      <c r="I92" s="19"/>
      <c r="J92" s="19"/>
      <c r="K92" s="186"/>
      <c r="L92" s="178">
        <v>3.867</v>
      </c>
      <c r="M92" s="15">
        <v>3.306</v>
      </c>
      <c r="N92" s="15">
        <v>4.3E-3</v>
      </c>
      <c r="O92" s="15">
        <v>0.27500000000000002</v>
      </c>
      <c r="P92" s="180">
        <f t="shared" si="2"/>
        <v>7.4523000000000001</v>
      </c>
      <c r="Q92" s="178">
        <v>0.36299999999999999</v>
      </c>
      <c r="R92" s="15">
        <v>6.0000000000000001E-3</v>
      </c>
      <c r="S92" s="180">
        <f>SUM(Q92:R92)</f>
        <v>0.36899999999999999</v>
      </c>
      <c r="T92" s="181" t="s">
        <v>101</v>
      </c>
      <c r="U92" s="181" t="s">
        <v>540</v>
      </c>
      <c r="V92" s="15"/>
      <c r="W92" s="15" t="s">
        <v>504</v>
      </c>
      <c r="X92" s="15">
        <v>51.64</v>
      </c>
      <c r="Y92" s="15">
        <v>0.97</v>
      </c>
      <c r="Z92" s="15">
        <v>9.82</v>
      </c>
      <c r="AA92" s="15"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82"/>
      <c r="AM92" s="142" t="s">
        <v>20</v>
      </c>
      <c r="AN92" s="135"/>
      <c r="AO92" s="135"/>
      <c r="AP92" s="372">
        <f>AQ92-1</f>
        <v>45942</v>
      </c>
      <c r="AQ92" s="372">
        <f t="shared" ref="AQ92:AR92" si="29">AR92-2</f>
        <v>45943</v>
      </c>
      <c r="AR92" s="372">
        <f t="shared" si="29"/>
        <v>45945</v>
      </c>
      <c r="AS92" s="372">
        <v>45947</v>
      </c>
      <c r="AT92" s="19" t="s">
        <v>558</v>
      </c>
      <c r="AU92" s="199"/>
      <c r="AV92" s="142" t="s">
        <v>20</v>
      </c>
      <c r="AW92" s="15" t="s">
        <v>6</v>
      </c>
      <c r="AX92" s="297"/>
      <c r="AY92" s="297"/>
      <c r="AZ92" s="24"/>
      <c r="BA92" s="183"/>
      <c r="BB92" s="142" t="s">
        <v>20</v>
      </c>
      <c r="BC92" s="135"/>
      <c r="BD92" s="135"/>
      <c r="BE92" s="298">
        <v>45982</v>
      </c>
      <c r="BF92" s="298">
        <f>BE92+1</f>
        <v>45983</v>
      </c>
      <c r="BG92" s="137"/>
      <c r="BH92" s="182"/>
      <c r="BI92" s="24"/>
      <c r="BJ92" s="24"/>
      <c r="BK92" s="24"/>
      <c r="BL92" s="25">
        <v>1560</v>
      </c>
      <c r="BM92" s="24"/>
      <c r="BN92" s="200" t="s">
        <v>557</v>
      </c>
      <c r="BO92" s="197"/>
    </row>
    <row r="93" spans="1:68" ht="14.25" hidden="1" customHeight="1">
      <c r="A93" s="15"/>
      <c r="B93" s="19"/>
      <c r="C93" s="184"/>
      <c r="D93" s="134"/>
      <c r="E93" s="134"/>
      <c r="F93" s="134"/>
      <c r="G93" s="134"/>
      <c r="H93" s="185"/>
      <c r="I93" s="19"/>
      <c r="J93" s="19"/>
      <c r="K93" s="186"/>
      <c r="L93" s="178"/>
      <c r="M93" s="15"/>
      <c r="N93" s="15"/>
      <c r="O93" s="15"/>
      <c r="P93" s="180">
        <f t="shared" si="2"/>
        <v>0</v>
      </c>
      <c r="Q93" s="178"/>
      <c r="R93" s="15"/>
      <c r="S93" s="180"/>
      <c r="T93" s="181"/>
      <c r="U93" s="181"/>
      <c r="V93" s="16">
        <v>462.06</v>
      </c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82"/>
      <c r="AM93" s="15"/>
      <c r="AN93" s="24"/>
      <c r="AO93" s="24"/>
      <c r="AP93" s="24"/>
      <c r="AQ93" s="24"/>
      <c r="AR93" s="24"/>
      <c r="AS93" s="24"/>
      <c r="AT93" s="24"/>
      <c r="AU93" s="183"/>
      <c r="AV93" s="24"/>
      <c r="AW93" s="24"/>
      <c r="AX93" s="297"/>
      <c r="AY93" s="297"/>
      <c r="AZ93" s="24"/>
      <c r="BA93" s="183"/>
      <c r="BB93" s="24"/>
      <c r="BC93" s="24"/>
      <c r="BD93" s="24"/>
      <c r="BE93" s="24"/>
      <c r="BF93" s="24"/>
      <c r="BG93" s="24"/>
      <c r="BH93" s="183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v>43</v>
      </c>
      <c r="B94" s="19" t="s">
        <v>104</v>
      </c>
      <c r="C94" s="184" t="s">
        <v>39</v>
      </c>
      <c r="D94" s="134">
        <v>7.7080000000000002</v>
      </c>
      <c r="E94" s="134">
        <f>D94*4</f>
        <v>30.832000000000001</v>
      </c>
      <c r="F94" s="134">
        <f>E94*8</f>
        <v>246.65600000000001</v>
      </c>
      <c r="G94" s="134">
        <v>1</v>
      </c>
      <c r="H94" s="185"/>
      <c r="I94" s="201" t="s">
        <v>568</v>
      </c>
      <c r="J94" s="201" t="s">
        <v>569</v>
      </c>
      <c r="K94" s="186"/>
      <c r="L94" s="178">
        <v>4.0570000000000004</v>
      </c>
      <c r="M94" s="15">
        <v>2.48</v>
      </c>
      <c r="N94" s="15">
        <v>6.0000000000000001E-3</v>
      </c>
      <c r="O94" s="15">
        <v>0.36499999999999999</v>
      </c>
      <c r="P94" s="180">
        <f t="shared" si="2"/>
        <v>6.9080000000000013</v>
      </c>
      <c r="Q94" s="178">
        <v>0.436</v>
      </c>
      <c r="R94" s="15">
        <v>0.01</v>
      </c>
      <c r="S94" s="180">
        <f>SUM(Q94:R94)</f>
        <v>0.44600000000000001</v>
      </c>
      <c r="T94" s="181" t="s">
        <v>103</v>
      </c>
      <c r="U94" s="181" t="s">
        <v>540</v>
      </c>
      <c r="V94" s="15"/>
      <c r="W94" s="15" t="s">
        <v>504</v>
      </c>
      <c r="X94" s="15">
        <v>78.75</v>
      </c>
      <c r="Y94" s="202">
        <v>1.4059999999999999</v>
      </c>
      <c r="Z94" s="15">
        <v>16.881</v>
      </c>
      <c r="AA94" s="21">
        <f>Z94+Y94</f>
        <v>18.286999999999999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82"/>
      <c r="AM94" s="142" t="s">
        <v>20</v>
      </c>
      <c r="AN94" s="135"/>
      <c r="AO94" s="135"/>
      <c r="AP94" s="372">
        <f>AQ94-1</f>
        <v>45982</v>
      </c>
      <c r="AQ94" s="372">
        <f t="shared" ref="AQ94:AR94" si="30">AR94-2</f>
        <v>45983</v>
      </c>
      <c r="AR94" s="372">
        <f t="shared" si="30"/>
        <v>45985</v>
      </c>
      <c r="AS94" s="372">
        <v>45987</v>
      </c>
      <c r="AT94" s="19" t="s">
        <v>558</v>
      </c>
      <c r="AU94" s="199"/>
      <c r="AV94" s="142" t="s">
        <v>20</v>
      </c>
      <c r="AW94" s="15" t="s">
        <v>6</v>
      </c>
      <c r="AX94" s="297"/>
      <c r="AY94" s="297"/>
      <c r="AZ94" s="19"/>
      <c r="BA94" s="199"/>
      <c r="BB94" s="142" t="s">
        <v>20</v>
      </c>
      <c r="BC94" s="135"/>
      <c r="BD94" s="135"/>
      <c r="BE94" s="298">
        <v>46009</v>
      </c>
      <c r="BF94" s="298">
        <v>46011</v>
      </c>
      <c r="BG94" s="17"/>
      <c r="BH94" s="193"/>
      <c r="BI94" s="15"/>
      <c r="BJ94" s="135"/>
      <c r="BK94" s="135"/>
      <c r="BL94" s="25">
        <v>1001</v>
      </c>
      <c r="BM94" s="24"/>
      <c r="BN94" s="24"/>
      <c r="BO94" s="24"/>
    </row>
    <row r="95" spans="1:68" ht="14.25" hidden="1" customHeight="1">
      <c r="A95" s="15"/>
      <c r="B95" s="19"/>
      <c r="C95" s="184"/>
      <c r="D95" s="134"/>
      <c r="E95" s="134"/>
      <c r="F95" s="134"/>
      <c r="G95" s="134"/>
      <c r="H95" s="185"/>
      <c r="I95" s="19"/>
      <c r="J95" s="19"/>
      <c r="K95" s="186"/>
      <c r="L95" s="178"/>
      <c r="M95" s="15"/>
      <c r="N95" s="15"/>
      <c r="O95" s="15"/>
      <c r="P95" s="180">
        <f t="shared" si="2"/>
        <v>0</v>
      </c>
      <c r="Q95" s="178"/>
      <c r="R95" s="15"/>
      <c r="S95" s="180"/>
      <c r="T95" s="181"/>
      <c r="U95" s="181"/>
      <c r="V95" s="16">
        <v>318.04000000000002</v>
      </c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82"/>
      <c r="AM95" s="15"/>
      <c r="AN95" s="24"/>
      <c r="AO95" s="24"/>
      <c r="AP95" s="24"/>
      <c r="AQ95" s="24"/>
      <c r="AR95" s="24"/>
      <c r="AS95" s="24"/>
      <c r="AT95" s="24"/>
      <c r="AU95" s="183"/>
      <c r="AV95" s="24"/>
      <c r="AW95" s="24"/>
      <c r="AX95" s="297"/>
      <c r="AY95" s="297"/>
      <c r="AZ95" s="24"/>
      <c r="BA95" s="183"/>
      <c r="BB95" s="24"/>
      <c r="BC95" s="24"/>
      <c r="BD95" s="24"/>
      <c r="BE95" s="24"/>
      <c r="BF95" s="24"/>
      <c r="BG95" s="24"/>
      <c r="BH95" s="183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v>44</v>
      </c>
      <c r="B96" s="19" t="s">
        <v>106</v>
      </c>
      <c r="C96" s="184" t="s">
        <v>70</v>
      </c>
      <c r="D96" s="134">
        <v>10.468</v>
      </c>
      <c r="E96" s="134">
        <f>D96*4</f>
        <v>41.872</v>
      </c>
      <c r="F96" s="134">
        <f>E96*8</f>
        <v>334.976</v>
      </c>
      <c r="G96" s="134"/>
      <c r="H96" s="185"/>
      <c r="I96" s="19"/>
      <c r="J96" s="19"/>
      <c r="K96" s="186"/>
      <c r="L96" s="178">
        <v>4.351</v>
      </c>
      <c r="M96" s="15">
        <v>4.2219999999999995</v>
      </c>
      <c r="N96" s="15">
        <v>4.3E-3</v>
      </c>
      <c r="O96" s="15">
        <v>0.32100000000000001</v>
      </c>
      <c r="P96" s="180">
        <f t="shared" si="2"/>
        <v>8.8983000000000008</v>
      </c>
      <c r="Q96" s="178">
        <v>0.36299999999999999</v>
      </c>
      <c r="R96" s="15">
        <v>6.0000000000000001E-3</v>
      </c>
      <c r="S96" s="180">
        <f>SUM(Q96:R96)</f>
        <v>0.36899999999999999</v>
      </c>
      <c r="T96" s="181" t="s">
        <v>105</v>
      </c>
      <c r="U96" s="181" t="s">
        <v>540</v>
      </c>
      <c r="V96" s="15"/>
      <c r="W96" s="15" t="s">
        <v>504</v>
      </c>
      <c r="X96" s="15">
        <v>51.64</v>
      </c>
      <c r="Y96" s="15">
        <v>0.97</v>
      </c>
      <c r="Z96" s="15">
        <v>9.82</v>
      </c>
      <c r="AA96" s="15"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82"/>
      <c r="AM96" s="142" t="s">
        <v>20</v>
      </c>
      <c r="AN96" s="135" t="str">
        <f>AO96</f>
        <v>D</v>
      </c>
      <c r="AO96" s="135" t="s">
        <v>21</v>
      </c>
      <c r="AP96" s="372">
        <f>AQ96-2</f>
        <v>45725</v>
      </c>
      <c r="AQ96" s="372">
        <f>AR96-3</f>
        <v>45727</v>
      </c>
      <c r="AR96" s="372">
        <f>AS96-2</f>
        <v>45730</v>
      </c>
      <c r="AS96" s="372">
        <v>45732</v>
      </c>
      <c r="AT96" s="24" t="s">
        <v>542</v>
      </c>
      <c r="AU96" s="183"/>
      <c r="AV96" s="142" t="s">
        <v>20</v>
      </c>
      <c r="AW96" s="15" t="s">
        <v>6</v>
      </c>
      <c r="AX96" s="297">
        <f>AY96-0</f>
        <v>45736</v>
      </c>
      <c r="AY96" s="297">
        <v>45736</v>
      </c>
      <c r="AZ96" s="187" t="s">
        <v>543</v>
      </c>
      <c r="BA96" s="188"/>
      <c r="BB96" s="142" t="s">
        <v>20</v>
      </c>
      <c r="BC96" s="135" t="s">
        <v>547</v>
      </c>
      <c r="BD96" s="135" t="s">
        <v>21</v>
      </c>
      <c r="BE96" s="298">
        <f>BF96-2</f>
        <v>45755</v>
      </c>
      <c r="BF96" s="298">
        <v>45757</v>
      </c>
      <c r="BG96" s="17" t="s">
        <v>553</v>
      </c>
      <c r="BH96" s="193"/>
      <c r="BI96" s="142" t="s">
        <v>20</v>
      </c>
      <c r="BJ96" s="135">
        <v>45878</v>
      </c>
      <c r="BK96" s="135">
        <f>BJ96</f>
        <v>45878</v>
      </c>
      <c r="BL96" s="25">
        <v>2144</v>
      </c>
      <c r="BM96" s="190" t="s">
        <v>545</v>
      </c>
      <c r="BN96" s="24"/>
      <c r="BO96" s="24"/>
    </row>
    <row r="97" spans="1:65" ht="14.25" hidden="1" customHeight="1">
      <c r="A97" s="15"/>
      <c r="B97" s="19"/>
      <c r="C97" s="184"/>
      <c r="D97" s="134"/>
      <c r="E97" s="134"/>
      <c r="F97" s="134"/>
      <c r="G97" s="134"/>
      <c r="H97" s="185"/>
      <c r="I97" s="19"/>
      <c r="J97" s="19"/>
      <c r="K97" s="186"/>
      <c r="L97" s="178"/>
      <c r="M97" s="15"/>
      <c r="N97" s="15"/>
      <c r="O97" s="15"/>
      <c r="P97" s="180">
        <f t="shared" si="2"/>
        <v>0</v>
      </c>
      <c r="Q97" s="178"/>
      <c r="R97" s="15"/>
      <c r="S97" s="180"/>
      <c r="T97" s="181"/>
      <c r="U97" s="181"/>
      <c r="V97" s="16">
        <v>364</v>
      </c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82"/>
      <c r="AM97" s="15"/>
      <c r="AN97" s="24"/>
      <c r="AO97" s="24"/>
      <c r="AP97" s="24"/>
      <c r="AQ97" s="24"/>
      <c r="AR97" s="24"/>
      <c r="AS97" s="24"/>
      <c r="AT97" s="24"/>
      <c r="AU97" s="183"/>
      <c r="AV97" s="24"/>
      <c r="AW97" s="24"/>
      <c r="AX97" s="297"/>
      <c r="AY97" s="297"/>
      <c r="AZ97" s="24"/>
      <c r="BA97" s="183"/>
      <c r="BB97" s="24"/>
      <c r="BC97" s="24"/>
      <c r="BD97" s="24"/>
      <c r="BE97" s="24"/>
      <c r="BF97" s="24"/>
      <c r="BG97" s="24"/>
      <c r="BH97" s="183"/>
      <c r="BI97" s="24"/>
      <c r="BJ97" s="24"/>
      <c r="BK97" s="24"/>
      <c r="BL97" s="24"/>
      <c r="BM97" s="24"/>
    </row>
    <row r="98" spans="1:65" ht="14.25" customHeight="1">
      <c r="A98" s="15">
        <v>45</v>
      </c>
      <c r="B98" s="19" t="s">
        <v>107</v>
      </c>
      <c r="C98" s="184" t="s">
        <v>42</v>
      </c>
      <c r="D98" s="134">
        <v>6.3620000000000001</v>
      </c>
      <c r="E98" s="134">
        <f>D98*4</f>
        <v>25.448</v>
      </c>
      <c r="F98" s="134">
        <f>E98*8</f>
        <v>203.584</v>
      </c>
      <c r="G98" s="134"/>
      <c r="H98" s="185"/>
      <c r="I98" s="19"/>
      <c r="J98" s="19"/>
      <c r="K98" s="186"/>
      <c r="L98" s="178">
        <v>2.25</v>
      </c>
      <c r="M98" s="15">
        <v>2.1880000000000002</v>
      </c>
      <c r="N98" s="15">
        <v>2E-3</v>
      </c>
      <c r="O98" s="15">
        <v>0.183</v>
      </c>
      <c r="P98" s="180">
        <f t="shared" si="2"/>
        <v>4.6230000000000002</v>
      </c>
      <c r="Q98" s="178">
        <v>0.24399999999999999</v>
      </c>
      <c r="R98" s="15">
        <v>5.0000000000000001E-3</v>
      </c>
      <c r="S98" s="180">
        <f>SUM(Q98:R98)</f>
        <v>0.249</v>
      </c>
      <c r="T98" s="181" t="s">
        <v>31</v>
      </c>
      <c r="U98" s="181" t="s">
        <v>540</v>
      </c>
      <c r="V98" s="15"/>
      <c r="W98" s="15" t="s">
        <v>504</v>
      </c>
      <c r="X98" s="15">
        <v>41.440000000000005</v>
      </c>
      <c r="Y98" s="15">
        <v>0.8</v>
      </c>
      <c r="Z98" s="15">
        <v>7.8</v>
      </c>
      <c r="AA98" s="15">
        <v>8.6</v>
      </c>
      <c r="AB98" s="15">
        <v>66.42</v>
      </c>
      <c r="AC98" s="15">
        <v>3321</v>
      </c>
      <c r="AD98" s="191">
        <v>73.73</v>
      </c>
      <c r="AE98" s="191">
        <v>301.5</v>
      </c>
      <c r="AF98" s="191"/>
      <c r="AG98" s="191">
        <v>206.46</v>
      </c>
      <c r="AH98" s="191"/>
      <c r="AI98" s="191"/>
      <c r="AJ98" s="191">
        <v>581.69000000000005</v>
      </c>
      <c r="AK98" s="15">
        <v>0.58169000000000004</v>
      </c>
      <c r="AL98" s="182"/>
      <c r="AM98" s="142" t="s">
        <v>20</v>
      </c>
      <c r="AN98" s="135" t="s">
        <v>21</v>
      </c>
      <c r="AO98" s="135" t="s">
        <v>21</v>
      </c>
      <c r="AP98" s="372">
        <f>AQ98-2</f>
        <v>45720</v>
      </c>
      <c r="AQ98" s="372">
        <f>AR98-1</f>
        <v>45722</v>
      </c>
      <c r="AR98" s="372">
        <f>AS98-2</f>
        <v>45723</v>
      </c>
      <c r="AS98" s="372">
        <v>45725</v>
      </c>
      <c r="AT98" s="24" t="s">
        <v>554</v>
      </c>
      <c r="AU98" s="183"/>
      <c r="AV98" s="142" t="s">
        <v>20</v>
      </c>
      <c r="AW98" s="15" t="s">
        <v>6</v>
      </c>
      <c r="AX98" s="297">
        <f>AY98-0</f>
        <v>45736</v>
      </c>
      <c r="AY98" s="297">
        <v>45736</v>
      </c>
      <c r="AZ98" s="187" t="s">
        <v>543</v>
      </c>
      <c r="BA98" s="188"/>
      <c r="BB98" s="142" t="s">
        <v>20</v>
      </c>
      <c r="BC98" s="135" t="s">
        <v>547</v>
      </c>
      <c r="BD98" s="135" t="s">
        <v>21</v>
      </c>
      <c r="BE98" s="298">
        <f>BF98-1</f>
        <v>45752</v>
      </c>
      <c r="BF98" s="298">
        <v>45753</v>
      </c>
      <c r="BG98" s="17" t="s">
        <v>553</v>
      </c>
      <c r="BH98" s="183"/>
      <c r="BI98" s="142" t="s">
        <v>20</v>
      </c>
      <c r="BJ98" s="135">
        <v>45878</v>
      </c>
      <c r="BK98" s="135">
        <f>BJ98</f>
        <v>45878</v>
      </c>
      <c r="BL98" s="25">
        <v>980</v>
      </c>
      <c r="BM98" s="190" t="s">
        <v>545</v>
      </c>
    </row>
    <row r="99" spans="1:65" ht="14.25" hidden="1" customHeight="1">
      <c r="A99" s="15"/>
      <c r="B99" s="19"/>
      <c r="C99" s="184"/>
      <c r="D99" s="134"/>
      <c r="E99" s="134"/>
      <c r="F99" s="134"/>
      <c r="G99" s="134"/>
      <c r="H99" s="185"/>
      <c r="I99" s="19"/>
      <c r="J99" s="19"/>
      <c r="K99" s="186"/>
      <c r="L99" s="178"/>
      <c r="M99" s="15"/>
      <c r="N99" s="15"/>
      <c r="O99" s="15"/>
      <c r="P99" s="180">
        <f t="shared" si="2"/>
        <v>0</v>
      </c>
      <c r="Q99" s="178"/>
      <c r="R99" s="15"/>
      <c r="S99" s="180"/>
      <c r="T99" s="181"/>
      <c r="U99" s="181"/>
      <c r="V99" s="16">
        <v>279</v>
      </c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82"/>
      <c r="AM99" s="15"/>
      <c r="AN99" s="24"/>
      <c r="AO99" s="24"/>
      <c r="AP99" s="24"/>
      <c r="AQ99" s="24"/>
      <c r="AR99" s="24"/>
      <c r="AS99" s="24"/>
      <c r="AT99" s="24"/>
      <c r="AU99" s="183"/>
      <c r="AV99" s="24"/>
      <c r="AW99" s="24"/>
      <c r="AX99" s="297"/>
      <c r="AY99" s="297"/>
      <c r="AZ99" s="24"/>
      <c r="BA99" s="183"/>
      <c r="BB99" s="24"/>
      <c r="BC99" s="24"/>
      <c r="BD99" s="24"/>
      <c r="BE99" s="24"/>
      <c r="BF99" s="24"/>
      <c r="BG99" s="24"/>
      <c r="BH99" s="183"/>
      <c r="BI99" s="24"/>
      <c r="BJ99" s="24"/>
      <c r="BK99" s="24"/>
      <c r="BL99" s="24"/>
      <c r="BM99" s="24"/>
    </row>
    <row r="100" spans="1:65" ht="14.25" customHeight="1">
      <c r="A100" s="15">
        <v>46</v>
      </c>
      <c r="B100" s="19" t="s">
        <v>108</v>
      </c>
      <c r="C100" s="184" t="s">
        <v>42</v>
      </c>
      <c r="D100" s="134">
        <v>6.3620000000000001</v>
      </c>
      <c r="E100" s="134">
        <f>D100*4</f>
        <v>25.448</v>
      </c>
      <c r="F100" s="134">
        <f>E100*8</f>
        <v>203.584</v>
      </c>
      <c r="G100" s="134"/>
      <c r="H100" s="185"/>
      <c r="I100" s="19"/>
      <c r="J100" s="19"/>
      <c r="K100" s="186"/>
      <c r="L100" s="178">
        <v>2.25</v>
      </c>
      <c r="M100" s="15">
        <v>2.1880000000000002</v>
      </c>
      <c r="N100" s="15">
        <v>2E-3</v>
      </c>
      <c r="O100" s="15">
        <v>0.183</v>
      </c>
      <c r="P100" s="180">
        <f t="shared" si="2"/>
        <v>4.6230000000000002</v>
      </c>
      <c r="Q100" s="178">
        <v>0.24399999999999999</v>
      </c>
      <c r="R100" s="15">
        <v>5.0000000000000001E-3</v>
      </c>
      <c r="S100" s="180">
        <f>SUM(Q100:R100)</f>
        <v>0.249</v>
      </c>
      <c r="T100" s="181" t="s">
        <v>31</v>
      </c>
      <c r="U100" s="181" t="s">
        <v>540</v>
      </c>
      <c r="V100" s="15"/>
      <c r="W100" s="15" t="s">
        <v>504</v>
      </c>
      <c r="X100" s="15">
        <v>41.440000000000005</v>
      </c>
      <c r="Y100" s="15">
        <v>0.8</v>
      </c>
      <c r="Z100" s="15">
        <v>7.8</v>
      </c>
      <c r="AA100" s="15">
        <v>8.6</v>
      </c>
      <c r="AB100" s="15">
        <v>66.42</v>
      </c>
      <c r="AC100" s="15">
        <v>3321</v>
      </c>
      <c r="AD100" s="191">
        <v>73.73</v>
      </c>
      <c r="AE100" s="191">
        <v>301.5</v>
      </c>
      <c r="AF100" s="191"/>
      <c r="AG100" s="191">
        <v>206.46</v>
      </c>
      <c r="AH100" s="191"/>
      <c r="AI100" s="191"/>
      <c r="AJ100" s="191">
        <v>581.69000000000005</v>
      </c>
      <c r="AK100" s="15">
        <v>0.58169000000000004</v>
      </c>
      <c r="AL100" s="182"/>
      <c r="AM100" s="142" t="s">
        <v>20</v>
      </c>
      <c r="AN100" s="135" t="str">
        <f>AO100</f>
        <v>D</v>
      </c>
      <c r="AO100" s="135" t="s">
        <v>21</v>
      </c>
      <c r="AP100" s="372">
        <f t="shared" ref="AP100:AQ100" si="31">AQ100-2</f>
        <v>45725</v>
      </c>
      <c r="AQ100" s="372">
        <f t="shared" si="31"/>
        <v>45727</v>
      </c>
      <c r="AR100" s="372">
        <f>AS100-3</f>
        <v>45729</v>
      </c>
      <c r="AS100" s="372">
        <v>45732</v>
      </c>
      <c r="AT100" s="24" t="s">
        <v>542</v>
      </c>
      <c r="AU100" s="183"/>
      <c r="AV100" s="142" t="s">
        <v>20</v>
      </c>
      <c r="AW100" s="15" t="s">
        <v>6</v>
      </c>
      <c r="AX100" s="297">
        <f>AY100-0</f>
        <v>45736</v>
      </c>
      <c r="AY100" s="297">
        <v>45736</v>
      </c>
      <c r="AZ100" s="187" t="s">
        <v>543</v>
      </c>
      <c r="BA100" s="188"/>
      <c r="BB100" s="142" t="s">
        <v>20</v>
      </c>
      <c r="BC100" s="135" t="s">
        <v>563</v>
      </c>
      <c r="BD100" s="135" t="s">
        <v>21</v>
      </c>
      <c r="BE100" s="298">
        <f>BF100-2</f>
        <v>45752</v>
      </c>
      <c r="BF100" s="298">
        <v>45754</v>
      </c>
      <c r="BG100" s="17" t="s">
        <v>553</v>
      </c>
      <c r="BH100" s="193"/>
      <c r="BI100" s="142" t="s">
        <v>20</v>
      </c>
      <c r="BJ100" s="135">
        <v>45878</v>
      </c>
      <c r="BK100" s="135">
        <f>BJ100</f>
        <v>45878</v>
      </c>
      <c r="BL100" s="25">
        <v>980</v>
      </c>
      <c r="BM100" s="190" t="s">
        <v>545</v>
      </c>
    </row>
    <row r="101" spans="1:65" ht="14.25" hidden="1" customHeight="1">
      <c r="A101" s="15"/>
      <c r="B101" s="19"/>
      <c r="C101" s="184"/>
      <c r="D101" s="134"/>
      <c r="E101" s="134"/>
      <c r="F101" s="134"/>
      <c r="G101" s="134"/>
      <c r="H101" s="185"/>
      <c r="I101" s="19"/>
      <c r="J101" s="19"/>
      <c r="K101" s="186"/>
      <c r="L101" s="178"/>
      <c r="M101" s="15"/>
      <c r="N101" s="15"/>
      <c r="O101" s="15"/>
      <c r="P101" s="180">
        <f t="shared" si="2"/>
        <v>0</v>
      </c>
      <c r="Q101" s="178"/>
      <c r="R101" s="15"/>
      <c r="S101" s="180"/>
      <c r="T101" s="181"/>
      <c r="U101" s="181"/>
      <c r="V101" s="16">
        <v>252</v>
      </c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82"/>
      <c r="AM101" s="15"/>
      <c r="AN101" s="24"/>
      <c r="AO101" s="24"/>
      <c r="AP101" s="24"/>
      <c r="AQ101" s="24"/>
      <c r="AR101" s="24"/>
      <c r="AS101" s="24"/>
      <c r="AT101" s="24"/>
      <c r="AU101" s="183"/>
      <c r="AV101" s="24"/>
      <c r="AW101" s="24"/>
      <c r="AX101" s="297"/>
      <c r="AY101" s="297"/>
      <c r="AZ101" s="24"/>
      <c r="BA101" s="183"/>
      <c r="BB101" s="24"/>
      <c r="BC101" s="24"/>
      <c r="BD101" s="24"/>
      <c r="BE101" s="24"/>
      <c r="BF101" s="24"/>
      <c r="BG101" s="24"/>
      <c r="BH101" s="183"/>
      <c r="BI101" s="24"/>
      <c r="BJ101" s="24"/>
      <c r="BK101" s="24"/>
      <c r="BL101" s="24"/>
      <c r="BM101" s="24"/>
    </row>
    <row r="102" spans="1:65" ht="14.25" customHeight="1">
      <c r="A102" s="15">
        <v>47</v>
      </c>
      <c r="B102" s="19" t="s">
        <v>109</v>
      </c>
      <c r="C102" s="184" t="s">
        <v>42</v>
      </c>
      <c r="D102" s="134">
        <v>6.3620000000000001</v>
      </c>
      <c r="E102" s="134">
        <f>D102*4</f>
        <v>25.448</v>
      </c>
      <c r="F102" s="134">
        <f>E102*8</f>
        <v>203.584</v>
      </c>
      <c r="G102" s="134"/>
      <c r="H102" s="185"/>
      <c r="I102" s="19"/>
      <c r="J102" s="19"/>
      <c r="K102" s="186"/>
      <c r="L102" s="178">
        <v>2.25</v>
      </c>
      <c r="M102" s="15">
        <v>2.1880000000000002</v>
      </c>
      <c r="N102" s="15">
        <v>2E-3</v>
      </c>
      <c r="O102" s="15">
        <v>0.183</v>
      </c>
      <c r="P102" s="180">
        <f t="shared" si="2"/>
        <v>4.6230000000000002</v>
      </c>
      <c r="Q102" s="178">
        <v>0.24399999999999999</v>
      </c>
      <c r="R102" s="15">
        <v>5.0000000000000001E-3</v>
      </c>
      <c r="S102" s="180">
        <f>SUM(Q102:R102)</f>
        <v>0.249</v>
      </c>
      <c r="T102" s="181" t="s">
        <v>31</v>
      </c>
      <c r="U102" s="181" t="s">
        <v>540</v>
      </c>
      <c r="V102" s="15"/>
      <c r="W102" s="15" t="s">
        <v>570</v>
      </c>
      <c r="X102" s="15">
        <v>80.64</v>
      </c>
      <c r="Y102" s="15">
        <v>0.88</v>
      </c>
      <c r="Z102" s="15">
        <v>8.1199999999999992</v>
      </c>
      <c r="AA102" s="15"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82"/>
      <c r="AM102" s="142" t="s">
        <v>20</v>
      </c>
      <c r="AN102" s="135" t="str">
        <f>AO102</f>
        <v>D</v>
      </c>
      <c r="AO102" s="135" t="s">
        <v>21</v>
      </c>
      <c r="AP102" s="372">
        <f t="shared" ref="AP102:AR102" si="32">AQ102-2</f>
        <v>45733</v>
      </c>
      <c r="AQ102" s="372">
        <f t="shared" si="32"/>
        <v>45735</v>
      </c>
      <c r="AR102" s="372">
        <f t="shared" si="32"/>
        <v>45737</v>
      </c>
      <c r="AS102" s="372">
        <v>45739</v>
      </c>
      <c r="AT102" s="24" t="s">
        <v>542</v>
      </c>
      <c r="AU102" s="183"/>
      <c r="AV102" s="142" t="s">
        <v>20</v>
      </c>
      <c r="AW102" s="15" t="s">
        <v>548</v>
      </c>
      <c r="AX102" s="297">
        <f>AX100+7</f>
        <v>45743</v>
      </c>
      <c r="AY102" s="297">
        <f>AX102</f>
        <v>45743</v>
      </c>
      <c r="AZ102" s="187" t="s">
        <v>543</v>
      </c>
      <c r="BA102" s="188"/>
      <c r="BB102" s="142" t="s">
        <v>20</v>
      </c>
      <c r="BC102" s="135"/>
      <c r="BD102" s="135" t="s">
        <v>21</v>
      </c>
      <c r="BE102" s="298">
        <f>BF102-2</f>
        <v>45768</v>
      </c>
      <c r="BF102" s="298">
        <v>45770</v>
      </c>
      <c r="BG102" s="17" t="s">
        <v>553</v>
      </c>
      <c r="BH102" s="182"/>
      <c r="BI102" s="142" t="s">
        <v>20</v>
      </c>
      <c r="BJ102" s="135">
        <v>45878</v>
      </c>
      <c r="BK102" s="135">
        <f>BJ102</f>
        <v>45878</v>
      </c>
      <c r="BL102" s="25">
        <v>980</v>
      </c>
      <c r="BM102" s="190" t="s">
        <v>545</v>
      </c>
    </row>
    <row r="103" spans="1:65" ht="14.25" hidden="1" customHeight="1">
      <c r="A103" s="15"/>
      <c r="B103" s="19"/>
      <c r="C103" s="184"/>
      <c r="D103" s="134"/>
      <c r="E103" s="134"/>
      <c r="F103" s="134"/>
      <c r="G103" s="134"/>
      <c r="H103" s="185"/>
      <c r="I103" s="19"/>
      <c r="J103" s="19"/>
      <c r="K103" s="186"/>
      <c r="L103" s="178"/>
      <c r="M103" s="15"/>
      <c r="N103" s="15"/>
      <c r="O103" s="15"/>
      <c r="P103" s="180">
        <f t="shared" si="2"/>
        <v>0</v>
      </c>
      <c r="Q103" s="178"/>
      <c r="R103" s="15"/>
      <c r="S103" s="180"/>
      <c r="T103" s="181"/>
      <c r="U103" s="181"/>
      <c r="V103" s="16">
        <v>252.05</v>
      </c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82"/>
      <c r="AM103" s="15"/>
      <c r="AN103" s="24"/>
      <c r="AO103" s="24"/>
      <c r="AP103" s="24"/>
      <c r="AQ103" s="24"/>
      <c r="AR103" s="24"/>
      <c r="AS103" s="24"/>
      <c r="AT103" s="24"/>
      <c r="AU103" s="183"/>
      <c r="AV103" s="24"/>
      <c r="AW103" s="24"/>
      <c r="AX103" s="297"/>
      <c r="AY103" s="297"/>
      <c r="AZ103" s="24"/>
      <c r="BA103" s="183"/>
      <c r="BB103" s="24"/>
      <c r="BC103" s="24"/>
      <c r="BD103" s="24"/>
      <c r="BE103" s="24"/>
      <c r="BF103" s="24"/>
      <c r="BG103" s="24"/>
      <c r="BH103" s="183"/>
      <c r="BI103" s="24"/>
      <c r="BJ103" s="24"/>
      <c r="BK103" s="24"/>
      <c r="BL103" s="24"/>
      <c r="BM103" s="24"/>
    </row>
    <row r="104" spans="1:65" ht="14.25" customHeight="1">
      <c r="A104" s="15">
        <v>48</v>
      </c>
      <c r="B104" s="19" t="s">
        <v>111</v>
      </c>
      <c r="C104" s="184" t="s">
        <v>34</v>
      </c>
      <c r="D104" s="134">
        <v>9.6539999999999999</v>
      </c>
      <c r="E104" s="134">
        <f>D104*4</f>
        <v>38.616</v>
      </c>
      <c r="F104" s="134">
        <f>E104*8</f>
        <v>308.928</v>
      </c>
      <c r="G104" s="134"/>
      <c r="H104" s="185"/>
      <c r="I104" s="19"/>
      <c r="J104" s="19"/>
      <c r="K104" s="186"/>
      <c r="L104" s="178">
        <v>4.8070000000000004</v>
      </c>
      <c r="M104" s="15">
        <v>4.016</v>
      </c>
      <c r="N104" s="15">
        <v>7.0000000000000001E-3</v>
      </c>
      <c r="O104" s="15">
        <v>0.43099999999999999</v>
      </c>
      <c r="P104" s="180">
        <f t="shared" si="2"/>
        <v>9.2609999999999992</v>
      </c>
      <c r="Q104" s="178">
        <v>0.55700000000000005</v>
      </c>
      <c r="R104" s="15">
        <v>0.01</v>
      </c>
      <c r="S104" s="180">
        <f>SUM(Q104:R104)</f>
        <v>0.56700000000000006</v>
      </c>
      <c r="T104" s="181" t="s">
        <v>110</v>
      </c>
      <c r="U104" s="181" t="s">
        <v>540</v>
      </c>
      <c r="V104" s="15"/>
      <c r="W104" s="15" t="s">
        <v>570</v>
      </c>
      <c r="X104" s="15">
        <v>207.52</v>
      </c>
      <c r="Y104" s="15">
        <v>2.52</v>
      </c>
      <c r="Z104" s="15">
        <v>21.09</v>
      </c>
      <c r="AA104" s="15">
        <f>Y104+Z104</f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82"/>
      <c r="AM104" s="142" t="s">
        <v>20</v>
      </c>
      <c r="AN104" s="135" t="s">
        <v>552</v>
      </c>
      <c r="AO104" s="135" t="s">
        <v>21</v>
      </c>
      <c r="AP104" s="372">
        <f>AQ104-2</f>
        <v>45790</v>
      </c>
      <c r="AQ104" s="372">
        <f>AR104-1</f>
        <v>45792</v>
      </c>
      <c r="AR104" s="372">
        <f>AS104-2</f>
        <v>45793</v>
      </c>
      <c r="AS104" s="372">
        <v>45795</v>
      </c>
      <c r="AT104" s="24" t="s">
        <v>542</v>
      </c>
      <c r="AU104" s="183"/>
      <c r="AV104" s="142" t="s">
        <v>20</v>
      </c>
      <c r="AW104" s="15" t="s">
        <v>548</v>
      </c>
      <c r="AX104" s="297">
        <v>45798</v>
      </c>
      <c r="AY104" s="297">
        <v>45798</v>
      </c>
      <c r="AZ104" s="187" t="s">
        <v>543</v>
      </c>
      <c r="BA104" s="188"/>
      <c r="BB104" s="142" t="s">
        <v>20</v>
      </c>
      <c r="BC104" s="135" t="s">
        <v>560</v>
      </c>
      <c r="BD104" s="135" t="s">
        <v>21</v>
      </c>
      <c r="BE104" s="298">
        <f>BF104-2</f>
        <v>45814</v>
      </c>
      <c r="BF104" s="298">
        <v>45816</v>
      </c>
      <c r="BG104" s="17" t="s">
        <v>553</v>
      </c>
      <c r="BH104" s="182"/>
      <c r="BI104" s="142" t="s">
        <v>20</v>
      </c>
      <c r="BJ104" s="135">
        <v>45882</v>
      </c>
      <c r="BK104" s="135">
        <f>BJ104</f>
        <v>45882</v>
      </c>
      <c r="BL104" s="25">
        <v>1202</v>
      </c>
      <c r="BM104" s="190" t="s">
        <v>545</v>
      </c>
    </row>
    <row r="105" spans="1:65" ht="14.25" hidden="1" customHeight="1">
      <c r="A105" s="15"/>
      <c r="B105" s="19"/>
      <c r="C105" s="184"/>
      <c r="D105" s="134"/>
      <c r="E105" s="134"/>
      <c r="F105" s="134"/>
      <c r="G105" s="134"/>
      <c r="H105" s="185"/>
      <c r="I105" s="19"/>
      <c r="J105" s="19"/>
      <c r="K105" s="186"/>
      <c r="L105" s="178"/>
      <c r="M105" s="15"/>
      <c r="N105" s="15"/>
      <c r="O105" s="15"/>
      <c r="P105" s="180">
        <f t="shared" si="2"/>
        <v>0</v>
      </c>
      <c r="Q105" s="178"/>
      <c r="R105" s="15"/>
      <c r="S105" s="180"/>
      <c r="T105" s="181"/>
      <c r="U105" s="181"/>
      <c r="V105" s="16">
        <v>173.57</v>
      </c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82"/>
      <c r="AM105" s="15"/>
      <c r="AN105" s="24"/>
      <c r="AO105" s="24"/>
      <c r="AP105" s="24"/>
      <c r="AQ105" s="24"/>
      <c r="AR105" s="24"/>
      <c r="AS105" s="24"/>
      <c r="AT105" s="24"/>
      <c r="AU105" s="183"/>
      <c r="AV105" s="24"/>
      <c r="AW105" s="24"/>
      <c r="AX105" s="297"/>
      <c r="AY105" s="297"/>
      <c r="AZ105" s="24"/>
      <c r="BA105" s="183"/>
      <c r="BB105" s="24"/>
      <c r="BC105" s="24"/>
      <c r="BD105" s="24"/>
      <c r="BE105" s="24"/>
      <c r="BF105" s="24"/>
      <c r="BG105" s="24"/>
      <c r="BH105" s="183"/>
      <c r="BI105" s="24"/>
      <c r="BJ105" s="24"/>
      <c r="BK105" s="24"/>
      <c r="BL105" s="24"/>
      <c r="BM105" s="24"/>
    </row>
    <row r="106" spans="1:65" ht="14.25" customHeight="1">
      <c r="A106" s="15">
        <v>49</v>
      </c>
      <c r="B106" s="19" t="s">
        <v>113</v>
      </c>
      <c r="C106" s="184" t="s">
        <v>34</v>
      </c>
      <c r="D106" s="134">
        <v>9.6539999999999999</v>
      </c>
      <c r="E106" s="134">
        <f>D106*4</f>
        <v>38.616</v>
      </c>
      <c r="F106" s="134">
        <f>E106*8</f>
        <v>308.928</v>
      </c>
      <c r="G106" s="134"/>
      <c r="H106" s="185"/>
      <c r="I106" s="19"/>
      <c r="J106" s="19"/>
      <c r="K106" s="186"/>
      <c r="L106" s="178">
        <v>4.8070000000000004</v>
      </c>
      <c r="M106" s="15">
        <v>4.016</v>
      </c>
      <c r="N106" s="15">
        <v>7.0000000000000001E-3</v>
      </c>
      <c r="O106" s="15">
        <v>0.43099999999999999</v>
      </c>
      <c r="P106" s="180">
        <f t="shared" si="2"/>
        <v>9.2609999999999992</v>
      </c>
      <c r="Q106" s="178">
        <v>0.55700000000000005</v>
      </c>
      <c r="R106" s="15">
        <v>0.01</v>
      </c>
      <c r="S106" s="180">
        <f>SUM(Q106:R106)</f>
        <v>0.56700000000000006</v>
      </c>
      <c r="T106" s="181" t="s">
        <v>112</v>
      </c>
      <c r="U106" s="181" t="s">
        <v>540</v>
      </c>
      <c r="V106" s="15"/>
      <c r="W106" s="15" t="s">
        <v>546</v>
      </c>
      <c r="X106" s="15">
        <v>268.58</v>
      </c>
      <c r="Y106" s="15">
        <v>3.33</v>
      </c>
      <c r="Z106" s="15">
        <v>26.1</v>
      </c>
      <c r="AA106" s="15"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82"/>
      <c r="AM106" s="142" t="s">
        <v>20</v>
      </c>
      <c r="AN106" s="135" t="str">
        <f>AO106</f>
        <v>D</v>
      </c>
      <c r="AO106" s="135" t="s">
        <v>21</v>
      </c>
      <c r="AP106" s="372">
        <v>45652</v>
      </c>
      <c r="AQ106" s="372">
        <f>AR106-4</f>
        <v>45655</v>
      </c>
      <c r="AR106" s="372">
        <f>AS106-2</f>
        <v>45659</v>
      </c>
      <c r="AS106" s="372">
        <v>45661</v>
      </c>
      <c r="AT106" s="24" t="s">
        <v>566</v>
      </c>
      <c r="AU106" s="183"/>
      <c r="AV106" s="142" t="s">
        <v>20</v>
      </c>
      <c r="AW106" s="15" t="s">
        <v>548</v>
      </c>
      <c r="AX106" s="297">
        <v>45660</v>
      </c>
      <c r="AY106" s="297">
        <f>AX106</f>
        <v>45660</v>
      </c>
      <c r="AZ106" s="24" t="s">
        <v>566</v>
      </c>
      <c r="BA106" s="183"/>
      <c r="BB106" s="142" t="s">
        <v>20</v>
      </c>
      <c r="BC106" s="135"/>
      <c r="BD106" s="135" t="s">
        <v>25</v>
      </c>
      <c r="BE106" s="298">
        <f>BF106-2</f>
        <v>45775</v>
      </c>
      <c r="BF106" s="298">
        <v>45777</v>
      </c>
      <c r="BG106" s="17" t="s">
        <v>553</v>
      </c>
      <c r="BH106" s="182"/>
      <c r="BI106" s="142" t="s">
        <v>20</v>
      </c>
      <c r="BJ106" s="135">
        <v>45886</v>
      </c>
      <c r="BK106" s="135">
        <f>BJ106</f>
        <v>45886</v>
      </c>
      <c r="BL106" s="25">
        <v>1202</v>
      </c>
      <c r="BM106" s="190" t="s">
        <v>545</v>
      </c>
    </row>
    <row r="107" spans="1:65" ht="14.25" hidden="1" customHeight="1">
      <c r="A107" s="15"/>
      <c r="B107" s="19"/>
      <c r="C107" s="184"/>
      <c r="D107" s="134"/>
      <c r="E107" s="134"/>
      <c r="F107" s="134"/>
      <c r="G107" s="134"/>
      <c r="H107" s="185"/>
      <c r="I107" s="19"/>
      <c r="J107" s="19"/>
      <c r="K107" s="186"/>
      <c r="L107" s="178"/>
      <c r="M107" s="15"/>
      <c r="N107" s="15"/>
      <c r="O107" s="15"/>
      <c r="P107" s="180">
        <f t="shared" si="2"/>
        <v>0</v>
      </c>
      <c r="Q107" s="178"/>
      <c r="R107" s="15"/>
      <c r="S107" s="180"/>
      <c r="T107" s="181"/>
      <c r="U107" s="181"/>
      <c r="V107" s="16">
        <v>336.5</v>
      </c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82"/>
      <c r="AM107" s="15"/>
      <c r="AN107" s="24"/>
      <c r="AO107" s="24"/>
      <c r="AP107" s="24"/>
      <c r="AQ107" s="24"/>
      <c r="AR107" s="24"/>
      <c r="AS107" s="24"/>
      <c r="AT107" s="24"/>
      <c r="AU107" s="183"/>
      <c r="AV107" s="24"/>
      <c r="AW107" s="24"/>
      <c r="AX107" s="297"/>
      <c r="AY107" s="297"/>
      <c r="AZ107" s="24"/>
      <c r="BA107" s="183"/>
      <c r="BB107" s="24"/>
      <c r="BC107" s="24"/>
      <c r="BD107" s="24"/>
      <c r="BE107" s="24"/>
      <c r="BF107" s="24"/>
      <c r="BG107" s="24"/>
      <c r="BH107" s="183"/>
      <c r="BI107" s="24"/>
      <c r="BJ107" s="24"/>
      <c r="BK107" s="24"/>
      <c r="BL107" s="24"/>
      <c r="BM107" s="24"/>
    </row>
    <row r="108" spans="1:65" ht="14.25" customHeight="1">
      <c r="A108" s="15">
        <v>50</v>
      </c>
      <c r="B108" s="19" t="s">
        <v>115</v>
      </c>
      <c r="C108" s="184" t="s">
        <v>116</v>
      </c>
      <c r="D108" s="134">
        <v>10.462</v>
      </c>
      <c r="E108" s="134">
        <f>D108*4</f>
        <v>41.847999999999999</v>
      </c>
      <c r="F108" s="134">
        <f>E108*8</f>
        <v>334.78399999999999</v>
      </c>
      <c r="G108" s="134"/>
      <c r="H108" s="185"/>
      <c r="I108" s="19"/>
      <c r="J108" s="19"/>
      <c r="K108" s="186"/>
      <c r="L108" s="178">
        <v>5.2010000000000005</v>
      </c>
      <c r="M108" s="15">
        <v>4.1459999999999999</v>
      </c>
      <c r="N108" s="15">
        <v>6.7000000000000002E-3</v>
      </c>
      <c r="O108" s="15">
        <v>0.503</v>
      </c>
      <c r="P108" s="180">
        <f t="shared" si="2"/>
        <v>9.8567000000000018</v>
      </c>
      <c r="Q108" s="178">
        <v>0.436</v>
      </c>
      <c r="R108" s="15">
        <v>0.01</v>
      </c>
      <c r="S108" s="180">
        <f>SUM(Q108:R108)</f>
        <v>0.44600000000000001</v>
      </c>
      <c r="T108" s="181" t="s">
        <v>114</v>
      </c>
      <c r="U108" s="181" t="s">
        <v>540</v>
      </c>
      <c r="V108" s="15"/>
      <c r="W108" s="15" t="s">
        <v>507</v>
      </c>
      <c r="X108" s="15">
        <v>229.64</v>
      </c>
      <c r="Y108" s="15">
        <v>2.81</v>
      </c>
      <c r="Z108" s="15">
        <v>21.11</v>
      </c>
      <c r="AA108" s="15"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82"/>
      <c r="AM108" s="142" t="s">
        <v>20</v>
      </c>
      <c r="AN108" s="135" t="str">
        <f>AO108</f>
        <v>D</v>
      </c>
      <c r="AO108" s="135" t="s">
        <v>21</v>
      </c>
      <c r="AP108" s="372">
        <f t="shared" ref="AP108:AQ108" si="33">AQ108-1</f>
        <v>45633</v>
      </c>
      <c r="AQ108" s="372">
        <f t="shared" si="33"/>
        <v>45634</v>
      </c>
      <c r="AR108" s="372">
        <f>AS108-2</f>
        <v>45635</v>
      </c>
      <c r="AS108" s="372">
        <v>45637</v>
      </c>
      <c r="AT108" s="24" t="s">
        <v>566</v>
      </c>
      <c r="AU108" s="183"/>
      <c r="AV108" s="142" t="s">
        <v>20</v>
      </c>
      <c r="AW108" s="15" t="s">
        <v>548</v>
      </c>
      <c r="AX108" s="297">
        <v>45647</v>
      </c>
      <c r="AY108" s="297">
        <v>45647</v>
      </c>
      <c r="AZ108" s="24" t="s">
        <v>566</v>
      </c>
      <c r="BA108" s="183"/>
      <c r="BB108" s="142" t="s">
        <v>20</v>
      </c>
      <c r="BC108" s="135"/>
      <c r="BD108" s="135" t="s">
        <v>21</v>
      </c>
      <c r="BE108" s="298">
        <f>BF108-2</f>
        <v>45767</v>
      </c>
      <c r="BF108" s="298">
        <v>45769</v>
      </c>
      <c r="BG108" s="17" t="s">
        <v>553</v>
      </c>
      <c r="BH108" s="182"/>
      <c r="BI108" s="142" t="s">
        <v>20</v>
      </c>
      <c r="BJ108" s="135"/>
      <c r="BK108" s="135"/>
      <c r="BL108" s="25">
        <v>1657</v>
      </c>
      <c r="BM108" s="24"/>
    </row>
    <row r="109" spans="1:65" ht="14.25" hidden="1" customHeight="1">
      <c r="A109" s="15"/>
      <c r="B109" s="19"/>
      <c r="C109" s="184"/>
      <c r="D109" s="134"/>
      <c r="E109" s="134"/>
      <c r="F109" s="134"/>
      <c r="G109" s="134"/>
      <c r="H109" s="185"/>
      <c r="I109" s="19"/>
      <c r="J109" s="19"/>
      <c r="K109" s="186"/>
      <c r="L109" s="178"/>
      <c r="M109" s="15"/>
      <c r="N109" s="15"/>
      <c r="O109" s="15"/>
      <c r="P109" s="180">
        <f t="shared" si="2"/>
        <v>0</v>
      </c>
      <c r="Q109" s="178"/>
      <c r="R109" s="15"/>
      <c r="S109" s="180"/>
      <c r="T109" s="181"/>
      <c r="U109" s="181"/>
      <c r="V109" s="16">
        <v>365</v>
      </c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82"/>
      <c r="AM109" s="15"/>
      <c r="AN109" s="24"/>
      <c r="AO109" s="24"/>
      <c r="AP109" s="24"/>
      <c r="AQ109" s="24"/>
      <c r="AR109" s="24"/>
      <c r="AS109" s="24"/>
      <c r="AT109" s="24"/>
      <c r="AU109" s="183"/>
      <c r="AV109" s="24"/>
      <c r="AW109" s="24"/>
      <c r="AX109" s="297"/>
      <c r="AY109" s="297"/>
      <c r="AZ109" s="24"/>
      <c r="BA109" s="183"/>
      <c r="BB109" s="24"/>
      <c r="BC109" s="24"/>
      <c r="BD109" s="24"/>
      <c r="BE109" s="24"/>
      <c r="BF109" s="24"/>
      <c r="BG109" s="24"/>
      <c r="BH109" s="183"/>
      <c r="BI109" s="24"/>
      <c r="BJ109" s="24"/>
      <c r="BK109" s="24"/>
      <c r="BL109" s="24"/>
      <c r="BM109" s="24"/>
    </row>
    <row r="110" spans="1:65" ht="14.25" customHeight="1">
      <c r="A110" s="15">
        <v>51</v>
      </c>
      <c r="B110" s="19" t="s">
        <v>117</v>
      </c>
      <c r="C110" s="184" t="s">
        <v>42</v>
      </c>
      <c r="D110" s="134">
        <v>6.3620000000000001</v>
      </c>
      <c r="E110" s="134">
        <f>D110*4</f>
        <v>25.448</v>
      </c>
      <c r="F110" s="134">
        <f>E110*8</f>
        <v>203.584</v>
      </c>
      <c r="G110" s="134"/>
      <c r="H110" s="185"/>
      <c r="I110" s="19"/>
      <c r="J110" s="19"/>
      <c r="K110" s="186"/>
      <c r="L110" s="178">
        <v>2.25</v>
      </c>
      <c r="M110" s="15">
        <v>2.1880000000000002</v>
      </c>
      <c r="N110" s="15">
        <v>2E-3</v>
      </c>
      <c r="O110" s="15">
        <v>0.183</v>
      </c>
      <c r="P110" s="180">
        <f t="shared" si="2"/>
        <v>4.6230000000000002</v>
      </c>
      <c r="Q110" s="178">
        <v>0.24399999999999999</v>
      </c>
      <c r="R110" s="15">
        <v>5.0000000000000001E-3</v>
      </c>
      <c r="S110" s="180">
        <f>SUM(Q110:R110)</f>
        <v>0.249</v>
      </c>
      <c r="T110" s="181" t="s">
        <v>31</v>
      </c>
      <c r="U110" s="181" t="s">
        <v>540</v>
      </c>
      <c r="V110" s="15"/>
      <c r="W110" s="15" t="s">
        <v>571</v>
      </c>
      <c r="X110" s="16">
        <v>147.88</v>
      </c>
      <c r="Y110" s="16">
        <v>1.74</v>
      </c>
      <c r="Z110" s="16">
        <v>12.26</v>
      </c>
      <c r="AA110" s="16">
        <f>Y110+Z110</f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82"/>
      <c r="AM110" s="142" t="s">
        <v>20</v>
      </c>
      <c r="AN110" s="135" t="str">
        <f>AO110</f>
        <v>D</v>
      </c>
      <c r="AO110" s="135" t="s">
        <v>21</v>
      </c>
      <c r="AP110" s="372">
        <v>45631</v>
      </c>
      <c r="AQ110" s="372">
        <v>45643</v>
      </c>
      <c r="AR110" s="372">
        <v>45644</v>
      </c>
      <c r="AS110" s="372">
        <v>45645</v>
      </c>
      <c r="AT110" s="24" t="s">
        <v>566</v>
      </c>
      <c r="AU110" s="183"/>
      <c r="AV110" s="142" t="s">
        <v>20</v>
      </c>
      <c r="AW110" s="15" t="s">
        <v>548</v>
      </c>
      <c r="AX110" s="297">
        <v>45647</v>
      </c>
      <c r="AY110" s="297">
        <v>45647</v>
      </c>
      <c r="AZ110" s="24" t="s">
        <v>566</v>
      </c>
      <c r="BA110" s="183"/>
      <c r="BB110" s="142" t="s">
        <v>20</v>
      </c>
      <c r="BC110" s="135"/>
      <c r="BD110" s="135" t="s">
        <v>21</v>
      </c>
      <c r="BE110" s="298">
        <f>BF110-1</f>
        <v>45749</v>
      </c>
      <c r="BF110" s="298">
        <v>45750</v>
      </c>
      <c r="BG110" s="17" t="s">
        <v>553</v>
      </c>
      <c r="BH110" s="193"/>
      <c r="BI110" s="142" t="s">
        <v>20</v>
      </c>
      <c r="BJ110" s="135">
        <v>45886</v>
      </c>
      <c r="BK110" s="135">
        <f>BJ110</f>
        <v>45886</v>
      </c>
      <c r="BL110" s="25">
        <v>980</v>
      </c>
      <c r="BM110" s="190" t="s">
        <v>545</v>
      </c>
    </row>
    <row r="111" spans="1:65" ht="14.25" hidden="1" customHeight="1">
      <c r="A111" s="15"/>
      <c r="B111" s="19"/>
      <c r="C111" s="184"/>
      <c r="D111" s="134"/>
      <c r="E111" s="134"/>
      <c r="F111" s="134"/>
      <c r="G111" s="134"/>
      <c r="H111" s="185"/>
      <c r="I111" s="19"/>
      <c r="J111" s="19"/>
      <c r="K111" s="186"/>
      <c r="L111" s="178"/>
      <c r="M111" s="15"/>
      <c r="N111" s="15"/>
      <c r="O111" s="15"/>
      <c r="P111" s="180">
        <f t="shared" si="2"/>
        <v>0</v>
      </c>
      <c r="Q111" s="178"/>
      <c r="R111" s="15"/>
      <c r="S111" s="180"/>
      <c r="T111" s="181"/>
      <c r="U111" s="181"/>
      <c r="V111" s="16">
        <v>280</v>
      </c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82"/>
      <c r="AM111" s="15"/>
      <c r="AN111" s="24"/>
      <c r="AO111" s="24"/>
      <c r="AP111" s="24"/>
      <c r="AQ111" s="24"/>
      <c r="AR111" s="24"/>
      <c r="AS111" s="24"/>
      <c r="AT111" s="24"/>
      <c r="AU111" s="183"/>
      <c r="AV111" s="24"/>
      <c r="AW111" s="24"/>
      <c r="AX111" s="297"/>
      <c r="AY111" s="297"/>
      <c r="AZ111" s="24"/>
      <c r="BA111" s="183"/>
      <c r="BB111" s="24"/>
      <c r="BC111" s="24"/>
      <c r="BD111" s="24"/>
      <c r="BE111" s="24"/>
      <c r="BF111" s="24"/>
      <c r="BG111" s="24"/>
      <c r="BH111" s="183"/>
      <c r="BI111" s="24"/>
      <c r="BJ111" s="24"/>
      <c r="BK111" s="24"/>
      <c r="BL111" s="24"/>
      <c r="BM111" s="24"/>
    </row>
    <row r="112" spans="1:65" ht="14.25" customHeight="1">
      <c r="A112" s="15">
        <v>52</v>
      </c>
      <c r="B112" s="19" t="s">
        <v>118</v>
      </c>
      <c r="C112" s="184" t="s">
        <v>42</v>
      </c>
      <c r="D112" s="134">
        <v>6.3620000000000001</v>
      </c>
      <c r="E112" s="134">
        <f>D112*4</f>
        <v>25.448</v>
      </c>
      <c r="F112" s="134">
        <f>E112*8</f>
        <v>203.584</v>
      </c>
      <c r="G112" s="134"/>
      <c r="H112" s="185"/>
      <c r="I112" s="19"/>
      <c r="J112" s="19"/>
      <c r="K112" s="186"/>
      <c r="L112" s="178">
        <v>2.25</v>
      </c>
      <c r="M112" s="15">
        <v>2.1880000000000002</v>
      </c>
      <c r="N112" s="15">
        <v>2E-3</v>
      </c>
      <c r="O112" s="15">
        <v>0.183</v>
      </c>
      <c r="P112" s="180">
        <f t="shared" si="2"/>
        <v>4.6230000000000002</v>
      </c>
      <c r="Q112" s="178">
        <v>0.24399999999999999</v>
      </c>
      <c r="R112" s="15">
        <v>5.0000000000000001E-3</v>
      </c>
      <c r="S112" s="180">
        <f>SUM(Q112:R112)</f>
        <v>0.249</v>
      </c>
      <c r="T112" s="181" t="s">
        <v>31</v>
      </c>
      <c r="U112" s="181" t="s">
        <v>540</v>
      </c>
      <c r="V112" s="15"/>
      <c r="W112" s="15" t="s">
        <v>571</v>
      </c>
      <c r="X112" s="16">
        <v>147.88</v>
      </c>
      <c r="Y112" s="16">
        <v>1.74</v>
      </c>
      <c r="Z112" s="16">
        <v>12.26</v>
      </c>
      <c r="AA112" s="16">
        <f>Y112+Z112</f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82"/>
      <c r="AM112" s="142" t="s">
        <v>20</v>
      </c>
      <c r="AN112" s="135" t="str">
        <f>AO112</f>
        <v>D</v>
      </c>
      <c r="AO112" s="135" t="s">
        <v>21</v>
      </c>
      <c r="AP112" s="372">
        <f>AQ112-5</f>
        <v>45643</v>
      </c>
      <c r="AQ112" s="372">
        <f>AR112-3</f>
        <v>45648</v>
      </c>
      <c r="AR112" s="372">
        <f>AS112-2</f>
        <v>45651</v>
      </c>
      <c r="AS112" s="372">
        <v>45653</v>
      </c>
      <c r="AT112" s="24" t="s">
        <v>566</v>
      </c>
      <c r="AU112" s="183"/>
      <c r="AV112" s="142" t="s">
        <v>20</v>
      </c>
      <c r="AW112" s="15" t="s">
        <v>548</v>
      </c>
      <c r="AX112" s="297">
        <v>45660</v>
      </c>
      <c r="AY112" s="297">
        <f>AX112</f>
        <v>45660</v>
      </c>
      <c r="AZ112" s="24" t="s">
        <v>566</v>
      </c>
      <c r="BA112" s="183"/>
      <c r="BB112" s="142" t="s">
        <v>20</v>
      </c>
      <c r="BC112" s="135"/>
      <c r="BD112" s="135" t="s">
        <v>21</v>
      </c>
      <c r="BE112" s="298">
        <f>BF112-1</f>
        <v>45750</v>
      </c>
      <c r="BF112" s="298">
        <v>45751</v>
      </c>
      <c r="BG112" s="17" t="s">
        <v>553</v>
      </c>
      <c r="BH112" s="182"/>
      <c r="BI112" s="142" t="s">
        <v>20</v>
      </c>
      <c r="BJ112" s="135">
        <v>45887</v>
      </c>
      <c r="BK112" s="135">
        <f>BJ112</f>
        <v>45887</v>
      </c>
      <c r="BL112" s="25">
        <v>980</v>
      </c>
      <c r="BM112" s="190" t="s">
        <v>545</v>
      </c>
    </row>
    <row r="113" spans="1:66" ht="14.25" hidden="1" customHeight="1">
      <c r="A113" s="15"/>
      <c r="B113" s="19"/>
      <c r="C113" s="184"/>
      <c r="D113" s="134"/>
      <c r="E113" s="134"/>
      <c r="F113" s="134"/>
      <c r="G113" s="134"/>
      <c r="H113" s="185"/>
      <c r="I113" s="19"/>
      <c r="J113" s="19"/>
      <c r="K113" s="186"/>
      <c r="L113" s="178"/>
      <c r="M113" s="15"/>
      <c r="N113" s="15"/>
      <c r="O113" s="15"/>
      <c r="P113" s="180">
        <f t="shared" si="2"/>
        <v>0</v>
      </c>
      <c r="Q113" s="178"/>
      <c r="R113" s="15"/>
      <c r="S113" s="180"/>
      <c r="T113" s="181"/>
      <c r="U113" s="181"/>
      <c r="V113" s="16">
        <v>255.14</v>
      </c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82"/>
      <c r="AM113" s="15"/>
      <c r="AN113" s="24"/>
      <c r="AO113" s="24"/>
      <c r="AP113" s="24"/>
      <c r="AQ113" s="24"/>
      <c r="AR113" s="24"/>
      <c r="AS113" s="24"/>
      <c r="AT113" s="24"/>
      <c r="AU113" s="183"/>
      <c r="AV113" s="24"/>
      <c r="AW113" s="24"/>
      <c r="AX113" s="297"/>
      <c r="AY113" s="297"/>
      <c r="AZ113" s="24"/>
      <c r="BA113" s="183"/>
      <c r="BB113" s="24"/>
      <c r="BC113" s="24"/>
      <c r="BD113" s="24"/>
      <c r="BE113" s="24"/>
      <c r="BF113" s="24"/>
      <c r="BG113" s="24"/>
      <c r="BH113" s="183"/>
      <c r="BI113" s="24"/>
      <c r="BJ113" s="24"/>
      <c r="BK113" s="24"/>
      <c r="BL113" s="24"/>
      <c r="BM113" s="24"/>
      <c r="BN113" s="24"/>
    </row>
    <row r="114" spans="1:66" ht="14.25" customHeight="1">
      <c r="A114" s="15">
        <v>53</v>
      </c>
      <c r="B114" s="19" t="s">
        <v>120</v>
      </c>
      <c r="C114" s="184" t="s">
        <v>34</v>
      </c>
      <c r="D114" s="134">
        <v>9.6539999999999999</v>
      </c>
      <c r="E114" s="134">
        <f>D114*4</f>
        <v>38.616</v>
      </c>
      <c r="F114" s="134">
        <f>E114*8</f>
        <v>308.928</v>
      </c>
      <c r="G114" s="134"/>
      <c r="H114" s="185"/>
      <c r="I114" s="19"/>
      <c r="J114" s="19"/>
      <c r="K114" s="186"/>
      <c r="L114" s="178">
        <v>4.8070000000000004</v>
      </c>
      <c r="M114" s="15">
        <v>4.016</v>
      </c>
      <c r="N114" s="15">
        <v>7.0000000000000001E-3</v>
      </c>
      <c r="O114" s="15">
        <v>0.43099999999999999</v>
      </c>
      <c r="P114" s="180">
        <f t="shared" si="2"/>
        <v>9.2609999999999992</v>
      </c>
      <c r="Q114" s="178">
        <v>0.55700000000000005</v>
      </c>
      <c r="R114" s="15">
        <v>0.01</v>
      </c>
      <c r="S114" s="180">
        <f>SUM(Q114:R114)</f>
        <v>0.56700000000000006</v>
      </c>
      <c r="T114" s="181" t="s">
        <v>119</v>
      </c>
      <c r="U114" s="181" t="s">
        <v>540</v>
      </c>
      <c r="V114" s="15"/>
      <c r="W114" s="15" t="s">
        <v>504</v>
      </c>
      <c r="X114" s="15">
        <v>119.36</v>
      </c>
      <c r="Y114" s="15">
        <v>2.0499999999999998</v>
      </c>
      <c r="Z114" s="15">
        <v>18.37</v>
      </c>
      <c r="AA114" s="15">
        <v>20.420000000000002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82"/>
      <c r="AM114" s="142" t="s">
        <v>20</v>
      </c>
      <c r="AN114" s="135" t="s">
        <v>552</v>
      </c>
      <c r="AO114" s="135" t="s">
        <v>21</v>
      </c>
      <c r="AP114" s="372">
        <f>AQ114-3</f>
        <v>45782</v>
      </c>
      <c r="AQ114" s="372">
        <f t="shared" ref="AQ114:AR114" si="34">AR114-2</f>
        <v>45785</v>
      </c>
      <c r="AR114" s="372">
        <f t="shared" si="34"/>
        <v>45787</v>
      </c>
      <c r="AS114" s="372">
        <v>45789</v>
      </c>
      <c r="AT114" s="24" t="s">
        <v>542</v>
      </c>
      <c r="AU114" s="183"/>
      <c r="AV114" s="142" t="s">
        <v>20</v>
      </c>
      <c r="AW114" s="15" t="s">
        <v>6</v>
      </c>
      <c r="AX114" s="297">
        <f>AY114</f>
        <v>45797</v>
      </c>
      <c r="AY114" s="297">
        <v>45797</v>
      </c>
      <c r="AZ114" s="24" t="str">
        <f>AT114</f>
        <v>Ram Singh</v>
      </c>
      <c r="BA114" s="183"/>
      <c r="BB114" s="142" t="s">
        <v>20</v>
      </c>
      <c r="BC114" s="135"/>
      <c r="BD114" s="135" t="s">
        <v>21</v>
      </c>
      <c r="BE114" s="298">
        <f>BF114-2</f>
        <v>45812</v>
      </c>
      <c r="BF114" s="298">
        <v>45814</v>
      </c>
      <c r="BG114" s="17" t="s">
        <v>553</v>
      </c>
      <c r="BH114" s="182"/>
      <c r="BI114" s="142" t="s">
        <v>20</v>
      </c>
      <c r="BJ114" s="135"/>
      <c r="BK114" s="135"/>
      <c r="BL114" s="25">
        <v>1202</v>
      </c>
      <c r="BM114" s="24"/>
      <c r="BN114" s="17"/>
    </row>
    <row r="115" spans="1:66" ht="14.25" hidden="1" customHeight="1">
      <c r="A115" s="15"/>
      <c r="B115" s="19"/>
      <c r="C115" s="184"/>
      <c r="D115" s="134"/>
      <c r="E115" s="134"/>
      <c r="F115" s="134"/>
      <c r="G115" s="134"/>
      <c r="H115" s="185"/>
      <c r="I115" s="19"/>
      <c r="J115" s="19"/>
      <c r="K115" s="186"/>
      <c r="L115" s="178"/>
      <c r="M115" s="15"/>
      <c r="N115" s="15"/>
      <c r="O115" s="15"/>
      <c r="P115" s="180">
        <f t="shared" si="2"/>
        <v>0</v>
      </c>
      <c r="Q115" s="178"/>
      <c r="R115" s="15"/>
      <c r="S115" s="180"/>
      <c r="T115" s="181"/>
      <c r="U115" s="181"/>
      <c r="V115" s="16">
        <v>318.76</v>
      </c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82"/>
      <c r="AM115" s="15"/>
      <c r="AN115" s="24"/>
      <c r="AO115" s="24"/>
      <c r="AP115" s="24"/>
      <c r="AQ115" s="24"/>
      <c r="AR115" s="24"/>
      <c r="AS115" s="24"/>
      <c r="AT115" s="24"/>
      <c r="AU115" s="183"/>
      <c r="AV115" s="24"/>
      <c r="AW115" s="24"/>
      <c r="AX115" s="297"/>
      <c r="AY115" s="297"/>
      <c r="AZ115" s="24"/>
      <c r="BA115" s="183"/>
      <c r="BB115" s="24"/>
      <c r="BC115" s="24"/>
      <c r="BD115" s="24"/>
      <c r="BE115" s="24"/>
      <c r="BF115" s="24"/>
      <c r="BG115" s="24"/>
      <c r="BH115" s="183"/>
      <c r="BI115" s="24"/>
      <c r="BJ115" s="24"/>
      <c r="BK115" s="24"/>
      <c r="BL115" s="24"/>
      <c r="BM115" s="24"/>
      <c r="BN115" s="24"/>
    </row>
    <row r="116" spans="1:66" ht="14.25" customHeight="1">
      <c r="A116" s="15">
        <v>54</v>
      </c>
      <c r="B116" s="19" t="s">
        <v>122</v>
      </c>
      <c r="C116" s="184" t="s">
        <v>34</v>
      </c>
      <c r="D116" s="134">
        <v>9.6539999999999999</v>
      </c>
      <c r="E116" s="134">
        <f>D116*4</f>
        <v>38.616</v>
      </c>
      <c r="F116" s="134">
        <f>E116*8</f>
        <v>308.928</v>
      </c>
      <c r="G116" s="134"/>
      <c r="H116" s="185"/>
      <c r="I116" s="19"/>
      <c r="J116" s="19"/>
      <c r="K116" s="186"/>
      <c r="L116" s="178">
        <v>4.8070000000000004</v>
      </c>
      <c r="M116" s="15">
        <v>4.016</v>
      </c>
      <c r="N116" s="15">
        <v>7.0000000000000001E-3</v>
      </c>
      <c r="O116" s="15">
        <v>0.43099999999999999</v>
      </c>
      <c r="P116" s="180">
        <f t="shared" si="2"/>
        <v>9.2609999999999992</v>
      </c>
      <c r="Q116" s="178">
        <v>0.55700000000000005</v>
      </c>
      <c r="R116" s="15">
        <v>0.01</v>
      </c>
      <c r="S116" s="180">
        <f>SUM(Q116:R116)</f>
        <v>0.56700000000000006</v>
      </c>
      <c r="T116" s="181" t="s">
        <v>121</v>
      </c>
      <c r="U116" s="181" t="s">
        <v>540</v>
      </c>
      <c r="V116" s="15"/>
      <c r="W116" s="15" t="s">
        <v>541</v>
      </c>
      <c r="X116" s="15">
        <v>220.64</v>
      </c>
      <c r="Y116" s="15">
        <v>3.61</v>
      </c>
      <c r="Z116" s="15">
        <v>27.92</v>
      </c>
      <c r="AA116" s="15"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82"/>
      <c r="AM116" s="142" t="s">
        <v>20</v>
      </c>
      <c r="AN116" s="135" t="str">
        <f>AO116</f>
        <v>D</v>
      </c>
      <c r="AO116" s="135" t="s">
        <v>21</v>
      </c>
      <c r="AP116" s="372">
        <v>45636</v>
      </c>
      <c r="AQ116" s="372">
        <f>AR116-2</f>
        <v>45670</v>
      </c>
      <c r="AR116" s="372">
        <f>AS116-1</f>
        <v>45672</v>
      </c>
      <c r="AS116" s="372">
        <v>45673</v>
      </c>
      <c r="AT116" s="24" t="s">
        <v>566</v>
      </c>
      <c r="AU116" s="183"/>
      <c r="AV116" s="142" t="s">
        <v>20</v>
      </c>
      <c r="AW116" s="15" t="s">
        <v>6</v>
      </c>
      <c r="AX116" s="297">
        <v>45660</v>
      </c>
      <c r="AY116" s="297">
        <f>AX116</f>
        <v>45660</v>
      </c>
      <c r="AZ116" s="24" t="s">
        <v>566</v>
      </c>
      <c r="BA116" s="183"/>
      <c r="BB116" s="142" t="s">
        <v>20</v>
      </c>
      <c r="BC116" s="135"/>
      <c r="BD116" s="135" t="s">
        <v>25</v>
      </c>
      <c r="BE116" s="298">
        <f>BF116-2</f>
        <v>45762</v>
      </c>
      <c r="BF116" s="298">
        <v>45764</v>
      </c>
      <c r="BG116" s="17" t="s">
        <v>553</v>
      </c>
      <c r="BH116" s="193"/>
      <c r="BI116" s="15"/>
      <c r="BJ116" s="135"/>
      <c r="BK116" s="135"/>
      <c r="BL116" s="25">
        <v>1202</v>
      </c>
      <c r="BM116" s="24"/>
      <c r="BN116" s="24"/>
    </row>
    <row r="117" spans="1:66" ht="14.25" hidden="1" customHeight="1">
      <c r="A117" s="15"/>
      <c r="B117" s="19"/>
      <c r="C117" s="184"/>
      <c r="D117" s="134"/>
      <c r="E117" s="134"/>
      <c r="F117" s="134"/>
      <c r="G117" s="134"/>
      <c r="H117" s="185"/>
      <c r="I117" s="19"/>
      <c r="J117" s="19"/>
      <c r="K117" s="186"/>
      <c r="L117" s="178"/>
      <c r="M117" s="15"/>
      <c r="N117" s="15"/>
      <c r="O117" s="15"/>
      <c r="P117" s="180">
        <f t="shared" si="2"/>
        <v>0</v>
      </c>
      <c r="Q117" s="178"/>
      <c r="R117" s="15"/>
      <c r="S117" s="180"/>
      <c r="T117" s="181"/>
      <c r="U117" s="181"/>
      <c r="V117" s="16">
        <v>403.71</v>
      </c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82"/>
      <c r="AM117" s="15"/>
      <c r="AN117" s="24"/>
      <c r="AO117" s="24"/>
      <c r="AP117" s="24"/>
      <c r="AQ117" s="24"/>
      <c r="AR117" s="24"/>
      <c r="AS117" s="24"/>
      <c r="AT117" s="24"/>
      <c r="AU117" s="183"/>
      <c r="AV117" s="24"/>
      <c r="AW117" s="24"/>
      <c r="AX117" s="297"/>
      <c r="AY117" s="297"/>
      <c r="AZ117" s="24"/>
      <c r="BA117" s="183"/>
      <c r="BB117" s="24"/>
      <c r="BC117" s="24"/>
      <c r="BD117" s="24"/>
      <c r="BE117" s="24"/>
      <c r="BF117" s="24"/>
      <c r="BG117" s="24"/>
      <c r="BH117" s="183"/>
      <c r="BI117" s="24"/>
      <c r="BJ117" s="24"/>
      <c r="BK117" s="24"/>
      <c r="BL117" s="24"/>
      <c r="BM117" s="24"/>
      <c r="BN117" s="24"/>
    </row>
    <row r="118" spans="1:66" ht="14.25" customHeight="1">
      <c r="A118" s="15">
        <v>55</v>
      </c>
      <c r="B118" s="19" t="s">
        <v>123</v>
      </c>
      <c r="C118" s="184" t="s">
        <v>54</v>
      </c>
      <c r="D118" s="134">
        <v>13.257999999999999</v>
      </c>
      <c r="E118" s="134">
        <f>D118*4</f>
        <v>53.031999999999996</v>
      </c>
      <c r="F118" s="134">
        <f>E118*8</f>
        <v>424.25599999999997</v>
      </c>
      <c r="G118" s="134"/>
      <c r="H118" s="185"/>
      <c r="I118" s="19"/>
      <c r="J118" s="19"/>
      <c r="K118" s="186"/>
      <c r="L118" s="178">
        <v>6.0579999999999998</v>
      </c>
      <c r="M118" s="15">
        <v>5.8739999999999997</v>
      </c>
      <c r="N118" s="15">
        <v>7.7000000000000002E-3</v>
      </c>
      <c r="O118" s="15">
        <v>0.56299999999999994</v>
      </c>
      <c r="P118" s="180">
        <f t="shared" si="2"/>
        <v>12.502699999999999</v>
      </c>
      <c r="Q118" s="178">
        <v>0.55700000000000005</v>
      </c>
      <c r="R118" s="15">
        <v>0.01</v>
      </c>
      <c r="S118" s="180">
        <f>SUM(Q118:R118)</f>
        <v>0.56700000000000006</v>
      </c>
      <c r="T118" s="181" t="s">
        <v>31</v>
      </c>
      <c r="U118" s="181" t="s">
        <v>540</v>
      </c>
      <c r="V118" s="15"/>
      <c r="W118" s="15" t="s">
        <v>504</v>
      </c>
      <c r="X118" s="15">
        <v>119.36</v>
      </c>
      <c r="Y118" s="15">
        <v>2.0499999999999998</v>
      </c>
      <c r="Z118" s="15">
        <v>18.37</v>
      </c>
      <c r="AA118" s="15">
        <v>20.420000000000002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82"/>
      <c r="AM118" s="142" t="s">
        <v>20</v>
      </c>
      <c r="AN118" s="135"/>
      <c r="AO118" s="135"/>
      <c r="AP118" s="372">
        <f>AQ120</f>
        <v>45979</v>
      </c>
      <c r="AQ118" s="372">
        <v>45984</v>
      </c>
      <c r="AR118" s="372"/>
      <c r="AS118" s="372"/>
      <c r="AT118" s="24" t="s">
        <v>572</v>
      </c>
      <c r="AU118" s="183"/>
      <c r="AV118" s="142" t="s">
        <v>20</v>
      </c>
      <c r="AW118" s="15"/>
      <c r="AX118" s="297"/>
      <c r="AY118" s="297"/>
      <c r="AZ118" s="24"/>
      <c r="BA118" s="183"/>
      <c r="BB118" s="142" t="s">
        <v>20</v>
      </c>
      <c r="BC118" s="135"/>
      <c r="BD118" s="135"/>
      <c r="BE118" s="298">
        <v>45995</v>
      </c>
      <c r="BF118" s="298">
        <v>45998</v>
      </c>
      <c r="BG118" s="17"/>
      <c r="BH118" s="194"/>
      <c r="BI118" s="15"/>
      <c r="BJ118" s="135"/>
      <c r="BK118" s="135"/>
      <c r="BL118" s="25">
        <v>2008</v>
      </c>
      <c r="BM118" s="24"/>
      <c r="BN118" s="24"/>
    </row>
    <row r="119" spans="1:66" ht="14.25" hidden="1" customHeight="1">
      <c r="A119" s="15"/>
      <c r="B119" s="19"/>
      <c r="C119" s="184"/>
      <c r="D119" s="134"/>
      <c r="E119" s="134"/>
      <c r="F119" s="134"/>
      <c r="G119" s="134"/>
      <c r="H119" s="185"/>
      <c r="I119" s="19"/>
      <c r="J119" s="19"/>
      <c r="K119" s="186"/>
      <c r="L119" s="178"/>
      <c r="M119" s="15"/>
      <c r="N119" s="15"/>
      <c r="O119" s="15"/>
      <c r="P119" s="180">
        <f t="shared" si="2"/>
        <v>0</v>
      </c>
      <c r="Q119" s="178"/>
      <c r="R119" s="15"/>
      <c r="S119" s="180"/>
      <c r="T119" s="181"/>
      <c r="U119" s="181"/>
      <c r="V119" s="16">
        <v>302.58</v>
      </c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82"/>
      <c r="AM119" s="15"/>
      <c r="AN119" s="24"/>
      <c r="AO119" s="24"/>
      <c r="AP119" s="24"/>
      <c r="AQ119" s="24"/>
      <c r="AR119" s="24"/>
      <c r="AS119" s="24"/>
      <c r="AT119" s="24"/>
      <c r="AU119" s="183"/>
      <c r="AV119" s="24"/>
      <c r="AW119" s="24"/>
      <c r="AX119" s="297"/>
      <c r="AY119" s="297"/>
      <c r="AZ119" s="24"/>
      <c r="BA119" s="183"/>
      <c r="BB119" s="24"/>
      <c r="BC119" s="24"/>
      <c r="BD119" s="24"/>
      <c r="BE119" s="24"/>
      <c r="BF119" s="24"/>
      <c r="BG119" s="24"/>
      <c r="BH119" s="183"/>
      <c r="BI119" s="24"/>
      <c r="BJ119" s="24"/>
      <c r="BK119" s="24"/>
      <c r="BL119" s="24"/>
      <c r="BM119" s="24"/>
      <c r="BN119" s="24"/>
    </row>
    <row r="120" spans="1:66" ht="14.25" customHeight="1">
      <c r="A120" s="15">
        <v>56</v>
      </c>
      <c r="B120" s="19" t="s">
        <v>124</v>
      </c>
      <c r="C120" s="184" t="s">
        <v>56</v>
      </c>
      <c r="D120" s="134">
        <v>7.6219999999999999</v>
      </c>
      <c r="E120" s="134">
        <f>D120*4</f>
        <v>30.488</v>
      </c>
      <c r="F120" s="134">
        <f>E120*8</f>
        <v>243.904</v>
      </c>
      <c r="G120" s="134"/>
      <c r="H120" s="185"/>
      <c r="I120" s="19"/>
      <c r="J120" s="19"/>
      <c r="K120" s="186"/>
      <c r="L120" s="178">
        <v>2.6789999999999998</v>
      </c>
      <c r="M120" s="15">
        <v>3.133</v>
      </c>
      <c r="N120" s="15">
        <v>2.3E-3</v>
      </c>
      <c r="O120" s="15">
        <v>0.23299999999999998</v>
      </c>
      <c r="P120" s="180">
        <f t="shared" si="2"/>
        <v>6.047299999999999</v>
      </c>
      <c r="Q120" s="178">
        <v>0.24399999999999999</v>
      </c>
      <c r="R120" s="15">
        <v>5.0000000000000001E-3</v>
      </c>
      <c r="S120" s="180">
        <f>SUM(Q120:R120)</f>
        <v>0.249</v>
      </c>
      <c r="T120" s="181" t="s">
        <v>31</v>
      </c>
      <c r="U120" s="181" t="s">
        <v>540</v>
      </c>
      <c r="V120" s="15"/>
      <c r="W120" s="15" t="s">
        <v>504</v>
      </c>
      <c r="X120" s="15">
        <v>41.44</v>
      </c>
      <c r="Y120" s="15">
        <v>0.8</v>
      </c>
      <c r="Z120" s="15">
        <v>7.8</v>
      </c>
      <c r="AA120" s="15">
        <v>8.6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82"/>
      <c r="AM120" s="142" t="s">
        <v>20</v>
      </c>
      <c r="AN120" s="135"/>
      <c r="AO120" s="135"/>
      <c r="AP120" s="372">
        <f t="shared" ref="AP120:AQ120" si="35">AQ120-2</f>
        <v>45977</v>
      </c>
      <c r="AQ120" s="372">
        <f t="shared" si="35"/>
        <v>45979</v>
      </c>
      <c r="AR120" s="372">
        <f>AS120</f>
        <v>45981</v>
      </c>
      <c r="AS120" s="372">
        <v>45981</v>
      </c>
      <c r="AT120" s="24" t="s">
        <v>573</v>
      </c>
      <c r="AU120" s="183"/>
      <c r="AV120" s="142" t="s">
        <v>20</v>
      </c>
      <c r="AW120" s="15"/>
      <c r="AX120" s="297"/>
      <c r="AY120" s="297"/>
      <c r="AZ120" s="24"/>
      <c r="BA120" s="183"/>
      <c r="BB120" s="142" t="s">
        <v>20</v>
      </c>
      <c r="BC120" s="135"/>
      <c r="BD120" s="135"/>
      <c r="BE120" s="298">
        <v>45988</v>
      </c>
      <c r="BF120" s="298">
        <v>45990</v>
      </c>
      <c r="BG120" s="17"/>
      <c r="BH120" s="194"/>
      <c r="BI120" s="15"/>
      <c r="BJ120" s="135"/>
      <c r="BK120" s="135"/>
      <c r="BL120" s="25">
        <v>1545</v>
      </c>
      <c r="BM120" s="24"/>
      <c r="BN120" s="24"/>
    </row>
    <row r="121" spans="1:66" ht="14.25" hidden="1" customHeight="1">
      <c r="A121" s="15"/>
      <c r="B121" s="19"/>
      <c r="C121" s="184"/>
      <c r="D121" s="134"/>
      <c r="E121" s="134"/>
      <c r="F121" s="134"/>
      <c r="G121" s="134"/>
      <c r="H121" s="185"/>
      <c r="I121" s="19"/>
      <c r="J121" s="19"/>
      <c r="K121" s="186"/>
      <c r="L121" s="178"/>
      <c r="M121" s="15"/>
      <c r="N121" s="15"/>
      <c r="O121" s="15"/>
      <c r="P121" s="180">
        <f t="shared" si="2"/>
        <v>0</v>
      </c>
      <c r="Q121" s="178"/>
      <c r="R121" s="15"/>
      <c r="S121" s="180"/>
      <c r="T121" s="181"/>
      <c r="U121" s="181"/>
      <c r="V121" s="16">
        <v>283</v>
      </c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82"/>
      <c r="AM121" s="15"/>
      <c r="AN121" s="24"/>
      <c r="AO121" s="24"/>
      <c r="AP121" s="24"/>
      <c r="AQ121" s="24"/>
      <c r="AR121" s="24"/>
      <c r="AS121" s="24"/>
      <c r="AT121" s="24"/>
      <c r="AU121" s="183"/>
      <c r="AV121" s="24"/>
      <c r="AW121" s="24"/>
      <c r="AX121" s="297"/>
      <c r="AY121" s="297"/>
      <c r="AZ121" s="24"/>
      <c r="BA121" s="183"/>
      <c r="BB121" s="24"/>
      <c r="BC121" s="24"/>
      <c r="BD121" s="24"/>
      <c r="BE121" s="24"/>
      <c r="BF121" s="24"/>
      <c r="BG121" s="24"/>
      <c r="BH121" s="183"/>
      <c r="BI121" s="24"/>
      <c r="BJ121" s="24"/>
      <c r="BK121" s="24"/>
      <c r="BL121" s="24"/>
      <c r="BM121" s="24"/>
      <c r="BN121" s="24"/>
    </row>
    <row r="122" spans="1:66" ht="14.25" customHeight="1">
      <c r="A122" s="15">
        <v>57</v>
      </c>
      <c r="B122" s="19" t="s">
        <v>574</v>
      </c>
      <c r="C122" s="184" t="s">
        <v>37</v>
      </c>
      <c r="D122" s="134">
        <v>6.992</v>
      </c>
      <c r="E122" s="134">
        <f>D122*4</f>
        <v>27.968</v>
      </c>
      <c r="F122" s="134">
        <f>E122*8</f>
        <v>223.744</v>
      </c>
      <c r="G122" s="134"/>
      <c r="H122" s="185"/>
      <c r="I122" s="19"/>
      <c r="J122" s="19"/>
      <c r="K122" s="186"/>
      <c r="L122" s="178">
        <v>2.6789999999999998</v>
      </c>
      <c r="M122" s="15">
        <v>3.133</v>
      </c>
      <c r="N122" s="15">
        <v>2.3E-3</v>
      </c>
      <c r="O122" s="15">
        <v>0.23299999999999998</v>
      </c>
      <c r="P122" s="180">
        <f t="shared" si="2"/>
        <v>6.047299999999999</v>
      </c>
      <c r="Q122" s="178">
        <v>0.24399999999999999</v>
      </c>
      <c r="R122" s="15">
        <v>5.0000000000000001E-3</v>
      </c>
      <c r="S122" s="180">
        <f>SUM(Q122:R122)</f>
        <v>0.249</v>
      </c>
      <c r="T122" s="181" t="s">
        <v>31</v>
      </c>
      <c r="U122" s="181" t="s">
        <v>540</v>
      </c>
      <c r="V122" s="15"/>
      <c r="W122" s="15" t="s">
        <v>504</v>
      </c>
      <c r="X122" s="15">
        <v>41.44</v>
      </c>
      <c r="Y122" s="15">
        <v>0.8</v>
      </c>
      <c r="Z122" s="15">
        <v>7.8</v>
      </c>
      <c r="AA122" s="15">
        <v>8.6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82"/>
      <c r="AM122" s="142" t="s">
        <v>20</v>
      </c>
      <c r="AN122" s="24"/>
      <c r="AO122" s="24"/>
      <c r="AP122" s="372">
        <v>45986</v>
      </c>
      <c r="AQ122" s="372">
        <v>45992</v>
      </c>
      <c r="AR122" s="372">
        <v>45988</v>
      </c>
      <c r="AS122" s="372">
        <v>45994</v>
      </c>
      <c r="AT122" s="24" t="s">
        <v>573</v>
      </c>
      <c r="AU122" s="183"/>
      <c r="AV122" s="142" t="s">
        <v>20</v>
      </c>
      <c r="AW122" s="24"/>
      <c r="AX122" s="297"/>
      <c r="AY122" s="297"/>
      <c r="AZ122" s="24"/>
      <c r="BA122" s="183"/>
      <c r="BB122" s="142" t="s">
        <v>20</v>
      </c>
      <c r="BC122" s="24"/>
      <c r="BD122" s="24"/>
      <c r="BE122" s="298">
        <f>BF118</f>
        <v>45998</v>
      </c>
      <c r="BF122" s="298">
        <f>BE122+1</f>
        <v>45999</v>
      </c>
      <c r="BG122" s="24"/>
      <c r="BH122" s="183"/>
      <c r="BI122" s="24"/>
      <c r="BJ122" s="24"/>
      <c r="BK122" s="24"/>
      <c r="BL122" s="25">
        <v>1330</v>
      </c>
      <c r="BM122" s="24"/>
      <c r="BN122" s="24"/>
    </row>
    <row r="123" spans="1:66" ht="14.25" hidden="1" customHeight="1">
      <c r="A123" s="15"/>
      <c r="B123" s="19"/>
      <c r="C123" s="184"/>
      <c r="D123" s="134"/>
      <c r="E123" s="134"/>
      <c r="F123" s="134"/>
      <c r="G123" s="134"/>
      <c r="H123" s="185"/>
      <c r="I123" s="19"/>
      <c r="J123" s="19"/>
      <c r="K123" s="186"/>
      <c r="L123" s="178"/>
      <c r="M123" s="15"/>
      <c r="N123" s="15"/>
      <c r="O123" s="15"/>
      <c r="P123" s="180"/>
      <c r="Q123" s="178"/>
      <c r="R123" s="15"/>
      <c r="S123" s="180"/>
      <c r="T123" s="181"/>
      <c r="U123" s="181"/>
      <c r="V123" s="16">
        <v>462</v>
      </c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82"/>
      <c r="AM123" s="15"/>
      <c r="AN123" s="24"/>
      <c r="AO123" s="24"/>
      <c r="AP123" s="24"/>
      <c r="AQ123" s="24"/>
      <c r="AR123" s="24"/>
      <c r="AS123" s="24"/>
      <c r="AT123" s="24"/>
      <c r="AU123" s="183"/>
      <c r="AV123" s="24"/>
      <c r="AW123" s="24"/>
      <c r="AX123" s="297"/>
      <c r="AY123" s="297"/>
      <c r="AZ123" s="24"/>
      <c r="BA123" s="183"/>
      <c r="BB123" s="24"/>
      <c r="BC123" s="24"/>
      <c r="BD123" s="24"/>
      <c r="BE123" s="24"/>
      <c r="BF123" s="24"/>
      <c r="BG123" s="24"/>
      <c r="BH123" s="183"/>
      <c r="BI123" s="24"/>
      <c r="BJ123" s="24"/>
      <c r="BK123" s="24"/>
      <c r="BL123" s="24"/>
      <c r="BM123" s="24"/>
      <c r="BN123" s="24"/>
    </row>
    <row r="124" spans="1:66" ht="14.25" customHeight="1">
      <c r="A124" s="15">
        <v>58</v>
      </c>
      <c r="B124" s="19" t="s">
        <v>125</v>
      </c>
      <c r="C124" s="184" t="s">
        <v>76</v>
      </c>
      <c r="D124" s="134">
        <v>7.71</v>
      </c>
      <c r="E124" s="134">
        <f>D124*4</f>
        <v>30.84</v>
      </c>
      <c r="F124" s="134">
        <f>E124*8</f>
        <v>246.72</v>
      </c>
      <c r="G124" s="134"/>
      <c r="H124" s="185"/>
      <c r="I124" s="19"/>
      <c r="J124" s="19"/>
      <c r="K124" s="186"/>
      <c r="L124" s="178">
        <v>3.452</v>
      </c>
      <c r="M124" s="15">
        <v>2.633</v>
      </c>
      <c r="N124" s="15">
        <v>4.0000000000000001E-3</v>
      </c>
      <c r="O124" s="15">
        <v>0.24099999999999999</v>
      </c>
      <c r="P124" s="180">
        <f t="shared" ref="P124:P348" si="36">SUM(L124:O124)</f>
        <v>6.3299999999999992</v>
      </c>
      <c r="Q124" s="178">
        <v>0.36299999999999999</v>
      </c>
      <c r="R124" s="15">
        <v>6.0000000000000001E-3</v>
      </c>
      <c r="S124" s="180">
        <f>SUM(Q124:R124)</f>
        <v>0.36899999999999999</v>
      </c>
      <c r="T124" s="181" t="s">
        <v>31</v>
      </c>
      <c r="U124" s="181" t="s">
        <v>540</v>
      </c>
      <c r="V124" s="15"/>
      <c r="W124" s="15" t="s">
        <v>504</v>
      </c>
      <c r="X124" s="15">
        <v>51.64</v>
      </c>
      <c r="Y124" s="15">
        <v>0.97</v>
      </c>
      <c r="Z124" s="15">
        <v>9.82</v>
      </c>
      <c r="AA124" s="15"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82"/>
      <c r="AM124" s="142" t="s">
        <v>20</v>
      </c>
      <c r="AN124" s="135"/>
      <c r="AO124" s="135"/>
      <c r="AP124" s="372">
        <f>AQ124-3</f>
        <v>45903</v>
      </c>
      <c r="AQ124" s="372">
        <f t="shared" ref="AQ124:AR124" si="37">AR124-2</f>
        <v>45906</v>
      </c>
      <c r="AR124" s="372">
        <f t="shared" si="37"/>
        <v>45908</v>
      </c>
      <c r="AS124" s="372">
        <v>45910</v>
      </c>
      <c r="AT124" s="24" t="s">
        <v>542</v>
      </c>
      <c r="AU124" s="183"/>
      <c r="AV124" s="142" t="s">
        <v>20</v>
      </c>
      <c r="AW124" s="15" t="s">
        <v>6</v>
      </c>
      <c r="AX124" s="297">
        <f>AS124+2</f>
        <v>45912</v>
      </c>
      <c r="AY124" s="297">
        <f>AX124</f>
        <v>45912</v>
      </c>
      <c r="AZ124" s="24" t="str">
        <f>AT124</f>
        <v>Ram Singh</v>
      </c>
      <c r="BA124" s="183"/>
      <c r="BB124" s="142" t="s">
        <v>20</v>
      </c>
      <c r="BC124" s="135"/>
      <c r="BD124" s="135"/>
      <c r="BE124" s="298">
        <v>45987</v>
      </c>
      <c r="BF124" s="298">
        <v>45988</v>
      </c>
      <c r="BG124" s="25" t="s">
        <v>510</v>
      </c>
      <c r="BH124" s="194"/>
      <c r="BI124" s="15"/>
      <c r="BJ124" s="135"/>
      <c r="BK124" s="135"/>
      <c r="BL124" s="25">
        <v>1252</v>
      </c>
      <c r="BM124" s="24"/>
      <c r="BN124" s="24"/>
    </row>
    <row r="125" spans="1:66" ht="14.25" hidden="1" customHeight="1">
      <c r="A125" s="15"/>
      <c r="B125" s="19"/>
      <c r="C125" s="184"/>
      <c r="D125" s="134"/>
      <c r="E125" s="134"/>
      <c r="F125" s="134"/>
      <c r="G125" s="134"/>
      <c r="H125" s="185"/>
      <c r="I125" s="19"/>
      <c r="J125" s="19"/>
      <c r="K125" s="186"/>
      <c r="L125" s="178"/>
      <c r="M125" s="15"/>
      <c r="N125" s="15"/>
      <c r="O125" s="15"/>
      <c r="P125" s="180">
        <f t="shared" si="36"/>
        <v>0</v>
      </c>
      <c r="Q125" s="178"/>
      <c r="R125" s="15"/>
      <c r="S125" s="180"/>
      <c r="T125" s="181"/>
      <c r="U125" s="181"/>
      <c r="V125" s="16">
        <v>459</v>
      </c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82"/>
      <c r="AM125" s="15"/>
      <c r="AN125" s="24"/>
      <c r="AO125" s="24"/>
      <c r="AP125" s="24"/>
      <c r="AQ125" s="24"/>
      <c r="AR125" s="24"/>
      <c r="AS125" s="24"/>
      <c r="AT125" s="24"/>
      <c r="AU125" s="183"/>
      <c r="AV125" s="24"/>
      <c r="AW125" s="24"/>
      <c r="AX125" s="297"/>
      <c r="AY125" s="297"/>
      <c r="AZ125" s="24"/>
      <c r="BA125" s="183"/>
      <c r="BB125" s="24"/>
      <c r="BC125" s="24"/>
      <c r="BD125" s="24"/>
      <c r="BE125" s="24"/>
      <c r="BF125" s="24"/>
      <c r="BG125" s="24"/>
      <c r="BH125" s="183"/>
      <c r="BI125" s="24"/>
      <c r="BJ125" s="24"/>
      <c r="BK125" s="24"/>
      <c r="BL125" s="24"/>
      <c r="BM125" s="24"/>
      <c r="BN125" s="24"/>
    </row>
    <row r="126" spans="1:66" ht="14.25" customHeight="1">
      <c r="A126" s="15">
        <v>59</v>
      </c>
      <c r="B126" s="19" t="s">
        <v>126</v>
      </c>
      <c r="C126" s="184" t="s">
        <v>89</v>
      </c>
      <c r="D126" s="134">
        <v>8.6300000000000008</v>
      </c>
      <c r="E126" s="134">
        <f>D126*4</f>
        <v>34.520000000000003</v>
      </c>
      <c r="F126" s="134">
        <f>E126*8</f>
        <v>276.16000000000003</v>
      </c>
      <c r="G126" s="134"/>
      <c r="H126" s="185"/>
      <c r="I126" s="19"/>
      <c r="J126" s="19"/>
      <c r="K126" s="186"/>
      <c r="L126" s="178">
        <v>3.867</v>
      </c>
      <c r="M126" s="15">
        <v>3.306</v>
      </c>
      <c r="N126" s="15">
        <v>4.3E-3</v>
      </c>
      <c r="O126" s="15">
        <v>0.27500000000000002</v>
      </c>
      <c r="P126" s="180">
        <f t="shared" si="36"/>
        <v>7.4523000000000001</v>
      </c>
      <c r="Q126" s="178">
        <v>0.36299999999999999</v>
      </c>
      <c r="R126" s="15">
        <v>6.0000000000000001E-3</v>
      </c>
      <c r="S126" s="180">
        <f>SUM(Q126:R126)</f>
        <v>0.36899999999999999</v>
      </c>
      <c r="T126" s="181" t="s">
        <v>31</v>
      </c>
      <c r="U126" s="181" t="s">
        <v>540</v>
      </c>
      <c r="V126" s="15"/>
      <c r="W126" s="15" t="s">
        <v>504</v>
      </c>
      <c r="X126" s="15">
        <v>51.64</v>
      </c>
      <c r="Y126" s="15">
        <v>0.97</v>
      </c>
      <c r="Z126" s="15">
        <v>9.82</v>
      </c>
      <c r="AA126" s="15"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82"/>
      <c r="AM126" s="142" t="s">
        <v>20</v>
      </c>
      <c r="AN126" s="135"/>
      <c r="AO126" s="135"/>
      <c r="AP126" s="372">
        <f t="shared" ref="AP126:AR126" si="38">AQ126-2</f>
        <v>45893</v>
      </c>
      <c r="AQ126" s="372">
        <f t="shared" si="38"/>
        <v>45895</v>
      </c>
      <c r="AR126" s="372">
        <f t="shared" si="38"/>
        <v>45897</v>
      </c>
      <c r="AS126" s="372">
        <v>45899</v>
      </c>
      <c r="AT126" s="24" t="s">
        <v>542</v>
      </c>
      <c r="AU126" s="183"/>
      <c r="AV126" s="142" t="s">
        <v>20</v>
      </c>
      <c r="AW126" s="15" t="s">
        <v>6</v>
      </c>
      <c r="AX126" s="297">
        <f>AS126+2</f>
        <v>45901</v>
      </c>
      <c r="AY126" s="297">
        <f>AX126</f>
        <v>45901</v>
      </c>
      <c r="AZ126" s="24" t="str">
        <f>AT126</f>
        <v>Ram Singh</v>
      </c>
      <c r="BA126" s="183"/>
      <c r="BB126" s="142" t="s">
        <v>20</v>
      </c>
      <c r="BC126" s="135"/>
      <c r="BD126" s="135"/>
      <c r="BE126" s="298">
        <f>BF126-2</f>
        <v>45963</v>
      </c>
      <c r="BF126" s="298">
        <v>45965</v>
      </c>
      <c r="BG126" s="25" t="s">
        <v>510</v>
      </c>
      <c r="BH126" s="192"/>
      <c r="BI126" s="15"/>
      <c r="BJ126" s="135"/>
      <c r="BK126" s="135"/>
      <c r="BL126" s="25">
        <v>1560</v>
      </c>
      <c r="BM126" s="24"/>
      <c r="BN126" s="200" t="s">
        <v>557</v>
      </c>
    </row>
    <row r="127" spans="1:66" ht="14.25" hidden="1" customHeight="1">
      <c r="A127" s="15"/>
      <c r="B127" s="19"/>
      <c r="C127" s="184"/>
      <c r="D127" s="134"/>
      <c r="E127" s="134"/>
      <c r="F127" s="134"/>
      <c r="G127" s="134"/>
      <c r="H127" s="185"/>
      <c r="I127" s="19"/>
      <c r="J127" s="19"/>
      <c r="K127" s="186"/>
      <c r="L127" s="178"/>
      <c r="M127" s="15"/>
      <c r="N127" s="15"/>
      <c r="O127" s="15"/>
      <c r="P127" s="180">
        <f t="shared" si="36"/>
        <v>0</v>
      </c>
      <c r="Q127" s="178"/>
      <c r="R127" s="15"/>
      <c r="S127" s="180"/>
      <c r="T127" s="181"/>
      <c r="U127" s="181"/>
      <c r="V127" s="16">
        <v>195</v>
      </c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82"/>
      <c r="AM127" s="15"/>
      <c r="AN127" s="24"/>
      <c r="AO127" s="24"/>
      <c r="AP127" s="24"/>
      <c r="AQ127" s="24"/>
      <c r="AR127" s="24"/>
      <c r="AS127" s="24"/>
      <c r="AT127" s="24"/>
      <c r="AU127" s="183"/>
      <c r="AV127" s="24"/>
      <c r="AW127" s="24"/>
      <c r="AX127" s="297"/>
      <c r="AY127" s="297"/>
      <c r="AZ127" s="24"/>
      <c r="BA127" s="183"/>
      <c r="BB127" s="24"/>
      <c r="BC127" s="24"/>
      <c r="BD127" s="24"/>
      <c r="BE127" s="24"/>
      <c r="BF127" s="24"/>
      <c r="BG127" s="24"/>
      <c r="BH127" s="183"/>
      <c r="BI127" s="24"/>
      <c r="BJ127" s="24"/>
      <c r="BK127" s="24"/>
      <c r="BL127" s="24"/>
      <c r="BM127" s="24"/>
      <c r="BN127" s="24"/>
    </row>
    <row r="128" spans="1:66" ht="14.25" customHeight="1">
      <c r="A128" s="15">
        <v>60</v>
      </c>
      <c r="B128" s="19" t="s">
        <v>127</v>
      </c>
      <c r="C128" s="184" t="s">
        <v>76</v>
      </c>
      <c r="D128" s="134">
        <v>7.71</v>
      </c>
      <c r="E128" s="134">
        <f>D128*4</f>
        <v>30.84</v>
      </c>
      <c r="F128" s="134">
        <f>E128*8</f>
        <v>246.72</v>
      </c>
      <c r="G128" s="134"/>
      <c r="H128" s="185"/>
      <c r="I128" s="19"/>
      <c r="J128" s="19"/>
      <c r="K128" s="186"/>
      <c r="L128" s="178">
        <v>3.452</v>
      </c>
      <c r="M128" s="15">
        <v>2.633</v>
      </c>
      <c r="N128" s="15">
        <v>4.0000000000000001E-3</v>
      </c>
      <c r="O128" s="15">
        <v>0.24099999999999999</v>
      </c>
      <c r="P128" s="180">
        <f t="shared" si="36"/>
        <v>6.3299999999999992</v>
      </c>
      <c r="Q128" s="178">
        <v>0.36299999999999999</v>
      </c>
      <c r="R128" s="15">
        <v>6.0000000000000001E-3</v>
      </c>
      <c r="S128" s="180">
        <f>SUM(Q128:R128)</f>
        <v>0.36899999999999999</v>
      </c>
      <c r="T128" s="181" t="s">
        <v>31</v>
      </c>
      <c r="U128" s="181" t="s">
        <v>540</v>
      </c>
      <c r="V128" s="15"/>
      <c r="W128" s="15" t="s">
        <v>570</v>
      </c>
      <c r="X128" s="15">
        <v>102.06</v>
      </c>
      <c r="Y128" s="15">
        <v>1.1499999999999999</v>
      </c>
      <c r="Z128" s="15">
        <v>10.71</v>
      </c>
      <c r="AA128" s="15">
        <v>11.860000000000001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82"/>
      <c r="AM128" s="142" t="s">
        <v>20</v>
      </c>
      <c r="AN128" s="135"/>
      <c r="AO128" s="135"/>
      <c r="AP128" s="372">
        <f>AQ128-6</f>
        <v>45875</v>
      </c>
      <c r="AQ128" s="372">
        <f>AR128-3</f>
        <v>45881</v>
      </c>
      <c r="AR128" s="372">
        <f>AS128-2</f>
        <v>45884</v>
      </c>
      <c r="AS128" s="372">
        <v>45886</v>
      </c>
      <c r="AT128" s="24" t="s">
        <v>542</v>
      </c>
      <c r="AU128" s="183"/>
      <c r="AV128" s="142" t="s">
        <v>20</v>
      </c>
      <c r="AW128" s="15" t="s">
        <v>6</v>
      </c>
      <c r="AX128" s="297">
        <f>AS128+2</f>
        <v>45888</v>
      </c>
      <c r="AY128" s="297">
        <f>AX128</f>
        <v>45888</v>
      </c>
      <c r="AZ128" s="24" t="str">
        <f>AT128</f>
        <v>Ram Singh</v>
      </c>
      <c r="BA128" s="183"/>
      <c r="BB128" s="142" t="s">
        <v>20</v>
      </c>
      <c r="BC128" s="135"/>
      <c r="BD128" s="135"/>
      <c r="BE128" s="298">
        <f>BF128-2</f>
        <v>45964</v>
      </c>
      <c r="BF128" s="298">
        <v>45966</v>
      </c>
      <c r="BG128" s="25" t="s">
        <v>510</v>
      </c>
      <c r="BH128" s="192"/>
      <c r="BI128" s="15"/>
      <c r="BJ128" s="135"/>
      <c r="BK128" s="135"/>
      <c r="BL128" s="25">
        <v>1252</v>
      </c>
      <c r="BM128" s="24"/>
      <c r="BN128" s="24"/>
    </row>
    <row r="129" spans="1:66" ht="14.25" hidden="1" customHeight="1">
      <c r="A129" s="15"/>
      <c r="B129" s="19"/>
      <c r="C129" s="184"/>
      <c r="D129" s="134"/>
      <c r="E129" s="134"/>
      <c r="F129" s="134"/>
      <c r="G129" s="134"/>
      <c r="H129" s="185"/>
      <c r="I129" s="19"/>
      <c r="J129" s="19"/>
      <c r="K129" s="186"/>
      <c r="L129" s="178"/>
      <c r="M129" s="15"/>
      <c r="N129" s="15"/>
      <c r="O129" s="15"/>
      <c r="P129" s="180">
        <f t="shared" si="36"/>
        <v>0</v>
      </c>
      <c r="Q129" s="178"/>
      <c r="R129" s="15"/>
      <c r="S129" s="180"/>
      <c r="T129" s="181"/>
      <c r="U129" s="181"/>
      <c r="V129" s="16">
        <v>295</v>
      </c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82"/>
      <c r="AM129" s="15"/>
      <c r="AN129" s="24"/>
      <c r="AO129" s="24"/>
      <c r="AP129" s="24"/>
      <c r="AQ129" s="24"/>
      <c r="AR129" s="24"/>
      <c r="AS129" s="24"/>
      <c r="AT129" s="24"/>
      <c r="AU129" s="183"/>
      <c r="AV129" s="24"/>
      <c r="AW129" s="24"/>
      <c r="AX129" s="297"/>
      <c r="AY129" s="297"/>
      <c r="AZ129" s="24"/>
      <c r="BA129" s="183"/>
      <c r="BB129" s="24"/>
      <c r="BC129" s="24"/>
      <c r="BD129" s="24"/>
      <c r="BE129" s="24"/>
      <c r="BF129" s="24"/>
      <c r="BG129" s="24"/>
      <c r="BH129" s="183"/>
      <c r="BI129" s="24"/>
      <c r="BJ129" s="24"/>
      <c r="BK129" s="24"/>
      <c r="BL129" s="24"/>
      <c r="BM129" s="24"/>
      <c r="BN129" s="24"/>
    </row>
    <row r="130" spans="1:66" ht="14.25" customHeight="1">
      <c r="A130" s="15">
        <v>61</v>
      </c>
      <c r="B130" s="19" t="s">
        <v>128</v>
      </c>
      <c r="C130" s="184" t="s">
        <v>76</v>
      </c>
      <c r="D130" s="134">
        <v>7.71</v>
      </c>
      <c r="E130" s="134">
        <f>D130*4</f>
        <v>30.84</v>
      </c>
      <c r="F130" s="134">
        <f>E130*8</f>
        <v>246.72</v>
      </c>
      <c r="G130" s="134"/>
      <c r="H130" s="185"/>
      <c r="I130" s="19"/>
      <c r="J130" s="19"/>
      <c r="K130" s="186"/>
      <c r="L130" s="178">
        <v>3.452</v>
      </c>
      <c r="M130" s="15">
        <v>2.633</v>
      </c>
      <c r="N130" s="15">
        <v>4.0000000000000001E-3</v>
      </c>
      <c r="O130" s="15">
        <v>0.24099999999999999</v>
      </c>
      <c r="P130" s="180">
        <f t="shared" si="36"/>
        <v>6.3299999999999992</v>
      </c>
      <c r="Q130" s="178">
        <v>0.36299999999999999</v>
      </c>
      <c r="R130" s="15">
        <v>6.0000000000000001E-3</v>
      </c>
      <c r="S130" s="180">
        <f>SUM(Q130:R130)</f>
        <v>0.36899999999999999</v>
      </c>
      <c r="T130" s="181" t="s">
        <v>31</v>
      </c>
      <c r="U130" s="181" t="s">
        <v>540</v>
      </c>
      <c r="V130" s="15"/>
      <c r="W130" s="15" t="s">
        <v>504</v>
      </c>
      <c r="X130" s="15">
        <v>51.64</v>
      </c>
      <c r="Y130" s="15">
        <v>0.97</v>
      </c>
      <c r="Z130" s="15">
        <v>9.82</v>
      </c>
      <c r="AA130" s="15"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82"/>
      <c r="AM130" s="142" t="s">
        <v>20</v>
      </c>
      <c r="AN130" s="135"/>
      <c r="AO130" s="135"/>
      <c r="AP130" s="372">
        <f>AQ130-6</f>
        <v>45881</v>
      </c>
      <c r="AQ130" s="372">
        <f>AR130-3</f>
        <v>45887</v>
      </c>
      <c r="AR130" s="372">
        <f>AS130-2</f>
        <v>45890</v>
      </c>
      <c r="AS130" s="372">
        <v>45892</v>
      </c>
      <c r="AT130" s="24" t="s">
        <v>542</v>
      </c>
      <c r="AU130" s="183"/>
      <c r="AV130" s="142" t="s">
        <v>20</v>
      </c>
      <c r="AW130" s="15" t="s">
        <v>6</v>
      </c>
      <c r="AX130" s="297">
        <f>AS130+2</f>
        <v>45894</v>
      </c>
      <c r="AY130" s="297">
        <f>AX130</f>
        <v>45894</v>
      </c>
      <c r="AZ130" s="24" t="str">
        <f>AT130</f>
        <v>Ram Singh</v>
      </c>
      <c r="BA130" s="183"/>
      <c r="BB130" s="142" t="s">
        <v>20</v>
      </c>
      <c r="BC130" s="135"/>
      <c r="BD130" s="135"/>
      <c r="BE130" s="298">
        <f>BF130-2</f>
        <v>45966</v>
      </c>
      <c r="BF130" s="298">
        <v>45968</v>
      </c>
      <c r="BG130" s="25" t="s">
        <v>510</v>
      </c>
      <c r="BH130" s="193"/>
      <c r="BI130" s="15"/>
      <c r="BJ130" s="135"/>
      <c r="BK130" s="135"/>
      <c r="BL130" s="25">
        <v>1252</v>
      </c>
      <c r="BM130" s="24"/>
      <c r="BN130" s="24"/>
    </row>
    <row r="131" spans="1:66" ht="14.25" hidden="1" customHeight="1">
      <c r="A131" s="15"/>
      <c r="B131" s="19"/>
      <c r="C131" s="184"/>
      <c r="D131" s="134"/>
      <c r="E131" s="134"/>
      <c r="F131" s="134"/>
      <c r="G131" s="134"/>
      <c r="H131" s="185"/>
      <c r="I131" s="19"/>
      <c r="J131" s="19"/>
      <c r="K131" s="186"/>
      <c r="L131" s="178"/>
      <c r="M131" s="15"/>
      <c r="N131" s="15"/>
      <c r="O131" s="15"/>
      <c r="P131" s="180">
        <f t="shared" si="36"/>
        <v>0</v>
      </c>
      <c r="Q131" s="178"/>
      <c r="R131" s="15"/>
      <c r="S131" s="180"/>
      <c r="T131" s="181"/>
      <c r="U131" s="181"/>
      <c r="V131" s="16">
        <v>380.25</v>
      </c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82"/>
      <c r="AM131" s="15"/>
      <c r="AN131" s="24"/>
      <c r="AO131" s="24"/>
      <c r="AP131" s="24"/>
      <c r="AQ131" s="24"/>
      <c r="AR131" s="24"/>
      <c r="AS131" s="24"/>
      <c r="AT131" s="24"/>
      <c r="AU131" s="183"/>
      <c r="AV131" s="24"/>
      <c r="AW131" s="24"/>
      <c r="AX131" s="297"/>
      <c r="AY131" s="297"/>
      <c r="AZ131" s="24"/>
      <c r="BA131" s="183"/>
      <c r="BB131" s="24"/>
      <c r="BC131" s="24"/>
      <c r="BD131" s="24"/>
      <c r="BE131" s="24"/>
      <c r="BF131" s="24"/>
      <c r="BG131" s="24"/>
      <c r="BH131" s="183"/>
      <c r="BI131" s="24"/>
      <c r="BJ131" s="24"/>
      <c r="BK131" s="24"/>
      <c r="BL131" s="24"/>
      <c r="BM131" s="24"/>
      <c r="BN131" s="24"/>
    </row>
    <row r="132" spans="1:66" ht="14.25" customHeight="1">
      <c r="A132" s="15">
        <v>62</v>
      </c>
      <c r="B132" s="19" t="s">
        <v>130</v>
      </c>
      <c r="C132" s="184" t="s">
        <v>39</v>
      </c>
      <c r="D132" s="134">
        <v>7.7080000000000002</v>
      </c>
      <c r="E132" s="134">
        <f>D132*4</f>
        <v>30.832000000000001</v>
      </c>
      <c r="F132" s="134">
        <f>E132*8</f>
        <v>246.65600000000001</v>
      </c>
      <c r="G132" s="134">
        <v>1</v>
      </c>
      <c r="H132" s="185"/>
      <c r="I132" s="19">
        <v>2</v>
      </c>
      <c r="J132" s="19">
        <v>2</v>
      </c>
      <c r="K132" s="186"/>
      <c r="L132" s="178">
        <v>4.0570000000000004</v>
      </c>
      <c r="M132" s="15">
        <v>2.48</v>
      </c>
      <c r="N132" s="15">
        <v>6.0000000000000001E-3</v>
      </c>
      <c r="O132" s="15">
        <v>0.36499999999999999</v>
      </c>
      <c r="P132" s="180">
        <f t="shared" si="36"/>
        <v>6.9080000000000013</v>
      </c>
      <c r="Q132" s="178">
        <v>0.436</v>
      </c>
      <c r="R132" s="15">
        <v>0.01</v>
      </c>
      <c r="S132" s="180">
        <f>SUM(Q132:R132)</f>
        <v>0.44600000000000001</v>
      </c>
      <c r="T132" s="181" t="s">
        <v>129</v>
      </c>
      <c r="U132" s="181" t="s">
        <v>575</v>
      </c>
      <c r="V132" s="15"/>
      <c r="W132" s="15" t="s">
        <v>504</v>
      </c>
      <c r="X132" s="15">
        <v>80.400000000000006</v>
      </c>
      <c r="Y132" s="15">
        <v>1.43</v>
      </c>
      <c r="Z132" s="15">
        <v>15.88</v>
      </c>
      <c r="AA132" s="15">
        <f>Z132+Y132</f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82"/>
      <c r="AM132" s="142" t="s">
        <v>20</v>
      </c>
      <c r="AN132" s="135"/>
      <c r="AO132" s="135"/>
      <c r="AP132" s="372">
        <f t="shared" ref="AP132:AR132" si="39">AQ132-2</f>
        <v>45915</v>
      </c>
      <c r="AQ132" s="372">
        <f t="shared" si="39"/>
        <v>45917</v>
      </c>
      <c r="AR132" s="372">
        <f t="shared" si="39"/>
        <v>45919</v>
      </c>
      <c r="AS132" s="372">
        <v>45921</v>
      </c>
      <c r="AT132" s="24" t="s">
        <v>542</v>
      </c>
      <c r="AU132" s="183"/>
      <c r="AV132" s="142" t="s">
        <v>20</v>
      </c>
      <c r="AW132" s="15" t="s">
        <v>6</v>
      </c>
      <c r="AX132" s="297"/>
      <c r="AY132" s="297"/>
      <c r="AZ132" s="24"/>
      <c r="BA132" s="183"/>
      <c r="BB132" s="142" t="s">
        <v>20</v>
      </c>
      <c r="BC132" s="135"/>
      <c r="BD132" s="135"/>
      <c r="BE132" s="298">
        <f>BF132-2</f>
        <v>45968</v>
      </c>
      <c r="BF132" s="298">
        <v>45970</v>
      </c>
      <c r="BG132" s="25" t="s">
        <v>510</v>
      </c>
      <c r="BH132" s="193"/>
      <c r="BI132" s="15"/>
      <c r="BJ132" s="135"/>
      <c r="BK132" s="135"/>
      <c r="BL132" s="25">
        <v>1001</v>
      </c>
      <c r="BM132" s="24"/>
      <c r="BN132" s="196" t="s">
        <v>557</v>
      </c>
    </row>
    <row r="133" spans="1:66" ht="14.25" hidden="1" customHeight="1">
      <c r="A133" s="15"/>
      <c r="B133" s="19"/>
      <c r="C133" s="184"/>
      <c r="D133" s="134"/>
      <c r="E133" s="134"/>
      <c r="F133" s="134"/>
      <c r="G133" s="134"/>
      <c r="H133" s="185"/>
      <c r="I133" s="19"/>
      <c r="J133" s="19"/>
      <c r="K133" s="186"/>
      <c r="L133" s="178"/>
      <c r="M133" s="15"/>
      <c r="N133" s="15"/>
      <c r="O133" s="15"/>
      <c r="P133" s="180">
        <f t="shared" si="36"/>
        <v>0</v>
      </c>
      <c r="Q133" s="178"/>
      <c r="R133" s="15"/>
      <c r="S133" s="180"/>
      <c r="T133" s="181"/>
      <c r="U133" s="181"/>
      <c r="V133" s="16">
        <v>428</v>
      </c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82"/>
      <c r="AM133" s="15"/>
      <c r="AN133" s="24"/>
      <c r="AO133" s="24"/>
      <c r="AP133" s="24"/>
      <c r="AQ133" s="24"/>
      <c r="AR133" s="24"/>
      <c r="AS133" s="24"/>
      <c r="AT133" s="24"/>
      <c r="AU133" s="183"/>
      <c r="AV133" s="24"/>
      <c r="AW133" s="24"/>
      <c r="AX133" s="297"/>
      <c r="AY133" s="297"/>
      <c r="AZ133" s="24"/>
      <c r="BA133" s="183"/>
      <c r="BB133" s="24"/>
      <c r="BC133" s="24"/>
      <c r="BD133" s="24"/>
      <c r="BE133" s="24"/>
      <c r="BF133" s="24"/>
      <c r="BG133" s="24"/>
      <c r="BH133" s="183"/>
      <c r="BI133" s="24"/>
      <c r="BJ133" s="24"/>
      <c r="BK133" s="24"/>
      <c r="BL133" s="24"/>
      <c r="BM133" s="24"/>
      <c r="BN133" s="24"/>
    </row>
    <row r="134" spans="1:66" ht="14.25" customHeight="1">
      <c r="A134" s="15">
        <v>63</v>
      </c>
      <c r="B134" s="19" t="s">
        <v>131</v>
      </c>
      <c r="C134" s="184" t="s">
        <v>89</v>
      </c>
      <c r="D134" s="134">
        <v>8.6300000000000008</v>
      </c>
      <c r="E134" s="134">
        <f>D134*4</f>
        <v>34.520000000000003</v>
      </c>
      <c r="F134" s="134">
        <f>E134*8</f>
        <v>276.16000000000003</v>
      </c>
      <c r="G134" s="134"/>
      <c r="H134" s="185"/>
      <c r="I134" s="19"/>
      <c r="J134" s="19"/>
      <c r="K134" s="186"/>
      <c r="L134" s="178">
        <v>3.867</v>
      </c>
      <c r="M134" s="15">
        <v>3.306</v>
      </c>
      <c r="N134" s="15">
        <v>4.3E-3</v>
      </c>
      <c r="O134" s="15">
        <v>0.27500000000000002</v>
      </c>
      <c r="P134" s="180">
        <f t="shared" si="36"/>
        <v>7.4523000000000001</v>
      </c>
      <c r="Q134" s="178">
        <v>0.36299999999999999</v>
      </c>
      <c r="R134" s="15">
        <v>6.0000000000000001E-3</v>
      </c>
      <c r="S134" s="180">
        <f>SUM(Q134:R134)</f>
        <v>0.36899999999999999</v>
      </c>
      <c r="T134" s="181" t="s">
        <v>31</v>
      </c>
      <c r="U134" s="181" t="s">
        <v>575</v>
      </c>
      <c r="V134" s="15"/>
      <c r="W134" s="15" t="s">
        <v>504</v>
      </c>
      <c r="X134" s="15">
        <v>51.64</v>
      </c>
      <c r="Y134" s="15">
        <v>0.97</v>
      </c>
      <c r="Z134" s="15">
        <v>9.82</v>
      </c>
      <c r="AA134" s="15"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82"/>
      <c r="AM134" s="142" t="s">
        <v>20</v>
      </c>
      <c r="AN134" s="135" t="s">
        <v>552</v>
      </c>
      <c r="AO134" s="135" t="s">
        <v>21</v>
      </c>
      <c r="AP134" s="372">
        <f>AQ134-2</f>
        <v>45811</v>
      </c>
      <c r="AQ134" s="372">
        <f>AR134-1</f>
        <v>45813</v>
      </c>
      <c r="AR134" s="372">
        <f>AS134-2</f>
        <v>45814</v>
      </c>
      <c r="AS134" s="372">
        <v>45816</v>
      </c>
      <c r="AT134" s="24" t="s">
        <v>554</v>
      </c>
      <c r="AU134" s="183"/>
      <c r="AV134" s="142" t="s">
        <v>20</v>
      </c>
      <c r="AW134" s="15" t="s">
        <v>6</v>
      </c>
      <c r="AX134" s="297">
        <f>AY134</f>
        <v>45820</v>
      </c>
      <c r="AY134" s="297">
        <v>45820</v>
      </c>
      <c r="AZ134" s="24" t="str">
        <f>AT134</f>
        <v>Shree shyam</v>
      </c>
      <c r="BA134" s="183"/>
      <c r="BB134" s="142" t="s">
        <v>20</v>
      </c>
      <c r="BC134" s="135"/>
      <c r="BD134" s="135" t="s">
        <v>576</v>
      </c>
      <c r="BE134" s="298">
        <f>BF134-2</f>
        <v>45831</v>
      </c>
      <c r="BF134" s="298">
        <v>45833</v>
      </c>
      <c r="BG134" s="25" t="s">
        <v>510</v>
      </c>
      <c r="BH134" s="194"/>
      <c r="BI134" s="142" t="s">
        <v>20</v>
      </c>
      <c r="BJ134" s="135"/>
      <c r="BK134" s="135"/>
      <c r="BL134" s="25">
        <v>1560</v>
      </c>
      <c r="BM134" s="24"/>
      <c r="BN134" s="197" t="s">
        <v>557</v>
      </c>
    </row>
    <row r="135" spans="1:66" ht="14.25" hidden="1" customHeight="1">
      <c r="A135" s="15"/>
      <c r="B135" s="19"/>
      <c r="C135" s="184"/>
      <c r="D135" s="134"/>
      <c r="E135" s="134"/>
      <c r="F135" s="134"/>
      <c r="G135" s="134"/>
      <c r="H135" s="185"/>
      <c r="I135" s="19"/>
      <c r="J135" s="19"/>
      <c r="K135" s="186"/>
      <c r="L135" s="178"/>
      <c r="M135" s="15"/>
      <c r="N135" s="15"/>
      <c r="O135" s="15"/>
      <c r="P135" s="180">
        <f t="shared" si="36"/>
        <v>0</v>
      </c>
      <c r="Q135" s="178"/>
      <c r="R135" s="15"/>
      <c r="S135" s="180"/>
      <c r="T135" s="181"/>
      <c r="U135" s="181"/>
      <c r="V135" s="16">
        <v>419</v>
      </c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82"/>
      <c r="AM135" s="15"/>
      <c r="AN135" s="24"/>
      <c r="AO135" s="24"/>
      <c r="AP135" s="24"/>
      <c r="AQ135" s="24"/>
      <c r="AR135" s="24"/>
      <c r="AS135" s="24"/>
      <c r="AT135" s="24"/>
      <c r="AU135" s="183"/>
      <c r="AV135" s="24"/>
      <c r="AW135" s="24"/>
      <c r="AX135" s="297"/>
      <c r="AY135" s="297"/>
      <c r="AZ135" s="24"/>
      <c r="BA135" s="183"/>
      <c r="BB135" s="24"/>
      <c r="BC135" s="24"/>
      <c r="BD135" s="24"/>
      <c r="BE135" s="24"/>
      <c r="BF135" s="24"/>
      <c r="BG135" s="24"/>
      <c r="BH135" s="183"/>
      <c r="BI135" s="24"/>
      <c r="BJ135" s="24"/>
      <c r="BK135" s="24"/>
      <c r="BL135" s="24"/>
      <c r="BM135" s="24"/>
      <c r="BN135" s="24"/>
    </row>
    <row r="136" spans="1:66" ht="14.25" customHeight="1">
      <c r="A136" s="15">
        <v>64</v>
      </c>
      <c r="B136" s="19" t="s">
        <v>132</v>
      </c>
      <c r="C136" s="184" t="s">
        <v>70</v>
      </c>
      <c r="D136" s="134">
        <v>10.468</v>
      </c>
      <c r="E136" s="134">
        <f>D136*4</f>
        <v>41.872</v>
      </c>
      <c r="F136" s="134">
        <f>E136*8</f>
        <v>334.976</v>
      </c>
      <c r="G136" s="134"/>
      <c r="H136" s="185"/>
      <c r="I136" s="19"/>
      <c r="J136" s="19"/>
      <c r="K136" s="186"/>
      <c r="L136" s="178">
        <v>4.351</v>
      </c>
      <c r="M136" s="15">
        <v>4.2219999999999995</v>
      </c>
      <c r="N136" s="15">
        <v>4.3E-3</v>
      </c>
      <c r="O136" s="15">
        <v>0.32100000000000001</v>
      </c>
      <c r="P136" s="180">
        <f t="shared" si="36"/>
        <v>8.8983000000000008</v>
      </c>
      <c r="Q136" s="178">
        <v>0.36299999999999999</v>
      </c>
      <c r="R136" s="15">
        <v>6.0000000000000001E-3</v>
      </c>
      <c r="S136" s="180">
        <f>SUM(Q136:R136)</f>
        <v>0.36899999999999999</v>
      </c>
      <c r="T136" s="181" t="s">
        <v>31</v>
      </c>
      <c r="U136" s="181" t="s">
        <v>575</v>
      </c>
      <c r="V136" s="15"/>
      <c r="W136" s="15" t="s">
        <v>504</v>
      </c>
      <c r="X136" s="15">
        <v>51.64</v>
      </c>
      <c r="Y136" s="15">
        <v>0.97</v>
      </c>
      <c r="Z136" s="15">
        <v>9.82</v>
      </c>
      <c r="AA136" s="15"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82"/>
      <c r="AM136" s="142" t="s">
        <v>20</v>
      </c>
      <c r="AN136" s="135" t="str">
        <f>AO136</f>
        <v>D</v>
      </c>
      <c r="AO136" s="135" t="s">
        <v>21</v>
      </c>
      <c r="AP136" s="372">
        <v>45678</v>
      </c>
      <c r="AQ136" s="372">
        <f>AR136-3</f>
        <v>45679</v>
      </c>
      <c r="AR136" s="372">
        <f>AS136-2</f>
        <v>45682</v>
      </c>
      <c r="AS136" s="372">
        <v>45684</v>
      </c>
      <c r="AT136" s="24" t="s">
        <v>566</v>
      </c>
      <c r="AU136" s="183"/>
      <c r="AV136" s="142" t="s">
        <v>20</v>
      </c>
      <c r="AW136" s="15" t="s">
        <v>6</v>
      </c>
      <c r="AX136" s="297">
        <v>45662</v>
      </c>
      <c r="AY136" s="297">
        <v>45662</v>
      </c>
      <c r="AZ136" s="187" t="s">
        <v>543</v>
      </c>
      <c r="BA136" s="188"/>
      <c r="BB136" s="142" t="s">
        <v>20</v>
      </c>
      <c r="BC136" s="135"/>
      <c r="BD136" s="135" t="s">
        <v>576</v>
      </c>
      <c r="BE136" s="298">
        <f>BF136-2</f>
        <v>45817</v>
      </c>
      <c r="BF136" s="298">
        <v>45819</v>
      </c>
      <c r="BG136" s="17" t="s">
        <v>553</v>
      </c>
      <c r="BH136" s="194"/>
      <c r="BI136" s="142" t="s">
        <v>20</v>
      </c>
      <c r="BJ136" s="135"/>
      <c r="BK136" s="135"/>
      <c r="BL136" s="25">
        <v>2144</v>
      </c>
      <c r="BM136" s="24"/>
      <c r="BN136" s="24"/>
    </row>
    <row r="137" spans="1:66" ht="14.25" hidden="1" customHeight="1">
      <c r="A137" s="15"/>
      <c r="B137" s="19"/>
      <c r="C137" s="184"/>
      <c r="D137" s="134"/>
      <c r="E137" s="134"/>
      <c r="F137" s="134"/>
      <c r="G137" s="134"/>
      <c r="H137" s="185"/>
      <c r="I137" s="19"/>
      <c r="J137" s="19"/>
      <c r="K137" s="186"/>
      <c r="L137" s="178"/>
      <c r="M137" s="15"/>
      <c r="N137" s="15"/>
      <c r="O137" s="15"/>
      <c r="P137" s="180">
        <f t="shared" si="36"/>
        <v>0</v>
      </c>
      <c r="Q137" s="178"/>
      <c r="R137" s="15"/>
      <c r="S137" s="180"/>
      <c r="T137" s="181"/>
      <c r="U137" s="181"/>
      <c r="V137" s="16">
        <v>345</v>
      </c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82"/>
      <c r="AM137" s="15"/>
      <c r="AN137" s="24"/>
      <c r="AO137" s="24"/>
      <c r="AP137" s="24"/>
      <c r="AQ137" s="24"/>
      <c r="AR137" s="24"/>
      <c r="AS137" s="24"/>
      <c r="AT137" s="24"/>
      <c r="AU137" s="183"/>
      <c r="AV137" s="24"/>
      <c r="AW137" s="24"/>
      <c r="AX137" s="297"/>
      <c r="AY137" s="297"/>
      <c r="AZ137" s="24"/>
      <c r="BA137" s="183"/>
      <c r="BB137" s="24"/>
      <c r="BC137" s="24"/>
      <c r="BD137" s="24"/>
      <c r="BE137" s="24"/>
      <c r="BF137" s="24"/>
      <c r="BG137" s="24"/>
      <c r="BH137" s="183"/>
      <c r="BI137" s="24"/>
      <c r="BJ137" s="24"/>
      <c r="BK137" s="24"/>
      <c r="BL137" s="24"/>
      <c r="BM137" s="24"/>
      <c r="BN137" s="24"/>
    </row>
    <row r="138" spans="1:66" ht="14.25" customHeight="1">
      <c r="A138" s="15">
        <v>65</v>
      </c>
      <c r="B138" s="19" t="s">
        <v>133</v>
      </c>
      <c r="C138" s="184" t="s">
        <v>37</v>
      </c>
      <c r="D138" s="134">
        <v>6.992</v>
      </c>
      <c r="E138" s="134">
        <f>D138*4</f>
        <v>27.968</v>
      </c>
      <c r="F138" s="134">
        <f>E138*8</f>
        <v>223.744</v>
      </c>
      <c r="G138" s="134"/>
      <c r="H138" s="185"/>
      <c r="I138" s="19"/>
      <c r="J138" s="19"/>
      <c r="K138" s="186"/>
      <c r="L138" s="178">
        <v>2.6070000000000002</v>
      </c>
      <c r="M138" s="15">
        <v>2.657</v>
      </c>
      <c r="N138" s="15">
        <v>2E-3</v>
      </c>
      <c r="O138" s="15">
        <v>0.21299999999999999</v>
      </c>
      <c r="P138" s="180">
        <f t="shared" si="36"/>
        <v>5.4790000000000001</v>
      </c>
      <c r="Q138" s="178">
        <v>0.24399999999999999</v>
      </c>
      <c r="R138" s="15">
        <v>5.0000000000000001E-3</v>
      </c>
      <c r="S138" s="180">
        <f>SUM(Q138:R138)</f>
        <v>0.249</v>
      </c>
      <c r="T138" s="181" t="s">
        <v>31</v>
      </c>
      <c r="U138" s="181" t="s">
        <v>575</v>
      </c>
      <c r="V138" s="15"/>
      <c r="W138" s="15" t="s">
        <v>504</v>
      </c>
      <c r="X138" s="15">
        <v>41.44</v>
      </c>
      <c r="Y138" s="15">
        <v>0.8</v>
      </c>
      <c r="Z138" s="15">
        <v>7.8</v>
      </c>
      <c r="AA138" s="15"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82"/>
      <c r="AM138" s="142" t="s">
        <v>20</v>
      </c>
      <c r="AN138" s="135" t="s">
        <v>552</v>
      </c>
      <c r="AO138" s="135" t="s">
        <v>21</v>
      </c>
      <c r="AP138" s="372">
        <f>AQ138-1</f>
        <v>45809</v>
      </c>
      <c r="AQ138" s="372">
        <f t="shared" ref="AQ138:AR138" si="40">AR138-2</f>
        <v>45810</v>
      </c>
      <c r="AR138" s="372">
        <f t="shared" si="40"/>
        <v>45812</v>
      </c>
      <c r="AS138" s="372">
        <v>45814</v>
      </c>
      <c r="AT138" s="187" t="s">
        <v>543</v>
      </c>
      <c r="AU138" s="188"/>
      <c r="AV138" s="142" t="s">
        <v>20</v>
      </c>
      <c r="AW138" s="15" t="s">
        <v>6</v>
      </c>
      <c r="AX138" s="297">
        <f>AY138</f>
        <v>45820</v>
      </c>
      <c r="AY138" s="297">
        <v>45820</v>
      </c>
      <c r="AZ138" s="24" t="str">
        <f>AT138</f>
        <v>Ram Singh-1</v>
      </c>
      <c r="BA138" s="183"/>
      <c r="BB138" s="142" t="s">
        <v>20</v>
      </c>
      <c r="BC138" s="135"/>
      <c r="BD138" s="135" t="s">
        <v>577</v>
      </c>
      <c r="BE138" s="298">
        <v>45830</v>
      </c>
      <c r="BF138" s="298">
        <v>45832</v>
      </c>
      <c r="BG138" s="17" t="s">
        <v>553</v>
      </c>
      <c r="BH138" s="182"/>
      <c r="BI138" s="142" t="s">
        <v>20</v>
      </c>
      <c r="BJ138" s="135"/>
      <c r="BK138" s="135"/>
      <c r="BL138" s="25">
        <v>1330</v>
      </c>
      <c r="BM138" s="24"/>
      <c r="BN138" s="15"/>
    </row>
    <row r="139" spans="1:66" ht="14.25" hidden="1" customHeight="1">
      <c r="A139" s="15"/>
      <c r="B139" s="19"/>
      <c r="C139" s="184"/>
      <c r="D139" s="134"/>
      <c r="E139" s="134"/>
      <c r="F139" s="134"/>
      <c r="G139" s="134"/>
      <c r="H139" s="185"/>
      <c r="I139" s="19"/>
      <c r="J139" s="19"/>
      <c r="K139" s="186"/>
      <c r="L139" s="178"/>
      <c r="M139" s="15"/>
      <c r="N139" s="15"/>
      <c r="O139" s="15"/>
      <c r="P139" s="180">
        <f t="shared" si="36"/>
        <v>0</v>
      </c>
      <c r="Q139" s="178"/>
      <c r="R139" s="15"/>
      <c r="S139" s="180"/>
      <c r="T139" s="181"/>
      <c r="U139" s="181"/>
      <c r="V139" s="16">
        <v>296</v>
      </c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82"/>
      <c r="AM139" s="15"/>
      <c r="AN139" s="24"/>
      <c r="AO139" s="24"/>
      <c r="AP139" s="24"/>
      <c r="AQ139" s="24"/>
      <c r="AR139" s="24"/>
      <c r="AS139" s="24"/>
      <c r="AT139" s="24"/>
      <c r="AU139" s="183"/>
      <c r="AV139" s="24"/>
      <c r="AW139" s="24"/>
      <c r="AX139" s="297"/>
      <c r="AY139" s="297"/>
      <c r="AZ139" s="24"/>
      <c r="BA139" s="183"/>
      <c r="BB139" s="24"/>
      <c r="BC139" s="24"/>
      <c r="BD139" s="24"/>
      <c r="BE139" s="24"/>
      <c r="BF139" s="24"/>
      <c r="BG139" s="24"/>
      <c r="BH139" s="183"/>
      <c r="BI139" s="24"/>
      <c r="BJ139" s="24"/>
      <c r="BK139" s="24"/>
      <c r="BL139" s="24"/>
      <c r="BM139" s="24"/>
      <c r="BN139" s="24"/>
    </row>
    <row r="140" spans="1:66" ht="14.25" customHeight="1">
      <c r="A140" s="15">
        <v>66</v>
      </c>
      <c r="B140" s="19" t="s">
        <v>134</v>
      </c>
      <c r="C140" s="184" t="s">
        <v>42</v>
      </c>
      <c r="D140" s="134">
        <v>6.3620000000000001</v>
      </c>
      <c r="E140" s="134">
        <f>D140*4</f>
        <v>25.448</v>
      </c>
      <c r="F140" s="134">
        <f>E140*8</f>
        <v>203.584</v>
      </c>
      <c r="G140" s="134"/>
      <c r="H140" s="185"/>
      <c r="I140" s="19"/>
      <c r="J140" s="19"/>
      <c r="K140" s="186"/>
      <c r="L140" s="178">
        <v>2.25</v>
      </c>
      <c r="M140" s="15">
        <v>2.1880000000000002</v>
      </c>
      <c r="N140" s="15">
        <v>2E-3</v>
      </c>
      <c r="O140" s="15">
        <v>0.183</v>
      </c>
      <c r="P140" s="180">
        <f t="shared" si="36"/>
        <v>4.6230000000000002</v>
      </c>
      <c r="Q140" s="178">
        <v>0.24399999999999999</v>
      </c>
      <c r="R140" s="15">
        <v>5.0000000000000001E-3</v>
      </c>
      <c r="S140" s="180">
        <f>SUM(Q140:R140)</f>
        <v>0.249</v>
      </c>
      <c r="T140" s="181" t="s">
        <v>31</v>
      </c>
      <c r="U140" s="181" t="s">
        <v>575</v>
      </c>
      <c r="V140" s="15"/>
      <c r="W140" s="15" t="s">
        <v>504</v>
      </c>
      <c r="X140" s="15">
        <v>41.44</v>
      </c>
      <c r="Y140" s="15">
        <v>0.8</v>
      </c>
      <c r="Z140" s="15">
        <v>7.8</v>
      </c>
      <c r="AA140" s="15"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82"/>
      <c r="AM140" s="142" t="s">
        <v>20</v>
      </c>
      <c r="AN140" s="135" t="s">
        <v>552</v>
      </c>
      <c r="AO140" s="135" t="s">
        <v>21</v>
      </c>
      <c r="AP140" s="372">
        <f t="shared" ref="AP140:AR140" si="41">AQ140-2</f>
        <v>45767</v>
      </c>
      <c r="AQ140" s="372">
        <f t="shared" si="41"/>
        <v>45769</v>
      </c>
      <c r="AR140" s="372">
        <f t="shared" si="41"/>
        <v>45771</v>
      </c>
      <c r="AS140" s="372">
        <v>45773</v>
      </c>
      <c r="AT140" s="187" t="s">
        <v>543</v>
      </c>
      <c r="AU140" s="188"/>
      <c r="AV140" s="142" t="s">
        <v>20</v>
      </c>
      <c r="AW140" s="15" t="s">
        <v>6</v>
      </c>
      <c r="AX140" s="297">
        <f>AY140</f>
        <v>45661</v>
      </c>
      <c r="AY140" s="297">
        <v>45661</v>
      </c>
      <c r="AZ140" s="187" t="s">
        <v>543</v>
      </c>
      <c r="BA140" s="188"/>
      <c r="BB140" s="142" t="s">
        <v>20</v>
      </c>
      <c r="BC140" s="135"/>
      <c r="BD140" s="135" t="s">
        <v>577</v>
      </c>
      <c r="BE140" s="298">
        <f>BF140-2</f>
        <v>45829</v>
      </c>
      <c r="BF140" s="298">
        <v>45831</v>
      </c>
      <c r="BG140" s="17" t="s">
        <v>553</v>
      </c>
      <c r="BH140" s="182"/>
      <c r="BI140" s="142" t="s">
        <v>20</v>
      </c>
      <c r="BJ140" s="135"/>
      <c r="BK140" s="135"/>
      <c r="BL140" s="25">
        <v>980</v>
      </c>
      <c r="BM140" s="24"/>
      <c r="BN140" s="15"/>
    </row>
    <row r="141" spans="1:66" ht="14.25" hidden="1" customHeight="1">
      <c r="A141" s="15"/>
      <c r="B141" s="19"/>
      <c r="C141" s="184"/>
      <c r="D141" s="134"/>
      <c r="E141" s="134"/>
      <c r="F141" s="134"/>
      <c r="G141" s="134"/>
      <c r="H141" s="185"/>
      <c r="I141" s="19"/>
      <c r="J141" s="19"/>
      <c r="K141" s="186"/>
      <c r="L141" s="178"/>
      <c r="M141" s="15"/>
      <c r="N141" s="15"/>
      <c r="O141" s="15"/>
      <c r="P141" s="180">
        <f t="shared" si="36"/>
        <v>0</v>
      </c>
      <c r="Q141" s="178"/>
      <c r="R141" s="15"/>
      <c r="S141" s="180"/>
      <c r="T141" s="181"/>
      <c r="U141" s="181"/>
      <c r="V141" s="16">
        <v>259</v>
      </c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82"/>
      <c r="AM141" s="15"/>
      <c r="AN141" s="24"/>
      <c r="AO141" s="24"/>
      <c r="AP141" s="24"/>
      <c r="AQ141" s="24"/>
      <c r="AR141" s="24"/>
      <c r="AS141" s="24"/>
      <c r="AT141" s="24"/>
      <c r="AU141" s="183"/>
      <c r="AV141" s="24"/>
      <c r="AW141" s="24"/>
      <c r="AX141" s="297"/>
      <c r="AY141" s="297"/>
      <c r="AZ141" s="24"/>
      <c r="BA141" s="183"/>
      <c r="BB141" s="24"/>
      <c r="BC141" s="24"/>
      <c r="BD141" s="24"/>
      <c r="BE141" s="24"/>
      <c r="BF141" s="24"/>
      <c r="BG141" s="24"/>
      <c r="BH141" s="183"/>
      <c r="BI141" s="24"/>
      <c r="BJ141" s="24"/>
      <c r="BK141" s="24"/>
      <c r="BL141" s="24"/>
      <c r="BM141" s="24"/>
      <c r="BN141" s="24"/>
    </row>
    <row r="142" spans="1:66" ht="14.25" customHeight="1">
      <c r="A142" s="15">
        <v>67</v>
      </c>
      <c r="B142" s="19" t="s">
        <v>135</v>
      </c>
      <c r="C142" s="184" t="s">
        <v>70</v>
      </c>
      <c r="D142" s="134">
        <v>10.468</v>
      </c>
      <c r="E142" s="134">
        <f>D142*4</f>
        <v>41.872</v>
      </c>
      <c r="F142" s="134">
        <f>E142*8</f>
        <v>334.976</v>
      </c>
      <c r="G142" s="134"/>
      <c r="H142" s="185"/>
      <c r="I142" s="19"/>
      <c r="J142" s="19"/>
      <c r="K142" s="186"/>
      <c r="L142" s="178">
        <v>4.351</v>
      </c>
      <c r="M142" s="15">
        <v>4.2219999999999995</v>
      </c>
      <c r="N142" s="15">
        <v>4.3E-3</v>
      </c>
      <c r="O142" s="15">
        <v>0.32100000000000001</v>
      </c>
      <c r="P142" s="180">
        <f t="shared" si="36"/>
        <v>8.8983000000000008</v>
      </c>
      <c r="Q142" s="178">
        <v>0.36299999999999999</v>
      </c>
      <c r="R142" s="15">
        <v>6.0000000000000001E-3</v>
      </c>
      <c r="S142" s="180">
        <f>SUM(Q142:R142)</f>
        <v>0.36899999999999999</v>
      </c>
      <c r="T142" s="181" t="s">
        <v>31</v>
      </c>
      <c r="U142" s="181" t="s">
        <v>575</v>
      </c>
      <c r="V142" s="15"/>
      <c r="W142" s="15" t="s">
        <v>504</v>
      </c>
      <c r="X142" s="15">
        <v>51.64</v>
      </c>
      <c r="Y142" s="15">
        <v>0.97</v>
      </c>
      <c r="Z142" s="15">
        <v>9.82</v>
      </c>
      <c r="AA142" s="15"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82"/>
      <c r="AM142" s="142" t="s">
        <v>20</v>
      </c>
      <c r="AN142" s="135" t="s">
        <v>552</v>
      </c>
      <c r="AO142" s="135" t="s">
        <v>21</v>
      </c>
      <c r="AP142" s="372">
        <f t="shared" ref="AP142:AR142" si="42">AQ142-2</f>
        <v>45766</v>
      </c>
      <c r="AQ142" s="372">
        <f t="shared" si="42"/>
        <v>45768</v>
      </c>
      <c r="AR142" s="372">
        <f t="shared" si="42"/>
        <v>45770</v>
      </c>
      <c r="AS142" s="372">
        <v>45772</v>
      </c>
      <c r="AT142" s="187" t="s">
        <v>543</v>
      </c>
      <c r="AU142" s="188"/>
      <c r="AV142" s="142" t="s">
        <v>20</v>
      </c>
      <c r="AW142" s="15" t="s">
        <v>6</v>
      </c>
      <c r="AX142" s="297">
        <f>AY142</f>
        <v>45661</v>
      </c>
      <c r="AY142" s="297">
        <v>45661</v>
      </c>
      <c r="AZ142" s="187" t="s">
        <v>543</v>
      </c>
      <c r="BA142" s="188"/>
      <c r="BB142" s="142" t="s">
        <v>20</v>
      </c>
      <c r="BC142" s="135"/>
      <c r="BD142" s="135" t="s">
        <v>576</v>
      </c>
      <c r="BE142" s="298">
        <f>BF142-2</f>
        <v>45833</v>
      </c>
      <c r="BF142" s="298">
        <v>45835</v>
      </c>
      <c r="BG142" s="17" t="s">
        <v>553</v>
      </c>
      <c r="BH142" s="192"/>
      <c r="BI142" s="142" t="s">
        <v>20</v>
      </c>
      <c r="BJ142" s="135"/>
      <c r="BK142" s="135"/>
      <c r="BL142" s="25">
        <v>2144</v>
      </c>
      <c r="BM142" s="24"/>
      <c r="BN142" s="24"/>
    </row>
    <row r="143" spans="1:66" ht="14.25" hidden="1" customHeight="1">
      <c r="A143" s="15"/>
      <c r="B143" s="19"/>
      <c r="C143" s="184"/>
      <c r="D143" s="134"/>
      <c r="E143" s="134"/>
      <c r="F143" s="134"/>
      <c r="G143" s="134"/>
      <c r="H143" s="185"/>
      <c r="I143" s="19"/>
      <c r="J143" s="19"/>
      <c r="K143" s="186"/>
      <c r="L143" s="178"/>
      <c r="M143" s="15"/>
      <c r="N143" s="15"/>
      <c r="O143" s="15"/>
      <c r="P143" s="180">
        <f t="shared" si="36"/>
        <v>0</v>
      </c>
      <c r="Q143" s="178"/>
      <c r="R143" s="15"/>
      <c r="S143" s="180"/>
      <c r="T143" s="181"/>
      <c r="U143" s="181"/>
      <c r="V143" s="16">
        <v>343.87</v>
      </c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82"/>
      <c r="AM143" s="15"/>
      <c r="AN143" s="24"/>
      <c r="AO143" s="24"/>
      <c r="AP143" s="24"/>
      <c r="AQ143" s="24"/>
      <c r="AR143" s="24"/>
      <c r="AS143" s="24"/>
      <c r="AT143" s="24"/>
      <c r="AU143" s="183"/>
      <c r="AV143" s="24"/>
      <c r="AW143" s="24"/>
      <c r="AX143" s="297"/>
      <c r="AY143" s="297"/>
      <c r="AZ143" s="24"/>
      <c r="BA143" s="183"/>
      <c r="BB143" s="24"/>
      <c r="BC143" s="24"/>
      <c r="BD143" s="24"/>
      <c r="BE143" s="24"/>
      <c r="BF143" s="24"/>
      <c r="BG143" s="24"/>
      <c r="BH143" s="183"/>
      <c r="BI143" s="24"/>
      <c r="BJ143" s="24"/>
      <c r="BK143" s="24"/>
      <c r="BL143" s="24"/>
      <c r="BM143" s="24"/>
      <c r="BN143" s="24"/>
    </row>
    <row r="144" spans="1:66" ht="14.25" customHeight="1">
      <c r="A144" s="15">
        <v>68</v>
      </c>
      <c r="B144" s="19" t="s">
        <v>136</v>
      </c>
      <c r="C144" s="184" t="s">
        <v>70</v>
      </c>
      <c r="D144" s="134">
        <v>10.468</v>
      </c>
      <c r="E144" s="134">
        <f>D144*4</f>
        <v>41.872</v>
      </c>
      <c r="F144" s="134">
        <f>E144*8</f>
        <v>334.976</v>
      </c>
      <c r="G144" s="134"/>
      <c r="H144" s="185"/>
      <c r="I144" s="19"/>
      <c r="J144" s="19"/>
      <c r="K144" s="186"/>
      <c r="L144" s="178">
        <v>4.351</v>
      </c>
      <c r="M144" s="15">
        <v>4.2219999999999995</v>
      </c>
      <c r="N144" s="15">
        <v>4.3E-3</v>
      </c>
      <c r="O144" s="15">
        <v>0.32100000000000001</v>
      </c>
      <c r="P144" s="180">
        <f t="shared" si="36"/>
        <v>8.8983000000000008</v>
      </c>
      <c r="Q144" s="178">
        <v>0.36299999999999999</v>
      </c>
      <c r="R144" s="15">
        <v>6.0000000000000001E-3</v>
      </c>
      <c r="S144" s="180">
        <f>SUM(Q144:R144)</f>
        <v>0.36899999999999999</v>
      </c>
      <c r="T144" s="181" t="s">
        <v>31</v>
      </c>
      <c r="U144" s="181" t="s">
        <v>575</v>
      </c>
      <c r="V144" s="15"/>
      <c r="W144" s="15" t="s">
        <v>504</v>
      </c>
      <c r="X144" s="15">
        <v>51.64</v>
      </c>
      <c r="Y144" s="15">
        <v>0.97</v>
      </c>
      <c r="Z144" s="15">
        <v>9.82</v>
      </c>
      <c r="AA144" s="15"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82"/>
      <c r="AM144" s="142" t="s">
        <v>20</v>
      </c>
      <c r="AN144" s="135" t="s">
        <v>552</v>
      </c>
      <c r="AO144" s="135" t="s">
        <v>21</v>
      </c>
      <c r="AP144" s="372">
        <f t="shared" ref="AP144:AQ144" si="43">AQ144-2</f>
        <v>45807</v>
      </c>
      <c r="AQ144" s="372">
        <f t="shared" si="43"/>
        <v>45809</v>
      </c>
      <c r="AR144" s="372">
        <f>AS144-1</f>
        <v>45811</v>
      </c>
      <c r="AS144" s="372">
        <v>45812</v>
      </c>
      <c r="AT144" s="187" t="s">
        <v>543</v>
      </c>
      <c r="AU144" s="188"/>
      <c r="AV144" s="142" t="s">
        <v>20</v>
      </c>
      <c r="AW144" s="15" t="s">
        <v>6</v>
      </c>
      <c r="AX144" s="297">
        <v>45814</v>
      </c>
      <c r="AY144" s="297">
        <f>AX144</f>
        <v>45814</v>
      </c>
      <c r="AZ144" s="24" t="str">
        <f>AT144</f>
        <v>Ram Singh-1</v>
      </c>
      <c r="BA144" s="183"/>
      <c r="BB144" s="142" t="s">
        <v>20</v>
      </c>
      <c r="BC144" s="135"/>
      <c r="BD144" s="135" t="s">
        <v>576</v>
      </c>
      <c r="BE144" s="298">
        <f>BF144-2</f>
        <v>45828</v>
      </c>
      <c r="BF144" s="298">
        <v>45830</v>
      </c>
      <c r="BG144" s="25" t="s">
        <v>510</v>
      </c>
      <c r="BH144" s="192"/>
      <c r="BI144" s="142" t="s">
        <v>20</v>
      </c>
      <c r="BJ144" s="135"/>
      <c r="BK144" s="135"/>
      <c r="BL144" s="25">
        <v>2144</v>
      </c>
      <c r="BM144" s="24"/>
      <c r="BN144" s="200" t="s">
        <v>557</v>
      </c>
    </row>
    <row r="145" spans="1:68" ht="14.25" hidden="1" customHeight="1">
      <c r="A145" s="15"/>
      <c r="B145" s="19"/>
      <c r="C145" s="184"/>
      <c r="D145" s="134"/>
      <c r="E145" s="134"/>
      <c r="F145" s="134"/>
      <c r="G145" s="134"/>
      <c r="H145" s="185"/>
      <c r="I145" s="19"/>
      <c r="J145" s="19"/>
      <c r="K145" s="186"/>
      <c r="L145" s="178"/>
      <c r="M145" s="15"/>
      <c r="N145" s="15"/>
      <c r="O145" s="15"/>
      <c r="P145" s="180">
        <f t="shared" si="36"/>
        <v>0</v>
      </c>
      <c r="Q145" s="178"/>
      <c r="R145" s="15"/>
      <c r="S145" s="180"/>
      <c r="T145" s="181"/>
      <c r="U145" s="181"/>
      <c r="V145" s="16">
        <v>499.13</v>
      </c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82"/>
      <c r="AM145" s="15"/>
      <c r="AN145" s="24"/>
      <c r="AO145" s="24"/>
      <c r="AP145" s="24"/>
      <c r="AQ145" s="24"/>
      <c r="AR145" s="24"/>
      <c r="AS145" s="24"/>
      <c r="AT145" s="24"/>
      <c r="AU145" s="183"/>
      <c r="AV145" s="24"/>
      <c r="AW145" s="24"/>
      <c r="AX145" s="297"/>
      <c r="AY145" s="297"/>
      <c r="AZ145" s="24"/>
      <c r="BA145" s="183"/>
      <c r="BB145" s="24"/>
      <c r="BC145" s="24"/>
      <c r="BD145" s="24"/>
      <c r="BE145" s="24"/>
      <c r="BF145" s="24"/>
      <c r="BG145" s="24"/>
      <c r="BH145" s="183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v>69</v>
      </c>
      <c r="B146" s="19" t="s">
        <v>137</v>
      </c>
      <c r="C146" s="184" t="s">
        <v>76</v>
      </c>
      <c r="D146" s="134">
        <v>7.71</v>
      </c>
      <c r="E146" s="134">
        <f>D146*4</f>
        <v>30.84</v>
      </c>
      <c r="F146" s="134">
        <f>E146*8</f>
        <v>246.72</v>
      </c>
      <c r="G146" s="134">
        <v>1</v>
      </c>
      <c r="H146" s="185">
        <v>5</v>
      </c>
      <c r="I146" s="19">
        <v>4</v>
      </c>
      <c r="J146" s="19"/>
      <c r="K146" s="186"/>
      <c r="L146" s="178">
        <v>3.452</v>
      </c>
      <c r="M146" s="15">
        <v>2.633</v>
      </c>
      <c r="N146" s="15">
        <v>4.0000000000000001E-3</v>
      </c>
      <c r="O146" s="15">
        <v>0.24099999999999999</v>
      </c>
      <c r="P146" s="180">
        <f t="shared" si="36"/>
        <v>6.3299999999999992</v>
      </c>
      <c r="Q146" s="178">
        <v>0.36299999999999999</v>
      </c>
      <c r="R146" s="15">
        <v>6.0000000000000001E-3</v>
      </c>
      <c r="S146" s="180">
        <f>SUM(Q146:R146)</f>
        <v>0.36899999999999999</v>
      </c>
      <c r="T146" s="181" t="s">
        <v>31</v>
      </c>
      <c r="U146" s="181" t="s">
        <v>575</v>
      </c>
      <c r="V146" s="15"/>
      <c r="W146" s="15" t="s">
        <v>504</v>
      </c>
      <c r="X146" s="15">
        <v>58.8</v>
      </c>
      <c r="Y146" s="15">
        <v>1.085</v>
      </c>
      <c r="Z146" s="15">
        <v>18.73</v>
      </c>
      <c r="AA146" s="15">
        <f>Z146+Y146</f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82"/>
      <c r="AM146" s="142" t="s">
        <v>20</v>
      </c>
      <c r="AN146" s="135"/>
      <c r="AO146" s="135"/>
      <c r="AP146" s="372">
        <f t="shared" ref="AP146:AQ146" si="44">AQ146-2</f>
        <v>45972</v>
      </c>
      <c r="AQ146" s="372">
        <f t="shared" si="44"/>
        <v>45974</v>
      </c>
      <c r="AR146" s="372">
        <f>AS146-1</f>
        <v>45976</v>
      </c>
      <c r="AS146" s="372">
        <v>45977</v>
      </c>
      <c r="AT146" s="19" t="s">
        <v>558</v>
      </c>
      <c r="AU146" s="183"/>
      <c r="AV146" s="142" t="s">
        <v>20</v>
      </c>
      <c r="AW146" s="15" t="s">
        <v>6</v>
      </c>
      <c r="AX146" s="297"/>
      <c r="AY146" s="297"/>
      <c r="AZ146" s="24"/>
      <c r="BA146" s="183"/>
      <c r="BB146" s="142" t="s">
        <v>20</v>
      </c>
      <c r="BC146" s="135"/>
      <c r="BD146" s="135"/>
      <c r="BE146" s="298">
        <v>45990</v>
      </c>
      <c r="BF146" s="298">
        <v>45994</v>
      </c>
      <c r="BG146" s="15" t="s">
        <v>587</v>
      </c>
      <c r="BH146" s="182"/>
      <c r="BI146" s="15"/>
      <c r="BJ146" s="135"/>
      <c r="BK146" s="135"/>
      <c r="BL146" s="25">
        <v>1252</v>
      </c>
      <c r="BM146" s="24"/>
      <c r="BN146" s="196" t="s">
        <v>557</v>
      </c>
      <c r="BO146" s="197"/>
      <c r="BP146" s="145" t="s">
        <v>559</v>
      </c>
    </row>
    <row r="147" spans="1:68" ht="14.25" hidden="1" customHeight="1">
      <c r="A147" s="15"/>
      <c r="B147" s="19"/>
      <c r="C147" s="184"/>
      <c r="D147" s="134"/>
      <c r="E147" s="134"/>
      <c r="F147" s="134"/>
      <c r="G147" s="134"/>
      <c r="H147" s="185"/>
      <c r="I147" s="19"/>
      <c r="J147" s="19"/>
      <c r="K147" s="186"/>
      <c r="L147" s="178"/>
      <c r="M147" s="15"/>
      <c r="N147" s="15"/>
      <c r="O147" s="15"/>
      <c r="P147" s="180">
        <f t="shared" si="36"/>
        <v>0</v>
      </c>
      <c r="Q147" s="178"/>
      <c r="R147" s="15"/>
      <c r="S147" s="180"/>
      <c r="T147" s="181"/>
      <c r="U147" s="181"/>
      <c r="V147" s="16">
        <v>434</v>
      </c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82"/>
      <c r="AM147" s="15"/>
      <c r="AN147" s="24"/>
      <c r="AO147" s="24"/>
      <c r="AP147" s="24"/>
      <c r="AQ147" s="24"/>
      <c r="AR147" s="24"/>
      <c r="AS147" s="24"/>
      <c r="AT147" s="24"/>
      <c r="AU147" s="183"/>
      <c r="AV147" s="24"/>
      <c r="AW147" s="24"/>
      <c r="AX147" s="297"/>
      <c r="AY147" s="297"/>
      <c r="AZ147" s="24"/>
      <c r="BA147" s="183"/>
      <c r="BB147" s="24"/>
      <c r="BC147" s="24"/>
      <c r="BD147" s="24"/>
      <c r="BE147" s="24"/>
      <c r="BF147" s="24"/>
      <c r="BG147" s="24"/>
      <c r="BH147" s="183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v>70</v>
      </c>
      <c r="B148" s="19" t="s">
        <v>138</v>
      </c>
      <c r="C148" s="184" t="s">
        <v>70</v>
      </c>
      <c r="D148" s="134">
        <v>10.468</v>
      </c>
      <c r="E148" s="134">
        <f>D148*4</f>
        <v>41.872</v>
      </c>
      <c r="F148" s="134">
        <f>E148*8</f>
        <v>334.976</v>
      </c>
      <c r="G148" s="134"/>
      <c r="H148" s="185"/>
      <c r="I148" s="19"/>
      <c r="J148" s="19"/>
      <c r="K148" s="186"/>
      <c r="L148" s="178">
        <v>4.351</v>
      </c>
      <c r="M148" s="15">
        <v>4.2219999999999995</v>
      </c>
      <c r="N148" s="15">
        <v>4.3E-3</v>
      </c>
      <c r="O148" s="15">
        <v>0.32100000000000001</v>
      </c>
      <c r="P148" s="180">
        <f t="shared" si="36"/>
        <v>8.8983000000000008</v>
      </c>
      <c r="Q148" s="178">
        <v>0.36299999999999999</v>
      </c>
      <c r="R148" s="15">
        <v>6.0000000000000001E-3</v>
      </c>
      <c r="S148" s="180">
        <f>SUM(Q148:R148)</f>
        <v>0.36899999999999999</v>
      </c>
      <c r="T148" s="181" t="s">
        <v>31</v>
      </c>
      <c r="U148" s="181" t="s">
        <v>575</v>
      </c>
      <c r="V148" s="15"/>
      <c r="W148" s="15" t="s">
        <v>504</v>
      </c>
      <c r="X148" s="15">
        <v>51.64</v>
      </c>
      <c r="Y148" s="15">
        <v>0.97</v>
      </c>
      <c r="Z148" s="15">
        <v>9.82</v>
      </c>
      <c r="AA148" s="15"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82"/>
      <c r="AM148" s="142" t="s">
        <v>20</v>
      </c>
      <c r="AN148" s="135" t="s">
        <v>552</v>
      </c>
      <c r="AO148" s="135" t="s">
        <v>21</v>
      </c>
      <c r="AP148" s="372">
        <f>AQ148-1</f>
        <v>45798</v>
      </c>
      <c r="AQ148" s="372">
        <f t="shared" ref="AQ148:AR148" si="45">AR148-2</f>
        <v>45799</v>
      </c>
      <c r="AR148" s="372">
        <f t="shared" si="45"/>
        <v>45801</v>
      </c>
      <c r="AS148" s="372">
        <v>45803</v>
      </c>
      <c r="AT148" s="187" t="s">
        <v>543</v>
      </c>
      <c r="AU148" s="188"/>
      <c r="AV148" s="142" t="s">
        <v>20</v>
      </c>
      <c r="AW148" s="15" t="s">
        <v>6</v>
      </c>
      <c r="AX148" s="297">
        <v>45814</v>
      </c>
      <c r="AY148" s="297">
        <f>AX148</f>
        <v>45814</v>
      </c>
      <c r="AZ148" s="24" t="str">
        <f>AT148</f>
        <v>Ram Singh-1</v>
      </c>
      <c r="BA148" s="183"/>
      <c r="BB148" s="142" t="s">
        <v>20</v>
      </c>
      <c r="BC148" s="135"/>
      <c r="BD148" s="135" t="s">
        <v>576</v>
      </c>
      <c r="BE148" s="298">
        <f>BF148-2</f>
        <v>45828</v>
      </c>
      <c r="BF148" s="298">
        <v>45830</v>
      </c>
      <c r="BG148" s="17" t="s">
        <v>553</v>
      </c>
      <c r="BH148" s="192"/>
      <c r="BI148" s="15"/>
      <c r="BJ148" s="135"/>
      <c r="BK148" s="135"/>
      <c r="BL148" s="25">
        <v>2144</v>
      </c>
      <c r="BM148" s="24"/>
      <c r="BN148" s="200" t="s">
        <v>557</v>
      </c>
      <c r="BO148" s="197"/>
    </row>
    <row r="149" spans="1:68" ht="14.25" hidden="1" customHeight="1">
      <c r="A149" s="15"/>
      <c r="B149" s="19"/>
      <c r="C149" s="184"/>
      <c r="D149" s="134"/>
      <c r="E149" s="134"/>
      <c r="F149" s="134"/>
      <c r="G149" s="134"/>
      <c r="H149" s="185"/>
      <c r="I149" s="19"/>
      <c r="J149" s="19"/>
      <c r="K149" s="186"/>
      <c r="L149" s="178"/>
      <c r="M149" s="15"/>
      <c r="N149" s="15"/>
      <c r="O149" s="15"/>
      <c r="P149" s="180">
        <f t="shared" si="36"/>
        <v>0</v>
      </c>
      <c r="Q149" s="178"/>
      <c r="R149" s="15"/>
      <c r="S149" s="180"/>
      <c r="T149" s="181"/>
      <c r="U149" s="181"/>
      <c r="V149" s="16">
        <v>295</v>
      </c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82"/>
      <c r="AM149" s="15"/>
      <c r="AN149" s="24"/>
      <c r="AO149" s="24"/>
      <c r="AP149" s="24"/>
      <c r="AQ149" s="24"/>
      <c r="AR149" s="24"/>
      <c r="AS149" s="24"/>
      <c r="AT149" s="24"/>
      <c r="AU149" s="183"/>
      <c r="AV149" s="24"/>
      <c r="AW149" s="24"/>
      <c r="AX149" s="297"/>
      <c r="AY149" s="297"/>
      <c r="AZ149" s="24"/>
      <c r="BA149" s="183"/>
      <c r="BB149" s="24"/>
      <c r="BC149" s="24"/>
      <c r="BD149" s="24"/>
      <c r="BE149" s="24"/>
      <c r="BF149" s="24"/>
      <c r="BG149" s="24"/>
      <c r="BH149" s="183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v>71</v>
      </c>
      <c r="B150" s="19" t="s">
        <v>139</v>
      </c>
      <c r="C150" s="184" t="s">
        <v>42</v>
      </c>
      <c r="D150" s="134">
        <v>6.3620000000000001</v>
      </c>
      <c r="E150" s="134">
        <f>D150*4</f>
        <v>25.448</v>
      </c>
      <c r="F150" s="134">
        <f>E150*8</f>
        <v>203.584</v>
      </c>
      <c r="G150" s="134"/>
      <c r="H150" s="185"/>
      <c r="I150" s="19"/>
      <c r="J150" s="19"/>
      <c r="K150" s="186"/>
      <c r="L150" s="178">
        <v>2.25</v>
      </c>
      <c r="M150" s="15">
        <v>2.1880000000000002</v>
      </c>
      <c r="N150" s="15">
        <v>2E-3</v>
      </c>
      <c r="O150" s="15">
        <v>0.183</v>
      </c>
      <c r="P150" s="180">
        <f t="shared" si="36"/>
        <v>4.6230000000000002</v>
      </c>
      <c r="Q150" s="178">
        <v>0.24399999999999999</v>
      </c>
      <c r="R150" s="15">
        <v>5.0000000000000001E-3</v>
      </c>
      <c r="S150" s="180">
        <f>SUM(Q150:R150)</f>
        <v>0.249</v>
      </c>
      <c r="T150" s="181" t="s">
        <v>31</v>
      </c>
      <c r="U150" s="181" t="s">
        <v>575</v>
      </c>
      <c r="V150" s="15"/>
      <c r="W150" s="15" t="s">
        <v>504</v>
      </c>
      <c r="X150" s="15">
        <v>41.44</v>
      </c>
      <c r="Y150" s="15">
        <v>0.8</v>
      </c>
      <c r="Z150" s="15">
        <v>7.8</v>
      </c>
      <c r="AA150" s="15"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82"/>
      <c r="AM150" s="142" t="s">
        <v>20</v>
      </c>
      <c r="AN150" s="135" t="s">
        <v>552</v>
      </c>
      <c r="AO150" s="135" t="s">
        <v>21</v>
      </c>
      <c r="AP150" s="372">
        <f t="shared" ref="AP150:AR150" si="46">AQ150-2</f>
        <v>45800</v>
      </c>
      <c r="AQ150" s="372">
        <f t="shared" si="46"/>
        <v>45802</v>
      </c>
      <c r="AR150" s="372">
        <f t="shared" si="46"/>
        <v>45804</v>
      </c>
      <c r="AS150" s="372">
        <v>45806</v>
      </c>
      <c r="AT150" s="187" t="s">
        <v>543</v>
      </c>
      <c r="AU150" s="188"/>
      <c r="AV150" s="142" t="s">
        <v>20</v>
      </c>
      <c r="AW150" s="15" t="s">
        <v>6</v>
      </c>
      <c r="AX150" s="297">
        <v>45814</v>
      </c>
      <c r="AY150" s="297">
        <f>AX150</f>
        <v>45814</v>
      </c>
      <c r="AZ150" s="24" t="str">
        <f>AT150</f>
        <v>Ram Singh-1</v>
      </c>
      <c r="BA150" s="183"/>
      <c r="BB150" s="142" t="s">
        <v>20</v>
      </c>
      <c r="BC150" s="135"/>
      <c r="BD150" s="135" t="s">
        <v>576</v>
      </c>
      <c r="BE150" s="298">
        <f>BF150-2</f>
        <v>45825</v>
      </c>
      <c r="BF150" s="298">
        <v>45827</v>
      </c>
      <c r="BG150" s="17" t="s">
        <v>553</v>
      </c>
      <c r="BH150" s="182"/>
      <c r="BI150" s="142" t="s">
        <v>20</v>
      </c>
      <c r="BJ150" s="135"/>
      <c r="BK150" s="135"/>
      <c r="BL150" s="25">
        <v>980</v>
      </c>
      <c r="BM150" s="24"/>
      <c r="BN150" s="15"/>
      <c r="BO150" s="15"/>
    </row>
    <row r="151" spans="1:68" ht="14.25" hidden="1" customHeight="1">
      <c r="A151" s="15"/>
      <c r="B151" s="19"/>
      <c r="C151" s="184"/>
      <c r="D151" s="134"/>
      <c r="E151" s="134"/>
      <c r="F151" s="134"/>
      <c r="G151" s="134"/>
      <c r="H151" s="185"/>
      <c r="I151" s="19"/>
      <c r="J151" s="19"/>
      <c r="K151" s="186"/>
      <c r="L151" s="178"/>
      <c r="M151" s="15"/>
      <c r="N151" s="15"/>
      <c r="O151" s="15"/>
      <c r="P151" s="180">
        <f t="shared" si="36"/>
        <v>0</v>
      </c>
      <c r="Q151" s="178"/>
      <c r="R151" s="15"/>
      <c r="S151" s="180"/>
      <c r="T151" s="181"/>
      <c r="U151" s="181"/>
      <c r="V151" s="16">
        <v>326</v>
      </c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82"/>
      <c r="AM151" s="15"/>
      <c r="AN151" s="24"/>
      <c r="AO151" s="24"/>
      <c r="AP151" s="24"/>
      <c r="AQ151" s="24"/>
      <c r="AR151" s="24"/>
      <c r="AS151" s="24"/>
      <c r="AT151" s="24"/>
      <c r="AU151" s="183"/>
      <c r="AV151" s="24"/>
      <c r="AW151" s="24"/>
      <c r="AX151" s="297"/>
      <c r="AY151" s="297"/>
      <c r="AZ151" s="24"/>
      <c r="BA151" s="183"/>
      <c r="BB151" s="24"/>
      <c r="BC151" s="24"/>
      <c r="BD151" s="24"/>
      <c r="BE151" s="24"/>
      <c r="BF151" s="24"/>
      <c r="BG151" s="24"/>
      <c r="BH151" s="183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v>72</v>
      </c>
      <c r="B152" s="19" t="s">
        <v>140</v>
      </c>
      <c r="C152" s="184" t="s">
        <v>56</v>
      </c>
      <c r="D152" s="134">
        <v>7.6219999999999999</v>
      </c>
      <c r="E152" s="134">
        <f>D152*4</f>
        <v>30.488</v>
      </c>
      <c r="F152" s="134">
        <f>E152*8</f>
        <v>243.904</v>
      </c>
      <c r="G152" s="134"/>
      <c r="H152" s="185"/>
      <c r="I152" s="19"/>
      <c r="J152" s="19"/>
      <c r="K152" s="186"/>
      <c r="L152" s="178">
        <v>2.6789999999999998</v>
      </c>
      <c r="M152" s="15">
        <v>3.133</v>
      </c>
      <c r="N152" s="15">
        <v>2.3E-3</v>
      </c>
      <c r="O152" s="15">
        <v>0.23299999999999998</v>
      </c>
      <c r="P152" s="180">
        <f t="shared" si="36"/>
        <v>6.047299999999999</v>
      </c>
      <c r="Q152" s="178">
        <v>0.24399999999999999</v>
      </c>
      <c r="R152" s="15">
        <v>5.0000000000000001E-3</v>
      </c>
      <c r="S152" s="180">
        <f>SUM(Q152:R152)</f>
        <v>0.249</v>
      </c>
      <c r="T152" s="181" t="s">
        <v>31</v>
      </c>
      <c r="U152" s="181" t="s">
        <v>575</v>
      </c>
      <c r="V152" s="15"/>
      <c r="W152" s="15" t="s">
        <v>504</v>
      </c>
      <c r="X152" s="15">
        <v>41.44</v>
      </c>
      <c r="Y152" s="15">
        <v>0.8</v>
      </c>
      <c r="Z152" s="15">
        <v>7.8</v>
      </c>
      <c r="AA152" s="15"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82"/>
      <c r="AM152" s="142" t="s">
        <v>20</v>
      </c>
      <c r="AN152" s="135" t="s">
        <v>552</v>
      </c>
      <c r="AO152" s="135" t="s">
        <v>21</v>
      </c>
      <c r="AP152" s="372">
        <f>AQ152-1</f>
        <v>45797</v>
      </c>
      <c r="AQ152" s="372">
        <f t="shared" ref="AQ152:AR152" si="47">AR152-2</f>
        <v>45798</v>
      </c>
      <c r="AR152" s="372">
        <f t="shared" si="47"/>
        <v>45800</v>
      </c>
      <c r="AS152" s="372">
        <v>45802</v>
      </c>
      <c r="AT152" s="187" t="s">
        <v>543</v>
      </c>
      <c r="AU152" s="188"/>
      <c r="AV152" s="142" t="s">
        <v>20</v>
      </c>
      <c r="AW152" s="15" t="s">
        <v>6</v>
      </c>
      <c r="AX152" s="297">
        <v>45814</v>
      </c>
      <c r="AY152" s="297">
        <f>AX152</f>
        <v>45814</v>
      </c>
      <c r="AZ152" s="24" t="str">
        <f>AT152</f>
        <v>Ram Singh-1</v>
      </c>
      <c r="BA152" s="183"/>
      <c r="BB152" s="142" t="s">
        <v>20</v>
      </c>
      <c r="BC152" s="135"/>
      <c r="BD152" s="135" t="s">
        <v>576</v>
      </c>
      <c r="BE152" s="298">
        <f>BF152-1</f>
        <v>45821</v>
      </c>
      <c r="BF152" s="298">
        <v>45822</v>
      </c>
      <c r="BG152" s="17" t="s">
        <v>553</v>
      </c>
      <c r="BH152" s="182"/>
      <c r="BI152" s="142" t="s">
        <v>20</v>
      </c>
      <c r="BJ152" s="135"/>
      <c r="BK152" s="135"/>
      <c r="BL152" s="25">
        <v>1545</v>
      </c>
      <c r="BM152" s="24"/>
      <c r="BN152" s="15"/>
      <c r="BO152" s="15"/>
    </row>
    <row r="153" spans="1:68" ht="14.25" hidden="1" customHeight="1">
      <c r="A153" s="15"/>
      <c r="B153" s="19"/>
      <c r="C153" s="184"/>
      <c r="D153" s="134"/>
      <c r="E153" s="134"/>
      <c r="F153" s="134"/>
      <c r="G153" s="134"/>
      <c r="H153" s="185"/>
      <c r="I153" s="19"/>
      <c r="J153" s="19"/>
      <c r="K153" s="186"/>
      <c r="L153" s="178"/>
      <c r="M153" s="15"/>
      <c r="N153" s="15"/>
      <c r="O153" s="15"/>
      <c r="P153" s="180">
        <f t="shared" si="36"/>
        <v>0</v>
      </c>
      <c r="Q153" s="178"/>
      <c r="R153" s="15"/>
      <c r="S153" s="180"/>
      <c r="T153" s="181"/>
      <c r="U153" s="181"/>
      <c r="V153" s="16">
        <v>298</v>
      </c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82"/>
      <c r="AM153" s="15"/>
      <c r="AN153" s="24"/>
      <c r="AO153" s="24"/>
      <c r="AP153" s="24"/>
      <c r="AQ153" s="24"/>
      <c r="AR153" s="24"/>
      <c r="AS153" s="24"/>
      <c r="AT153" s="24"/>
      <c r="AU153" s="183"/>
      <c r="AV153" s="24"/>
      <c r="AW153" s="24"/>
      <c r="AX153" s="297"/>
      <c r="AY153" s="297"/>
      <c r="AZ153" s="24"/>
      <c r="BA153" s="183"/>
      <c r="BB153" s="24"/>
      <c r="BC153" s="24"/>
      <c r="BD153" s="24"/>
      <c r="BE153" s="24"/>
      <c r="BF153" s="24"/>
      <c r="BG153" s="24"/>
      <c r="BH153" s="183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v>73</v>
      </c>
      <c r="B154" s="19" t="s">
        <v>141</v>
      </c>
      <c r="C154" s="184" t="s">
        <v>89</v>
      </c>
      <c r="D154" s="134">
        <v>8.6300000000000008</v>
      </c>
      <c r="E154" s="134">
        <f>D154*4</f>
        <v>34.520000000000003</v>
      </c>
      <c r="F154" s="134">
        <f>E154*8</f>
        <v>276.16000000000003</v>
      </c>
      <c r="G154" s="134"/>
      <c r="H154" s="185"/>
      <c r="I154" s="19"/>
      <c r="J154" s="19"/>
      <c r="K154" s="186"/>
      <c r="L154" s="178">
        <v>3.867</v>
      </c>
      <c r="M154" s="15">
        <v>3.306</v>
      </c>
      <c r="N154" s="15">
        <v>4.3E-3</v>
      </c>
      <c r="O154" s="15">
        <v>0.27500000000000002</v>
      </c>
      <c r="P154" s="180">
        <f t="shared" si="36"/>
        <v>7.4523000000000001</v>
      </c>
      <c r="Q154" s="178">
        <v>0.36299999999999999</v>
      </c>
      <c r="R154" s="15">
        <v>6.0000000000000001E-3</v>
      </c>
      <c r="S154" s="180">
        <f>SUM(Q154:R154)</f>
        <v>0.36899999999999999</v>
      </c>
      <c r="T154" s="181" t="s">
        <v>31</v>
      </c>
      <c r="U154" s="181" t="s">
        <v>575</v>
      </c>
      <c r="V154" s="15"/>
      <c r="W154" s="15" t="s">
        <v>504</v>
      </c>
      <c r="X154" s="15">
        <v>51.64</v>
      </c>
      <c r="Y154" s="15">
        <v>0.97</v>
      </c>
      <c r="Z154" s="15">
        <v>9.82</v>
      </c>
      <c r="AA154" s="15"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82"/>
      <c r="AM154" s="142" t="s">
        <v>20</v>
      </c>
      <c r="AN154" s="135" t="s">
        <v>552</v>
      </c>
      <c r="AO154" s="135" t="s">
        <v>21</v>
      </c>
      <c r="AP154" s="372">
        <f>AQ154-1</f>
        <v>45802</v>
      </c>
      <c r="AQ154" s="372">
        <f t="shared" ref="AQ154:AR154" si="48">AR154-2</f>
        <v>45803</v>
      </c>
      <c r="AR154" s="372">
        <f t="shared" si="48"/>
        <v>45805</v>
      </c>
      <c r="AS154" s="372">
        <v>45807</v>
      </c>
      <c r="AT154" s="187" t="s">
        <v>543</v>
      </c>
      <c r="AU154" s="188"/>
      <c r="AV154" s="142" t="s">
        <v>20</v>
      </c>
      <c r="AW154" s="15" t="s">
        <v>6</v>
      </c>
      <c r="AX154" s="297">
        <v>45814</v>
      </c>
      <c r="AY154" s="297">
        <f>AX154</f>
        <v>45814</v>
      </c>
      <c r="AZ154" s="24" t="str">
        <f>AT154</f>
        <v>Ram Singh-1</v>
      </c>
      <c r="BA154" s="183"/>
      <c r="BB154" s="142" t="s">
        <v>20</v>
      </c>
      <c r="BC154" s="135"/>
      <c r="BD154" s="135" t="s">
        <v>576</v>
      </c>
      <c r="BE154" s="298">
        <f>BF154-2</f>
        <v>45823</v>
      </c>
      <c r="BF154" s="298">
        <v>45825</v>
      </c>
      <c r="BG154" s="17" t="s">
        <v>553</v>
      </c>
      <c r="BH154" s="193"/>
      <c r="BI154" s="15"/>
      <c r="BJ154" s="17"/>
      <c r="BK154" s="17"/>
      <c r="BL154" s="25">
        <v>1560</v>
      </c>
      <c r="BM154" s="24"/>
      <c r="BN154" s="200" t="s">
        <v>557</v>
      </c>
      <c r="BO154" s="197"/>
    </row>
    <row r="155" spans="1:68" ht="14.25" hidden="1" customHeight="1">
      <c r="A155" s="15"/>
      <c r="B155" s="19"/>
      <c r="C155" s="184"/>
      <c r="D155" s="134"/>
      <c r="E155" s="134"/>
      <c r="F155" s="134"/>
      <c r="G155" s="134"/>
      <c r="H155" s="185"/>
      <c r="I155" s="19"/>
      <c r="J155" s="19"/>
      <c r="K155" s="186"/>
      <c r="L155" s="178"/>
      <c r="M155" s="15"/>
      <c r="N155" s="15"/>
      <c r="O155" s="15"/>
      <c r="P155" s="180">
        <f t="shared" si="36"/>
        <v>0</v>
      </c>
      <c r="Q155" s="178"/>
      <c r="R155" s="15"/>
      <c r="S155" s="180"/>
      <c r="T155" s="181"/>
      <c r="U155" s="181"/>
      <c r="V155" s="16">
        <v>489</v>
      </c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82"/>
      <c r="AM155" s="15"/>
      <c r="AN155" s="24"/>
      <c r="AO155" s="24"/>
      <c r="AP155" s="24"/>
      <c r="AQ155" s="24"/>
      <c r="AR155" s="24"/>
      <c r="AS155" s="24"/>
      <c r="AT155" s="24"/>
      <c r="AU155" s="183"/>
      <c r="AV155" s="24"/>
      <c r="AW155" s="24"/>
      <c r="AX155" s="297"/>
      <c r="AY155" s="297"/>
      <c r="AZ155" s="24"/>
      <c r="BA155" s="183"/>
      <c r="BB155" s="24"/>
      <c r="BC155" s="24"/>
      <c r="BD155" s="24"/>
      <c r="BE155" s="24"/>
      <c r="BF155" s="24"/>
      <c r="BG155" s="24"/>
      <c r="BH155" s="183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v>74</v>
      </c>
      <c r="B156" s="19" t="s">
        <v>142</v>
      </c>
      <c r="C156" s="184" t="s">
        <v>89</v>
      </c>
      <c r="D156" s="134">
        <v>8.6300000000000008</v>
      </c>
      <c r="E156" s="134">
        <f>D156*4</f>
        <v>34.520000000000003</v>
      </c>
      <c r="F156" s="134">
        <f>E156*8</f>
        <v>276.16000000000003</v>
      </c>
      <c r="G156" s="134"/>
      <c r="H156" s="185"/>
      <c r="I156" s="19"/>
      <c r="J156" s="19"/>
      <c r="K156" s="186"/>
      <c r="L156" s="178">
        <v>3.867</v>
      </c>
      <c r="M156" s="15">
        <v>3.306</v>
      </c>
      <c r="N156" s="15">
        <v>4.3E-3</v>
      </c>
      <c r="O156" s="15">
        <v>0.27500000000000002</v>
      </c>
      <c r="P156" s="180">
        <f t="shared" si="36"/>
        <v>7.4523000000000001</v>
      </c>
      <c r="Q156" s="178">
        <v>0.36299999999999999</v>
      </c>
      <c r="R156" s="15">
        <v>6.0000000000000001E-3</v>
      </c>
      <c r="S156" s="180">
        <f>SUM(Q156:R156)</f>
        <v>0.36899999999999999</v>
      </c>
      <c r="T156" s="181" t="s">
        <v>31</v>
      </c>
      <c r="U156" s="181" t="s">
        <v>575</v>
      </c>
      <c r="V156" s="15"/>
      <c r="W156" s="15" t="s">
        <v>504</v>
      </c>
      <c r="X156" s="15">
        <v>51.64</v>
      </c>
      <c r="Y156" s="15">
        <v>0.97</v>
      </c>
      <c r="Z156" s="15">
        <v>9.82</v>
      </c>
      <c r="AA156" s="15"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82"/>
      <c r="AM156" s="142" t="s">
        <v>20</v>
      </c>
      <c r="AN156" s="135"/>
      <c r="AO156" s="135"/>
      <c r="AP156" s="372">
        <f t="shared" ref="AP156:AR156" si="49">AQ156-2</f>
        <v>45798</v>
      </c>
      <c r="AQ156" s="372">
        <f t="shared" si="49"/>
        <v>45800</v>
      </c>
      <c r="AR156" s="372">
        <f t="shared" si="49"/>
        <v>45802</v>
      </c>
      <c r="AS156" s="372">
        <v>45804</v>
      </c>
      <c r="AT156" s="187" t="s">
        <v>578</v>
      </c>
      <c r="AU156" s="188"/>
      <c r="AV156" s="142" t="s">
        <v>20</v>
      </c>
      <c r="AW156" s="15" t="s">
        <v>6</v>
      </c>
      <c r="AX156" s="297">
        <v>45814</v>
      </c>
      <c r="AY156" s="297">
        <f>AX156</f>
        <v>45814</v>
      </c>
      <c r="AZ156" s="24" t="str">
        <f>AT156</f>
        <v>Viki Enterprice</v>
      </c>
      <c r="BA156" s="183"/>
      <c r="BB156" s="142" t="s">
        <v>20</v>
      </c>
      <c r="BC156" s="135"/>
      <c r="BD156" s="135" t="s">
        <v>576</v>
      </c>
      <c r="BE156" s="298">
        <f>BF156-2</f>
        <v>45844</v>
      </c>
      <c r="BF156" s="298">
        <v>45846</v>
      </c>
      <c r="BG156" s="17" t="s">
        <v>553</v>
      </c>
      <c r="BH156" s="193"/>
      <c r="BI156" s="142" t="s">
        <v>20</v>
      </c>
      <c r="BJ156" s="17"/>
      <c r="BK156" s="17"/>
      <c r="BL156" s="25">
        <v>1560</v>
      </c>
      <c r="BM156" s="24"/>
      <c r="BN156" s="200" t="s">
        <v>557</v>
      </c>
      <c r="BO156" s="197"/>
      <c r="BP156" s="145" t="s">
        <v>559</v>
      </c>
    </row>
    <row r="157" spans="1:68" ht="14.25" hidden="1" customHeight="1">
      <c r="A157" s="21"/>
      <c r="B157" s="19"/>
      <c r="C157" s="184"/>
      <c r="D157" s="134"/>
      <c r="E157" s="134"/>
      <c r="F157" s="134"/>
      <c r="G157" s="134"/>
      <c r="H157" s="185"/>
      <c r="I157" s="19"/>
      <c r="J157" s="19"/>
      <c r="K157" s="186"/>
      <c r="L157" s="178"/>
      <c r="M157" s="15"/>
      <c r="N157" s="15"/>
      <c r="O157" s="15"/>
      <c r="P157" s="180">
        <f t="shared" si="36"/>
        <v>0</v>
      </c>
      <c r="Q157" s="178"/>
      <c r="R157" s="15"/>
      <c r="S157" s="180"/>
      <c r="T157" s="181"/>
      <c r="U157" s="181"/>
      <c r="V157" s="16">
        <v>382.48</v>
      </c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82"/>
      <c r="AM157" s="15"/>
      <c r="AN157" s="24"/>
      <c r="AO157" s="24"/>
      <c r="AP157" s="24"/>
      <c r="AQ157" s="24"/>
      <c r="AR157" s="24"/>
      <c r="AS157" s="24"/>
      <c r="AT157" s="24"/>
      <c r="AU157" s="183"/>
      <c r="AV157" s="24"/>
      <c r="AW157" s="24"/>
      <c r="AX157" s="297"/>
      <c r="AY157" s="297"/>
      <c r="AZ157" s="24"/>
      <c r="BA157" s="183"/>
      <c r="BB157" s="24"/>
      <c r="BC157" s="24"/>
      <c r="BD157" s="24"/>
      <c r="BE157" s="24"/>
      <c r="BF157" s="24"/>
      <c r="BG157" s="24"/>
      <c r="BH157" s="183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v>75</v>
      </c>
      <c r="B158" s="19" t="s">
        <v>144</v>
      </c>
      <c r="C158" s="184" t="s">
        <v>46</v>
      </c>
      <c r="D158" s="134">
        <v>8.6259999999999994</v>
      </c>
      <c r="E158" s="134">
        <f>D158*4</f>
        <v>34.503999999999998</v>
      </c>
      <c r="F158" s="134">
        <f>E158*8</f>
        <v>276.03199999999998</v>
      </c>
      <c r="G158" s="134"/>
      <c r="H158" s="185"/>
      <c r="I158" s="19"/>
      <c r="J158" s="19"/>
      <c r="K158" s="186"/>
      <c r="L158" s="178">
        <v>4.5380000000000003</v>
      </c>
      <c r="M158" s="15">
        <v>3.23</v>
      </c>
      <c r="N158" s="15">
        <v>6.4000000000000003E-3</v>
      </c>
      <c r="O158" s="15">
        <v>0.42899999999999999</v>
      </c>
      <c r="P158" s="180">
        <f t="shared" si="36"/>
        <v>8.2034000000000002</v>
      </c>
      <c r="Q158" s="178">
        <v>0.436</v>
      </c>
      <c r="R158" s="15">
        <v>0.01</v>
      </c>
      <c r="S158" s="180">
        <f>SUM(Q158:R158)</f>
        <v>0.44600000000000001</v>
      </c>
      <c r="T158" s="181" t="s">
        <v>143</v>
      </c>
      <c r="U158" s="181" t="s">
        <v>575</v>
      </c>
      <c r="V158" s="15"/>
      <c r="W158" s="15" t="s">
        <v>504</v>
      </c>
      <c r="X158" s="15">
        <v>75.36</v>
      </c>
      <c r="Y158" s="15">
        <v>1.35</v>
      </c>
      <c r="Z158" s="15">
        <v>12.85</v>
      </c>
      <c r="AA158" s="15"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82"/>
      <c r="AM158" s="142" t="s">
        <v>20</v>
      </c>
      <c r="AN158" s="135" t="s">
        <v>552</v>
      </c>
      <c r="AO158" s="135" t="s">
        <v>21</v>
      </c>
      <c r="AP158" s="372">
        <f>AQ158-1</f>
        <v>45790</v>
      </c>
      <c r="AQ158" s="372">
        <f t="shared" ref="AQ158:AR158" si="50">AR158-2</f>
        <v>45791</v>
      </c>
      <c r="AR158" s="372">
        <f t="shared" si="50"/>
        <v>45793</v>
      </c>
      <c r="AS158" s="372">
        <v>45795</v>
      </c>
      <c r="AT158" s="187" t="s">
        <v>578</v>
      </c>
      <c r="AU158" s="188"/>
      <c r="AV158" s="142" t="s">
        <v>20</v>
      </c>
      <c r="AW158" s="15" t="s">
        <v>6</v>
      </c>
      <c r="AX158" s="297">
        <v>45814</v>
      </c>
      <c r="AY158" s="297">
        <f>AX158</f>
        <v>45814</v>
      </c>
      <c r="AZ158" s="24" t="str">
        <f>AT158</f>
        <v>Viki Enterprice</v>
      </c>
      <c r="BA158" s="183"/>
      <c r="BB158" s="142" t="s">
        <v>20</v>
      </c>
      <c r="BC158" s="135"/>
      <c r="BD158" s="135" t="s">
        <v>576</v>
      </c>
      <c r="BE158" s="298">
        <f>BF158-2</f>
        <v>45840</v>
      </c>
      <c r="BF158" s="298">
        <v>45842</v>
      </c>
      <c r="BG158" s="17" t="s">
        <v>553</v>
      </c>
      <c r="BH158" s="182"/>
      <c r="BI158" s="142" t="s">
        <v>20</v>
      </c>
      <c r="BJ158" s="17"/>
      <c r="BK158" s="17"/>
      <c r="BL158" s="25">
        <v>1433</v>
      </c>
      <c r="BM158" s="190" t="s">
        <v>545</v>
      </c>
      <c r="BN158" s="24"/>
      <c r="BO158" s="24"/>
    </row>
    <row r="159" spans="1:68" ht="14.25" hidden="1" customHeight="1">
      <c r="A159" s="21"/>
      <c r="B159" s="19"/>
      <c r="C159" s="184"/>
      <c r="D159" s="134"/>
      <c r="E159" s="134"/>
      <c r="F159" s="134"/>
      <c r="G159" s="134"/>
      <c r="H159" s="185"/>
      <c r="I159" s="19"/>
      <c r="J159" s="19"/>
      <c r="K159" s="186"/>
      <c r="L159" s="178"/>
      <c r="M159" s="15"/>
      <c r="N159" s="15"/>
      <c r="O159" s="15"/>
      <c r="P159" s="180">
        <f t="shared" si="36"/>
        <v>0</v>
      </c>
      <c r="Q159" s="178"/>
      <c r="R159" s="15"/>
      <c r="S159" s="180"/>
      <c r="T159" s="204"/>
      <c r="U159" s="204"/>
      <c r="V159" s="15">
        <v>372.4</v>
      </c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82"/>
      <c r="AM159" s="15"/>
      <c r="AN159" s="24"/>
      <c r="AO159" s="24"/>
      <c r="AP159" s="24"/>
      <c r="AQ159" s="24"/>
      <c r="AR159" s="24"/>
      <c r="AS159" s="24"/>
      <c r="AT159" s="24"/>
      <c r="AU159" s="183"/>
      <c r="AV159" s="24"/>
      <c r="AW159" s="24"/>
      <c r="AX159" s="297"/>
      <c r="AY159" s="297"/>
      <c r="AZ159" s="24"/>
      <c r="BA159" s="183"/>
      <c r="BB159" s="24"/>
      <c r="BC159" s="24"/>
      <c r="BD159" s="24"/>
      <c r="BE159" s="24"/>
      <c r="BF159" s="24"/>
      <c r="BG159" s="24"/>
      <c r="BH159" s="183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v>76</v>
      </c>
      <c r="B160" s="19" t="s">
        <v>145</v>
      </c>
      <c r="C160" s="184" t="s">
        <v>42</v>
      </c>
      <c r="D160" s="134">
        <v>6.3620000000000001</v>
      </c>
      <c r="E160" s="134">
        <f>D160*4</f>
        <v>25.448</v>
      </c>
      <c r="F160" s="134">
        <f>E160*8</f>
        <v>203.584</v>
      </c>
      <c r="G160" s="134"/>
      <c r="H160" s="185"/>
      <c r="I160" s="19"/>
      <c r="J160" s="19"/>
      <c r="K160" s="186"/>
      <c r="L160" s="178">
        <v>2.25</v>
      </c>
      <c r="M160" s="15">
        <v>2.1880000000000002</v>
      </c>
      <c r="N160" s="15">
        <v>2E-3</v>
      </c>
      <c r="O160" s="15">
        <v>0.183</v>
      </c>
      <c r="P160" s="180">
        <f t="shared" si="36"/>
        <v>4.6230000000000002</v>
      </c>
      <c r="Q160" s="178">
        <v>0.24399999999999999</v>
      </c>
      <c r="R160" s="15">
        <v>5.0000000000000001E-3</v>
      </c>
      <c r="S160" s="180">
        <f>SUM(Q160:R160)</f>
        <v>0.249</v>
      </c>
      <c r="T160" s="204" t="s">
        <v>31</v>
      </c>
      <c r="U160" s="181" t="s">
        <v>575</v>
      </c>
      <c r="V160" s="15"/>
      <c r="W160" s="15" t="s">
        <v>504</v>
      </c>
      <c r="X160" s="15">
        <v>41.44</v>
      </c>
      <c r="Y160" s="15">
        <v>0.8</v>
      </c>
      <c r="Z160" s="15">
        <v>7.8</v>
      </c>
      <c r="AA160" s="15"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82"/>
      <c r="AM160" s="142" t="s">
        <v>20</v>
      </c>
      <c r="AN160" s="135" t="s">
        <v>552</v>
      </c>
      <c r="AO160" s="135" t="s">
        <v>21</v>
      </c>
      <c r="AP160" s="372">
        <f t="shared" ref="AP160:AS160" si="51">AP158-1</f>
        <v>45789</v>
      </c>
      <c r="AQ160" s="372">
        <f t="shared" si="51"/>
        <v>45790</v>
      </c>
      <c r="AR160" s="372">
        <f t="shared" si="51"/>
        <v>45792</v>
      </c>
      <c r="AS160" s="372">
        <f t="shared" si="51"/>
        <v>45794</v>
      </c>
      <c r="AT160" s="187" t="s">
        <v>578</v>
      </c>
      <c r="AU160" s="188"/>
      <c r="AV160" s="142" t="s">
        <v>20</v>
      </c>
      <c r="AW160" s="15" t="s">
        <v>6</v>
      </c>
      <c r="AX160" s="297">
        <v>45805</v>
      </c>
      <c r="AY160" s="297">
        <v>45805</v>
      </c>
      <c r="AZ160" s="24" t="str">
        <f>AT160</f>
        <v>Viki Enterprice</v>
      </c>
      <c r="BA160" s="183"/>
      <c r="BB160" s="142" t="s">
        <v>20</v>
      </c>
      <c r="BC160" s="135"/>
      <c r="BD160" s="135" t="s">
        <v>576</v>
      </c>
      <c r="BE160" s="298">
        <f>BF160-2</f>
        <v>45842</v>
      </c>
      <c r="BF160" s="298">
        <v>45844</v>
      </c>
      <c r="BG160" s="17" t="s">
        <v>553</v>
      </c>
      <c r="BH160" s="182"/>
      <c r="BI160" s="142" t="s">
        <v>20</v>
      </c>
      <c r="BJ160" s="17"/>
      <c r="BK160" s="17"/>
      <c r="BL160" s="25">
        <v>980</v>
      </c>
      <c r="BM160" s="190" t="s">
        <v>545</v>
      </c>
      <c r="BN160" s="24"/>
      <c r="BO160" s="24"/>
    </row>
    <row r="161" spans="1:66" ht="14.25" hidden="1" customHeight="1">
      <c r="A161" s="21"/>
      <c r="B161" s="19"/>
      <c r="C161" s="184"/>
      <c r="D161" s="134"/>
      <c r="E161" s="134"/>
      <c r="F161" s="134"/>
      <c r="G161" s="134"/>
      <c r="H161" s="185"/>
      <c r="I161" s="19"/>
      <c r="J161" s="19"/>
      <c r="K161" s="186"/>
      <c r="L161" s="178"/>
      <c r="M161" s="15"/>
      <c r="N161" s="15"/>
      <c r="O161" s="15"/>
      <c r="P161" s="180">
        <f t="shared" si="36"/>
        <v>0</v>
      </c>
      <c r="Q161" s="178"/>
      <c r="R161" s="15"/>
      <c r="S161" s="180"/>
      <c r="T161" s="204"/>
      <c r="U161" s="204"/>
      <c r="V161" s="15">
        <v>350.02</v>
      </c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82"/>
      <c r="AM161" s="15"/>
      <c r="AN161" s="24"/>
      <c r="AO161" s="24"/>
      <c r="AP161" s="24"/>
      <c r="AQ161" s="24"/>
      <c r="AR161" s="24"/>
      <c r="AS161" s="24"/>
      <c r="AT161" s="24"/>
      <c r="AU161" s="183"/>
      <c r="AV161" s="24"/>
      <c r="AW161" s="24"/>
      <c r="AX161" s="297"/>
      <c r="AY161" s="297"/>
      <c r="AZ161" s="24"/>
      <c r="BA161" s="183"/>
      <c r="BB161" s="24"/>
      <c r="BC161" s="24"/>
      <c r="BD161" s="24"/>
      <c r="BE161" s="24"/>
      <c r="BF161" s="24"/>
      <c r="BG161" s="24"/>
      <c r="BH161" s="183"/>
      <c r="BI161" s="24"/>
      <c r="BJ161" s="24"/>
      <c r="BK161" s="24"/>
      <c r="BL161" s="24"/>
      <c r="BM161" s="24"/>
      <c r="BN161" s="24"/>
    </row>
    <row r="162" spans="1:66" ht="14.25" customHeight="1">
      <c r="A162" s="15">
        <v>77</v>
      </c>
      <c r="B162" s="19" t="s">
        <v>146</v>
      </c>
      <c r="C162" s="184" t="s">
        <v>37</v>
      </c>
      <c r="D162" s="134">
        <v>6.992</v>
      </c>
      <c r="E162" s="134">
        <f>D162*4</f>
        <v>27.968</v>
      </c>
      <c r="F162" s="134">
        <f>E162*8</f>
        <v>223.744</v>
      </c>
      <c r="G162" s="134"/>
      <c r="H162" s="185"/>
      <c r="I162" s="19"/>
      <c r="J162" s="19"/>
      <c r="K162" s="186"/>
      <c r="L162" s="178">
        <v>2.6070000000000002</v>
      </c>
      <c r="M162" s="15">
        <v>2.657</v>
      </c>
      <c r="N162" s="15">
        <v>2E-3</v>
      </c>
      <c r="O162" s="15">
        <v>0.21299999999999999</v>
      </c>
      <c r="P162" s="180">
        <f t="shared" si="36"/>
        <v>5.4790000000000001</v>
      </c>
      <c r="Q162" s="178">
        <v>0.24399999999999999</v>
      </c>
      <c r="R162" s="15">
        <v>5.0000000000000001E-3</v>
      </c>
      <c r="S162" s="180">
        <f>SUM(Q162:R162)</f>
        <v>0.249</v>
      </c>
      <c r="T162" s="204" t="s">
        <v>31</v>
      </c>
      <c r="U162" s="181" t="s">
        <v>575</v>
      </c>
      <c r="V162" s="15"/>
      <c r="W162" s="15" t="s">
        <v>504</v>
      </c>
      <c r="X162" s="15">
        <v>41.44</v>
      </c>
      <c r="Y162" s="15">
        <v>0.8</v>
      </c>
      <c r="Z162" s="15">
        <v>7.8</v>
      </c>
      <c r="AA162" s="15"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82"/>
      <c r="AM162" s="142" t="s">
        <v>20</v>
      </c>
      <c r="AN162" s="135" t="s">
        <v>552</v>
      </c>
      <c r="AO162" s="135" t="s">
        <v>21</v>
      </c>
      <c r="AP162" s="372">
        <f t="shared" ref="AP162:AR162" si="52">AQ162-2</f>
        <v>45793</v>
      </c>
      <c r="AQ162" s="372">
        <f t="shared" si="52"/>
        <v>45795</v>
      </c>
      <c r="AR162" s="372">
        <f t="shared" si="52"/>
        <v>45797</v>
      </c>
      <c r="AS162" s="372">
        <v>45799</v>
      </c>
      <c r="AT162" s="187" t="s">
        <v>579</v>
      </c>
      <c r="AU162" s="188"/>
      <c r="AV162" s="142" t="s">
        <v>20</v>
      </c>
      <c r="AW162" s="15" t="s">
        <v>6</v>
      </c>
      <c r="AX162" s="297">
        <v>45814</v>
      </c>
      <c r="AY162" s="297">
        <f>AX162</f>
        <v>45814</v>
      </c>
      <c r="AZ162" s="24" t="str">
        <f>AT162</f>
        <v>Shree Shyam Cont</v>
      </c>
      <c r="BA162" s="183"/>
      <c r="BB162" s="142" t="s">
        <v>20</v>
      </c>
      <c r="BC162" s="135"/>
      <c r="BD162" s="135" t="s">
        <v>576</v>
      </c>
      <c r="BE162" s="298">
        <f>BF162-2</f>
        <v>45839</v>
      </c>
      <c r="BF162" s="298">
        <v>45841</v>
      </c>
      <c r="BG162" s="25" t="s">
        <v>510</v>
      </c>
      <c r="BH162" s="182"/>
      <c r="BI162" s="142" t="s">
        <v>20</v>
      </c>
      <c r="BJ162" s="17"/>
      <c r="BK162" s="17"/>
      <c r="BL162" s="25">
        <v>1330</v>
      </c>
      <c r="BM162" s="190" t="s">
        <v>545</v>
      </c>
      <c r="BN162" s="24"/>
    </row>
    <row r="163" spans="1:66" ht="14.25" hidden="1" customHeight="1">
      <c r="A163" s="21"/>
      <c r="B163" s="19"/>
      <c r="C163" s="184"/>
      <c r="D163" s="134"/>
      <c r="E163" s="134"/>
      <c r="F163" s="134"/>
      <c r="G163" s="134"/>
      <c r="H163" s="185"/>
      <c r="I163" s="19"/>
      <c r="J163" s="19"/>
      <c r="K163" s="186"/>
      <c r="L163" s="178"/>
      <c r="M163" s="15"/>
      <c r="N163" s="15"/>
      <c r="O163" s="15"/>
      <c r="P163" s="180">
        <f t="shared" si="36"/>
        <v>0</v>
      </c>
      <c r="Q163" s="178"/>
      <c r="R163" s="15"/>
      <c r="S163" s="180"/>
      <c r="T163" s="204"/>
      <c r="U163" s="204"/>
      <c r="V163" s="15">
        <v>303.57</v>
      </c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82"/>
      <c r="AM163" s="15"/>
      <c r="AN163" s="24"/>
      <c r="AO163" s="24"/>
      <c r="AP163" s="24"/>
      <c r="AQ163" s="24"/>
      <c r="AR163" s="24"/>
      <c r="AS163" s="24"/>
      <c r="AT163" s="24"/>
      <c r="AU163" s="183"/>
      <c r="AV163" s="24"/>
      <c r="AW163" s="24"/>
      <c r="AX163" s="297"/>
      <c r="AY163" s="297"/>
      <c r="AZ163" s="24"/>
      <c r="BA163" s="183"/>
      <c r="BB163" s="15"/>
      <c r="BC163" s="24"/>
      <c r="BD163" s="24"/>
      <c r="BE163" s="24"/>
      <c r="BF163" s="24"/>
      <c r="BG163" s="24"/>
      <c r="BH163" s="183"/>
      <c r="BI163" s="24"/>
      <c r="BJ163" s="24"/>
      <c r="BK163" s="24"/>
      <c r="BL163" s="24"/>
      <c r="BM163" s="24"/>
      <c r="BN163" s="24"/>
    </row>
    <row r="164" spans="1:66" ht="14.25" customHeight="1">
      <c r="A164" s="15">
        <v>78</v>
      </c>
      <c r="B164" s="19" t="s">
        <v>147</v>
      </c>
      <c r="C164" s="184" t="s">
        <v>42</v>
      </c>
      <c r="D164" s="134">
        <v>6.3620000000000001</v>
      </c>
      <c r="E164" s="134">
        <f>D164*4</f>
        <v>25.448</v>
      </c>
      <c r="F164" s="134">
        <f>E164*8</f>
        <v>203.584</v>
      </c>
      <c r="G164" s="134"/>
      <c r="H164" s="185"/>
      <c r="I164" s="19"/>
      <c r="J164" s="19"/>
      <c r="K164" s="186"/>
      <c r="L164" s="178">
        <v>2.25</v>
      </c>
      <c r="M164" s="15">
        <v>2.1880000000000002</v>
      </c>
      <c r="N164" s="15">
        <v>2E-3</v>
      </c>
      <c r="O164" s="15">
        <v>0.183</v>
      </c>
      <c r="P164" s="180">
        <f t="shared" si="36"/>
        <v>4.6230000000000002</v>
      </c>
      <c r="Q164" s="178">
        <v>0.24399999999999999</v>
      </c>
      <c r="R164" s="15">
        <v>5.0000000000000001E-3</v>
      </c>
      <c r="S164" s="180">
        <f>SUM(Q164:R164)</f>
        <v>0.249</v>
      </c>
      <c r="T164" s="204" t="s">
        <v>31</v>
      </c>
      <c r="U164" s="181" t="s">
        <v>575</v>
      </c>
      <c r="V164" s="15"/>
      <c r="W164" s="15" t="s">
        <v>504</v>
      </c>
      <c r="X164" s="15">
        <v>41.44</v>
      </c>
      <c r="Y164" s="15">
        <v>0.8</v>
      </c>
      <c r="Z164" s="15">
        <v>7.8</v>
      </c>
      <c r="AA164" s="15"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82"/>
      <c r="AM164" s="142" t="s">
        <v>20</v>
      </c>
      <c r="AN164" s="135" t="s">
        <v>552</v>
      </c>
      <c r="AO164" s="135" t="s">
        <v>21</v>
      </c>
      <c r="AP164" s="372">
        <f t="shared" ref="AP164:AR164" si="53">AQ164-2</f>
        <v>45807</v>
      </c>
      <c r="AQ164" s="372">
        <f t="shared" si="53"/>
        <v>45809</v>
      </c>
      <c r="AR164" s="372">
        <f t="shared" si="53"/>
        <v>45811</v>
      </c>
      <c r="AS164" s="372">
        <v>45813</v>
      </c>
      <c r="AT164" s="187" t="s">
        <v>578</v>
      </c>
      <c r="AU164" s="188"/>
      <c r="AV164" s="142" t="s">
        <v>20</v>
      </c>
      <c r="AW164" s="15" t="s">
        <v>6</v>
      </c>
      <c r="AX164" s="297">
        <v>45814</v>
      </c>
      <c r="AY164" s="297">
        <f>AX164</f>
        <v>45814</v>
      </c>
      <c r="AZ164" s="24" t="str">
        <f>AT164</f>
        <v>Viki Enterprice</v>
      </c>
      <c r="BA164" s="183"/>
      <c r="BB164" s="142" t="s">
        <v>20</v>
      </c>
      <c r="BC164" s="135"/>
      <c r="BD164" s="135" t="s">
        <v>576</v>
      </c>
      <c r="BE164" s="298">
        <f>BF164-2</f>
        <v>45841</v>
      </c>
      <c r="BF164" s="298">
        <v>45843</v>
      </c>
      <c r="BG164" s="25" t="s">
        <v>510</v>
      </c>
      <c r="BH164" s="193"/>
      <c r="BI164" s="142" t="s">
        <v>20</v>
      </c>
      <c r="BJ164" s="17"/>
      <c r="BK164" s="17"/>
      <c r="BL164" s="25">
        <v>980</v>
      </c>
      <c r="BM164" s="190" t="s">
        <v>545</v>
      </c>
      <c r="BN164" s="24"/>
    </row>
    <row r="165" spans="1:66" ht="14.25" hidden="1" customHeight="1">
      <c r="A165" s="21"/>
      <c r="B165" s="19"/>
      <c r="C165" s="184"/>
      <c r="D165" s="134"/>
      <c r="E165" s="134"/>
      <c r="F165" s="134"/>
      <c r="G165" s="134"/>
      <c r="H165" s="185"/>
      <c r="I165" s="19"/>
      <c r="J165" s="19"/>
      <c r="K165" s="186"/>
      <c r="L165" s="178"/>
      <c r="M165" s="15"/>
      <c r="N165" s="15"/>
      <c r="O165" s="15"/>
      <c r="P165" s="180">
        <f t="shared" si="36"/>
        <v>0</v>
      </c>
      <c r="Q165" s="178"/>
      <c r="R165" s="15"/>
      <c r="S165" s="180"/>
      <c r="T165" s="204"/>
      <c r="U165" s="204"/>
      <c r="V165" s="15">
        <v>224.33</v>
      </c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82"/>
      <c r="AM165" s="15"/>
      <c r="AN165" s="24"/>
      <c r="AO165" s="24"/>
      <c r="AP165" s="24"/>
      <c r="AQ165" s="24"/>
      <c r="AR165" s="24"/>
      <c r="AS165" s="24"/>
      <c r="AT165" s="24"/>
      <c r="AU165" s="183"/>
      <c r="AV165" s="24"/>
      <c r="AW165" s="24"/>
      <c r="AX165" s="297"/>
      <c r="AY165" s="297"/>
      <c r="AZ165" s="24"/>
      <c r="BA165" s="183"/>
      <c r="BB165" s="15"/>
      <c r="BC165" s="24"/>
      <c r="BD165" s="24"/>
      <c r="BE165" s="24"/>
      <c r="BF165" s="24"/>
      <c r="BG165" s="24"/>
      <c r="BH165" s="183"/>
      <c r="BI165" s="24"/>
      <c r="BJ165" s="24"/>
      <c r="BK165" s="24"/>
      <c r="BL165" s="24"/>
      <c r="BM165" s="24"/>
      <c r="BN165" s="24"/>
    </row>
    <row r="166" spans="1:66" ht="14.25" customHeight="1">
      <c r="A166" s="15">
        <v>79</v>
      </c>
      <c r="B166" s="19" t="s">
        <v>148</v>
      </c>
      <c r="C166" s="184" t="s">
        <v>76</v>
      </c>
      <c r="D166" s="134">
        <v>7.71</v>
      </c>
      <c r="E166" s="134">
        <f>D166*4</f>
        <v>30.84</v>
      </c>
      <c r="F166" s="134">
        <f>E166*8</f>
        <v>246.72</v>
      </c>
      <c r="G166" s="134"/>
      <c r="H166" s="185"/>
      <c r="I166" s="19"/>
      <c r="J166" s="19"/>
      <c r="K166" s="186"/>
      <c r="L166" s="178">
        <v>3.452</v>
      </c>
      <c r="M166" s="15">
        <v>2.633</v>
      </c>
      <c r="N166" s="15">
        <v>4.0000000000000001E-3</v>
      </c>
      <c r="O166" s="15">
        <v>0.24099999999999999</v>
      </c>
      <c r="P166" s="180">
        <f t="shared" si="36"/>
        <v>6.3299999999999992</v>
      </c>
      <c r="Q166" s="178">
        <v>0.36299999999999999</v>
      </c>
      <c r="R166" s="15">
        <v>6.0000000000000001E-3</v>
      </c>
      <c r="S166" s="180">
        <f>SUM(Q166:R166)</f>
        <v>0.36899999999999999</v>
      </c>
      <c r="T166" s="204" t="s">
        <v>31</v>
      </c>
      <c r="U166" s="181" t="s">
        <v>575</v>
      </c>
      <c r="V166" s="15"/>
      <c r="W166" s="15" t="s">
        <v>504</v>
      </c>
      <c r="X166" s="15">
        <v>51.64</v>
      </c>
      <c r="Y166" s="15">
        <v>0.97</v>
      </c>
      <c r="Z166" s="15">
        <v>9.82</v>
      </c>
      <c r="AA166" s="15"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82"/>
      <c r="AM166" s="142" t="s">
        <v>20</v>
      </c>
      <c r="AN166" s="135" t="s">
        <v>552</v>
      </c>
      <c r="AO166" s="135" t="s">
        <v>21</v>
      </c>
      <c r="AP166" s="372">
        <f t="shared" ref="AP166:AR166" si="54">AQ166-2</f>
        <v>45807</v>
      </c>
      <c r="AQ166" s="372">
        <f t="shared" si="54"/>
        <v>45809</v>
      </c>
      <c r="AR166" s="372">
        <f t="shared" si="54"/>
        <v>45811</v>
      </c>
      <c r="AS166" s="372">
        <v>45813</v>
      </c>
      <c r="AT166" s="187" t="s">
        <v>578</v>
      </c>
      <c r="AU166" s="188"/>
      <c r="AV166" s="142" t="s">
        <v>20</v>
      </c>
      <c r="AW166" s="15" t="s">
        <v>6</v>
      </c>
      <c r="AX166" s="297">
        <v>45814</v>
      </c>
      <c r="AY166" s="297">
        <f>AX166</f>
        <v>45814</v>
      </c>
      <c r="AZ166" s="24" t="str">
        <f>AT166</f>
        <v>Viki Enterprice</v>
      </c>
      <c r="BA166" s="183"/>
      <c r="BB166" s="142" t="s">
        <v>20</v>
      </c>
      <c r="BC166" s="135"/>
      <c r="BD166" s="135" t="s">
        <v>576</v>
      </c>
      <c r="BE166" s="298">
        <f>BF166</f>
        <v>45845</v>
      </c>
      <c r="BF166" s="298">
        <v>45845</v>
      </c>
      <c r="BG166" s="25" t="s">
        <v>510</v>
      </c>
      <c r="BH166" s="194"/>
      <c r="BI166" s="142" t="s">
        <v>20</v>
      </c>
      <c r="BJ166" s="135"/>
      <c r="BK166" s="135"/>
      <c r="BL166" s="25">
        <v>1252</v>
      </c>
      <c r="BM166" s="190" t="s">
        <v>545</v>
      </c>
      <c r="BN166" s="200" t="s">
        <v>557</v>
      </c>
    </row>
    <row r="167" spans="1:66" ht="14.25" hidden="1" customHeight="1">
      <c r="A167" s="21"/>
      <c r="B167" s="19"/>
      <c r="C167" s="184"/>
      <c r="D167" s="134"/>
      <c r="E167" s="134"/>
      <c r="F167" s="134"/>
      <c r="G167" s="134"/>
      <c r="H167" s="185"/>
      <c r="I167" s="19"/>
      <c r="J167" s="19"/>
      <c r="K167" s="186"/>
      <c r="L167" s="178"/>
      <c r="M167" s="15"/>
      <c r="N167" s="15"/>
      <c r="O167" s="15"/>
      <c r="P167" s="180">
        <f t="shared" si="36"/>
        <v>0</v>
      </c>
      <c r="Q167" s="178"/>
      <c r="R167" s="15"/>
      <c r="S167" s="180"/>
      <c r="T167" s="204"/>
      <c r="U167" s="204"/>
      <c r="V167" s="15">
        <v>246.76</v>
      </c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82"/>
      <c r="AM167" s="15"/>
      <c r="AN167" s="24"/>
      <c r="AO167" s="24"/>
      <c r="AP167" s="24"/>
      <c r="AQ167" s="24"/>
      <c r="AR167" s="24"/>
      <c r="AS167" s="24"/>
      <c r="AT167" s="24"/>
      <c r="AU167" s="183"/>
      <c r="AV167" s="24"/>
      <c r="AW167" s="24"/>
      <c r="AX167" s="297"/>
      <c r="AY167" s="297"/>
      <c r="AZ167" s="24"/>
      <c r="BA167" s="183"/>
      <c r="BB167" s="15"/>
      <c r="BC167" s="24"/>
      <c r="BD167" s="24"/>
      <c r="BE167" s="24"/>
      <c r="BF167" s="24"/>
      <c r="BG167" s="24"/>
      <c r="BH167" s="183"/>
      <c r="BI167" s="24"/>
      <c r="BJ167" s="24"/>
      <c r="BK167" s="24"/>
      <c r="BL167" s="24"/>
      <c r="BM167" s="24"/>
      <c r="BN167" s="24"/>
    </row>
    <row r="168" spans="1:66" ht="14.25" customHeight="1">
      <c r="A168" s="15">
        <v>80</v>
      </c>
      <c r="B168" s="19" t="s">
        <v>149</v>
      </c>
      <c r="C168" s="184" t="s">
        <v>81</v>
      </c>
      <c r="D168" s="134">
        <v>9.5489999999999995</v>
      </c>
      <c r="E168" s="134">
        <f>D168*4</f>
        <v>38.195999999999998</v>
      </c>
      <c r="F168" s="134">
        <f>E168*8</f>
        <v>305.56799999999998</v>
      </c>
      <c r="G168" s="134"/>
      <c r="H168" s="185"/>
      <c r="I168" s="19"/>
      <c r="J168" s="19"/>
      <c r="K168" s="186"/>
      <c r="L168" s="178">
        <v>4.1440000000000001</v>
      </c>
      <c r="M168" s="15">
        <v>3.6950000000000003</v>
      </c>
      <c r="N168" s="15">
        <v>4.4000000000000003E-3</v>
      </c>
      <c r="O168" s="15">
        <v>0.29699999999999999</v>
      </c>
      <c r="P168" s="180">
        <f t="shared" si="36"/>
        <v>8.1404000000000014</v>
      </c>
      <c r="Q168" s="178">
        <v>0.36299999999999999</v>
      </c>
      <c r="R168" s="15">
        <v>6.0000000000000001E-3</v>
      </c>
      <c r="S168" s="180">
        <f>SUM(Q168:R168)</f>
        <v>0.36899999999999999</v>
      </c>
      <c r="T168" s="204" t="s">
        <v>31</v>
      </c>
      <c r="U168" s="181" t="s">
        <v>575</v>
      </c>
      <c r="V168" s="15"/>
      <c r="W168" s="15" t="s">
        <v>504</v>
      </c>
      <c r="X168" s="15">
        <v>51.64</v>
      </c>
      <c r="Y168" s="15">
        <v>0.97</v>
      </c>
      <c r="Z168" s="15">
        <v>9.82</v>
      </c>
      <c r="AA168" s="15"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82"/>
      <c r="AM168" s="142" t="s">
        <v>20</v>
      </c>
      <c r="AN168" s="135" t="s">
        <v>552</v>
      </c>
      <c r="AO168" s="135" t="s">
        <v>21</v>
      </c>
      <c r="AP168" s="372">
        <f t="shared" ref="AP168:AR168" si="55">AQ168-2</f>
        <v>45796</v>
      </c>
      <c r="AQ168" s="372">
        <f t="shared" si="55"/>
        <v>45798</v>
      </c>
      <c r="AR168" s="372">
        <f t="shared" si="55"/>
        <v>45800</v>
      </c>
      <c r="AS168" s="372">
        <v>45802</v>
      </c>
      <c r="AT168" s="24" t="s">
        <v>550</v>
      </c>
      <c r="AU168" s="183"/>
      <c r="AV168" s="142" t="s">
        <v>20</v>
      </c>
      <c r="AW168" s="15" t="s">
        <v>6</v>
      </c>
      <c r="AX168" s="297">
        <v>45805</v>
      </c>
      <c r="AY168" s="297">
        <v>45805</v>
      </c>
      <c r="AZ168" s="24" t="str">
        <f>AT168</f>
        <v>Shree Shyam</v>
      </c>
      <c r="BA168" s="183"/>
      <c r="BB168" s="142" t="s">
        <v>20</v>
      </c>
      <c r="BC168" s="135"/>
      <c r="BD168" s="135" t="s">
        <v>565</v>
      </c>
      <c r="BE168" s="298">
        <f>BF168-2</f>
        <v>45866</v>
      </c>
      <c r="BF168" s="298">
        <v>45868</v>
      </c>
      <c r="BG168" s="25" t="s">
        <v>510</v>
      </c>
      <c r="BH168" s="193"/>
      <c r="BI168" s="142" t="s">
        <v>20</v>
      </c>
      <c r="BJ168" s="135"/>
      <c r="BK168" s="135"/>
      <c r="BL168" s="15">
        <v>1812</v>
      </c>
      <c r="BM168" s="190" t="s">
        <v>545</v>
      </c>
      <c r="BN168" s="24"/>
    </row>
    <row r="169" spans="1:66" ht="14.25" hidden="1" customHeight="1">
      <c r="A169" s="21"/>
      <c r="B169" s="19"/>
      <c r="C169" s="184"/>
      <c r="D169" s="134"/>
      <c r="E169" s="134"/>
      <c r="F169" s="134"/>
      <c r="G169" s="134"/>
      <c r="H169" s="185"/>
      <c r="I169" s="19"/>
      <c r="J169" s="19"/>
      <c r="K169" s="186"/>
      <c r="L169" s="178"/>
      <c r="M169" s="15"/>
      <c r="N169" s="15"/>
      <c r="O169" s="15"/>
      <c r="P169" s="180">
        <f t="shared" si="36"/>
        <v>0</v>
      </c>
      <c r="Q169" s="178"/>
      <c r="R169" s="15"/>
      <c r="S169" s="180"/>
      <c r="T169" s="204"/>
      <c r="U169" s="204"/>
      <c r="V169" s="15">
        <v>418.18</v>
      </c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82"/>
      <c r="AM169" s="15"/>
      <c r="AN169" s="24"/>
      <c r="AO169" s="24"/>
      <c r="AP169" s="24"/>
      <c r="AQ169" s="24"/>
      <c r="AR169" s="24"/>
      <c r="AS169" s="24"/>
      <c r="AT169" s="24"/>
      <c r="AU169" s="183"/>
      <c r="AV169" s="15"/>
      <c r="AW169" s="24"/>
      <c r="AX169" s="297"/>
      <c r="AY169" s="297"/>
      <c r="AZ169" s="24"/>
      <c r="BA169" s="183"/>
      <c r="BB169" s="15"/>
      <c r="BC169" s="24"/>
      <c r="BD169" s="24"/>
      <c r="BE169" s="24"/>
      <c r="BF169" s="24"/>
      <c r="BG169" s="24"/>
      <c r="BH169" s="183"/>
      <c r="BI169" s="24"/>
      <c r="BJ169" s="24"/>
      <c r="BK169" s="24"/>
      <c r="BL169" s="24"/>
      <c r="BM169" s="24"/>
      <c r="BN169" s="24"/>
    </row>
    <row r="170" spans="1:66" ht="14.25" customHeight="1">
      <c r="A170" s="15">
        <v>81</v>
      </c>
      <c r="B170" s="19" t="s">
        <v>150</v>
      </c>
      <c r="C170" s="184" t="s">
        <v>85</v>
      </c>
      <c r="D170" s="134">
        <v>8.2520000000000007</v>
      </c>
      <c r="E170" s="134">
        <f>D170*4</f>
        <v>33.008000000000003</v>
      </c>
      <c r="F170" s="134">
        <f>E170*8</f>
        <v>264.06400000000002</v>
      </c>
      <c r="G170" s="134"/>
      <c r="H170" s="185"/>
      <c r="I170" s="19"/>
      <c r="J170" s="19"/>
      <c r="K170" s="186"/>
      <c r="L170" s="178">
        <v>3.077</v>
      </c>
      <c r="M170" s="15">
        <v>3.6589999999999998</v>
      </c>
      <c r="N170" s="15">
        <v>2.5000000000000001E-3</v>
      </c>
      <c r="O170" s="15">
        <v>0.26600000000000001</v>
      </c>
      <c r="P170" s="180">
        <f t="shared" si="36"/>
        <v>7.0045000000000002</v>
      </c>
      <c r="Q170" s="178">
        <v>0.24399999999999999</v>
      </c>
      <c r="R170" s="15">
        <v>5.0000000000000001E-3</v>
      </c>
      <c r="S170" s="180">
        <f>SUM(Q170:R170)</f>
        <v>0.249</v>
      </c>
      <c r="T170" s="204" t="s">
        <v>31</v>
      </c>
      <c r="U170" s="181" t="s">
        <v>575</v>
      </c>
      <c r="V170" s="15"/>
      <c r="W170" s="15" t="s">
        <v>504</v>
      </c>
      <c r="X170" s="15">
        <v>41.44</v>
      </c>
      <c r="Y170" s="15">
        <v>0.8</v>
      </c>
      <c r="Z170" s="15">
        <v>7.8</v>
      </c>
      <c r="AA170" s="15"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82"/>
      <c r="AM170" s="142" t="s">
        <v>20</v>
      </c>
      <c r="AN170" s="135" t="s">
        <v>552</v>
      </c>
      <c r="AO170" s="135" t="s">
        <v>21</v>
      </c>
      <c r="AP170" s="372">
        <f t="shared" ref="AP170:AR170" si="56">AQ170-2</f>
        <v>45794</v>
      </c>
      <c r="AQ170" s="372">
        <f t="shared" si="56"/>
        <v>45796</v>
      </c>
      <c r="AR170" s="372">
        <f t="shared" si="56"/>
        <v>45798</v>
      </c>
      <c r="AS170" s="372">
        <v>45800</v>
      </c>
      <c r="AT170" s="24" t="s">
        <v>550</v>
      </c>
      <c r="AU170" s="183"/>
      <c r="AV170" s="142" t="s">
        <v>20</v>
      </c>
      <c r="AW170" s="15" t="s">
        <v>6</v>
      </c>
      <c r="AX170" s="297">
        <f>AY170</f>
        <v>45805</v>
      </c>
      <c r="AY170" s="297">
        <f>AS170+5</f>
        <v>45805</v>
      </c>
      <c r="AZ170" s="24" t="str">
        <f>AT170</f>
        <v>Shree Shyam</v>
      </c>
      <c r="BA170" s="183"/>
      <c r="BB170" s="142" t="s">
        <v>20</v>
      </c>
      <c r="BC170" s="135"/>
      <c r="BD170" s="135" t="s">
        <v>577</v>
      </c>
      <c r="BE170" s="298">
        <f>BF170-2</f>
        <v>45835</v>
      </c>
      <c r="BF170" s="298">
        <v>45837</v>
      </c>
      <c r="BG170" s="17" t="s">
        <v>553</v>
      </c>
      <c r="BH170" s="194"/>
      <c r="BI170" s="142" t="s">
        <v>20</v>
      </c>
      <c r="BJ170" s="135"/>
      <c r="BK170" s="135"/>
      <c r="BL170" s="25">
        <v>1588</v>
      </c>
      <c r="BM170" s="190" t="s">
        <v>545</v>
      </c>
      <c r="BN170" s="24"/>
    </row>
    <row r="171" spans="1:66" ht="14.25" hidden="1" customHeight="1">
      <c r="A171" s="21"/>
      <c r="B171" s="19"/>
      <c r="C171" s="184"/>
      <c r="D171" s="134"/>
      <c r="E171" s="134"/>
      <c r="F171" s="134"/>
      <c r="G171" s="134"/>
      <c r="H171" s="185"/>
      <c r="I171" s="19"/>
      <c r="J171" s="19"/>
      <c r="K171" s="186"/>
      <c r="L171" s="178"/>
      <c r="M171" s="15"/>
      <c r="N171" s="15"/>
      <c r="O171" s="15"/>
      <c r="P171" s="180">
        <f t="shared" si="36"/>
        <v>0</v>
      </c>
      <c r="Q171" s="178"/>
      <c r="R171" s="15"/>
      <c r="S171" s="180"/>
      <c r="T171" s="204"/>
      <c r="U171" s="204"/>
      <c r="V171" s="15">
        <v>298.66000000000003</v>
      </c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82"/>
      <c r="AM171" s="15"/>
      <c r="AN171" s="24"/>
      <c r="AO171" s="24"/>
      <c r="AP171" s="24"/>
      <c r="AQ171" s="24"/>
      <c r="AR171" s="24"/>
      <c r="AS171" s="24"/>
      <c r="AT171" s="24"/>
      <c r="AU171" s="183"/>
      <c r="AV171" s="15"/>
      <c r="AW171" s="24"/>
      <c r="AX171" s="297"/>
      <c r="AY171" s="297"/>
      <c r="AZ171" s="24"/>
      <c r="BA171" s="183"/>
      <c r="BB171" s="15"/>
      <c r="BC171" s="24"/>
      <c r="BD171" s="24"/>
      <c r="BE171" s="24"/>
      <c r="BF171" s="24"/>
      <c r="BG171" s="24"/>
      <c r="BH171" s="183"/>
      <c r="BI171" s="24"/>
      <c r="BJ171" s="24"/>
      <c r="BK171" s="24"/>
      <c r="BL171" s="24"/>
      <c r="BM171" s="24"/>
      <c r="BN171" s="24"/>
    </row>
    <row r="172" spans="1:66" ht="14.25" customHeight="1">
      <c r="A172" s="15">
        <v>82</v>
      </c>
      <c r="B172" s="19" t="s">
        <v>151</v>
      </c>
      <c r="C172" s="184" t="s">
        <v>42</v>
      </c>
      <c r="D172" s="134">
        <v>6.3620000000000001</v>
      </c>
      <c r="E172" s="134">
        <f>D172*4</f>
        <v>25.448</v>
      </c>
      <c r="F172" s="134">
        <f>E172*8</f>
        <v>203.584</v>
      </c>
      <c r="G172" s="134"/>
      <c r="H172" s="185"/>
      <c r="I172" s="19"/>
      <c r="J172" s="19"/>
      <c r="K172" s="186"/>
      <c r="L172" s="178">
        <v>2.25</v>
      </c>
      <c r="M172" s="15">
        <v>2.1880000000000002</v>
      </c>
      <c r="N172" s="15">
        <v>2E-3</v>
      </c>
      <c r="O172" s="15">
        <v>0.183</v>
      </c>
      <c r="P172" s="180">
        <f t="shared" si="36"/>
        <v>4.6230000000000002</v>
      </c>
      <c r="Q172" s="178">
        <v>0.24399999999999999</v>
      </c>
      <c r="R172" s="15">
        <v>5.0000000000000001E-3</v>
      </c>
      <c r="S172" s="180">
        <f>SUM(Q172:R172)</f>
        <v>0.249</v>
      </c>
      <c r="T172" s="204" t="s">
        <v>31</v>
      </c>
      <c r="U172" s="181" t="s">
        <v>575</v>
      </c>
      <c r="V172" s="15"/>
      <c r="W172" s="15" t="s">
        <v>504</v>
      </c>
      <c r="X172" s="15">
        <v>41.44</v>
      </c>
      <c r="Y172" s="15">
        <v>0.8</v>
      </c>
      <c r="Z172" s="15">
        <v>7.8</v>
      </c>
      <c r="AA172" s="15"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82"/>
      <c r="AM172" s="142" t="s">
        <v>20</v>
      </c>
      <c r="AN172" s="135" t="s">
        <v>552</v>
      </c>
      <c r="AO172" s="135" t="s">
        <v>21</v>
      </c>
      <c r="AP172" s="372">
        <f>AQ172-1</f>
        <v>45801</v>
      </c>
      <c r="AQ172" s="372">
        <f t="shared" ref="AQ172:AR172" si="57">AR172-2</f>
        <v>45802</v>
      </c>
      <c r="AR172" s="372">
        <f t="shared" si="57"/>
        <v>45804</v>
      </c>
      <c r="AS172" s="372">
        <v>45806</v>
      </c>
      <c r="AT172" s="24" t="s">
        <v>550</v>
      </c>
      <c r="AU172" s="183"/>
      <c r="AV172" s="142" t="s">
        <v>20</v>
      </c>
      <c r="AW172" s="15" t="s">
        <v>6</v>
      </c>
      <c r="AX172" s="297">
        <v>45811</v>
      </c>
      <c r="AY172" s="297">
        <f>AX172</f>
        <v>45811</v>
      </c>
      <c r="AZ172" s="24" t="str">
        <f>AT172</f>
        <v>Shree Shyam</v>
      </c>
      <c r="BA172" s="183"/>
      <c r="BB172" s="142" t="s">
        <v>20</v>
      </c>
      <c r="BC172" s="135"/>
      <c r="BD172" s="135" t="s">
        <v>577</v>
      </c>
      <c r="BE172" s="298">
        <f>BF172</f>
        <v>45839</v>
      </c>
      <c r="BF172" s="298">
        <v>45839</v>
      </c>
      <c r="BG172" s="17" t="s">
        <v>553</v>
      </c>
      <c r="BH172" s="183"/>
      <c r="BI172" s="142" t="s">
        <v>20</v>
      </c>
      <c r="BJ172" s="24"/>
      <c r="BK172" s="24"/>
      <c r="BL172" s="25">
        <v>980</v>
      </c>
      <c r="BM172" s="190" t="s">
        <v>545</v>
      </c>
      <c r="BN172" s="24"/>
    </row>
    <row r="173" spans="1:66" ht="14.25" hidden="1" customHeight="1">
      <c r="A173" s="21"/>
      <c r="B173" s="19"/>
      <c r="C173" s="184"/>
      <c r="D173" s="134"/>
      <c r="E173" s="134"/>
      <c r="F173" s="134"/>
      <c r="G173" s="134"/>
      <c r="H173" s="185"/>
      <c r="I173" s="19"/>
      <c r="J173" s="19"/>
      <c r="K173" s="186"/>
      <c r="L173" s="178"/>
      <c r="M173" s="15"/>
      <c r="N173" s="15"/>
      <c r="O173" s="15"/>
      <c r="P173" s="180">
        <f t="shared" si="36"/>
        <v>0</v>
      </c>
      <c r="Q173" s="178"/>
      <c r="R173" s="15"/>
      <c r="S173" s="180"/>
      <c r="T173" s="204"/>
      <c r="U173" s="204"/>
      <c r="V173" s="15">
        <v>358.67</v>
      </c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82"/>
      <c r="AM173" s="15"/>
      <c r="AN173" s="24"/>
      <c r="AO173" s="24"/>
      <c r="AP173" s="24"/>
      <c r="AQ173" s="24"/>
      <c r="AR173" s="24"/>
      <c r="AS173" s="24"/>
      <c r="AT173" s="24"/>
      <c r="AU173" s="183"/>
      <c r="AV173" s="15"/>
      <c r="AW173" s="24"/>
      <c r="AX173" s="297"/>
      <c r="AY173" s="297"/>
      <c r="AZ173" s="24"/>
      <c r="BA173" s="183"/>
      <c r="BB173" s="15"/>
      <c r="BC173" s="24"/>
      <c r="BD173" s="24"/>
      <c r="BE173" s="24"/>
      <c r="BF173" s="24"/>
      <c r="BG173" s="24"/>
      <c r="BH173" s="183"/>
      <c r="BI173" s="24"/>
      <c r="BJ173" s="24"/>
      <c r="BK173" s="24"/>
      <c r="BL173" s="24"/>
      <c r="BM173" s="24"/>
      <c r="BN173" s="24"/>
    </row>
    <row r="174" spans="1:66" ht="14.25" customHeight="1">
      <c r="A174" s="15">
        <v>83</v>
      </c>
      <c r="B174" s="19" t="s">
        <v>152</v>
      </c>
      <c r="C174" s="184" t="s">
        <v>42</v>
      </c>
      <c r="D174" s="134">
        <v>6.3620000000000001</v>
      </c>
      <c r="E174" s="134">
        <f>D174*4</f>
        <v>25.448</v>
      </c>
      <c r="F174" s="134">
        <f>E174*8</f>
        <v>203.584</v>
      </c>
      <c r="G174" s="134"/>
      <c r="H174" s="185"/>
      <c r="I174" s="19"/>
      <c r="J174" s="19"/>
      <c r="K174" s="186"/>
      <c r="L174" s="178">
        <v>2.25</v>
      </c>
      <c r="M174" s="15">
        <v>2.1880000000000002</v>
      </c>
      <c r="N174" s="15">
        <v>2E-3</v>
      </c>
      <c r="O174" s="15">
        <v>0.183</v>
      </c>
      <c r="P174" s="180">
        <f t="shared" si="36"/>
        <v>4.6230000000000002</v>
      </c>
      <c r="Q174" s="178">
        <v>0.24399999999999999</v>
      </c>
      <c r="R174" s="15">
        <v>5.0000000000000001E-3</v>
      </c>
      <c r="S174" s="180">
        <f>SUM(Q174:R174)</f>
        <v>0.249</v>
      </c>
      <c r="T174" s="204" t="s">
        <v>31</v>
      </c>
      <c r="U174" s="181" t="s">
        <v>575</v>
      </c>
      <c r="V174" s="15"/>
      <c r="W174" s="15" t="s">
        <v>504</v>
      </c>
      <c r="X174" s="15">
        <v>41.44</v>
      </c>
      <c r="Y174" s="15">
        <v>0.8</v>
      </c>
      <c r="Z174" s="15">
        <v>7.8</v>
      </c>
      <c r="AA174" s="15"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82"/>
      <c r="AM174" s="142" t="s">
        <v>20</v>
      </c>
      <c r="AN174" s="135" t="str">
        <f>AO174</f>
        <v>D</v>
      </c>
      <c r="AO174" s="135" t="s">
        <v>21</v>
      </c>
      <c r="AP174" s="372">
        <v>45527</v>
      </c>
      <c r="AQ174" s="372">
        <v>45536</v>
      </c>
      <c r="AR174" s="372">
        <v>45558</v>
      </c>
      <c r="AS174" s="372">
        <v>45563</v>
      </c>
      <c r="AT174" s="24" t="s">
        <v>580</v>
      </c>
      <c r="AU174" s="183"/>
      <c r="AV174" s="142" t="s">
        <v>20</v>
      </c>
      <c r="AW174" s="15" t="s">
        <v>6</v>
      </c>
      <c r="AX174" s="297">
        <v>45662</v>
      </c>
      <c r="AY174" s="297">
        <v>45662</v>
      </c>
      <c r="AZ174" s="187" t="s">
        <v>543</v>
      </c>
      <c r="BA174" s="188"/>
      <c r="BB174" s="142" t="s">
        <v>20</v>
      </c>
      <c r="BC174" s="135"/>
      <c r="BD174" s="135" t="s">
        <v>21</v>
      </c>
      <c r="BE174" s="298">
        <f>BF174-2</f>
        <v>45729</v>
      </c>
      <c r="BF174" s="298">
        <v>45731</v>
      </c>
      <c r="BG174" s="15" t="s">
        <v>581</v>
      </c>
      <c r="BH174" s="194"/>
      <c r="BI174" s="142" t="s">
        <v>20</v>
      </c>
      <c r="BJ174" s="24"/>
      <c r="BK174" s="24"/>
      <c r="BL174" s="25">
        <v>980</v>
      </c>
      <c r="BM174" s="190" t="s">
        <v>545</v>
      </c>
      <c r="BN174" s="24"/>
    </row>
    <row r="175" spans="1:66" ht="14.25" hidden="1" customHeight="1">
      <c r="A175" s="21"/>
      <c r="B175" s="19"/>
      <c r="C175" s="184"/>
      <c r="D175" s="134"/>
      <c r="E175" s="134"/>
      <c r="F175" s="134"/>
      <c r="G175" s="134"/>
      <c r="H175" s="185"/>
      <c r="I175" s="19"/>
      <c r="J175" s="19"/>
      <c r="K175" s="186"/>
      <c r="L175" s="178"/>
      <c r="M175" s="15"/>
      <c r="N175" s="15"/>
      <c r="O175" s="15"/>
      <c r="P175" s="180">
        <f t="shared" si="36"/>
        <v>0</v>
      </c>
      <c r="Q175" s="178"/>
      <c r="R175" s="15"/>
      <c r="S175" s="180"/>
      <c r="T175" s="204"/>
      <c r="U175" s="204"/>
      <c r="V175" s="15">
        <v>366.13</v>
      </c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82"/>
      <c r="AM175" s="15"/>
      <c r="AN175" s="24"/>
      <c r="AO175" s="24"/>
      <c r="AP175" s="24"/>
      <c r="AQ175" s="24"/>
      <c r="AR175" s="24"/>
      <c r="AS175" s="24"/>
      <c r="AT175" s="24"/>
      <c r="AU175" s="183"/>
      <c r="AV175" s="15"/>
      <c r="AW175" s="24"/>
      <c r="AX175" s="297"/>
      <c r="AY175" s="297"/>
      <c r="AZ175" s="24"/>
      <c r="BA175" s="183"/>
      <c r="BB175" s="15"/>
      <c r="BC175" s="24"/>
      <c r="BD175" s="24"/>
      <c r="BE175" s="24"/>
      <c r="BF175" s="24"/>
      <c r="BG175" s="24"/>
      <c r="BH175" s="183"/>
      <c r="BI175" s="24"/>
      <c r="BJ175" s="24"/>
      <c r="BK175" s="24"/>
      <c r="BL175" s="24"/>
      <c r="BM175" s="24"/>
      <c r="BN175" s="24"/>
    </row>
    <row r="176" spans="1:66" ht="14.25" customHeight="1">
      <c r="A176" s="15">
        <v>84</v>
      </c>
      <c r="B176" s="19" t="s">
        <v>153</v>
      </c>
      <c r="C176" s="184" t="s">
        <v>37</v>
      </c>
      <c r="D176" s="134">
        <v>6.992</v>
      </c>
      <c r="E176" s="134">
        <f>D176*4</f>
        <v>27.968</v>
      </c>
      <c r="F176" s="134">
        <f>E176*8</f>
        <v>223.744</v>
      </c>
      <c r="G176" s="134"/>
      <c r="H176" s="185"/>
      <c r="I176" s="19"/>
      <c r="J176" s="19"/>
      <c r="K176" s="186"/>
      <c r="L176" s="178">
        <v>2.6070000000000002</v>
      </c>
      <c r="M176" s="15">
        <v>2.657</v>
      </c>
      <c r="N176" s="15">
        <v>2E-3</v>
      </c>
      <c r="O176" s="15">
        <v>0.21299999999999999</v>
      </c>
      <c r="P176" s="180">
        <f t="shared" si="36"/>
        <v>5.4790000000000001</v>
      </c>
      <c r="Q176" s="178">
        <v>0.24399999999999999</v>
      </c>
      <c r="R176" s="15">
        <v>5.0000000000000001E-3</v>
      </c>
      <c r="S176" s="180">
        <f>SUM(Q176:R176)</f>
        <v>0.249</v>
      </c>
      <c r="T176" s="204" t="s">
        <v>31</v>
      </c>
      <c r="U176" s="181" t="s">
        <v>575</v>
      </c>
      <c r="V176" s="15"/>
      <c r="W176" s="15" t="s">
        <v>541</v>
      </c>
      <c r="X176" s="15">
        <v>85.44</v>
      </c>
      <c r="Y176" s="15">
        <v>1.51</v>
      </c>
      <c r="Z176" s="15">
        <v>11.15</v>
      </c>
      <c r="AA176" s="15"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82"/>
      <c r="AM176" s="142" t="s">
        <v>20</v>
      </c>
      <c r="AN176" s="135" t="str">
        <f>AO176</f>
        <v>D</v>
      </c>
      <c r="AO176" s="135" t="s">
        <v>21</v>
      </c>
      <c r="AP176" s="372">
        <v>45547</v>
      </c>
      <c r="AQ176" s="372">
        <v>45550</v>
      </c>
      <c r="AR176" s="372">
        <v>45594</v>
      </c>
      <c r="AS176" s="372">
        <v>45595</v>
      </c>
      <c r="AT176" s="24" t="s">
        <v>580</v>
      </c>
      <c r="AU176" s="183"/>
      <c r="AV176" s="142" t="s">
        <v>20</v>
      </c>
      <c r="AW176" s="15" t="s">
        <v>6</v>
      </c>
      <c r="AX176" s="297">
        <v>45662</v>
      </c>
      <c r="AY176" s="297">
        <v>45662</v>
      </c>
      <c r="AZ176" s="187" t="s">
        <v>543</v>
      </c>
      <c r="BA176" s="187"/>
      <c r="BB176" s="142" t="s">
        <v>20</v>
      </c>
      <c r="BC176" s="135"/>
      <c r="BD176" s="135" t="s">
        <v>21</v>
      </c>
      <c r="BE176" s="298">
        <f>BF176-1</f>
        <v>45796</v>
      </c>
      <c r="BF176" s="298">
        <v>45797</v>
      </c>
      <c r="BG176" s="25" t="s">
        <v>510</v>
      </c>
      <c r="BH176" s="138"/>
      <c r="BI176" s="142" t="s">
        <v>20</v>
      </c>
      <c r="BJ176" s="135"/>
      <c r="BK176" s="135"/>
      <c r="BL176" s="25">
        <v>1330</v>
      </c>
      <c r="BM176" s="190" t="s">
        <v>545</v>
      </c>
      <c r="BN176" s="24"/>
    </row>
    <row r="177" spans="1:65" ht="14.25" hidden="1" customHeight="1">
      <c r="A177" s="24"/>
      <c r="B177" s="19"/>
      <c r="C177" s="184"/>
      <c r="D177" s="134"/>
      <c r="E177" s="134"/>
      <c r="F177" s="134"/>
      <c r="G177" s="134"/>
      <c r="H177" s="185"/>
      <c r="I177" s="19"/>
      <c r="J177" s="19"/>
      <c r="K177" s="186"/>
      <c r="L177" s="178"/>
      <c r="M177" s="15"/>
      <c r="N177" s="15"/>
      <c r="O177" s="15"/>
      <c r="P177" s="180">
        <f t="shared" si="36"/>
        <v>0</v>
      </c>
      <c r="Q177" s="178"/>
      <c r="R177" s="15"/>
      <c r="S177" s="180"/>
      <c r="T177" s="204"/>
      <c r="U177" s="204"/>
      <c r="V177" s="15">
        <v>255.6</v>
      </c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82"/>
      <c r="AM177" s="15"/>
      <c r="AN177" s="24"/>
      <c r="AO177" s="24"/>
      <c r="AP177" s="24"/>
      <c r="AQ177" s="24"/>
      <c r="AR177" s="24"/>
      <c r="AS177" s="24"/>
      <c r="AT177" s="24"/>
      <c r="AU177" s="183"/>
      <c r="AV177" s="15"/>
      <c r="AW177" s="24"/>
      <c r="AX177" s="297"/>
      <c r="AY177" s="297"/>
      <c r="AZ177" s="24"/>
      <c r="BA177" s="183"/>
      <c r="BB177" s="15"/>
      <c r="BC177" s="24"/>
      <c r="BD177" s="24"/>
      <c r="BE177" s="24"/>
      <c r="BF177" s="24"/>
      <c r="BG177" s="24"/>
      <c r="BH177" s="183"/>
      <c r="BI177" s="24"/>
      <c r="BJ177" s="24"/>
      <c r="BK177" s="24"/>
      <c r="BL177" s="24"/>
      <c r="BM177" s="24"/>
    </row>
    <row r="178" spans="1:65" ht="14.25" customHeight="1">
      <c r="A178" s="15">
        <v>85</v>
      </c>
      <c r="B178" s="19" t="s">
        <v>155</v>
      </c>
      <c r="C178" s="184" t="s">
        <v>34</v>
      </c>
      <c r="D178" s="134">
        <v>9.6539999999999999</v>
      </c>
      <c r="E178" s="134">
        <f>D178*4</f>
        <v>38.616</v>
      </c>
      <c r="F178" s="134">
        <f>E178*8</f>
        <v>308.928</v>
      </c>
      <c r="G178" s="134"/>
      <c r="H178" s="185"/>
      <c r="I178" s="19"/>
      <c r="J178" s="19"/>
      <c r="K178" s="186"/>
      <c r="L178" s="178">
        <v>4.8070000000000004</v>
      </c>
      <c r="M178" s="15">
        <v>4.016</v>
      </c>
      <c r="N178" s="15">
        <v>7.0000000000000001E-3</v>
      </c>
      <c r="O178" s="15">
        <v>0.43099999999999999</v>
      </c>
      <c r="P178" s="180">
        <f t="shared" si="36"/>
        <v>9.2609999999999992</v>
      </c>
      <c r="Q178" s="178">
        <v>0.55700000000000005</v>
      </c>
      <c r="R178" s="15">
        <v>0.01</v>
      </c>
      <c r="S178" s="180">
        <f>SUM(Q178:R178)</f>
        <v>0.56700000000000006</v>
      </c>
      <c r="T178" s="204" t="s">
        <v>154</v>
      </c>
      <c r="U178" s="181" t="s">
        <v>575</v>
      </c>
      <c r="V178" s="15"/>
      <c r="W178" s="15" t="s">
        <v>541</v>
      </c>
      <c r="X178" s="15">
        <v>220.64</v>
      </c>
      <c r="Y178" s="15">
        <v>3.61</v>
      </c>
      <c r="Z178" s="15">
        <v>27.92</v>
      </c>
      <c r="AA178" s="15"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82"/>
      <c r="AM178" s="142" t="s">
        <v>20</v>
      </c>
      <c r="AN178" s="135" t="str">
        <f>AO178</f>
        <v>D</v>
      </c>
      <c r="AO178" s="135" t="s">
        <v>21</v>
      </c>
      <c r="AP178" s="372">
        <v>45604</v>
      </c>
      <c r="AQ178" s="372">
        <f>AP178+10</f>
        <v>45614</v>
      </c>
      <c r="AR178" s="372">
        <f>AS178-4</f>
        <v>45618</v>
      </c>
      <c r="AS178" s="372">
        <v>45622</v>
      </c>
      <c r="AT178" s="24" t="s">
        <v>580</v>
      </c>
      <c r="AU178" s="183"/>
      <c r="AV178" s="142" t="s">
        <v>20</v>
      </c>
      <c r="AW178" s="15" t="s">
        <v>6</v>
      </c>
      <c r="AX178" s="297">
        <v>45706</v>
      </c>
      <c r="AY178" s="297">
        <v>45706</v>
      </c>
      <c r="AZ178" s="187" t="s">
        <v>543</v>
      </c>
      <c r="BA178" s="188"/>
      <c r="BB178" s="142" t="s">
        <v>20</v>
      </c>
      <c r="BC178" s="135" t="s">
        <v>544</v>
      </c>
      <c r="BD178" s="135" t="s">
        <v>21</v>
      </c>
      <c r="BE178" s="298">
        <f>BF178-2</f>
        <v>45743</v>
      </c>
      <c r="BF178" s="298">
        <v>45745</v>
      </c>
      <c r="BG178" s="15" t="s">
        <v>581</v>
      </c>
      <c r="BH178" s="192"/>
      <c r="BI178" s="142" t="s">
        <v>20</v>
      </c>
      <c r="BJ178" s="135"/>
      <c r="BK178" s="135"/>
      <c r="BL178" s="25">
        <v>1202</v>
      </c>
      <c r="BM178" s="190" t="s">
        <v>545</v>
      </c>
    </row>
    <row r="179" spans="1:65" ht="14.25" hidden="1" customHeight="1">
      <c r="A179" s="24"/>
      <c r="B179" s="19"/>
      <c r="C179" s="184"/>
      <c r="D179" s="134"/>
      <c r="E179" s="134"/>
      <c r="F179" s="134"/>
      <c r="G179" s="134"/>
      <c r="H179" s="185"/>
      <c r="I179" s="19"/>
      <c r="J179" s="19"/>
      <c r="K179" s="186"/>
      <c r="L179" s="178"/>
      <c r="M179" s="15"/>
      <c r="N179" s="15"/>
      <c r="O179" s="15"/>
      <c r="P179" s="180">
        <f t="shared" si="36"/>
        <v>0</v>
      </c>
      <c r="Q179" s="178"/>
      <c r="R179" s="15"/>
      <c r="S179" s="180"/>
      <c r="T179" s="204"/>
      <c r="U179" s="204"/>
      <c r="V179" s="15">
        <v>229.72399999999999</v>
      </c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82"/>
      <c r="AM179" s="15"/>
      <c r="AN179" s="24"/>
      <c r="AO179" s="24"/>
      <c r="AP179" s="24"/>
      <c r="AQ179" s="24"/>
      <c r="AR179" s="24"/>
      <c r="AS179" s="24"/>
      <c r="AT179" s="24"/>
      <c r="AU179" s="183"/>
      <c r="AV179" s="15"/>
      <c r="AW179" s="24"/>
      <c r="AX179" s="297"/>
      <c r="AY179" s="297"/>
      <c r="AZ179" s="24"/>
      <c r="BA179" s="183"/>
      <c r="BB179" s="24"/>
      <c r="BC179" s="24"/>
      <c r="BD179" s="24"/>
      <c r="BE179" s="24"/>
      <c r="BF179" s="24"/>
      <c r="BG179" s="24"/>
      <c r="BH179" s="183"/>
      <c r="BI179" s="24"/>
      <c r="BJ179" s="24"/>
      <c r="BK179" s="24"/>
      <c r="BL179" s="24"/>
      <c r="BM179" s="24"/>
    </row>
    <row r="180" spans="1:65" ht="14.25" customHeight="1">
      <c r="A180" s="15">
        <v>86</v>
      </c>
      <c r="B180" s="19" t="s">
        <v>156</v>
      </c>
      <c r="C180" s="205" t="s">
        <v>37</v>
      </c>
      <c r="D180" s="134">
        <v>6.992</v>
      </c>
      <c r="E180" s="134">
        <f>D180*4</f>
        <v>27.968</v>
      </c>
      <c r="F180" s="134">
        <f>E180*8</f>
        <v>223.744</v>
      </c>
      <c r="G180" s="134"/>
      <c r="H180" s="185"/>
      <c r="I180" s="19"/>
      <c r="J180" s="19"/>
      <c r="K180" s="186"/>
      <c r="L180" s="178">
        <v>2.6070000000000002</v>
      </c>
      <c r="M180" s="15">
        <v>2.657</v>
      </c>
      <c r="N180" s="15">
        <v>2E-3</v>
      </c>
      <c r="O180" s="15">
        <v>0.21299999999999999</v>
      </c>
      <c r="P180" s="180">
        <f t="shared" si="36"/>
        <v>5.4790000000000001</v>
      </c>
      <c r="Q180" s="178">
        <v>0.24399999999999999</v>
      </c>
      <c r="R180" s="15">
        <v>5.0000000000000001E-3</v>
      </c>
      <c r="S180" s="180">
        <f>SUM(Q180:R180)</f>
        <v>0.249</v>
      </c>
      <c r="T180" s="204" t="s">
        <v>31</v>
      </c>
      <c r="U180" s="181" t="s">
        <v>575</v>
      </c>
      <c r="V180" s="15"/>
      <c r="W180" s="15" t="s">
        <v>504</v>
      </c>
      <c r="X180" s="15">
        <v>41.44</v>
      </c>
      <c r="Y180" s="15">
        <v>0.8</v>
      </c>
      <c r="Z180" s="15">
        <v>7.8</v>
      </c>
      <c r="AA180" s="15"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82"/>
      <c r="AM180" s="142" t="s">
        <v>20</v>
      </c>
      <c r="AN180" s="135" t="s">
        <v>21</v>
      </c>
      <c r="AO180" s="135" t="s">
        <v>21</v>
      </c>
      <c r="AP180" s="372">
        <f t="shared" ref="AP180:AR180" si="58">AQ180-2</f>
        <v>45760</v>
      </c>
      <c r="AQ180" s="372">
        <f t="shared" si="58"/>
        <v>45762</v>
      </c>
      <c r="AR180" s="372">
        <f t="shared" si="58"/>
        <v>45764</v>
      </c>
      <c r="AS180" s="372">
        <v>45766</v>
      </c>
      <c r="AT180" s="24" t="s">
        <v>554</v>
      </c>
      <c r="AU180" s="183"/>
      <c r="AV180" s="142" t="s">
        <v>20</v>
      </c>
      <c r="AW180" s="15" t="s">
        <v>6</v>
      </c>
      <c r="AX180" s="297">
        <f>AY180</f>
        <v>45661</v>
      </c>
      <c r="AY180" s="297">
        <v>45661</v>
      </c>
      <c r="AZ180" s="187" t="s">
        <v>543</v>
      </c>
      <c r="BA180" s="188"/>
      <c r="BB180" s="142" t="s">
        <v>20</v>
      </c>
      <c r="BC180" s="135"/>
      <c r="BD180" s="135" t="s">
        <v>21</v>
      </c>
      <c r="BE180" s="298">
        <f>BF180-1</f>
        <v>45798</v>
      </c>
      <c r="BF180" s="298">
        <v>45799</v>
      </c>
      <c r="BG180" s="25" t="s">
        <v>510</v>
      </c>
      <c r="BH180" s="194"/>
      <c r="BI180" s="142" t="s">
        <v>20</v>
      </c>
      <c r="BJ180" s="135"/>
      <c r="BK180" s="135"/>
      <c r="BL180" s="25">
        <v>1330</v>
      </c>
      <c r="BM180" s="24"/>
    </row>
    <row r="181" spans="1:65" ht="14.25" hidden="1" customHeight="1">
      <c r="A181" s="24"/>
      <c r="B181" s="19"/>
      <c r="C181" s="184"/>
      <c r="D181" s="134"/>
      <c r="E181" s="134"/>
      <c r="F181" s="134"/>
      <c r="G181" s="134"/>
      <c r="H181" s="185"/>
      <c r="I181" s="19"/>
      <c r="J181" s="19"/>
      <c r="K181" s="186"/>
      <c r="L181" s="178"/>
      <c r="M181" s="15"/>
      <c r="N181" s="15"/>
      <c r="O181" s="15"/>
      <c r="P181" s="180">
        <f t="shared" si="36"/>
        <v>0</v>
      </c>
      <c r="Q181" s="178"/>
      <c r="R181" s="15"/>
      <c r="S181" s="180"/>
      <c r="T181" s="204"/>
      <c r="U181" s="204"/>
      <c r="V181" s="15">
        <v>359.35599999999999</v>
      </c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82"/>
      <c r="AM181" s="15"/>
      <c r="AN181" s="24"/>
      <c r="AO181" s="24"/>
      <c r="AP181" s="24"/>
      <c r="AQ181" s="24"/>
      <c r="AR181" s="24"/>
      <c r="AS181" s="24"/>
      <c r="AT181" s="24"/>
      <c r="AU181" s="183"/>
      <c r="AV181" s="15"/>
      <c r="AW181" s="24"/>
      <c r="AX181" s="297"/>
      <c r="AY181" s="297"/>
      <c r="AZ181" s="24"/>
      <c r="BA181" s="183"/>
      <c r="BB181" s="24"/>
      <c r="BC181" s="24"/>
      <c r="BD181" s="24"/>
      <c r="BE181" s="24"/>
      <c r="BF181" s="24"/>
      <c r="BG181" s="24"/>
      <c r="BH181" s="183"/>
      <c r="BI181" s="24"/>
      <c r="BJ181" s="24"/>
      <c r="BK181" s="24"/>
      <c r="BL181" s="24"/>
      <c r="BM181" s="24"/>
    </row>
    <row r="182" spans="1:65" ht="14.25" customHeight="1">
      <c r="A182" s="15">
        <v>87</v>
      </c>
      <c r="B182" s="19" t="s">
        <v>157</v>
      </c>
      <c r="C182" s="184" t="s">
        <v>85</v>
      </c>
      <c r="D182" s="134">
        <v>8.2520000000000007</v>
      </c>
      <c r="E182" s="134">
        <f>D182*4</f>
        <v>33.008000000000003</v>
      </c>
      <c r="F182" s="134">
        <f>E182*8</f>
        <v>264.06400000000002</v>
      </c>
      <c r="G182" s="134"/>
      <c r="H182" s="185"/>
      <c r="I182" s="19"/>
      <c r="J182" s="19"/>
      <c r="K182" s="186"/>
      <c r="L182" s="178">
        <v>3.077</v>
      </c>
      <c r="M182" s="15">
        <v>3.6589999999999998</v>
      </c>
      <c r="N182" s="15">
        <v>2.5000000000000001E-3</v>
      </c>
      <c r="O182" s="15">
        <v>0.26600000000000001</v>
      </c>
      <c r="P182" s="180">
        <f t="shared" si="36"/>
        <v>7.0045000000000002</v>
      </c>
      <c r="Q182" s="178">
        <v>0.24399999999999999</v>
      </c>
      <c r="R182" s="15">
        <v>5.0000000000000001E-3</v>
      </c>
      <c r="S182" s="180">
        <f>SUM(Q182:R182)</f>
        <v>0.249</v>
      </c>
      <c r="T182" s="204" t="s">
        <v>31</v>
      </c>
      <c r="U182" s="181" t="s">
        <v>575</v>
      </c>
      <c r="V182" s="15"/>
      <c r="W182" s="15" t="s">
        <v>504</v>
      </c>
      <c r="X182" s="15">
        <v>41.44</v>
      </c>
      <c r="Y182" s="15">
        <v>0.8</v>
      </c>
      <c r="Z182" s="15">
        <v>7.8</v>
      </c>
      <c r="AA182" s="15"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82"/>
      <c r="AM182" s="142" t="s">
        <v>20</v>
      </c>
      <c r="AN182" s="135" t="str">
        <f>AO182</f>
        <v>D</v>
      </c>
      <c r="AO182" s="135" t="s">
        <v>21</v>
      </c>
      <c r="AP182" s="372">
        <v>45602</v>
      </c>
      <c r="AQ182" s="372">
        <f t="shared" ref="AQ182:AR182" si="59">AR182-2</f>
        <v>45607</v>
      </c>
      <c r="AR182" s="372">
        <f t="shared" si="59"/>
        <v>45609</v>
      </c>
      <c r="AS182" s="372">
        <v>45611</v>
      </c>
      <c r="AT182" s="24" t="s">
        <v>580</v>
      </c>
      <c r="AU182" s="183"/>
      <c r="AV182" s="142" t="s">
        <v>20</v>
      </c>
      <c r="AW182" s="15" t="s">
        <v>6</v>
      </c>
      <c r="AX182" s="297">
        <v>45706</v>
      </c>
      <c r="AY182" s="297">
        <v>45706</v>
      </c>
      <c r="AZ182" s="187" t="s">
        <v>543</v>
      </c>
      <c r="BA182" s="188"/>
      <c r="BB182" s="142" t="s">
        <v>20</v>
      </c>
      <c r="BC182" s="135"/>
      <c r="BD182" s="135" t="s">
        <v>21</v>
      </c>
      <c r="BE182" s="298">
        <f>BF182-2</f>
        <v>45733</v>
      </c>
      <c r="BF182" s="298">
        <v>45735</v>
      </c>
      <c r="BG182" s="15" t="s">
        <v>581</v>
      </c>
      <c r="BH182" s="194"/>
      <c r="BI182" s="142" t="s">
        <v>20</v>
      </c>
      <c r="BJ182" s="135"/>
      <c r="BK182" s="135"/>
      <c r="BL182" s="25">
        <v>1588</v>
      </c>
      <c r="BM182" s="24"/>
    </row>
    <row r="183" spans="1:65" ht="14.25" hidden="1" customHeight="1">
      <c r="A183" s="24"/>
      <c r="B183" s="19"/>
      <c r="C183" s="184"/>
      <c r="D183" s="134"/>
      <c r="E183" s="134"/>
      <c r="F183" s="134"/>
      <c r="G183" s="134"/>
      <c r="H183" s="185"/>
      <c r="I183" s="19"/>
      <c r="J183" s="19"/>
      <c r="K183" s="186"/>
      <c r="L183" s="178"/>
      <c r="M183" s="15"/>
      <c r="N183" s="15"/>
      <c r="O183" s="15"/>
      <c r="P183" s="180">
        <f t="shared" si="36"/>
        <v>0</v>
      </c>
      <c r="Q183" s="178"/>
      <c r="R183" s="15"/>
      <c r="S183" s="180"/>
      <c r="T183" s="204"/>
      <c r="U183" s="204"/>
      <c r="V183" s="15">
        <v>365.87400000000002</v>
      </c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82"/>
      <c r="AM183" s="15"/>
      <c r="AN183" s="24"/>
      <c r="AO183" s="24"/>
      <c r="AP183" s="24"/>
      <c r="AQ183" s="24"/>
      <c r="AR183" s="24"/>
      <c r="AS183" s="24"/>
      <c r="AT183" s="24"/>
      <c r="AU183" s="183"/>
      <c r="AV183" s="15"/>
      <c r="AW183" s="24"/>
      <c r="AX183" s="297"/>
      <c r="AY183" s="297"/>
      <c r="AZ183" s="24"/>
      <c r="BA183" s="183"/>
      <c r="BB183" s="24"/>
      <c r="BC183" s="24"/>
      <c r="BD183" s="24"/>
      <c r="BE183" s="24"/>
      <c r="BF183" s="24"/>
      <c r="BG183" s="24"/>
      <c r="BH183" s="183"/>
      <c r="BI183" s="24"/>
      <c r="BJ183" s="24"/>
      <c r="BK183" s="24"/>
      <c r="BL183" s="24"/>
      <c r="BM183" s="24"/>
    </row>
    <row r="184" spans="1:65" ht="14.25" customHeight="1">
      <c r="A184" s="15">
        <v>88</v>
      </c>
      <c r="B184" s="19" t="s">
        <v>158</v>
      </c>
      <c r="C184" s="184" t="s">
        <v>42</v>
      </c>
      <c r="D184" s="134">
        <v>6.3620000000000001</v>
      </c>
      <c r="E184" s="134">
        <f>D184*4</f>
        <v>25.448</v>
      </c>
      <c r="F184" s="134">
        <f>E184*8</f>
        <v>203.584</v>
      </c>
      <c r="G184" s="134"/>
      <c r="H184" s="185"/>
      <c r="I184" s="19"/>
      <c r="J184" s="19"/>
      <c r="K184" s="186"/>
      <c r="L184" s="178">
        <v>2.25</v>
      </c>
      <c r="M184" s="15">
        <v>2.1880000000000002</v>
      </c>
      <c r="N184" s="15">
        <v>2E-3</v>
      </c>
      <c r="O184" s="15">
        <v>0.183</v>
      </c>
      <c r="P184" s="180">
        <f t="shared" si="36"/>
        <v>4.6230000000000002</v>
      </c>
      <c r="Q184" s="178">
        <v>0.24399999999999999</v>
      </c>
      <c r="R184" s="15">
        <v>5.0000000000000001E-3</v>
      </c>
      <c r="S184" s="180">
        <f>SUM(Q184:R184)</f>
        <v>0.249</v>
      </c>
      <c r="T184" s="204" t="s">
        <v>31</v>
      </c>
      <c r="U184" s="181" t="s">
        <v>575</v>
      </c>
      <c r="V184" s="15"/>
      <c r="W184" s="15" t="s">
        <v>504</v>
      </c>
      <c r="X184" s="15">
        <v>41.44</v>
      </c>
      <c r="Y184" s="15">
        <v>0.8</v>
      </c>
      <c r="Z184" s="15">
        <v>7.8</v>
      </c>
      <c r="AA184" s="15"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82"/>
      <c r="AM184" s="142" t="s">
        <v>20</v>
      </c>
      <c r="AN184" s="135" t="str">
        <f>AO184</f>
        <v>D</v>
      </c>
      <c r="AO184" s="135" t="s">
        <v>21</v>
      </c>
      <c r="AP184" s="372">
        <v>45528</v>
      </c>
      <c r="AQ184" s="372">
        <v>45531</v>
      </c>
      <c r="AR184" s="372">
        <v>45536</v>
      </c>
      <c r="AS184" s="372">
        <v>45544</v>
      </c>
      <c r="AT184" s="24" t="s">
        <v>580</v>
      </c>
      <c r="AU184" s="183"/>
      <c r="AV184" s="142" t="s">
        <v>20</v>
      </c>
      <c r="AW184" s="15" t="s">
        <v>6</v>
      </c>
      <c r="AX184" s="297">
        <v>45706</v>
      </c>
      <c r="AY184" s="297">
        <v>45706</v>
      </c>
      <c r="AZ184" s="187" t="s">
        <v>543</v>
      </c>
      <c r="BA184" s="188"/>
      <c r="BB184" s="142" t="s">
        <v>20</v>
      </c>
      <c r="BC184" s="135"/>
      <c r="BD184" s="135" t="s">
        <v>21</v>
      </c>
      <c r="BE184" s="298">
        <f>BF184-2</f>
        <v>45727</v>
      </c>
      <c r="BF184" s="298">
        <v>45729</v>
      </c>
      <c r="BG184" s="15" t="s">
        <v>581</v>
      </c>
      <c r="BH184" s="194"/>
      <c r="BI184" s="142" t="s">
        <v>20</v>
      </c>
      <c r="BJ184" s="135"/>
      <c r="BK184" s="135"/>
      <c r="BL184" s="25">
        <v>980</v>
      </c>
      <c r="BM184" s="24"/>
    </row>
    <row r="185" spans="1:65" ht="14.25" hidden="1" customHeight="1">
      <c r="A185" s="24"/>
      <c r="B185" s="19"/>
      <c r="C185" s="184"/>
      <c r="D185" s="134"/>
      <c r="E185" s="134"/>
      <c r="F185" s="134"/>
      <c r="G185" s="134"/>
      <c r="H185" s="185"/>
      <c r="I185" s="19"/>
      <c r="J185" s="19"/>
      <c r="K185" s="186"/>
      <c r="L185" s="178"/>
      <c r="M185" s="15"/>
      <c r="N185" s="15"/>
      <c r="O185" s="15"/>
      <c r="P185" s="180">
        <f t="shared" si="36"/>
        <v>0</v>
      </c>
      <c r="Q185" s="178"/>
      <c r="R185" s="15"/>
      <c r="S185" s="180"/>
      <c r="T185" s="204"/>
      <c r="U185" s="204"/>
      <c r="V185" s="15">
        <v>345.78399999999999</v>
      </c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82"/>
      <c r="AM185" s="15"/>
      <c r="AN185" s="24"/>
      <c r="AO185" s="24"/>
      <c r="AP185" s="24"/>
      <c r="AQ185" s="24"/>
      <c r="AR185" s="24"/>
      <c r="AS185" s="24"/>
      <c r="AT185" s="24"/>
      <c r="AU185" s="183"/>
      <c r="AV185" s="15"/>
      <c r="AW185" s="24"/>
      <c r="AX185" s="297"/>
      <c r="AY185" s="297"/>
      <c r="AZ185" s="24"/>
      <c r="BA185" s="183"/>
      <c r="BB185" s="24"/>
      <c r="BC185" s="24"/>
      <c r="BD185" s="24"/>
      <c r="BE185" s="24"/>
      <c r="BF185" s="24"/>
      <c r="BG185" s="24"/>
      <c r="BH185" s="183"/>
      <c r="BI185" s="24"/>
      <c r="BJ185" s="24"/>
      <c r="BK185" s="24"/>
      <c r="BL185" s="24"/>
      <c r="BM185" s="24"/>
    </row>
    <row r="186" spans="1:65" ht="14.25" customHeight="1">
      <c r="A186" s="15">
        <v>89</v>
      </c>
      <c r="B186" s="19" t="s">
        <v>159</v>
      </c>
      <c r="C186" s="184" t="s">
        <v>37</v>
      </c>
      <c r="D186" s="134">
        <v>6.992</v>
      </c>
      <c r="E186" s="134">
        <f>D186*4</f>
        <v>27.968</v>
      </c>
      <c r="F186" s="134">
        <f>E186*8</f>
        <v>223.744</v>
      </c>
      <c r="G186" s="134"/>
      <c r="H186" s="185"/>
      <c r="I186" s="19"/>
      <c r="J186" s="19"/>
      <c r="K186" s="186"/>
      <c r="L186" s="178">
        <v>2.6070000000000002</v>
      </c>
      <c r="M186" s="15">
        <v>2.657</v>
      </c>
      <c r="N186" s="15">
        <v>2E-3</v>
      </c>
      <c r="O186" s="15">
        <v>0.21299999999999999</v>
      </c>
      <c r="P186" s="180">
        <f t="shared" si="36"/>
        <v>5.4790000000000001</v>
      </c>
      <c r="Q186" s="178">
        <v>0.24399999999999999</v>
      </c>
      <c r="R186" s="15">
        <v>5.0000000000000001E-3</v>
      </c>
      <c r="S186" s="180">
        <f>SUM(Q186:R186)</f>
        <v>0.249</v>
      </c>
      <c r="T186" s="204" t="s">
        <v>31</v>
      </c>
      <c r="U186" s="181" t="s">
        <v>575</v>
      </c>
      <c r="V186" s="15"/>
      <c r="W186" s="15" t="s">
        <v>582</v>
      </c>
      <c r="X186" s="15">
        <v>80.64</v>
      </c>
      <c r="Y186" s="15">
        <v>0.88</v>
      </c>
      <c r="Z186" s="15">
        <v>8.1199999999999992</v>
      </c>
      <c r="AA186" s="15"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82"/>
      <c r="AM186" s="142" t="s">
        <v>20</v>
      </c>
      <c r="AN186" s="135" t="str">
        <f>AO186</f>
        <v>D</v>
      </c>
      <c r="AO186" s="135" t="s">
        <v>21</v>
      </c>
      <c r="AP186" s="372">
        <v>15.1</v>
      </c>
      <c r="AQ186" s="372">
        <v>18.100000000000001</v>
      </c>
      <c r="AR186" s="372">
        <v>45586</v>
      </c>
      <c r="AS186" s="372">
        <v>45587</v>
      </c>
      <c r="AT186" s="24" t="s">
        <v>580</v>
      </c>
      <c r="AU186" s="183"/>
      <c r="AV186" s="142" t="s">
        <v>20</v>
      </c>
      <c r="AW186" s="15" t="s">
        <v>548</v>
      </c>
      <c r="AX186" s="297">
        <v>45660</v>
      </c>
      <c r="AY186" s="297">
        <f>AX186</f>
        <v>45660</v>
      </c>
      <c r="AZ186" s="187" t="s">
        <v>543</v>
      </c>
      <c r="BA186" s="188"/>
      <c r="BB186" s="142" t="s">
        <v>20</v>
      </c>
      <c r="BC186" s="135"/>
      <c r="BD186" s="135" t="s">
        <v>21</v>
      </c>
      <c r="BE186" s="298">
        <f>BF186-2</f>
        <v>45770</v>
      </c>
      <c r="BF186" s="298">
        <v>45772</v>
      </c>
      <c r="BG186" s="25" t="s">
        <v>583</v>
      </c>
      <c r="BH186" s="192"/>
      <c r="BI186" s="142" t="s">
        <v>20</v>
      </c>
      <c r="BJ186" s="135"/>
      <c r="BK186" s="135"/>
      <c r="BL186" s="25">
        <v>1330</v>
      </c>
      <c r="BM186" s="24"/>
    </row>
    <row r="187" spans="1:65" ht="14.25" hidden="1" customHeight="1">
      <c r="A187" s="24"/>
      <c r="B187" s="19"/>
      <c r="C187" s="184"/>
      <c r="D187" s="134"/>
      <c r="E187" s="134"/>
      <c r="F187" s="134"/>
      <c r="G187" s="134"/>
      <c r="H187" s="185"/>
      <c r="I187" s="19"/>
      <c r="J187" s="19"/>
      <c r="K187" s="186"/>
      <c r="L187" s="178"/>
      <c r="M187" s="15"/>
      <c r="N187" s="15"/>
      <c r="O187" s="15"/>
      <c r="P187" s="180">
        <f t="shared" si="36"/>
        <v>0</v>
      </c>
      <c r="Q187" s="178"/>
      <c r="R187" s="15"/>
      <c r="S187" s="180"/>
      <c r="T187" s="204"/>
      <c r="U187" s="204"/>
      <c r="V187" s="15">
        <v>299.33999999999997</v>
      </c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82"/>
      <c r="AM187" s="15"/>
      <c r="AN187" s="24"/>
      <c r="AO187" s="24"/>
      <c r="AP187" s="24"/>
      <c r="AQ187" s="24"/>
      <c r="AR187" s="24"/>
      <c r="AS187" s="24"/>
      <c r="AT187" s="24"/>
      <c r="AU187" s="183"/>
      <c r="AV187" s="15"/>
      <c r="AW187" s="24"/>
      <c r="AX187" s="297"/>
      <c r="AY187" s="297"/>
      <c r="AZ187" s="24"/>
      <c r="BA187" s="183"/>
      <c r="BB187" s="24"/>
      <c r="BC187" s="24"/>
      <c r="BD187" s="24"/>
      <c r="BE187" s="24"/>
      <c r="BF187" s="24"/>
      <c r="BG187" s="24"/>
      <c r="BH187" s="183"/>
      <c r="BI187" s="24"/>
      <c r="BJ187" s="24"/>
      <c r="BK187" s="24"/>
      <c r="BL187" s="24"/>
      <c r="BM187" s="24"/>
    </row>
    <row r="188" spans="1:65" ht="14.25" customHeight="1">
      <c r="A188" s="15">
        <v>90</v>
      </c>
      <c r="B188" s="19" t="s">
        <v>161</v>
      </c>
      <c r="C188" s="184" t="s">
        <v>39</v>
      </c>
      <c r="D188" s="134">
        <v>7.7080000000000002</v>
      </c>
      <c r="E188" s="134">
        <f>D188*4</f>
        <v>30.832000000000001</v>
      </c>
      <c r="F188" s="134">
        <f>E188*8</f>
        <v>246.65600000000001</v>
      </c>
      <c r="G188" s="134"/>
      <c r="H188" s="185"/>
      <c r="I188" s="19"/>
      <c r="J188" s="19"/>
      <c r="K188" s="186"/>
      <c r="L188" s="178">
        <v>4.0570000000000004</v>
      </c>
      <c r="M188" s="15">
        <v>2.48</v>
      </c>
      <c r="N188" s="15">
        <v>6.0000000000000001E-3</v>
      </c>
      <c r="O188" s="15">
        <v>0.36499999999999999</v>
      </c>
      <c r="P188" s="180">
        <f t="shared" si="36"/>
        <v>6.9080000000000013</v>
      </c>
      <c r="Q188" s="178">
        <v>0.436</v>
      </c>
      <c r="R188" s="15">
        <v>0.01</v>
      </c>
      <c r="S188" s="180">
        <f>SUM(Q188:R188)</f>
        <v>0.44600000000000001</v>
      </c>
      <c r="T188" s="204" t="s">
        <v>300</v>
      </c>
      <c r="U188" s="181" t="s">
        <v>575</v>
      </c>
      <c r="V188" s="15"/>
      <c r="W188" s="15" t="s">
        <v>504</v>
      </c>
      <c r="X188" s="15">
        <v>75.36</v>
      </c>
      <c r="Y188" s="15">
        <v>1.35</v>
      </c>
      <c r="Z188" s="15">
        <v>12.85</v>
      </c>
      <c r="AA188" s="15"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82"/>
      <c r="AM188" s="142" t="s">
        <v>20</v>
      </c>
      <c r="AN188" s="135" t="str">
        <f>AO188</f>
        <v>D</v>
      </c>
      <c r="AO188" s="135" t="s">
        <v>21</v>
      </c>
      <c r="AP188" s="372">
        <v>45575</v>
      </c>
      <c r="AQ188" s="372">
        <v>45578</v>
      </c>
      <c r="AR188" s="372">
        <v>45583</v>
      </c>
      <c r="AS188" s="372">
        <v>45585</v>
      </c>
      <c r="AT188" s="24" t="s">
        <v>580</v>
      </c>
      <c r="AU188" s="183"/>
      <c r="AV188" s="142" t="s">
        <v>20</v>
      </c>
      <c r="AW188" s="15" t="s">
        <v>6</v>
      </c>
      <c r="AX188" s="297">
        <v>45706</v>
      </c>
      <c r="AY188" s="297">
        <v>45706</v>
      </c>
      <c r="AZ188" s="187" t="s">
        <v>543</v>
      </c>
      <c r="BA188" s="188"/>
      <c r="BB188" s="142" t="s">
        <v>20</v>
      </c>
      <c r="BC188" s="135"/>
      <c r="BD188" s="135" t="s">
        <v>577</v>
      </c>
      <c r="BE188" s="298">
        <f>BF188-2</f>
        <v>45777</v>
      </c>
      <c r="BF188" s="298">
        <v>45779</v>
      </c>
      <c r="BG188" s="25" t="s">
        <v>583</v>
      </c>
      <c r="BH188" s="194"/>
      <c r="BI188" s="142" t="s">
        <v>20</v>
      </c>
      <c r="BJ188" s="135"/>
      <c r="BK188" s="135"/>
      <c r="BL188" s="25">
        <v>1001</v>
      </c>
      <c r="BM188" s="24"/>
    </row>
    <row r="189" spans="1:65" ht="14.25" hidden="1" customHeight="1">
      <c r="A189" s="24"/>
      <c r="B189" s="19"/>
      <c r="C189" s="184"/>
      <c r="D189" s="134"/>
      <c r="E189" s="134"/>
      <c r="F189" s="134"/>
      <c r="G189" s="134"/>
      <c r="H189" s="185"/>
      <c r="I189" s="19"/>
      <c r="J189" s="19"/>
      <c r="K189" s="186"/>
      <c r="L189" s="178"/>
      <c r="M189" s="15"/>
      <c r="N189" s="15"/>
      <c r="O189" s="15"/>
      <c r="P189" s="180">
        <f t="shared" si="36"/>
        <v>0</v>
      </c>
      <c r="Q189" s="178"/>
      <c r="R189" s="15"/>
      <c r="S189" s="180"/>
      <c r="T189" s="181"/>
      <c r="U189" s="181"/>
      <c r="V189" s="16">
        <v>296</v>
      </c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82"/>
      <c r="AM189" s="15"/>
      <c r="AN189" s="24"/>
      <c r="AO189" s="24"/>
      <c r="AP189" s="24"/>
      <c r="AQ189" s="24"/>
      <c r="AR189" s="24"/>
      <c r="AS189" s="24"/>
      <c r="AT189" s="24"/>
      <c r="AU189" s="183"/>
      <c r="AV189" s="15"/>
      <c r="AW189" s="24"/>
      <c r="AX189" s="297"/>
      <c r="AY189" s="297"/>
      <c r="AZ189" s="24"/>
      <c r="BA189" s="183"/>
      <c r="BB189" s="24"/>
      <c r="BC189" s="24"/>
      <c r="BD189" s="24"/>
      <c r="BE189" s="24"/>
      <c r="BF189" s="24"/>
      <c r="BG189" s="24"/>
      <c r="BH189" s="183"/>
      <c r="BI189" s="24"/>
      <c r="BJ189" s="24"/>
      <c r="BK189" s="24"/>
      <c r="BL189" s="24"/>
      <c r="BM189" s="24"/>
    </row>
    <row r="190" spans="1:65" ht="14.25" customHeight="1">
      <c r="A190" s="15">
        <v>91</v>
      </c>
      <c r="B190" s="19" t="s">
        <v>162</v>
      </c>
      <c r="C190" s="184" t="s">
        <v>42</v>
      </c>
      <c r="D190" s="134">
        <v>6.3620000000000001</v>
      </c>
      <c r="E190" s="134">
        <f>D190*4</f>
        <v>25.448</v>
      </c>
      <c r="F190" s="134">
        <f>E190*8</f>
        <v>203.584</v>
      </c>
      <c r="G190" s="134"/>
      <c r="H190" s="185"/>
      <c r="I190" s="19"/>
      <c r="J190" s="19"/>
      <c r="K190" s="186"/>
      <c r="L190" s="178">
        <v>2.25</v>
      </c>
      <c r="M190" s="15">
        <v>2.1880000000000002</v>
      </c>
      <c r="N190" s="15">
        <v>2E-3</v>
      </c>
      <c r="O190" s="15">
        <v>0.183</v>
      </c>
      <c r="P190" s="180">
        <f t="shared" si="36"/>
        <v>4.6230000000000002</v>
      </c>
      <c r="Q190" s="178">
        <v>0.24399999999999999</v>
      </c>
      <c r="R190" s="15">
        <v>5.0000000000000001E-3</v>
      </c>
      <c r="S190" s="180">
        <f>SUM(Q190:R190)</f>
        <v>0.249</v>
      </c>
      <c r="T190" s="181" t="s">
        <v>31</v>
      </c>
      <c r="U190" s="181" t="s">
        <v>540</v>
      </c>
      <c r="V190" s="15"/>
      <c r="W190" s="15" t="s">
        <v>504</v>
      </c>
      <c r="X190" s="15">
        <v>41.44</v>
      </c>
      <c r="Y190" s="15">
        <v>0.8</v>
      </c>
      <c r="Z190" s="15">
        <v>7.8</v>
      </c>
      <c r="AA190" s="15"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82"/>
      <c r="AM190" s="142" t="s">
        <v>20</v>
      </c>
      <c r="AN190" s="135" t="str">
        <f>AO190</f>
        <v>D</v>
      </c>
      <c r="AO190" s="135" t="s">
        <v>21</v>
      </c>
      <c r="AP190" s="372">
        <v>45585</v>
      </c>
      <c r="AQ190" s="372">
        <v>45588</v>
      </c>
      <c r="AR190" s="372">
        <v>45590</v>
      </c>
      <c r="AS190" s="372">
        <v>45592</v>
      </c>
      <c r="AT190" s="24" t="s">
        <v>580</v>
      </c>
      <c r="AU190" s="183"/>
      <c r="AV190" s="142" t="s">
        <v>20</v>
      </c>
      <c r="AW190" s="15" t="s">
        <v>6</v>
      </c>
      <c r="AX190" s="297">
        <f>AY190-2</f>
        <v>45718</v>
      </c>
      <c r="AY190" s="297">
        <v>45720</v>
      </c>
      <c r="AZ190" s="187" t="s">
        <v>543</v>
      </c>
      <c r="BA190" s="188"/>
      <c r="BB190" s="142" t="s">
        <v>20</v>
      </c>
      <c r="BC190" s="135"/>
      <c r="BD190" s="135" t="s">
        <v>21</v>
      </c>
      <c r="BE190" s="298">
        <f>BF190-1</f>
        <v>45729</v>
      </c>
      <c r="BF190" s="298">
        <v>45730</v>
      </c>
      <c r="BG190" s="17" t="s">
        <v>584</v>
      </c>
      <c r="BH190" s="194"/>
      <c r="BI190" s="142" t="s">
        <v>20</v>
      </c>
      <c r="BJ190" s="135"/>
      <c r="BK190" s="135"/>
      <c r="BL190" s="25">
        <v>980</v>
      </c>
      <c r="BM190" s="24"/>
    </row>
    <row r="191" spans="1:65" ht="14.25" hidden="1" customHeight="1">
      <c r="A191" s="24"/>
      <c r="B191" s="19"/>
      <c r="C191" s="184"/>
      <c r="D191" s="134"/>
      <c r="E191" s="134"/>
      <c r="F191" s="134"/>
      <c r="G191" s="134"/>
      <c r="H191" s="185"/>
      <c r="I191" s="19"/>
      <c r="J191" s="19"/>
      <c r="K191" s="186"/>
      <c r="L191" s="178"/>
      <c r="M191" s="15"/>
      <c r="N191" s="15"/>
      <c r="O191" s="15"/>
      <c r="P191" s="180">
        <f t="shared" si="36"/>
        <v>0</v>
      </c>
      <c r="Q191" s="178"/>
      <c r="R191" s="15"/>
      <c r="S191" s="180"/>
      <c r="T191" s="181"/>
      <c r="U191" s="181"/>
      <c r="V191" s="16">
        <v>229.88900000000001</v>
      </c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82"/>
      <c r="AM191" s="15"/>
      <c r="AN191" s="24"/>
      <c r="AO191" s="24"/>
      <c r="AP191" s="24"/>
      <c r="AQ191" s="24"/>
      <c r="AR191" s="24"/>
      <c r="AS191" s="24"/>
      <c r="AT191" s="24"/>
      <c r="AU191" s="183"/>
      <c r="AV191" s="15"/>
      <c r="AW191" s="24"/>
      <c r="AX191" s="297"/>
      <c r="AY191" s="297"/>
      <c r="AZ191" s="24"/>
      <c r="BA191" s="183"/>
      <c r="BB191" s="24"/>
      <c r="BC191" s="24"/>
      <c r="BD191" s="24"/>
      <c r="BE191" s="24"/>
      <c r="BF191" s="24"/>
      <c r="BG191" s="24"/>
      <c r="BH191" s="183"/>
      <c r="BI191" s="24"/>
      <c r="BJ191" s="24"/>
      <c r="BK191" s="24"/>
      <c r="BL191" s="24"/>
      <c r="BM191" s="24"/>
    </row>
    <row r="192" spans="1:65" ht="14.25" customHeight="1">
      <c r="A192" s="15">
        <v>92</v>
      </c>
      <c r="B192" s="19" t="s">
        <v>164</v>
      </c>
      <c r="C192" s="184" t="s">
        <v>34</v>
      </c>
      <c r="D192" s="134">
        <v>9.6539999999999999</v>
      </c>
      <c r="E192" s="134">
        <f>D192*4</f>
        <v>38.616</v>
      </c>
      <c r="F192" s="134">
        <f>E192*8</f>
        <v>308.928</v>
      </c>
      <c r="G192" s="134"/>
      <c r="H192" s="185"/>
      <c r="I192" s="19"/>
      <c r="J192" s="19"/>
      <c r="K192" s="186"/>
      <c r="L192" s="178">
        <v>4.8070000000000004</v>
      </c>
      <c r="M192" s="15">
        <v>4.016</v>
      </c>
      <c r="N192" s="15">
        <v>7.0000000000000001E-3</v>
      </c>
      <c r="O192" s="15">
        <v>0.43099999999999999</v>
      </c>
      <c r="P192" s="180">
        <f t="shared" si="36"/>
        <v>9.2609999999999992</v>
      </c>
      <c r="Q192" s="178">
        <v>0.55700000000000005</v>
      </c>
      <c r="R192" s="15">
        <v>0.01</v>
      </c>
      <c r="S192" s="180">
        <f>SUM(Q192:R192)</f>
        <v>0.56700000000000006</v>
      </c>
      <c r="T192" s="181" t="s">
        <v>163</v>
      </c>
      <c r="U192" s="181" t="s">
        <v>540</v>
      </c>
      <c r="V192" s="15"/>
      <c r="W192" s="15" t="s">
        <v>585</v>
      </c>
      <c r="X192" s="15">
        <v>119.36</v>
      </c>
      <c r="Y192" s="15">
        <v>2.0499999999999998</v>
      </c>
      <c r="Z192" s="15">
        <v>18.37</v>
      </c>
      <c r="AA192" s="15"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82"/>
      <c r="AM192" s="142" t="s">
        <v>20</v>
      </c>
      <c r="AN192" s="135" t="str">
        <f>AO192</f>
        <v>D</v>
      </c>
      <c r="AO192" s="135" t="s">
        <v>21</v>
      </c>
      <c r="AP192" s="372">
        <v>45566</v>
      </c>
      <c r="AQ192" s="372">
        <v>45567</v>
      </c>
      <c r="AR192" s="372">
        <v>45575</v>
      </c>
      <c r="AS192" s="372">
        <v>45584</v>
      </c>
      <c r="AT192" s="24" t="s">
        <v>580</v>
      </c>
      <c r="AU192" s="183"/>
      <c r="AV192" s="142" t="s">
        <v>20</v>
      </c>
      <c r="AW192" s="15" t="s">
        <v>6</v>
      </c>
      <c r="AX192" s="297">
        <v>45706</v>
      </c>
      <c r="AY192" s="297">
        <v>45706</v>
      </c>
      <c r="AZ192" s="187" t="s">
        <v>543</v>
      </c>
      <c r="BA192" s="188"/>
      <c r="BB192" s="142" t="s">
        <v>20</v>
      </c>
      <c r="BC192" s="135" t="s">
        <v>544</v>
      </c>
      <c r="BD192" s="135" t="s">
        <v>21</v>
      </c>
      <c r="BE192" s="298">
        <f>BF192-2</f>
        <v>45736</v>
      </c>
      <c r="BF192" s="298">
        <v>45738</v>
      </c>
      <c r="BG192" s="15" t="s">
        <v>581</v>
      </c>
      <c r="BH192" s="192"/>
      <c r="BI192" s="142" t="s">
        <v>20</v>
      </c>
      <c r="BJ192" s="135"/>
      <c r="BK192" s="135"/>
      <c r="BL192" s="25">
        <v>1202</v>
      </c>
      <c r="BM192" s="24"/>
    </row>
    <row r="193" spans="1:68" ht="14.25" hidden="1" customHeight="1">
      <c r="A193" s="24"/>
      <c r="B193" s="19"/>
      <c r="C193" s="184"/>
      <c r="D193" s="134"/>
      <c r="E193" s="134"/>
      <c r="F193" s="134"/>
      <c r="G193" s="134"/>
      <c r="H193" s="185"/>
      <c r="I193" s="19"/>
      <c r="J193" s="19"/>
      <c r="K193" s="186"/>
      <c r="L193" s="178"/>
      <c r="M193" s="15"/>
      <c r="N193" s="15"/>
      <c r="O193" s="15"/>
      <c r="P193" s="180">
        <f t="shared" si="36"/>
        <v>0</v>
      </c>
      <c r="Q193" s="178"/>
      <c r="R193" s="15"/>
      <c r="S193" s="180"/>
      <c r="T193" s="181"/>
      <c r="U193" s="181"/>
      <c r="V193" s="16">
        <v>356.279</v>
      </c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82"/>
      <c r="AM193" s="15"/>
      <c r="AN193" s="24"/>
      <c r="AO193" s="24"/>
      <c r="AP193" s="24"/>
      <c r="AQ193" s="24"/>
      <c r="AR193" s="24"/>
      <c r="AS193" s="24"/>
      <c r="AT193" s="24"/>
      <c r="AU193" s="183"/>
      <c r="AV193" s="15"/>
      <c r="AW193" s="24"/>
      <c r="AX193" s="297"/>
      <c r="AY193" s="297"/>
      <c r="AZ193" s="24"/>
      <c r="BA193" s="183"/>
      <c r="BB193" s="24"/>
      <c r="BC193" s="24"/>
      <c r="BD193" s="24"/>
      <c r="BE193" s="24"/>
      <c r="BF193" s="24"/>
      <c r="BG193" s="24"/>
      <c r="BH193" s="183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v>93</v>
      </c>
      <c r="B194" s="19" t="s">
        <v>166</v>
      </c>
      <c r="C194" s="184" t="s">
        <v>46</v>
      </c>
      <c r="D194" s="134">
        <v>8.6259999999999994</v>
      </c>
      <c r="E194" s="134">
        <f>D194*4</f>
        <v>34.503999999999998</v>
      </c>
      <c r="F194" s="134">
        <f>E194*8</f>
        <v>276.03199999999998</v>
      </c>
      <c r="G194" s="134"/>
      <c r="H194" s="185"/>
      <c r="I194" s="19"/>
      <c r="J194" s="19"/>
      <c r="K194" s="186"/>
      <c r="L194" s="178">
        <v>4.5380000000000003</v>
      </c>
      <c r="M194" s="15">
        <v>3.23</v>
      </c>
      <c r="N194" s="15">
        <v>6.4000000000000003E-3</v>
      </c>
      <c r="O194" s="15">
        <v>0.42899999999999999</v>
      </c>
      <c r="P194" s="180">
        <f t="shared" si="36"/>
        <v>8.2034000000000002</v>
      </c>
      <c r="Q194" s="178">
        <v>0.436</v>
      </c>
      <c r="R194" s="15">
        <v>0.01</v>
      </c>
      <c r="S194" s="180">
        <f>SUM(Q194:R194)</f>
        <v>0.44600000000000001</v>
      </c>
      <c r="T194" s="181" t="s">
        <v>165</v>
      </c>
      <c r="U194" s="181" t="s">
        <v>540</v>
      </c>
      <c r="V194" s="15"/>
      <c r="W194" s="15" t="s">
        <v>582</v>
      </c>
      <c r="X194" s="15">
        <v>143.36000000000001</v>
      </c>
      <c r="Y194" s="15">
        <v>1.68</v>
      </c>
      <c r="Z194" s="15">
        <v>14.73</v>
      </c>
      <c r="AA194" s="15">
        <f>Y194+Z194</f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82"/>
      <c r="AM194" s="142" t="s">
        <v>20</v>
      </c>
      <c r="AN194" s="135" t="s">
        <v>21</v>
      </c>
      <c r="AO194" s="135" t="s">
        <v>21</v>
      </c>
      <c r="AP194" s="372">
        <f t="shared" ref="AP194:AR194" si="60">AQ194-2</f>
        <v>45749</v>
      </c>
      <c r="AQ194" s="372">
        <f t="shared" si="60"/>
        <v>45751</v>
      </c>
      <c r="AR194" s="372">
        <f t="shared" si="60"/>
        <v>45753</v>
      </c>
      <c r="AS194" s="372">
        <v>45755</v>
      </c>
      <c r="AT194" s="24" t="s">
        <v>554</v>
      </c>
      <c r="AU194" s="183"/>
      <c r="AV194" s="142" t="s">
        <v>20</v>
      </c>
      <c r="AW194" s="15" t="s">
        <v>548</v>
      </c>
      <c r="AX194" s="297">
        <f>AY194</f>
        <v>45661</v>
      </c>
      <c r="AY194" s="297">
        <v>45661</v>
      </c>
      <c r="AZ194" s="187" t="s">
        <v>543</v>
      </c>
      <c r="BA194" s="188"/>
      <c r="BB194" s="142" t="s">
        <v>20</v>
      </c>
      <c r="BC194" s="135" t="s">
        <v>544</v>
      </c>
      <c r="BD194" s="135" t="s">
        <v>21</v>
      </c>
      <c r="BE194" s="298">
        <f>BF194-1</f>
        <v>45800</v>
      </c>
      <c r="BF194" s="298">
        <v>45801</v>
      </c>
      <c r="BG194" s="15" t="s">
        <v>586</v>
      </c>
      <c r="BH194" s="192"/>
      <c r="BI194" s="142" t="s">
        <v>20</v>
      </c>
      <c r="BJ194" s="135"/>
      <c r="BK194" s="135"/>
      <c r="BL194" s="25">
        <v>1433</v>
      </c>
      <c r="BM194" s="24"/>
      <c r="BN194" s="15"/>
      <c r="BO194" s="15"/>
    </row>
    <row r="195" spans="1:68" ht="14.25" hidden="1" customHeight="1">
      <c r="A195" s="24"/>
      <c r="B195" s="19"/>
      <c r="C195" s="184"/>
      <c r="D195" s="134"/>
      <c r="E195" s="134"/>
      <c r="F195" s="134"/>
      <c r="G195" s="134"/>
      <c r="H195" s="185"/>
      <c r="I195" s="19"/>
      <c r="J195" s="19"/>
      <c r="K195" s="186"/>
      <c r="L195" s="178"/>
      <c r="M195" s="15"/>
      <c r="N195" s="15"/>
      <c r="O195" s="15"/>
      <c r="P195" s="180">
        <f t="shared" si="36"/>
        <v>0</v>
      </c>
      <c r="Q195" s="178"/>
      <c r="R195" s="15"/>
      <c r="S195" s="180"/>
      <c r="T195" s="181"/>
      <c r="U195" s="181"/>
      <c r="V195" s="16">
        <v>314</v>
      </c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82"/>
      <c r="AM195" s="15"/>
      <c r="AN195" s="24"/>
      <c r="AO195" s="24"/>
      <c r="AP195" s="24"/>
      <c r="AQ195" s="24"/>
      <c r="AR195" s="24"/>
      <c r="AS195" s="24"/>
      <c r="AT195" s="24"/>
      <c r="AU195" s="183"/>
      <c r="AV195" s="15"/>
      <c r="AW195" s="24"/>
      <c r="AX195" s="297"/>
      <c r="AY195" s="297"/>
      <c r="AZ195" s="24"/>
      <c r="BA195" s="183"/>
      <c r="BB195" s="15"/>
      <c r="BC195" s="24"/>
      <c r="BD195" s="24"/>
      <c r="BE195" s="24"/>
      <c r="BF195" s="24"/>
      <c r="BG195" s="24"/>
      <c r="BH195" s="183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v>94</v>
      </c>
      <c r="B196" s="19" t="s">
        <v>167</v>
      </c>
      <c r="C196" s="184" t="s">
        <v>37</v>
      </c>
      <c r="D196" s="134">
        <v>6.992</v>
      </c>
      <c r="E196" s="134">
        <f>D196*4</f>
        <v>27.968</v>
      </c>
      <c r="F196" s="134">
        <f>E196*8</f>
        <v>223.744</v>
      </c>
      <c r="G196" s="134"/>
      <c r="H196" s="185"/>
      <c r="I196" s="19"/>
      <c r="J196" s="19"/>
      <c r="K196" s="186"/>
      <c r="L196" s="178">
        <v>2.6070000000000002</v>
      </c>
      <c r="M196" s="15">
        <v>2.657</v>
      </c>
      <c r="N196" s="15">
        <v>2E-3</v>
      </c>
      <c r="O196" s="15">
        <v>0.21299999999999999</v>
      </c>
      <c r="P196" s="180">
        <f t="shared" si="36"/>
        <v>5.4790000000000001</v>
      </c>
      <c r="Q196" s="178">
        <v>0.24399999999999999</v>
      </c>
      <c r="R196" s="15">
        <v>5.0000000000000001E-3</v>
      </c>
      <c r="S196" s="180">
        <f>SUM(Q196:R196)</f>
        <v>0.249</v>
      </c>
      <c r="T196" s="181" t="s">
        <v>31</v>
      </c>
      <c r="U196" s="181" t="s">
        <v>540</v>
      </c>
      <c r="V196" s="15"/>
      <c r="W196" s="15" t="s">
        <v>504</v>
      </c>
      <c r="X196" s="15">
        <v>41.44</v>
      </c>
      <c r="Y196" s="15">
        <v>0.8</v>
      </c>
      <c r="Z196" s="15">
        <v>7.8</v>
      </c>
      <c r="AA196" s="15">
        <v>8.6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82"/>
      <c r="AM196" s="142" t="s">
        <v>20</v>
      </c>
      <c r="AN196" s="135" t="s">
        <v>21</v>
      </c>
      <c r="AO196" s="135" t="s">
        <v>21</v>
      </c>
      <c r="AP196" s="372">
        <f t="shared" ref="AP196:AR196" si="61">AQ196-2</f>
        <v>45963</v>
      </c>
      <c r="AQ196" s="372">
        <f t="shared" si="61"/>
        <v>45965</v>
      </c>
      <c r="AR196" s="372">
        <f t="shared" si="61"/>
        <v>45967</v>
      </c>
      <c r="AS196" s="372">
        <v>45969</v>
      </c>
      <c r="AT196" s="19" t="s">
        <v>542</v>
      </c>
      <c r="AU196" s="183"/>
      <c r="AV196" s="142" t="s">
        <v>20</v>
      </c>
      <c r="AW196" s="15"/>
      <c r="AX196" s="297">
        <f>AY196-2</f>
        <v>45973</v>
      </c>
      <c r="AY196" s="297">
        <v>45975</v>
      </c>
      <c r="AZ196" s="187" t="s">
        <v>510</v>
      </c>
      <c r="BA196" s="188"/>
      <c r="BB196" s="142" t="s">
        <v>20</v>
      </c>
      <c r="BC196" s="135"/>
      <c r="BD196" s="135"/>
      <c r="BE196" s="298">
        <f>BF196-2</f>
        <v>45971</v>
      </c>
      <c r="BF196" s="298">
        <v>45973</v>
      </c>
      <c r="BG196" s="15" t="s">
        <v>587</v>
      </c>
      <c r="BH196" s="192"/>
      <c r="BI196" s="15"/>
      <c r="BJ196" s="135"/>
      <c r="BK196" s="135"/>
      <c r="BL196" s="25">
        <v>1330</v>
      </c>
      <c r="BM196" s="24"/>
      <c r="BN196" s="15"/>
      <c r="BO196" s="15"/>
    </row>
    <row r="197" spans="1:68" ht="14.25" hidden="1" customHeight="1">
      <c r="A197" s="24"/>
      <c r="B197" s="19"/>
      <c r="C197" s="184"/>
      <c r="D197" s="134"/>
      <c r="E197" s="134"/>
      <c r="F197" s="134"/>
      <c r="G197" s="134"/>
      <c r="H197" s="185"/>
      <c r="I197" s="19"/>
      <c r="J197" s="19"/>
      <c r="K197" s="186"/>
      <c r="L197" s="178"/>
      <c r="M197" s="15"/>
      <c r="N197" s="15"/>
      <c r="O197" s="15"/>
      <c r="P197" s="180">
        <f t="shared" si="36"/>
        <v>0</v>
      </c>
      <c r="Q197" s="178"/>
      <c r="R197" s="15"/>
      <c r="S197" s="180"/>
      <c r="T197" s="181"/>
      <c r="U197" s="181"/>
      <c r="V197" s="16">
        <v>353.589</v>
      </c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82"/>
      <c r="AM197" s="15"/>
      <c r="AN197" s="24"/>
      <c r="AO197" s="24"/>
      <c r="AP197" s="24"/>
      <c r="AQ197" s="24"/>
      <c r="AR197" s="24"/>
      <c r="AS197" s="24"/>
      <c r="AT197" s="24"/>
      <c r="AU197" s="183"/>
      <c r="AV197" s="15"/>
      <c r="AW197" s="24"/>
      <c r="AX197" s="297"/>
      <c r="AY197" s="297"/>
      <c r="AZ197" s="24"/>
      <c r="BA197" s="183"/>
      <c r="BB197" s="24"/>
      <c r="BC197" s="24"/>
      <c r="BD197" s="24"/>
      <c r="BE197" s="24"/>
      <c r="BF197" s="24"/>
      <c r="BG197" s="24"/>
      <c r="BH197" s="183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v>95</v>
      </c>
      <c r="B198" s="19" t="s">
        <v>169</v>
      </c>
      <c r="C198" s="184" t="s">
        <v>65</v>
      </c>
      <c r="D198" s="134">
        <v>9.5440000000000005</v>
      </c>
      <c r="E198" s="134">
        <f>D198*4</f>
        <v>38.176000000000002</v>
      </c>
      <c r="F198" s="134">
        <f>E198*8</f>
        <v>305.40800000000002</v>
      </c>
      <c r="G198" s="134"/>
      <c r="H198" s="185"/>
      <c r="I198" s="19"/>
      <c r="J198" s="19"/>
      <c r="K198" s="186"/>
      <c r="L198" s="178">
        <v>4.9380000000000006</v>
      </c>
      <c r="M198" s="15">
        <v>3.609</v>
      </c>
      <c r="N198" s="15">
        <v>6.3E-3</v>
      </c>
      <c r="O198" s="15">
        <v>0.42399999999999999</v>
      </c>
      <c r="P198" s="180">
        <f t="shared" si="36"/>
        <v>8.9772999999999996</v>
      </c>
      <c r="Q198" s="178">
        <v>0.436</v>
      </c>
      <c r="R198" s="15">
        <v>0.01</v>
      </c>
      <c r="S198" s="180">
        <f>SUM(Q198:R198)</f>
        <v>0.44600000000000001</v>
      </c>
      <c r="T198" s="181" t="s">
        <v>168</v>
      </c>
      <c r="U198" s="181" t="s">
        <v>540</v>
      </c>
      <c r="V198" s="15"/>
      <c r="W198" s="15" t="s">
        <v>504</v>
      </c>
      <c r="X198" s="15">
        <v>75.36</v>
      </c>
      <c r="Y198" s="15">
        <v>1.35</v>
      </c>
      <c r="Z198" s="15">
        <v>12.85</v>
      </c>
      <c r="AA198" s="15"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82"/>
      <c r="AM198" s="142" t="s">
        <v>20</v>
      </c>
      <c r="AN198" s="135" t="str">
        <f>AO198</f>
        <v>D</v>
      </c>
      <c r="AO198" s="135" t="s">
        <v>21</v>
      </c>
      <c r="AP198" s="372">
        <v>45593</v>
      </c>
      <c r="AQ198" s="372">
        <f>AR198-3</f>
        <v>45599</v>
      </c>
      <c r="AR198" s="372">
        <f>AS198-2</f>
        <v>45602</v>
      </c>
      <c r="AS198" s="372">
        <v>45604</v>
      </c>
      <c r="AT198" s="24" t="s">
        <v>580</v>
      </c>
      <c r="AU198" s="183"/>
      <c r="AV198" s="142" t="s">
        <v>20</v>
      </c>
      <c r="AW198" s="15" t="s">
        <v>6</v>
      </c>
      <c r="AX198" s="297">
        <v>45706</v>
      </c>
      <c r="AY198" s="297">
        <v>45706</v>
      </c>
      <c r="AZ198" s="187" t="s">
        <v>543</v>
      </c>
      <c r="BA198" s="188"/>
      <c r="BB198" s="142" t="s">
        <v>20</v>
      </c>
      <c r="BC198" s="135" t="s">
        <v>544</v>
      </c>
      <c r="BD198" s="135" t="s">
        <v>588</v>
      </c>
      <c r="BE198" s="298">
        <f>BF198</f>
        <v>45785</v>
      </c>
      <c r="BF198" s="298">
        <v>45785</v>
      </c>
      <c r="BG198" s="15" t="s">
        <v>586</v>
      </c>
      <c r="BH198" s="192"/>
      <c r="BI198" s="15"/>
      <c r="BJ198" s="135"/>
      <c r="BK198" s="135"/>
      <c r="BL198" s="25">
        <v>1657</v>
      </c>
      <c r="BM198" s="24"/>
      <c r="BN198" s="15"/>
      <c r="BO198" s="15"/>
    </row>
    <row r="199" spans="1:68" ht="14.25" hidden="1" customHeight="1">
      <c r="A199" s="24"/>
      <c r="B199" s="19"/>
      <c r="C199" s="184"/>
      <c r="D199" s="134"/>
      <c r="E199" s="134"/>
      <c r="F199" s="134"/>
      <c r="G199" s="134"/>
      <c r="H199" s="185"/>
      <c r="I199" s="19"/>
      <c r="J199" s="19"/>
      <c r="K199" s="186"/>
      <c r="L199" s="178"/>
      <c r="M199" s="15"/>
      <c r="N199" s="15"/>
      <c r="O199" s="15"/>
      <c r="P199" s="180">
        <f t="shared" si="36"/>
        <v>0</v>
      </c>
      <c r="Q199" s="178"/>
      <c r="R199" s="15"/>
      <c r="S199" s="180"/>
      <c r="T199" s="181"/>
      <c r="U199" s="181"/>
      <c r="V199" s="16">
        <v>362</v>
      </c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82"/>
      <c r="AM199" s="15"/>
      <c r="AN199" s="24"/>
      <c r="AO199" s="24"/>
      <c r="AP199" s="24"/>
      <c r="AQ199" s="24"/>
      <c r="AR199" s="24"/>
      <c r="AS199" s="24"/>
      <c r="AT199" s="24"/>
      <c r="AU199" s="183"/>
      <c r="AV199" s="15"/>
      <c r="AW199" s="24"/>
      <c r="AX199" s="297"/>
      <c r="AY199" s="297"/>
      <c r="AZ199" s="24"/>
      <c r="BA199" s="183"/>
      <c r="BB199" s="24"/>
      <c r="BC199" s="24"/>
      <c r="BD199" s="24"/>
      <c r="BE199" s="24"/>
      <c r="BF199" s="24"/>
      <c r="BG199" s="24"/>
      <c r="BH199" s="183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v>96</v>
      </c>
      <c r="B200" s="19" t="s">
        <v>170</v>
      </c>
      <c r="C200" s="184" t="s">
        <v>89</v>
      </c>
      <c r="D200" s="134">
        <v>8.6300000000000008</v>
      </c>
      <c r="E200" s="134">
        <f>D200*4</f>
        <v>34.520000000000003</v>
      </c>
      <c r="F200" s="134">
        <f>E200*8</f>
        <v>276.16000000000003</v>
      </c>
      <c r="G200" s="134"/>
      <c r="H200" s="185"/>
      <c r="I200" s="19"/>
      <c r="J200" s="19"/>
      <c r="K200" s="186"/>
      <c r="L200" s="178">
        <v>3.867</v>
      </c>
      <c r="M200" s="15">
        <v>3.306</v>
      </c>
      <c r="N200" s="15">
        <v>4.3E-3</v>
      </c>
      <c r="O200" s="15">
        <v>0.27500000000000002</v>
      </c>
      <c r="P200" s="180">
        <f t="shared" si="36"/>
        <v>7.4523000000000001</v>
      </c>
      <c r="Q200" s="178">
        <v>0.36299999999999999</v>
      </c>
      <c r="R200" s="15">
        <v>6.0000000000000001E-3</v>
      </c>
      <c r="S200" s="180">
        <f>SUM(Q200:R200)</f>
        <v>0.36899999999999999</v>
      </c>
      <c r="T200" s="181" t="s">
        <v>31</v>
      </c>
      <c r="U200" s="181" t="s">
        <v>540</v>
      </c>
      <c r="V200" s="15"/>
      <c r="W200" s="15" t="s">
        <v>504</v>
      </c>
      <c r="X200" s="15">
        <v>51.64</v>
      </c>
      <c r="Y200" s="15">
        <v>0.97</v>
      </c>
      <c r="Z200" s="15">
        <v>9.82</v>
      </c>
      <c r="AA200" s="15"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82"/>
      <c r="AM200" s="142" t="s">
        <v>20</v>
      </c>
      <c r="AN200" s="135"/>
      <c r="AO200" s="135"/>
      <c r="AP200" s="372">
        <f>AQ200-2</f>
        <v>45900</v>
      </c>
      <c r="AQ200" s="372">
        <f>AR200-3</f>
        <v>45902</v>
      </c>
      <c r="AR200" s="372">
        <f>AS200-2</f>
        <v>45905</v>
      </c>
      <c r="AS200" s="372">
        <v>45907</v>
      </c>
      <c r="AT200" s="187" t="s">
        <v>587</v>
      </c>
      <c r="AU200" s="188"/>
      <c r="AV200" s="142" t="s">
        <v>20</v>
      </c>
      <c r="AW200" s="15" t="s">
        <v>6</v>
      </c>
      <c r="AX200" s="297">
        <f>AS200+2</f>
        <v>45909</v>
      </c>
      <c r="AY200" s="297">
        <f>AX200</f>
        <v>45909</v>
      </c>
      <c r="AZ200" s="187" t="s">
        <v>589</v>
      </c>
      <c r="BA200" s="188"/>
      <c r="BB200" s="142" t="s">
        <v>20</v>
      </c>
      <c r="BC200" s="135"/>
      <c r="BD200" s="135"/>
      <c r="BE200" s="298">
        <f>BF200</f>
        <v>45956</v>
      </c>
      <c r="BF200" s="298">
        <v>45956</v>
      </c>
      <c r="BG200" s="15" t="s">
        <v>586</v>
      </c>
      <c r="BH200" s="192"/>
      <c r="BI200" s="142" t="s">
        <v>20</v>
      </c>
      <c r="BJ200" s="135"/>
      <c r="BK200" s="135"/>
      <c r="BL200" s="25">
        <v>1560</v>
      </c>
      <c r="BM200" s="24"/>
      <c r="BN200" s="200" t="s">
        <v>557</v>
      </c>
      <c r="BO200" s="197"/>
      <c r="BP200" s="145" t="s">
        <v>559</v>
      </c>
    </row>
    <row r="201" spans="1:68" ht="14.25" hidden="1" customHeight="1">
      <c r="A201" s="24"/>
      <c r="B201" s="19"/>
      <c r="C201" s="184"/>
      <c r="D201" s="134"/>
      <c r="E201" s="134"/>
      <c r="F201" s="134"/>
      <c r="G201" s="134"/>
      <c r="H201" s="185"/>
      <c r="I201" s="19"/>
      <c r="J201" s="19"/>
      <c r="K201" s="186"/>
      <c r="L201" s="178"/>
      <c r="M201" s="15"/>
      <c r="N201" s="15"/>
      <c r="O201" s="15"/>
      <c r="P201" s="180">
        <f t="shared" si="36"/>
        <v>0</v>
      </c>
      <c r="Q201" s="178"/>
      <c r="R201" s="15"/>
      <c r="S201" s="180"/>
      <c r="T201" s="181"/>
      <c r="U201" s="181"/>
      <c r="V201" s="16">
        <v>387</v>
      </c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82"/>
      <c r="AM201" s="15"/>
      <c r="AN201" s="24"/>
      <c r="AO201" s="24"/>
      <c r="AP201" s="24"/>
      <c r="AQ201" s="24"/>
      <c r="AR201" s="24"/>
      <c r="AS201" s="24"/>
      <c r="AT201" s="24"/>
      <c r="AU201" s="183"/>
      <c r="AV201" s="15"/>
      <c r="AW201" s="24"/>
      <c r="AX201" s="297"/>
      <c r="AY201" s="297"/>
      <c r="AZ201" s="24"/>
      <c r="BA201" s="183"/>
      <c r="BB201" s="24"/>
      <c r="BC201" s="24"/>
      <c r="BD201" s="24"/>
      <c r="BE201" s="24"/>
      <c r="BF201" s="24"/>
      <c r="BG201" s="24"/>
      <c r="BH201" s="183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v>97</v>
      </c>
      <c r="B202" s="19" t="s">
        <v>171</v>
      </c>
      <c r="C202" s="184" t="s">
        <v>56</v>
      </c>
      <c r="D202" s="134">
        <v>7.6219999999999999</v>
      </c>
      <c r="E202" s="134">
        <f>D202*4</f>
        <v>30.488</v>
      </c>
      <c r="F202" s="134">
        <f>E202*8</f>
        <v>243.904</v>
      </c>
      <c r="G202" s="134"/>
      <c r="H202" s="185"/>
      <c r="I202" s="19"/>
      <c r="J202" s="19"/>
      <c r="K202" s="186"/>
      <c r="L202" s="178">
        <v>2.6789999999999998</v>
      </c>
      <c r="M202" s="15">
        <v>3.133</v>
      </c>
      <c r="N202" s="15">
        <v>2.3E-3</v>
      </c>
      <c r="O202" s="15">
        <v>0.23299999999999998</v>
      </c>
      <c r="P202" s="180">
        <f t="shared" si="36"/>
        <v>6.047299999999999</v>
      </c>
      <c r="Q202" s="178">
        <v>0.24399999999999999</v>
      </c>
      <c r="R202" s="15">
        <v>5.0000000000000001E-3</v>
      </c>
      <c r="S202" s="180">
        <f>SUM(Q202:R202)</f>
        <v>0.249</v>
      </c>
      <c r="T202" s="181" t="s">
        <v>31</v>
      </c>
      <c r="U202" s="181" t="s">
        <v>540</v>
      </c>
      <c r="V202" s="15"/>
      <c r="W202" s="15" t="s">
        <v>504</v>
      </c>
      <c r="X202" s="15">
        <v>41.44</v>
      </c>
      <c r="Y202" s="15">
        <v>0.8</v>
      </c>
      <c r="Z202" s="15">
        <v>7.8</v>
      </c>
      <c r="AA202" s="15"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82"/>
      <c r="AM202" s="142" t="s">
        <v>20</v>
      </c>
      <c r="AN202" s="135"/>
      <c r="AO202" s="135"/>
      <c r="AP202" s="372">
        <f t="shared" ref="AP202:AQ202" si="62">AQ202-3</f>
        <v>45912</v>
      </c>
      <c r="AQ202" s="372">
        <f t="shared" si="62"/>
        <v>45915</v>
      </c>
      <c r="AR202" s="372">
        <f>AS202-2</f>
        <v>45918</v>
      </c>
      <c r="AS202" s="372">
        <v>45920</v>
      </c>
      <c r="AT202" s="187" t="s">
        <v>587</v>
      </c>
      <c r="AU202" s="183"/>
      <c r="AV202" s="142" t="s">
        <v>20</v>
      </c>
      <c r="AW202" s="15"/>
      <c r="AX202" s="297"/>
      <c r="AY202" s="297"/>
      <c r="AZ202" s="24"/>
      <c r="BA202" s="183"/>
      <c r="BB202" s="142" t="s">
        <v>20</v>
      </c>
      <c r="BC202" s="135"/>
      <c r="BD202" s="135"/>
      <c r="BE202" s="298">
        <f>BF202-2</f>
        <v>45951</v>
      </c>
      <c r="BF202" s="298">
        <v>45953</v>
      </c>
      <c r="BG202" s="15" t="s">
        <v>586</v>
      </c>
      <c r="BH202" s="192"/>
      <c r="BI202" s="142" t="s">
        <v>20</v>
      </c>
      <c r="BJ202" s="135"/>
      <c r="BK202" s="135"/>
      <c r="BL202" s="25">
        <v>1545</v>
      </c>
      <c r="BM202" s="24"/>
      <c r="BN202" s="15"/>
      <c r="BO202" s="15"/>
    </row>
    <row r="203" spans="1:68" ht="14.25" hidden="1" customHeight="1">
      <c r="A203" s="24"/>
      <c r="B203" s="19"/>
      <c r="C203" s="184"/>
      <c r="D203" s="134"/>
      <c r="E203" s="134"/>
      <c r="F203" s="134"/>
      <c r="G203" s="134"/>
      <c r="H203" s="185"/>
      <c r="I203" s="19"/>
      <c r="J203" s="19"/>
      <c r="K203" s="186"/>
      <c r="L203" s="178"/>
      <c r="M203" s="15"/>
      <c r="N203" s="15"/>
      <c r="O203" s="15"/>
      <c r="P203" s="180">
        <f t="shared" si="36"/>
        <v>0</v>
      </c>
      <c r="Q203" s="178"/>
      <c r="R203" s="15"/>
      <c r="S203" s="180"/>
      <c r="T203" s="181"/>
      <c r="U203" s="181"/>
      <c r="V203" s="16">
        <v>365</v>
      </c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82"/>
      <c r="AM203" s="15"/>
      <c r="AN203" s="24"/>
      <c r="AO203" s="24"/>
      <c r="AP203" s="24"/>
      <c r="AQ203" s="24"/>
      <c r="AR203" s="24"/>
      <c r="AS203" s="24"/>
      <c r="AT203" s="24"/>
      <c r="AU203" s="183"/>
      <c r="AV203" s="15"/>
      <c r="AW203" s="24"/>
      <c r="AX203" s="297"/>
      <c r="AY203" s="297"/>
      <c r="AZ203" s="24"/>
      <c r="BA203" s="183"/>
      <c r="BB203" s="24"/>
      <c r="BC203" s="24"/>
      <c r="BD203" s="24"/>
      <c r="BE203" s="24"/>
      <c r="BF203" s="24"/>
      <c r="BG203" s="24"/>
      <c r="BH203" s="183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v>98</v>
      </c>
      <c r="B204" s="19" t="s">
        <v>172</v>
      </c>
      <c r="C204" s="184" t="s">
        <v>76</v>
      </c>
      <c r="D204" s="134">
        <v>7.71</v>
      </c>
      <c r="E204" s="134">
        <f>D204*4</f>
        <v>30.84</v>
      </c>
      <c r="F204" s="134">
        <f>E204*8</f>
        <v>246.72</v>
      </c>
      <c r="G204" s="134"/>
      <c r="H204" s="185"/>
      <c r="I204" s="19"/>
      <c r="J204" s="19"/>
      <c r="K204" s="186"/>
      <c r="L204" s="178">
        <v>3.452</v>
      </c>
      <c r="M204" s="15">
        <v>2.633</v>
      </c>
      <c r="N204" s="15">
        <v>4.0000000000000001E-3</v>
      </c>
      <c r="O204" s="15">
        <v>0.24099999999999999</v>
      </c>
      <c r="P204" s="189">
        <f t="shared" si="36"/>
        <v>6.3299999999999992</v>
      </c>
      <c r="Q204" s="178">
        <v>0.36299999999999999</v>
      </c>
      <c r="R204" s="15">
        <v>6.0000000000000001E-3</v>
      </c>
      <c r="S204" s="180">
        <f>SUM(Q204:R204)</f>
        <v>0.36899999999999999</v>
      </c>
      <c r="T204" s="181" t="s">
        <v>31</v>
      </c>
      <c r="U204" s="181" t="s">
        <v>540</v>
      </c>
      <c r="V204" s="15"/>
      <c r="W204" s="15" t="s">
        <v>504</v>
      </c>
      <c r="X204" s="15">
        <v>51.64</v>
      </c>
      <c r="Y204" s="15">
        <v>0.97</v>
      </c>
      <c r="Z204" s="15">
        <v>9.82</v>
      </c>
      <c r="AA204" s="15"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82"/>
      <c r="AM204" s="142" t="s">
        <v>20</v>
      </c>
      <c r="AN204" s="135"/>
      <c r="AO204" s="135"/>
      <c r="AP204" s="372">
        <f t="shared" ref="AP204:AR204" si="63">AQ204-2</f>
        <v>45906</v>
      </c>
      <c r="AQ204" s="372">
        <f t="shared" si="63"/>
        <v>45908</v>
      </c>
      <c r="AR204" s="372">
        <f t="shared" si="63"/>
        <v>45910</v>
      </c>
      <c r="AS204" s="372">
        <v>45912</v>
      </c>
      <c r="AT204" s="187" t="s">
        <v>587</v>
      </c>
      <c r="AU204" s="188"/>
      <c r="AV204" s="142" t="s">
        <v>20</v>
      </c>
      <c r="AW204" s="15" t="s">
        <v>6</v>
      </c>
      <c r="AX204" s="297">
        <f>AS204+2</f>
        <v>45914</v>
      </c>
      <c r="AY204" s="297">
        <f>AX204</f>
        <v>45914</v>
      </c>
      <c r="AZ204" s="187" t="s">
        <v>589</v>
      </c>
      <c r="BA204" s="188"/>
      <c r="BB204" s="142" t="s">
        <v>20</v>
      </c>
      <c r="BC204" s="135"/>
      <c r="BD204" s="135"/>
      <c r="BE204" s="298">
        <f>BF204-2</f>
        <v>45957</v>
      </c>
      <c r="BF204" s="298">
        <v>45959</v>
      </c>
      <c r="BG204" s="15" t="s">
        <v>586</v>
      </c>
      <c r="BH204" s="193"/>
      <c r="BI204" s="142" t="s">
        <v>20</v>
      </c>
      <c r="BJ204" s="135"/>
      <c r="BK204" s="135"/>
      <c r="BL204" s="25">
        <v>1252</v>
      </c>
      <c r="BM204" s="24"/>
      <c r="BN204" s="15"/>
      <c r="BO204" s="15"/>
    </row>
    <row r="205" spans="1:68" ht="14.25" hidden="1" customHeight="1">
      <c r="A205" s="24"/>
      <c r="B205" s="19"/>
      <c r="C205" s="184"/>
      <c r="D205" s="134"/>
      <c r="E205" s="134"/>
      <c r="F205" s="134"/>
      <c r="G205" s="134"/>
      <c r="H205" s="185"/>
      <c r="I205" s="19"/>
      <c r="J205" s="19"/>
      <c r="K205" s="186"/>
      <c r="L205" s="178"/>
      <c r="M205" s="15"/>
      <c r="N205" s="15"/>
      <c r="O205" s="15"/>
      <c r="P205" s="180">
        <f t="shared" si="36"/>
        <v>0</v>
      </c>
      <c r="Q205" s="178"/>
      <c r="R205" s="15"/>
      <c r="S205" s="180"/>
      <c r="T205" s="181"/>
      <c r="U205" s="181"/>
      <c r="V205" s="16">
        <v>419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82"/>
      <c r="AM205" s="15"/>
      <c r="AN205" s="24"/>
      <c r="AO205" s="24"/>
      <c r="AP205" s="24"/>
      <c r="AQ205" s="24"/>
      <c r="AR205" s="24"/>
      <c r="AS205" s="24"/>
      <c r="AT205" s="24"/>
      <c r="AU205" s="183"/>
      <c r="AV205" s="15"/>
      <c r="AW205" s="24"/>
      <c r="AX205" s="297"/>
      <c r="AY205" s="297"/>
      <c r="AZ205" s="24"/>
      <c r="BA205" s="183"/>
      <c r="BB205" s="24"/>
      <c r="BC205" s="24"/>
      <c r="BD205" s="24"/>
      <c r="BE205" s="24"/>
      <c r="BF205" s="24"/>
      <c r="BG205" s="24"/>
      <c r="BH205" s="183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v>99</v>
      </c>
      <c r="B206" s="19" t="s">
        <v>173</v>
      </c>
      <c r="C206" s="184" t="s">
        <v>56</v>
      </c>
      <c r="D206" s="134">
        <v>7.6219999999999999</v>
      </c>
      <c r="E206" s="134">
        <f>D206*4</f>
        <v>30.488</v>
      </c>
      <c r="F206" s="134">
        <f>E206*8</f>
        <v>243.904</v>
      </c>
      <c r="G206" s="134"/>
      <c r="H206" s="185"/>
      <c r="I206" s="19"/>
      <c r="J206" s="19"/>
      <c r="K206" s="186"/>
      <c r="L206" s="178">
        <v>2.6789999999999998</v>
      </c>
      <c r="M206" s="15">
        <v>3.133</v>
      </c>
      <c r="N206" s="15">
        <v>2.3E-3</v>
      </c>
      <c r="O206" s="15">
        <v>0.23299999999999998</v>
      </c>
      <c r="P206" s="180">
        <f t="shared" si="36"/>
        <v>6.047299999999999</v>
      </c>
      <c r="Q206" s="178">
        <v>0.24399999999999999</v>
      </c>
      <c r="R206" s="15">
        <v>5.0000000000000001E-3</v>
      </c>
      <c r="S206" s="180">
        <f>SUM(Q206:R206)</f>
        <v>0.249</v>
      </c>
      <c r="T206" s="181" t="s">
        <v>31</v>
      </c>
      <c r="U206" s="181" t="s">
        <v>540</v>
      </c>
      <c r="V206" s="15"/>
      <c r="W206" s="15" t="s">
        <v>504</v>
      </c>
      <c r="X206" s="15">
        <v>41.44</v>
      </c>
      <c r="Y206" s="15">
        <v>0.8</v>
      </c>
      <c r="Z206" s="15">
        <v>7.8</v>
      </c>
      <c r="AA206" s="15">
        <v>8.6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82"/>
      <c r="AM206" s="142" t="s">
        <v>20</v>
      </c>
      <c r="AN206" s="135"/>
      <c r="AO206" s="135"/>
      <c r="AP206" s="372">
        <f>AQ206-2</f>
        <v>45922</v>
      </c>
      <c r="AQ206" s="372">
        <f t="shared" ref="AQ206:AR206" si="64">AR206-3</f>
        <v>45924</v>
      </c>
      <c r="AR206" s="372">
        <f t="shared" si="64"/>
        <v>45927</v>
      </c>
      <c r="AS206" s="372">
        <v>45930</v>
      </c>
      <c r="AT206" s="19" t="s">
        <v>558</v>
      </c>
      <c r="AU206" s="199"/>
      <c r="AV206" s="142" t="s">
        <v>20</v>
      </c>
      <c r="AW206" s="15" t="s">
        <v>6</v>
      </c>
      <c r="AX206" s="297">
        <f>AS206+2</f>
        <v>45932</v>
      </c>
      <c r="AY206" s="297">
        <f>AX206</f>
        <v>45932</v>
      </c>
      <c r="AZ206" s="187" t="s">
        <v>589</v>
      </c>
      <c r="BA206" s="199"/>
      <c r="BB206" s="142" t="s">
        <v>20</v>
      </c>
      <c r="BC206" s="135"/>
      <c r="BD206" s="135"/>
      <c r="BE206" s="298">
        <f>BF206-2</f>
        <v>45975</v>
      </c>
      <c r="BF206" s="298">
        <v>45977</v>
      </c>
      <c r="BG206" s="15" t="s">
        <v>586</v>
      </c>
      <c r="BH206" s="192"/>
      <c r="BI206" s="142" t="s">
        <v>20</v>
      </c>
      <c r="BJ206" s="135"/>
      <c r="BK206" s="135"/>
      <c r="BL206" s="25">
        <v>1545</v>
      </c>
      <c r="BM206" s="24"/>
      <c r="BN206" s="15"/>
      <c r="BO206" s="15"/>
    </row>
    <row r="207" spans="1:68" ht="14.25" hidden="1" customHeight="1">
      <c r="A207" s="24"/>
      <c r="B207" s="19"/>
      <c r="C207" s="184"/>
      <c r="D207" s="134"/>
      <c r="E207" s="134"/>
      <c r="F207" s="134"/>
      <c r="G207" s="134"/>
      <c r="H207" s="185"/>
      <c r="I207" s="19"/>
      <c r="J207" s="19"/>
      <c r="K207" s="186"/>
      <c r="L207" s="178"/>
      <c r="M207" s="15"/>
      <c r="N207" s="15"/>
      <c r="O207" s="15"/>
      <c r="P207" s="180">
        <f t="shared" si="36"/>
        <v>0</v>
      </c>
      <c r="Q207" s="178"/>
      <c r="R207" s="15"/>
      <c r="S207" s="180"/>
      <c r="T207" s="181"/>
      <c r="U207" s="181"/>
      <c r="V207" s="16">
        <v>331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82"/>
      <c r="AM207" s="15"/>
      <c r="AN207" s="24"/>
      <c r="AO207" s="24"/>
      <c r="AP207" s="24"/>
      <c r="AQ207" s="24"/>
      <c r="AR207" s="24"/>
      <c r="AS207" s="24"/>
      <c r="AT207" s="24"/>
      <c r="AU207" s="183"/>
      <c r="AV207" s="15"/>
      <c r="AW207" s="24"/>
      <c r="AX207" s="297"/>
      <c r="AY207" s="297"/>
      <c r="AZ207" s="24"/>
      <c r="BA207" s="183"/>
      <c r="BB207" s="24"/>
      <c r="BC207" s="24"/>
      <c r="BD207" s="24"/>
      <c r="BE207" s="24"/>
      <c r="BF207" s="24"/>
      <c r="BG207" s="24"/>
      <c r="BH207" s="183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v>100</v>
      </c>
      <c r="B208" s="19" t="s">
        <v>174</v>
      </c>
      <c r="C208" s="184" t="s">
        <v>42</v>
      </c>
      <c r="D208" s="134">
        <v>6.3620000000000001</v>
      </c>
      <c r="E208" s="134">
        <f>D208*4</f>
        <v>25.448</v>
      </c>
      <c r="F208" s="134">
        <f>E208*8</f>
        <v>203.584</v>
      </c>
      <c r="G208" s="134"/>
      <c r="H208" s="185"/>
      <c r="I208" s="19"/>
      <c r="J208" s="19"/>
      <c r="K208" s="186"/>
      <c r="L208" s="178">
        <v>2.25</v>
      </c>
      <c r="M208" s="15">
        <v>2.1880000000000002</v>
      </c>
      <c r="N208" s="15">
        <v>2E-3</v>
      </c>
      <c r="O208" s="15">
        <v>0.183</v>
      </c>
      <c r="P208" s="180">
        <f t="shared" si="36"/>
        <v>4.6230000000000002</v>
      </c>
      <c r="Q208" s="178">
        <v>0.24399999999999999</v>
      </c>
      <c r="R208" s="15">
        <v>5.0000000000000001E-3</v>
      </c>
      <c r="S208" s="180">
        <f>SUM(Q208:R208)</f>
        <v>0.249</v>
      </c>
      <c r="T208" s="181" t="s">
        <v>31</v>
      </c>
      <c r="U208" s="181" t="s">
        <v>540</v>
      </c>
      <c r="V208" s="15"/>
      <c r="W208" s="15" t="s">
        <v>504</v>
      </c>
      <c r="X208" s="15">
        <v>41.44</v>
      </c>
      <c r="Y208" s="15">
        <v>0.8</v>
      </c>
      <c r="Z208" s="15">
        <v>7.8</v>
      </c>
      <c r="AA208" s="15"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82"/>
      <c r="AM208" s="142" t="s">
        <v>20</v>
      </c>
      <c r="AN208" s="135"/>
      <c r="AO208" s="135"/>
      <c r="AP208" s="372">
        <f>AQ208-7</f>
        <v>45922</v>
      </c>
      <c r="AQ208" s="372">
        <f>AR208-6</f>
        <v>45929</v>
      </c>
      <c r="AR208" s="372">
        <f>AS208-3</f>
        <v>45935</v>
      </c>
      <c r="AS208" s="372">
        <v>45938</v>
      </c>
      <c r="AT208" s="19" t="s">
        <v>542</v>
      </c>
      <c r="AU208" s="199"/>
      <c r="AV208" s="142" t="s">
        <v>20</v>
      </c>
      <c r="AW208" s="15" t="s">
        <v>6</v>
      </c>
      <c r="AX208" s="297">
        <f>AS208+2</f>
        <v>45940</v>
      </c>
      <c r="AY208" s="297">
        <f>AX208</f>
        <v>45940</v>
      </c>
      <c r="AZ208" s="187" t="s">
        <v>589</v>
      </c>
      <c r="BA208" s="188"/>
      <c r="BB208" s="142" t="s">
        <v>20</v>
      </c>
      <c r="BC208" s="135"/>
      <c r="BD208" s="135"/>
      <c r="BE208" s="298">
        <f>BF208-2</f>
        <v>45959</v>
      </c>
      <c r="BF208" s="298">
        <v>45961</v>
      </c>
      <c r="BG208" s="15" t="s">
        <v>586</v>
      </c>
      <c r="BH208" s="193"/>
      <c r="BI208" s="142" t="s">
        <v>20</v>
      </c>
      <c r="BJ208" s="135"/>
      <c r="BK208" s="135"/>
      <c r="BL208" s="25">
        <v>980</v>
      </c>
      <c r="BM208" s="24"/>
      <c r="BN208" s="15"/>
      <c r="BO208" s="15"/>
    </row>
    <row r="209" spans="1:65" ht="14.25" hidden="1" customHeight="1">
      <c r="A209" s="24"/>
      <c r="B209" s="19"/>
      <c r="C209" s="184"/>
      <c r="D209" s="134"/>
      <c r="E209" s="134"/>
      <c r="F209" s="134"/>
      <c r="G209" s="134"/>
      <c r="H209" s="185"/>
      <c r="I209" s="19"/>
      <c r="J209" s="19"/>
      <c r="K209" s="186"/>
      <c r="L209" s="178"/>
      <c r="M209" s="15"/>
      <c r="N209" s="15"/>
      <c r="O209" s="15"/>
      <c r="P209" s="180">
        <f t="shared" si="36"/>
        <v>0</v>
      </c>
      <c r="Q209" s="178"/>
      <c r="R209" s="15"/>
      <c r="S209" s="180"/>
      <c r="T209" s="181"/>
      <c r="U209" s="181"/>
      <c r="V209" s="16">
        <v>390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82"/>
      <c r="AM209" s="15"/>
      <c r="AN209" s="24"/>
      <c r="AO209" s="24"/>
      <c r="AP209" s="24"/>
      <c r="AQ209" s="24"/>
      <c r="AR209" s="24"/>
      <c r="AS209" s="24"/>
      <c r="AT209" s="24"/>
      <c r="AU209" s="183"/>
      <c r="AV209" s="15"/>
      <c r="AW209" s="24"/>
      <c r="AX209" s="297"/>
      <c r="AY209" s="297"/>
      <c r="AZ209" s="24"/>
      <c r="BA209" s="183"/>
      <c r="BB209" s="24"/>
      <c r="BC209" s="24"/>
      <c r="BD209" s="24"/>
      <c r="BE209" s="24"/>
      <c r="BF209" s="24"/>
      <c r="BG209" s="24"/>
      <c r="BH209" s="183"/>
      <c r="BI209" s="24"/>
      <c r="BJ209" s="24"/>
      <c r="BK209" s="24"/>
      <c r="BL209" s="24"/>
      <c r="BM209" s="24"/>
    </row>
    <row r="210" spans="1:65" ht="14.25" customHeight="1">
      <c r="A210" s="15">
        <v>101</v>
      </c>
      <c r="B210" s="19" t="s">
        <v>175</v>
      </c>
      <c r="C210" s="184" t="s">
        <v>37</v>
      </c>
      <c r="D210" s="134">
        <v>6.992</v>
      </c>
      <c r="E210" s="134">
        <f>D210*4</f>
        <v>27.968</v>
      </c>
      <c r="F210" s="134">
        <f>E210*8</f>
        <v>223.744</v>
      </c>
      <c r="G210" s="134"/>
      <c r="H210" s="185"/>
      <c r="I210" s="19"/>
      <c r="J210" s="19"/>
      <c r="K210" s="186"/>
      <c r="L210" s="178">
        <v>2.6070000000000002</v>
      </c>
      <c r="M210" s="15">
        <v>2.657</v>
      </c>
      <c r="N210" s="15">
        <v>2E-3</v>
      </c>
      <c r="O210" s="15">
        <v>0.21299999999999999</v>
      </c>
      <c r="P210" s="180">
        <f t="shared" si="36"/>
        <v>5.4790000000000001</v>
      </c>
      <c r="Q210" s="178">
        <v>0.24399999999999999</v>
      </c>
      <c r="R210" s="15">
        <v>5.0000000000000001E-3</v>
      </c>
      <c r="S210" s="180">
        <f>SUM(Q210:R210)</f>
        <v>0.249</v>
      </c>
      <c r="T210" s="181" t="s">
        <v>31</v>
      </c>
      <c r="U210" s="181" t="s">
        <v>540</v>
      </c>
      <c r="V210" s="15"/>
      <c r="W210" s="15" t="s">
        <v>504</v>
      </c>
      <c r="X210" s="15">
        <v>41.44</v>
      </c>
      <c r="Y210" s="15">
        <v>0.8</v>
      </c>
      <c r="Z210" s="15">
        <v>7.8</v>
      </c>
      <c r="AA210" s="15">
        <v>8.6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82"/>
      <c r="AM210" s="142" t="s">
        <v>20</v>
      </c>
      <c r="AN210" s="135"/>
      <c r="AO210" s="135"/>
      <c r="AP210" s="372">
        <f t="shared" ref="AP210:AR210" si="65">AQ210-3</f>
        <v>45957</v>
      </c>
      <c r="AQ210" s="372">
        <f t="shared" si="65"/>
        <v>45960</v>
      </c>
      <c r="AR210" s="372">
        <f t="shared" si="65"/>
        <v>45963</v>
      </c>
      <c r="AS210" s="372">
        <v>45966</v>
      </c>
      <c r="AT210" s="19" t="s">
        <v>558</v>
      </c>
      <c r="AU210" s="199"/>
      <c r="AV210" s="142" t="s">
        <v>20</v>
      </c>
      <c r="AW210" s="15" t="s">
        <v>6</v>
      </c>
      <c r="AX210" s="297">
        <f>AS210+2</f>
        <v>45968</v>
      </c>
      <c r="AY210" s="297">
        <f>AX210</f>
        <v>45968</v>
      </c>
      <c r="AZ210" s="187" t="s">
        <v>589</v>
      </c>
      <c r="BA210" s="199"/>
      <c r="BB210" s="142" t="s">
        <v>20</v>
      </c>
      <c r="BC210" s="135"/>
      <c r="BD210" s="135"/>
      <c r="BE210" s="298">
        <f>BF210-2</f>
        <v>45976</v>
      </c>
      <c r="BF210" s="298">
        <v>45978</v>
      </c>
      <c r="BG210" s="15" t="s">
        <v>586</v>
      </c>
      <c r="BH210" s="192"/>
      <c r="BI210" s="142" t="s">
        <v>20</v>
      </c>
      <c r="BJ210" s="135"/>
      <c r="BK210" s="135"/>
      <c r="BL210" s="25">
        <v>1330</v>
      </c>
      <c r="BM210" s="24"/>
    </row>
    <row r="211" spans="1:65" ht="14.25" hidden="1" customHeight="1">
      <c r="A211" s="24"/>
      <c r="B211" s="19"/>
      <c r="C211" s="184"/>
      <c r="D211" s="134"/>
      <c r="E211" s="134"/>
      <c r="F211" s="134"/>
      <c r="G211" s="134"/>
      <c r="H211" s="185"/>
      <c r="I211" s="19"/>
      <c r="J211" s="19"/>
      <c r="K211" s="186"/>
      <c r="L211" s="178"/>
      <c r="M211" s="15"/>
      <c r="N211" s="15"/>
      <c r="O211" s="15"/>
      <c r="P211" s="180">
        <f t="shared" si="36"/>
        <v>0</v>
      </c>
      <c r="Q211" s="178"/>
      <c r="R211" s="15"/>
      <c r="S211" s="180"/>
      <c r="T211" s="181"/>
      <c r="U211" s="181"/>
      <c r="V211" s="16">
        <v>349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82"/>
      <c r="AM211" s="15"/>
      <c r="AN211" s="24"/>
      <c r="AO211" s="24"/>
      <c r="AP211" s="24"/>
      <c r="AQ211" s="24"/>
      <c r="AR211" s="24"/>
      <c r="AS211" s="24"/>
      <c r="AT211" s="24"/>
      <c r="AU211" s="183"/>
      <c r="AV211" s="15"/>
      <c r="AW211" s="24"/>
      <c r="AX211" s="297"/>
      <c r="AY211" s="297"/>
      <c r="AZ211" s="24"/>
      <c r="BA211" s="183"/>
      <c r="BB211" s="24"/>
      <c r="BC211" s="24"/>
      <c r="BD211" s="24"/>
      <c r="BE211" s="24"/>
      <c r="BF211" s="24"/>
      <c r="BG211" s="24"/>
      <c r="BH211" s="183"/>
      <c r="BI211" s="24"/>
      <c r="BJ211" s="24"/>
      <c r="BK211" s="24"/>
      <c r="BL211" s="24"/>
      <c r="BM211" s="24"/>
    </row>
    <row r="212" spans="1:65" ht="14.25" customHeight="1">
      <c r="A212" s="15">
        <v>102</v>
      </c>
      <c r="B212" s="19" t="s">
        <v>176</v>
      </c>
      <c r="C212" s="184" t="s">
        <v>42</v>
      </c>
      <c r="D212" s="134">
        <v>6.3620000000000001</v>
      </c>
      <c r="E212" s="134">
        <f>D212*4</f>
        <v>25.448</v>
      </c>
      <c r="F212" s="134">
        <f>E212*8</f>
        <v>203.584</v>
      </c>
      <c r="G212" s="134"/>
      <c r="H212" s="185"/>
      <c r="I212" s="19"/>
      <c r="J212" s="19"/>
      <c r="K212" s="186"/>
      <c r="L212" s="178">
        <v>2.25</v>
      </c>
      <c r="M212" s="15">
        <v>2.1880000000000002</v>
      </c>
      <c r="N212" s="15">
        <v>2E-3</v>
      </c>
      <c r="O212" s="15">
        <v>0.183</v>
      </c>
      <c r="P212" s="180">
        <f t="shared" si="36"/>
        <v>4.6230000000000002</v>
      </c>
      <c r="Q212" s="178">
        <v>0.24399999999999999</v>
      </c>
      <c r="R212" s="15">
        <v>5.0000000000000001E-3</v>
      </c>
      <c r="S212" s="180">
        <f>SUM(Q212:R212)</f>
        <v>0.249</v>
      </c>
      <c r="T212" s="181" t="s">
        <v>31</v>
      </c>
      <c r="U212" s="181" t="s">
        <v>540</v>
      </c>
      <c r="V212" s="15"/>
      <c r="W212" s="15" t="s">
        <v>504</v>
      </c>
      <c r="X212" s="15">
        <v>41.44</v>
      </c>
      <c r="Y212" s="15">
        <v>0.8</v>
      </c>
      <c r="Z212" s="15">
        <v>7.8</v>
      </c>
      <c r="AA212" s="15"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82"/>
      <c r="AM212" s="142" t="s">
        <v>20</v>
      </c>
      <c r="AN212" s="135" t="str">
        <f>AO212</f>
        <v>D</v>
      </c>
      <c r="AO212" s="135" t="s">
        <v>21</v>
      </c>
      <c r="AP212" s="372">
        <f>AQ212-2</f>
        <v>45644</v>
      </c>
      <c r="AQ212" s="372">
        <f>AR212-3</f>
        <v>45646</v>
      </c>
      <c r="AR212" s="372">
        <f>AS212-2</f>
        <v>45649</v>
      </c>
      <c r="AS212" s="372">
        <v>45651</v>
      </c>
      <c r="AT212" s="187" t="s">
        <v>543</v>
      </c>
      <c r="AU212" s="188"/>
      <c r="AV212" s="142" t="s">
        <v>20</v>
      </c>
      <c r="AW212" s="15" t="s">
        <v>6</v>
      </c>
      <c r="AX212" s="297">
        <v>45644</v>
      </c>
      <c r="AY212" s="297">
        <v>45644</v>
      </c>
      <c r="AZ212" s="187" t="s">
        <v>543</v>
      </c>
      <c r="BA212" s="188"/>
      <c r="BB212" s="142" t="s">
        <v>20</v>
      </c>
      <c r="BC212" s="135"/>
      <c r="BD212" s="135" t="s">
        <v>21</v>
      </c>
      <c r="BE212" s="298">
        <f>BF212-2</f>
        <v>45686</v>
      </c>
      <c r="BF212" s="298">
        <v>45688</v>
      </c>
      <c r="BG212" s="15" t="s">
        <v>510</v>
      </c>
      <c r="BH212" s="193"/>
      <c r="BI212" s="15"/>
      <c r="BJ212" s="135"/>
      <c r="BK212" s="135"/>
      <c r="BL212" s="25">
        <v>980</v>
      </c>
      <c r="BM212" s="24"/>
    </row>
    <row r="213" spans="1:65" ht="14.25" hidden="1" customHeight="1">
      <c r="A213" s="24"/>
      <c r="B213" s="19"/>
      <c r="C213" s="184"/>
      <c r="D213" s="134"/>
      <c r="E213" s="134"/>
      <c r="F213" s="134"/>
      <c r="G213" s="134"/>
      <c r="H213" s="185"/>
      <c r="I213" s="19"/>
      <c r="J213" s="19"/>
      <c r="K213" s="186"/>
      <c r="L213" s="178"/>
      <c r="M213" s="15"/>
      <c r="N213" s="15"/>
      <c r="O213" s="15"/>
      <c r="P213" s="180">
        <f t="shared" si="36"/>
        <v>0</v>
      </c>
      <c r="Q213" s="178"/>
      <c r="R213" s="15"/>
      <c r="S213" s="180"/>
      <c r="T213" s="181"/>
      <c r="U213" s="181"/>
      <c r="V213" s="16">
        <v>324</v>
      </c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82"/>
      <c r="AM213" s="15"/>
      <c r="AN213" s="24"/>
      <c r="AO213" s="24"/>
      <c r="AP213" s="24"/>
      <c r="AQ213" s="24"/>
      <c r="AR213" s="24"/>
      <c r="AS213" s="24"/>
      <c r="AT213" s="24"/>
      <c r="AU213" s="183"/>
      <c r="AV213" s="15"/>
      <c r="AW213" s="24"/>
      <c r="AX213" s="297"/>
      <c r="AY213" s="297"/>
      <c r="AZ213" s="24"/>
      <c r="BA213" s="183"/>
      <c r="BB213" s="24"/>
      <c r="BC213" s="24"/>
      <c r="BD213" s="24"/>
      <c r="BE213" s="24"/>
      <c r="BF213" s="24"/>
      <c r="BG213" s="24"/>
      <c r="BH213" s="183"/>
      <c r="BI213" s="24"/>
      <c r="BJ213" s="24"/>
      <c r="BK213" s="24"/>
      <c r="BL213" s="24"/>
      <c r="BM213" s="24"/>
    </row>
    <row r="214" spans="1:65" ht="14.25" customHeight="1">
      <c r="A214" s="15">
        <v>103</v>
      </c>
      <c r="B214" s="19" t="s">
        <v>177</v>
      </c>
      <c r="C214" s="184" t="s">
        <v>37</v>
      </c>
      <c r="D214" s="134">
        <v>6.992</v>
      </c>
      <c r="E214" s="134">
        <f>D214*4</f>
        <v>27.968</v>
      </c>
      <c r="F214" s="134">
        <f>E214*8</f>
        <v>223.744</v>
      </c>
      <c r="G214" s="134"/>
      <c r="H214" s="185"/>
      <c r="I214" s="19"/>
      <c r="J214" s="19"/>
      <c r="K214" s="186"/>
      <c r="L214" s="178">
        <v>2.6070000000000002</v>
      </c>
      <c r="M214" s="15">
        <v>2.657</v>
      </c>
      <c r="N214" s="15">
        <v>2E-3</v>
      </c>
      <c r="O214" s="15">
        <v>0.21299999999999999</v>
      </c>
      <c r="P214" s="180">
        <f t="shared" si="36"/>
        <v>5.4790000000000001</v>
      </c>
      <c r="Q214" s="178">
        <v>0.24399999999999999</v>
      </c>
      <c r="R214" s="15">
        <v>5.0000000000000001E-3</v>
      </c>
      <c r="S214" s="180">
        <f>SUM(Q214:R214)</f>
        <v>0.249</v>
      </c>
      <c r="T214" s="181" t="s">
        <v>31</v>
      </c>
      <c r="U214" s="181" t="s">
        <v>540</v>
      </c>
      <c r="V214" s="15"/>
      <c r="W214" s="15" t="s">
        <v>504</v>
      </c>
      <c r="X214" s="15">
        <v>41.44</v>
      </c>
      <c r="Y214" s="15">
        <v>0.8</v>
      </c>
      <c r="Z214" s="15">
        <v>7.8</v>
      </c>
      <c r="AA214" s="15"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82"/>
      <c r="AM214" s="142" t="s">
        <v>20</v>
      </c>
      <c r="AN214" s="135" t="str">
        <f>AO214</f>
        <v>D</v>
      </c>
      <c r="AO214" s="135" t="s">
        <v>21</v>
      </c>
      <c r="AP214" s="372">
        <v>45656</v>
      </c>
      <c r="AQ214" s="372">
        <v>45656</v>
      </c>
      <c r="AR214" s="372">
        <v>45657</v>
      </c>
      <c r="AS214" s="372">
        <v>45657</v>
      </c>
      <c r="AT214" s="187" t="s">
        <v>543</v>
      </c>
      <c r="AU214" s="188"/>
      <c r="AV214" s="142" t="s">
        <v>20</v>
      </c>
      <c r="AW214" s="15" t="s">
        <v>6</v>
      </c>
      <c r="AX214" s="297">
        <v>45644</v>
      </c>
      <c r="AY214" s="297">
        <v>45644</v>
      </c>
      <c r="AZ214" s="187" t="s">
        <v>543</v>
      </c>
      <c r="BA214" s="188"/>
      <c r="BB214" s="142" t="s">
        <v>20</v>
      </c>
      <c r="BC214" s="135"/>
      <c r="BD214" s="135" t="s">
        <v>21</v>
      </c>
      <c r="BE214" s="298">
        <f>BF214-2</f>
        <v>45687</v>
      </c>
      <c r="BF214" s="298">
        <v>45689</v>
      </c>
      <c r="BG214" s="15" t="s">
        <v>510</v>
      </c>
      <c r="BH214" s="192"/>
      <c r="BI214" s="15"/>
      <c r="BJ214" s="24"/>
      <c r="BK214" s="24"/>
      <c r="BL214" s="25">
        <v>1330</v>
      </c>
      <c r="BM214" s="24"/>
    </row>
    <row r="215" spans="1:65" ht="14.25" hidden="1" customHeight="1">
      <c r="A215" s="24"/>
      <c r="B215" s="19"/>
      <c r="C215" s="184"/>
      <c r="D215" s="134"/>
      <c r="E215" s="134"/>
      <c r="F215" s="134"/>
      <c r="G215" s="134"/>
      <c r="H215" s="185"/>
      <c r="I215" s="19"/>
      <c r="J215" s="19"/>
      <c r="K215" s="186"/>
      <c r="L215" s="178"/>
      <c r="M215" s="15"/>
      <c r="N215" s="15"/>
      <c r="O215" s="15"/>
      <c r="P215" s="180">
        <f t="shared" si="36"/>
        <v>0</v>
      </c>
      <c r="Q215" s="178"/>
      <c r="R215" s="15"/>
      <c r="S215" s="180"/>
      <c r="T215" s="181"/>
      <c r="U215" s="181"/>
      <c r="V215" s="16">
        <v>413</v>
      </c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82"/>
      <c r="AM215" s="15"/>
      <c r="AN215" s="24"/>
      <c r="AO215" s="24"/>
      <c r="AP215" s="24"/>
      <c r="AQ215" s="24"/>
      <c r="AR215" s="24"/>
      <c r="AS215" s="24"/>
      <c r="AT215" s="24"/>
      <c r="AU215" s="183"/>
      <c r="AV215" s="15"/>
      <c r="AW215" s="24"/>
      <c r="AX215" s="297"/>
      <c r="AY215" s="297"/>
      <c r="AZ215" s="24"/>
      <c r="BA215" s="183"/>
      <c r="BB215" s="24"/>
      <c r="BC215" s="24"/>
      <c r="BD215" s="24"/>
      <c r="BE215" s="24"/>
      <c r="BF215" s="24"/>
      <c r="BG215" s="24"/>
      <c r="BH215" s="183"/>
      <c r="BI215" s="24"/>
      <c r="BJ215" s="24"/>
      <c r="BK215" s="24"/>
      <c r="BL215" s="24"/>
      <c r="BM215" s="24"/>
    </row>
    <row r="216" spans="1:65" ht="14.25" customHeight="1">
      <c r="A216" s="15">
        <v>104</v>
      </c>
      <c r="B216" s="19" t="s">
        <v>178</v>
      </c>
      <c r="C216" s="184" t="s">
        <v>42</v>
      </c>
      <c r="D216" s="134">
        <v>6.3620000000000001</v>
      </c>
      <c r="E216" s="134">
        <f>D216*4</f>
        <v>25.448</v>
      </c>
      <c r="F216" s="134">
        <f>E216*8</f>
        <v>203.584</v>
      </c>
      <c r="G216" s="134"/>
      <c r="H216" s="185"/>
      <c r="I216" s="19"/>
      <c r="J216" s="19"/>
      <c r="K216" s="186"/>
      <c r="L216" s="178">
        <v>2.25</v>
      </c>
      <c r="M216" s="15">
        <v>2.1880000000000002</v>
      </c>
      <c r="N216" s="15">
        <v>2E-3</v>
      </c>
      <c r="O216" s="15">
        <v>0.183</v>
      </c>
      <c r="P216" s="180">
        <f t="shared" si="36"/>
        <v>4.6230000000000002</v>
      </c>
      <c r="Q216" s="178">
        <v>0.24399999999999999</v>
      </c>
      <c r="R216" s="15">
        <v>5.0000000000000001E-3</v>
      </c>
      <c r="S216" s="180">
        <f>SUM(Q216:R216)</f>
        <v>0.249</v>
      </c>
      <c r="T216" s="181" t="s">
        <v>31</v>
      </c>
      <c r="U216" s="181" t="s">
        <v>540</v>
      </c>
      <c r="V216" s="15"/>
      <c r="W216" s="15" t="s">
        <v>504</v>
      </c>
      <c r="X216" s="15">
        <v>41.44</v>
      </c>
      <c r="Y216" s="15">
        <v>0.8</v>
      </c>
      <c r="Z216" s="15">
        <v>7.8</v>
      </c>
      <c r="AA216" s="15"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82"/>
      <c r="AM216" s="142" t="s">
        <v>20</v>
      </c>
      <c r="AN216" s="135" t="str">
        <f>AO216</f>
        <v>D</v>
      </c>
      <c r="AO216" s="135" t="s">
        <v>21</v>
      </c>
      <c r="AP216" s="372">
        <f t="shared" ref="AP216:AQ216" si="66">AQ216-3</f>
        <v>45637</v>
      </c>
      <c r="AQ216" s="372">
        <f t="shared" si="66"/>
        <v>45640</v>
      </c>
      <c r="AR216" s="372">
        <f>AS216-2</f>
        <v>45643</v>
      </c>
      <c r="AS216" s="372">
        <v>45645</v>
      </c>
      <c r="AT216" s="187" t="s">
        <v>543</v>
      </c>
      <c r="AU216" s="188"/>
      <c r="AV216" s="142" t="s">
        <v>20</v>
      </c>
      <c r="AW216" s="15" t="s">
        <v>6</v>
      </c>
      <c r="AX216" s="297">
        <v>45644</v>
      </c>
      <c r="AY216" s="297">
        <v>45644</v>
      </c>
      <c r="AZ216" s="187" t="s">
        <v>543</v>
      </c>
      <c r="BA216" s="188"/>
      <c r="BB216" s="142" t="s">
        <v>20</v>
      </c>
      <c r="BC216" s="135"/>
      <c r="BD216" s="135" t="s">
        <v>21</v>
      </c>
      <c r="BE216" s="298">
        <f>BF216-1</f>
        <v>45689</v>
      </c>
      <c r="BF216" s="298">
        <v>45690</v>
      </c>
      <c r="BG216" s="15" t="s">
        <v>510</v>
      </c>
      <c r="BH216" s="193"/>
      <c r="BI216" s="15"/>
      <c r="BJ216" s="24"/>
      <c r="BK216" s="24"/>
      <c r="BL216" s="25">
        <v>980</v>
      </c>
      <c r="BM216" s="24"/>
    </row>
    <row r="217" spans="1:65" ht="14.25" hidden="1" customHeight="1">
      <c r="A217" s="24"/>
      <c r="B217" s="19"/>
      <c r="C217" s="184"/>
      <c r="D217" s="134"/>
      <c r="E217" s="134"/>
      <c r="F217" s="134"/>
      <c r="G217" s="134"/>
      <c r="H217" s="185"/>
      <c r="I217" s="19"/>
      <c r="J217" s="19"/>
      <c r="K217" s="186"/>
      <c r="L217" s="178"/>
      <c r="M217" s="15"/>
      <c r="N217" s="15"/>
      <c r="O217" s="15"/>
      <c r="P217" s="180">
        <f t="shared" si="36"/>
        <v>0</v>
      </c>
      <c r="Q217" s="178"/>
      <c r="R217" s="15"/>
      <c r="S217" s="180"/>
      <c r="T217" s="181"/>
      <c r="U217" s="181"/>
      <c r="V217" s="16">
        <v>310.18</v>
      </c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82"/>
      <c r="AM217" s="15"/>
      <c r="AN217" s="24"/>
      <c r="AO217" s="24"/>
      <c r="AP217" s="24"/>
      <c r="AQ217" s="24"/>
      <c r="AR217" s="24"/>
      <c r="AS217" s="24"/>
      <c r="AT217" s="24"/>
      <c r="AU217" s="183"/>
      <c r="AV217" s="15"/>
      <c r="AW217" s="24"/>
      <c r="AX217" s="297"/>
      <c r="AY217" s="297"/>
      <c r="AZ217" s="24"/>
      <c r="BA217" s="183"/>
      <c r="BB217" s="24"/>
      <c r="BC217" s="24"/>
      <c r="BD217" s="24"/>
      <c r="BE217" s="24"/>
      <c r="BF217" s="24"/>
      <c r="BG217" s="24"/>
      <c r="BH217" s="183"/>
      <c r="BI217" s="24"/>
      <c r="BJ217" s="24"/>
      <c r="BK217" s="24"/>
      <c r="BL217" s="24"/>
      <c r="BM217" s="24"/>
    </row>
    <row r="218" spans="1:65" ht="14.25" customHeight="1">
      <c r="A218" s="15">
        <v>105</v>
      </c>
      <c r="B218" s="19" t="s">
        <v>180</v>
      </c>
      <c r="C218" s="184" t="s">
        <v>34</v>
      </c>
      <c r="D218" s="134">
        <v>9.6539999999999999</v>
      </c>
      <c r="E218" s="134">
        <f>D218*4</f>
        <v>38.616</v>
      </c>
      <c r="F218" s="134">
        <f>E218*8</f>
        <v>308.928</v>
      </c>
      <c r="G218" s="134"/>
      <c r="H218" s="185"/>
      <c r="I218" s="19"/>
      <c r="J218" s="19"/>
      <c r="K218" s="186"/>
      <c r="L218" s="178">
        <v>4.8070000000000004</v>
      </c>
      <c r="M218" s="15">
        <v>4.016</v>
      </c>
      <c r="N218" s="15">
        <v>7.0000000000000001E-3</v>
      </c>
      <c r="O218" s="15">
        <v>0.43099999999999999</v>
      </c>
      <c r="P218" s="180">
        <f t="shared" si="36"/>
        <v>9.2609999999999992</v>
      </c>
      <c r="Q218" s="178">
        <v>0.55700000000000005</v>
      </c>
      <c r="R218" s="15">
        <v>0.01</v>
      </c>
      <c r="S218" s="180">
        <f>SUM(Q218:R218)</f>
        <v>0.56700000000000006</v>
      </c>
      <c r="T218" s="181" t="s">
        <v>179</v>
      </c>
      <c r="U218" s="181" t="s">
        <v>540</v>
      </c>
      <c r="V218" s="15"/>
      <c r="W218" s="15" t="s">
        <v>504</v>
      </c>
      <c r="X218" s="15">
        <v>119.36</v>
      </c>
      <c r="Y218" s="15">
        <v>2.0499999999999998</v>
      </c>
      <c r="Z218" s="15">
        <v>18.37</v>
      </c>
      <c r="AA218" s="15"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82"/>
      <c r="AM218" s="142" t="s">
        <v>20</v>
      </c>
      <c r="AN218" s="135" t="str">
        <f>AO218</f>
        <v>D</v>
      </c>
      <c r="AO218" s="135" t="s">
        <v>21</v>
      </c>
      <c r="AP218" s="372">
        <f>AQ218-3</f>
        <v>45634</v>
      </c>
      <c r="AQ218" s="372">
        <f t="shared" ref="AQ218:AR218" si="67">AR218-2</f>
        <v>45637</v>
      </c>
      <c r="AR218" s="372">
        <f t="shared" si="67"/>
        <v>45639</v>
      </c>
      <c r="AS218" s="372">
        <v>45641</v>
      </c>
      <c r="AT218" s="187" t="s">
        <v>543</v>
      </c>
      <c r="AU218" s="188"/>
      <c r="AV218" s="142" t="s">
        <v>20</v>
      </c>
      <c r="AW218" s="15" t="s">
        <v>6</v>
      </c>
      <c r="AX218" s="297">
        <v>45644</v>
      </c>
      <c r="AY218" s="297">
        <v>45644</v>
      </c>
      <c r="AZ218" s="187" t="s">
        <v>543</v>
      </c>
      <c r="BA218" s="188"/>
      <c r="BB218" s="142" t="s">
        <v>20</v>
      </c>
      <c r="BC218" s="135"/>
      <c r="BD218" s="135" t="s">
        <v>21</v>
      </c>
      <c r="BE218" s="298">
        <f>BF218-1</f>
        <v>45692</v>
      </c>
      <c r="BF218" s="298">
        <v>45693</v>
      </c>
      <c r="BG218" s="15" t="s">
        <v>510</v>
      </c>
      <c r="BH218" s="182"/>
      <c r="BI218" s="142" t="s">
        <v>20</v>
      </c>
      <c r="BJ218" s="135">
        <f>BK218</f>
        <v>45752</v>
      </c>
      <c r="BK218" s="135">
        <v>45752</v>
      </c>
      <c r="BL218" s="25">
        <v>1202</v>
      </c>
      <c r="BM218" s="24" t="s">
        <v>545</v>
      </c>
    </row>
    <row r="219" spans="1:65" ht="14.25" hidden="1" customHeight="1">
      <c r="A219" s="24"/>
      <c r="B219" s="19"/>
      <c r="C219" s="184"/>
      <c r="D219" s="134"/>
      <c r="E219" s="134"/>
      <c r="F219" s="134"/>
      <c r="G219" s="134"/>
      <c r="H219" s="185"/>
      <c r="I219" s="19"/>
      <c r="J219" s="19"/>
      <c r="K219" s="186"/>
      <c r="L219" s="178"/>
      <c r="M219" s="15"/>
      <c r="N219" s="15"/>
      <c r="O219" s="15"/>
      <c r="P219" s="180">
        <f t="shared" si="36"/>
        <v>0</v>
      </c>
      <c r="Q219" s="178"/>
      <c r="R219" s="15"/>
      <c r="S219" s="180"/>
      <c r="T219" s="181"/>
      <c r="U219" s="181"/>
      <c r="V219" s="16">
        <v>379</v>
      </c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82"/>
      <c r="AM219" s="15"/>
      <c r="AN219" s="24"/>
      <c r="AO219" s="24"/>
      <c r="AP219" s="24"/>
      <c r="AQ219" s="24"/>
      <c r="AR219" s="24"/>
      <c r="AS219" s="24"/>
      <c r="AT219" s="24"/>
      <c r="AU219" s="183"/>
      <c r="AV219" s="15"/>
      <c r="AW219" s="24"/>
      <c r="AX219" s="297"/>
      <c r="AY219" s="297"/>
      <c r="AZ219" s="24"/>
      <c r="BA219" s="183"/>
      <c r="BB219" s="24"/>
      <c r="BC219" s="24"/>
      <c r="BD219" s="24"/>
      <c r="BE219" s="24"/>
      <c r="BF219" s="24"/>
      <c r="BG219" s="24"/>
      <c r="BH219" s="183"/>
      <c r="BI219" s="24"/>
      <c r="BJ219" s="24"/>
      <c r="BK219" s="24"/>
      <c r="BL219" s="24"/>
      <c r="BM219" s="24"/>
    </row>
    <row r="220" spans="1:65" ht="14.25" customHeight="1">
      <c r="A220" s="15">
        <v>106</v>
      </c>
      <c r="B220" s="19" t="s">
        <v>181</v>
      </c>
      <c r="C220" s="184" t="s">
        <v>37</v>
      </c>
      <c r="D220" s="134">
        <v>6.992</v>
      </c>
      <c r="E220" s="134">
        <f>D220*4</f>
        <v>27.968</v>
      </c>
      <c r="F220" s="134">
        <f>E220*8</f>
        <v>223.744</v>
      </c>
      <c r="G220" s="134"/>
      <c r="H220" s="185"/>
      <c r="I220" s="19"/>
      <c r="J220" s="19"/>
      <c r="K220" s="186"/>
      <c r="L220" s="178">
        <v>2.6070000000000002</v>
      </c>
      <c r="M220" s="15">
        <v>2.657</v>
      </c>
      <c r="N220" s="15">
        <v>2E-3</v>
      </c>
      <c r="O220" s="15">
        <v>0.21299999999999999</v>
      </c>
      <c r="P220" s="180">
        <f t="shared" si="36"/>
        <v>5.4790000000000001</v>
      </c>
      <c r="Q220" s="178">
        <v>0.24399999999999999</v>
      </c>
      <c r="R220" s="15">
        <v>5.0000000000000001E-3</v>
      </c>
      <c r="S220" s="180">
        <f>SUM(Q220:R220)</f>
        <v>0.249</v>
      </c>
      <c r="T220" s="181" t="s">
        <v>31</v>
      </c>
      <c r="U220" s="181" t="s">
        <v>540</v>
      </c>
      <c r="V220" s="15"/>
      <c r="W220" s="15" t="s">
        <v>504</v>
      </c>
      <c r="X220" s="15">
        <v>41.44</v>
      </c>
      <c r="Y220" s="15">
        <v>0.8</v>
      </c>
      <c r="Z220" s="15">
        <v>7.8</v>
      </c>
      <c r="AA220" s="15"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82"/>
      <c r="AM220" s="142" t="s">
        <v>20</v>
      </c>
      <c r="AN220" s="135" t="str">
        <f>AO220</f>
        <v>D</v>
      </c>
      <c r="AO220" s="135" t="s">
        <v>21</v>
      </c>
      <c r="AP220" s="372">
        <v>45547</v>
      </c>
      <c r="AQ220" s="372">
        <v>45550</v>
      </c>
      <c r="AR220" s="372">
        <v>45551</v>
      </c>
      <c r="AS220" s="372">
        <v>45557</v>
      </c>
      <c r="AT220" s="187" t="s">
        <v>543</v>
      </c>
      <c r="AU220" s="188"/>
      <c r="AV220" s="142" t="s">
        <v>20</v>
      </c>
      <c r="AW220" s="15" t="s">
        <v>6</v>
      </c>
      <c r="AX220" s="297">
        <v>45644</v>
      </c>
      <c r="AY220" s="297">
        <v>45644</v>
      </c>
      <c r="AZ220" s="187" t="s">
        <v>543</v>
      </c>
      <c r="BA220" s="188"/>
      <c r="BB220" s="142" t="s">
        <v>20</v>
      </c>
      <c r="BC220" s="135"/>
      <c r="BD220" s="135" t="s">
        <v>21</v>
      </c>
      <c r="BE220" s="298">
        <v>45645</v>
      </c>
      <c r="BF220" s="298">
        <v>45649</v>
      </c>
      <c r="BG220" s="24" t="s">
        <v>590</v>
      </c>
      <c r="BH220" s="183"/>
      <c r="BI220" s="142" t="s">
        <v>20</v>
      </c>
      <c r="BJ220" s="135">
        <f>BK220</f>
        <v>45758</v>
      </c>
      <c r="BK220" s="135">
        <v>45758</v>
      </c>
      <c r="BL220" s="25">
        <v>1330</v>
      </c>
      <c r="BM220" s="24" t="s">
        <v>545</v>
      </c>
    </row>
    <row r="221" spans="1:65" ht="14.25" hidden="1" customHeight="1">
      <c r="A221" s="24"/>
      <c r="B221" s="19"/>
      <c r="C221" s="184"/>
      <c r="D221" s="134"/>
      <c r="E221" s="134"/>
      <c r="F221" s="134"/>
      <c r="G221" s="134"/>
      <c r="H221" s="185"/>
      <c r="I221" s="19"/>
      <c r="J221" s="19"/>
      <c r="K221" s="186"/>
      <c r="L221" s="178"/>
      <c r="M221" s="15"/>
      <c r="N221" s="15"/>
      <c r="O221" s="15"/>
      <c r="P221" s="180">
        <f t="shared" si="36"/>
        <v>0</v>
      </c>
      <c r="Q221" s="178"/>
      <c r="R221" s="15"/>
      <c r="S221" s="180"/>
      <c r="T221" s="181"/>
      <c r="U221" s="181"/>
      <c r="V221" s="16">
        <v>304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82"/>
      <c r="AM221" s="15"/>
      <c r="AN221" s="24"/>
      <c r="AO221" s="24"/>
      <c r="AP221" s="24"/>
      <c r="AQ221" s="24"/>
      <c r="AR221" s="24"/>
      <c r="AS221" s="24"/>
      <c r="AT221" s="24"/>
      <c r="AU221" s="183"/>
      <c r="AV221" s="15"/>
      <c r="AW221" s="24"/>
      <c r="AX221" s="297"/>
      <c r="AY221" s="297"/>
      <c r="AZ221" s="24"/>
      <c r="BA221" s="183"/>
      <c r="BB221" s="24"/>
      <c r="BC221" s="24"/>
      <c r="BD221" s="24"/>
      <c r="BE221" s="24"/>
      <c r="BF221" s="24"/>
      <c r="BG221" s="24"/>
      <c r="BH221" s="183"/>
      <c r="BI221" s="24"/>
      <c r="BJ221" s="24"/>
      <c r="BK221" s="24"/>
      <c r="BL221" s="24"/>
      <c r="BM221" s="24"/>
    </row>
    <row r="222" spans="1:65" ht="14.25" customHeight="1">
      <c r="A222" s="15">
        <v>107</v>
      </c>
      <c r="B222" s="19" t="s">
        <v>182</v>
      </c>
      <c r="C222" s="184" t="s">
        <v>42</v>
      </c>
      <c r="D222" s="134">
        <v>6.3620000000000001</v>
      </c>
      <c r="E222" s="134">
        <f>D222*4</f>
        <v>25.448</v>
      </c>
      <c r="F222" s="134">
        <f>E222*8</f>
        <v>203.584</v>
      </c>
      <c r="G222" s="134"/>
      <c r="H222" s="185"/>
      <c r="I222" s="19"/>
      <c r="J222" s="19"/>
      <c r="K222" s="186"/>
      <c r="L222" s="178">
        <v>2.25</v>
      </c>
      <c r="M222" s="15">
        <v>2.1880000000000002</v>
      </c>
      <c r="N222" s="15">
        <v>2E-3</v>
      </c>
      <c r="O222" s="15">
        <v>0.183</v>
      </c>
      <c r="P222" s="180">
        <f t="shared" si="36"/>
        <v>4.6230000000000002</v>
      </c>
      <c r="Q222" s="178">
        <v>0.24399999999999999</v>
      </c>
      <c r="R222" s="15">
        <v>5.0000000000000001E-3</v>
      </c>
      <c r="S222" s="180">
        <f>SUM(Q222:R222)</f>
        <v>0.249</v>
      </c>
      <c r="T222" s="181" t="s">
        <v>31</v>
      </c>
      <c r="U222" s="181" t="s">
        <v>540</v>
      </c>
      <c r="V222" s="15"/>
      <c r="W222" s="15" t="s">
        <v>504</v>
      </c>
      <c r="X222" s="15">
        <v>41.44</v>
      </c>
      <c r="Y222" s="15">
        <v>0.8</v>
      </c>
      <c r="Z222" s="15">
        <v>7.8</v>
      </c>
      <c r="AA222" s="15"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82"/>
      <c r="AM222" s="142" t="s">
        <v>20</v>
      </c>
      <c r="AN222" s="135" t="str">
        <f>AO222</f>
        <v>D</v>
      </c>
      <c r="AO222" s="135" t="s">
        <v>21</v>
      </c>
      <c r="AP222" s="372">
        <v>45531</v>
      </c>
      <c r="AQ222" s="372">
        <v>45542</v>
      </c>
      <c r="AR222" s="372">
        <v>45542</v>
      </c>
      <c r="AS222" s="372">
        <v>45546</v>
      </c>
      <c r="AT222" s="187" t="s">
        <v>543</v>
      </c>
      <c r="AU222" s="188"/>
      <c r="AV222" s="142" t="s">
        <v>20</v>
      </c>
      <c r="AW222" s="15" t="s">
        <v>6</v>
      </c>
      <c r="AX222" s="297">
        <v>45646</v>
      </c>
      <c r="AY222" s="297">
        <v>45646</v>
      </c>
      <c r="AZ222" s="187" t="s">
        <v>543</v>
      </c>
      <c r="BA222" s="188"/>
      <c r="BB222" s="142" t="s">
        <v>20</v>
      </c>
      <c r="BC222" s="135"/>
      <c r="BD222" s="135" t="s">
        <v>21</v>
      </c>
      <c r="BE222" s="298">
        <v>45650</v>
      </c>
      <c r="BF222" s="298">
        <v>45651</v>
      </c>
      <c r="BG222" s="24" t="s">
        <v>590</v>
      </c>
      <c r="BH222" s="193"/>
      <c r="BI222" s="142" t="s">
        <v>20</v>
      </c>
      <c r="BJ222" s="135">
        <f>BK222</f>
        <v>45759</v>
      </c>
      <c r="BK222" s="135">
        <v>45759</v>
      </c>
      <c r="BL222" s="25">
        <v>980</v>
      </c>
      <c r="BM222" s="24" t="s">
        <v>545</v>
      </c>
    </row>
    <row r="223" spans="1:65" ht="14.25" hidden="1" customHeight="1">
      <c r="A223" s="24"/>
      <c r="B223" s="19"/>
      <c r="C223" s="184"/>
      <c r="D223" s="134"/>
      <c r="E223" s="134"/>
      <c r="F223" s="134"/>
      <c r="G223" s="134"/>
      <c r="H223" s="185"/>
      <c r="I223" s="19"/>
      <c r="J223" s="19"/>
      <c r="K223" s="186"/>
      <c r="L223" s="178"/>
      <c r="M223" s="15"/>
      <c r="N223" s="15"/>
      <c r="O223" s="15"/>
      <c r="P223" s="180">
        <f t="shared" si="36"/>
        <v>0</v>
      </c>
      <c r="Q223" s="178"/>
      <c r="R223" s="15"/>
      <c r="S223" s="180"/>
      <c r="T223" s="181"/>
      <c r="U223" s="181"/>
      <c r="V223" s="16">
        <v>333</v>
      </c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82"/>
      <c r="AM223" s="15"/>
      <c r="AN223" s="15"/>
      <c r="AO223" s="15"/>
      <c r="AP223" s="15"/>
      <c r="AQ223" s="24"/>
      <c r="AR223" s="24"/>
      <c r="AS223" s="24"/>
      <c r="AT223" s="24"/>
      <c r="AU223" s="183"/>
      <c r="AV223" s="15"/>
      <c r="AW223" s="24"/>
      <c r="AX223" s="297"/>
      <c r="AY223" s="297"/>
      <c r="AZ223" s="24"/>
      <c r="BA223" s="183"/>
      <c r="BB223" s="24"/>
      <c r="BC223" s="15"/>
      <c r="BD223" s="15"/>
      <c r="BE223" s="24"/>
      <c r="BF223" s="24"/>
      <c r="BG223" s="24"/>
      <c r="BH223" s="183"/>
      <c r="BI223" s="24"/>
      <c r="BJ223" s="24"/>
      <c r="BK223" s="24"/>
      <c r="BL223" s="24"/>
      <c r="BM223" s="24"/>
    </row>
    <row r="224" spans="1:65" ht="14.25" customHeight="1">
      <c r="A224" s="15">
        <v>108</v>
      </c>
      <c r="B224" s="19" t="s">
        <v>183</v>
      </c>
      <c r="C224" s="184" t="s">
        <v>42</v>
      </c>
      <c r="D224" s="134">
        <v>6.3620000000000001</v>
      </c>
      <c r="E224" s="134">
        <f>D224*4</f>
        <v>25.448</v>
      </c>
      <c r="F224" s="134">
        <f>E224*8</f>
        <v>203.584</v>
      </c>
      <c r="G224" s="134"/>
      <c r="H224" s="185"/>
      <c r="I224" s="19"/>
      <c r="J224" s="19"/>
      <c r="K224" s="186"/>
      <c r="L224" s="178">
        <v>2.25</v>
      </c>
      <c r="M224" s="15">
        <v>2.1880000000000002</v>
      </c>
      <c r="N224" s="15">
        <v>2E-3</v>
      </c>
      <c r="O224" s="15">
        <v>0.183</v>
      </c>
      <c r="P224" s="180">
        <f t="shared" si="36"/>
        <v>4.6230000000000002</v>
      </c>
      <c r="Q224" s="178">
        <v>0.24399999999999999</v>
      </c>
      <c r="R224" s="15">
        <v>5.0000000000000001E-3</v>
      </c>
      <c r="S224" s="180">
        <f>SUM(Q224:R224)</f>
        <v>0.249</v>
      </c>
      <c r="T224" s="181" t="s">
        <v>31</v>
      </c>
      <c r="U224" s="181" t="s">
        <v>540</v>
      </c>
      <c r="V224" s="15"/>
      <c r="W224" s="15" t="s">
        <v>504</v>
      </c>
      <c r="X224" s="15">
        <v>41.44</v>
      </c>
      <c r="Y224" s="15">
        <v>0.8</v>
      </c>
      <c r="Z224" s="15">
        <v>7.8</v>
      </c>
      <c r="AA224" s="15"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82"/>
      <c r="AM224" s="142" t="s">
        <v>20</v>
      </c>
      <c r="AN224" s="135" t="str">
        <f>AO224</f>
        <v>D</v>
      </c>
      <c r="AO224" s="135" t="s">
        <v>21</v>
      </c>
      <c r="AP224" s="372">
        <v>45543</v>
      </c>
      <c r="AQ224" s="372">
        <v>45546</v>
      </c>
      <c r="AR224" s="372">
        <v>45547</v>
      </c>
      <c r="AS224" s="372">
        <v>45550</v>
      </c>
      <c r="AT224" s="187" t="s">
        <v>543</v>
      </c>
      <c r="AU224" s="188"/>
      <c r="AV224" s="142" t="s">
        <v>20</v>
      </c>
      <c r="AW224" s="15" t="s">
        <v>6</v>
      </c>
      <c r="AX224" s="297">
        <v>45650</v>
      </c>
      <c r="AY224" s="297">
        <v>45650</v>
      </c>
      <c r="AZ224" s="187" t="s">
        <v>543</v>
      </c>
      <c r="BA224" s="188"/>
      <c r="BB224" s="142" t="s">
        <v>20</v>
      </c>
      <c r="BC224" s="135"/>
      <c r="BD224" s="135" t="s">
        <v>21</v>
      </c>
      <c r="BE224" s="298">
        <v>45651</v>
      </c>
      <c r="BF224" s="298">
        <v>45652</v>
      </c>
      <c r="BG224" s="24" t="s">
        <v>590</v>
      </c>
      <c r="BH224" s="194"/>
      <c r="BI224" s="142" t="s">
        <v>20</v>
      </c>
      <c r="BJ224" s="135">
        <f>BK224</f>
        <v>45746</v>
      </c>
      <c r="BK224" s="135">
        <v>45746</v>
      </c>
      <c r="BL224" s="25">
        <v>980</v>
      </c>
      <c r="BM224" s="24" t="s">
        <v>545</v>
      </c>
    </row>
    <row r="225" spans="1:65" ht="14.25" hidden="1" customHeight="1">
      <c r="A225" s="24"/>
      <c r="B225" s="19"/>
      <c r="C225" s="184"/>
      <c r="D225" s="134"/>
      <c r="E225" s="134"/>
      <c r="F225" s="134"/>
      <c r="G225" s="134"/>
      <c r="H225" s="185"/>
      <c r="I225" s="19"/>
      <c r="J225" s="19"/>
      <c r="K225" s="186"/>
      <c r="L225" s="178"/>
      <c r="M225" s="15"/>
      <c r="N225" s="15"/>
      <c r="O225" s="15"/>
      <c r="P225" s="180">
        <f t="shared" si="36"/>
        <v>0</v>
      </c>
      <c r="Q225" s="178"/>
      <c r="R225" s="15"/>
      <c r="S225" s="180"/>
      <c r="T225" s="181"/>
      <c r="U225" s="181"/>
      <c r="V225" s="16">
        <v>363</v>
      </c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82"/>
      <c r="AM225" s="15"/>
      <c r="AN225" s="24"/>
      <c r="AO225" s="24"/>
      <c r="AP225" s="24"/>
      <c r="AQ225" s="24"/>
      <c r="AR225" s="24"/>
      <c r="AS225" s="24"/>
      <c r="AT225" s="24"/>
      <c r="AU225" s="183"/>
      <c r="AV225" s="15"/>
      <c r="AW225" s="24"/>
      <c r="AX225" s="297"/>
      <c r="AY225" s="297"/>
      <c r="AZ225" s="24"/>
      <c r="BA225" s="183"/>
      <c r="BB225" s="24"/>
      <c r="BC225" s="24"/>
      <c r="BD225" s="24"/>
      <c r="BE225" s="24"/>
      <c r="BF225" s="24"/>
      <c r="BG225" s="24"/>
      <c r="BH225" s="183"/>
      <c r="BI225" s="24"/>
      <c r="BJ225" s="135"/>
      <c r="BK225" s="24"/>
      <c r="BL225" s="24"/>
      <c r="BM225" s="24"/>
    </row>
    <row r="226" spans="1:65" ht="14.25" customHeight="1">
      <c r="A226" s="15">
        <v>109</v>
      </c>
      <c r="B226" s="19" t="s">
        <v>184</v>
      </c>
      <c r="C226" s="184" t="s">
        <v>56</v>
      </c>
      <c r="D226" s="134">
        <v>7.6219999999999999</v>
      </c>
      <c r="E226" s="134">
        <f>D226*4</f>
        <v>30.488</v>
      </c>
      <c r="F226" s="134">
        <f>E226*8</f>
        <v>243.904</v>
      </c>
      <c r="G226" s="134"/>
      <c r="H226" s="185"/>
      <c r="I226" s="19"/>
      <c r="J226" s="19"/>
      <c r="K226" s="186"/>
      <c r="L226" s="178">
        <v>2.6789999999999998</v>
      </c>
      <c r="M226" s="15">
        <v>3.133</v>
      </c>
      <c r="N226" s="15">
        <v>2.3E-3</v>
      </c>
      <c r="O226" s="15">
        <v>0.23299999999999998</v>
      </c>
      <c r="P226" s="180">
        <f t="shared" si="36"/>
        <v>6.047299999999999</v>
      </c>
      <c r="Q226" s="178">
        <v>0.24399999999999999</v>
      </c>
      <c r="R226" s="15">
        <v>5.0000000000000001E-3</v>
      </c>
      <c r="S226" s="180">
        <f>SUM(Q226:R226)</f>
        <v>0.249</v>
      </c>
      <c r="T226" s="181" t="s">
        <v>31</v>
      </c>
      <c r="U226" s="181" t="s">
        <v>540</v>
      </c>
      <c r="V226" s="15"/>
      <c r="W226" s="15" t="s">
        <v>541</v>
      </c>
      <c r="X226" s="15">
        <v>85.44</v>
      </c>
      <c r="Y226" s="15">
        <v>1.51</v>
      </c>
      <c r="Z226" s="15">
        <v>11.15</v>
      </c>
      <c r="AA226" s="15"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82"/>
      <c r="AM226" s="142" t="s">
        <v>20</v>
      </c>
      <c r="AN226" s="135" t="str">
        <f>AO226</f>
        <v>D</v>
      </c>
      <c r="AO226" s="135" t="s">
        <v>21</v>
      </c>
      <c r="AP226" s="372">
        <v>45531</v>
      </c>
      <c r="AQ226" s="372">
        <v>45551</v>
      </c>
      <c r="AR226" s="372">
        <v>45584</v>
      </c>
      <c r="AS226" s="372">
        <v>45589</v>
      </c>
      <c r="AT226" s="187" t="s">
        <v>543</v>
      </c>
      <c r="AU226" s="188"/>
      <c r="AV226" s="142" t="s">
        <v>20</v>
      </c>
      <c r="AW226" s="15" t="s">
        <v>6</v>
      </c>
      <c r="AX226" s="297">
        <v>45650</v>
      </c>
      <c r="AY226" s="297">
        <v>45650</v>
      </c>
      <c r="AZ226" s="187" t="s">
        <v>543</v>
      </c>
      <c r="BA226" s="188"/>
      <c r="BB226" s="142" t="s">
        <v>20</v>
      </c>
      <c r="BC226" s="135"/>
      <c r="BD226" s="135" t="s">
        <v>21</v>
      </c>
      <c r="BE226" s="298">
        <f>BF226-2</f>
        <v>45693</v>
      </c>
      <c r="BF226" s="298">
        <v>45695</v>
      </c>
      <c r="BG226" s="15" t="s">
        <v>510</v>
      </c>
      <c r="BH226" s="192"/>
      <c r="BI226" s="142" t="s">
        <v>20</v>
      </c>
      <c r="BJ226" s="135">
        <f>BK226</f>
        <v>45747</v>
      </c>
      <c r="BK226" s="135">
        <v>45747</v>
      </c>
      <c r="BL226" s="25">
        <v>1545</v>
      </c>
      <c r="BM226" s="24" t="s">
        <v>545</v>
      </c>
    </row>
    <row r="227" spans="1:65" ht="14.25" hidden="1" customHeight="1">
      <c r="A227" s="24"/>
      <c r="B227" s="19"/>
      <c r="C227" s="184"/>
      <c r="D227" s="134"/>
      <c r="E227" s="134"/>
      <c r="F227" s="134"/>
      <c r="G227" s="134"/>
      <c r="H227" s="185"/>
      <c r="I227" s="19"/>
      <c r="J227" s="19"/>
      <c r="K227" s="186"/>
      <c r="L227" s="178"/>
      <c r="M227" s="15"/>
      <c r="N227" s="15"/>
      <c r="O227" s="15"/>
      <c r="P227" s="180">
        <f t="shared" si="36"/>
        <v>0</v>
      </c>
      <c r="Q227" s="178"/>
      <c r="R227" s="15"/>
      <c r="S227" s="180"/>
      <c r="T227" s="181"/>
      <c r="U227" s="181"/>
      <c r="V227" s="16">
        <v>384</v>
      </c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82"/>
      <c r="AM227" s="15"/>
      <c r="AN227" s="24"/>
      <c r="AO227" s="24"/>
      <c r="AP227" s="24"/>
      <c r="AQ227" s="24"/>
      <c r="AR227" s="24"/>
      <c r="AS227" s="24"/>
      <c r="AT227" s="24"/>
      <c r="AU227" s="183"/>
      <c r="AV227" s="15"/>
      <c r="AW227" s="24"/>
      <c r="AX227" s="297"/>
      <c r="AY227" s="297"/>
      <c r="AZ227" s="24"/>
      <c r="BA227" s="183"/>
      <c r="BB227" s="24"/>
      <c r="BC227" s="24"/>
      <c r="BD227" s="24"/>
      <c r="BE227" s="24"/>
      <c r="BF227" s="24"/>
      <c r="BG227" s="24"/>
      <c r="BH227" s="183"/>
      <c r="BI227" s="142"/>
      <c r="BJ227" s="135"/>
      <c r="BK227" s="135"/>
      <c r="BL227" s="24"/>
      <c r="BM227" s="24"/>
    </row>
    <row r="228" spans="1:65" ht="14.25" customHeight="1">
      <c r="A228" s="15">
        <v>110</v>
      </c>
      <c r="B228" s="19" t="s">
        <v>185</v>
      </c>
      <c r="C228" s="184" t="s">
        <v>37</v>
      </c>
      <c r="D228" s="134">
        <v>6.992</v>
      </c>
      <c r="E228" s="134">
        <f>D228*4</f>
        <v>27.968</v>
      </c>
      <c r="F228" s="134">
        <f>E228*8</f>
        <v>223.744</v>
      </c>
      <c r="G228" s="134"/>
      <c r="H228" s="185"/>
      <c r="I228" s="19"/>
      <c r="J228" s="19"/>
      <c r="K228" s="186"/>
      <c r="L228" s="178">
        <v>2.6070000000000002</v>
      </c>
      <c r="M228" s="15">
        <v>2.657</v>
      </c>
      <c r="N228" s="15">
        <v>2E-3</v>
      </c>
      <c r="O228" s="15">
        <v>0.21299999999999999</v>
      </c>
      <c r="P228" s="180">
        <f t="shared" si="36"/>
        <v>5.4790000000000001</v>
      </c>
      <c r="Q228" s="178">
        <v>0.24399999999999999</v>
      </c>
      <c r="R228" s="15">
        <v>5.0000000000000001E-3</v>
      </c>
      <c r="S228" s="180">
        <f>SUM(Q228:R228)</f>
        <v>0.249</v>
      </c>
      <c r="T228" s="181" t="s">
        <v>31</v>
      </c>
      <c r="U228" s="181" t="s">
        <v>540</v>
      </c>
      <c r="V228" s="15"/>
      <c r="W228" s="15" t="s">
        <v>541</v>
      </c>
      <c r="X228" s="15">
        <v>85.44</v>
      </c>
      <c r="Y228" s="15">
        <v>1.51</v>
      </c>
      <c r="Z228" s="15">
        <v>11.15</v>
      </c>
      <c r="AA228" s="15"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82"/>
      <c r="AM228" s="142" t="s">
        <v>20</v>
      </c>
      <c r="AN228" s="135" t="s">
        <v>21</v>
      </c>
      <c r="AO228" s="135" t="s">
        <v>21</v>
      </c>
      <c r="AP228" s="372">
        <v>45628</v>
      </c>
      <c r="AQ228" s="372">
        <f t="shared" ref="AQ228:AR228" si="68">AR228-2</f>
        <v>45631</v>
      </c>
      <c r="AR228" s="372">
        <f t="shared" si="68"/>
        <v>45633</v>
      </c>
      <c r="AS228" s="372">
        <v>45635</v>
      </c>
      <c r="AT228" s="24" t="s">
        <v>591</v>
      </c>
      <c r="AU228" s="183"/>
      <c r="AV228" s="142" t="s">
        <v>20</v>
      </c>
      <c r="AW228" s="15" t="s">
        <v>6</v>
      </c>
      <c r="AX228" s="297">
        <v>45648</v>
      </c>
      <c r="AY228" s="297">
        <v>45648</v>
      </c>
      <c r="AZ228" s="187" t="s">
        <v>543</v>
      </c>
      <c r="BA228" s="188"/>
      <c r="BB228" s="142" t="s">
        <v>20</v>
      </c>
      <c r="BC228" s="135"/>
      <c r="BD228" s="135" t="s">
        <v>21</v>
      </c>
      <c r="BE228" s="298">
        <f>BF228-2</f>
        <v>45695</v>
      </c>
      <c r="BF228" s="298">
        <v>45697</v>
      </c>
      <c r="BG228" s="15" t="s">
        <v>510</v>
      </c>
      <c r="BH228" s="192"/>
      <c r="BI228" s="142" t="s">
        <v>20</v>
      </c>
      <c r="BJ228" s="135">
        <f>BK228</f>
        <v>45747</v>
      </c>
      <c r="BK228" s="135">
        <v>45747</v>
      </c>
      <c r="BL228" s="25">
        <v>1330</v>
      </c>
      <c r="BM228" s="24" t="s">
        <v>545</v>
      </c>
    </row>
    <row r="229" spans="1:65" ht="14.25" hidden="1" customHeight="1">
      <c r="A229" s="24"/>
      <c r="B229" s="19"/>
      <c r="C229" s="184"/>
      <c r="D229" s="134"/>
      <c r="E229" s="134"/>
      <c r="F229" s="134"/>
      <c r="G229" s="134"/>
      <c r="H229" s="185"/>
      <c r="I229" s="19"/>
      <c r="J229" s="19"/>
      <c r="K229" s="186"/>
      <c r="L229" s="178"/>
      <c r="M229" s="15"/>
      <c r="N229" s="15"/>
      <c r="O229" s="15"/>
      <c r="P229" s="180">
        <f t="shared" si="36"/>
        <v>0</v>
      </c>
      <c r="Q229" s="178"/>
      <c r="R229" s="15"/>
      <c r="S229" s="180"/>
      <c r="T229" s="181"/>
      <c r="U229" s="181"/>
      <c r="V229" s="16">
        <v>361</v>
      </c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82"/>
      <c r="AM229" s="15"/>
      <c r="AN229" s="24"/>
      <c r="AO229" s="24"/>
      <c r="AP229" s="24"/>
      <c r="AQ229" s="24"/>
      <c r="AR229" s="24"/>
      <c r="AS229" s="24"/>
      <c r="AT229" s="24"/>
      <c r="AU229" s="183"/>
      <c r="AV229" s="15"/>
      <c r="AW229" s="24"/>
      <c r="AX229" s="297"/>
      <c r="AY229" s="297"/>
      <c r="AZ229" s="24"/>
      <c r="BA229" s="183"/>
      <c r="BB229" s="24"/>
      <c r="BC229" s="24"/>
      <c r="BD229" s="24"/>
      <c r="BE229" s="24"/>
      <c r="BF229" s="24"/>
      <c r="BG229" s="24"/>
      <c r="BH229" s="183"/>
      <c r="BI229" s="24"/>
      <c r="BJ229" s="135"/>
      <c r="BK229" s="24"/>
      <c r="BL229" s="24"/>
      <c r="BM229" s="24"/>
    </row>
    <row r="230" spans="1:65" ht="14.25" customHeight="1">
      <c r="A230" s="15">
        <v>111</v>
      </c>
      <c r="B230" s="19" t="s">
        <v>186</v>
      </c>
      <c r="C230" s="184" t="s">
        <v>42</v>
      </c>
      <c r="D230" s="134">
        <v>6.3620000000000001</v>
      </c>
      <c r="E230" s="134">
        <f>D230*4</f>
        <v>25.448</v>
      </c>
      <c r="F230" s="134">
        <f>E230*8</f>
        <v>203.584</v>
      </c>
      <c r="G230" s="134"/>
      <c r="H230" s="185"/>
      <c r="I230" s="19"/>
      <c r="J230" s="19"/>
      <c r="K230" s="186"/>
      <c r="L230" s="178">
        <v>2.25</v>
      </c>
      <c r="M230" s="15">
        <v>2.1880000000000002</v>
      </c>
      <c r="N230" s="15">
        <v>2E-3</v>
      </c>
      <c r="O230" s="15">
        <v>0.183</v>
      </c>
      <c r="P230" s="180">
        <f t="shared" si="36"/>
        <v>4.6230000000000002</v>
      </c>
      <c r="Q230" s="178">
        <v>0.24399999999999999</v>
      </c>
      <c r="R230" s="15">
        <v>5.0000000000000001E-3</v>
      </c>
      <c r="S230" s="180">
        <f>SUM(Q230:R230)</f>
        <v>0.249</v>
      </c>
      <c r="T230" s="181" t="s">
        <v>31</v>
      </c>
      <c r="U230" s="181" t="s">
        <v>540</v>
      </c>
      <c r="V230" s="15"/>
      <c r="W230" s="15" t="s">
        <v>541</v>
      </c>
      <c r="X230" s="15">
        <v>85.44</v>
      </c>
      <c r="Y230" s="15">
        <v>1.51</v>
      </c>
      <c r="Z230" s="15">
        <v>11.15</v>
      </c>
      <c r="AA230" s="15"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82"/>
      <c r="AM230" s="142" t="s">
        <v>20</v>
      </c>
      <c r="AN230" s="135" t="str">
        <f>AO230</f>
        <v>D</v>
      </c>
      <c r="AO230" s="135" t="s">
        <v>21</v>
      </c>
      <c r="AP230" s="372">
        <v>45588</v>
      </c>
      <c r="AQ230" s="372">
        <f>AP230+2</f>
        <v>45590</v>
      </c>
      <c r="AR230" s="372">
        <f>AS230-2</f>
        <v>45600</v>
      </c>
      <c r="AS230" s="372">
        <v>45602</v>
      </c>
      <c r="AT230" s="187" t="s">
        <v>591</v>
      </c>
      <c r="AU230" s="188"/>
      <c r="AV230" s="142" t="s">
        <v>20</v>
      </c>
      <c r="AW230" s="15" t="s">
        <v>6</v>
      </c>
      <c r="AX230" s="297">
        <v>45648</v>
      </c>
      <c r="AY230" s="297">
        <v>45648</v>
      </c>
      <c r="AZ230" s="187" t="s">
        <v>543</v>
      </c>
      <c r="BA230" s="188"/>
      <c r="BB230" s="142" t="s">
        <v>20</v>
      </c>
      <c r="BC230" s="135"/>
      <c r="BD230" s="135" t="s">
        <v>21</v>
      </c>
      <c r="BE230" s="298">
        <f>BF230-1</f>
        <v>45699</v>
      </c>
      <c r="BF230" s="298">
        <v>45700</v>
      </c>
      <c r="BG230" s="15" t="s">
        <v>510</v>
      </c>
      <c r="BH230" s="194"/>
      <c r="BI230" s="142" t="s">
        <v>20</v>
      </c>
      <c r="BJ230" s="135">
        <f>BK230</f>
        <v>45749</v>
      </c>
      <c r="BK230" s="135">
        <v>45749</v>
      </c>
      <c r="BL230" s="25">
        <v>980</v>
      </c>
      <c r="BM230" s="24" t="s">
        <v>545</v>
      </c>
    </row>
    <row r="231" spans="1:65" ht="14.25" hidden="1" customHeight="1">
      <c r="A231" s="24"/>
      <c r="B231" s="19"/>
      <c r="C231" s="184"/>
      <c r="D231" s="134"/>
      <c r="E231" s="134"/>
      <c r="F231" s="134"/>
      <c r="G231" s="134"/>
      <c r="H231" s="185"/>
      <c r="I231" s="19"/>
      <c r="J231" s="19"/>
      <c r="K231" s="186"/>
      <c r="L231" s="178"/>
      <c r="M231" s="15"/>
      <c r="N231" s="15"/>
      <c r="O231" s="15"/>
      <c r="P231" s="180">
        <f t="shared" si="36"/>
        <v>0</v>
      </c>
      <c r="Q231" s="178"/>
      <c r="R231" s="15"/>
      <c r="S231" s="180"/>
      <c r="T231" s="181"/>
      <c r="U231" s="181"/>
      <c r="V231" s="16">
        <v>311</v>
      </c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82"/>
      <c r="AM231" s="15"/>
      <c r="AN231" s="24"/>
      <c r="AO231" s="24"/>
      <c r="AP231" s="24"/>
      <c r="AQ231" s="24"/>
      <c r="AR231" s="24"/>
      <c r="AS231" s="24"/>
      <c r="AT231" s="24"/>
      <c r="AU231" s="183"/>
      <c r="AV231" s="15"/>
      <c r="AW231" s="24"/>
      <c r="AX231" s="297"/>
      <c r="AY231" s="297"/>
      <c r="AZ231" s="24"/>
      <c r="BA231" s="183"/>
      <c r="BB231" s="24"/>
      <c r="BC231" s="24"/>
      <c r="BD231" s="24"/>
      <c r="BE231" s="24"/>
      <c r="BF231" s="24"/>
      <c r="BG231" s="24"/>
      <c r="BH231" s="183"/>
      <c r="BI231" s="24"/>
      <c r="BJ231" s="135"/>
      <c r="BK231" s="24"/>
      <c r="BL231" s="24"/>
      <c r="BM231" s="24"/>
    </row>
    <row r="232" spans="1:65" ht="17.25" customHeight="1">
      <c r="A232" s="15">
        <v>112</v>
      </c>
      <c r="B232" s="19" t="s">
        <v>187</v>
      </c>
      <c r="C232" s="184" t="s">
        <v>37</v>
      </c>
      <c r="D232" s="134">
        <v>6.992</v>
      </c>
      <c r="E232" s="134">
        <f>D232*4</f>
        <v>27.968</v>
      </c>
      <c r="F232" s="134">
        <f>E232*8</f>
        <v>223.744</v>
      </c>
      <c r="G232" s="134"/>
      <c r="H232" s="185"/>
      <c r="I232" s="19"/>
      <c r="J232" s="19"/>
      <c r="K232" s="186"/>
      <c r="L232" s="178">
        <v>2.6070000000000002</v>
      </c>
      <c r="M232" s="15">
        <v>2.657</v>
      </c>
      <c r="N232" s="15">
        <v>2E-3</v>
      </c>
      <c r="O232" s="15">
        <v>0.21299999999999999</v>
      </c>
      <c r="P232" s="180">
        <f t="shared" si="36"/>
        <v>5.4790000000000001</v>
      </c>
      <c r="Q232" s="178">
        <v>0.24399999999999999</v>
      </c>
      <c r="R232" s="15">
        <v>5.0000000000000001E-3</v>
      </c>
      <c r="S232" s="180">
        <f>SUM(Q232:R232)</f>
        <v>0.249</v>
      </c>
      <c r="T232" s="181" t="s">
        <v>31</v>
      </c>
      <c r="U232" s="181" t="s">
        <v>540</v>
      </c>
      <c r="V232" s="15"/>
      <c r="W232" s="15" t="s">
        <v>592</v>
      </c>
      <c r="X232" s="16">
        <v>143.36000000000001</v>
      </c>
      <c r="Y232" s="16">
        <v>1.68</v>
      </c>
      <c r="Z232" s="16">
        <v>11.97</v>
      </c>
      <c r="AA232" s="16">
        <f>Y232+Z232</f>
        <v>13.65</v>
      </c>
      <c r="AB232" s="23">
        <f>+Y232*4.44+Z232*8.06</f>
        <v>103.93740000000001</v>
      </c>
      <c r="AC232" s="16">
        <f>+AB232*50</f>
        <v>5196.8700000000008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82"/>
      <c r="AM232" s="142" t="s">
        <v>20</v>
      </c>
      <c r="AN232" s="135" t="str">
        <f>AO232</f>
        <v>D</v>
      </c>
      <c r="AO232" s="135" t="s">
        <v>21</v>
      </c>
      <c r="AP232" s="372">
        <v>45594</v>
      </c>
      <c r="AQ232" s="372">
        <v>45596</v>
      </c>
      <c r="AR232" s="372">
        <v>45598</v>
      </c>
      <c r="AS232" s="372">
        <v>45599</v>
      </c>
      <c r="AT232" s="187" t="s">
        <v>543</v>
      </c>
      <c r="AU232" s="188"/>
      <c r="AV232" s="142" t="s">
        <v>20</v>
      </c>
      <c r="AW232" s="15" t="s">
        <v>548</v>
      </c>
      <c r="AX232" s="297">
        <v>45648</v>
      </c>
      <c r="AY232" s="297">
        <v>45648</v>
      </c>
      <c r="AZ232" s="187" t="s">
        <v>543</v>
      </c>
      <c r="BA232" s="188"/>
      <c r="BB232" s="142" t="s">
        <v>20</v>
      </c>
      <c r="BC232" s="135"/>
      <c r="BD232" s="135" t="s">
        <v>21</v>
      </c>
      <c r="BE232" s="298">
        <f>BF232-2</f>
        <v>45697</v>
      </c>
      <c r="BF232" s="298">
        <v>45699</v>
      </c>
      <c r="BG232" s="15" t="s">
        <v>510</v>
      </c>
      <c r="BH232" s="183"/>
      <c r="BI232" s="142" t="s">
        <v>20</v>
      </c>
      <c r="BJ232" s="135">
        <f>BK232</f>
        <v>45749</v>
      </c>
      <c r="BK232" s="135">
        <v>45749</v>
      </c>
      <c r="BL232" s="25">
        <v>1330</v>
      </c>
      <c r="BM232" s="24" t="s">
        <v>545</v>
      </c>
    </row>
    <row r="233" spans="1:65" ht="14.25" hidden="1" customHeight="1">
      <c r="A233" s="24"/>
      <c r="B233" s="19"/>
      <c r="C233" s="184"/>
      <c r="D233" s="134"/>
      <c r="E233" s="134"/>
      <c r="F233" s="134"/>
      <c r="G233" s="134"/>
      <c r="H233" s="185"/>
      <c r="I233" s="19"/>
      <c r="J233" s="19"/>
      <c r="K233" s="186"/>
      <c r="L233" s="178"/>
      <c r="M233" s="15"/>
      <c r="N233" s="15"/>
      <c r="O233" s="15"/>
      <c r="P233" s="180">
        <f t="shared" si="36"/>
        <v>0</v>
      </c>
      <c r="Q233" s="178"/>
      <c r="R233" s="15"/>
      <c r="S233" s="180"/>
      <c r="T233" s="181"/>
      <c r="U233" s="181"/>
      <c r="V233" s="16">
        <v>381</v>
      </c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82"/>
      <c r="AM233" s="15"/>
      <c r="AN233" s="24"/>
      <c r="AO233" s="24"/>
      <c r="AP233" s="24"/>
      <c r="AQ233" s="24"/>
      <c r="AR233" s="24"/>
      <c r="AS233" s="24"/>
      <c r="AT233" s="24"/>
      <c r="AU233" s="183"/>
      <c r="AV233" s="15"/>
      <c r="AW233" s="24"/>
      <c r="AX233" s="297"/>
      <c r="AY233" s="297"/>
      <c r="AZ233" s="24"/>
      <c r="BA233" s="183"/>
      <c r="BB233" s="24"/>
      <c r="BC233" s="24"/>
      <c r="BD233" s="24"/>
      <c r="BE233" s="24"/>
      <c r="BF233" s="24"/>
      <c r="BG233" s="24"/>
      <c r="BH233" s="183"/>
      <c r="BI233" s="24"/>
      <c r="BJ233" s="24"/>
      <c r="BK233" s="24"/>
      <c r="BL233" s="24"/>
      <c r="BM233" s="24"/>
    </row>
    <row r="234" spans="1:65" ht="14.25" customHeight="1">
      <c r="A234" s="15">
        <v>113</v>
      </c>
      <c r="B234" s="19" t="s">
        <v>188</v>
      </c>
      <c r="C234" s="184" t="s">
        <v>42</v>
      </c>
      <c r="D234" s="134">
        <v>6.3620000000000001</v>
      </c>
      <c r="E234" s="134">
        <f>D234*4</f>
        <v>25.448</v>
      </c>
      <c r="F234" s="134">
        <f>E234*8</f>
        <v>203.584</v>
      </c>
      <c r="G234" s="134"/>
      <c r="H234" s="185"/>
      <c r="I234" s="19"/>
      <c r="J234" s="19"/>
      <c r="K234" s="186"/>
      <c r="L234" s="178">
        <v>2.25</v>
      </c>
      <c r="M234" s="15">
        <v>2.1880000000000002</v>
      </c>
      <c r="N234" s="15">
        <v>2E-3</v>
      </c>
      <c r="O234" s="15">
        <v>0.183</v>
      </c>
      <c r="P234" s="180">
        <f t="shared" si="36"/>
        <v>4.6230000000000002</v>
      </c>
      <c r="Q234" s="178">
        <v>0.24399999999999999</v>
      </c>
      <c r="R234" s="15">
        <v>5.0000000000000001E-3</v>
      </c>
      <c r="S234" s="180">
        <f>SUM(Q234:R234)</f>
        <v>0.249</v>
      </c>
      <c r="T234" s="181" t="s">
        <v>31</v>
      </c>
      <c r="U234" s="181" t="s">
        <v>540</v>
      </c>
      <c r="V234" s="15"/>
      <c r="W234" s="15" t="s">
        <v>592</v>
      </c>
      <c r="X234" s="16">
        <v>143.36000000000001</v>
      </c>
      <c r="Y234" s="16">
        <v>1.68</v>
      </c>
      <c r="Z234" s="16">
        <v>11.97</v>
      </c>
      <c r="AA234" s="16">
        <f>Y234+Z234</f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82"/>
      <c r="AM234" s="142" t="s">
        <v>20</v>
      </c>
      <c r="AN234" s="135" t="str">
        <f>AO234</f>
        <v>D</v>
      </c>
      <c r="AO234" s="135" t="s">
        <v>21</v>
      </c>
      <c r="AP234" s="372">
        <v>45599</v>
      </c>
      <c r="AQ234" s="372">
        <v>45602</v>
      </c>
      <c r="AR234" s="372">
        <v>45605</v>
      </c>
      <c r="AS234" s="372">
        <v>45605</v>
      </c>
      <c r="AT234" s="187" t="s">
        <v>543</v>
      </c>
      <c r="AU234" s="188"/>
      <c r="AV234" s="142" t="s">
        <v>20</v>
      </c>
      <c r="AW234" s="15" t="s">
        <v>548</v>
      </c>
      <c r="AX234" s="297">
        <v>45648</v>
      </c>
      <c r="AY234" s="297">
        <v>45648</v>
      </c>
      <c r="AZ234" s="187" t="s">
        <v>543</v>
      </c>
      <c r="BA234" s="188"/>
      <c r="BB234" s="142" t="s">
        <v>20</v>
      </c>
      <c r="BC234" s="135"/>
      <c r="BD234" s="135" t="s">
        <v>21</v>
      </c>
      <c r="BE234" s="298">
        <f>BF234-2</f>
        <v>45699</v>
      </c>
      <c r="BF234" s="298">
        <v>45701</v>
      </c>
      <c r="BG234" s="15" t="s">
        <v>510</v>
      </c>
      <c r="BH234" s="183"/>
      <c r="BI234" s="142" t="s">
        <v>20</v>
      </c>
      <c r="BJ234" s="135">
        <f>BK234</f>
        <v>45806</v>
      </c>
      <c r="BK234" s="135">
        <v>45806</v>
      </c>
      <c r="BL234" s="25">
        <v>980</v>
      </c>
      <c r="BM234" s="24" t="s">
        <v>545</v>
      </c>
    </row>
    <row r="235" spans="1:65" ht="14.25" hidden="1" customHeight="1">
      <c r="A235" s="24"/>
      <c r="B235" s="19"/>
      <c r="C235" s="184"/>
      <c r="D235" s="134"/>
      <c r="E235" s="134"/>
      <c r="F235" s="134"/>
      <c r="G235" s="134"/>
      <c r="H235" s="185"/>
      <c r="I235" s="19"/>
      <c r="J235" s="19"/>
      <c r="K235" s="186"/>
      <c r="L235" s="178"/>
      <c r="M235" s="15"/>
      <c r="N235" s="15"/>
      <c r="O235" s="15"/>
      <c r="P235" s="180">
        <f t="shared" si="36"/>
        <v>0</v>
      </c>
      <c r="Q235" s="178"/>
      <c r="R235" s="15"/>
      <c r="S235" s="180"/>
      <c r="T235" s="181"/>
      <c r="U235" s="181"/>
      <c r="V235" s="16">
        <v>316</v>
      </c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82"/>
      <c r="AM235" s="15"/>
      <c r="AN235" s="24"/>
      <c r="AO235" s="24"/>
      <c r="AP235" s="24"/>
      <c r="AQ235" s="24"/>
      <c r="AR235" s="24"/>
      <c r="AS235" s="24"/>
      <c r="AT235" s="24"/>
      <c r="AU235" s="183"/>
      <c r="AV235" s="15"/>
      <c r="AW235" s="24"/>
      <c r="AX235" s="297"/>
      <c r="AY235" s="297"/>
      <c r="AZ235" s="24"/>
      <c r="BA235" s="183"/>
      <c r="BB235" s="24"/>
      <c r="BC235" s="24"/>
      <c r="BD235" s="24"/>
      <c r="BE235" s="24"/>
      <c r="BF235" s="24"/>
      <c r="BG235" s="24"/>
      <c r="BH235" s="183"/>
      <c r="BI235" s="24"/>
      <c r="BJ235" s="24"/>
      <c r="BK235" s="24"/>
      <c r="BL235" s="24"/>
      <c r="BM235" s="24"/>
    </row>
    <row r="236" spans="1:65" ht="14.25" customHeight="1">
      <c r="A236" s="15">
        <v>114</v>
      </c>
      <c r="B236" s="19" t="s">
        <v>189</v>
      </c>
      <c r="C236" s="184" t="s">
        <v>42</v>
      </c>
      <c r="D236" s="134">
        <v>6.3620000000000001</v>
      </c>
      <c r="E236" s="134">
        <f>D236*4</f>
        <v>25.448</v>
      </c>
      <c r="F236" s="134">
        <f>E236*8</f>
        <v>203.584</v>
      </c>
      <c r="G236" s="134"/>
      <c r="H236" s="185"/>
      <c r="I236" s="19"/>
      <c r="J236" s="19"/>
      <c r="K236" s="186"/>
      <c r="L236" s="178">
        <v>2.25</v>
      </c>
      <c r="M236" s="15">
        <v>2.1880000000000002</v>
      </c>
      <c r="N236" s="15">
        <v>2E-3</v>
      </c>
      <c r="O236" s="15">
        <v>0.183</v>
      </c>
      <c r="P236" s="180">
        <f t="shared" si="36"/>
        <v>4.6230000000000002</v>
      </c>
      <c r="Q236" s="178">
        <v>0.24399999999999999</v>
      </c>
      <c r="R236" s="15">
        <v>5.0000000000000001E-3</v>
      </c>
      <c r="S236" s="180">
        <f>SUM(Q236:R236)</f>
        <v>0.249</v>
      </c>
      <c r="T236" s="181" t="s">
        <v>31</v>
      </c>
      <c r="U236" s="181" t="s">
        <v>540</v>
      </c>
      <c r="V236" s="15"/>
      <c r="W236" s="15" t="s">
        <v>592</v>
      </c>
      <c r="X236" s="16">
        <v>143.36000000000001</v>
      </c>
      <c r="Y236" s="16">
        <v>1.68</v>
      </c>
      <c r="Z236" s="16">
        <v>11.97</v>
      </c>
      <c r="AA236" s="16">
        <f>Y236+Z236</f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82"/>
      <c r="AM236" s="142" t="s">
        <v>20</v>
      </c>
      <c r="AN236" s="135" t="str">
        <f>AO236</f>
        <v>D</v>
      </c>
      <c r="AO236" s="135" t="s">
        <v>21</v>
      </c>
      <c r="AP236" s="372">
        <v>45603</v>
      </c>
      <c r="AQ236" s="372">
        <f t="shared" ref="AQ236:AR236" si="69">AR236-2</f>
        <v>45604</v>
      </c>
      <c r="AR236" s="372">
        <f t="shared" si="69"/>
        <v>45606</v>
      </c>
      <c r="AS236" s="372">
        <v>45608</v>
      </c>
      <c r="AT236" s="24" t="s">
        <v>591</v>
      </c>
      <c r="AU236" s="183"/>
      <c r="AV236" s="142" t="s">
        <v>20</v>
      </c>
      <c r="AW236" s="15" t="s">
        <v>548</v>
      </c>
      <c r="AX236" s="297">
        <v>45648</v>
      </c>
      <c r="AY236" s="297">
        <v>45648</v>
      </c>
      <c r="AZ236" s="187" t="s">
        <v>543</v>
      </c>
      <c r="BA236" s="188"/>
      <c r="BB236" s="142" t="s">
        <v>20</v>
      </c>
      <c r="BC236" s="135"/>
      <c r="BD236" s="135" t="s">
        <v>21</v>
      </c>
      <c r="BE236" s="298">
        <f>BF236-1</f>
        <v>45704</v>
      </c>
      <c r="BF236" s="298">
        <v>45705</v>
      </c>
      <c r="BG236" s="15" t="s">
        <v>510</v>
      </c>
      <c r="BH236" s="193"/>
      <c r="BI236" s="142" t="s">
        <v>20</v>
      </c>
      <c r="BJ236" s="135">
        <f>BK236</f>
        <v>45760</v>
      </c>
      <c r="BK236" s="135">
        <v>45760</v>
      </c>
      <c r="BL236" s="25">
        <v>980</v>
      </c>
      <c r="BM236" s="24" t="s">
        <v>545</v>
      </c>
    </row>
    <row r="237" spans="1:65" ht="14.25" hidden="1" customHeight="1">
      <c r="A237" s="24"/>
      <c r="B237" s="19"/>
      <c r="C237" s="184"/>
      <c r="D237" s="134"/>
      <c r="E237" s="134"/>
      <c r="F237" s="134"/>
      <c r="G237" s="134"/>
      <c r="H237" s="185"/>
      <c r="I237" s="19"/>
      <c r="J237" s="19"/>
      <c r="K237" s="186"/>
      <c r="L237" s="178"/>
      <c r="M237" s="15"/>
      <c r="N237" s="15"/>
      <c r="O237" s="15"/>
      <c r="P237" s="180">
        <f t="shared" si="36"/>
        <v>0</v>
      </c>
      <c r="Q237" s="178"/>
      <c r="R237" s="15"/>
      <c r="S237" s="180"/>
      <c r="T237" s="181"/>
      <c r="U237" s="181"/>
      <c r="V237" s="16">
        <v>290.45</v>
      </c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82"/>
      <c r="AM237" s="15"/>
      <c r="AN237" s="24"/>
      <c r="AO237" s="24"/>
      <c r="AP237" s="24"/>
      <c r="AQ237" s="24"/>
      <c r="AR237" s="24"/>
      <c r="AS237" s="24"/>
      <c r="AT237" s="24"/>
      <c r="AU237" s="183"/>
      <c r="AV237" s="15"/>
      <c r="AW237" s="24"/>
      <c r="AX237" s="297"/>
      <c r="AY237" s="297"/>
      <c r="AZ237" s="24"/>
      <c r="BA237" s="183"/>
      <c r="BB237" s="24"/>
      <c r="BC237" s="24"/>
      <c r="BD237" s="24"/>
      <c r="BE237" s="24"/>
      <c r="BF237" s="24"/>
      <c r="BG237" s="24"/>
      <c r="BH237" s="183"/>
      <c r="BI237" s="24"/>
      <c r="BJ237" s="24"/>
      <c r="BK237" s="24"/>
      <c r="BL237" s="24"/>
      <c r="BM237" s="24"/>
    </row>
    <row r="238" spans="1:65" ht="14.25" customHeight="1">
      <c r="A238" s="15">
        <v>115</v>
      </c>
      <c r="B238" s="19" t="s">
        <v>191</v>
      </c>
      <c r="C238" s="184" t="s">
        <v>39</v>
      </c>
      <c r="D238" s="134">
        <v>7.7080000000000002</v>
      </c>
      <c r="E238" s="134">
        <f>D238*4</f>
        <v>30.832000000000001</v>
      </c>
      <c r="F238" s="134">
        <f>E238*8</f>
        <v>246.65600000000001</v>
      </c>
      <c r="G238" s="134"/>
      <c r="H238" s="185"/>
      <c r="I238" s="19"/>
      <c r="J238" s="19"/>
      <c r="K238" s="186"/>
      <c r="L238" s="178">
        <v>4.0570000000000004</v>
      </c>
      <c r="M238" s="15">
        <v>2.48</v>
      </c>
      <c r="N238" s="15">
        <v>6.0000000000000001E-3</v>
      </c>
      <c r="O238" s="15">
        <v>0.36499999999999999</v>
      </c>
      <c r="P238" s="180">
        <f t="shared" si="36"/>
        <v>6.9080000000000013</v>
      </c>
      <c r="Q238" s="178">
        <v>0.436</v>
      </c>
      <c r="R238" s="15">
        <v>0.01</v>
      </c>
      <c r="S238" s="180">
        <f>SUM(Q238:R238)</f>
        <v>0.44600000000000001</v>
      </c>
      <c r="T238" s="181" t="s">
        <v>190</v>
      </c>
      <c r="U238" s="181" t="s">
        <v>540</v>
      </c>
      <c r="V238" s="15"/>
      <c r="W238" s="15" t="s">
        <v>504</v>
      </c>
      <c r="X238" s="15">
        <v>75.36</v>
      </c>
      <c r="Y238" s="15">
        <v>1.35</v>
      </c>
      <c r="Z238" s="15">
        <v>12.85</v>
      </c>
      <c r="AA238" s="15"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82"/>
      <c r="AM238" s="142" t="s">
        <v>20</v>
      </c>
      <c r="AN238" s="135" t="str">
        <f>AO238</f>
        <v>D</v>
      </c>
      <c r="AO238" s="135" t="s">
        <v>21</v>
      </c>
      <c r="AP238" s="372">
        <v>45570</v>
      </c>
      <c r="AQ238" s="372">
        <v>45571</v>
      </c>
      <c r="AR238" s="372">
        <v>45572</v>
      </c>
      <c r="AS238" s="372">
        <v>45575</v>
      </c>
      <c r="AT238" s="24" t="s">
        <v>543</v>
      </c>
      <c r="AU238" s="183"/>
      <c r="AV238" s="142" t="s">
        <v>20</v>
      </c>
      <c r="AW238" s="15" t="s">
        <v>6</v>
      </c>
      <c r="AX238" s="297">
        <v>45648</v>
      </c>
      <c r="AY238" s="297">
        <v>45648</v>
      </c>
      <c r="AZ238" s="187" t="s">
        <v>543</v>
      </c>
      <c r="BA238" s="188"/>
      <c r="BB238" s="142" t="s">
        <v>20</v>
      </c>
      <c r="BC238" s="135"/>
      <c r="BD238" s="135" t="s">
        <v>21</v>
      </c>
      <c r="BE238" s="298">
        <f>BF238-1</f>
        <v>45702</v>
      </c>
      <c r="BF238" s="298">
        <v>45703</v>
      </c>
      <c r="BG238" s="15" t="s">
        <v>510</v>
      </c>
      <c r="BH238" s="182"/>
      <c r="BI238" s="142" t="s">
        <v>20</v>
      </c>
      <c r="BJ238" s="135">
        <v>45740</v>
      </c>
      <c r="BK238" s="135">
        <f>BJ238</f>
        <v>45740</v>
      </c>
      <c r="BL238" s="25">
        <v>1001</v>
      </c>
      <c r="BM238" s="190" t="s">
        <v>545</v>
      </c>
    </row>
    <row r="239" spans="1:65" ht="14.25" hidden="1" customHeight="1">
      <c r="A239" s="24"/>
      <c r="B239" s="19"/>
      <c r="C239" s="184"/>
      <c r="D239" s="134"/>
      <c r="E239" s="134"/>
      <c r="F239" s="134"/>
      <c r="G239" s="134"/>
      <c r="H239" s="185"/>
      <c r="I239" s="19"/>
      <c r="J239" s="19"/>
      <c r="K239" s="186"/>
      <c r="L239" s="178"/>
      <c r="M239" s="15"/>
      <c r="N239" s="15"/>
      <c r="O239" s="15"/>
      <c r="P239" s="180">
        <f t="shared" si="36"/>
        <v>0</v>
      </c>
      <c r="Q239" s="178"/>
      <c r="R239" s="15"/>
      <c r="S239" s="180"/>
      <c r="T239" s="181"/>
      <c r="U239" s="181"/>
      <c r="V239" s="16">
        <v>306</v>
      </c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82"/>
      <c r="AM239" s="15"/>
      <c r="AN239" s="24"/>
      <c r="AO239" s="24"/>
      <c r="AP239" s="24"/>
      <c r="AQ239" s="24"/>
      <c r="AR239" s="24"/>
      <c r="AS239" s="24"/>
      <c r="AT239" s="24"/>
      <c r="AU239" s="183"/>
      <c r="AV239" s="15"/>
      <c r="AW239" s="24"/>
      <c r="AX239" s="297"/>
      <c r="AY239" s="297"/>
      <c r="AZ239" s="24"/>
      <c r="BA239" s="183"/>
      <c r="BB239" s="24"/>
      <c r="BC239" s="24"/>
      <c r="BD239" s="24"/>
      <c r="BE239" s="24"/>
      <c r="BF239" s="24"/>
      <c r="BG239" s="24"/>
      <c r="BH239" s="183"/>
      <c r="BI239" s="24"/>
      <c r="BJ239" s="24"/>
      <c r="BK239" s="24"/>
      <c r="BL239" s="24"/>
      <c r="BM239" s="24"/>
    </row>
    <row r="240" spans="1:65" ht="14.25" customHeight="1">
      <c r="A240" s="15">
        <v>116</v>
      </c>
      <c r="B240" s="19" t="s">
        <v>192</v>
      </c>
      <c r="C240" s="184" t="s">
        <v>37</v>
      </c>
      <c r="D240" s="134">
        <v>6.992</v>
      </c>
      <c r="E240" s="134">
        <f>D240*4</f>
        <v>27.968</v>
      </c>
      <c r="F240" s="134">
        <f>E240*8</f>
        <v>223.744</v>
      </c>
      <c r="G240" s="134"/>
      <c r="H240" s="185"/>
      <c r="I240" s="19"/>
      <c r="J240" s="19"/>
      <c r="K240" s="186"/>
      <c r="L240" s="178">
        <v>2.6070000000000002</v>
      </c>
      <c r="M240" s="15">
        <v>2.657</v>
      </c>
      <c r="N240" s="15">
        <v>2E-3</v>
      </c>
      <c r="O240" s="15">
        <v>0.21299999999999999</v>
      </c>
      <c r="P240" s="180">
        <f t="shared" si="36"/>
        <v>5.4790000000000001</v>
      </c>
      <c r="Q240" s="178">
        <v>0.24399999999999999</v>
      </c>
      <c r="R240" s="15">
        <v>5.0000000000000001E-3</v>
      </c>
      <c r="S240" s="180">
        <f>SUM(Q240:R240)</f>
        <v>0.249</v>
      </c>
      <c r="T240" s="181" t="s">
        <v>31</v>
      </c>
      <c r="U240" s="181" t="s">
        <v>540</v>
      </c>
      <c r="V240" s="15"/>
      <c r="W240" s="15" t="s">
        <v>541</v>
      </c>
      <c r="X240" s="15">
        <v>85.44</v>
      </c>
      <c r="Y240" s="15">
        <v>1.51</v>
      </c>
      <c r="Z240" s="15">
        <v>11.15</v>
      </c>
      <c r="AA240" s="15"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82"/>
      <c r="AM240" s="142" t="s">
        <v>20</v>
      </c>
      <c r="AN240" s="135" t="str">
        <f>AO240</f>
        <v>D</v>
      </c>
      <c r="AO240" s="135" t="s">
        <v>21</v>
      </c>
      <c r="AP240" s="372">
        <v>45557</v>
      </c>
      <c r="AQ240" s="372">
        <v>45558</v>
      </c>
      <c r="AR240" s="372">
        <v>45561</v>
      </c>
      <c r="AS240" s="372">
        <v>45566</v>
      </c>
      <c r="AT240" s="24" t="s">
        <v>543</v>
      </c>
      <c r="AU240" s="183"/>
      <c r="AV240" s="142" t="s">
        <v>20</v>
      </c>
      <c r="AW240" s="15" t="s">
        <v>6</v>
      </c>
      <c r="AX240" s="297">
        <v>45648</v>
      </c>
      <c r="AY240" s="297">
        <v>45648</v>
      </c>
      <c r="AZ240" s="187" t="s">
        <v>543</v>
      </c>
      <c r="BA240" s="188"/>
      <c r="BB240" s="142" t="s">
        <v>20</v>
      </c>
      <c r="BC240" s="135"/>
      <c r="BD240" s="135" t="s">
        <v>21</v>
      </c>
      <c r="BE240" s="298">
        <f>BF240-2</f>
        <v>45702</v>
      </c>
      <c r="BF240" s="298">
        <v>45704</v>
      </c>
      <c r="BG240" s="15" t="s">
        <v>510</v>
      </c>
      <c r="BH240" s="182"/>
      <c r="BI240" s="142" t="s">
        <v>20</v>
      </c>
      <c r="BJ240" s="135">
        <v>45741</v>
      </c>
      <c r="BK240" s="135">
        <f>BJ240</f>
        <v>45741</v>
      </c>
      <c r="BL240" s="25">
        <v>1330</v>
      </c>
      <c r="BM240" s="24" t="s">
        <v>545</v>
      </c>
    </row>
    <row r="241" spans="1:65" ht="14.25" hidden="1" customHeight="1">
      <c r="A241" s="24"/>
      <c r="B241" s="19"/>
      <c r="C241" s="184"/>
      <c r="D241" s="134"/>
      <c r="E241" s="134"/>
      <c r="F241" s="134"/>
      <c r="G241" s="134"/>
      <c r="H241" s="185"/>
      <c r="I241" s="19"/>
      <c r="J241" s="19"/>
      <c r="K241" s="186"/>
      <c r="L241" s="178"/>
      <c r="M241" s="15"/>
      <c r="N241" s="15"/>
      <c r="O241" s="15"/>
      <c r="P241" s="180">
        <f t="shared" si="36"/>
        <v>0</v>
      </c>
      <c r="Q241" s="178"/>
      <c r="R241" s="15"/>
      <c r="S241" s="180"/>
      <c r="T241" s="181"/>
      <c r="U241" s="181"/>
      <c r="V241" s="16">
        <v>336</v>
      </c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82"/>
      <c r="AM241" s="15"/>
      <c r="AN241" s="24"/>
      <c r="AO241" s="24"/>
      <c r="AP241" s="24"/>
      <c r="AQ241" s="24"/>
      <c r="AR241" s="24"/>
      <c r="AS241" s="24"/>
      <c r="AT241" s="24"/>
      <c r="AU241" s="183"/>
      <c r="AV241" s="15"/>
      <c r="AW241" s="24"/>
      <c r="AX241" s="297"/>
      <c r="AY241" s="297"/>
      <c r="AZ241" s="24"/>
      <c r="BA241" s="183"/>
      <c r="BB241" s="24"/>
      <c r="BC241" s="24"/>
      <c r="BD241" s="24"/>
      <c r="BE241" s="24"/>
      <c r="BF241" s="24"/>
      <c r="BG241" s="24"/>
      <c r="BH241" s="183"/>
      <c r="BI241" s="24"/>
      <c r="BJ241" s="24"/>
      <c r="BK241" s="24"/>
      <c r="BL241" s="24"/>
      <c r="BM241" s="24"/>
    </row>
    <row r="242" spans="1:65" ht="14.25" customHeight="1">
      <c r="A242" s="15">
        <v>117</v>
      </c>
      <c r="B242" s="19" t="s">
        <v>193</v>
      </c>
      <c r="C242" s="184" t="s">
        <v>37</v>
      </c>
      <c r="D242" s="134">
        <v>6.992</v>
      </c>
      <c r="E242" s="134">
        <f>D242*4</f>
        <v>27.968</v>
      </c>
      <c r="F242" s="134">
        <f>E242*8</f>
        <v>223.744</v>
      </c>
      <c r="G242" s="134"/>
      <c r="H242" s="185"/>
      <c r="I242" s="19"/>
      <c r="J242" s="19"/>
      <c r="K242" s="186"/>
      <c r="L242" s="178">
        <v>2.6070000000000002</v>
      </c>
      <c r="M242" s="15">
        <v>2.657</v>
      </c>
      <c r="N242" s="15">
        <v>2E-3</v>
      </c>
      <c r="O242" s="15">
        <v>0.21299999999999999</v>
      </c>
      <c r="P242" s="180">
        <f t="shared" si="36"/>
        <v>5.4790000000000001</v>
      </c>
      <c r="Q242" s="178">
        <v>0.24399999999999999</v>
      </c>
      <c r="R242" s="15">
        <v>5.0000000000000001E-3</v>
      </c>
      <c r="S242" s="180">
        <f>SUM(Q242:R242)</f>
        <v>0.249</v>
      </c>
      <c r="T242" s="181" t="s">
        <v>31</v>
      </c>
      <c r="U242" s="181" t="s">
        <v>540</v>
      </c>
      <c r="V242" s="15"/>
      <c r="W242" s="15" t="s">
        <v>592</v>
      </c>
      <c r="X242" s="16">
        <v>143.36000000000001</v>
      </c>
      <c r="Y242" s="16">
        <v>1.68</v>
      </c>
      <c r="Z242" s="16">
        <v>11.97</v>
      </c>
      <c r="AA242" s="16">
        <f>Y242+Z242</f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82"/>
      <c r="AM242" s="142" t="s">
        <v>20</v>
      </c>
      <c r="AN242" s="135" t="str">
        <f>AO242</f>
        <v>D</v>
      </c>
      <c r="AO242" s="135" t="s">
        <v>21</v>
      </c>
      <c r="AP242" s="372">
        <v>45557</v>
      </c>
      <c r="AQ242" s="372">
        <v>45575</v>
      </c>
      <c r="AR242" s="372">
        <v>45576</v>
      </c>
      <c r="AS242" s="372">
        <v>45592</v>
      </c>
      <c r="AT242" s="24" t="s">
        <v>591</v>
      </c>
      <c r="AU242" s="183"/>
      <c r="AV242" s="142" t="s">
        <v>20</v>
      </c>
      <c r="AW242" s="15" t="s">
        <v>548</v>
      </c>
      <c r="AX242" s="297">
        <v>45648</v>
      </c>
      <c r="AY242" s="297">
        <v>45648</v>
      </c>
      <c r="AZ242" s="187" t="s">
        <v>543</v>
      </c>
      <c r="BA242" s="188"/>
      <c r="BB242" s="142" t="s">
        <v>20</v>
      </c>
      <c r="BC242" s="135"/>
      <c r="BD242" s="135" t="s">
        <v>21</v>
      </c>
      <c r="BE242" s="298">
        <f>BF242-2</f>
        <v>45710</v>
      </c>
      <c r="BF242" s="298">
        <v>45712</v>
      </c>
      <c r="BG242" s="15" t="s">
        <v>510</v>
      </c>
      <c r="BH242" s="182"/>
      <c r="BI242" s="142" t="s">
        <v>20</v>
      </c>
      <c r="BJ242" s="135">
        <v>45741</v>
      </c>
      <c r="BK242" s="135">
        <f>BJ242</f>
        <v>45741</v>
      </c>
      <c r="BL242" s="25">
        <v>1330</v>
      </c>
      <c r="BM242" s="24" t="s">
        <v>545</v>
      </c>
    </row>
    <row r="243" spans="1:65" ht="14.25" hidden="1" customHeight="1">
      <c r="A243" s="24"/>
      <c r="B243" s="19"/>
      <c r="C243" s="184"/>
      <c r="D243" s="134"/>
      <c r="E243" s="134"/>
      <c r="F243" s="134"/>
      <c r="G243" s="134"/>
      <c r="H243" s="185"/>
      <c r="I243" s="19"/>
      <c r="J243" s="19"/>
      <c r="K243" s="186"/>
      <c r="L243" s="178"/>
      <c r="M243" s="15"/>
      <c r="N243" s="15"/>
      <c r="O243" s="15"/>
      <c r="P243" s="180">
        <f t="shared" si="36"/>
        <v>0</v>
      </c>
      <c r="Q243" s="178"/>
      <c r="R243" s="15"/>
      <c r="S243" s="180"/>
      <c r="T243" s="181"/>
      <c r="U243" s="181"/>
      <c r="V243" s="16">
        <v>337</v>
      </c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82"/>
      <c r="AM243" s="15"/>
      <c r="AN243" s="24"/>
      <c r="AO243" s="24"/>
      <c r="AP243" s="24"/>
      <c r="AQ243" s="24"/>
      <c r="AR243" s="24"/>
      <c r="AS243" s="24"/>
      <c r="AT243" s="24"/>
      <c r="AU243" s="183"/>
      <c r="AV243" s="15"/>
      <c r="AW243" s="24"/>
      <c r="AX243" s="297"/>
      <c r="AY243" s="297"/>
      <c r="AZ243" s="24"/>
      <c r="BA243" s="183"/>
      <c r="BB243" s="24"/>
      <c r="BC243" s="24"/>
      <c r="BD243" s="24"/>
      <c r="BE243" s="17"/>
      <c r="BF243" s="24"/>
      <c r="BG243" s="24"/>
      <c r="BH243" s="183"/>
      <c r="BI243" s="24"/>
      <c r="BJ243" s="24"/>
      <c r="BK243" s="24"/>
      <c r="BL243" s="24"/>
      <c r="BM243" s="24"/>
    </row>
    <row r="244" spans="1:65" ht="14.25" customHeight="1">
      <c r="A244" s="15">
        <v>118</v>
      </c>
      <c r="B244" s="19" t="s">
        <v>194</v>
      </c>
      <c r="C244" s="184" t="s">
        <v>37</v>
      </c>
      <c r="D244" s="134">
        <v>6.992</v>
      </c>
      <c r="E244" s="134">
        <f>D244*4</f>
        <v>27.968</v>
      </c>
      <c r="F244" s="134">
        <f>E244*8</f>
        <v>223.744</v>
      </c>
      <c r="G244" s="134"/>
      <c r="H244" s="185"/>
      <c r="I244" s="19"/>
      <c r="J244" s="19"/>
      <c r="K244" s="186"/>
      <c r="L244" s="178">
        <v>2.6070000000000002</v>
      </c>
      <c r="M244" s="15">
        <v>2.657</v>
      </c>
      <c r="N244" s="15">
        <v>2E-3</v>
      </c>
      <c r="O244" s="15">
        <v>0.21299999999999999</v>
      </c>
      <c r="P244" s="180">
        <f t="shared" si="36"/>
        <v>5.4790000000000001</v>
      </c>
      <c r="Q244" s="178">
        <v>0.24399999999999999</v>
      </c>
      <c r="R244" s="15">
        <v>5.0000000000000001E-3</v>
      </c>
      <c r="S244" s="180">
        <f>SUM(Q244:R244)</f>
        <v>0.249</v>
      </c>
      <c r="T244" s="181" t="s">
        <v>31</v>
      </c>
      <c r="U244" s="181" t="s">
        <v>540</v>
      </c>
      <c r="V244" s="15"/>
      <c r="W244" s="15" t="s">
        <v>541</v>
      </c>
      <c r="X244" s="15">
        <v>85.44</v>
      </c>
      <c r="Y244" s="15">
        <v>1.51</v>
      </c>
      <c r="Z244" s="15">
        <v>11.15</v>
      </c>
      <c r="AA244" s="15"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82"/>
      <c r="AM244" s="142" t="s">
        <v>20</v>
      </c>
      <c r="AN244" s="135" t="str">
        <f>AO244</f>
        <v>D</v>
      </c>
      <c r="AO244" s="135" t="s">
        <v>21</v>
      </c>
      <c r="AP244" s="372">
        <v>45572</v>
      </c>
      <c r="AQ244" s="372">
        <v>45574</v>
      </c>
      <c r="AR244" s="372">
        <v>45577</v>
      </c>
      <c r="AS244" s="372">
        <v>45581</v>
      </c>
      <c r="AT244" s="24" t="s">
        <v>543</v>
      </c>
      <c r="AU244" s="183"/>
      <c r="AV244" s="142" t="s">
        <v>20</v>
      </c>
      <c r="AW244" s="15" t="s">
        <v>6</v>
      </c>
      <c r="AX244" s="297">
        <v>45708</v>
      </c>
      <c r="AY244" s="297">
        <v>45708</v>
      </c>
      <c r="AZ244" s="24" t="s">
        <v>543</v>
      </c>
      <c r="BA244" s="183"/>
      <c r="BB244" s="142" t="s">
        <v>20</v>
      </c>
      <c r="BC244" s="135"/>
      <c r="BD244" s="135" t="s">
        <v>21</v>
      </c>
      <c r="BE244" s="298">
        <f>BF244-1</f>
        <v>45706</v>
      </c>
      <c r="BF244" s="298">
        <v>45707</v>
      </c>
      <c r="BG244" s="15" t="s">
        <v>510</v>
      </c>
      <c r="BH244" s="182"/>
      <c r="BI244" s="142" t="s">
        <v>20</v>
      </c>
      <c r="BJ244" s="135">
        <v>45741</v>
      </c>
      <c r="BK244" s="135">
        <f>BJ244</f>
        <v>45741</v>
      </c>
      <c r="BL244" s="25">
        <v>1330</v>
      </c>
      <c r="BM244" s="24" t="s">
        <v>593</v>
      </c>
    </row>
    <row r="245" spans="1:65" ht="14.25" hidden="1" customHeight="1">
      <c r="A245" s="24"/>
      <c r="B245" s="19"/>
      <c r="C245" s="184"/>
      <c r="D245" s="134"/>
      <c r="E245" s="134"/>
      <c r="F245" s="134"/>
      <c r="G245" s="134"/>
      <c r="H245" s="185"/>
      <c r="I245" s="19"/>
      <c r="J245" s="19"/>
      <c r="K245" s="186"/>
      <c r="L245" s="178"/>
      <c r="M245" s="15"/>
      <c r="N245" s="15"/>
      <c r="O245" s="15"/>
      <c r="P245" s="180">
        <f t="shared" si="36"/>
        <v>0</v>
      </c>
      <c r="Q245" s="178"/>
      <c r="R245" s="15"/>
      <c r="S245" s="180"/>
      <c r="T245" s="181"/>
      <c r="U245" s="181"/>
      <c r="V245" s="16">
        <v>328.65</v>
      </c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82"/>
      <c r="AM245" s="15"/>
      <c r="AN245" s="24"/>
      <c r="AO245" s="24"/>
      <c r="AP245" s="24"/>
      <c r="AQ245" s="24"/>
      <c r="AR245" s="24"/>
      <c r="AS245" s="24"/>
      <c r="AT245" s="24"/>
      <c r="AU245" s="183"/>
      <c r="AV245" s="15"/>
      <c r="AW245" s="24"/>
      <c r="AX245" s="297"/>
      <c r="AY245" s="297"/>
      <c r="AZ245" s="24"/>
      <c r="BA245" s="183"/>
      <c r="BB245" s="24"/>
      <c r="BC245" s="24"/>
      <c r="BD245" s="24"/>
      <c r="BE245" s="24"/>
      <c r="BF245" s="24"/>
      <c r="BG245" s="24"/>
      <c r="BH245" s="183"/>
      <c r="BI245" s="24"/>
      <c r="BJ245" s="24"/>
      <c r="BK245" s="24"/>
      <c r="BL245" s="24"/>
      <c r="BM245" s="24"/>
    </row>
    <row r="246" spans="1:65" ht="14.25" customHeight="1">
      <c r="A246" s="15">
        <v>119</v>
      </c>
      <c r="B246" s="19" t="s">
        <v>196</v>
      </c>
      <c r="C246" s="184" t="s">
        <v>46</v>
      </c>
      <c r="D246" s="134">
        <v>8.6259999999999994</v>
      </c>
      <c r="E246" s="134">
        <f>D246*4</f>
        <v>34.503999999999998</v>
      </c>
      <c r="F246" s="134">
        <f>E246*8</f>
        <v>276.03199999999998</v>
      </c>
      <c r="G246" s="134"/>
      <c r="H246" s="185"/>
      <c r="I246" s="19"/>
      <c r="J246" s="19"/>
      <c r="K246" s="186"/>
      <c r="L246" s="178">
        <v>4.5380000000000003</v>
      </c>
      <c r="M246" s="15">
        <v>3.23</v>
      </c>
      <c r="N246" s="15">
        <v>6.4000000000000003E-3</v>
      </c>
      <c r="O246" s="15">
        <v>0.42899999999999999</v>
      </c>
      <c r="P246" s="180">
        <f t="shared" si="36"/>
        <v>8.2034000000000002</v>
      </c>
      <c r="Q246" s="178">
        <v>0.436</v>
      </c>
      <c r="R246" s="15">
        <v>0.01</v>
      </c>
      <c r="S246" s="180">
        <f>SUM(Q246:R246)</f>
        <v>0.44600000000000001</v>
      </c>
      <c r="T246" s="181" t="s">
        <v>195</v>
      </c>
      <c r="U246" s="181" t="s">
        <v>540</v>
      </c>
      <c r="V246" s="15"/>
      <c r="W246" s="15" t="s">
        <v>541</v>
      </c>
      <c r="X246" s="15">
        <v>148.80000000000001</v>
      </c>
      <c r="Y246" s="15">
        <v>2.5099999999999998</v>
      </c>
      <c r="Z246" s="15">
        <v>19.47</v>
      </c>
      <c r="AA246" s="15"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82"/>
      <c r="AM246" s="142" t="s">
        <v>20</v>
      </c>
      <c r="AN246" s="135" t="str">
        <f>AO246</f>
        <v>D</v>
      </c>
      <c r="AO246" s="135" t="s">
        <v>21</v>
      </c>
      <c r="AP246" s="372">
        <v>45584</v>
      </c>
      <c r="AQ246" s="372">
        <v>45592</v>
      </c>
      <c r="AR246" s="372">
        <v>45594</v>
      </c>
      <c r="AS246" s="372">
        <v>45596</v>
      </c>
      <c r="AT246" s="19" t="s">
        <v>566</v>
      </c>
      <c r="AU246" s="199"/>
      <c r="AV246" s="142" t="s">
        <v>20</v>
      </c>
      <c r="AW246" s="15" t="s">
        <v>6</v>
      </c>
      <c r="AX246" s="297">
        <f>AY246</f>
        <v>45693</v>
      </c>
      <c r="AY246" s="297">
        <v>45693</v>
      </c>
      <c r="AZ246" s="187" t="s">
        <v>543</v>
      </c>
      <c r="BA246" s="188"/>
      <c r="BB246" s="142" t="s">
        <v>20</v>
      </c>
      <c r="BC246" s="135"/>
      <c r="BD246" s="135" t="s">
        <v>21</v>
      </c>
      <c r="BE246" s="298">
        <f>BF246-2</f>
        <v>45695</v>
      </c>
      <c r="BF246" s="298">
        <v>45697</v>
      </c>
      <c r="BG246" s="17" t="s">
        <v>594</v>
      </c>
      <c r="BH246" s="193"/>
      <c r="BI246" s="142" t="s">
        <v>20</v>
      </c>
      <c r="BJ246" s="135">
        <v>45776</v>
      </c>
      <c r="BK246" s="135">
        <v>45776</v>
      </c>
      <c r="BL246" s="25">
        <v>1433</v>
      </c>
      <c r="BM246" s="190" t="s">
        <v>593</v>
      </c>
    </row>
    <row r="247" spans="1:65" ht="14.25" hidden="1" customHeight="1">
      <c r="A247" s="24"/>
      <c r="B247" s="19"/>
      <c r="C247" s="184"/>
      <c r="D247" s="134"/>
      <c r="E247" s="134"/>
      <c r="F247" s="134"/>
      <c r="G247" s="134"/>
      <c r="H247" s="185"/>
      <c r="I247" s="19"/>
      <c r="J247" s="19"/>
      <c r="K247" s="186"/>
      <c r="L247" s="178"/>
      <c r="M247" s="15"/>
      <c r="N247" s="15"/>
      <c r="O247" s="15"/>
      <c r="P247" s="180">
        <f t="shared" si="36"/>
        <v>0</v>
      </c>
      <c r="Q247" s="178"/>
      <c r="R247" s="15"/>
      <c r="S247" s="180"/>
      <c r="T247" s="181"/>
      <c r="U247" s="181"/>
      <c r="V247" s="16">
        <v>362</v>
      </c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82"/>
      <c r="AM247" s="15"/>
      <c r="AN247" s="24"/>
      <c r="AO247" s="24"/>
      <c r="AP247" s="24"/>
      <c r="AQ247" s="24"/>
      <c r="AR247" s="24"/>
      <c r="AS247" s="24"/>
      <c r="AT247" s="24"/>
      <c r="AU247" s="183"/>
      <c r="AV247" s="15"/>
      <c r="AW247" s="24"/>
      <c r="AX247" s="297"/>
      <c r="AY247" s="297"/>
      <c r="AZ247" s="24"/>
      <c r="BA247" s="183"/>
      <c r="BB247" s="24"/>
      <c r="BC247" s="24"/>
      <c r="BD247" s="24"/>
      <c r="BE247" s="24"/>
      <c r="BF247" s="24"/>
      <c r="BG247" s="24"/>
      <c r="BH247" s="183"/>
      <c r="BI247" s="24"/>
      <c r="BJ247" s="24"/>
      <c r="BK247" s="24"/>
      <c r="BL247" s="24"/>
      <c r="BM247" s="24"/>
    </row>
    <row r="248" spans="1:65" ht="14.25" customHeight="1">
      <c r="A248" s="15">
        <v>120</v>
      </c>
      <c r="B248" s="19" t="s">
        <v>197</v>
      </c>
      <c r="C248" s="184" t="s">
        <v>56</v>
      </c>
      <c r="D248" s="134">
        <v>7.6219999999999999</v>
      </c>
      <c r="E248" s="134">
        <f>D248*4</f>
        <v>30.488</v>
      </c>
      <c r="F248" s="134">
        <f>E248*8</f>
        <v>243.904</v>
      </c>
      <c r="G248" s="134"/>
      <c r="H248" s="185"/>
      <c r="I248" s="19"/>
      <c r="J248" s="19"/>
      <c r="K248" s="186"/>
      <c r="L248" s="178">
        <v>2.6789999999999998</v>
      </c>
      <c r="M248" s="15">
        <v>3.133</v>
      </c>
      <c r="N248" s="15">
        <v>2.3E-3</v>
      </c>
      <c r="O248" s="15">
        <v>0.23299999999999998</v>
      </c>
      <c r="P248" s="180">
        <f t="shared" si="36"/>
        <v>6.047299999999999</v>
      </c>
      <c r="Q248" s="178">
        <v>0.24399999999999999</v>
      </c>
      <c r="R248" s="15">
        <v>5.0000000000000001E-3</v>
      </c>
      <c r="S248" s="180">
        <f>SUM(Q248:R248)</f>
        <v>0.249</v>
      </c>
      <c r="T248" s="181" t="s">
        <v>31</v>
      </c>
      <c r="U248" s="181" t="s">
        <v>540</v>
      </c>
      <c r="V248" s="15"/>
      <c r="W248" s="15" t="s">
        <v>504</v>
      </c>
      <c r="X248" s="15">
        <v>41.44</v>
      </c>
      <c r="Y248" s="15">
        <v>0.8</v>
      </c>
      <c r="Z248" s="15">
        <v>7.8</v>
      </c>
      <c r="AA248" s="15"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82"/>
      <c r="AM248" s="142" t="s">
        <v>20</v>
      </c>
      <c r="AN248" s="135" t="str">
        <f>AO248</f>
        <v>D</v>
      </c>
      <c r="AO248" s="135" t="s">
        <v>21</v>
      </c>
      <c r="AP248" s="372">
        <v>45576</v>
      </c>
      <c r="AQ248" s="372">
        <v>45584</v>
      </c>
      <c r="AR248" s="372">
        <v>45588</v>
      </c>
      <c r="AS248" s="372">
        <v>45589</v>
      </c>
      <c r="AT248" s="19" t="s">
        <v>566</v>
      </c>
      <c r="AU248" s="199"/>
      <c r="AV248" s="142" t="s">
        <v>20</v>
      </c>
      <c r="AW248" s="15" t="s">
        <v>6</v>
      </c>
      <c r="AX248" s="297">
        <f>AY248</f>
        <v>45693</v>
      </c>
      <c r="AY248" s="297">
        <v>45693</v>
      </c>
      <c r="AZ248" s="187" t="s">
        <v>543</v>
      </c>
      <c r="BA248" s="188"/>
      <c r="BB248" s="142" t="s">
        <v>20</v>
      </c>
      <c r="BC248" s="135"/>
      <c r="BD248" s="135" t="s">
        <v>21</v>
      </c>
      <c r="BE248" s="298">
        <f>BF248-2</f>
        <v>45706</v>
      </c>
      <c r="BF248" s="298">
        <v>45708</v>
      </c>
      <c r="BG248" s="15" t="s">
        <v>510</v>
      </c>
      <c r="BH248" s="194"/>
      <c r="BI248" s="142" t="s">
        <v>20</v>
      </c>
      <c r="BJ248" s="135">
        <v>45776</v>
      </c>
      <c r="BK248" s="135">
        <v>45776</v>
      </c>
      <c r="BL248" s="25">
        <v>1545</v>
      </c>
      <c r="BM248" s="24" t="s">
        <v>593</v>
      </c>
    </row>
    <row r="249" spans="1:65" ht="14.25" hidden="1" customHeight="1">
      <c r="A249" s="24"/>
      <c r="B249" s="19"/>
      <c r="C249" s="184"/>
      <c r="D249" s="134"/>
      <c r="E249" s="134"/>
      <c r="F249" s="134"/>
      <c r="G249" s="134"/>
      <c r="H249" s="185"/>
      <c r="I249" s="19"/>
      <c r="J249" s="19"/>
      <c r="K249" s="186"/>
      <c r="L249" s="178"/>
      <c r="M249" s="15"/>
      <c r="N249" s="15"/>
      <c r="O249" s="15"/>
      <c r="P249" s="180">
        <f t="shared" si="36"/>
        <v>0</v>
      </c>
      <c r="Q249" s="178"/>
      <c r="R249" s="15"/>
      <c r="S249" s="180"/>
      <c r="T249" s="181"/>
      <c r="U249" s="181"/>
      <c r="V249" s="16">
        <v>364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82"/>
      <c r="AM249" s="15"/>
      <c r="AN249" s="24"/>
      <c r="AO249" s="24"/>
      <c r="AP249" s="24"/>
      <c r="AQ249" s="24"/>
      <c r="AR249" s="24"/>
      <c r="AS249" s="24"/>
      <c r="AT249" s="24"/>
      <c r="AU249" s="183"/>
      <c r="AV249" s="15"/>
      <c r="AW249" s="24"/>
      <c r="AX249" s="297"/>
      <c r="AY249" s="297"/>
      <c r="AZ249" s="24"/>
      <c r="BA249" s="183"/>
      <c r="BB249" s="24"/>
      <c r="BC249" s="24"/>
      <c r="BD249" s="24"/>
      <c r="BE249" s="24"/>
      <c r="BF249" s="24"/>
      <c r="BG249" s="24"/>
      <c r="BH249" s="183"/>
      <c r="BI249" s="24"/>
      <c r="BJ249" s="24"/>
      <c r="BK249" s="24"/>
      <c r="BL249" s="24"/>
      <c r="BM249" s="24"/>
    </row>
    <row r="250" spans="1:65" ht="14.25" customHeight="1">
      <c r="A250" s="15">
        <v>121</v>
      </c>
      <c r="B250" s="19" t="s">
        <v>198</v>
      </c>
      <c r="C250" s="184" t="s">
        <v>37</v>
      </c>
      <c r="D250" s="134">
        <v>6.992</v>
      </c>
      <c r="E250" s="134">
        <f>D250*4</f>
        <v>27.968</v>
      </c>
      <c r="F250" s="134">
        <f>E250*8</f>
        <v>223.744</v>
      </c>
      <c r="G250" s="134"/>
      <c r="H250" s="185"/>
      <c r="I250" s="19"/>
      <c r="J250" s="19"/>
      <c r="K250" s="186"/>
      <c r="L250" s="178">
        <v>2.6070000000000002</v>
      </c>
      <c r="M250" s="15">
        <v>2.657</v>
      </c>
      <c r="N250" s="15">
        <v>2E-3</v>
      </c>
      <c r="O250" s="15">
        <v>0.21299999999999999</v>
      </c>
      <c r="P250" s="180">
        <f t="shared" si="36"/>
        <v>5.4790000000000001</v>
      </c>
      <c r="Q250" s="178">
        <v>0.24399999999999999</v>
      </c>
      <c r="R250" s="15">
        <v>5.0000000000000001E-3</v>
      </c>
      <c r="S250" s="180">
        <f>SUM(Q250:R250)</f>
        <v>0.249</v>
      </c>
      <c r="T250" s="181" t="s">
        <v>31</v>
      </c>
      <c r="U250" s="181" t="s">
        <v>540</v>
      </c>
      <c r="V250" s="15"/>
      <c r="W250" s="15" t="s">
        <v>504</v>
      </c>
      <c r="X250" s="15">
        <v>41.44</v>
      </c>
      <c r="Y250" s="15">
        <v>0.8</v>
      </c>
      <c r="Z250" s="15">
        <v>7.8</v>
      </c>
      <c r="AA250" s="15"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82"/>
      <c r="AM250" s="142" t="s">
        <v>20</v>
      </c>
      <c r="AN250" s="135" t="str">
        <f>AO250</f>
        <v>D</v>
      </c>
      <c r="AO250" s="135" t="s">
        <v>21</v>
      </c>
      <c r="AP250" s="372">
        <v>45572</v>
      </c>
      <c r="AQ250" s="372">
        <v>45573</v>
      </c>
      <c r="AR250" s="372">
        <v>45575</v>
      </c>
      <c r="AS250" s="372">
        <v>45576</v>
      </c>
      <c r="AT250" s="19" t="s">
        <v>566</v>
      </c>
      <c r="AU250" s="199"/>
      <c r="AV250" s="142" t="s">
        <v>20</v>
      </c>
      <c r="AW250" s="15" t="s">
        <v>6</v>
      </c>
      <c r="AX250" s="297">
        <v>45657</v>
      </c>
      <c r="AY250" s="297">
        <v>45657</v>
      </c>
      <c r="AZ250" s="187" t="s">
        <v>543</v>
      </c>
      <c r="BA250" s="188"/>
      <c r="BB250" s="142" t="s">
        <v>20</v>
      </c>
      <c r="BC250" s="135"/>
      <c r="BD250" s="135" t="s">
        <v>21</v>
      </c>
      <c r="BE250" s="298">
        <f>BF250-2</f>
        <v>45689</v>
      </c>
      <c r="BF250" s="298">
        <v>45691</v>
      </c>
      <c r="BG250" s="17" t="s">
        <v>594</v>
      </c>
      <c r="BH250" s="192"/>
      <c r="BI250" s="142" t="s">
        <v>20</v>
      </c>
      <c r="BJ250" s="17">
        <v>45777</v>
      </c>
      <c r="BK250" s="17">
        <v>45777</v>
      </c>
      <c r="BL250" s="25">
        <v>1330</v>
      </c>
      <c r="BM250" s="24" t="s">
        <v>593</v>
      </c>
    </row>
    <row r="251" spans="1:65" ht="14.25" hidden="1" customHeight="1">
      <c r="A251" s="24"/>
      <c r="B251" s="19"/>
      <c r="C251" s="184"/>
      <c r="D251" s="134"/>
      <c r="E251" s="134"/>
      <c r="F251" s="134"/>
      <c r="G251" s="134"/>
      <c r="H251" s="185"/>
      <c r="I251" s="19"/>
      <c r="J251" s="19"/>
      <c r="K251" s="186"/>
      <c r="L251" s="178"/>
      <c r="M251" s="15"/>
      <c r="N251" s="15"/>
      <c r="O251" s="15"/>
      <c r="P251" s="180">
        <f t="shared" si="36"/>
        <v>0</v>
      </c>
      <c r="Q251" s="178"/>
      <c r="R251" s="15"/>
      <c r="S251" s="180"/>
      <c r="T251" s="181"/>
      <c r="U251" s="181"/>
      <c r="V251" s="16">
        <v>388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82"/>
      <c r="AM251" s="15"/>
      <c r="AN251" s="24"/>
      <c r="AO251" s="24"/>
      <c r="AP251" s="24"/>
      <c r="AQ251" s="24"/>
      <c r="AR251" s="24"/>
      <c r="AS251" s="24"/>
      <c r="AT251" s="24"/>
      <c r="AU251" s="183"/>
      <c r="AV251" s="15"/>
      <c r="AW251" s="24"/>
      <c r="AX251" s="297"/>
      <c r="AY251" s="297"/>
      <c r="AZ251" s="24"/>
      <c r="BA251" s="183"/>
      <c r="BB251" s="24"/>
      <c r="BC251" s="24"/>
      <c r="BD251" s="24"/>
      <c r="BE251" s="24"/>
      <c r="BF251" s="24"/>
      <c r="BG251" s="24"/>
      <c r="BH251" s="183"/>
      <c r="BI251" s="24"/>
      <c r="BJ251" s="24"/>
      <c r="BK251" s="24"/>
      <c r="BL251" s="24"/>
      <c r="BM251" s="24"/>
    </row>
    <row r="252" spans="1:65" ht="14.25" customHeight="1">
      <c r="A252" s="15">
        <v>122</v>
      </c>
      <c r="B252" s="19" t="s">
        <v>199</v>
      </c>
      <c r="C252" s="184" t="s">
        <v>56</v>
      </c>
      <c r="D252" s="134">
        <v>7.6219999999999999</v>
      </c>
      <c r="E252" s="134">
        <f>D252*4</f>
        <v>30.488</v>
      </c>
      <c r="F252" s="134">
        <f>E252*8</f>
        <v>243.904</v>
      </c>
      <c r="G252" s="134"/>
      <c r="H252" s="185"/>
      <c r="I252" s="19"/>
      <c r="J252" s="19"/>
      <c r="K252" s="186"/>
      <c r="L252" s="178">
        <v>2.6789999999999998</v>
      </c>
      <c r="M252" s="15">
        <v>3.133</v>
      </c>
      <c r="N252" s="15">
        <v>2.3E-3</v>
      </c>
      <c r="O252" s="15">
        <v>0.23299999999999998</v>
      </c>
      <c r="P252" s="180">
        <f t="shared" si="36"/>
        <v>6.047299999999999</v>
      </c>
      <c r="Q252" s="178">
        <v>0.24399999999999999</v>
      </c>
      <c r="R252" s="15">
        <v>5.0000000000000001E-3</v>
      </c>
      <c r="S252" s="180">
        <f>SUM(Q252:R252)</f>
        <v>0.249</v>
      </c>
      <c r="T252" s="181" t="s">
        <v>31</v>
      </c>
      <c r="U252" s="181" t="s">
        <v>540</v>
      </c>
      <c r="V252" s="15"/>
      <c r="W252" s="15" t="s">
        <v>592</v>
      </c>
      <c r="X252" s="16">
        <v>143.36000000000001</v>
      </c>
      <c r="Y252" s="16">
        <v>1.68</v>
      </c>
      <c r="Z252" s="16">
        <v>11.97</v>
      </c>
      <c r="AA252" s="16">
        <f>Y252+Z252</f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82"/>
      <c r="AM252" s="142" t="s">
        <v>20</v>
      </c>
      <c r="AN252" s="135" t="str">
        <f>AO252</f>
        <v>D</v>
      </c>
      <c r="AO252" s="135" t="s">
        <v>21</v>
      </c>
      <c r="AP252" s="372">
        <v>45595</v>
      </c>
      <c r="AQ252" s="372">
        <v>45566</v>
      </c>
      <c r="AR252" s="372">
        <v>45567</v>
      </c>
      <c r="AS252" s="372">
        <v>45571</v>
      </c>
      <c r="AT252" s="19" t="s">
        <v>566</v>
      </c>
      <c r="AU252" s="199"/>
      <c r="AV252" s="142" t="s">
        <v>20</v>
      </c>
      <c r="AW252" s="15" t="s">
        <v>548</v>
      </c>
      <c r="AX252" s="297">
        <v>45657</v>
      </c>
      <c r="AY252" s="297">
        <v>45657</v>
      </c>
      <c r="AZ252" s="187" t="s">
        <v>543</v>
      </c>
      <c r="BA252" s="188"/>
      <c r="BB252" s="142" t="s">
        <v>20</v>
      </c>
      <c r="BC252" s="135"/>
      <c r="BD252" s="135" t="s">
        <v>21</v>
      </c>
      <c r="BE252" s="298">
        <f>BF252-2</f>
        <v>45686</v>
      </c>
      <c r="BF252" s="298">
        <v>45688</v>
      </c>
      <c r="BG252" s="17" t="s">
        <v>594</v>
      </c>
      <c r="BH252" s="192"/>
      <c r="BI252" s="142" t="s">
        <v>20</v>
      </c>
      <c r="BJ252" s="17">
        <v>45777</v>
      </c>
      <c r="BK252" s="17">
        <v>45777</v>
      </c>
      <c r="BL252" s="25">
        <v>1545</v>
      </c>
      <c r="BM252" s="24" t="s">
        <v>593</v>
      </c>
    </row>
    <row r="253" spans="1:65" ht="14.25" hidden="1" customHeight="1">
      <c r="A253" s="24"/>
      <c r="B253" s="19"/>
      <c r="C253" s="184"/>
      <c r="D253" s="134"/>
      <c r="E253" s="134"/>
      <c r="F253" s="134"/>
      <c r="G253" s="134"/>
      <c r="H253" s="185"/>
      <c r="I253" s="19"/>
      <c r="J253" s="19"/>
      <c r="K253" s="186"/>
      <c r="L253" s="178"/>
      <c r="M253" s="15"/>
      <c r="N253" s="15"/>
      <c r="O253" s="15"/>
      <c r="P253" s="180">
        <f t="shared" si="36"/>
        <v>0</v>
      </c>
      <c r="Q253" s="178"/>
      <c r="R253" s="15"/>
      <c r="S253" s="180"/>
      <c r="T253" s="181"/>
      <c r="U253" s="181"/>
      <c r="V253" s="16">
        <v>321.97000000000003</v>
      </c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82"/>
      <c r="AM253" s="15"/>
      <c r="AN253" s="24"/>
      <c r="AO253" s="24"/>
      <c r="AP253" s="24"/>
      <c r="AQ253" s="24"/>
      <c r="AR253" s="24"/>
      <c r="AS253" s="24"/>
      <c r="AT253" s="24"/>
      <c r="AU253" s="183"/>
      <c r="AV253" s="15"/>
      <c r="AW253" s="24"/>
      <c r="AX253" s="297"/>
      <c r="AY253" s="297"/>
      <c r="AZ253" s="24"/>
      <c r="BA253" s="183"/>
      <c r="BB253" s="24"/>
      <c r="BC253" s="24"/>
      <c r="BD253" s="24"/>
      <c r="BE253" s="24"/>
      <c r="BF253" s="24"/>
      <c r="BG253" s="24"/>
      <c r="BH253" s="183"/>
      <c r="BI253" s="24"/>
      <c r="BJ253" s="24"/>
      <c r="BK253" s="24"/>
      <c r="BL253" s="24"/>
      <c r="BM253" s="24"/>
    </row>
    <row r="254" spans="1:65" ht="14.25" customHeight="1">
      <c r="A254" s="15">
        <v>123</v>
      </c>
      <c r="B254" s="19" t="s">
        <v>201</v>
      </c>
      <c r="C254" s="184" t="s">
        <v>39</v>
      </c>
      <c r="D254" s="134">
        <v>7.7080000000000002</v>
      </c>
      <c r="E254" s="134">
        <f>D254*4</f>
        <v>30.832000000000001</v>
      </c>
      <c r="F254" s="134">
        <f>E254*8</f>
        <v>246.65600000000001</v>
      </c>
      <c r="G254" s="134"/>
      <c r="H254" s="185"/>
      <c r="I254" s="19"/>
      <c r="J254" s="19"/>
      <c r="K254" s="186"/>
      <c r="L254" s="178">
        <v>4.0570000000000004</v>
      </c>
      <c r="M254" s="15">
        <v>2.48</v>
      </c>
      <c r="N254" s="15">
        <v>6.0000000000000001E-3</v>
      </c>
      <c r="O254" s="15">
        <v>0.36499999999999999</v>
      </c>
      <c r="P254" s="180">
        <f t="shared" si="36"/>
        <v>6.9080000000000013</v>
      </c>
      <c r="Q254" s="178">
        <v>0.436</v>
      </c>
      <c r="R254" s="15">
        <v>0.01</v>
      </c>
      <c r="S254" s="180">
        <f>SUM(Q254:R254)</f>
        <v>0.44600000000000001</v>
      </c>
      <c r="T254" s="181" t="s">
        <v>200</v>
      </c>
      <c r="U254" s="181" t="s">
        <v>540</v>
      </c>
      <c r="V254" s="15"/>
      <c r="W254" s="15" t="s">
        <v>504</v>
      </c>
      <c r="X254" s="15">
        <v>75.36</v>
      </c>
      <c r="Y254" s="15">
        <v>1.35</v>
      </c>
      <c r="Z254" s="15">
        <v>12.85</v>
      </c>
      <c r="AA254" s="15"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82"/>
      <c r="AM254" s="142" t="s">
        <v>20</v>
      </c>
      <c r="AN254" s="135" t="str">
        <f>AO254</f>
        <v>D</v>
      </c>
      <c r="AO254" s="135" t="s">
        <v>21</v>
      </c>
      <c r="AP254" s="372">
        <v>45577</v>
      </c>
      <c r="AQ254" s="372">
        <v>45579</v>
      </c>
      <c r="AR254" s="372">
        <v>45583</v>
      </c>
      <c r="AS254" s="372">
        <v>45586</v>
      </c>
      <c r="AT254" s="19" t="s">
        <v>566</v>
      </c>
      <c r="AU254" s="199"/>
      <c r="AV254" s="142" t="s">
        <v>20</v>
      </c>
      <c r="AW254" s="15" t="s">
        <v>6</v>
      </c>
      <c r="AX254" s="297">
        <v>45657</v>
      </c>
      <c r="AY254" s="297">
        <v>45657</v>
      </c>
      <c r="AZ254" s="187" t="s">
        <v>543</v>
      </c>
      <c r="BA254" s="188"/>
      <c r="BB254" s="142" t="s">
        <v>20</v>
      </c>
      <c r="BC254" s="135"/>
      <c r="BD254" s="135" t="s">
        <v>21</v>
      </c>
      <c r="BE254" s="298">
        <f>BF254-2</f>
        <v>45709</v>
      </c>
      <c r="BF254" s="298">
        <v>45711</v>
      </c>
      <c r="BG254" s="17" t="s">
        <v>510</v>
      </c>
      <c r="BH254" s="193"/>
      <c r="BI254" s="142" t="s">
        <v>20</v>
      </c>
      <c r="BJ254" s="135">
        <v>45742</v>
      </c>
      <c r="BK254" s="135">
        <v>45742</v>
      </c>
      <c r="BL254" s="25">
        <v>1001</v>
      </c>
      <c r="BM254" s="190" t="s">
        <v>593</v>
      </c>
    </row>
    <row r="255" spans="1:65" ht="14.25" hidden="1" customHeight="1">
      <c r="A255" s="24"/>
      <c r="B255" s="19"/>
      <c r="C255" s="184"/>
      <c r="D255" s="134"/>
      <c r="E255" s="134"/>
      <c r="F255" s="134"/>
      <c r="G255" s="134"/>
      <c r="H255" s="185"/>
      <c r="I255" s="19"/>
      <c r="J255" s="19"/>
      <c r="K255" s="186"/>
      <c r="L255" s="178"/>
      <c r="M255" s="15"/>
      <c r="N255" s="15"/>
      <c r="O255" s="15"/>
      <c r="P255" s="180">
        <f t="shared" si="36"/>
        <v>0</v>
      </c>
      <c r="Q255" s="178"/>
      <c r="R255" s="15"/>
      <c r="S255" s="180"/>
      <c r="T255" s="204"/>
      <c r="U255" s="204"/>
      <c r="V255" s="206">
        <v>365.48399999999998</v>
      </c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82"/>
      <c r="AM255" s="15"/>
      <c r="AN255" s="24"/>
      <c r="AO255" s="24"/>
      <c r="AP255" s="24"/>
      <c r="AQ255" s="24"/>
      <c r="AR255" s="24"/>
      <c r="AS255" s="24"/>
      <c r="AT255" s="24"/>
      <c r="AU255" s="183"/>
      <c r="AV255" s="15"/>
      <c r="AW255" s="24"/>
      <c r="AX255" s="297"/>
      <c r="AY255" s="297"/>
      <c r="AZ255" s="24"/>
      <c r="BA255" s="183"/>
      <c r="BB255" s="24"/>
      <c r="BC255" s="24"/>
      <c r="BD255" s="24"/>
      <c r="BE255" s="24"/>
      <c r="BF255" s="24"/>
      <c r="BG255" s="24"/>
      <c r="BH255" s="183"/>
      <c r="BI255" s="24"/>
      <c r="BJ255" s="24"/>
      <c r="BK255" s="24"/>
      <c r="BL255" s="24"/>
      <c r="BM255" s="24"/>
    </row>
    <row r="256" spans="1:65" ht="14.25" customHeight="1">
      <c r="A256" s="15">
        <v>124</v>
      </c>
      <c r="B256" s="19" t="s">
        <v>202</v>
      </c>
      <c r="C256" s="184" t="s">
        <v>42</v>
      </c>
      <c r="D256" s="134">
        <v>6.3620000000000001</v>
      </c>
      <c r="E256" s="134">
        <f>D256*4</f>
        <v>25.448</v>
      </c>
      <c r="F256" s="134">
        <f>E256*8</f>
        <v>203.584</v>
      </c>
      <c r="G256" s="134"/>
      <c r="H256" s="185"/>
      <c r="I256" s="19"/>
      <c r="J256" s="19"/>
      <c r="K256" s="186"/>
      <c r="L256" s="178">
        <v>2.25</v>
      </c>
      <c r="M256" s="15">
        <v>2.1880000000000002</v>
      </c>
      <c r="N256" s="15">
        <v>2E-3</v>
      </c>
      <c r="O256" s="15">
        <v>0.183</v>
      </c>
      <c r="P256" s="180">
        <f t="shared" si="36"/>
        <v>4.6230000000000002</v>
      </c>
      <c r="Q256" s="178">
        <v>0.24399999999999999</v>
      </c>
      <c r="R256" s="15">
        <v>5.0000000000000001E-3</v>
      </c>
      <c r="S256" s="180">
        <f>SUM(Q256:R256)</f>
        <v>0.249</v>
      </c>
      <c r="T256" s="204"/>
      <c r="U256" s="181" t="s">
        <v>540</v>
      </c>
      <c r="V256" s="25"/>
      <c r="W256" s="15" t="s">
        <v>592</v>
      </c>
      <c r="X256" s="16">
        <v>143.36000000000001</v>
      </c>
      <c r="Y256" s="16">
        <v>1.68</v>
      </c>
      <c r="Z256" s="16">
        <v>11.97</v>
      </c>
      <c r="AA256" s="16">
        <f>Y256+Z256</f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82"/>
      <c r="AM256" s="142" t="s">
        <v>20</v>
      </c>
      <c r="AN256" s="135" t="str">
        <f>AO256</f>
        <v>D</v>
      </c>
      <c r="AO256" s="135" t="s">
        <v>21</v>
      </c>
      <c r="AP256" s="372">
        <v>45605</v>
      </c>
      <c r="AQ256" s="372">
        <f>AR256-4</f>
        <v>45618</v>
      </c>
      <c r="AR256" s="372">
        <f>AS256-3</f>
        <v>45622</v>
      </c>
      <c r="AS256" s="372">
        <v>45625</v>
      </c>
      <c r="AT256" s="187" t="s">
        <v>595</v>
      </c>
      <c r="AU256" s="188"/>
      <c r="AV256" s="142" t="s">
        <v>20</v>
      </c>
      <c r="AW256" s="15" t="s">
        <v>548</v>
      </c>
      <c r="AX256" s="297">
        <v>45657</v>
      </c>
      <c r="AY256" s="297">
        <v>45657</v>
      </c>
      <c r="AZ256" s="187" t="s">
        <v>543</v>
      </c>
      <c r="BA256" s="188"/>
      <c r="BB256" s="142" t="s">
        <v>20</v>
      </c>
      <c r="BC256" s="135"/>
      <c r="BD256" s="135" t="s">
        <v>21</v>
      </c>
      <c r="BE256" s="298">
        <v>45656</v>
      </c>
      <c r="BF256" s="298">
        <v>45657</v>
      </c>
      <c r="BG256" s="17" t="s">
        <v>510</v>
      </c>
      <c r="BH256" s="193"/>
      <c r="BI256" s="142" t="s">
        <v>20</v>
      </c>
      <c r="BJ256" s="135">
        <v>45742</v>
      </c>
      <c r="BK256" s="135">
        <v>45742</v>
      </c>
      <c r="BL256" s="25">
        <v>980</v>
      </c>
      <c r="BM256" s="24" t="s">
        <v>593</v>
      </c>
    </row>
    <row r="257" spans="1:65" ht="14.25" hidden="1" customHeight="1">
      <c r="A257" s="24"/>
      <c r="B257" s="19"/>
      <c r="C257" s="184"/>
      <c r="D257" s="134"/>
      <c r="E257" s="134"/>
      <c r="F257" s="134"/>
      <c r="G257" s="134"/>
      <c r="H257" s="185"/>
      <c r="I257" s="19"/>
      <c r="J257" s="19"/>
      <c r="K257" s="186"/>
      <c r="L257" s="178"/>
      <c r="M257" s="15"/>
      <c r="N257" s="15"/>
      <c r="O257" s="15"/>
      <c r="P257" s="180">
        <f t="shared" si="36"/>
        <v>0</v>
      </c>
      <c r="Q257" s="178"/>
      <c r="R257" s="15"/>
      <c r="S257" s="180"/>
      <c r="T257" s="204"/>
      <c r="U257" s="204"/>
      <c r="V257" s="25">
        <v>373.96600000000001</v>
      </c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82"/>
      <c r="AM257" s="15"/>
      <c r="AN257" s="24"/>
      <c r="AO257" s="24"/>
      <c r="AP257" s="24"/>
      <c r="AQ257" s="24"/>
      <c r="AR257" s="24"/>
      <c r="AS257" s="24"/>
      <c r="AT257" s="24"/>
      <c r="AU257" s="183"/>
      <c r="AV257" s="15"/>
      <c r="AW257" s="24"/>
      <c r="AX257" s="297"/>
      <c r="AY257" s="297"/>
      <c r="AZ257" s="24"/>
      <c r="BA257" s="183"/>
      <c r="BB257" s="24"/>
      <c r="BC257" s="24"/>
      <c r="BD257" s="24"/>
      <c r="BE257" s="24"/>
      <c r="BF257" s="24"/>
      <c r="BG257" s="24"/>
      <c r="BH257" s="183"/>
      <c r="BI257" s="24"/>
      <c r="BJ257" s="24"/>
      <c r="BK257" s="24"/>
      <c r="BL257" s="24"/>
      <c r="BM257" s="24"/>
    </row>
    <row r="258" spans="1:65" ht="14.25" customHeight="1">
      <c r="A258" s="15">
        <v>125</v>
      </c>
      <c r="B258" s="19" t="s">
        <v>203</v>
      </c>
      <c r="C258" s="184" t="s">
        <v>37</v>
      </c>
      <c r="D258" s="134">
        <v>6.992</v>
      </c>
      <c r="E258" s="134">
        <f>D258*4</f>
        <v>27.968</v>
      </c>
      <c r="F258" s="134">
        <f>E258*8</f>
        <v>223.744</v>
      </c>
      <c r="G258" s="134"/>
      <c r="H258" s="185"/>
      <c r="I258" s="19"/>
      <c r="J258" s="19"/>
      <c r="K258" s="186"/>
      <c r="L258" s="178">
        <v>2.6070000000000002</v>
      </c>
      <c r="M258" s="15">
        <v>2.657</v>
      </c>
      <c r="N258" s="15">
        <v>2E-3</v>
      </c>
      <c r="O258" s="15">
        <v>0.21299999999999999</v>
      </c>
      <c r="P258" s="180">
        <f t="shared" si="36"/>
        <v>5.4790000000000001</v>
      </c>
      <c r="Q258" s="178">
        <v>0.24399999999999999</v>
      </c>
      <c r="R258" s="15">
        <v>5.0000000000000001E-3</v>
      </c>
      <c r="S258" s="180">
        <f>SUM(Q258:R258)</f>
        <v>0.249</v>
      </c>
      <c r="T258" s="204"/>
      <c r="U258" s="181" t="s">
        <v>540</v>
      </c>
      <c r="V258" s="25"/>
      <c r="W258" s="15" t="s">
        <v>506</v>
      </c>
      <c r="X258" s="15">
        <v>145.16</v>
      </c>
      <c r="Y258" s="15">
        <v>2.4500000000000002</v>
      </c>
      <c r="Z258" s="15">
        <v>15.71</v>
      </c>
      <c r="AA258" s="15"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82"/>
      <c r="AM258" s="142" t="s">
        <v>20</v>
      </c>
      <c r="AN258" s="135" t="str">
        <f>AO258</f>
        <v>D</v>
      </c>
      <c r="AO258" s="135" t="s">
        <v>21</v>
      </c>
      <c r="AP258" s="372">
        <v>45605</v>
      </c>
      <c r="AQ258" s="372">
        <f t="shared" ref="AQ258:AR258" si="70">AR258-3</f>
        <v>45628</v>
      </c>
      <c r="AR258" s="372">
        <f t="shared" si="70"/>
        <v>45631</v>
      </c>
      <c r="AS258" s="372">
        <v>45634</v>
      </c>
      <c r="AT258" s="187" t="s">
        <v>595</v>
      </c>
      <c r="AU258" s="188"/>
      <c r="AV258" s="142" t="s">
        <v>20</v>
      </c>
      <c r="AW258" s="15" t="s">
        <v>6</v>
      </c>
      <c r="AX258" s="297">
        <v>45635</v>
      </c>
      <c r="AY258" s="297">
        <v>45635</v>
      </c>
      <c r="AZ258" s="19" t="s">
        <v>596</v>
      </c>
      <c r="BA258" s="199"/>
      <c r="BB258" s="142" t="s">
        <v>20</v>
      </c>
      <c r="BC258" s="135"/>
      <c r="BD258" s="135" t="s">
        <v>21</v>
      </c>
      <c r="BE258" s="298">
        <v>45653</v>
      </c>
      <c r="BF258" s="298">
        <v>45655</v>
      </c>
      <c r="BG258" s="17" t="s">
        <v>510</v>
      </c>
      <c r="BH258" s="193"/>
      <c r="BI258" s="142" t="s">
        <v>20</v>
      </c>
      <c r="BJ258" s="135">
        <f>BK258</f>
        <v>45743</v>
      </c>
      <c r="BK258" s="135">
        <v>45743</v>
      </c>
      <c r="BL258" s="25">
        <v>1330</v>
      </c>
      <c r="BM258" s="24" t="s">
        <v>593</v>
      </c>
    </row>
    <row r="259" spans="1:65" ht="14.25" hidden="1" customHeight="1">
      <c r="A259" s="24"/>
      <c r="B259" s="19"/>
      <c r="C259" s="184"/>
      <c r="D259" s="134"/>
      <c r="E259" s="134"/>
      <c r="F259" s="134"/>
      <c r="G259" s="134"/>
      <c r="H259" s="185"/>
      <c r="I259" s="19"/>
      <c r="J259" s="19"/>
      <c r="K259" s="186"/>
      <c r="L259" s="178"/>
      <c r="M259" s="15"/>
      <c r="N259" s="15"/>
      <c r="O259" s="15"/>
      <c r="P259" s="180">
        <f t="shared" si="36"/>
        <v>0</v>
      </c>
      <c r="Q259" s="178"/>
      <c r="R259" s="15"/>
      <c r="S259" s="180"/>
      <c r="T259" s="204"/>
      <c r="U259" s="204"/>
      <c r="V259" s="25">
        <v>356.05399999999997</v>
      </c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82"/>
      <c r="AM259" s="15"/>
      <c r="AN259" s="24"/>
      <c r="AO259" s="24"/>
      <c r="AP259" s="24"/>
      <c r="AQ259" s="24"/>
      <c r="AR259" s="24"/>
      <c r="AS259" s="24"/>
      <c r="AT259" s="24"/>
      <c r="AU259" s="183"/>
      <c r="AV259" s="15"/>
      <c r="AW259" s="24"/>
      <c r="AX259" s="297"/>
      <c r="AY259" s="297"/>
      <c r="AZ259" s="24"/>
      <c r="BA259" s="183"/>
      <c r="BB259" s="24"/>
      <c r="BC259" s="24"/>
      <c r="BD259" s="24"/>
      <c r="BE259" s="24"/>
      <c r="BF259" s="24"/>
      <c r="BG259" s="24"/>
      <c r="BH259" s="183"/>
      <c r="BI259" s="24"/>
      <c r="BJ259" s="24"/>
      <c r="BK259" s="24"/>
      <c r="BL259" s="24"/>
      <c r="BM259" s="19"/>
    </row>
    <row r="260" spans="1:65" ht="14.25" customHeight="1">
      <c r="A260" s="15">
        <v>126</v>
      </c>
      <c r="B260" s="19" t="s">
        <v>204</v>
      </c>
      <c r="C260" s="184" t="s">
        <v>42</v>
      </c>
      <c r="D260" s="134">
        <v>6.3620000000000001</v>
      </c>
      <c r="E260" s="134">
        <f>D260*4</f>
        <v>25.448</v>
      </c>
      <c r="F260" s="134">
        <f>E260*8</f>
        <v>203.584</v>
      </c>
      <c r="G260" s="134"/>
      <c r="H260" s="185"/>
      <c r="I260" s="19"/>
      <c r="J260" s="19"/>
      <c r="K260" s="186"/>
      <c r="L260" s="178">
        <v>2.25</v>
      </c>
      <c r="M260" s="15">
        <v>2.1880000000000002</v>
      </c>
      <c r="N260" s="15">
        <v>2E-3</v>
      </c>
      <c r="O260" s="15">
        <v>0.183</v>
      </c>
      <c r="P260" s="180">
        <f t="shared" si="36"/>
        <v>4.6230000000000002</v>
      </c>
      <c r="Q260" s="178">
        <v>0.24399999999999999</v>
      </c>
      <c r="R260" s="15">
        <v>5.0000000000000001E-3</v>
      </c>
      <c r="S260" s="180">
        <f>SUM(Q260:R260)</f>
        <v>0.249</v>
      </c>
      <c r="T260" s="204"/>
      <c r="U260" s="181" t="s">
        <v>540</v>
      </c>
      <c r="V260" s="25"/>
      <c r="W260" s="15" t="s">
        <v>570</v>
      </c>
      <c r="X260" s="15">
        <v>80.64</v>
      </c>
      <c r="Y260" s="15">
        <v>0.88</v>
      </c>
      <c r="Z260" s="15">
        <v>8.1199999999999992</v>
      </c>
      <c r="AA260" s="15"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82"/>
      <c r="AM260" s="142" t="s">
        <v>20</v>
      </c>
      <c r="AN260" s="135" t="str">
        <f>AO260</f>
        <v>D</v>
      </c>
      <c r="AO260" s="135" t="s">
        <v>21</v>
      </c>
      <c r="AP260" s="372">
        <v>45518</v>
      </c>
      <c r="AQ260" s="372">
        <v>45521</v>
      </c>
      <c r="AR260" s="372">
        <v>45522</v>
      </c>
      <c r="AS260" s="372">
        <v>45523</v>
      </c>
      <c r="AT260" s="187" t="s">
        <v>543</v>
      </c>
      <c r="AU260" s="188"/>
      <c r="AV260" s="142" t="s">
        <v>20</v>
      </c>
      <c r="AW260" s="15" t="s">
        <v>548</v>
      </c>
      <c r="AX260" s="297">
        <f>AY260</f>
        <v>45661</v>
      </c>
      <c r="AY260" s="297">
        <v>45661</v>
      </c>
      <c r="AZ260" s="187" t="s">
        <v>543</v>
      </c>
      <c r="BA260" s="188"/>
      <c r="BB260" s="142" t="s">
        <v>20</v>
      </c>
      <c r="BC260" s="135"/>
      <c r="BD260" s="135" t="s">
        <v>21</v>
      </c>
      <c r="BE260" s="298">
        <f>BF260-1</f>
        <v>45662</v>
      </c>
      <c r="BF260" s="298">
        <v>45663</v>
      </c>
      <c r="BG260" s="17" t="s">
        <v>510</v>
      </c>
      <c r="BH260" s="193"/>
      <c r="BI260" s="142" t="s">
        <v>20</v>
      </c>
      <c r="BJ260" s="135">
        <f>BJ258</f>
        <v>45743</v>
      </c>
      <c r="BK260" s="135">
        <f>BJ260</f>
        <v>45743</v>
      </c>
      <c r="BL260" s="25">
        <v>980</v>
      </c>
      <c r="BM260" s="24" t="s">
        <v>593</v>
      </c>
    </row>
    <row r="261" spans="1:65" ht="14.25" hidden="1" customHeight="1">
      <c r="A261" s="24"/>
      <c r="B261" s="19"/>
      <c r="C261" s="184"/>
      <c r="D261" s="134"/>
      <c r="E261" s="134"/>
      <c r="F261" s="134"/>
      <c r="G261" s="134"/>
      <c r="H261" s="185"/>
      <c r="I261" s="19"/>
      <c r="J261" s="19"/>
      <c r="K261" s="186"/>
      <c r="L261" s="178"/>
      <c r="M261" s="15"/>
      <c r="N261" s="15"/>
      <c r="O261" s="15"/>
      <c r="P261" s="180">
        <f t="shared" si="36"/>
        <v>0</v>
      </c>
      <c r="Q261" s="178"/>
      <c r="R261" s="15"/>
      <c r="S261" s="180"/>
      <c r="T261" s="204"/>
      <c r="U261" s="204"/>
      <c r="V261" s="25">
        <v>349.66300000000001</v>
      </c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82"/>
      <c r="AM261" s="15"/>
      <c r="AN261" s="24"/>
      <c r="AO261" s="24"/>
      <c r="AP261" s="24"/>
      <c r="AQ261" s="24"/>
      <c r="AR261" s="24"/>
      <c r="AS261" s="24"/>
      <c r="AT261" s="24"/>
      <c r="AU261" s="183"/>
      <c r="AV261" s="15"/>
      <c r="AW261" s="24"/>
      <c r="AX261" s="297"/>
      <c r="AY261" s="297"/>
      <c r="AZ261" s="24"/>
      <c r="BA261" s="183"/>
      <c r="BB261" s="24"/>
      <c r="BC261" s="24"/>
      <c r="BD261" s="24"/>
      <c r="BE261" s="24"/>
      <c r="BF261" s="24"/>
      <c r="BG261" s="24"/>
      <c r="BH261" s="183"/>
      <c r="BI261" s="24"/>
      <c r="BJ261" s="24"/>
      <c r="BK261" s="24"/>
      <c r="BL261" s="24"/>
      <c r="BM261" s="24"/>
    </row>
    <row r="262" spans="1:65" ht="14.25" customHeight="1">
      <c r="A262" s="15">
        <v>127</v>
      </c>
      <c r="B262" s="19" t="s">
        <v>205</v>
      </c>
      <c r="C262" s="184" t="s">
        <v>42</v>
      </c>
      <c r="D262" s="134">
        <v>6.3620000000000001</v>
      </c>
      <c r="E262" s="134">
        <f>D262*4</f>
        <v>25.448</v>
      </c>
      <c r="F262" s="134">
        <f>E262*8</f>
        <v>203.584</v>
      </c>
      <c r="G262" s="134"/>
      <c r="H262" s="185"/>
      <c r="I262" s="19"/>
      <c r="J262" s="19"/>
      <c r="K262" s="186"/>
      <c r="L262" s="178">
        <v>2.25</v>
      </c>
      <c r="M262" s="15">
        <v>2.1880000000000002</v>
      </c>
      <c r="N262" s="15">
        <v>2E-3</v>
      </c>
      <c r="O262" s="15">
        <v>0.183</v>
      </c>
      <c r="P262" s="180">
        <f t="shared" si="36"/>
        <v>4.6230000000000002</v>
      </c>
      <c r="Q262" s="178">
        <v>0.24399999999999999</v>
      </c>
      <c r="R262" s="15">
        <v>5.0000000000000001E-3</v>
      </c>
      <c r="S262" s="180">
        <f>SUM(Q262:R262)</f>
        <v>0.249</v>
      </c>
      <c r="T262" s="204"/>
      <c r="U262" s="181" t="s">
        <v>540</v>
      </c>
      <c r="V262" s="25"/>
      <c r="W262" s="15" t="s">
        <v>504</v>
      </c>
      <c r="X262" s="15">
        <v>41.44</v>
      </c>
      <c r="Y262" s="15">
        <v>0.8</v>
      </c>
      <c r="Z262" s="15">
        <v>7.8</v>
      </c>
      <c r="AA262" s="15"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82"/>
      <c r="AM262" s="142" t="s">
        <v>20</v>
      </c>
      <c r="AN262" s="135" t="str">
        <f>AO262</f>
        <v>D</v>
      </c>
      <c r="AO262" s="135" t="s">
        <v>21</v>
      </c>
      <c r="AP262" s="372">
        <v>45594</v>
      </c>
      <c r="AQ262" s="372">
        <v>45598</v>
      </c>
      <c r="AR262" s="372">
        <v>45599</v>
      </c>
      <c r="AS262" s="372">
        <v>45600</v>
      </c>
      <c r="AT262" s="19" t="s">
        <v>566</v>
      </c>
      <c r="AU262" s="199"/>
      <c r="AV262" s="142" t="s">
        <v>20</v>
      </c>
      <c r="AW262" s="15" t="s">
        <v>6</v>
      </c>
      <c r="AX262" s="297">
        <f>AY262</f>
        <v>45658</v>
      </c>
      <c r="AY262" s="297">
        <f>BE262-1</f>
        <v>45658</v>
      </c>
      <c r="AZ262" s="187" t="s">
        <v>543</v>
      </c>
      <c r="BA262" s="188"/>
      <c r="BB262" s="142" t="s">
        <v>20</v>
      </c>
      <c r="BC262" s="135"/>
      <c r="BD262" s="135" t="s">
        <v>21</v>
      </c>
      <c r="BE262" s="298">
        <v>45659</v>
      </c>
      <c r="BF262" s="298">
        <v>45660</v>
      </c>
      <c r="BG262" s="17" t="s">
        <v>510</v>
      </c>
      <c r="BH262" s="192"/>
      <c r="BI262" s="142" t="s">
        <v>20</v>
      </c>
      <c r="BJ262" s="135">
        <f>BK262</f>
        <v>45744</v>
      </c>
      <c r="BK262" s="135">
        <v>45744</v>
      </c>
      <c r="BL262" s="25">
        <v>980</v>
      </c>
      <c r="BM262" s="24" t="s">
        <v>593</v>
      </c>
    </row>
    <row r="263" spans="1:65" ht="14.25" hidden="1" customHeight="1">
      <c r="A263" s="24"/>
      <c r="B263" s="19"/>
      <c r="C263" s="184"/>
      <c r="D263" s="134"/>
      <c r="E263" s="134"/>
      <c r="F263" s="134"/>
      <c r="G263" s="134"/>
      <c r="H263" s="185"/>
      <c r="I263" s="19"/>
      <c r="J263" s="19"/>
      <c r="K263" s="186"/>
      <c r="L263" s="178"/>
      <c r="M263" s="15"/>
      <c r="N263" s="15"/>
      <c r="O263" s="15"/>
      <c r="P263" s="180">
        <f t="shared" si="36"/>
        <v>0</v>
      </c>
      <c r="Q263" s="178"/>
      <c r="R263" s="15"/>
      <c r="S263" s="180"/>
      <c r="T263" s="204"/>
      <c r="U263" s="204"/>
      <c r="V263" s="25">
        <v>353.11500000000001</v>
      </c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82"/>
      <c r="AM263" s="15"/>
      <c r="AN263" s="24"/>
      <c r="AO263" s="24"/>
      <c r="AP263" s="24"/>
      <c r="AQ263" s="24"/>
      <c r="AR263" s="24"/>
      <c r="AS263" s="24"/>
      <c r="AT263" s="24"/>
      <c r="AU263" s="183"/>
      <c r="AV263" s="15"/>
      <c r="AW263" s="24"/>
      <c r="AX263" s="297"/>
      <c r="AY263" s="297"/>
      <c r="AZ263" s="24"/>
      <c r="BA263" s="183"/>
      <c r="BB263" s="24"/>
      <c r="BC263" s="24"/>
      <c r="BD263" s="24"/>
      <c r="BE263" s="24"/>
      <c r="BF263" s="24"/>
      <c r="BG263" s="24"/>
      <c r="BH263" s="183"/>
      <c r="BI263" s="24"/>
      <c r="BJ263" s="24"/>
      <c r="BK263" s="24"/>
      <c r="BL263" s="24"/>
      <c r="BM263" s="24"/>
    </row>
    <row r="264" spans="1:65" ht="14.25" customHeight="1">
      <c r="A264" s="15">
        <v>128</v>
      </c>
      <c r="B264" s="19" t="s">
        <v>206</v>
      </c>
      <c r="C264" s="184" t="s">
        <v>37</v>
      </c>
      <c r="D264" s="134">
        <v>6.992</v>
      </c>
      <c r="E264" s="134">
        <f>D264*4</f>
        <v>27.968</v>
      </c>
      <c r="F264" s="134">
        <f>E264*8</f>
        <v>223.744</v>
      </c>
      <c r="G264" s="134"/>
      <c r="H264" s="185"/>
      <c r="I264" s="19"/>
      <c r="J264" s="19"/>
      <c r="K264" s="186"/>
      <c r="L264" s="178">
        <v>2.6070000000000002</v>
      </c>
      <c r="M264" s="15">
        <v>2.657</v>
      </c>
      <c r="N264" s="15">
        <v>2E-3</v>
      </c>
      <c r="O264" s="15">
        <v>0.21299999999999999</v>
      </c>
      <c r="P264" s="180">
        <f t="shared" si="36"/>
        <v>5.4790000000000001</v>
      </c>
      <c r="Q264" s="178">
        <v>0.24399999999999999</v>
      </c>
      <c r="R264" s="15">
        <v>5.0000000000000001E-3</v>
      </c>
      <c r="S264" s="180">
        <f>SUM(Q264:R264)</f>
        <v>0.249</v>
      </c>
      <c r="T264" s="204"/>
      <c r="U264" s="181" t="s">
        <v>540</v>
      </c>
      <c r="V264" s="25"/>
      <c r="W264" s="15" t="s">
        <v>504</v>
      </c>
      <c r="X264" s="15">
        <v>41.44</v>
      </c>
      <c r="Y264" s="15">
        <v>0.8</v>
      </c>
      <c r="Z264" s="15">
        <v>7.8</v>
      </c>
      <c r="AA264" s="15"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82"/>
      <c r="AM264" s="142" t="s">
        <v>20</v>
      </c>
      <c r="AN264" s="135" t="str">
        <f>AO264</f>
        <v>D</v>
      </c>
      <c r="AO264" s="135" t="s">
        <v>21</v>
      </c>
      <c r="AP264" s="372">
        <v>45526</v>
      </c>
      <c r="AQ264" s="372">
        <v>45579</v>
      </c>
      <c r="AR264" s="372">
        <v>45580</v>
      </c>
      <c r="AS264" s="372">
        <v>45583</v>
      </c>
      <c r="AT264" s="187" t="s">
        <v>597</v>
      </c>
      <c r="AU264" s="188"/>
      <c r="AV264" s="142" t="s">
        <v>20</v>
      </c>
      <c r="AW264" s="15" t="s">
        <v>6</v>
      </c>
      <c r="AX264" s="297">
        <f>AY264</f>
        <v>45659</v>
      </c>
      <c r="AY264" s="297">
        <f>BE264-1</f>
        <v>45659</v>
      </c>
      <c r="AZ264" s="187" t="s">
        <v>543</v>
      </c>
      <c r="BA264" s="188"/>
      <c r="BB264" s="142" t="s">
        <v>20</v>
      </c>
      <c r="BC264" s="135"/>
      <c r="BD264" s="135" t="s">
        <v>21</v>
      </c>
      <c r="BE264" s="298">
        <f>BF264-2</f>
        <v>45660</v>
      </c>
      <c r="BF264" s="298">
        <v>45662</v>
      </c>
      <c r="BG264" s="17" t="s">
        <v>510</v>
      </c>
      <c r="BH264" s="193"/>
      <c r="BI264" s="142" t="s">
        <v>20</v>
      </c>
      <c r="BJ264" s="135">
        <f>BK264</f>
        <v>45750</v>
      </c>
      <c r="BK264" s="135">
        <v>45750</v>
      </c>
      <c r="BL264" s="25">
        <v>1330</v>
      </c>
      <c r="BM264" s="24" t="s">
        <v>593</v>
      </c>
    </row>
    <row r="265" spans="1:65" ht="14.25" hidden="1" customHeight="1">
      <c r="A265" s="24"/>
      <c r="B265" s="19"/>
      <c r="C265" s="184"/>
      <c r="D265" s="134"/>
      <c r="E265" s="134"/>
      <c r="F265" s="134"/>
      <c r="G265" s="134"/>
      <c r="H265" s="185"/>
      <c r="I265" s="19"/>
      <c r="J265" s="19"/>
      <c r="K265" s="186"/>
      <c r="L265" s="178"/>
      <c r="M265" s="15"/>
      <c r="N265" s="15"/>
      <c r="O265" s="15"/>
      <c r="P265" s="180">
        <f t="shared" si="36"/>
        <v>0</v>
      </c>
      <c r="Q265" s="178"/>
      <c r="R265" s="15"/>
      <c r="S265" s="180"/>
      <c r="T265" s="204"/>
      <c r="U265" s="204"/>
      <c r="V265" s="25">
        <v>374.20100000000002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82"/>
      <c r="AM265" s="15"/>
      <c r="AN265" s="24"/>
      <c r="AO265" s="24"/>
      <c r="AP265" s="24"/>
      <c r="AQ265" s="24"/>
      <c r="AR265" s="24"/>
      <c r="AS265" s="24"/>
      <c r="AT265" s="24"/>
      <c r="AU265" s="183"/>
      <c r="AV265" s="15"/>
      <c r="AW265" s="24"/>
      <c r="AX265" s="297"/>
      <c r="AY265" s="297"/>
      <c r="AZ265" s="24"/>
      <c r="BA265" s="183"/>
      <c r="BB265" s="24"/>
      <c r="BC265" s="24"/>
      <c r="BD265" s="24"/>
      <c r="BE265" s="24"/>
      <c r="BF265" s="24"/>
      <c r="BG265" s="24"/>
      <c r="BH265" s="183"/>
      <c r="BI265" s="24"/>
      <c r="BJ265" s="24"/>
      <c r="BK265" s="24"/>
      <c r="BL265" s="24"/>
      <c r="BM265" s="24"/>
    </row>
    <row r="266" spans="1:65" ht="14.25" customHeight="1">
      <c r="A266" s="15">
        <v>129</v>
      </c>
      <c r="B266" s="19" t="s">
        <v>207</v>
      </c>
      <c r="C266" s="184" t="s">
        <v>37</v>
      </c>
      <c r="D266" s="134">
        <v>6.992</v>
      </c>
      <c r="E266" s="134">
        <f>D266*4</f>
        <v>27.968</v>
      </c>
      <c r="F266" s="134">
        <f>E266*8</f>
        <v>223.744</v>
      </c>
      <c r="G266" s="134"/>
      <c r="H266" s="185"/>
      <c r="I266" s="19"/>
      <c r="J266" s="19"/>
      <c r="K266" s="186"/>
      <c r="L266" s="178">
        <v>2.6070000000000002</v>
      </c>
      <c r="M266" s="15">
        <v>2.657</v>
      </c>
      <c r="N266" s="15">
        <v>2E-3</v>
      </c>
      <c r="O266" s="15">
        <v>0.21299999999999999</v>
      </c>
      <c r="P266" s="180">
        <f t="shared" si="36"/>
        <v>5.4790000000000001</v>
      </c>
      <c r="Q266" s="178">
        <v>0.24399999999999999</v>
      </c>
      <c r="R266" s="15">
        <v>5.0000000000000001E-3</v>
      </c>
      <c r="S266" s="180">
        <f>SUM(Q266:R266)</f>
        <v>0.249</v>
      </c>
      <c r="T266" s="204"/>
      <c r="U266" s="181" t="s">
        <v>540</v>
      </c>
      <c r="V266" s="25"/>
      <c r="W266" s="15" t="s">
        <v>541</v>
      </c>
      <c r="X266" s="15">
        <v>85.44</v>
      </c>
      <c r="Y266" s="15">
        <v>1.51</v>
      </c>
      <c r="Z266" s="15">
        <v>11.15</v>
      </c>
      <c r="AA266" s="15"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82"/>
      <c r="AM266" s="142" t="s">
        <v>20</v>
      </c>
      <c r="AN266" s="135" t="str">
        <f>AO266</f>
        <v>D</v>
      </c>
      <c r="AO266" s="135" t="s">
        <v>21</v>
      </c>
      <c r="AP266" s="372">
        <v>45603</v>
      </c>
      <c r="AQ266" s="372">
        <f t="shared" ref="AQ266:AR266" si="71">AR266-2</f>
        <v>45606</v>
      </c>
      <c r="AR266" s="372">
        <f t="shared" si="71"/>
        <v>45608</v>
      </c>
      <c r="AS266" s="372">
        <v>45610</v>
      </c>
      <c r="AT266" s="19" t="s">
        <v>566</v>
      </c>
      <c r="AU266" s="199"/>
      <c r="AV266" s="142" t="s">
        <v>20</v>
      </c>
      <c r="AW266" s="15" t="s">
        <v>6</v>
      </c>
      <c r="AX266" s="297">
        <f>AY266</f>
        <v>45663</v>
      </c>
      <c r="AY266" s="297">
        <v>45663</v>
      </c>
      <c r="AZ266" s="187" t="s">
        <v>543</v>
      </c>
      <c r="BA266" s="188"/>
      <c r="BB266" s="142" t="s">
        <v>20</v>
      </c>
      <c r="BC266" s="135"/>
      <c r="BD266" s="135" t="s">
        <v>21</v>
      </c>
      <c r="BE266" s="298">
        <f>BF266-1</f>
        <v>45664</v>
      </c>
      <c r="BF266" s="298">
        <v>45665</v>
      </c>
      <c r="BG266" s="17" t="s">
        <v>510</v>
      </c>
      <c r="BH266" s="192"/>
      <c r="BI266" s="142" t="s">
        <v>20</v>
      </c>
      <c r="BJ266" s="135">
        <f>BK266</f>
        <v>45751</v>
      </c>
      <c r="BK266" s="135">
        <v>45751</v>
      </c>
      <c r="BL266" s="25">
        <v>1330</v>
      </c>
      <c r="BM266" s="24" t="s">
        <v>593</v>
      </c>
    </row>
    <row r="267" spans="1:65" ht="14.25" hidden="1" customHeight="1">
      <c r="A267" s="24"/>
      <c r="B267" s="19"/>
      <c r="C267" s="184"/>
      <c r="D267" s="134"/>
      <c r="E267" s="134"/>
      <c r="F267" s="134"/>
      <c r="G267" s="134"/>
      <c r="H267" s="185"/>
      <c r="I267" s="19"/>
      <c r="J267" s="19"/>
      <c r="K267" s="186"/>
      <c r="L267" s="178"/>
      <c r="M267" s="15"/>
      <c r="N267" s="15"/>
      <c r="O267" s="15"/>
      <c r="P267" s="180">
        <f t="shared" si="36"/>
        <v>0</v>
      </c>
      <c r="Q267" s="178"/>
      <c r="R267" s="15"/>
      <c r="S267" s="180"/>
      <c r="T267" s="204"/>
      <c r="U267" s="204"/>
      <c r="V267" s="25">
        <v>341.32100000000003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82"/>
      <c r="AM267" s="15"/>
      <c r="AN267" s="24"/>
      <c r="AO267" s="24"/>
      <c r="AP267" s="24"/>
      <c r="AQ267" s="24"/>
      <c r="AR267" s="24"/>
      <c r="AS267" s="24"/>
      <c r="AT267" s="24"/>
      <c r="AU267" s="183"/>
      <c r="AV267" s="15"/>
      <c r="AW267" s="24"/>
      <c r="AX267" s="297"/>
      <c r="AY267" s="297"/>
      <c r="AZ267" s="24"/>
      <c r="BA267" s="183"/>
      <c r="BB267" s="24"/>
      <c r="BC267" s="24"/>
      <c r="BD267" s="24"/>
      <c r="BE267" s="24"/>
      <c r="BF267" s="24"/>
      <c r="BG267" s="24"/>
      <c r="BH267" s="183"/>
      <c r="BI267" s="24"/>
      <c r="BJ267" s="24"/>
      <c r="BK267" s="24"/>
      <c r="BL267" s="24"/>
      <c r="BM267" s="24"/>
    </row>
    <row r="268" spans="1:65" ht="14.25" customHeight="1">
      <c r="A268" s="15">
        <v>130</v>
      </c>
      <c r="B268" s="19" t="s">
        <v>208</v>
      </c>
      <c r="C268" s="184" t="s">
        <v>56</v>
      </c>
      <c r="D268" s="134">
        <v>7.6219999999999999</v>
      </c>
      <c r="E268" s="134">
        <f>D268*4</f>
        <v>30.488</v>
      </c>
      <c r="F268" s="134">
        <f>E268*8</f>
        <v>243.904</v>
      </c>
      <c r="G268" s="134"/>
      <c r="H268" s="185"/>
      <c r="I268" s="19"/>
      <c r="J268" s="19"/>
      <c r="K268" s="186"/>
      <c r="L268" s="178">
        <v>2.6789999999999998</v>
      </c>
      <c r="M268" s="15">
        <v>3.133</v>
      </c>
      <c r="N268" s="15">
        <v>2.3E-3</v>
      </c>
      <c r="O268" s="15">
        <v>0.23299999999999998</v>
      </c>
      <c r="P268" s="180">
        <f t="shared" si="36"/>
        <v>6.047299999999999</v>
      </c>
      <c r="Q268" s="178">
        <v>0.24399999999999999</v>
      </c>
      <c r="R268" s="15">
        <v>5.0000000000000001E-3</v>
      </c>
      <c r="S268" s="180">
        <f>SUM(Q268:R268)</f>
        <v>0.249</v>
      </c>
      <c r="T268" s="204"/>
      <c r="U268" s="181" t="s">
        <v>540</v>
      </c>
      <c r="V268" s="25"/>
      <c r="W268" s="15" t="s">
        <v>541</v>
      </c>
      <c r="X268" s="15">
        <v>85.44</v>
      </c>
      <c r="Y268" s="15">
        <v>1.51</v>
      </c>
      <c r="Z268" s="15">
        <v>11.15</v>
      </c>
      <c r="AA268" s="15"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82"/>
      <c r="AM268" s="142" t="s">
        <v>20</v>
      </c>
      <c r="AN268" s="135" t="str">
        <f>AO268</f>
        <v>D</v>
      </c>
      <c r="AO268" s="135" t="s">
        <v>21</v>
      </c>
      <c r="AP268" s="372">
        <f t="shared" ref="AP268:AQ268" si="72">AQ268-1</f>
        <v>45612</v>
      </c>
      <c r="AQ268" s="372">
        <f t="shared" si="72"/>
        <v>45613</v>
      </c>
      <c r="AR268" s="372">
        <f>AS268-2</f>
        <v>45614</v>
      </c>
      <c r="AS268" s="372">
        <v>45616</v>
      </c>
      <c r="AT268" s="19" t="s">
        <v>566</v>
      </c>
      <c r="AU268" s="199"/>
      <c r="AV268" s="142" t="s">
        <v>20</v>
      </c>
      <c r="AW268" s="15" t="s">
        <v>6</v>
      </c>
      <c r="AX268" s="297">
        <v>45623</v>
      </c>
      <c r="AY268" s="297">
        <v>45623</v>
      </c>
      <c r="AZ268" s="19" t="s">
        <v>566</v>
      </c>
      <c r="BA268" s="199"/>
      <c r="BB268" s="142" t="s">
        <v>20</v>
      </c>
      <c r="BC268" s="135"/>
      <c r="BD268" s="135" t="s">
        <v>21</v>
      </c>
      <c r="BE268" s="298">
        <f>BF268-2</f>
        <v>45671</v>
      </c>
      <c r="BF268" s="298">
        <v>45673</v>
      </c>
      <c r="BG268" s="17" t="s">
        <v>510</v>
      </c>
      <c r="BH268" s="194"/>
      <c r="BI268" s="142" t="s">
        <v>20</v>
      </c>
      <c r="BJ268" s="135">
        <f>BK268</f>
        <v>45763</v>
      </c>
      <c r="BK268" s="135">
        <v>45763</v>
      </c>
      <c r="BL268" s="25">
        <v>1545</v>
      </c>
      <c r="BM268" s="24" t="s">
        <v>593</v>
      </c>
    </row>
    <row r="269" spans="1:65" ht="14.25" hidden="1" customHeight="1">
      <c r="A269" s="24"/>
      <c r="B269" s="19"/>
      <c r="C269" s="184"/>
      <c r="D269" s="134"/>
      <c r="E269" s="134"/>
      <c r="F269" s="134"/>
      <c r="G269" s="134"/>
      <c r="H269" s="185"/>
      <c r="I269" s="19"/>
      <c r="J269" s="19"/>
      <c r="K269" s="186"/>
      <c r="L269" s="178"/>
      <c r="M269" s="15"/>
      <c r="N269" s="15"/>
      <c r="O269" s="15"/>
      <c r="P269" s="180">
        <f t="shared" si="36"/>
        <v>0</v>
      </c>
      <c r="Q269" s="178"/>
      <c r="R269" s="15"/>
      <c r="S269" s="180"/>
      <c r="T269" s="204"/>
      <c r="U269" s="204"/>
      <c r="V269" s="25">
        <v>347.95800000000003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82"/>
      <c r="AM269" s="15"/>
      <c r="AN269" s="24"/>
      <c r="AO269" s="24"/>
      <c r="AP269" s="24"/>
      <c r="AQ269" s="24"/>
      <c r="AR269" s="24"/>
      <c r="AS269" s="24"/>
      <c r="AT269" s="24"/>
      <c r="AU269" s="183"/>
      <c r="AV269" s="15"/>
      <c r="AW269" s="24"/>
      <c r="AX269" s="297"/>
      <c r="AY269" s="297"/>
      <c r="AZ269" s="24"/>
      <c r="BA269" s="183"/>
      <c r="BB269" s="24"/>
      <c r="BC269" s="24"/>
      <c r="BD269" s="24"/>
      <c r="BE269" s="24"/>
      <c r="BF269" s="24"/>
      <c r="BG269" s="24"/>
      <c r="BH269" s="183"/>
      <c r="BI269" s="24"/>
      <c r="BJ269" s="24"/>
      <c r="BK269" s="24"/>
      <c r="BL269" s="24"/>
      <c r="BM269" s="24"/>
    </row>
    <row r="270" spans="1:65" ht="14.25" customHeight="1">
      <c r="A270" s="15">
        <v>131</v>
      </c>
      <c r="B270" s="19" t="s">
        <v>209</v>
      </c>
      <c r="C270" s="184" t="s">
        <v>37</v>
      </c>
      <c r="D270" s="134">
        <v>6.992</v>
      </c>
      <c r="E270" s="134">
        <f>D270*4</f>
        <v>27.968</v>
      </c>
      <c r="F270" s="134">
        <f>E270*8</f>
        <v>223.744</v>
      </c>
      <c r="G270" s="134"/>
      <c r="H270" s="185"/>
      <c r="I270" s="19"/>
      <c r="J270" s="19"/>
      <c r="K270" s="186"/>
      <c r="L270" s="178">
        <v>2.6070000000000002</v>
      </c>
      <c r="M270" s="15">
        <v>2.657</v>
      </c>
      <c r="N270" s="15">
        <v>2E-3</v>
      </c>
      <c r="O270" s="15">
        <v>0.21299999999999999</v>
      </c>
      <c r="P270" s="180">
        <f t="shared" si="36"/>
        <v>5.4790000000000001</v>
      </c>
      <c r="Q270" s="178">
        <v>0.24399999999999999</v>
      </c>
      <c r="R270" s="15">
        <v>5.0000000000000001E-3</v>
      </c>
      <c r="S270" s="180">
        <f>SUM(Q270:R270)</f>
        <v>0.249</v>
      </c>
      <c r="T270" s="204"/>
      <c r="U270" s="181" t="s">
        <v>540</v>
      </c>
      <c r="V270" s="25"/>
      <c r="W270" s="15" t="s">
        <v>504</v>
      </c>
      <c r="X270" s="15">
        <v>41.44</v>
      </c>
      <c r="Y270" s="15">
        <v>0.8</v>
      </c>
      <c r="Z270" s="15">
        <v>7.8</v>
      </c>
      <c r="AA270" s="15"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82"/>
      <c r="AM270" s="142" t="s">
        <v>20</v>
      </c>
      <c r="AN270" s="135" t="str">
        <f>AO270</f>
        <v>D</v>
      </c>
      <c r="AO270" s="135" t="s">
        <v>21</v>
      </c>
      <c r="AP270" s="372">
        <f t="shared" ref="AP270:AR270" si="73">AQ270-2</f>
        <v>45620</v>
      </c>
      <c r="AQ270" s="372">
        <f t="shared" si="73"/>
        <v>45622</v>
      </c>
      <c r="AR270" s="372">
        <f t="shared" si="73"/>
        <v>45624</v>
      </c>
      <c r="AS270" s="372">
        <v>45626</v>
      </c>
      <c r="AT270" s="19" t="s">
        <v>566</v>
      </c>
      <c r="AU270" s="199"/>
      <c r="AV270" s="142" t="s">
        <v>20</v>
      </c>
      <c r="AW270" s="15" t="s">
        <v>6</v>
      </c>
      <c r="AX270" s="297">
        <v>45628</v>
      </c>
      <c r="AY270" s="297">
        <v>45628</v>
      </c>
      <c r="AZ270" s="19" t="s">
        <v>566</v>
      </c>
      <c r="BA270" s="199"/>
      <c r="BB270" s="142" t="s">
        <v>20</v>
      </c>
      <c r="BC270" s="135"/>
      <c r="BD270" s="135" t="s">
        <v>21</v>
      </c>
      <c r="BE270" s="298">
        <v>45666</v>
      </c>
      <c r="BF270" s="298">
        <v>45667</v>
      </c>
      <c r="BG270" s="17" t="s">
        <v>510</v>
      </c>
      <c r="BH270" s="192"/>
      <c r="BI270" s="142" t="s">
        <v>20</v>
      </c>
      <c r="BJ270" s="135">
        <v>45773</v>
      </c>
      <c r="BK270" s="135">
        <v>45773</v>
      </c>
      <c r="BL270" s="25">
        <v>1330</v>
      </c>
      <c r="BM270" s="24" t="s">
        <v>593</v>
      </c>
    </row>
    <row r="271" spans="1:65" ht="14.25" hidden="1" customHeight="1">
      <c r="A271" s="24"/>
      <c r="B271" s="19"/>
      <c r="C271" s="184"/>
      <c r="D271" s="134"/>
      <c r="E271" s="134"/>
      <c r="F271" s="134"/>
      <c r="G271" s="134"/>
      <c r="H271" s="185"/>
      <c r="I271" s="19"/>
      <c r="J271" s="19"/>
      <c r="K271" s="186"/>
      <c r="L271" s="178"/>
      <c r="M271" s="15"/>
      <c r="N271" s="15"/>
      <c r="O271" s="15"/>
      <c r="P271" s="180">
        <f t="shared" si="36"/>
        <v>0</v>
      </c>
      <c r="Q271" s="178"/>
      <c r="R271" s="15"/>
      <c r="S271" s="180"/>
      <c r="T271" s="204"/>
      <c r="U271" s="204"/>
      <c r="V271" s="25">
        <v>384.02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82"/>
      <c r="AM271" s="15"/>
      <c r="AN271" s="24"/>
      <c r="AO271" s="24"/>
      <c r="AP271" s="24"/>
      <c r="AQ271" s="24"/>
      <c r="AR271" s="24"/>
      <c r="AS271" s="24"/>
      <c r="AT271" s="24"/>
      <c r="AU271" s="183"/>
      <c r="AV271" s="15"/>
      <c r="AW271" s="24"/>
      <c r="AX271" s="297"/>
      <c r="AY271" s="297"/>
      <c r="AZ271" s="24"/>
      <c r="BA271" s="183"/>
      <c r="BB271" s="24"/>
      <c r="BC271" s="24"/>
      <c r="BD271" s="24"/>
      <c r="BE271" s="24"/>
      <c r="BF271" s="24"/>
      <c r="BG271" s="24"/>
      <c r="BH271" s="183"/>
      <c r="BI271" s="24"/>
      <c r="BJ271" s="24"/>
      <c r="BK271" s="24"/>
      <c r="BL271" s="24"/>
      <c r="BM271" s="24"/>
    </row>
    <row r="272" spans="1:65" ht="14.25" customHeight="1">
      <c r="A272" s="15">
        <v>132</v>
      </c>
      <c r="B272" s="19" t="s">
        <v>210</v>
      </c>
      <c r="C272" s="184" t="s">
        <v>37</v>
      </c>
      <c r="D272" s="134">
        <v>6.992</v>
      </c>
      <c r="E272" s="134">
        <f>D272*4</f>
        <v>27.968</v>
      </c>
      <c r="F272" s="134">
        <f>E272*8</f>
        <v>223.744</v>
      </c>
      <c r="G272" s="134"/>
      <c r="H272" s="185"/>
      <c r="I272" s="19"/>
      <c r="J272" s="19"/>
      <c r="K272" s="186"/>
      <c r="L272" s="178">
        <v>2.6070000000000002</v>
      </c>
      <c r="M272" s="15">
        <v>2.657</v>
      </c>
      <c r="N272" s="15">
        <v>2E-3</v>
      </c>
      <c r="O272" s="15">
        <v>0.21299999999999999</v>
      </c>
      <c r="P272" s="180">
        <f t="shared" si="36"/>
        <v>5.4790000000000001</v>
      </c>
      <c r="Q272" s="178">
        <v>0.24399999999999999</v>
      </c>
      <c r="R272" s="15">
        <v>5.0000000000000001E-3</v>
      </c>
      <c r="S272" s="180">
        <f>SUM(Q272:R272)</f>
        <v>0.249</v>
      </c>
      <c r="T272" s="204"/>
      <c r="U272" s="181" t="s">
        <v>540</v>
      </c>
      <c r="V272" s="25"/>
      <c r="W272" s="15" t="s">
        <v>504</v>
      </c>
      <c r="X272" s="15">
        <v>41.44</v>
      </c>
      <c r="Y272" s="15">
        <v>0.8</v>
      </c>
      <c r="Z272" s="15">
        <v>7.8</v>
      </c>
      <c r="AA272" s="15"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82"/>
      <c r="AM272" s="142" t="s">
        <v>20</v>
      </c>
      <c r="AN272" s="135" t="str">
        <f>AO272</f>
        <v>D</v>
      </c>
      <c r="AO272" s="135" t="s">
        <v>21</v>
      </c>
      <c r="AP272" s="372">
        <v>45604</v>
      </c>
      <c r="AQ272" s="372">
        <f>AP272+11</f>
        <v>45615</v>
      </c>
      <c r="AR272" s="372">
        <f>AS272-4</f>
        <v>45618</v>
      </c>
      <c r="AS272" s="372">
        <v>45622</v>
      </c>
      <c r="AT272" s="19" t="s">
        <v>566</v>
      </c>
      <c r="AU272" s="199"/>
      <c r="AV272" s="142" t="s">
        <v>20</v>
      </c>
      <c r="AW272" s="15" t="s">
        <v>6</v>
      </c>
      <c r="AX272" s="297">
        <v>45627</v>
      </c>
      <c r="AY272" s="297">
        <v>45627</v>
      </c>
      <c r="AZ272" s="19" t="s">
        <v>566</v>
      </c>
      <c r="BA272" s="199"/>
      <c r="BB272" s="142" t="s">
        <v>20</v>
      </c>
      <c r="BC272" s="135"/>
      <c r="BD272" s="135" t="s">
        <v>21</v>
      </c>
      <c r="BE272" s="298">
        <v>45668</v>
      </c>
      <c r="BF272" s="298">
        <v>45669</v>
      </c>
      <c r="BG272" s="17" t="s">
        <v>510</v>
      </c>
      <c r="BH272" s="193"/>
      <c r="BI272" s="142" t="s">
        <v>20</v>
      </c>
      <c r="BJ272" s="135">
        <f>BK272-2</f>
        <v>45771</v>
      </c>
      <c r="BK272" s="135">
        <v>45773</v>
      </c>
      <c r="BL272" s="25">
        <v>1330</v>
      </c>
      <c r="BM272" s="24" t="s">
        <v>593</v>
      </c>
    </row>
    <row r="273" spans="1:65" ht="14.25" hidden="1" customHeight="1">
      <c r="A273" s="24"/>
      <c r="B273" s="19"/>
      <c r="C273" s="184"/>
      <c r="D273" s="134"/>
      <c r="E273" s="134"/>
      <c r="F273" s="134"/>
      <c r="G273" s="134"/>
      <c r="H273" s="185"/>
      <c r="I273" s="19"/>
      <c r="J273" s="19"/>
      <c r="K273" s="186"/>
      <c r="L273" s="178"/>
      <c r="M273" s="15"/>
      <c r="N273" s="15"/>
      <c r="O273" s="15"/>
      <c r="P273" s="180">
        <f t="shared" si="36"/>
        <v>0</v>
      </c>
      <c r="Q273" s="178"/>
      <c r="R273" s="15"/>
      <c r="S273" s="180"/>
      <c r="T273" s="204"/>
      <c r="U273" s="204"/>
      <c r="V273" s="25">
        <v>269.69400000000002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82"/>
      <c r="AM273" s="15"/>
      <c r="AN273" s="24"/>
      <c r="AO273" s="24"/>
      <c r="AP273" s="24"/>
      <c r="AQ273" s="24"/>
      <c r="AR273" s="24"/>
      <c r="AS273" s="24"/>
      <c r="AT273" s="24"/>
      <c r="AU273" s="183"/>
      <c r="AV273" s="15"/>
      <c r="AW273" s="24"/>
      <c r="AX273" s="297"/>
      <c r="AY273" s="297"/>
      <c r="AZ273" s="24"/>
      <c r="BA273" s="183"/>
      <c r="BB273" s="24"/>
      <c r="BC273" s="24"/>
      <c r="BD273" s="24"/>
      <c r="BE273" s="24"/>
      <c r="BF273" s="24"/>
      <c r="BG273" s="24"/>
      <c r="BH273" s="183"/>
      <c r="BI273" s="24"/>
      <c r="BJ273" s="24"/>
      <c r="BK273" s="24"/>
      <c r="BL273" s="24"/>
      <c r="BM273" s="24"/>
    </row>
    <row r="274" spans="1:65" ht="14.25" customHeight="1">
      <c r="A274" s="15">
        <v>133</v>
      </c>
      <c r="B274" s="19" t="s">
        <v>211</v>
      </c>
      <c r="C274" s="184" t="s">
        <v>37</v>
      </c>
      <c r="D274" s="134">
        <v>6.992</v>
      </c>
      <c r="E274" s="134">
        <f>D274*4</f>
        <v>27.968</v>
      </c>
      <c r="F274" s="134">
        <f>E274*8</f>
        <v>223.744</v>
      </c>
      <c r="G274" s="134"/>
      <c r="H274" s="185"/>
      <c r="I274" s="19"/>
      <c r="J274" s="19"/>
      <c r="K274" s="186"/>
      <c r="L274" s="178">
        <v>2.6070000000000002</v>
      </c>
      <c r="M274" s="15">
        <v>2.657</v>
      </c>
      <c r="N274" s="15">
        <v>2E-3</v>
      </c>
      <c r="O274" s="15">
        <v>0.21299999999999999</v>
      </c>
      <c r="P274" s="180">
        <f t="shared" si="36"/>
        <v>5.4790000000000001</v>
      </c>
      <c r="Q274" s="178">
        <v>0.24399999999999999</v>
      </c>
      <c r="R274" s="15">
        <v>5.0000000000000001E-3</v>
      </c>
      <c r="S274" s="180">
        <f>SUM(Q274:R274)</f>
        <v>0.249</v>
      </c>
      <c r="T274" s="204"/>
      <c r="U274" s="181" t="s">
        <v>540</v>
      </c>
      <c r="V274" s="25"/>
      <c r="W274" s="15" t="s">
        <v>504</v>
      </c>
      <c r="X274" s="15">
        <v>41.44</v>
      </c>
      <c r="Y274" s="15">
        <v>0.8</v>
      </c>
      <c r="Z274" s="15">
        <v>7.8</v>
      </c>
      <c r="AA274" s="15"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82"/>
      <c r="AM274" s="142" t="s">
        <v>20</v>
      </c>
      <c r="AN274" s="135" t="str">
        <f>AO274</f>
        <v>D</v>
      </c>
      <c r="AO274" s="135" t="s">
        <v>21</v>
      </c>
      <c r="AP274" s="372">
        <v>45589</v>
      </c>
      <c r="AQ274" s="372">
        <f>AR274-5</f>
        <v>45617</v>
      </c>
      <c r="AR274" s="372">
        <f>AS274-4</f>
        <v>45622</v>
      </c>
      <c r="AS274" s="372">
        <v>45626</v>
      </c>
      <c r="AT274" s="187" t="s">
        <v>597</v>
      </c>
      <c r="AU274" s="188"/>
      <c r="AV274" s="142" t="s">
        <v>20</v>
      </c>
      <c r="AW274" s="15" t="s">
        <v>6</v>
      </c>
      <c r="AX274" s="297">
        <f>AY274</f>
        <v>45667</v>
      </c>
      <c r="AY274" s="297">
        <v>45667</v>
      </c>
      <c r="AZ274" s="187" t="s">
        <v>543</v>
      </c>
      <c r="BA274" s="188"/>
      <c r="BB274" s="142" t="s">
        <v>20</v>
      </c>
      <c r="BC274" s="135"/>
      <c r="BD274" s="135" t="s">
        <v>21</v>
      </c>
      <c r="BE274" s="298">
        <v>45669</v>
      </c>
      <c r="BF274" s="298">
        <v>45670</v>
      </c>
      <c r="BG274" s="17" t="s">
        <v>510</v>
      </c>
      <c r="BH274" s="193"/>
      <c r="BI274" s="142" t="s">
        <v>20</v>
      </c>
      <c r="BJ274" s="135">
        <f>BK274-2</f>
        <v>45771</v>
      </c>
      <c r="BK274" s="135">
        <v>45773</v>
      </c>
      <c r="BL274" s="25">
        <v>1330</v>
      </c>
      <c r="BM274" s="24" t="s">
        <v>593</v>
      </c>
    </row>
    <row r="275" spans="1:65" ht="14.25" hidden="1" customHeight="1">
      <c r="A275" s="24"/>
      <c r="B275" s="19"/>
      <c r="C275" s="184"/>
      <c r="D275" s="134"/>
      <c r="E275" s="134"/>
      <c r="F275" s="134"/>
      <c r="G275" s="134"/>
      <c r="H275" s="185"/>
      <c r="I275" s="19"/>
      <c r="J275" s="19"/>
      <c r="K275" s="186"/>
      <c r="L275" s="178"/>
      <c r="M275" s="15"/>
      <c r="N275" s="15"/>
      <c r="O275" s="15"/>
      <c r="P275" s="180">
        <f t="shared" si="36"/>
        <v>0</v>
      </c>
      <c r="Q275" s="178"/>
      <c r="R275" s="15"/>
      <c r="S275" s="180"/>
      <c r="T275" s="204"/>
      <c r="U275" s="204"/>
      <c r="V275" s="25">
        <v>394.041</v>
      </c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82"/>
      <c r="AM275" s="15"/>
      <c r="AN275" s="24"/>
      <c r="AO275" s="24"/>
      <c r="AP275" s="24"/>
      <c r="AQ275" s="24"/>
      <c r="AR275" s="24"/>
      <c r="AS275" s="24"/>
      <c r="AT275" s="24"/>
      <c r="AU275" s="183"/>
      <c r="AV275" s="15"/>
      <c r="AW275" s="24"/>
      <c r="AX275" s="297"/>
      <c r="AY275" s="297"/>
      <c r="AZ275" s="24"/>
      <c r="BA275" s="183"/>
      <c r="BB275" s="24"/>
      <c r="BC275" s="24"/>
      <c r="BD275" s="24"/>
      <c r="BE275" s="24"/>
      <c r="BF275" s="24"/>
      <c r="BG275" s="24"/>
      <c r="BH275" s="183"/>
      <c r="BI275" s="24"/>
      <c r="BJ275" s="24"/>
      <c r="BK275" s="24"/>
      <c r="BL275" s="24"/>
      <c r="BM275" s="24"/>
    </row>
    <row r="276" spans="1:65" ht="14.25" customHeight="1">
      <c r="A276" s="15">
        <v>134</v>
      </c>
      <c r="B276" s="19" t="s">
        <v>212</v>
      </c>
      <c r="C276" s="184" t="s">
        <v>37</v>
      </c>
      <c r="D276" s="134">
        <v>6.992</v>
      </c>
      <c r="E276" s="134">
        <f>D276*4</f>
        <v>27.968</v>
      </c>
      <c r="F276" s="134">
        <f>E276*8</f>
        <v>223.744</v>
      </c>
      <c r="G276" s="134"/>
      <c r="H276" s="185"/>
      <c r="I276" s="19"/>
      <c r="J276" s="19"/>
      <c r="K276" s="186"/>
      <c r="L276" s="178">
        <v>2.6070000000000002</v>
      </c>
      <c r="M276" s="15">
        <v>2.657</v>
      </c>
      <c r="N276" s="15">
        <v>2E-3</v>
      </c>
      <c r="O276" s="15">
        <v>0.21299999999999999</v>
      </c>
      <c r="P276" s="180">
        <f t="shared" si="36"/>
        <v>5.4790000000000001</v>
      </c>
      <c r="Q276" s="178">
        <v>0.24399999999999999</v>
      </c>
      <c r="R276" s="15">
        <v>5.0000000000000001E-3</v>
      </c>
      <c r="S276" s="180">
        <f>SUM(Q276:R276)</f>
        <v>0.249</v>
      </c>
      <c r="T276" s="204"/>
      <c r="U276" s="181" t="s">
        <v>540</v>
      </c>
      <c r="V276" s="25"/>
      <c r="W276" s="15" t="s">
        <v>592</v>
      </c>
      <c r="X276" s="16">
        <v>143.36000000000001</v>
      </c>
      <c r="Y276" s="16">
        <v>1.68</v>
      </c>
      <c r="Z276" s="16">
        <v>11.97</v>
      </c>
      <c r="AA276" s="16">
        <f>Y276+Z276</f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82"/>
      <c r="AM276" s="142" t="s">
        <v>20</v>
      </c>
      <c r="AN276" s="135" t="str">
        <f>AO276</f>
        <v>D</v>
      </c>
      <c r="AO276" s="135" t="s">
        <v>21</v>
      </c>
      <c r="AP276" s="372">
        <v>45584</v>
      </c>
      <c r="AQ276" s="372">
        <v>45587</v>
      </c>
      <c r="AR276" s="372">
        <v>45585</v>
      </c>
      <c r="AS276" s="372">
        <v>45589</v>
      </c>
      <c r="AT276" s="187" t="s">
        <v>597</v>
      </c>
      <c r="AU276" s="188"/>
      <c r="AV276" s="142" t="s">
        <v>20</v>
      </c>
      <c r="AW276" s="15" t="s">
        <v>548</v>
      </c>
      <c r="AX276" s="297">
        <f>AY276</f>
        <v>45667</v>
      </c>
      <c r="AY276" s="297">
        <v>45667</v>
      </c>
      <c r="AZ276" s="187" t="s">
        <v>597</v>
      </c>
      <c r="BA276" s="188"/>
      <c r="BB276" s="142" t="s">
        <v>20</v>
      </c>
      <c r="BC276" s="135"/>
      <c r="BD276" s="135" t="s">
        <v>21</v>
      </c>
      <c r="BE276" s="298">
        <f>BF276-1</f>
        <v>45685</v>
      </c>
      <c r="BF276" s="298">
        <v>45686</v>
      </c>
      <c r="BG276" s="17" t="s">
        <v>510</v>
      </c>
      <c r="BH276" s="193"/>
      <c r="BI276" s="142" t="s">
        <v>20</v>
      </c>
      <c r="BJ276" s="135">
        <f>BK276-2</f>
        <v>45771</v>
      </c>
      <c r="BK276" s="135">
        <v>45773</v>
      </c>
      <c r="BL276" s="25">
        <v>1330</v>
      </c>
      <c r="BM276" s="24" t="s">
        <v>593</v>
      </c>
    </row>
    <row r="277" spans="1:65" ht="14.25" hidden="1" customHeight="1">
      <c r="B277" s="19"/>
      <c r="C277" s="184"/>
      <c r="D277" s="134"/>
      <c r="E277" s="134"/>
      <c r="F277" s="134"/>
      <c r="G277" s="134"/>
      <c r="H277" s="185"/>
      <c r="I277" s="19"/>
      <c r="J277" s="19"/>
      <c r="K277" s="186"/>
      <c r="L277" s="178"/>
      <c r="M277" s="15"/>
      <c r="N277" s="15"/>
      <c r="O277" s="15"/>
      <c r="P277" s="180">
        <f t="shared" si="36"/>
        <v>0</v>
      </c>
      <c r="Q277" s="178"/>
      <c r="R277" s="15"/>
      <c r="S277" s="180"/>
      <c r="T277" s="204"/>
      <c r="U277" s="204"/>
      <c r="V277" s="25">
        <v>300.61399999999998</v>
      </c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82"/>
      <c r="AM277" s="15"/>
      <c r="AN277" s="24"/>
      <c r="AO277" s="24"/>
      <c r="AP277" s="24"/>
      <c r="AQ277" s="24"/>
      <c r="AR277" s="24"/>
      <c r="AS277" s="24"/>
      <c r="AT277" s="24"/>
      <c r="AU277" s="183"/>
      <c r="AV277" s="15"/>
      <c r="AW277" s="24"/>
      <c r="AX277" s="297"/>
      <c r="AY277" s="297"/>
      <c r="AZ277" s="24"/>
      <c r="BA277" s="183"/>
      <c r="BB277" s="24"/>
      <c r="BC277" s="24"/>
      <c r="BD277" s="24"/>
      <c r="BE277" s="24"/>
      <c r="BF277" s="24"/>
      <c r="BG277" s="24"/>
      <c r="BH277" s="183"/>
      <c r="BI277" s="24"/>
      <c r="BJ277" s="24"/>
      <c r="BK277" s="24"/>
      <c r="BL277" s="24"/>
      <c r="BM277" s="24"/>
    </row>
    <row r="278" spans="1:65" ht="14.25" customHeight="1">
      <c r="A278" s="15">
        <v>135</v>
      </c>
      <c r="B278" s="19" t="s">
        <v>214</v>
      </c>
      <c r="C278" s="184" t="s">
        <v>89</v>
      </c>
      <c r="D278" s="134">
        <v>8.6300000000000008</v>
      </c>
      <c r="E278" s="134">
        <f>D278*4</f>
        <v>34.520000000000003</v>
      </c>
      <c r="F278" s="134">
        <f>E278*8</f>
        <v>276.16000000000003</v>
      </c>
      <c r="G278" s="134"/>
      <c r="H278" s="185"/>
      <c r="I278" s="19"/>
      <c r="J278" s="19"/>
      <c r="K278" s="186"/>
      <c r="L278" s="178">
        <v>3.867</v>
      </c>
      <c r="M278" s="15">
        <v>3.306</v>
      </c>
      <c r="N278" s="15">
        <v>4.3E-3</v>
      </c>
      <c r="O278" s="15">
        <v>0.27500000000000002</v>
      </c>
      <c r="P278" s="180">
        <f t="shared" si="36"/>
        <v>7.4523000000000001</v>
      </c>
      <c r="Q278" s="178">
        <v>0.36299999999999999</v>
      </c>
      <c r="R278" s="15">
        <v>6.0000000000000001E-3</v>
      </c>
      <c r="S278" s="180">
        <f>SUM(Q278:R278)</f>
        <v>0.36899999999999999</v>
      </c>
      <c r="T278" s="204" t="s">
        <v>213</v>
      </c>
      <c r="U278" s="181" t="s">
        <v>540</v>
      </c>
      <c r="V278" s="25"/>
      <c r="W278" s="15" t="s">
        <v>570</v>
      </c>
      <c r="X278" s="15">
        <v>102.06</v>
      </c>
      <c r="Y278" s="15">
        <v>1.1499999999999999</v>
      </c>
      <c r="Z278" s="15">
        <v>10.71</v>
      </c>
      <c r="AA278" s="15"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82"/>
      <c r="AM278" s="142" t="s">
        <v>20</v>
      </c>
      <c r="AN278" s="135" t="str">
        <f>AO278</f>
        <v>D</v>
      </c>
      <c r="AO278" s="135" t="s">
        <v>21</v>
      </c>
      <c r="AP278" s="372">
        <v>45574</v>
      </c>
      <c r="AQ278" s="372">
        <v>45581</v>
      </c>
      <c r="AR278" s="372">
        <v>45582</v>
      </c>
      <c r="AS278" s="372">
        <v>45585</v>
      </c>
      <c r="AT278" s="187" t="s">
        <v>597</v>
      </c>
      <c r="AU278" s="188"/>
      <c r="AV278" s="142" t="s">
        <v>20</v>
      </c>
      <c r="AW278" s="15" t="s">
        <v>548</v>
      </c>
      <c r="AX278" s="297">
        <f>AY278</f>
        <v>45659</v>
      </c>
      <c r="AY278" s="297">
        <v>45659</v>
      </c>
      <c r="AZ278" s="187" t="s">
        <v>543</v>
      </c>
      <c r="BA278" s="188"/>
      <c r="BB278" s="142" t="s">
        <v>20</v>
      </c>
      <c r="BC278" s="135"/>
      <c r="BD278" s="135" t="s">
        <v>21</v>
      </c>
      <c r="BE278" s="298">
        <f>BF278-1</f>
        <v>45673</v>
      </c>
      <c r="BF278" s="298">
        <v>45674</v>
      </c>
      <c r="BG278" s="17" t="s">
        <v>510</v>
      </c>
      <c r="BH278" s="192"/>
      <c r="BI278" s="142" t="s">
        <v>20</v>
      </c>
      <c r="BJ278" s="135">
        <f>BK278-2</f>
        <v>45772</v>
      </c>
      <c r="BK278" s="135">
        <v>45774</v>
      </c>
      <c r="BL278" s="25">
        <v>1560</v>
      </c>
      <c r="BM278" s="24" t="s">
        <v>593</v>
      </c>
    </row>
    <row r="279" spans="1:65" ht="14.25" hidden="1" customHeight="1">
      <c r="B279" s="19"/>
      <c r="C279" s="184"/>
      <c r="D279" s="134"/>
      <c r="E279" s="134"/>
      <c r="F279" s="134"/>
      <c r="G279" s="134"/>
      <c r="H279" s="185"/>
      <c r="I279" s="19"/>
      <c r="J279" s="19"/>
      <c r="K279" s="186"/>
      <c r="L279" s="178"/>
      <c r="M279" s="15"/>
      <c r="N279" s="15"/>
      <c r="O279" s="15"/>
      <c r="P279" s="180">
        <f t="shared" si="36"/>
        <v>0</v>
      </c>
      <c r="Q279" s="178"/>
      <c r="R279" s="15"/>
      <c r="S279" s="180"/>
      <c r="T279" s="204"/>
      <c r="U279" s="204"/>
      <c r="V279" s="16">
        <v>315.42</v>
      </c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82"/>
      <c r="AM279" s="15"/>
      <c r="AN279" s="24"/>
      <c r="AO279" s="24"/>
      <c r="AP279" s="24"/>
      <c r="AQ279" s="24"/>
      <c r="AR279" s="24"/>
      <c r="AS279" s="24"/>
      <c r="AT279" s="24"/>
      <c r="AU279" s="183"/>
      <c r="AV279" s="15"/>
      <c r="AW279" s="24"/>
      <c r="AX279" s="297"/>
      <c r="AY279" s="297"/>
      <c r="AZ279" s="24"/>
      <c r="BA279" s="183"/>
      <c r="BB279" s="24"/>
      <c r="BC279" s="24"/>
      <c r="BD279" s="24"/>
      <c r="BE279" s="24"/>
      <c r="BF279" s="24"/>
      <c r="BG279" s="24"/>
      <c r="BH279" s="183"/>
      <c r="BI279" s="24"/>
      <c r="BJ279" s="24"/>
      <c r="BK279" s="24"/>
      <c r="BL279" s="24"/>
      <c r="BM279" s="24"/>
    </row>
    <row r="280" spans="1:65" ht="14.25" customHeight="1">
      <c r="A280" s="15">
        <v>136</v>
      </c>
      <c r="B280" s="19" t="s">
        <v>215</v>
      </c>
      <c r="C280" s="184" t="s">
        <v>42</v>
      </c>
      <c r="D280" s="134">
        <v>6.3620000000000001</v>
      </c>
      <c r="E280" s="134">
        <f>D280*4</f>
        <v>25.448</v>
      </c>
      <c r="F280" s="134">
        <f>E280*8</f>
        <v>203.584</v>
      </c>
      <c r="G280" s="134"/>
      <c r="H280" s="185"/>
      <c r="I280" s="19"/>
      <c r="J280" s="19"/>
      <c r="K280" s="186"/>
      <c r="L280" s="178">
        <v>2.25</v>
      </c>
      <c r="M280" s="15">
        <v>2.1880000000000002</v>
      </c>
      <c r="N280" s="15">
        <v>2E-3</v>
      </c>
      <c r="O280" s="15">
        <v>0.183</v>
      </c>
      <c r="P280" s="180">
        <f t="shared" si="36"/>
        <v>4.6230000000000002</v>
      </c>
      <c r="Q280" s="178">
        <v>0.24399999999999999</v>
      </c>
      <c r="R280" s="15">
        <v>5.0000000000000001E-3</v>
      </c>
      <c r="S280" s="180">
        <f>SUM(Q280:R280)</f>
        <v>0.249</v>
      </c>
      <c r="T280" s="204"/>
      <c r="U280" s="181" t="s">
        <v>540</v>
      </c>
      <c r="V280" s="15"/>
      <c r="W280" s="15" t="s">
        <v>592</v>
      </c>
      <c r="X280" s="16">
        <v>143.36000000000001</v>
      </c>
      <c r="Y280" s="16">
        <v>1.68</v>
      </c>
      <c r="Z280" s="16">
        <v>11.97</v>
      </c>
      <c r="AA280" s="16">
        <f>Y280+Z280</f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82"/>
      <c r="AM280" s="142" t="s">
        <v>20</v>
      </c>
      <c r="AN280" s="135" t="str">
        <f>AO280</f>
        <v>D</v>
      </c>
      <c r="AO280" s="135" t="s">
        <v>21</v>
      </c>
      <c r="AP280" s="372">
        <v>45514</v>
      </c>
      <c r="AQ280" s="372">
        <v>45520</v>
      </c>
      <c r="AR280" s="372">
        <f>AS280-4</f>
        <v>45618</v>
      </c>
      <c r="AS280" s="372">
        <v>45622</v>
      </c>
      <c r="AT280" s="187" t="s">
        <v>543</v>
      </c>
      <c r="AU280" s="188"/>
      <c r="AV280" s="142" t="s">
        <v>20</v>
      </c>
      <c r="AW280" s="15" t="s">
        <v>548</v>
      </c>
      <c r="AX280" s="297">
        <f>AY280</f>
        <v>45660</v>
      </c>
      <c r="AY280" s="297">
        <v>45660</v>
      </c>
      <c r="AZ280" s="187" t="s">
        <v>543</v>
      </c>
      <c r="BA280" s="188"/>
      <c r="BB280" s="142" t="s">
        <v>20</v>
      </c>
      <c r="BC280" s="135"/>
      <c r="BD280" s="135" t="s">
        <v>21</v>
      </c>
      <c r="BE280" s="298">
        <f>BF280-1</f>
        <v>45675</v>
      </c>
      <c r="BF280" s="298">
        <v>45676</v>
      </c>
      <c r="BG280" s="17" t="s">
        <v>510</v>
      </c>
      <c r="BH280" s="193"/>
      <c r="BI280" s="142" t="s">
        <v>20</v>
      </c>
      <c r="BJ280" s="135">
        <f>BK280-2</f>
        <v>45772</v>
      </c>
      <c r="BK280" s="135">
        <v>45774</v>
      </c>
      <c r="BL280" s="25">
        <v>980</v>
      </c>
      <c r="BM280" s="24" t="s">
        <v>593</v>
      </c>
    </row>
    <row r="281" spans="1:65" ht="14.25" hidden="1" customHeight="1">
      <c r="B281" s="19"/>
      <c r="C281" s="184"/>
      <c r="D281" s="134"/>
      <c r="E281" s="134"/>
      <c r="F281" s="134"/>
      <c r="G281" s="134"/>
      <c r="H281" s="185"/>
      <c r="I281" s="19"/>
      <c r="J281" s="19"/>
      <c r="K281" s="186"/>
      <c r="L281" s="178"/>
      <c r="M281" s="15"/>
      <c r="N281" s="15"/>
      <c r="O281" s="15"/>
      <c r="P281" s="180">
        <f t="shared" si="36"/>
        <v>0</v>
      </c>
      <c r="Q281" s="178"/>
      <c r="R281" s="15"/>
      <c r="S281" s="180"/>
      <c r="T281" s="204"/>
      <c r="U281" s="204"/>
      <c r="V281" s="16">
        <v>329.64</v>
      </c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82"/>
      <c r="AM281" s="15"/>
      <c r="AN281" s="24"/>
      <c r="AO281" s="24"/>
      <c r="AP281" s="24"/>
      <c r="AQ281" s="24"/>
      <c r="AR281" s="24"/>
      <c r="AS281" s="24"/>
      <c r="AT281" s="24"/>
      <c r="AU281" s="183"/>
      <c r="AV281" s="15"/>
      <c r="AW281" s="24"/>
      <c r="AX281" s="297"/>
      <c r="AY281" s="297"/>
      <c r="AZ281" s="24"/>
      <c r="BA281" s="183"/>
      <c r="BB281" s="24"/>
      <c r="BC281" s="24"/>
      <c r="BD281" s="24"/>
      <c r="BE281" s="24"/>
      <c r="BF281" s="24"/>
      <c r="BG281" s="24"/>
      <c r="BH281" s="183"/>
      <c r="BI281" s="24"/>
      <c r="BJ281" s="24"/>
      <c r="BK281" s="24"/>
      <c r="BL281" s="24"/>
      <c r="BM281" s="24"/>
    </row>
    <row r="282" spans="1:65" ht="14.25" customHeight="1">
      <c r="A282" s="15">
        <v>137</v>
      </c>
      <c r="B282" s="19" t="s">
        <v>216</v>
      </c>
      <c r="C282" s="184" t="s">
        <v>37</v>
      </c>
      <c r="D282" s="134">
        <v>6.992</v>
      </c>
      <c r="E282" s="134">
        <f>D282*4</f>
        <v>27.968</v>
      </c>
      <c r="F282" s="134">
        <f>E282*8</f>
        <v>223.744</v>
      </c>
      <c r="G282" s="134"/>
      <c r="H282" s="185"/>
      <c r="I282" s="19"/>
      <c r="J282" s="19"/>
      <c r="K282" s="186"/>
      <c r="L282" s="178">
        <v>2.6070000000000002</v>
      </c>
      <c r="M282" s="15">
        <v>2.657</v>
      </c>
      <c r="N282" s="15">
        <v>2E-3</v>
      </c>
      <c r="O282" s="15">
        <v>0.21299999999999999</v>
      </c>
      <c r="P282" s="180">
        <f t="shared" si="36"/>
        <v>5.4790000000000001</v>
      </c>
      <c r="Q282" s="178">
        <v>0.24399999999999999</v>
      </c>
      <c r="R282" s="15">
        <v>5.0000000000000001E-3</v>
      </c>
      <c r="S282" s="180">
        <f>SUM(Q282:R282)</f>
        <v>0.249</v>
      </c>
      <c r="T282" s="204"/>
      <c r="U282" s="181" t="s">
        <v>540</v>
      </c>
      <c r="V282" s="15"/>
      <c r="W282" s="15" t="s">
        <v>592</v>
      </c>
      <c r="X282" s="16">
        <v>143.36000000000001</v>
      </c>
      <c r="Y282" s="16">
        <v>1.68</v>
      </c>
      <c r="Z282" s="16">
        <v>11.97</v>
      </c>
      <c r="AA282" s="16">
        <f>Y282+Z282</f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82"/>
      <c r="AM282" s="142" t="s">
        <v>20</v>
      </c>
      <c r="AN282" s="135" t="str">
        <f>AO282</f>
        <v>D</v>
      </c>
      <c r="AO282" s="135" t="s">
        <v>21</v>
      </c>
      <c r="AP282" s="372">
        <v>45521</v>
      </c>
      <c r="AQ282" s="372">
        <v>45527</v>
      </c>
      <c r="AR282" s="372">
        <v>45528</v>
      </c>
      <c r="AS282" s="372">
        <v>45569</v>
      </c>
      <c r="AT282" s="187" t="s">
        <v>543</v>
      </c>
      <c r="AU282" s="188"/>
      <c r="AV282" s="142" t="s">
        <v>20</v>
      </c>
      <c r="AW282" s="15" t="s">
        <v>548</v>
      </c>
      <c r="AX282" s="297">
        <f>AY282</f>
        <v>45676</v>
      </c>
      <c r="AY282" s="297">
        <v>45676</v>
      </c>
      <c r="AZ282" s="187" t="s">
        <v>543</v>
      </c>
      <c r="BA282" s="188"/>
      <c r="BB282" s="142" t="s">
        <v>20</v>
      </c>
      <c r="BC282" s="135"/>
      <c r="BD282" s="135" t="s">
        <v>21</v>
      </c>
      <c r="BE282" s="298">
        <f>BF282-1</f>
        <v>45677</v>
      </c>
      <c r="BF282" s="298">
        <v>45678</v>
      </c>
      <c r="BG282" s="17" t="s">
        <v>510</v>
      </c>
      <c r="BH282" s="193"/>
      <c r="BI282" s="142" t="s">
        <v>20</v>
      </c>
      <c r="BJ282" s="135">
        <f>BK282-2</f>
        <v>45772</v>
      </c>
      <c r="BK282" s="135">
        <v>45774</v>
      </c>
      <c r="BL282" s="25">
        <v>1330</v>
      </c>
      <c r="BM282" s="24" t="s">
        <v>593</v>
      </c>
    </row>
    <row r="283" spans="1:65" ht="14.25" hidden="1" customHeight="1">
      <c r="B283" s="19"/>
      <c r="C283" s="184"/>
      <c r="D283" s="134"/>
      <c r="E283" s="134"/>
      <c r="F283" s="134"/>
      <c r="G283" s="134"/>
      <c r="H283" s="185"/>
      <c r="I283" s="19"/>
      <c r="J283" s="19"/>
      <c r="K283" s="186"/>
      <c r="L283" s="178"/>
      <c r="M283" s="15"/>
      <c r="N283" s="15"/>
      <c r="O283" s="15"/>
      <c r="P283" s="180">
        <f t="shared" si="36"/>
        <v>0</v>
      </c>
      <c r="Q283" s="178"/>
      <c r="R283" s="15"/>
      <c r="S283" s="180"/>
      <c r="T283" s="204"/>
      <c r="U283" s="204"/>
      <c r="V283" s="16">
        <v>382.97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82"/>
      <c r="AM283" s="15"/>
      <c r="AN283" s="24"/>
      <c r="AO283" s="24"/>
      <c r="AP283" s="24"/>
      <c r="AQ283" s="24"/>
      <c r="AR283" s="24"/>
      <c r="AS283" s="24"/>
      <c r="AT283" s="24"/>
      <c r="AU283" s="183"/>
      <c r="AV283" s="15"/>
      <c r="AW283" s="24"/>
      <c r="AX283" s="297"/>
      <c r="AY283" s="297"/>
      <c r="AZ283" s="24"/>
      <c r="BA283" s="183"/>
      <c r="BB283" s="24"/>
      <c r="BC283" s="24"/>
      <c r="BD283" s="24"/>
      <c r="BE283" s="24"/>
      <c r="BF283" s="24"/>
      <c r="BG283" s="24"/>
      <c r="BH283" s="183"/>
      <c r="BI283" s="24"/>
      <c r="BJ283" s="24"/>
      <c r="BK283" s="24"/>
      <c r="BL283" s="24"/>
      <c r="BM283" s="24"/>
    </row>
    <row r="284" spans="1:65" ht="14.25" customHeight="1">
      <c r="A284" s="15">
        <v>138</v>
      </c>
      <c r="B284" s="19" t="s">
        <v>217</v>
      </c>
      <c r="C284" s="184" t="s">
        <v>37</v>
      </c>
      <c r="D284" s="134">
        <v>6.992</v>
      </c>
      <c r="E284" s="134">
        <f>D284*4</f>
        <v>27.968</v>
      </c>
      <c r="F284" s="134">
        <f>E284*8</f>
        <v>223.744</v>
      </c>
      <c r="G284" s="134"/>
      <c r="H284" s="185"/>
      <c r="I284" s="19"/>
      <c r="J284" s="19"/>
      <c r="K284" s="186"/>
      <c r="L284" s="178">
        <v>2.6070000000000002</v>
      </c>
      <c r="M284" s="15">
        <v>2.657</v>
      </c>
      <c r="N284" s="15">
        <v>2E-3</v>
      </c>
      <c r="O284" s="15">
        <v>0.21299999999999999</v>
      </c>
      <c r="P284" s="180">
        <f t="shared" si="36"/>
        <v>5.4790000000000001</v>
      </c>
      <c r="Q284" s="178">
        <v>0.24399999999999999</v>
      </c>
      <c r="R284" s="15">
        <v>5.0000000000000001E-3</v>
      </c>
      <c r="S284" s="180">
        <f>SUM(Q284:R284)</f>
        <v>0.249</v>
      </c>
      <c r="T284" s="204"/>
      <c r="U284" s="181" t="s">
        <v>540</v>
      </c>
      <c r="V284" s="15"/>
      <c r="W284" s="15" t="s">
        <v>592</v>
      </c>
      <c r="X284" s="16">
        <v>143.36000000000001</v>
      </c>
      <c r="Y284" s="16">
        <v>1.68</v>
      </c>
      <c r="Z284" s="16">
        <v>11.97</v>
      </c>
      <c r="AA284" s="16">
        <f>Y284+Z284</f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82"/>
      <c r="AM284" s="142" t="s">
        <v>20</v>
      </c>
      <c r="AN284" s="24" t="s">
        <v>21</v>
      </c>
      <c r="AO284" s="135" t="s">
        <v>21</v>
      </c>
      <c r="AP284" s="372">
        <f t="shared" ref="AP284:AR284" si="74">AQ284-2</f>
        <v>45608</v>
      </c>
      <c r="AQ284" s="372">
        <f t="shared" si="74"/>
        <v>45610</v>
      </c>
      <c r="AR284" s="372">
        <f t="shared" si="74"/>
        <v>45612</v>
      </c>
      <c r="AS284" s="372">
        <v>45614</v>
      </c>
      <c r="AT284" s="187" t="s">
        <v>543</v>
      </c>
      <c r="AU284" s="188"/>
      <c r="AV284" s="142" t="s">
        <v>20</v>
      </c>
      <c r="AW284" s="15" t="s">
        <v>548</v>
      </c>
      <c r="AX284" s="297">
        <f>AY284</f>
        <v>45661</v>
      </c>
      <c r="AY284" s="297">
        <v>45661</v>
      </c>
      <c r="AZ284" s="187" t="s">
        <v>543</v>
      </c>
      <c r="BA284" s="188"/>
      <c r="BB284" s="142" t="s">
        <v>20</v>
      </c>
      <c r="BC284" s="135"/>
      <c r="BD284" s="135" t="s">
        <v>21</v>
      </c>
      <c r="BE284" s="298">
        <f>BF284-1</f>
        <v>45679</v>
      </c>
      <c r="BF284" s="298">
        <v>45680</v>
      </c>
      <c r="BG284" s="17" t="s">
        <v>510</v>
      </c>
      <c r="BH284" s="192"/>
      <c r="BI284" s="142" t="s">
        <v>20</v>
      </c>
      <c r="BJ284" s="135">
        <f>BK284-2</f>
        <v>45772</v>
      </c>
      <c r="BK284" s="135">
        <v>45774</v>
      </c>
      <c r="BL284" s="25">
        <v>1330</v>
      </c>
      <c r="BM284" s="24" t="s">
        <v>593</v>
      </c>
    </row>
    <row r="285" spans="1:65" ht="14.25" hidden="1" customHeight="1">
      <c r="B285" s="19"/>
      <c r="C285" s="184"/>
      <c r="D285" s="134"/>
      <c r="E285" s="134"/>
      <c r="F285" s="134"/>
      <c r="G285" s="134"/>
      <c r="H285" s="185"/>
      <c r="I285" s="19"/>
      <c r="J285" s="19"/>
      <c r="K285" s="186"/>
      <c r="L285" s="178"/>
      <c r="M285" s="15"/>
      <c r="N285" s="15"/>
      <c r="O285" s="15"/>
      <c r="P285" s="180">
        <f t="shared" si="36"/>
        <v>0</v>
      </c>
      <c r="Q285" s="178"/>
      <c r="R285" s="15"/>
      <c r="S285" s="180"/>
      <c r="T285" s="204"/>
      <c r="U285" s="204"/>
      <c r="V285" s="16">
        <v>323.74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82"/>
      <c r="AM285" s="15"/>
      <c r="AN285" s="24"/>
      <c r="AO285" s="24"/>
      <c r="AP285" s="24"/>
      <c r="AQ285" s="24"/>
      <c r="AR285" s="24"/>
      <c r="AS285" s="24"/>
      <c r="AT285" s="24"/>
      <c r="AU285" s="183"/>
      <c r="AV285" s="15"/>
      <c r="AW285" s="24"/>
      <c r="AX285" s="297"/>
      <c r="AY285" s="297"/>
      <c r="AZ285" s="24"/>
      <c r="BA285" s="183"/>
      <c r="BB285" s="24"/>
      <c r="BC285" s="24"/>
      <c r="BD285" s="24"/>
      <c r="BE285" s="24"/>
      <c r="BF285" s="24"/>
      <c r="BG285" s="24"/>
      <c r="BH285" s="183"/>
      <c r="BI285" s="24"/>
      <c r="BJ285" s="24"/>
      <c r="BK285" s="24"/>
      <c r="BL285" s="24"/>
      <c r="BM285" s="24"/>
    </row>
    <row r="286" spans="1:65" ht="14.25" customHeight="1">
      <c r="A286" s="15">
        <v>139</v>
      </c>
      <c r="B286" s="19" t="s">
        <v>218</v>
      </c>
      <c r="C286" s="184" t="s">
        <v>42</v>
      </c>
      <c r="D286" s="134">
        <v>6.3620000000000001</v>
      </c>
      <c r="E286" s="134">
        <f>D286*4</f>
        <v>25.448</v>
      </c>
      <c r="F286" s="134">
        <f>E286*8</f>
        <v>203.584</v>
      </c>
      <c r="G286" s="134"/>
      <c r="H286" s="185"/>
      <c r="I286" s="19"/>
      <c r="J286" s="19"/>
      <c r="K286" s="186"/>
      <c r="L286" s="178">
        <v>2.25</v>
      </c>
      <c r="M286" s="15">
        <v>2.1880000000000002</v>
      </c>
      <c r="N286" s="15">
        <v>2E-3</v>
      </c>
      <c r="O286" s="15">
        <v>0.183</v>
      </c>
      <c r="P286" s="180">
        <f t="shared" si="36"/>
        <v>4.6230000000000002</v>
      </c>
      <c r="Q286" s="178">
        <v>0.24399999999999999</v>
      </c>
      <c r="R286" s="15">
        <v>5.0000000000000001E-3</v>
      </c>
      <c r="S286" s="180">
        <f>SUM(Q286:R286)</f>
        <v>0.249</v>
      </c>
      <c r="T286" s="204"/>
      <c r="U286" s="181" t="s">
        <v>540</v>
      </c>
      <c r="V286" s="15"/>
      <c r="W286" s="15" t="s">
        <v>592</v>
      </c>
      <c r="X286" s="16">
        <v>143.36000000000001</v>
      </c>
      <c r="Y286" s="16">
        <v>1.68</v>
      </c>
      <c r="Z286" s="16">
        <v>11.97</v>
      </c>
      <c r="AA286" s="16">
        <f>Y286+Z286</f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82"/>
      <c r="AM286" s="142" t="s">
        <v>20</v>
      </c>
      <c r="AN286" s="135" t="str">
        <f>AO286</f>
        <v>D</v>
      </c>
      <c r="AO286" s="135" t="s">
        <v>21</v>
      </c>
      <c r="AP286" s="372">
        <f t="shared" ref="AP286:AQ286" si="75">AQ286-2</f>
        <v>45613</v>
      </c>
      <c r="AQ286" s="372">
        <f t="shared" si="75"/>
        <v>45615</v>
      </c>
      <c r="AR286" s="372">
        <f>AS286-3</f>
        <v>45617</v>
      </c>
      <c r="AS286" s="372">
        <v>45620</v>
      </c>
      <c r="AT286" s="187" t="s">
        <v>543</v>
      </c>
      <c r="AU286" s="188"/>
      <c r="AV286" s="142" t="s">
        <v>20</v>
      </c>
      <c r="AW286" s="15" t="s">
        <v>548</v>
      </c>
      <c r="AX286" s="297">
        <v>45667</v>
      </c>
      <c r="AY286" s="297">
        <v>45667</v>
      </c>
      <c r="AZ286" s="187" t="s">
        <v>543</v>
      </c>
      <c r="BA286" s="188"/>
      <c r="BB286" s="142" t="s">
        <v>20</v>
      </c>
      <c r="BC286" s="135"/>
      <c r="BD286" s="135" t="s">
        <v>21</v>
      </c>
      <c r="BE286" s="298">
        <f>BF286-1</f>
        <v>45681</v>
      </c>
      <c r="BF286" s="298">
        <v>45682</v>
      </c>
      <c r="BG286" s="17" t="s">
        <v>510</v>
      </c>
      <c r="BH286" s="192"/>
      <c r="BI286" s="142" t="s">
        <v>20</v>
      </c>
      <c r="BJ286" s="135">
        <f>BK286-2</f>
        <v>45772</v>
      </c>
      <c r="BK286" s="135">
        <v>45774</v>
      </c>
      <c r="BL286" s="25">
        <v>980</v>
      </c>
      <c r="BM286" s="24" t="s">
        <v>593</v>
      </c>
    </row>
    <row r="287" spans="1:65" ht="14.25" hidden="1" customHeight="1">
      <c r="B287" s="19"/>
      <c r="C287" s="184"/>
      <c r="D287" s="134"/>
      <c r="E287" s="134"/>
      <c r="F287" s="134"/>
      <c r="G287" s="134"/>
      <c r="H287" s="185"/>
      <c r="I287" s="19"/>
      <c r="J287" s="19"/>
      <c r="K287" s="186"/>
      <c r="L287" s="178"/>
      <c r="M287" s="15"/>
      <c r="N287" s="15"/>
      <c r="O287" s="15"/>
      <c r="P287" s="180">
        <f t="shared" si="36"/>
        <v>0</v>
      </c>
      <c r="Q287" s="178"/>
      <c r="R287" s="15"/>
      <c r="S287" s="180"/>
      <c r="T287" s="204"/>
      <c r="U287" s="204"/>
      <c r="V287" s="16">
        <v>328.78</v>
      </c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82"/>
      <c r="AM287" s="15"/>
      <c r="AN287" s="24"/>
      <c r="AO287" s="24"/>
      <c r="AP287" s="24"/>
      <c r="AQ287" s="24"/>
      <c r="AR287" s="24"/>
      <c r="AS287" s="24"/>
      <c r="AT287" s="24"/>
      <c r="AU287" s="183"/>
      <c r="AV287" s="15"/>
      <c r="AW287" s="24"/>
      <c r="AX287" s="297"/>
      <c r="AY287" s="297"/>
      <c r="AZ287" s="24"/>
      <c r="BA287" s="183"/>
      <c r="BB287" s="24"/>
      <c r="BC287" s="24"/>
      <c r="BD287" s="24"/>
      <c r="BE287" s="24"/>
      <c r="BF287" s="24"/>
      <c r="BG287" s="24"/>
      <c r="BH287" s="183"/>
      <c r="BI287" s="24"/>
      <c r="BJ287" s="24"/>
      <c r="BK287" s="24"/>
      <c r="BL287" s="24"/>
      <c r="BM287" s="24"/>
    </row>
    <row r="288" spans="1:65" ht="14.25" customHeight="1">
      <c r="A288" s="15">
        <v>140</v>
      </c>
      <c r="B288" s="19" t="s">
        <v>219</v>
      </c>
      <c r="C288" s="184" t="s">
        <v>42</v>
      </c>
      <c r="D288" s="134">
        <v>6.3620000000000001</v>
      </c>
      <c r="E288" s="134">
        <f>D288*4</f>
        <v>25.448</v>
      </c>
      <c r="F288" s="134">
        <f>E288*8</f>
        <v>203.584</v>
      </c>
      <c r="G288" s="134"/>
      <c r="H288" s="185"/>
      <c r="I288" s="19"/>
      <c r="J288" s="19"/>
      <c r="K288" s="186"/>
      <c r="L288" s="178">
        <v>2.25</v>
      </c>
      <c r="M288" s="15">
        <v>2.1880000000000002</v>
      </c>
      <c r="N288" s="15">
        <v>2E-3</v>
      </c>
      <c r="O288" s="15">
        <v>0.183</v>
      </c>
      <c r="P288" s="180">
        <f t="shared" si="36"/>
        <v>4.6230000000000002</v>
      </c>
      <c r="Q288" s="178">
        <v>0.24399999999999999</v>
      </c>
      <c r="R288" s="15">
        <v>5.0000000000000001E-3</v>
      </c>
      <c r="S288" s="180">
        <f>SUM(Q288:R288)</f>
        <v>0.249</v>
      </c>
      <c r="T288" s="204"/>
      <c r="U288" s="181" t="s">
        <v>540</v>
      </c>
      <c r="V288" s="15"/>
      <c r="W288" s="15" t="s">
        <v>592</v>
      </c>
      <c r="X288" s="16">
        <v>143.36000000000001</v>
      </c>
      <c r="Y288" s="16">
        <v>1.68</v>
      </c>
      <c r="Z288" s="16">
        <v>11.97</v>
      </c>
      <c r="AA288" s="16">
        <f>Y288+Z288</f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82"/>
      <c r="AM288" s="142" t="s">
        <v>20</v>
      </c>
      <c r="AN288" s="135" t="str">
        <f>AO288</f>
        <v>D</v>
      </c>
      <c r="AO288" s="135" t="s">
        <v>21</v>
      </c>
      <c r="AP288" s="372">
        <v>45589</v>
      </c>
      <c r="AQ288" s="372">
        <f>AR288-5</f>
        <v>45609</v>
      </c>
      <c r="AR288" s="372">
        <f>AS288-3</f>
        <v>45614</v>
      </c>
      <c r="AS288" s="372">
        <v>45617</v>
      </c>
      <c r="AT288" s="187" t="s">
        <v>591</v>
      </c>
      <c r="AU288" s="188"/>
      <c r="AV288" s="142" t="s">
        <v>20</v>
      </c>
      <c r="AW288" s="15" t="s">
        <v>548</v>
      </c>
      <c r="AX288" s="297">
        <f>AY288</f>
        <v>45662</v>
      </c>
      <c r="AY288" s="297">
        <v>45662</v>
      </c>
      <c r="AZ288" s="187" t="s">
        <v>543</v>
      </c>
      <c r="BA288" s="188"/>
      <c r="BB288" s="142" t="s">
        <v>20</v>
      </c>
      <c r="BC288" s="135"/>
      <c r="BD288" s="135" t="s">
        <v>21</v>
      </c>
      <c r="BE288" s="298">
        <f>BF288-1</f>
        <v>45786</v>
      </c>
      <c r="BF288" s="298">
        <v>45787</v>
      </c>
      <c r="BG288" s="17" t="s">
        <v>510</v>
      </c>
      <c r="BH288" s="193"/>
      <c r="BI288" s="142" t="s">
        <v>20</v>
      </c>
      <c r="BJ288" s="135">
        <f>BK288-2</f>
        <v>45772</v>
      </c>
      <c r="BK288" s="135">
        <v>45774</v>
      </c>
      <c r="BL288" s="25">
        <v>980</v>
      </c>
      <c r="BM288" s="24" t="s">
        <v>593</v>
      </c>
    </row>
    <row r="289" spans="1:65" ht="14.25" hidden="1" customHeight="1">
      <c r="B289" s="19"/>
      <c r="C289" s="184"/>
      <c r="D289" s="134"/>
      <c r="E289" s="134"/>
      <c r="F289" s="134"/>
      <c r="G289" s="134"/>
      <c r="H289" s="185"/>
      <c r="I289" s="19"/>
      <c r="J289" s="19"/>
      <c r="K289" s="186"/>
      <c r="L289" s="178"/>
      <c r="M289" s="15"/>
      <c r="N289" s="15"/>
      <c r="O289" s="15"/>
      <c r="P289" s="180">
        <f t="shared" si="36"/>
        <v>0</v>
      </c>
      <c r="Q289" s="178"/>
      <c r="R289" s="15"/>
      <c r="S289" s="180"/>
      <c r="T289" s="204"/>
      <c r="U289" s="204"/>
      <c r="V289" s="16">
        <v>266</v>
      </c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82"/>
      <c r="AM289" s="15"/>
      <c r="AN289" s="24"/>
      <c r="AO289" s="24"/>
      <c r="AP289" s="24"/>
      <c r="AQ289" s="24"/>
      <c r="AR289" s="24"/>
      <c r="AS289" s="24"/>
      <c r="AT289" s="24"/>
      <c r="AU289" s="183"/>
      <c r="AV289" s="15"/>
      <c r="AW289" s="24"/>
      <c r="AX289" s="297"/>
      <c r="AY289" s="297"/>
      <c r="AZ289" s="24"/>
      <c r="BA289" s="183"/>
      <c r="BB289" s="24"/>
      <c r="BC289" s="24"/>
      <c r="BD289" s="24"/>
      <c r="BE289" s="24"/>
      <c r="BF289" s="24"/>
      <c r="BG289" s="24"/>
      <c r="BH289" s="183"/>
      <c r="BI289" s="24"/>
      <c r="BJ289" s="24"/>
      <c r="BK289" s="24"/>
      <c r="BL289" s="24"/>
      <c r="BM289" s="24"/>
    </row>
    <row r="290" spans="1:65" ht="14.25" customHeight="1">
      <c r="A290" s="15">
        <v>141</v>
      </c>
      <c r="B290" s="19" t="s">
        <v>221</v>
      </c>
      <c r="C290" s="184" t="s">
        <v>76</v>
      </c>
      <c r="D290" s="134">
        <v>7.71</v>
      </c>
      <c r="E290" s="134">
        <f>D290*4</f>
        <v>30.84</v>
      </c>
      <c r="F290" s="134">
        <f>E290*8</f>
        <v>246.72</v>
      </c>
      <c r="G290" s="134"/>
      <c r="H290" s="185"/>
      <c r="I290" s="19"/>
      <c r="J290" s="19"/>
      <c r="K290" s="186"/>
      <c r="L290" s="178">
        <v>3.452</v>
      </c>
      <c r="M290" s="15">
        <v>2.633</v>
      </c>
      <c r="N290" s="15">
        <v>4.0000000000000001E-3</v>
      </c>
      <c r="O290" s="15">
        <v>0.24099999999999999</v>
      </c>
      <c r="P290" s="180">
        <f t="shared" si="36"/>
        <v>6.3299999999999992</v>
      </c>
      <c r="Q290" s="178">
        <v>0.36299999999999999</v>
      </c>
      <c r="R290" s="15">
        <v>6.0000000000000001E-3</v>
      </c>
      <c r="S290" s="180">
        <f>SUM(Q290:R290)</f>
        <v>0.36899999999999999</v>
      </c>
      <c r="T290" s="204" t="s">
        <v>220</v>
      </c>
      <c r="U290" s="181" t="s">
        <v>540</v>
      </c>
      <c r="V290" s="15"/>
      <c r="W290" s="15" t="s">
        <v>546</v>
      </c>
      <c r="X290" s="15">
        <v>143.36000000000001</v>
      </c>
      <c r="Y290" s="15">
        <v>1.68</v>
      </c>
      <c r="Z290" s="15">
        <v>13.27</v>
      </c>
      <c r="AA290" s="15"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82"/>
      <c r="AM290" s="142" t="s">
        <v>20</v>
      </c>
      <c r="AN290" s="135" t="str">
        <f>AO290</f>
        <v>D</v>
      </c>
      <c r="AO290" s="135" t="s">
        <v>21</v>
      </c>
      <c r="AP290" s="372">
        <v>45602</v>
      </c>
      <c r="AQ290" s="372">
        <f t="shared" ref="AQ290:AR290" si="76">AR290-2</f>
        <v>45604</v>
      </c>
      <c r="AR290" s="372">
        <f t="shared" si="76"/>
        <v>45606</v>
      </c>
      <c r="AS290" s="372">
        <v>45608</v>
      </c>
      <c r="AT290" s="187" t="s">
        <v>595</v>
      </c>
      <c r="AU290" s="188"/>
      <c r="AV290" s="142" t="s">
        <v>20</v>
      </c>
      <c r="AW290" s="15" t="s">
        <v>548</v>
      </c>
      <c r="AX290" s="297">
        <f>AY290</f>
        <v>45659</v>
      </c>
      <c r="AY290" s="297">
        <v>45659</v>
      </c>
      <c r="AZ290" s="187" t="s">
        <v>543</v>
      </c>
      <c r="BA290" s="188"/>
      <c r="BB290" s="142" t="s">
        <v>20</v>
      </c>
      <c r="BC290" s="135"/>
      <c r="BD290" s="135" t="s">
        <v>21</v>
      </c>
      <c r="BE290" s="298">
        <f>BF290-2</f>
        <v>45714</v>
      </c>
      <c r="BF290" s="298">
        <v>45716</v>
      </c>
      <c r="BG290" s="17" t="s">
        <v>584</v>
      </c>
      <c r="BH290" s="193"/>
      <c r="BI290" s="142" t="s">
        <v>20</v>
      </c>
      <c r="BJ290" s="135">
        <v>45780</v>
      </c>
      <c r="BK290" s="135">
        <v>45780</v>
      </c>
      <c r="BL290" s="25">
        <v>1252</v>
      </c>
      <c r="BM290" s="24" t="s">
        <v>593</v>
      </c>
    </row>
    <row r="291" spans="1:65" ht="14.25" hidden="1" customHeight="1">
      <c r="B291" s="19"/>
      <c r="C291" s="184"/>
      <c r="D291" s="134"/>
      <c r="E291" s="134"/>
      <c r="F291" s="134"/>
      <c r="G291" s="134"/>
      <c r="H291" s="185"/>
      <c r="I291" s="19"/>
      <c r="J291" s="19"/>
      <c r="K291" s="186"/>
      <c r="L291" s="178"/>
      <c r="M291" s="15"/>
      <c r="N291" s="15"/>
      <c r="O291" s="15"/>
      <c r="P291" s="180">
        <f t="shared" si="36"/>
        <v>0</v>
      </c>
      <c r="Q291" s="178"/>
      <c r="R291" s="15"/>
      <c r="S291" s="180"/>
      <c r="T291" s="204"/>
      <c r="U291" s="204"/>
      <c r="V291" s="16">
        <v>321.89</v>
      </c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82"/>
      <c r="AM291" s="15"/>
      <c r="AN291" s="24"/>
      <c r="AO291" s="24"/>
      <c r="AP291" s="24"/>
      <c r="AQ291" s="24"/>
      <c r="AR291" s="24"/>
      <c r="AS291" s="24"/>
      <c r="AT291" s="24"/>
      <c r="AU291" s="183"/>
      <c r="AV291" s="15"/>
      <c r="AW291" s="24"/>
      <c r="AX291" s="297"/>
      <c r="AY291" s="297"/>
      <c r="AZ291" s="24"/>
      <c r="BA291" s="183"/>
      <c r="BB291" s="24"/>
      <c r="BC291" s="24"/>
      <c r="BD291" s="24"/>
      <c r="BE291" s="24"/>
      <c r="BF291" s="24"/>
      <c r="BG291" s="24"/>
      <c r="BH291" s="183"/>
      <c r="BI291" s="24"/>
      <c r="BJ291" s="24"/>
      <c r="BK291" s="24"/>
      <c r="BL291" s="24"/>
      <c r="BM291" s="24"/>
    </row>
    <row r="292" spans="1:65" ht="14.25" customHeight="1">
      <c r="A292" s="15">
        <v>142</v>
      </c>
      <c r="B292" s="19" t="s">
        <v>222</v>
      </c>
      <c r="C292" s="184" t="s">
        <v>42</v>
      </c>
      <c r="D292" s="134">
        <v>6.3620000000000001</v>
      </c>
      <c r="E292" s="134">
        <f>D292*4</f>
        <v>25.448</v>
      </c>
      <c r="F292" s="134">
        <f>E292*8</f>
        <v>203.584</v>
      </c>
      <c r="G292" s="134"/>
      <c r="H292" s="185"/>
      <c r="I292" s="19"/>
      <c r="J292" s="19"/>
      <c r="K292" s="186"/>
      <c r="L292" s="178">
        <v>2.25</v>
      </c>
      <c r="M292" s="15">
        <v>2.1880000000000002</v>
      </c>
      <c r="N292" s="15">
        <v>2E-3</v>
      </c>
      <c r="O292" s="15">
        <v>0.183</v>
      </c>
      <c r="P292" s="180">
        <f t="shared" si="36"/>
        <v>4.6230000000000002</v>
      </c>
      <c r="Q292" s="178">
        <v>0.24399999999999999</v>
      </c>
      <c r="R292" s="15">
        <v>5.0000000000000001E-3</v>
      </c>
      <c r="S292" s="180">
        <f>SUM(Q292:R292)</f>
        <v>0.249</v>
      </c>
      <c r="T292" s="204"/>
      <c r="U292" s="181" t="s">
        <v>540</v>
      </c>
      <c r="V292" s="15"/>
      <c r="W292" s="15" t="s">
        <v>598</v>
      </c>
      <c r="X292" s="15">
        <v>121.84</v>
      </c>
      <c r="Y292" s="15">
        <v>1.4</v>
      </c>
      <c r="Z292" s="15">
        <v>10.63</v>
      </c>
      <c r="AA292" s="15"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82"/>
      <c r="AM292" s="142" t="s">
        <v>20</v>
      </c>
      <c r="AN292" s="135" t="str">
        <f>AO292</f>
        <v>D</v>
      </c>
      <c r="AO292" s="135" t="s">
        <v>21</v>
      </c>
      <c r="AP292" s="372">
        <v>45598</v>
      </c>
      <c r="AQ292" s="372">
        <f t="shared" ref="AQ292:AR292" si="77">AR292-2</f>
        <v>45600</v>
      </c>
      <c r="AR292" s="372">
        <f t="shared" si="77"/>
        <v>45602</v>
      </c>
      <c r="AS292" s="372">
        <v>45604</v>
      </c>
      <c r="AT292" s="187" t="s">
        <v>595</v>
      </c>
      <c r="AU292" s="188"/>
      <c r="AV292" s="142" t="s">
        <v>20</v>
      </c>
      <c r="AW292" s="15" t="s">
        <v>548</v>
      </c>
      <c r="AX292" s="297">
        <f>AY292</f>
        <v>45659</v>
      </c>
      <c r="AY292" s="297">
        <v>45659</v>
      </c>
      <c r="AZ292" s="187" t="s">
        <v>543</v>
      </c>
      <c r="BA292" s="188"/>
      <c r="BB292" s="142" t="s">
        <v>20</v>
      </c>
      <c r="BC292" s="135"/>
      <c r="BD292" s="135" t="s">
        <v>21</v>
      </c>
      <c r="BE292" s="298">
        <f>BF292-2</f>
        <v>45709</v>
      </c>
      <c r="BF292" s="298">
        <v>45711</v>
      </c>
      <c r="BG292" s="17" t="s">
        <v>584</v>
      </c>
      <c r="BH292" s="193"/>
      <c r="BI292" s="142" t="s">
        <v>20</v>
      </c>
      <c r="BJ292" s="135">
        <v>45780</v>
      </c>
      <c r="BK292" s="135">
        <v>45780</v>
      </c>
      <c r="BL292" s="25">
        <v>980</v>
      </c>
      <c r="BM292" s="24" t="s">
        <v>593</v>
      </c>
    </row>
    <row r="293" spans="1:65" ht="14.25" hidden="1" customHeight="1">
      <c r="B293" s="19"/>
      <c r="C293" s="184"/>
      <c r="D293" s="134"/>
      <c r="E293" s="134"/>
      <c r="F293" s="134"/>
      <c r="G293" s="134"/>
      <c r="H293" s="185"/>
      <c r="I293" s="19"/>
      <c r="J293" s="19"/>
      <c r="K293" s="186"/>
      <c r="L293" s="178"/>
      <c r="M293" s="15"/>
      <c r="N293" s="15"/>
      <c r="O293" s="15"/>
      <c r="P293" s="180">
        <f t="shared" si="36"/>
        <v>0</v>
      </c>
      <c r="Q293" s="178"/>
      <c r="R293" s="15"/>
      <c r="S293" s="180"/>
      <c r="T293" s="204"/>
      <c r="U293" s="204"/>
      <c r="V293" s="16">
        <v>352.14</v>
      </c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82"/>
      <c r="AM293" s="15"/>
      <c r="AN293" s="24"/>
      <c r="AO293" s="24"/>
      <c r="AP293" s="24"/>
      <c r="AQ293" s="24"/>
      <c r="AR293" s="24"/>
      <c r="AS293" s="24"/>
      <c r="AT293" s="24"/>
      <c r="AU293" s="183"/>
      <c r="AV293" s="15"/>
      <c r="AW293" s="24"/>
      <c r="AX293" s="297"/>
      <c r="AY293" s="297"/>
      <c r="AZ293" s="24"/>
      <c r="BA293" s="183"/>
      <c r="BB293" s="24"/>
      <c r="BC293" s="24"/>
      <c r="BD293" s="24"/>
      <c r="BE293" s="24"/>
      <c r="BF293" s="24"/>
      <c r="BG293" s="24"/>
      <c r="BH293" s="183"/>
      <c r="BI293" s="24"/>
      <c r="BJ293" s="24"/>
      <c r="BK293" s="24"/>
      <c r="BL293" s="24"/>
      <c r="BM293" s="24"/>
    </row>
    <row r="294" spans="1:65" ht="14.25" customHeight="1">
      <c r="A294" s="15">
        <v>143</v>
      </c>
      <c r="B294" s="19" t="s">
        <v>223</v>
      </c>
      <c r="C294" s="184" t="s">
        <v>37</v>
      </c>
      <c r="D294" s="134">
        <v>6.992</v>
      </c>
      <c r="E294" s="134">
        <f>D294*4</f>
        <v>27.968</v>
      </c>
      <c r="F294" s="134">
        <f>E294*8</f>
        <v>223.744</v>
      </c>
      <c r="G294" s="134"/>
      <c r="H294" s="185"/>
      <c r="I294" s="19"/>
      <c r="J294" s="19"/>
      <c r="K294" s="186"/>
      <c r="L294" s="178">
        <v>2.6070000000000002</v>
      </c>
      <c r="M294" s="15">
        <v>2.657</v>
      </c>
      <c r="N294" s="15">
        <v>2E-3</v>
      </c>
      <c r="O294" s="15">
        <v>0.21299999999999999</v>
      </c>
      <c r="P294" s="180">
        <f t="shared" si="36"/>
        <v>5.4790000000000001</v>
      </c>
      <c r="Q294" s="178">
        <v>0.24399999999999999</v>
      </c>
      <c r="R294" s="15">
        <v>5.0000000000000001E-3</v>
      </c>
      <c r="S294" s="180">
        <f>SUM(Q294:R294)</f>
        <v>0.249</v>
      </c>
      <c r="T294" s="204"/>
      <c r="U294" s="181" t="s">
        <v>540</v>
      </c>
      <c r="V294" s="15"/>
      <c r="W294" s="15" t="s">
        <v>571</v>
      </c>
      <c r="X294" s="16">
        <v>147.88</v>
      </c>
      <c r="Y294" s="16">
        <v>1.74</v>
      </c>
      <c r="Z294" s="16">
        <v>12.26</v>
      </c>
      <c r="AA294" s="16">
        <f>Y294+Z294</f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82"/>
      <c r="AM294" s="142" t="s">
        <v>20</v>
      </c>
      <c r="AN294" s="135" t="str">
        <f>AO294</f>
        <v>D</v>
      </c>
      <c r="AO294" s="135" t="s">
        <v>21</v>
      </c>
      <c r="AP294" s="372">
        <v>45596</v>
      </c>
      <c r="AQ294" s="372">
        <v>45597</v>
      </c>
      <c r="AR294" s="372">
        <v>45599</v>
      </c>
      <c r="AS294" s="372">
        <v>45601</v>
      </c>
      <c r="AT294" s="187" t="s">
        <v>595</v>
      </c>
      <c r="AU294" s="188"/>
      <c r="AV294" s="142" t="s">
        <v>20</v>
      </c>
      <c r="AW294" s="15" t="s">
        <v>548</v>
      </c>
      <c r="AX294" s="297">
        <f>AY294</f>
        <v>45659</v>
      </c>
      <c r="AY294" s="297">
        <v>45659</v>
      </c>
      <c r="AZ294" s="187" t="s">
        <v>543</v>
      </c>
      <c r="BA294" s="188"/>
      <c r="BB294" s="142" t="s">
        <v>20</v>
      </c>
      <c r="BC294" s="135"/>
      <c r="BD294" s="135" t="s">
        <v>21</v>
      </c>
      <c r="BE294" s="298">
        <f>BF294-2</f>
        <v>45711</v>
      </c>
      <c r="BF294" s="298">
        <v>45713</v>
      </c>
      <c r="BG294" s="17" t="s">
        <v>584</v>
      </c>
      <c r="BH294" s="193"/>
      <c r="BI294" s="142" t="s">
        <v>20</v>
      </c>
      <c r="BJ294" s="135">
        <v>45780</v>
      </c>
      <c r="BK294" s="135">
        <v>45780</v>
      </c>
      <c r="BL294" s="25">
        <v>1330</v>
      </c>
      <c r="BM294" s="24" t="s">
        <v>593</v>
      </c>
    </row>
    <row r="295" spans="1:65" ht="14.25" hidden="1" customHeight="1">
      <c r="B295" s="19"/>
      <c r="C295" s="184"/>
      <c r="D295" s="134"/>
      <c r="E295" s="134"/>
      <c r="F295" s="134"/>
      <c r="G295" s="134"/>
      <c r="H295" s="185"/>
      <c r="I295" s="19"/>
      <c r="J295" s="19"/>
      <c r="K295" s="186"/>
      <c r="L295" s="178"/>
      <c r="M295" s="15"/>
      <c r="N295" s="15"/>
      <c r="O295" s="15"/>
      <c r="P295" s="180">
        <f t="shared" si="36"/>
        <v>0</v>
      </c>
      <c r="Q295" s="178"/>
      <c r="R295" s="15"/>
      <c r="S295" s="180"/>
      <c r="T295" s="204"/>
      <c r="U295" s="204"/>
      <c r="V295" s="16">
        <v>347.32</v>
      </c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82"/>
      <c r="AM295" s="15"/>
      <c r="AN295" s="24"/>
      <c r="AO295" s="24"/>
      <c r="AP295" s="24"/>
      <c r="AQ295" s="24"/>
      <c r="AR295" s="24"/>
      <c r="AS295" s="135"/>
      <c r="AT295" s="24"/>
      <c r="AU295" s="183"/>
      <c r="AV295" s="15"/>
      <c r="AW295" s="24"/>
      <c r="AX295" s="297"/>
      <c r="AY295" s="297"/>
      <c r="AZ295" s="24"/>
      <c r="BA295" s="183"/>
      <c r="BB295" s="24"/>
      <c r="BC295" s="24"/>
      <c r="BD295" s="24"/>
      <c r="BE295" s="24"/>
      <c r="BF295" s="24"/>
      <c r="BG295" s="24"/>
      <c r="BH295" s="183"/>
      <c r="BI295" s="24"/>
      <c r="BJ295" s="24"/>
      <c r="BK295" s="24"/>
      <c r="BL295" s="24"/>
      <c r="BM295" s="24"/>
    </row>
    <row r="296" spans="1:65" ht="14.25" customHeight="1">
      <c r="A296" s="15">
        <v>144</v>
      </c>
      <c r="B296" s="19" t="s">
        <v>224</v>
      </c>
      <c r="C296" s="184" t="s">
        <v>42</v>
      </c>
      <c r="D296" s="134">
        <v>6.3620000000000001</v>
      </c>
      <c r="E296" s="134">
        <f>D296*4</f>
        <v>25.448</v>
      </c>
      <c r="F296" s="134">
        <f>E296*8</f>
        <v>203.584</v>
      </c>
      <c r="G296" s="134"/>
      <c r="H296" s="185"/>
      <c r="I296" s="19"/>
      <c r="J296" s="19"/>
      <c r="K296" s="186"/>
      <c r="L296" s="178">
        <v>2.25</v>
      </c>
      <c r="M296" s="15">
        <v>2.1880000000000002</v>
      </c>
      <c r="N296" s="15">
        <v>2E-3</v>
      </c>
      <c r="O296" s="15">
        <v>0.183</v>
      </c>
      <c r="P296" s="180">
        <f t="shared" si="36"/>
        <v>4.6230000000000002</v>
      </c>
      <c r="Q296" s="178">
        <v>0.24399999999999999</v>
      </c>
      <c r="R296" s="15">
        <v>5.0000000000000001E-3</v>
      </c>
      <c r="S296" s="180">
        <f>SUM(Q296:R296)</f>
        <v>0.249</v>
      </c>
      <c r="T296" s="204"/>
      <c r="U296" s="181" t="s">
        <v>540</v>
      </c>
      <c r="V296" s="15"/>
      <c r="W296" s="15" t="s">
        <v>571</v>
      </c>
      <c r="X296" s="16">
        <v>147.88</v>
      </c>
      <c r="Y296" s="16">
        <v>1.74</v>
      </c>
      <c r="Z296" s="16">
        <v>12.26</v>
      </c>
      <c r="AA296" s="16">
        <f>Y296+Z296</f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82"/>
      <c r="AM296" s="142" t="s">
        <v>20</v>
      </c>
      <c r="AN296" s="135" t="str">
        <f>AO296</f>
        <v>D</v>
      </c>
      <c r="AO296" s="135" t="s">
        <v>21</v>
      </c>
      <c r="AP296" s="372">
        <v>45587</v>
      </c>
      <c r="AQ296" s="372">
        <v>45588</v>
      </c>
      <c r="AR296" s="372">
        <v>45589</v>
      </c>
      <c r="AS296" s="372">
        <v>45591</v>
      </c>
      <c r="AT296" s="187" t="s">
        <v>595</v>
      </c>
      <c r="AU296" s="188"/>
      <c r="AV296" s="142" t="s">
        <v>20</v>
      </c>
      <c r="AW296" s="15" t="s">
        <v>548</v>
      </c>
      <c r="AX296" s="297">
        <f>AY296</f>
        <v>45659</v>
      </c>
      <c r="AY296" s="297">
        <v>45659</v>
      </c>
      <c r="AZ296" s="187" t="s">
        <v>543</v>
      </c>
      <c r="BA296" s="188"/>
      <c r="BB296" s="142" t="s">
        <v>20</v>
      </c>
      <c r="BC296" s="135"/>
      <c r="BD296" s="135" t="s">
        <v>21</v>
      </c>
      <c r="BE296" s="298">
        <f>BF296-2</f>
        <v>45716</v>
      </c>
      <c r="BF296" s="298">
        <v>45718</v>
      </c>
      <c r="BG296" s="17" t="s">
        <v>584</v>
      </c>
      <c r="BH296" s="193"/>
      <c r="BI296" s="142" t="s">
        <v>20</v>
      </c>
      <c r="BJ296" s="135">
        <v>45780</v>
      </c>
      <c r="BK296" s="135">
        <v>45780</v>
      </c>
      <c r="BL296" s="25">
        <v>980</v>
      </c>
      <c r="BM296" s="24" t="s">
        <v>593</v>
      </c>
    </row>
    <row r="297" spans="1:65" ht="14.25" hidden="1" customHeight="1">
      <c r="B297" s="19"/>
      <c r="C297" s="184"/>
      <c r="D297" s="134"/>
      <c r="E297" s="134"/>
      <c r="F297" s="134"/>
      <c r="G297" s="134"/>
      <c r="H297" s="185"/>
      <c r="I297" s="19"/>
      <c r="J297" s="19"/>
      <c r="K297" s="186"/>
      <c r="L297" s="178"/>
      <c r="M297" s="15"/>
      <c r="N297" s="15"/>
      <c r="O297" s="15"/>
      <c r="P297" s="180">
        <f t="shared" si="36"/>
        <v>0</v>
      </c>
      <c r="Q297" s="178"/>
      <c r="R297" s="15"/>
      <c r="S297" s="180"/>
      <c r="T297" s="204"/>
      <c r="U297" s="204"/>
      <c r="V297" s="16">
        <v>339.42</v>
      </c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82"/>
      <c r="AM297" s="15"/>
      <c r="AN297" s="24"/>
      <c r="AO297" s="24"/>
      <c r="AP297" s="24"/>
      <c r="AQ297" s="24"/>
      <c r="AR297" s="24"/>
      <c r="AS297" s="24"/>
      <c r="AT297" s="24"/>
      <c r="AU297" s="183"/>
      <c r="AV297" s="15"/>
      <c r="AW297" s="24"/>
      <c r="AX297" s="297"/>
      <c r="AY297" s="297"/>
      <c r="AZ297" s="24"/>
      <c r="BA297" s="183"/>
      <c r="BB297" s="24"/>
      <c r="BC297" s="24"/>
      <c r="BD297" s="24"/>
      <c r="BE297" s="24"/>
      <c r="BF297" s="24"/>
      <c r="BG297" s="24"/>
      <c r="BH297" s="183"/>
      <c r="BI297" s="24"/>
      <c r="BJ297" s="24"/>
      <c r="BK297" s="24"/>
      <c r="BL297" s="24"/>
      <c r="BM297" s="24"/>
    </row>
    <row r="298" spans="1:65" ht="14.25" customHeight="1">
      <c r="A298" s="15">
        <v>145</v>
      </c>
      <c r="B298" s="19" t="s">
        <v>225</v>
      </c>
      <c r="C298" s="184" t="s">
        <v>42</v>
      </c>
      <c r="D298" s="134">
        <v>6.3620000000000001</v>
      </c>
      <c r="E298" s="134">
        <f>D298*4</f>
        <v>25.448</v>
      </c>
      <c r="F298" s="134">
        <f>E298*8</f>
        <v>203.584</v>
      </c>
      <c r="G298" s="134"/>
      <c r="H298" s="185"/>
      <c r="I298" s="19"/>
      <c r="J298" s="19"/>
      <c r="K298" s="186"/>
      <c r="L298" s="178">
        <v>2.25</v>
      </c>
      <c r="M298" s="15">
        <v>2.1880000000000002</v>
      </c>
      <c r="N298" s="15">
        <v>2E-3</v>
      </c>
      <c r="O298" s="15">
        <v>0.183</v>
      </c>
      <c r="P298" s="180">
        <f t="shared" si="36"/>
        <v>4.6230000000000002</v>
      </c>
      <c r="Q298" s="178">
        <v>0.24399999999999999</v>
      </c>
      <c r="R298" s="15">
        <v>5.0000000000000001E-3</v>
      </c>
      <c r="S298" s="180">
        <f>SUM(Q298:R298)</f>
        <v>0.249</v>
      </c>
      <c r="T298" s="204"/>
      <c r="U298" s="181" t="s">
        <v>540</v>
      </c>
      <c r="V298" s="15"/>
      <c r="W298" s="15" t="s">
        <v>571</v>
      </c>
      <c r="X298" s="16">
        <v>147.88</v>
      </c>
      <c r="Y298" s="16">
        <v>1.74</v>
      </c>
      <c r="Z298" s="16">
        <v>12.26</v>
      </c>
      <c r="AA298" s="16">
        <f>Y298+Z298</f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82"/>
      <c r="AM298" s="142" t="s">
        <v>20</v>
      </c>
      <c r="AN298" s="135" t="str">
        <f>AO298</f>
        <v>D</v>
      </c>
      <c r="AO298" s="135" t="s">
        <v>21</v>
      </c>
      <c r="AP298" s="372">
        <v>45591</v>
      </c>
      <c r="AQ298" s="372">
        <v>45592</v>
      </c>
      <c r="AR298" s="372">
        <v>45594</v>
      </c>
      <c r="AS298" s="372">
        <v>45595</v>
      </c>
      <c r="AT298" s="187" t="s">
        <v>595</v>
      </c>
      <c r="AU298" s="188"/>
      <c r="AV298" s="142" t="s">
        <v>20</v>
      </c>
      <c r="AW298" s="15" t="s">
        <v>548</v>
      </c>
      <c r="AX298" s="297">
        <f>AY298</f>
        <v>45659</v>
      </c>
      <c r="AY298" s="297">
        <v>45659</v>
      </c>
      <c r="AZ298" s="187" t="s">
        <v>543</v>
      </c>
      <c r="BA298" s="188"/>
      <c r="BB298" s="142" t="s">
        <v>20</v>
      </c>
      <c r="BC298" s="135"/>
      <c r="BD298" s="135" t="s">
        <v>21</v>
      </c>
      <c r="BE298" s="298">
        <f>BF298-2</f>
        <v>45718</v>
      </c>
      <c r="BF298" s="298">
        <v>45720</v>
      </c>
      <c r="BG298" s="17" t="s">
        <v>584</v>
      </c>
      <c r="BH298" s="193"/>
      <c r="BI298" s="142" t="s">
        <v>20</v>
      </c>
      <c r="BJ298" s="135">
        <v>45780</v>
      </c>
      <c r="BK298" s="135">
        <v>45780</v>
      </c>
      <c r="BL298" s="25">
        <v>980</v>
      </c>
      <c r="BM298" s="24" t="s">
        <v>593</v>
      </c>
    </row>
    <row r="299" spans="1:65" ht="14.25" hidden="1" customHeight="1">
      <c r="B299" s="19"/>
      <c r="C299" s="184"/>
      <c r="D299" s="134"/>
      <c r="E299" s="134"/>
      <c r="F299" s="134"/>
      <c r="G299" s="134"/>
      <c r="H299" s="185"/>
      <c r="I299" s="19"/>
      <c r="J299" s="19"/>
      <c r="K299" s="186"/>
      <c r="L299" s="178"/>
      <c r="M299" s="15"/>
      <c r="N299" s="15"/>
      <c r="O299" s="15"/>
      <c r="P299" s="180">
        <f t="shared" si="36"/>
        <v>0</v>
      </c>
      <c r="Q299" s="178"/>
      <c r="R299" s="15"/>
      <c r="S299" s="180"/>
      <c r="T299" s="204"/>
      <c r="U299" s="204"/>
      <c r="V299" s="16">
        <v>330.88</v>
      </c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82"/>
      <c r="AM299" s="15"/>
      <c r="AN299" s="24"/>
      <c r="AO299" s="24"/>
      <c r="AP299" s="24"/>
      <c r="AQ299" s="24"/>
      <c r="AR299" s="24"/>
      <c r="AS299" s="24"/>
      <c r="AT299" s="24"/>
      <c r="AU299" s="183"/>
      <c r="AV299" s="15"/>
      <c r="AW299" s="24"/>
      <c r="AX299" s="297"/>
      <c r="AY299" s="297"/>
      <c r="AZ299" s="24"/>
      <c r="BA299" s="183"/>
      <c r="BB299" s="24"/>
      <c r="BC299" s="24"/>
      <c r="BD299" s="24"/>
      <c r="BE299" s="24"/>
      <c r="BF299" s="24"/>
      <c r="BG299" s="24"/>
      <c r="BH299" s="183"/>
      <c r="BI299" s="24"/>
      <c r="BJ299" s="24"/>
      <c r="BK299" s="24"/>
      <c r="BL299" s="24"/>
      <c r="BM299" s="24"/>
    </row>
    <row r="300" spans="1:65" ht="14.25" customHeight="1">
      <c r="A300" s="15">
        <v>146</v>
      </c>
      <c r="B300" s="19" t="s">
        <v>226</v>
      </c>
      <c r="C300" s="184" t="s">
        <v>42</v>
      </c>
      <c r="D300" s="134">
        <v>6.3620000000000001</v>
      </c>
      <c r="E300" s="134">
        <f>D300*4</f>
        <v>25.448</v>
      </c>
      <c r="F300" s="134">
        <f>E300*8</f>
        <v>203.584</v>
      </c>
      <c r="G300" s="134"/>
      <c r="H300" s="185"/>
      <c r="I300" s="19"/>
      <c r="J300" s="19"/>
      <c r="K300" s="186"/>
      <c r="L300" s="178">
        <v>2.25</v>
      </c>
      <c r="M300" s="15">
        <v>2.1880000000000002</v>
      </c>
      <c r="N300" s="15">
        <v>2E-3</v>
      </c>
      <c r="O300" s="15">
        <v>0.183</v>
      </c>
      <c r="P300" s="180">
        <f t="shared" si="36"/>
        <v>4.6230000000000002</v>
      </c>
      <c r="Q300" s="178">
        <v>0.24399999999999999</v>
      </c>
      <c r="R300" s="15">
        <v>5.0000000000000001E-3</v>
      </c>
      <c r="S300" s="180">
        <f>SUM(Q300:R300)</f>
        <v>0.249</v>
      </c>
      <c r="T300" s="204"/>
      <c r="U300" s="181" t="s">
        <v>540</v>
      </c>
      <c r="V300" s="15"/>
      <c r="W300" s="15" t="s">
        <v>570</v>
      </c>
      <c r="X300" s="15">
        <v>80.64</v>
      </c>
      <c r="Y300" s="15">
        <v>0.88</v>
      </c>
      <c r="Z300" s="15">
        <v>8.1199999999999992</v>
      </c>
      <c r="AA300" s="15"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82"/>
      <c r="AM300" s="142" t="s">
        <v>20</v>
      </c>
      <c r="AN300" s="135" t="str">
        <f>AO300</f>
        <v>D</v>
      </c>
      <c r="AO300" s="135" t="s">
        <v>21</v>
      </c>
      <c r="AP300" s="372">
        <v>45513</v>
      </c>
      <c r="AQ300" s="372">
        <v>45514</v>
      </c>
      <c r="AR300" s="372">
        <v>45516</v>
      </c>
      <c r="AS300" s="372">
        <v>45520</v>
      </c>
      <c r="AT300" s="187" t="s">
        <v>591</v>
      </c>
      <c r="AU300" s="188"/>
      <c r="AV300" s="142" t="s">
        <v>20</v>
      </c>
      <c r="AW300" s="15" t="s">
        <v>548</v>
      </c>
      <c r="AX300" s="297">
        <f>AY300</f>
        <v>45659</v>
      </c>
      <c r="AY300" s="297">
        <v>45659</v>
      </c>
      <c r="AZ300" s="187" t="s">
        <v>543</v>
      </c>
      <c r="BA300" s="188"/>
      <c r="BB300" s="142" t="s">
        <v>20</v>
      </c>
      <c r="BC300" s="135"/>
      <c r="BD300" s="135" t="s">
        <v>21</v>
      </c>
      <c r="BE300" s="298">
        <f>BF300-2</f>
        <v>45705</v>
      </c>
      <c r="BF300" s="298">
        <v>45707</v>
      </c>
      <c r="BG300" s="17" t="s">
        <v>584</v>
      </c>
      <c r="BH300" s="193"/>
      <c r="BI300" s="142" t="s">
        <v>20</v>
      </c>
      <c r="BJ300" s="135">
        <v>45780</v>
      </c>
      <c r="BK300" s="135">
        <v>45780</v>
      </c>
      <c r="BL300" s="25">
        <v>980</v>
      </c>
      <c r="BM300" s="24" t="s">
        <v>593</v>
      </c>
    </row>
    <row r="301" spans="1:65" ht="14.25" hidden="1" customHeight="1">
      <c r="B301" s="19"/>
      <c r="C301" s="184"/>
      <c r="D301" s="134"/>
      <c r="E301" s="134"/>
      <c r="F301" s="134"/>
      <c r="G301" s="134"/>
      <c r="H301" s="185"/>
      <c r="I301" s="19"/>
      <c r="J301" s="19"/>
      <c r="K301" s="186"/>
      <c r="L301" s="178"/>
      <c r="M301" s="15"/>
      <c r="N301" s="15"/>
      <c r="O301" s="15"/>
      <c r="P301" s="180">
        <f t="shared" si="36"/>
        <v>0</v>
      </c>
      <c r="Q301" s="178"/>
      <c r="R301" s="15"/>
      <c r="S301" s="180"/>
      <c r="T301" s="204"/>
      <c r="U301" s="204"/>
      <c r="V301" s="16">
        <v>279.99</v>
      </c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82"/>
      <c r="AM301" s="15"/>
      <c r="AN301" s="24"/>
      <c r="AO301" s="24"/>
      <c r="AP301" s="24"/>
      <c r="AQ301" s="24"/>
      <c r="AR301" s="24"/>
      <c r="AS301" s="24"/>
      <c r="AT301" s="24"/>
      <c r="AU301" s="183"/>
      <c r="AV301" s="15"/>
      <c r="AW301" s="24"/>
      <c r="AX301" s="297"/>
      <c r="AY301" s="297"/>
      <c r="AZ301" s="24"/>
      <c r="BA301" s="183"/>
      <c r="BB301" s="24"/>
      <c r="BC301" s="24"/>
      <c r="BD301" s="24"/>
      <c r="BE301" s="24"/>
      <c r="BF301" s="24"/>
      <c r="BG301" s="24"/>
      <c r="BH301" s="183"/>
      <c r="BI301" s="24"/>
      <c r="BJ301" s="24"/>
      <c r="BK301" s="24"/>
      <c r="BL301" s="24"/>
      <c r="BM301" s="24"/>
    </row>
    <row r="302" spans="1:65" ht="14.25" customHeight="1">
      <c r="A302" s="15">
        <v>147</v>
      </c>
      <c r="B302" s="19" t="s">
        <v>227</v>
      </c>
      <c r="C302" s="184" t="s">
        <v>37</v>
      </c>
      <c r="D302" s="134">
        <v>6.992</v>
      </c>
      <c r="E302" s="134">
        <f>D302*4</f>
        <v>27.968</v>
      </c>
      <c r="F302" s="134">
        <f>E302*8</f>
        <v>223.744</v>
      </c>
      <c r="G302" s="134"/>
      <c r="H302" s="185"/>
      <c r="I302" s="19"/>
      <c r="J302" s="19"/>
      <c r="K302" s="186"/>
      <c r="L302" s="178">
        <v>2.6070000000000002</v>
      </c>
      <c r="M302" s="15">
        <v>2.657</v>
      </c>
      <c r="N302" s="15">
        <v>2E-3</v>
      </c>
      <c r="O302" s="15">
        <v>0.21299999999999999</v>
      </c>
      <c r="P302" s="180">
        <f t="shared" si="36"/>
        <v>5.4790000000000001</v>
      </c>
      <c r="Q302" s="178">
        <v>0.24399999999999999</v>
      </c>
      <c r="R302" s="15">
        <v>5.0000000000000001E-3</v>
      </c>
      <c r="S302" s="180">
        <f>SUM(Q302:R302)</f>
        <v>0.249</v>
      </c>
      <c r="T302" s="204"/>
      <c r="U302" s="181" t="s">
        <v>540</v>
      </c>
      <c r="V302" s="15"/>
      <c r="W302" s="15" t="s">
        <v>546</v>
      </c>
      <c r="X302" s="15">
        <v>121.84</v>
      </c>
      <c r="Y302" s="15">
        <v>1.4</v>
      </c>
      <c r="Z302" s="15">
        <v>10.63</v>
      </c>
      <c r="AA302" s="15"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82"/>
      <c r="AM302" s="142" t="s">
        <v>20</v>
      </c>
      <c r="AN302" s="135" t="str">
        <f>AO302</f>
        <v>D</v>
      </c>
      <c r="AO302" s="135" t="s">
        <v>21</v>
      </c>
      <c r="AP302" s="372">
        <v>45557</v>
      </c>
      <c r="AQ302" s="372">
        <v>45582</v>
      </c>
      <c r="AR302" s="372">
        <v>45583</v>
      </c>
      <c r="AS302" s="372">
        <v>45587</v>
      </c>
      <c r="AT302" s="187" t="s">
        <v>595</v>
      </c>
      <c r="AU302" s="188"/>
      <c r="AV302" s="142" t="s">
        <v>20</v>
      </c>
      <c r="AW302" s="15" t="s">
        <v>548</v>
      </c>
      <c r="AX302" s="297">
        <f>AY302</f>
        <v>45661</v>
      </c>
      <c r="AY302" s="297">
        <v>45661</v>
      </c>
      <c r="AZ302" s="187" t="s">
        <v>543</v>
      </c>
      <c r="BA302" s="188"/>
      <c r="BB302" s="142" t="s">
        <v>20</v>
      </c>
      <c r="BC302" s="135"/>
      <c r="BD302" s="135" t="s">
        <v>21</v>
      </c>
      <c r="BE302" s="298">
        <f>BF302-1</f>
        <v>45721</v>
      </c>
      <c r="BF302" s="298">
        <v>45722</v>
      </c>
      <c r="BG302" s="17" t="s">
        <v>584</v>
      </c>
      <c r="BH302" s="193"/>
      <c r="BI302" s="142" t="s">
        <v>20</v>
      </c>
      <c r="BJ302" s="135">
        <v>45781</v>
      </c>
      <c r="BK302" s="135">
        <v>45781</v>
      </c>
      <c r="BL302" s="25">
        <v>1330</v>
      </c>
      <c r="BM302" s="24" t="s">
        <v>593</v>
      </c>
    </row>
    <row r="303" spans="1:65" ht="14.25" hidden="1" customHeight="1">
      <c r="B303" s="19"/>
      <c r="C303" s="184"/>
      <c r="D303" s="134"/>
      <c r="E303" s="134"/>
      <c r="F303" s="134"/>
      <c r="G303" s="134"/>
      <c r="H303" s="185"/>
      <c r="I303" s="19"/>
      <c r="J303" s="19"/>
      <c r="K303" s="186"/>
      <c r="L303" s="178"/>
      <c r="M303" s="15"/>
      <c r="N303" s="15"/>
      <c r="O303" s="15"/>
      <c r="P303" s="180">
        <f t="shared" si="36"/>
        <v>0</v>
      </c>
      <c r="Q303" s="178"/>
      <c r="R303" s="15"/>
      <c r="S303" s="180"/>
      <c r="T303" s="204"/>
      <c r="U303" s="204"/>
      <c r="V303" s="16">
        <v>369.48</v>
      </c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82"/>
      <c r="AM303" s="15"/>
      <c r="AN303" s="24"/>
      <c r="AO303" s="24"/>
      <c r="AP303" s="24"/>
      <c r="AQ303" s="24"/>
      <c r="AR303" s="24"/>
      <c r="AS303" s="24"/>
      <c r="AT303" s="24"/>
      <c r="AU303" s="183"/>
      <c r="AV303" s="15"/>
      <c r="AW303" s="24"/>
      <c r="AX303" s="297"/>
      <c r="AY303" s="297"/>
      <c r="AZ303" s="24"/>
      <c r="BA303" s="183"/>
      <c r="BB303" s="24"/>
      <c r="BC303" s="24"/>
      <c r="BD303" s="24"/>
      <c r="BE303" s="24"/>
      <c r="BF303" s="24"/>
      <c r="BG303" s="24"/>
      <c r="BH303" s="183"/>
      <c r="BI303" s="24"/>
      <c r="BJ303" s="24"/>
      <c r="BK303" s="24"/>
      <c r="BL303" s="24"/>
      <c r="BM303" s="24"/>
    </row>
    <row r="304" spans="1:65" ht="14.25" customHeight="1">
      <c r="A304" s="15">
        <v>148</v>
      </c>
      <c r="B304" s="19" t="s">
        <v>228</v>
      </c>
      <c r="C304" s="184" t="s">
        <v>37</v>
      </c>
      <c r="D304" s="134">
        <v>6.992</v>
      </c>
      <c r="E304" s="134">
        <f>D304*4</f>
        <v>27.968</v>
      </c>
      <c r="F304" s="134">
        <f>E304*8</f>
        <v>223.744</v>
      </c>
      <c r="G304" s="134"/>
      <c r="H304" s="185"/>
      <c r="I304" s="19"/>
      <c r="J304" s="19"/>
      <c r="K304" s="186"/>
      <c r="L304" s="178">
        <v>2.6070000000000002</v>
      </c>
      <c r="M304" s="15">
        <v>2.657</v>
      </c>
      <c r="N304" s="15">
        <v>2E-3</v>
      </c>
      <c r="O304" s="15">
        <v>0.21299999999999999</v>
      </c>
      <c r="P304" s="180">
        <f t="shared" si="36"/>
        <v>5.4790000000000001</v>
      </c>
      <c r="Q304" s="178">
        <v>0.24399999999999999</v>
      </c>
      <c r="R304" s="15">
        <v>5.0000000000000001E-3</v>
      </c>
      <c r="S304" s="180">
        <f>SUM(Q304:R304)</f>
        <v>0.249</v>
      </c>
      <c r="T304" s="204"/>
      <c r="U304" s="181" t="s">
        <v>540</v>
      </c>
      <c r="V304" s="15"/>
      <c r="W304" s="15" t="s">
        <v>570</v>
      </c>
      <c r="X304" s="15">
        <v>80.64</v>
      </c>
      <c r="Y304" s="15">
        <v>0.88</v>
      </c>
      <c r="Z304" s="15">
        <v>8.1199999999999992</v>
      </c>
      <c r="AA304" s="15"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82"/>
      <c r="AM304" s="142" t="s">
        <v>20</v>
      </c>
      <c r="AN304" s="135" t="str">
        <f>AO304</f>
        <v>D</v>
      </c>
      <c r="AO304" s="135" t="s">
        <v>21</v>
      </c>
      <c r="AP304" s="372">
        <v>45505</v>
      </c>
      <c r="AQ304" s="372">
        <v>45510</v>
      </c>
      <c r="AR304" s="372">
        <v>45512</v>
      </c>
      <c r="AS304" s="372">
        <v>45516</v>
      </c>
      <c r="AT304" s="187" t="s">
        <v>543</v>
      </c>
      <c r="AU304" s="188"/>
      <c r="AV304" s="142" t="s">
        <v>20</v>
      </c>
      <c r="AW304" s="15" t="s">
        <v>548</v>
      </c>
      <c r="AX304" s="297">
        <f>AY304</f>
        <v>45661</v>
      </c>
      <c r="AY304" s="297">
        <v>45661</v>
      </c>
      <c r="AZ304" s="187" t="s">
        <v>543</v>
      </c>
      <c r="BA304" s="188"/>
      <c r="BB304" s="142" t="s">
        <v>20</v>
      </c>
      <c r="BC304" s="135"/>
      <c r="BD304" s="135" t="s">
        <v>21</v>
      </c>
      <c r="BE304" s="298">
        <f>BF304-2</f>
        <v>45707</v>
      </c>
      <c r="BF304" s="298">
        <v>45709</v>
      </c>
      <c r="BG304" s="17" t="s">
        <v>584</v>
      </c>
      <c r="BH304" s="192"/>
      <c r="BI304" s="142" t="s">
        <v>20</v>
      </c>
      <c r="BJ304" s="135">
        <v>45781</v>
      </c>
      <c r="BK304" s="135">
        <v>45781</v>
      </c>
      <c r="BL304" s="25">
        <v>1330</v>
      </c>
      <c r="BM304" s="24" t="s">
        <v>593</v>
      </c>
    </row>
    <row r="305" spans="1:65" ht="14.25" hidden="1" customHeight="1">
      <c r="B305" s="19"/>
      <c r="C305" s="184"/>
      <c r="D305" s="134"/>
      <c r="E305" s="134"/>
      <c r="F305" s="134"/>
      <c r="G305" s="134"/>
      <c r="H305" s="185"/>
      <c r="I305" s="19"/>
      <c r="J305" s="19"/>
      <c r="K305" s="186"/>
      <c r="L305" s="178"/>
      <c r="M305" s="15"/>
      <c r="N305" s="15"/>
      <c r="O305" s="15"/>
      <c r="P305" s="180">
        <f t="shared" si="36"/>
        <v>0</v>
      </c>
      <c r="Q305" s="178"/>
      <c r="R305" s="15"/>
      <c r="S305" s="180"/>
      <c r="T305" s="204"/>
      <c r="U305" s="204"/>
      <c r="V305" s="16">
        <v>369.65</v>
      </c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82"/>
      <c r="AM305" s="15"/>
      <c r="AN305" s="24"/>
      <c r="AO305" s="24"/>
      <c r="AP305" s="24"/>
      <c r="AQ305" s="24"/>
      <c r="AR305" s="24"/>
      <c r="AS305" s="24"/>
      <c r="AT305" s="24"/>
      <c r="AU305" s="183"/>
      <c r="AV305" s="15"/>
      <c r="AW305" s="24"/>
      <c r="AX305" s="297"/>
      <c r="AY305" s="297"/>
      <c r="AZ305" s="24"/>
      <c r="BA305" s="183"/>
      <c r="BB305" s="24"/>
      <c r="BC305" s="24"/>
      <c r="BD305" s="24"/>
      <c r="BE305" s="24"/>
      <c r="BF305" s="24"/>
      <c r="BG305" s="24"/>
      <c r="BH305" s="183"/>
      <c r="BI305" s="24"/>
      <c r="BJ305" s="24"/>
      <c r="BK305" s="24"/>
      <c r="BL305" s="24"/>
      <c r="BM305" s="24"/>
    </row>
    <row r="306" spans="1:65" ht="14.25" customHeight="1">
      <c r="A306" s="15">
        <v>149</v>
      </c>
      <c r="B306" s="19" t="s">
        <v>229</v>
      </c>
      <c r="C306" s="184" t="s">
        <v>37</v>
      </c>
      <c r="D306" s="134">
        <v>6.992</v>
      </c>
      <c r="E306" s="134">
        <f>D306*4</f>
        <v>27.968</v>
      </c>
      <c r="F306" s="134">
        <f>E306*8</f>
        <v>223.744</v>
      </c>
      <c r="G306" s="134"/>
      <c r="H306" s="185"/>
      <c r="I306" s="19"/>
      <c r="J306" s="19"/>
      <c r="K306" s="186"/>
      <c r="L306" s="178">
        <v>2.6070000000000002</v>
      </c>
      <c r="M306" s="15">
        <v>2.657</v>
      </c>
      <c r="N306" s="15">
        <v>2E-3</v>
      </c>
      <c r="O306" s="15">
        <v>0.21299999999999999</v>
      </c>
      <c r="P306" s="180">
        <f t="shared" si="36"/>
        <v>5.4790000000000001</v>
      </c>
      <c r="Q306" s="178">
        <v>0.24399999999999999</v>
      </c>
      <c r="R306" s="15">
        <v>5.0000000000000001E-3</v>
      </c>
      <c r="S306" s="180">
        <f>SUM(Q306:R306)</f>
        <v>0.249</v>
      </c>
      <c r="T306" s="204"/>
      <c r="U306" s="181" t="s">
        <v>540</v>
      </c>
      <c r="V306" s="15"/>
      <c r="W306" s="15" t="s">
        <v>507</v>
      </c>
      <c r="X306" s="191">
        <v>143.35999999999999</v>
      </c>
      <c r="Y306" s="191">
        <v>1.68</v>
      </c>
      <c r="Z306" s="191">
        <v>11.97</v>
      </c>
      <c r="AA306" s="191">
        <v>13.65</v>
      </c>
      <c r="AB306" s="23">
        <f>+Y306*4.44+Z306*8.06</f>
        <v>103.93740000000001</v>
      </c>
      <c r="AC306" s="16">
        <f>+AB306*50</f>
        <v>5196.8700000000008</v>
      </c>
      <c r="AD306" s="16">
        <v>63.93</v>
      </c>
      <c r="AE306" s="16">
        <v>535.23</v>
      </c>
      <c r="AF306" s="191"/>
      <c r="AG306" s="15">
        <v>100.6</v>
      </c>
      <c r="AH306" s="15">
        <v>157.18</v>
      </c>
      <c r="AI306" s="191"/>
      <c r="AJ306" s="15">
        <v>856.94</v>
      </c>
      <c r="AK306" s="15">
        <v>0.85694000000000004</v>
      </c>
      <c r="AL306" s="182"/>
      <c r="AM306" s="142" t="s">
        <v>20</v>
      </c>
      <c r="AN306" s="135" t="str">
        <f>AO306</f>
        <v>D</v>
      </c>
      <c r="AO306" s="135" t="s">
        <v>21</v>
      </c>
      <c r="AP306" s="372">
        <f t="shared" ref="AP306:AR306" si="78">AQ306-2</f>
        <v>45707</v>
      </c>
      <c r="AQ306" s="372">
        <f t="shared" si="78"/>
        <v>45709</v>
      </c>
      <c r="AR306" s="372">
        <f t="shared" si="78"/>
        <v>45711</v>
      </c>
      <c r="AS306" s="372">
        <v>45713</v>
      </c>
      <c r="AT306" s="187" t="s">
        <v>595</v>
      </c>
      <c r="AU306" s="188"/>
      <c r="AV306" s="142" t="s">
        <v>20</v>
      </c>
      <c r="AW306" s="15" t="s">
        <v>548</v>
      </c>
      <c r="AX306" s="297">
        <f>AS306+10</f>
        <v>45723</v>
      </c>
      <c r="AY306" s="297">
        <f>AX306</f>
        <v>45723</v>
      </c>
      <c r="AZ306" s="19" t="s">
        <v>596</v>
      </c>
      <c r="BA306" s="199"/>
      <c r="BB306" s="142" t="s">
        <v>20</v>
      </c>
      <c r="BC306" s="135"/>
      <c r="BD306" s="135"/>
      <c r="BE306" s="298">
        <f>BF306-2</f>
        <v>45971</v>
      </c>
      <c r="BF306" s="298">
        <v>45973</v>
      </c>
      <c r="BG306" s="17" t="s">
        <v>510</v>
      </c>
      <c r="BH306" s="198"/>
      <c r="BI306" s="15"/>
      <c r="BJ306" s="135"/>
      <c r="BK306" s="135"/>
      <c r="BL306" s="25"/>
      <c r="BM306" s="24"/>
    </row>
    <row r="307" spans="1:65" ht="14.25" hidden="1" customHeight="1">
      <c r="B307" s="19"/>
      <c r="C307" s="184"/>
      <c r="D307" s="134"/>
      <c r="E307" s="134"/>
      <c r="F307" s="134"/>
      <c r="G307" s="134"/>
      <c r="H307" s="185"/>
      <c r="I307" s="19"/>
      <c r="J307" s="19"/>
      <c r="K307" s="186"/>
      <c r="L307" s="178"/>
      <c r="M307" s="15"/>
      <c r="N307" s="15"/>
      <c r="O307" s="15"/>
      <c r="P307" s="180">
        <f t="shared" si="36"/>
        <v>0</v>
      </c>
      <c r="Q307" s="178"/>
      <c r="R307" s="15"/>
      <c r="S307" s="180"/>
      <c r="T307" s="204"/>
      <c r="U307" s="204"/>
      <c r="V307" s="16">
        <v>284</v>
      </c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82"/>
      <c r="AM307" s="15"/>
      <c r="AN307" s="24"/>
      <c r="AO307" s="24"/>
      <c r="AP307" s="24"/>
      <c r="AQ307" s="24"/>
      <c r="AR307" s="24"/>
      <c r="AS307" s="24"/>
      <c r="AT307" s="24"/>
      <c r="AU307" s="183"/>
      <c r="AV307" s="15"/>
      <c r="AW307" s="24"/>
      <c r="AX307" s="297"/>
      <c r="AY307" s="297"/>
      <c r="AZ307" s="24"/>
      <c r="BA307" s="183"/>
      <c r="BB307" s="24"/>
      <c r="BC307" s="24"/>
      <c r="BD307" s="24"/>
      <c r="BE307" s="24"/>
      <c r="BF307" s="24"/>
      <c r="BG307" s="24"/>
      <c r="BH307" s="183"/>
      <c r="BI307" s="24"/>
      <c r="BJ307" s="24"/>
      <c r="BK307" s="24"/>
      <c r="BL307" s="24"/>
      <c r="BM307" s="24"/>
    </row>
    <row r="308" spans="1:65" ht="14.25" customHeight="1">
      <c r="A308" s="15">
        <v>150</v>
      </c>
      <c r="B308" s="19" t="s">
        <v>231</v>
      </c>
      <c r="C308" s="184" t="s">
        <v>76</v>
      </c>
      <c r="D308" s="134">
        <v>7.71</v>
      </c>
      <c r="E308" s="134">
        <f>D308*4</f>
        <v>30.84</v>
      </c>
      <c r="F308" s="134">
        <f>E308*8</f>
        <v>246.72</v>
      </c>
      <c r="G308" s="134"/>
      <c r="H308" s="185"/>
      <c r="I308" s="19"/>
      <c r="J308" s="19"/>
      <c r="K308" s="186"/>
      <c r="L308" s="178">
        <v>3.452</v>
      </c>
      <c r="M308" s="15">
        <v>2.633</v>
      </c>
      <c r="N308" s="15">
        <v>4.0000000000000001E-3</v>
      </c>
      <c r="O308" s="15">
        <v>0.24099999999999999</v>
      </c>
      <c r="P308" s="180">
        <f t="shared" si="36"/>
        <v>6.3299999999999992</v>
      </c>
      <c r="Q308" s="178">
        <v>0.36299999999999999</v>
      </c>
      <c r="R308" s="15">
        <v>6.0000000000000001E-3</v>
      </c>
      <c r="S308" s="180">
        <f>SUM(Q308:R308)</f>
        <v>0.36899999999999999</v>
      </c>
      <c r="T308" s="204" t="s">
        <v>230</v>
      </c>
      <c r="U308" s="181" t="s">
        <v>540</v>
      </c>
      <c r="V308" s="15"/>
      <c r="W308" s="15" t="s">
        <v>546</v>
      </c>
      <c r="X308" s="15">
        <v>143.36000000000001</v>
      </c>
      <c r="Y308" s="15">
        <v>1.68</v>
      </c>
      <c r="Z308" s="15">
        <v>13.27</v>
      </c>
      <c r="AA308" s="15">
        <v>14.95</v>
      </c>
      <c r="AB308" s="15">
        <v>114.41540000000001</v>
      </c>
      <c r="AC308" s="15">
        <v>5720.77</v>
      </c>
      <c r="AD308" s="15">
        <v>70.930000000000007</v>
      </c>
      <c r="AE308" s="15">
        <v>596.29</v>
      </c>
      <c r="AF308" s="15"/>
      <c r="AG308" s="15">
        <v>99.34</v>
      </c>
      <c r="AH308" s="15">
        <v>155.21</v>
      </c>
      <c r="AI308" s="15"/>
      <c r="AJ308" s="15">
        <v>921.7700000000001</v>
      </c>
      <c r="AK308" s="15">
        <v>0.92177000000000009</v>
      </c>
      <c r="AL308" s="182"/>
      <c r="AM308" s="142" t="s">
        <v>20</v>
      </c>
      <c r="AN308" s="135" t="str">
        <f>AO308</f>
        <v>D</v>
      </c>
      <c r="AO308" s="135" t="s">
        <v>21</v>
      </c>
      <c r="AP308" s="372">
        <v>45588</v>
      </c>
      <c r="AQ308" s="372">
        <v>45592</v>
      </c>
      <c r="AR308" s="372">
        <v>45602</v>
      </c>
      <c r="AS308" s="372">
        <v>45605</v>
      </c>
      <c r="AT308" s="24" t="s">
        <v>599</v>
      </c>
      <c r="AU308" s="183"/>
      <c r="AV308" s="142" t="s">
        <v>20</v>
      </c>
      <c r="AW308" s="15" t="s">
        <v>548</v>
      </c>
      <c r="AX308" s="297">
        <f>AY308</f>
        <v>45661</v>
      </c>
      <c r="AY308" s="297">
        <v>45661</v>
      </c>
      <c r="AZ308" s="24" t="s">
        <v>599</v>
      </c>
      <c r="BA308" s="183"/>
      <c r="BB308" s="142" t="s">
        <v>20</v>
      </c>
      <c r="BC308" s="135"/>
      <c r="BD308" s="135" t="s">
        <v>21</v>
      </c>
      <c r="BE308" s="298">
        <f>BF308-2</f>
        <v>45722</v>
      </c>
      <c r="BF308" s="298">
        <v>45724</v>
      </c>
      <c r="BG308" s="17" t="s">
        <v>584</v>
      </c>
      <c r="BH308" s="193"/>
      <c r="BI308" s="142" t="s">
        <v>20</v>
      </c>
      <c r="BJ308" s="138">
        <v>45784</v>
      </c>
      <c r="BK308" s="138">
        <v>45784</v>
      </c>
      <c r="BL308" s="25">
        <v>1252</v>
      </c>
      <c r="BM308" s="24" t="s">
        <v>593</v>
      </c>
    </row>
    <row r="309" spans="1:65" ht="14.25" hidden="1" customHeight="1">
      <c r="B309" s="19"/>
      <c r="C309" s="184"/>
      <c r="D309" s="134"/>
      <c r="E309" s="134"/>
      <c r="F309" s="134"/>
      <c r="G309" s="134"/>
      <c r="H309" s="185"/>
      <c r="I309" s="19"/>
      <c r="J309" s="19"/>
      <c r="K309" s="186"/>
      <c r="L309" s="178"/>
      <c r="M309" s="15"/>
      <c r="N309" s="15"/>
      <c r="O309" s="15"/>
      <c r="P309" s="180">
        <f t="shared" si="36"/>
        <v>0</v>
      </c>
      <c r="Q309" s="178"/>
      <c r="R309" s="15"/>
      <c r="S309" s="180"/>
      <c r="T309" s="204"/>
      <c r="U309" s="204"/>
      <c r="V309" s="16">
        <v>345.88</v>
      </c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82"/>
      <c r="AM309" s="15"/>
      <c r="AN309" s="24"/>
      <c r="AO309" s="24"/>
      <c r="AP309" s="24"/>
      <c r="AQ309" s="24"/>
      <c r="AR309" s="24"/>
      <c r="AS309" s="24"/>
      <c r="AT309" s="24"/>
      <c r="AU309" s="183"/>
      <c r="AV309" s="15"/>
      <c r="AW309" s="24"/>
      <c r="AX309" s="297"/>
      <c r="AY309" s="297"/>
      <c r="AZ309" s="24"/>
      <c r="BA309" s="183"/>
      <c r="BB309" s="24"/>
      <c r="BC309" s="24"/>
      <c r="BD309" s="24"/>
      <c r="BE309" s="24"/>
      <c r="BF309" s="24"/>
      <c r="BG309" s="24"/>
      <c r="BH309" s="183"/>
      <c r="BI309" s="24"/>
      <c r="BJ309" s="24"/>
      <c r="BK309" s="24"/>
      <c r="BL309" s="24"/>
      <c r="BM309" s="24"/>
    </row>
    <row r="310" spans="1:65" ht="14.25" customHeight="1">
      <c r="A310" s="15">
        <v>151</v>
      </c>
      <c r="B310" s="19" t="s">
        <v>232</v>
      </c>
      <c r="C310" s="184" t="s">
        <v>37</v>
      </c>
      <c r="D310" s="134">
        <v>6.992</v>
      </c>
      <c r="E310" s="134">
        <f>D310*4</f>
        <v>27.968</v>
      </c>
      <c r="F310" s="134">
        <f>E310*8</f>
        <v>223.744</v>
      </c>
      <c r="G310" s="134"/>
      <c r="H310" s="185"/>
      <c r="I310" s="19"/>
      <c r="J310" s="19"/>
      <c r="K310" s="186"/>
      <c r="L310" s="178">
        <v>2.6070000000000002</v>
      </c>
      <c r="M310" s="15">
        <v>2.657</v>
      </c>
      <c r="N310" s="15">
        <v>2E-3</v>
      </c>
      <c r="O310" s="15">
        <v>0.21299999999999999</v>
      </c>
      <c r="P310" s="180">
        <f t="shared" si="36"/>
        <v>5.4790000000000001</v>
      </c>
      <c r="Q310" s="178">
        <v>0.24399999999999999</v>
      </c>
      <c r="R310" s="15">
        <v>5.0000000000000001E-3</v>
      </c>
      <c r="S310" s="180">
        <f>SUM(Q310:R310)</f>
        <v>0.249</v>
      </c>
      <c r="T310" s="204"/>
      <c r="U310" s="181" t="s">
        <v>540</v>
      </c>
      <c r="V310" s="15"/>
      <c r="W310" s="15" t="s">
        <v>570</v>
      </c>
      <c r="X310" s="15">
        <v>80.64</v>
      </c>
      <c r="Y310" s="15">
        <v>0.88</v>
      </c>
      <c r="Z310" s="15">
        <v>8.1199999999999992</v>
      </c>
      <c r="AA310" s="15">
        <v>9</v>
      </c>
      <c r="AB310" s="15">
        <v>69.354399999999998</v>
      </c>
      <c r="AC310" s="15">
        <v>3467.72</v>
      </c>
      <c r="AD310" s="15">
        <v>73.73</v>
      </c>
      <c r="AE310" s="15">
        <v>313.64</v>
      </c>
      <c r="AF310" s="15"/>
      <c r="AG310" s="15">
        <v>201.4</v>
      </c>
      <c r="AH310" s="15"/>
      <c r="AI310" s="15"/>
      <c r="AJ310" s="15">
        <v>588.77</v>
      </c>
      <c r="AK310" s="15">
        <v>0.58877000000000002</v>
      </c>
      <c r="AL310" s="182"/>
      <c r="AM310" s="142" t="s">
        <v>20</v>
      </c>
      <c r="AN310" s="135" t="s">
        <v>21</v>
      </c>
      <c r="AO310" s="135" t="s">
        <v>21</v>
      </c>
      <c r="AP310" s="372">
        <f t="shared" ref="AP310:AR310" si="79">AQ310-2</f>
        <v>45756</v>
      </c>
      <c r="AQ310" s="372">
        <f t="shared" si="79"/>
        <v>45758</v>
      </c>
      <c r="AR310" s="372">
        <f t="shared" si="79"/>
        <v>45760</v>
      </c>
      <c r="AS310" s="372">
        <v>45762</v>
      </c>
      <c r="AT310" s="19" t="s">
        <v>566</v>
      </c>
      <c r="AU310" s="199"/>
      <c r="AV310" s="142" t="s">
        <v>20</v>
      </c>
      <c r="AW310" s="15" t="s">
        <v>548</v>
      </c>
      <c r="AX310" s="297">
        <f>AY310</f>
        <v>45787</v>
      </c>
      <c r="AY310" s="297">
        <v>45787</v>
      </c>
      <c r="AZ310" s="19" t="s">
        <v>566</v>
      </c>
      <c r="BA310" s="199"/>
      <c r="BB310" s="142" t="s">
        <v>20</v>
      </c>
      <c r="BC310" s="135"/>
      <c r="BD310" s="135" t="s">
        <v>21</v>
      </c>
      <c r="BE310" s="298">
        <f>BF310</f>
        <v>45794</v>
      </c>
      <c r="BF310" s="298">
        <v>45794</v>
      </c>
      <c r="BG310" s="15" t="s">
        <v>600</v>
      </c>
      <c r="BH310" s="194"/>
      <c r="BI310" s="142" t="s">
        <v>20</v>
      </c>
      <c r="BJ310" s="135">
        <v>45812</v>
      </c>
      <c r="BK310" s="135">
        <f>BJ310</f>
        <v>45812</v>
      </c>
      <c r="BL310" s="25">
        <v>1330</v>
      </c>
      <c r="BM310" s="190" t="s">
        <v>593</v>
      </c>
    </row>
    <row r="311" spans="1:65" ht="14.25" hidden="1" customHeight="1">
      <c r="B311" s="19"/>
      <c r="C311" s="184"/>
      <c r="D311" s="134"/>
      <c r="E311" s="134"/>
      <c r="F311" s="134"/>
      <c r="G311" s="134"/>
      <c r="H311" s="185"/>
      <c r="I311" s="19"/>
      <c r="J311" s="19"/>
      <c r="K311" s="186"/>
      <c r="L311" s="178"/>
      <c r="M311" s="15"/>
      <c r="N311" s="15"/>
      <c r="O311" s="15"/>
      <c r="P311" s="180">
        <f t="shared" si="36"/>
        <v>0</v>
      </c>
      <c r="Q311" s="178"/>
      <c r="R311" s="15"/>
      <c r="S311" s="180"/>
      <c r="T311" s="204"/>
      <c r="U311" s="204"/>
      <c r="V311" s="16">
        <v>310.87</v>
      </c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82"/>
      <c r="AM311" s="15"/>
      <c r="AN311" s="24"/>
      <c r="AO311" s="24"/>
      <c r="AP311" s="24"/>
      <c r="AQ311" s="24"/>
      <c r="AR311" s="24"/>
      <c r="AS311" s="24"/>
      <c r="AT311" s="24"/>
      <c r="AU311" s="183"/>
      <c r="AV311" s="15"/>
      <c r="AW311" s="24"/>
      <c r="AX311" s="297"/>
      <c r="AY311" s="297"/>
      <c r="AZ311" s="24"/>
      <c r="BA311" s="183"/>
      <c r="BB311" s="24"/>
      <c r="BC311" s="24"/>
      <c r="BD311" s="24"/>
      <c r="BE311" s="24"/>
      <c r="BF311" s="24"/>
      <c r="BG311" s="24"/>
      <c r="BH311" s="183"/>
      <c r="BI311" s="24"/>
      <c r="BJ311" s="24"/>
      <c r="BK311" s="24"/>
      <c r="BL311" s="24"/>
      <c r="BM311" s="24"/>
    </row>
    <row r="312" spans="1:65" ht="14.25" customHeight="1">
      <c r="A312" s="15">
        <v>152</v>
      </c>
      <c r="B312" s="19" t="s">
        <v>233</v>
      </c>
      <c r="C312" s="184" t="s">
        <v>37</v>
      </c>
      <c r="D312" s="134">
        <v>6.992</v>
      </c>
      <c r="E312" s="134">
        <f>D312*4</f>
        <v>27.968</v>
      </c>
      <c r="F312" s="134">
        <f>E312*8</f>
        <v>223.744</v>
      </c>
      <c r="G312" s="134"/>
      <c r="H312" s="185"/>
      <c r="I312" s="19"/>
      <c r="J312" s="19"/>
      <c r="K312" s="186"/>
      <c r="L312" s="178">
        <v>2.6070000000000002</v>
      </c>
      <c r="M312" s="15">
        <v>2.657</v>
      </c>
      <c r="N312" s="15">
        <v>2E-3</v>
      </c>
      <c r="O312" s="15">
        <v>0.21299999999999999</v>
      </c>
      <c r="P312" s="180">
        <f t="shared" si="36"/>
        <v>5.4790000000000001</v>
      </c>
      <c r="Q312" s="178">
        <v>0.24399999999999999</v>
      </c>
      <c r="R312" s="15">
        <v>5.0000000000000001E-3</v>
      </c>
      <c r="S312" s="180">
        <f>SUM(Q312:R312)</f>
        <v>0.249</v>
      </c>
      <c r="T312" s="204"/>
      <c r="U312" s="181" t="s">
        <v>540</v>
      </c>
      <c r="V312" s="15"/>
      <c r="W312" s="15" t="s">
        <v>570</v>
      </c>
      <c r="X312" s="15">
        <v>80.64</v>
      </c>
      <c r="Y312" s="15">
        <v>0.88</v>
      </c>
      <c r="Z312" s="15">
        <v>8.1199999999999992</v>
      </c>
      <c r="AA312" s="15"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82"/>
      <c r="AM312" s="142" t="s">
        <v>20</v>
      </c>
      <c r="AN312" s="135" t="s">
        <v>21</v>
      </c>
      <c r="AO312" s="135" t="s">
        <v>21</v>
      </c>
      <c r="AP312" s="372">
        <f t="shared" ref="AP312:AR312" si="80">AQ312-2</f>
        <v>45762</v>
      </c>
      <c r="AQ312" s="372">
        <f t="shared" si="80"/>
        <v>45764</v>
      </c>
      <c r="AR312" s="372">
        <f t="shared" si="80"/>
        <v>45766</v>
      </c>
      <c r="AS312" s="372">
        <v>45768</v>
      </c>
      <c r="AT312" s="19" t="s">
        <v>566</v>
      </c>
      <c r="AU312" s="199"/>
      <c r="AV312" s="142" t="s">
        <v>20</v>
      </c>
      <c r="AW312" s="15" t="s">
        <v>548</v>
      </c>
      <c r="AX312" s="297">
        <f>AY312-1</f>
        <v>45778</v>
      </c>
      <c r="AY312" s="297">
        <v>45779</v>
      </c>
      <c r="AZ312" s="19" t="s">
        <v>566</v>
      </c>
      <c r="BA312" s="199"/>
      <c r="BB312" s="142" t="s">
        <v>20</v>
      </c>
      <c r="BC312" s="135"/>
      <c r="BD312" s="135" t="s">
        <v>21</v>
      </c>
      <c r="BE312" s="298">
        <f>BF312-1</f>
        <v>45791</v>
      </c>
      <c r="BF312" s="298">
        <v>45792</v>
      </c>
      <c r="BG312" s="15" t="s">
        <v>600</v>
      </c>
      <c r="BH312" s="192"/>
      <c r="BI312" s="142" t="s">
        <v>20</v>
      </c>
      <c r="BJ312" s="135">
        <f>BK312</f>
        <v>45807</v>
      </c>
      <c r="BK312" s="135">
        <v>45807</v>
      </c>
      <c r="BL312" s="25">
        <v>1330</v>
      </c>
      <c r="BM312" s="24" t="s">
        <v>593</v>
      </c>
    </row>
    <row r="313" spans="1:65" ht="14.25" hidden="1" customHeight="1">
      <c r="B313" s="19"/>
      <c r="C313" s="184"/>
      <c r="D313" s="134"/>
      <c r="E313" s="134"/>
      <c r="F313" s="134"/>
      <c r="G313" s="134"/>
      <c r="H313" s="185"/>
      <c r="I313" s="19"/>
      <c r="J313" s="19"/>
      <c r="K313" s="186"/>
      <c r="L313" s="178"/>
      <c r="M313" s="15"/>
      <c r="N313" s="15"/>
      <c r="O313" s="15"/>
      <c r="P313" s="180">
        <f t="shared" si="36"/>
        <v>0</v>
      </c>
      <c r="Q313" s="178"/>
      <c r="R313" s="15"/>
      <c r="S313" s="180"/>
      <c r="T313" s="204"/>
      <c r="U313" s="204"/>
      <c r="V313" s="16">
        <v>380.03</v>
      </c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82"/>
      <c r="AM313" s="15"/>
      <c r="AN313" s="24"/>
      <c r="AO313" s="24"/>
      <c r="AP313" s="24"/>
      <c r="AQ313" s="24"/>
      <c r="AR313" s="24"/>
      <c r="AS313" s="24"/>
      <c r="AT313" s="24"/>
      <c r="AU313" s="183"/>
      <c r="AV313" s="15"/>
      <c r="AW313" s="24"/>
      <c r="AX313" s="297"/>
      <c r="AY313" s="297"/>
      <c r="AZ313" s="24"/>
      <c r="BA313" s="183"/>
      <c r="BB313" s="24"/>
      <c r="BC313" s="24"/>
      <c r="BD313" s="24"/>
      <c r="BE313" s="24"/>
      <c r="BF313" s="24"/>
      <c r="BG313" s="24"/>
      <c r="BH313" s="183"/>
      <c r="BI313" s="24"/>
      <c r="BJ313" s="24"/>
      <c r="BK313" s="24"/>
      <c r="BL313" s="24"/>
      <c r="BM313" s="24"/>
    </row>
    <row r="314" spans="1:65" ht="14.25" customHeight="1">
      <c r="A314" s="15">
        <v>153</v>
      </c>
      <c r="B314" s="19" t="s">
        <v>234</v>
      </c>
      <c r="C314" s="184" t="s">
        <v>37</v>
      </c>
      <c r="D314" s="134">
        <v>6.992</v>
      </c>
      <c r="E314" s="134">
        <f>D314*4</f>
        <v>27.968</v>
      </c>
      <c r="F314" s="134">
        <f>E314*8</f>
        <v>223.744</v>
      </c>
      <c r="G314" s="134"/>
      <c r="H314" s="185"/>
      <c r="I314" s="19"/>
      <c r="J314" s="19"/>
      <c r="K314" s="186"/>
      <c r="L314" s="178">
        <v>2.6070000000000002</v>
      </c>
      <c r="M314" s="15">
        <v>2.657</v>
      </c>
      <c r="N314" s="15">
        <v>2E-3</v>
      </c>
      <c r="O314" s="15">
        <v>0.21299999999999999</v>
      </c>
      <c r="P314" s="180">
        <f t="shared" si="36"/>
        <v>5.4790000000000001</v>
      </c>
      <c r="Q314" s="178">
        <v>0.24399999999999999</v>
      </c>
      <c r="R314" s="15">
        <v>5.0000000000000001E-3</v>
      </c>
      <c r="S314" s="180">
        <f>SUM(Q314:R314)</f>
        <v>0.249</v>
      </c>
      <c r="T314" s="204"/>
      <c r="U314" s="181" t="s">
        <v>540</v>
      </c>
      <c r="V314" s="15"/>
      <c r="W314" s="15" t="s">
        <v>541</v>
      </c>
      <c r="X314" s="15">
        <v>85.44</v>
      </c>
      <c r="Y314" s="15">
        <v>1.51</v>
      </c>
      <c r="Z314" s="15">
        <v>11.15</v>
      </c>
      <c r="AA314" s="15">
        <v>12.66</v>
      </c>
      <c r="AB314" s="15">
        <v>96.573400000000021</v>
      </c>
      <c r="AC314" s="15">
        <v>4828.670000000001</v>
      </c>
      <c r="AD314" s="15">
        <v>63.93</v>
      </c>
      <c r="AE314" s="15">
        <v>524.79</v>
      </c>
      <c r="AF314" s="15"/>
      <c r="AG314" s="15">
        <v>100.6</v>
      </c>
      <c r="AH314" s="15">
        <v>157.18</v>
      </c>
      <c r="AI314" s="15"/>
      <c r="AJ314" s="15">
        <v>846.5</v>
      </c>
      <c r="AK314" s="15">
        <v>0.84650000000000003</v>
      </c>
      <c r="AL314" s="182"/>
      <c r="AM314" s="142" t="s">
        <v>20</v>
      </c>
      <c r="AN314" s="135" t="str">
        <f>AO314</f>
        <v>D</v>
      </c>
      <c r="AO314" s="135" t="s">
        <v>21</v>
      </c>
      <c r="AP314" s="372">
        <v>45588</v>
      </c>
      <c r="AQ314" s="372">
        <v>45590</v>
      </c>
      <c r="AR314" s="372">
        <v>45591</v>
      </c>
      <c r="AS314" s="372">
        <v>45591</v>
      </c>
      <c r="AT314" s="24" t="s">
        <v>599</v>
      </c>
      <c r="AU314" s="183"/>
      <c r="AV314" s="142" t="s">
        <v>20</v>
      </c>
      <c r="AW314" s="15" t="s">
        <v>6</v>
      </c>
      <c r="AX314" s="297">
        <f>AY314-1</f>
        <v>45684</v>
      </c>
      <c r="AY314" s="297">
        <v>45685</v>
      </c>
      <c r="AZ314" s="187" t="s">
        <v>543</v>
      </c>
      <c r="BA314" s="188"/>
      <c r="BB314" s="142" t="s">
        <v>20</v>
      </c>
      <c r="BC314" s="135"/>
      <c r="BD314" s="135" t="s">
        <v>21</v>
      </c>
      <c r="BE314" s="298">
        <f>BF314-1</f>
        <v>45706</v>
      </c>
      <c r="BF314" s="298">
        <v>45707</v>
      </c>
      <c r="BG314" s="17" t="s">
        <v>553</v>
      </c>
      <c r="BH314" s="192"/>
      <c r="BI314" s="142" t="s">
        <v>20</v>
      </c>
      <c r="BJ314" s="135">
        <f>BK314</f>
        <v>45807</v>
      </c>
      <c r="BK314" s="135">
        <v>45807</v>
      </c>
      <c r="BL314" s="25">
        <v>1330</v>
      </c>
      <c r="BM314" s="24" t="s">
        <v>593</v>
      </c>
    </row>
    <row r="315" spans="1:65" ht="14.25" hidden="1" customHeight="1">
      <c r="B315" s="19"/>
      <c r="C315" s="184"/>
      <c r="D315" s="134"/>
      <c r="E315" s="134"/>
      <c r="F315" s="134"/>
      <c r="G315" s="134"/>
      <c r="H315" s="185"/>
      <c r="I315" s="19"/>
      <c r="J315" s="19"/>
      <c r="K315" s="186"/>
      <c r="L315" s="178"/>
      <c r="M315" s="15"/>
      <c r="N315" s="15"/>
      <c r="O315" s="15"/>
      <c r="P315" s="180">
        <f t="shared" si="36"/>
        <v>0</v>
      </c>
      <c r="Q315" s="178"/>
      <c r="R315" s="15"/>
      <c r="S315" s="180"/>
      <c r="T315" s="204"/>
      <c r="U315" s="204"/>
      <c r="V315" s="16">
        <v>358.18</v>
      </c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82"/>
      <c r="AM315" s="15"/>
      <c r="AN315" s="24"/>
      <c r="AO315" s="24"/>
      <c r="AP315" s="24"/>
      <c r="AQ315" s="24"/>
      <c r="AR315" s="24"/>
      <c r="AS315" s="24"/>
      <c r="AT315" s="24"/>
      <c r="AU315" s="183"/>
      <c r="AV315" s="15"/>
      <c r="AW315" s="24"/>
      <c r="AX315" s="297"/>
      <c r="AY315" s="297"/>
      <c r="AZ315" s="24"/>
      <c r="BA315" s="183"/>
      <c r="BB315" s="24"/>
      <c r="BC315" s="24"/>
      <c r="BD315" s="24"/>
      <c r="BE315" s="24"/>
      <c r="BF315" s="24"/>
      <c r="BG315" s="24"/>
      <c r="BH315" s="183"/>
      <c r="BI315" s="24"/>
      <c r="BJ315" s="24"/>
      <c r="BK315" s="24"/>
      <c r="BL315" s="24"/>
      <c r="BM315" s="24"/>
    </row>
    <row r="316" spans="1:65" ht="14.25" customHeight="1">
      <c r="A316" s="15">
        <v>154</v>
      </c>
      <c r="B316" s="19" t="s">
        <v>235</v>
      </c>
      <c r="C316" s="184" t="s">
        <v>42</v>
      </c>
      <c r="D316" s="134">
        <v>6.3620000000000001</v>
      </c>
      <c r="E316" s="134">
        <f>D316*4</f>
        <v>25.448</v>
      </c>
      <c r="F316" s="134">
        <f>E316*8</f>
        <v>203.584</v>
      </c>
      <c r="G316" s="134"/>
      <c r="H316" s="185"/>
      <c r="I316" s="19"/>
      <c r="J316" s="19"/>
      <c r="K316" s="186"/>
      <c r="L316" s="178">
        <v>2.25</v>
      </c>
      <c r="M316" s="15">
        <v>2.1880000000000002</v>
      </c>
      <c r="N316" s="15">
        <v>2E-3</v>
      </c>
      <c r="O316" s="15">
        <v>0.183</v>
      </c>
      <c r="P316" s="180">
        <f t="shared" si="36"/>
        <v>4.6230000000000002</v>
      </c>
      <c r="Q316" s="178">
        <v>0.24399999999999999</v>
      </c>
      <c r="R316" s="15">
        <v>5.0000000000000001E-3</v>
      </c>
      <c r="S316" s="180">
        <f>SUM(Q316:R316)</f>
        <v>0.249</v>
      </c>
      <c r="T316" s="204"/>
      <c r="U316" s="181" t="s">
        <v>540</v>
      </c>
      <c r="V316" s="15"/>
      <c r="W316" s="15" t="s">
        <v>570</v>
      </c>
      <c r="X316" s="15">
        <v>80.64</v>
      </c>
      <c r="Y316" s="15">
        <v>0.88</v>
      </c>
      <c r="Z316" s="15">
        <v>8.1199999999999992</v>
      </c>
      <c r="AA316" s="15">
        <v>9</v>
      </c>
      <c r="AB316" s="15">
        <v>69.354399999999998</v>
      </c>
      <c r="AC316" s="15">
        <v>3467.72</v>
      </c>
      <c r="AD316" s="15">
        <v>73.73</v>
      </c>
      <c r="AE316" s="15">
        <v>313.64</v>
      </c>
      <c r="AF316" s="15"/>
      <c r="AG316" s="15">
        <v>201.4</v>
      </c>
      <c r="AH316" s="15"/>
      <c r="AI316" s="15"/>
      <c r="AJ316" s="15">
        <v>588.77</v>
      </c>
      <c r="AK316" s="15">
        <v>0.58877000000000002</v>
      </c>
      <c r="AL316" s="182"/>
      <c r="AM316" s="142" t="s">
        <v>20</v>
      </c>
      <c r="AN316" s="135" t="str">
        <f>AO316</f>
        <v>D</v>
      </c>
      <c r="AO316" s="135" t="s">
        <v>21</v>
      </c>
      <c r="AP316" s="372">
        <f t="shared" ref="AP316:AR316" si="81">AQ316-2</f>
        <v>45607</v>
      </c>
      <c r="AQ316" s="372">
        <f t="shared" si="81"/>
        <v>45609</v>
      </c>
      <c r="AR316" s="372">
        <f t="shared" si="81"/>
        <v>45611</v>
      </c>
      <c r="AS316" s="372">
        <v>45613</v>
      </c>
      <c r="AT316" s="187" t="s">
        <v>595</v>
      </c>
      <c r="AU316" s="188"/>
      <c r="AV316" s="142" t="s">
        <v>20</v>
      </c>
      <c r="AW316" s="15" t="s">
        <v>548</v>
      </c>
      <c r="AX316" s="297">
        <f>AY316-1</f>
        <v>45684</v>
      </c>
      <c r="AY316" s="297">
        <v>45685</v>
      </c>
      <c r="AZ316" s="187" t="s">
        <v>543</v>
      </c>
      <c r="BA316" s="188"/>
      <c r="BB316" s="142" t="s">
        <v>20</v>
      </c>
      <c r="BC316" s="135"/>
      <c r="BD316" s="135" t="s">
        <v>21</v>
      </c>
      <c r="BE316" s="298">
        <f>BF316-2</f>
        <v>45695</v>
      </c>
      <c r="BF316" s="298">
        <v>45697</v>
      </c>
      <c r="BG316" s="17" t="s">
        <v>553</v>
      </c>
      <c r="BH316" s="193"/>
      <c r="BI316" s="142" t="s">
        <v>20</v>
      </c>
      <c r="BJ316" s="135">
        <f>BK316</f>
        <v>45807</v>
      </c>
      <c r="BK316" s="135">
        <v>45807</v>
      </c>
      <c r="BL316" s="25">
        <v>980</v>
      </c>
      <c r="BM316" s="24" t="s">
        <v>593</v>
      </c>
    </row>
    <row r="317" spans="1:65" ht="14.25" hidden="1" customHeight="1">
      <c r="B317" s="19"/>
      <c r="C317" s="184"/>
      <c r="D317" s="134"/>
      <c r="E317" s="134"/>
      <c r="F317" s="134"/>
      <c r="G317" s="134"/>
      <c r="H317" s="185"/>
      <c r="I317" s="19"/>
      <c r="J317" s="19"/>
      <c r="K317" s="186"/>
      <c r="L317" s="178"/>
      <c r="M317" s="15"/>
      <c r="N317" s="15"/>
      <c r="O317" s="15"/>
      <c r="P317" s="180">
        <f t="shared" si="36"/>
        <v>0</v>
      </c>
      <c r="Q317" s="178"/>
      <c r="R317" s="15"/>
      <c r="S317" s="180"/>
      <c r="T317" s="204"/>
      <c r="U317" s="204"/>
      <c r="V317" s="16">
        <v>311.05</v>
      </c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82"/>
      <c r="AM317" s="15"/>
      <c r="AN317" s="24"/>
      <c r="AO317" s="24"/>
      <c r="AP317" s="24"/>
      <c r="AQ317" s="24"/>
      <c r="AR317" s="24"/>
      <c r="AS317" s="24"/>
      <c r="AT317" s="24"/>
      <c r="AU317" s="183"/>
      <c r="AV317" s="15"/>
      <c r="AW317" s="24"/>
      <c r="AX317" s="297"/>
      <c r="AY317" s="297"/>
      <c r="AZ317" s="24"/>
      <c r="BA317" s="183"/>
      <c r="BB317" s="24"/>
      <c r="BC317" s="24"/>
      <c r="BD317" s="24"/>
      <c r="BE317" s="24"/>
      <c r="BF317" s="24"/>
      <c r="BG317" s="24"/>
      <c r="BH317" s="183"/>
      <c r="BI317" s="24"/>
      <c r="BJ317" s="24"/>
      <c r="BK317" s="24"/>
      <c r="BL317" s="24"/>
      <c r="BM317" s="24"/>
    </row>
    <row r="318" spans="1:65" ht="14.25" customHeight="1">
      <c r="A318" s="15">
        <v>155</v>
      </c>
      <c r="B318" s="19" t="s">
        <v>236</v>
      </c>
      <c r="C318" s="184" t="s">
        <v>37</v>
      </c>
      <c r="D318" s="134">
        <v>6.992</v>
      </c>
      <c r="E318" s="134">
        <f>D318*4</f>
        <v>27.968</v>
      </c>
      <c r="F318" s="134">
        <f>E318*8</f>
        <v>223.744</v>
      </c>
      <c r="G318" s="134"/>
      <c r="H318" s="185"/>
      <c r="I318" s="19"/>
      <c r="J318" s="19"/>
      <c r="K318" s="186"/>
      <c r="L318" s="178">
        <v>2.6070000000000002</v>
      </c>
      <c r="M318" s="15">
        <v>2.657</v>
      </c>
      <c r="N318" s="15">
        <v>2E-3</v>
      </c>
      <c r="O318" s="15">
        <v>0.21299999999999999</v>
      </c>
      <c r="P318" s="180">
        <f t="shared" si="36"/>
        <v>5.4790000000000001</v>
      </c>
      <c r="Q318" s="178">
        <v>0.24399999999999999</v>
      </c>
      <c r="R318" s="15">
        <v>5.0000000000000001E-3</v>
      </c>
      <c r="S318" s="180">
        <f>SUM(Q318:R318)</f>
        <v>0.249</v>
      </c>
      <c r="T318" s="204"/>
      <c r="U318" s="181" t="s">
        <v>540</v>
      </c>
      <c r="V318" s="15"/>
      <c r="W318" s="15" t="s">
        <v>570</v>
      </c>
      <c r="X318" s="15">
        <v>80.64</v>
      </c>
      <c r="Y318" s="15">
        <v>0.88</v>
      </c>
      <c r="Z318" s="15">
        <v>8.1199999999999992</v>
      </c>
      <c r="AA318" s="15"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82"/>
      <c r="AM318" s="142" t="s">
        <v>20</v>
      </c>
      <c r="AN318" s="135" t="str">
        <f>AO318</f>
        <v>D</v>
      </c>
      <c r="AO318" s="135" t="s">
        <v>21</v>
      </c>
      <c r="AP318" s="372">
        <v>45608</v>
      </c>
      <c r="AQ318" s="372">
        <f t="shared" ref="AQ318:AR318" si="82">AR318-1</f>
        <v>45609</v>
      </c>
      <c r="AR318" s="372">
        <f t="shared" si="82"/>
        <v>45610</v>
      </c>
      <c r="AS318" s="372">
        <v>45611</v>
      </c>
      <c r="AT318" s="187" t="s">
        <v>595</v>
      </c>
      <c r="AU318" s="188"/>
      <c r="AV318" s="142" t="s">
        <v>20</v>
      </c>
      <c r="AW318" s="15" t="s">
        <v>548</v>
      </c>
      <c r="AX318" s="297">
        <f>AY318</f>
        <v>45691</v>
      </c>
      <c r="AY318" s="297">
        <v>45691</v>
      </c>
      <c r="AZ318" s="187" t="s">
        <v>543</v>
      </c>
      <c r="BA318" s="188"/>
      <c r="BB318" s="142" t="s">
        <v>20</v>
      </c>
      <c r="BC318" s="135"/>
      <c r="BD318" s="135" t="s">
        <v>21</v>
      </c>
      <c r="BE318" s="298">
        <f>BF318-1</f>
        <v>45698</v>
      </c>
      <c r="BF318" s="298">
        <v>45699</v>
      </c>
      <c r="BG318" s="17" t="s">
        <v>553</v>
      </c>
      <c r="BH318" s="182"/>
      <c r="BI318" s="142" t="s">
        <v>20</v>
      </c>
      <c r="BJ318" s="17">
        <v>45822</v>
      </c>
      <c r="BK318" s="17">
        <v>45822</v>
      </c>
      <c r="BL318" s="25">
        <v>1330</v>
      </c>
      <c r="BM318" s="190" t="s">
        <v>593</v>
      </c>
    </row>
    <row r="319" spans="1:65" ht="14.25" hidden="1" customHeight="1">
      <c r="B319" s="19"/>
      <c r="C319" s="184"/>
      <c r="D319" s="134"/>
      <c r="E319" s="134"/>
      <c r="F319" s="134"/>
      <c r="G319" s="134"/>
      <c r="H319" s="185"/>
      <c r="I319" s="19"/>
      <c r="J319" s="19"/>
      <c r="K319" s="186"/>
      <c r="L319" s="178"/>
      <c r="M319" s="15"/>
      <c r="N319" s="15"/>
      <c r="O319" s="15"/>
      <c r="P319" s="180">
        <f t="shared" si="36"/>
        <v>0</v>
      </c>
      <c r="Q319" s="178"/>
      <c r="R319" s="15"/>
      <c r="S319" s="180"/>
      <c r="T319" s="204"/>
      <c r="U319" s="204"/>
      <c r="V319" s="16">
        <v>375.15</v>
      </c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82"/>
      <c r="AM319" s="15"/>
      <c r="AN319" s="24"/>
      <c r="AO319" s="24"/>
      <c r="AP319" s="24"/>
      <c r="AQ319" s="24"/>
      <c r="AR319" s="24"/>
      <c r="AS319" s="24"/>
      <c r="AT319" s="24"/>
      <c r="AU319" s="183"/>
      <c r="AV319" s="15"/>
      <c r="AW319" s="24"/>
      <c r="AX319" s="297"/>
      <c r="AY319" s="297"/>
      <c r="AZ319" s="24"/>
      <c r="BA319" s="183"/>
      <c r="BB319" s="24"/>
      <c r="BC319" s="24"/>
      <c r="BD319" s="24"/>
      <c r="BE319" s="24"/>
      <c r="BF319" s="24"/>
      <c r="BG319" s="24"/>
      <c r="BH319" s="183"/>
      <c r="BI319" s="24"/>
      <c r="BJ319" s="24"/>
      <c r="BK319" s="24"/>
      <c r="BL319" s="24"/>
      <c r="BM319" s="24"/>
    </row>
    <row r="320" spans="1:65" ht="14.25" customHeight="1">
      <c r="A320" s="15">
        <v>156</v>
      </c>
      <c r="B320" s="19" t="s">
        <v>237</v>
      </c>
      <c r="C320" s="184" t="s">
        <v>37</v>
      </c>
      <c r="D320" s="134">
        <v>6.992</v>
      </c>
      <c r="E320" s="134">
        <f>D320*4</f>
        <v>27.968</v>
      </c>
      <c r="F320" s="134">
        <f>E320*8</f>
        <v>223.744</v>
      </c>
      <c r="G320" s="134"/>
      <c r="H320" s="185"/>
      <c r="I320" s="19"/>
      <c r="J320" s="19"/>
      <c r="K320" s="186"/>
      <c r="L320" s="178">
        <v>2.6070000000000002</v>
      </c>
      <c r="M320" s="15">
        <v>2.657</v>
      </c>
      <c r="N320" s="15">
        <v>2E-3</v>
      </c>
      <c r="O320" s="15">
        <v>0.21299999999999999</v>
      </c>
      <c r="P320" s="180">
        <f t="shared" si="36"/>
        <v>5.4790000000000001</v>
      </c>
      <c r="Q320" s="178">
        <v>0.24399999999999999</v>
      </c>
      <c r="R320" s="15">
        <v>5.0000000000000001E-3</v>
      </c>
      <c r="S320" s="180">
        <f>SUM(Q320:R320)</f>
        <v>0.249</v>
      </c>
      <c r="T320" s="204"/>
      <c r="U320" s="181" t="s">
        <v>540</v>
      </c>
      <c r="V320" s="15"/>
      <c r="W320" s="15" t="s">
        <v>504</v>
      </c>
      <c r="X320" s="15">
        <v>41.44</v>
      </c>
      <c r="Y320" s="15">
        <v>0.8</v>
      </c>
      <c r="Z320" s="15">
        <v>7.8</v>
      </c>
      <c r="AA320" s="15">
        <v>8.6</v>
      </c>
      <c r="AB320" s="15">
        <v>66.42</v>
      </c>
      <c r="AC320" s="15">
        <v>3321</v>
      </c>
      <c r="AD320" s="15">
        <v>73.73</v>
      </c>
      <c r="AE320" s="15">
        <v>301.5</v>
      </c>
      <c r="AF320" s="15"/>
      <c r="AG320" s="15">
        <v>206.46</v>
      </c>
      <c r="AH320" s="15"/>
      <c r="AI320" s="15"/>
      <c r="AJ320" s="15">
        <v>581.69000000000005</v>
      </c>
      <c r="AK320" s="15">
        <v>0.58169000000000004</v>
      </c>
      <c r="AL320" s="182"/>
      <c r="AM320" s="142" t="s">
        <v>20</v>
      </c>
      <c r="AN320" s="135" t="str">
        <f>AO320</f>
        <v>D</v>
      </c>
      <c r="AO320" s="135" t="s">
        <v>21</v>
      </c>
      <c r="AP320" s="372">
        <v>45534</v>
      </c>
      <c r="AQ320" s="372">
        <v>45536</v>
      </c>
      <c r="AR320" s="372">
        <v>45536</v>
      </c>
      <c r="AS320" s="372">
        <v>45554</v>
      </c>
      <c r="AT320" s="24" t="s">
        <v>599</v>
      </c>
      <c r="AU320" s="183"/>
      <c r="AV320" s="142" t="s">
        <v>20</v>
      </c>
      <c r="AW320" s="15" t="s">
        <v>6</v>
      </c>
      <c r="AX320" s="297">
        <f>AY320</f>
        <v>45691</v>
      </c>
      <c r="AY320" s="297">
        <v>45691</v>
      </c>
      <c r="AZ320" s="187" t="s">
        <v>543</v>
      </c>
      <c r="BA320" s="188"/>
      <c r="BB320" s="142" t="s">
        <v>20</v>
      </c>
      <c r="BC320" s="135"/>
      <c r="BD320" s="135" t="s">
        <v>21</v>
      </c>
      <c r="BE320" s="298">
        <f>BF320-1</f>
        <v>45701</v>
      </c>
      <c r="BF320" s="298">
        <v>45702</v>
      </c>
      <c r="BG320" s="17" t="s">
        <v>553</v>
      </c>
      <c r="BH320" s="192"/>
      <c r="BI320" s="142" t="s">
        <v>20</v>
      </c>
      <c r="BJ320" s="138">
        <v>45784</v>
      </c>
      <c r="BK320" s="138">
        <v>45784</v>
      </c>
      <c r="BL320" s="25">
        <v>1330</v>
      </c>
      <c r="BM320" s="24" t="s">
        <v>593</v>
      </c>
    </row>
    <row r="321" spans="1:65" ht="14.25" hidden="1" customHeight="1">
      <c r="B321" s="19"/>
      <c r="C321" s="184"/>
      <c r="D321" s="134"/>
      <c r="E321" s="134"/>
      <c r="F321" s="134"/>
      <c r="G321" s="134"/>
      <c r="H321" s="185"/>
      <c r="I321" s="19"/>
      <c r="J321" s="19"/>
      <c r="K321" s="186"/>
      <c r="L321" s="178"/>
      <c r="M321" s="15"/>
      <c r="N321" s="15"/>
      <c r="O321" s="15"/>
      <c r="P321" s="180">
        <f t="shared" si="36"/>
        <v>0</v>
      </c>
      <c r="Q321" s="178"/>
      <c r="R321" s="15"/>
      <c r="S321" s="180"/>
      <c r="T321" s="204"/>
      <c r="U321" s="204"/>
      <c r="V321" s="16">
        <v>369.13</v>
      </c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82"/>
      <c r="AM321" s="15"/>
      <c r="AN321" s="24"/>
      <c r="AO321" s="24"/>
      <c r="AP321" s="24"/>
      <c r="AQ321" s="24"/>
      <c r="AR321" s="24"/>
      <c r="AS321" s="24"/>
      <c r="AT321" s="24"/>
      <c r="AU321" s="183"/>
      <c r="AV321" s="15"/>
      <c r="AW321" s="24"/>
      <c r="AX321" s="297"/>
      <c r="AY321" s="297"/>
      <c r="AZ321" s="24"/>
      <c r="BA321" s="183"/>
      <c r="BB321" s="24"/>
      <c r="BC321" s="24"/>
      <c r="BD321" s="24"/>
      <c r="BE321" s="24"/>
      <c r="BF321" s="24"/>
      <c r="BG321" s="24"/>
      <c r="BH321" s="183"/>
      <c r="BI321" s="24"/>
      <c r="BJ321" s="24"/>
      <c r="BK321" s="24"/>
      <c r="BL321" s="24"/>
      <c r="BM321" s="24"/>
    </row>
    <row r="322" spans="1:65" ht="14.25" customHeight="1">
      <c r="A322" s="15">
        <v>157</v>
      </c>
      <c r="B322" s="19" t="s">
        <v>238</v>
      </c>
      <c r="C322" s="184" t="s">
        <v>37</v>
      </c>
      <c r="D322" s="134">
        <v>6.992</v>
      </c>
      <c r="E322" s="134">
        <f>D322*4</f>
        <v>27.968</v>
      </c>
      <c r="F322" s="134">
        <f>E322*8</f>
        <v>223.744</v>
      </c>
      <c r="G322" s="134"/>
      <c r="H322" s="185"/>
      <c r="I322" s="19"/>
      <c r="J322" s="19"/>
      <c r="K322" s="186"/>
      <c r="L322" s="178">
        <v>2.6070000000000002</v>
      </c>
      <c r="M322" s="15">
        <v>2.657</v>
      </c>
      <c r="N322" s="15">
        <v>2E-3</v>
      </c>
      <c r="O322" s="15">
        <v>0.21299999999999999</v>
      </c>
      <c r="P322" s="180">
        <f t="shared" si="36"/>
        <v>5.4790000000000001</v>
      </c>
      <c r="Q322" s="178">
        <v>0.24399999999999999</v>
      </c>
      <c r="R322" s="15">
        <v>5.0000000000000001E-3</v>
      </c>
      <c r="S322" s="180">
        <f>SUM(Q322:R322)</f>
        <v>0.249</v>
      </c>
      <c r="T322" s="204"/>
      <c r="U322" s="181" t="s">
        <v>540</v>
      </c>
      <c r="V322" s="15"/>
      <c r="W322" s="15" t="s">
        <v>504</v>
      </c>
      <c r="X322" s="15">
        <v>41.44</v>
      </c>
      <c r="Y322" s="15">
        <v>0.8</v>
      </c>
      <c r="Z322" s="15">
        <v>7.8</v>
      </c>
      <c r="AA322" s="15"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82"/>
      <c r="AM322" s="142" t="s">
        <v>20</v>
      </c>
      <c r="AN322" s="135" t="str">
        <f>AO322</f>
        <v>D</v>
      </c>
      <c r="AO322" s="135" t="s">
        <v>21</v>
      </c>
      <c r="AP322" s="372">
        <v>45538</v>
      </c>
      <c r="AQ322" s="372">
        <v>45548</v>
      </c>
      <c r="AR322" s="372">
        <v>45556</v>
      </c>
      <c r="AS322" s="372">
        <v>45558</v>
      </c>
      <c r="AT322" s="24" t="s">
        <v>599</v>
      </c>
      <c r="AU322" s="183"/>
      <c r="AV322" s="142" t="s">
        <v>20</v>
      </c>
      <c r="AW322" s="15" t="s">
        <v>6</v>
      </c>
      <c r="AX322" s="297">
        <f>AY322</f>
        <v>45691</v>
      </c>
      <c r="AY322" s="297">
        <v>45691</v>
      </c>
      <c r="AZ322" s="187" t="s">
        <v>543</v>
      </c>
      <c r="BA322" s="188"/>
      <c r="BB322" s="142" t="s">
        <v>20</v>
      </c>
      <c r="BC322" s="135"/>
      <c r="BD322" s="135" t="s">
        <v>21</v>
      </c>
      <c r="BE322" s="298">
        <f>BF322-2</f>
        <v>45702</v>
      </c>
      <c r="BF322" s="298">
        <v>45704</v>
      </c>
      <c r="BG322" s="17" t="s">
        <v>553</v>
      </c>
      <c r="BH322" s="193"/>
      <c r="BI322" s="142" t="s">
        <v>20</v>
      </c>
      <c r="BJ322" s="138">
        <v>45784</v>
      </c>
      <c r="BK322" s="138">
        <v>45784</v>
      </c>
      <c r="BL322" s="25">
        <v>1330</v>
      </c>
      <c r="BM322" s="24" t="s">
        <v>593</v>
      </c>
    </row>
    <row r="323" spans="1:65" ht="14.25" hidden="1" customHeight="1">
      <c r="B323" s="19"/>
      <c r="C323" s="184"/>
      <c r="D323" s="134"/>
      <c r="E323" s="134"/>
      <c r="F323" s="134"/>
      <c r="G323" s="134"/>
      <c r="H323" s="185"/>
      <c r="I323" s="19"/>
      <c r="J323" s="19"/>
      <c r="K323" s="186"/>
      <c r="L323" s="178"/>
      <c r="M323" s="15"/>
      <c r="N323" s="15"/>
      <c r="O323" s="15"/>
      <c r="P323" s="180">
        <f t="shared" si="36"/>
        <v>0</v>
      </c>
      <c r="Q323" s="178"/>
      <c r="R323" s="15"/>
      <c r="S323" s="180"/>
      <c r="T323" s="204"/>
      <c r="U323" s="204"/>
      <c r="V323" s="16">
        <v>370.97</v>
      </c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82"/>
      <c r="AM323" s="15"/>
      <c r="AN323" s="24"/>
      <c r="AO323" s="24"/>
      <c r="AP323" s="24"/>
      <c r="AQ323" s="24"/>
      <c r="AR323" s="24"/>
      <c r="AS323" s="24"/>
      <c r="AT323" s="24"/>
      <c r="AU323" s="183"/>
      <c r="AV323" s="15"/>
      <c r="AW323" s="24"/>
      <c r="AX323" s="297"/>
      <c r="AY323" s="297"/>
      <c r="AZ323" s="24"/>
      <c r="BA323" s="183"/>
      <c r="BB323" s="24"/>
      <c r="BC323" s="24"/>
      <c r="BD323" s="24"/>
      <c r="BE323" s="24"/>
      <c r="BF323" s="24"/>
      <c r="BG323" s="24"/>
      <c r="BH323" s="183"/>
      <c r="BI323" s="24"/>
      <c r="BJ323" s="24"/>
      <c r="BK323" s="24"/>
      <c r="BL323" s="24"/>
      <c r="BM323" s="24"/>
    </row>
    <row r="324" spans="1:65" ht="14.25" customHeight="1">
      <c r="A324" s="15">
        <v>158</v>
      </c>
      <c r="B324" s="19" t="s">
        <v>239</v>
      </c>
      <c r="C324" s="184" t="s">
        <v>37</v>
      </c>
      <c r="D324" s="134">
        <v>6.992</v>
      </c>
      <c r="E324" s="134">
        <f>D324*4</f>
        <v>27.968</v>
      </c>
      <c r="F324" s="134">
        <f>E324*8</f>
        <v>223.744</v>
      </c>
      <c r="G324" s="134"/>
      <c r="H324" s="185"/>
      <c r="I324" s="19"/>
      <c r="J324" s="19"/>
      <c r="K324" s="186"/>
      <c r="L324" s="178">
        <v>2.6070000000000002</v>
      </c>
      <c r="M324" s="15">
        <v>2.657</v>
      </c>
      <c r="N324" s="15">
        <v>2E-3</v>
      </c>
      <c r="O324" s="15">
        <v>0.21299999999999999</v>
      </c>
      <c r="P324" s="180">
        <f t="shared" si="36"/>
        <v>5.4790000000000001</v>
      </c>
      <c r="Q324" s="178">
        <v>0.24399999999999999</v>
      </c>
      <c r="R324" s="15">
        <v>5.0000000000000001E-3</v>
      </c>
      <c r="S324" s="180">
        <f>SUM(Q324:R324)</f>
        <v>0.249</v>
      </c>
      <c r="T324" s="204"/>
      <c r="U324" s="181" t="s">
        <v>540</v>
      </c>
      <c r="V324" s="15"/>
      <c r="W324" s="15" t="s">
        <v>570</v>
      </c>
      <c r="X324" s="15">
        <v>80.64</v>
      </c>
      <c r="Y324" s="15">
        <v>0.88</v>
      </c>
      <c r="Z324" s="15">
        <v>8.1199999999999992</v>
      </c>
      <c r="AA324" s="15">
        <v>9</v>
      </c>
      <c r="AB324" s="15">
        <v>69.354399999999998</v>
      </c>
      <c r="AC324" s="15">
        <v>3467.72</v>
      </c>
      <c r="AD324" s="15">
        <v>73.73</v>
      </c>
      <c r="AE324" s="15">
        <v>313.64</v>
      </c>
      <c r="AF324" s="15"/>
      <c r="AG324" s="15">
        <v>201.4</v>
      </c>
      <c r="AH324" s="15"/>
      <c r="AI324" s="15"/>
      <c r="AJ324" s="15">
        <v>588.77</v>
      </c>
      <c r="AK324" s="15">
        <v>0.58877000000000002</v>
      </c>
      <c r="AL324" s="182"/>
      <c r="AM324" s="142" t="s">
        <v>20</v>
      </c>
      <c r="AN324" s="135" t="str">
        <f>AO324</f>
        <v>D</v>
      </c>
      <c r="AO324" s="135" t="s">
        <v>21</v>
      </c>
      <c r="AP324" s="372">
        <f>AQ324-3</f>
        <v>45608</v>
      </c>
      <c r="AQ324" s="372">
        <f t="shared" ref="AQ324:AR324" si="83">AR324-2</f>
        <v>45611</v>
      </c>
      <c r="AR324" s="372">
        <f t="shared" si="83"/>
        <v>45613</v>
      </c>
      <c r="AS324" s="372">
        <v>45615</v>
      </c>
      <c r="AT324" s="187" t="s">
        <v>595</v>
      </c>
      <c r="AU324" s="188"/>
      <c r="AV324" s="142" t="s">
        <v>20</v>
      </c>
      <c r="AW324" s="15" t="s">
        <v>548</v>
      </c>
      <c r="AX324" s="297">
        <f>AY324</f>
        <v>45691</v>
      </c>
      <c r="AY324" s="297">
        <v>45691</v>
      </c>
      <c r="AZ324" s="187" t="s">
        <v>543</v>
      </c>
      <c r="BA324" s="188"/>
      <c r="BB324" s="142" t="s">
        <v>20</v>
      </c>
      <c r="BC324" s="135"/>
      <c r="BD324" s="135" t="s">
        <v>21</v>
      </c>
      <c r="BE324" s="298">
        <f>BF324-2</f>
        <v>45707</v>
      </c>
      <c r="BF324" s="298">
        <v>45709</v>
      </c>
      <c r="BG324" s="17" t="s">
        <v>553</v>
      </c>
      <c r="BH324" s="192"/>
      <c r="BI324" s="142" t="s">
        <v>20</v>
      </c>
      <c r="BJ324" s="135">
        <v>45803</v>
      </c>
      <c r="BK324" s="135">
        <v>45803</v>
      </c>
      <c r="BL324" s="25">
        <v>1330</v>
      </c>
      <c r="BM324" s="24" t="s">
        <v>593</v>
      </c>
    </row>
    <row r="325" spans="1:65" ht="14.25" hidden="1" customHeight="1">
      <c r="B325" s="19"/>
      <c r="C325" s="184"/>
      <c r="D325" s="134"/>
      <c r="E325" s="134"/>
      <c r="F325" s="134"/>
      <c r="G325" s="134"/>
      <c r="H325" s="185"/>
      <c r="I325" s="19"/>
      <c r="J325" s="19"/>
      <c r="K325" s="186"/>
      <c r="L325" s="178"/>
      <c r="M325" s="15"/>
      <c r="N325" s="15"/>
      <c r="O325" s="15"/>
      <c r="P325" s="180">
        <f t="shared" si="36"/>
        <v>0</v>
      </c>
      <c r="Q325" s="178"/>
      <c r="R325" s="15"/>
      <c r="S325" s="180"/>
      <c r="T325" s="204"/>
      <c r="U325" s="204"/>
      <c r="V325" s="16">
        <v>356.46</v>
      </c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82"/>
      <c r="AM325" s="15"/>
      <c r="AN325" s="24"/>
      <c r="AO325" s="24"/>
      <c r="AP325" s="24"/>
      <c r="AQ325" s="24"/>
      <c r="AR325" s="24"/>
      <c r="AS325" s="24"/>
      <c r="AT325" s="24"/>
      <c r="AU325" s="183"/>
      <c r="AV325" s="15"/>
      <c r="AW325" s="24"/>
      <c r="AX325" s="297"/>
      <c r="AY325" s="297"/>
      <c r="AZ325" s="24"/>
      <c r="BA325" s="183"/>
      <c r="BB325" s="24"/>
      <c r="BC325" s="24"/>
      <c r="BD325" s="24"/>
      <c r="BE325" s="24"/>
      <c r="BF325" s="24"/>
      <c r="BG325" s="24"/>
      <c r="BH325" s="183"/>
      <c r="BI325" s="24"/>
      <c r="BJ325" s="24"/>
      <c r="BK325" s="24"/>
      <c r="BL325" s="24"/>
      <c r="BM325" s="24"/>
    </row>
    <row r="326" spans="1:65" ht="14.25" customHeight="1">
      <c r="A326" s="195">
        <v>159</v>
      </c>
      <c r="B326" s="19" t="s">
        <v>240</v>
      </c>
      <c r="C326" s="184" t="s">
        <v>42</v>
      </c>
      <c r="D326" s="134">
        <v>6.3620000000000001</v>
      </c>
      <c r="E326" s="134">
        <f>D326*4</f>
        <v>25.448</v>
      </c>
      <c r="F326" s="134">
        <f>E326*8</f>
        <v>203.584</v>
      </c>
      <c r="G326" s="134"/>
      <c r="H326" s="185"/>
      <c r="I326" s="19"/>
      <c r="J326" s="19"/>
      <c r="K326" s="186"/>
      <c r="L326" s="178">
        <v>2.25</v>
      </c>
      <c r="M326" s="15">
        <v>2.1880000000000002</v>
      </c>
      <c r="N326" s="15">
        <v>2E-3</v>
      </c>
      <c r="O326" s="15">
        <v>0.183</v>
      </c>
      <c r="P326" s="180">
        <f t="shared" si="36"/>
        <v>4.6230000000000002</v>
      </c>
      <c r="Q326" s="178">
        <v>0.24399999999999999</v>
      </c>
      <c r="R326" s="15">
        <v>5.0000000000000001E-3</v>
      </c>
      <c r="S326" s="180">
        <f>SUM(Q326:R326)</f>
        <v>0.249</v>
      </c>
      <c r="T326" s="204"/>
      <c r="U326" s="181" t="s">
        <v>540</v>
      </c>
      <c r="V326" s="15"/>
      <c r="W326" s="15" t="s">
        <v>592</v>
      </c>
      <c r="X326" s="16">
        <v>143.36000000000001</v>
      </c>
      <c r="Y326" s="16">
        <v>1.68</v>
      </c>
      <c r="Z326" s="16">
        <v>11.97</v>
      </c>
      <c r="AA326" s="16">
        <f>Y326+Z326</f>
        <v>13.65</v>
      </c>
      <c r="AB326" s="23">
        <f>+Y326*4.44+Z326*8.06</f>
        <v>103.93740000000001</v>
      </c>
      <c r="AC326" s="16">
        <f>+AB326*50</f>
        <v>5196.8700000000008</v>
      </c>
      <c r="AD326" s="16">
        <v>63.93</v>
      </c>
      <c r="AE326" s="16">
        <v>535.23</v>
      </c>
      <c r="AF326" s="16"/>
      <c r="AG326" s="16">
        <v>100.6</v>
      </c>
      <c r="AH326" s="16">
        <v>157.18</v>
      </c>
      <c r="AI326" s="16"/>
      <c r="AJ326" s="16">
        <f>SUM(AD326:AI326)</f>
        <v>856.94</v>
      </c>
      <c r="AK326" s="15">
        <f>+AJ326/1000</f>
        <v>0.85694000000000004</v>
      </c>
      <c r="AL326" s="182"/>
      <c r="AM326" s="142" t="s">
        <v>20</v>
      </c>
      <c r="AN326" s="135" t="str">
        <f>AO326</f>
        <v>D</v>
      </c>
      <c r="AO326" s="135" t="s">
        <v>21</v>
      </c>
      <c r="AP326" s="372">
        <v>45603</v>
      </c>
      <c r="AQ326" s="372">
        <f>AP326+19</f>
        <v>45622</v>
      </c>
      <c r="AR326" s="372">
        <f>AS326-3</f>
        <v>45627</v>
      </c>
      <c r="AS326" s="372">
        <v>45630</v>
      </c>
      <c r="AT326" s="24" t="s">
        <v>599</v>
      </c>
      <c r="AU326" s="183"/>
      <c r="AV326" s="142" t="s">
        <v>20</v>
      </c>
      <c r="AW326" s="15" t="s">
        <v>548</v>
      </c>
      <c r="AX326" s="297">
        <f>AY326</f>
        <v>45691</v>
      </c>
      <c r="AY326" s="297">
        <v>45691</v>
      </c>
      <c r="AZ326" s="187" t="s">
        <v>543</v>
      </c>
      <c r="BA326" s="188"/>
      <c r="BB326" s="142" t="s">
        <v>20</v>
      </c>
      <c r="BC326" s="135"/>
      <c r="BD326" s="135" t="s">
        <v>21</v>
      </c>
      <c r="BE326" s="298">
        <f>BF326-2</f>
        <v>45709</v>
      </c>
      <c r="BF326" s="298">
        <v>45711</v>
      </c>
      <c r="BG326" s="17" t="s">
        <v>553</v>
      </c>
      <c r="BH326" s="192"/>
      <c r="BI326" s="142" t="s">
        <v>20</v>
      </c>
      <c r="BJ326" s="135">
        <v>45803</v>
      </c>
      <c r="BK326" s="135">
        <v>45803</v>
      </c>
      <c r="BL326" s="25">
        <v>980</v>
      </c>
      <c r="BM326" s="24" t="s">
        <v>593</v>
      </c>
    </row>
    <row r="327" spans="1:65" ht="14.25" hidden="1" customHeight="1">
      <c r="B327" s="19"/>
      <c r="C327" s="184"/>
      <c r="D327" s="134"/>
      <c r="E327" s="134"/>
      <c r="F327" s="134"/>
      <c r="G327" s="134"/>
      <c r="H327" s="185"/>
      <c r="I327" s="19"/>
      <c r="J327" s="19"/>
      <c r="K327" s="186"/>
      <c r="L327" s="178"/>
      <c r="M327" s="15"/>
      <c r="N327" s="15"/>
      <c r="O327" s="15"/>
      <c r="P327" s="180">
        <f t="shared" si="36"/>
        <v>0</v>
      </c>
      <c r="Q327" s="178"/>
      <c r="R327" s="15"/>
      <c r="S327" s="180"/>
      <c r="T327" s="204"/>
      <c r="U327" s="204"/>
      <c r="V327" s="16">
        <v>363.33</v>
      </c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82"/>
      <c r="AM327" s="15"/>
      <c r="AN327" s="24"/>
      <c r="AO327" s="24"/>
      <c r="AP327" s="24"/>
      <c r="AQ327" s="24"/>
      <c r="AR327" s="24"/>
      <c r="AS327" s="24"/>
      <c r="AT327" s="24"/>
      <c r="AU327" s="182"/>
      <c r="AV327" s="15"/>
      <c r="AW327" s="24"/>
      <c r="AX327" s="297"/>
      <c r="AY327" s="297"/>
      <c r="AZ327" s="24"/>
      <c r="BA327" s="183"/>
      <c r="BB327" s="24"/>
      <c r="BC327" s="24"/>
      <c r="BD327" s="24"/>
      <c r="BE327" s="24"/>
      <c r="BF327" s="24"/>
      <c r="BG327" s="24"/>
      <c r="BH327" s="183"/>
      <c r="BI327" s="24"/>
      <c r="BJ327" s="24"/>
      <c r="BK327" s="24"/>
      <c r="BL327" s="24"/>
      <c r="BM327" s="24"/>
    </row>
    <row r="328" spans="1:65" ht="14.25" customHeight="1">
      <c r="A328" s="15">
        <v>160</v>
      </c>
      <c r="B328" s="19" t="s">
        <v>241</v>
      </c>
      <c r="C328" s="184" t="s">
        <v>37</v>
      </c>
      <c r="D328" s="134">
        <v>6.992</v>
      </c>
      <c r="E328" s="134">
        <f>D328*4</f>
        <v>27.968</v>
      </c>
      <c r="F328" s="134">
        <f>E328*8</f>
        <v>223.744</v>
      </c>
      <c r="G328" s="134"/>
      <c r="H328" s="185"/>
      <c r="I328" s="19"/>
      <c r="J328" s="19"/>
      <c r="K328" s="186"/>
      <c r="L328" s="178">
        <v>2.6070000000000002</v>
      </c>
      <c r="M328" s="15">
        <v>2.657</v>
      </c>
      <c r="N328" s="15">
        <v>2E-3</v>
      </c>
      <c r="O328" s="15">
        <v>0.21299999999999999</v>
      </c>
      <c r="P328" s="180">
        <f t="shared" si="36"/>
        <v>5.4790000000000001</v>
      </c>
      <c r="Q328" s="178">
        <v>0.24399999999999999</v>
      </c>
      <c r="R328" s="15">
        <v>5.0000000000000001E-3</v>
      </c>
      <c r="S328" s="180">
        <f>SUM(Q328:R328)</f>
        <v>0.249</v>
      </c>
      <c r="T328" s="204"/>
      <c r="U328" s="181" t="s">
        <v>540</v>
      </c>
      <c r="V328" s="15"/>
      <c r="W328" s="15" t="s">
        <v>592</v>
      </c>
      <c r="X328" s="16">
        <v>143.36000000000001</v>
      </c>
      <c r="Y328" s="16">
        <v>1.68</v>
      </c>
      <c r="Z328" s="16">
        <v>11.97</v>
      </c>
      <c r="AA328" s="16">
        <f>Y328+Z328</f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82"/>
      <c r="AM328" s="142" t="s">
        <v>20</v>
      </c>
      <c r="AN328" s="135" t="str">
        <f>AO328</f>
        <v>D</v>
      </c>
      <c r="AO328" s="135" t="s">
        <v>21</v>
      </c>
      <c r="AP328" s="372">
        <v>45532</v>
      </c>
      <c r="AQ328" s="372">
        <f t="shared" ref="AQ328:AR328" si="84">AR328-4</f>
        <v>45607</v>
      </c>
      <c r="AR328" s="372">
        <f t="shared" si="84"/>
        <v>45611</v>
      </c>
      <c r="AS328" s="372">
        <v>45615</v>
      </c>
      <c r="AT328" s="24" t="s">
        <v>599</v>
      </c>
      <c r="AU328" s="182"/>
      <c r="AV328" s="142" t="s">
        <v>20</v>
      </c>
      <c r="AW328" s="15" t="s">
        <v>548</v>
      </c>
      <c r="AX328" s="297">
        <f>AY328</f>
        <v>45691</v>
      </c>
      <c r="AY328" s="297">
        <v>45691</v>
      </c>
      <c r="AZ328" s="187" t="s">
        <v>543</v>
      </c>
      <c r="BA328" s="188"/>
      <c r="BB328" s="142" t="s">
        <v>20</v>
      </c>
      <c r="BC328" s="135"/>
      <c r="BD328" s="135" t="s">
        <v>21</v>
      </c>
      <c r="BE328" s="298">
        <f>BF328-2</f>
        <v>45711</v>
      </c>
      <c r="BF328" s="298">
        <v>45713</v>
      </c>
      <c r="BG328" s="17" t="s">
        <v>553</v>
      </c>
      <c r="BH328" s="192"/>
      <c r="BI328" s="142" t="s">
        <v>20</v>
      </c>
      <c r="BJ328" s="135">
        <v>45804</v>
      </c>
      <c r="BK328" s="135">
        <v>45804</v>
      </c>
      <c r="BL328" s="25">
        <v>1330</v>
      </c>
      <c r="BM328" s="24" t="s">
        <v>593</v>
      </c>
    </row>
    <row r="329" spans="1:65" ht="14.25" hidden="1" customHeight="1">
      <c r="B329" s="19"/>
      <c r="C329" s="184"/>
      <c r="D329" s="134"/>
      <c r="E329" s="134"/>
      <c r="F329" s="134"/>
      <c r="G329" s="134"/>
      <c r="H329" s="185"/>
      <c r="I329" s="19"/>
      <c r="J329" s="19"/>
      <c r="K329" s="186"/>
      <c r="L329" s="178"/>
      <c r="M329" s="15"/>
      <c r="N329" s="15"/>
      <c r="O329" s="15"/>
      <c r="P329" s="180">
        <f t="shared" si="36"/>
        <v>0</v>
      </c>
      <c r="Q329" s="178"/>
      <c r="R329" s="15"/>
      <c r="S329" s="180"/>
      <c r="T329" s="204"/>
      <c r="U329" s="204"/>
      <c r="V329" s="16">
        <v>370.25</v>
      </c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82"/>
      <c r="AM329" s="15"/>
      <c r="AN329" s="24"/>
      <c r="AO329" s="24"/>
      <c r="AP329" s="24"/>
      <c r="AQ329" s="24"/>
      <c r="AR329" s="24"/>
      <c r="AS329" s="24"/>
      <c r="AT329" s="24"/>
      <c r="AU329" s="182"/>
      <c r="AV329" s="15"/>
      <c r="AW329" s="24"/>
      <c r="AX329" s="297"/>
      <c r="AY329" s="297"/>
      <c r="AZ329" s="24"/>
      <c r="BA329" s="182"/>
      <c r="BB329" s="24"/>
      <c r="BC329" s="24"/>
      <c r="BD329" s="24"/>
      <c r="BE329" s="24"/>
      <c r="BF329" s="24"/>
      <c r="BG329" s="24"/>
      <c r="BH329" s="183"/>
      <c r="BI329" s="24"/>
      <c r="BJ329" s="24"/>
      <c r="BK329" s="24"/>
      <c r="BL329" s="24"/>
      <c r="BM329" s="24"/>
    </row>
    <row r="330" spans="1:65" ht="14.25" customHeight="1">
      <c r="A330" s="15">
        <v>161</v>
      </c>
      <c r="B330" s="19" t="s">
        <v>242</v>
      </c>
      <c r="C330" s="184" t="s">
        <v>42</v>
      </c>
      <c r="D330" s="134">
        <v>6.3620000000000001</v>
      </c>
      <c r="E330" s="134">
        <f>D330*4</f>
        <v>25.448</v>
      </c>
      <c r="F330" s="134">
        <f>E330*8</f>
        <v>203.584</v>
      </c>
      <c r="G330" s="134"/>
      <c r="H330" s="185"/>
      <c r="I330" s="19"/>
      <c r="J330" s="19"/>
      <c r="K330" s="186"/>
      <c r="L330" s="178">
        <v>2.25</v>
      </c>
      <c r="M330" s="15">
        <v>2.1880000000000002</v>
      </c>
      <c r="N330" s="15">
        <v>2E-3</v>
      </c>
      <c r="O330" s="15">
        <v>0.183</v>
      </c>
      <c r="P330" s="180">
        <f t="shared" si="36"/>
        <v>4.6230000000000002</v>
      </c>
      <c r="Q330" s="178">
        <v>0.24399999999999999</v>
      </c>
      <c r="R330" s="15">
        <v>5.0000000000000001E-3</v>
      </c>
      <c r="S330" s="180">
        <f>SUM(Q330:R330)</f>
        <v>0.249</v>
      </c>
      <c r="T330" s="204"/>
      <c r="U330" s="181" t="s">
        <v>540</v>
      </c>
      <c r="V330" s="15"/>
      <c r="W330" s="15" t="s">
        <v>570</v>
      </c>
      <c r="X330" s="15">
        <v>80.64</v>
      </c>
      <c r="Y330" s="15">
        <v>0.88</v>
      </c>
      <c r="Z330" s="15">
        <v>8.1199999999999992</v>
      </c>
      <c r="AA330" s="15">
        <v>9</v>
      </c>
      <c r="AB330" s="15">
        <v>69.354399999999998</v>
      </c>
      <c r="AC330" s="15">
        <v>3467.72</v>
      </c>
      <c r="AD330" s="15">
        <v>73.73</v>
      </c>
      <c r="AE330" s="15">
        <v>313.64</v>
      </c>
      <c r="AF330" s="15"/>
      <c r="AG330" s="15">
        <v>201.4</v>
      </c>
      <c r="AH330" s="15"/>
      <c r="AI330" s="15"/>
      <c r="AJ330" s="15">
        <v>588.77</v>
      </c>
      <c r="AK330" s="15">
        <v>0.58877000000000002</v>
      </c>
      <c r="AL330" s="182"/>
      <c r="AM330" s="142" t="s">
        <v>20</v>
      </c>
      <c r="AN330" s="135" t="str">
        <f>AO330</f>
        <v>D</v>
      </c>
      <c r="AO330" s="135" t="s">
        <v>21</v>
      </c>
      <c r="AP330" s="372">
        <v>45695</v>
      </c>
      <c r="AQ330" s="372">
        <f t="shared" ref="AQ330:AR330" si="85">AR330-3</f>
        <v>45701</v>
      </c>
      <c r="AR330" s="372">
        <f t="shared" si="85"/>
        <v>45704</v>
      </c>
      <c r="AS330" s="372">
        <v>45707</v>
      </c>
      <c r="AT330" s="187" t="s">
        <v>595</v>
      </c>
      <c r="AU330" s="182"/>
      <c r="AV330" s="142" t="s">
        <v>20</v>
      </c>
      <c r="AW330" s="15" t="s">
        <v>548</v>
      </c>
      <c r="AX330" s="297">
        <f>AY330</f>
        <v>45719</v>
      </c>
      <c r="AY330" s="297">
        <v>45719</v>
      </c>
      <c r="AZ330" s="187" t="s">
        <v>595</v>
      </c>
      <c r="BA330" s="182"/>
      <c r="BB330" s="142" t="s">
        <v>20</v>
      </c>
      <c r="BC330" s="135"/>
      <c r="BD330" s="135" t="s">
        <v>21</v>
      </c>
      <c r="BE330" s="298">
        <f>BF330-2</f>
        <v>45787</v>
      </c>
      <c r="BF330" s="298">
        <v>45789</v>
      </c>
      <c r="BG330" s="17" t="s">
        <v>600</v>
      </c>
      <c r="BH330" s="138"/>
      <c r="BI330" s="142" t="s">
        <v>20</v>
      </c>
      <c r="BJ330" s="135">
        <v>45804</v>
      </c>
      <c r="BK330" s="135">
        <v>45804</v>
      </c>
      <c r="BL330" s="25">
        <v>980</v>
      </c>
      <c r="BM330" s="24" t="s">
        <v>593</v>
      </c>
    </row>
    <row r="331" spans="1:65" ht="14.25" hidden="1" customHeight="1">
      <c r="B331" s="19"/>
      <c r="C331" s="184"/>
      <c r="D331" s="134"/>
      <c r="E331" s="134"/>
      <c r="F331" s="134"/>
      <c r="G331" s="134"/>
      <c r="H331" s="185"/>
      <c r="I331" s="19"/>
      <c r="J331" s="19"/>
      <c r="K331" s="186"/>
      <c r="L331" s="178"/>
      <c r="M331" s="15"/>
      <c r="N331" s="15"/>
      <c r="O331" s="15"/>
      <c r="P331" s="180">
        <f t="shared" si="36"/>
        <v>0</v>
      </c>
      <c r="Q331" s="178"/>
      <c r="R331" s="15"/>
      <c r="S331" s="180"/>
      <c r="T331" s="204"/>
      <c r="U331" s="204"/>
      <c r="V331" s="16">
        <v>330.02</v>
      </c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82"/>
      <c r="AM331" s="15"/>
      <c r="AN331" s="24"/>
      <c r="AO331" s="24"/>
      <c r="AP331" s="24"/>
      <c r="AQ331" s="24"/>
      <c r="AR331" s="24"/>
      <c r="AS331" s="24"/>
      <c r="AT331" s="24"/>
      <c r="AU331" s="182"/>
      <c r="AV331" s="15"/>
      <c r="AW331" s="24"/>
      <c r="AX331" s="297"/>
      <c r="AY331" s="297"/>
      <c r="AZ331" s="24"/>
      <c r="BA331" s="182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v>162</v>
      </c>
      <c r="B332" s="19" t="s">
        <v>243</v>
      </c>
      <c r="C332" s="184" t="s">
        <v>37</v>
      </c>
      <c r="D332" s="134">
        <v>6.992</v>
      </c>
      <c r="E332" s="134">
        <f>D332*4</f>
        <v>27.968</v>
      </c>
      <c r="F332" s="134">
        <f>E332*8</f>
        <v>223.744</v>
      </c>
      <c r="G332" s="134"/>
      <c r="H332" s="185"/>
      <c r="I332" s="19"/>
      <c r="J332" s="19"/>
      <c r="K332" s="186"/>
      <c r="L332" s="178">
        <v>2.6070000000000002</v>
      </c>
      <c r="M332" s="15">
        <v>2.657</v>
      </c>
      <c r="N332" s="15">
        <v>2E-3</v>
      </c>
      <c r="O332" s="15">
        <v>0.21299999999999999</v>
      </c>
      <c r="P332" s="180">
        <f t="shared" si="36"/>
        <v>5.4790000000000001</v>
      </c>
      <c r="Q332" s="178">
        <v>0.24399999999999999</v>
      </c>
      <c r="R332" s="15">
        <v>5.0000000000000001E-3</v>
      </c>
      <c r="S332" s="180">
        <f>SUM(Q332:R332)</f>
        <v>0.249</v>
      </c>
      <c r="T332" s="204"/>
      <c r="U332" s="181" t="s">
        <v>540</v>
      </c>
      <c r="V332" s="15"/>
      <c r="W332" s="15" t="s">
        <v>541</v>
      </c>
      <c r="X332" s="15">
        <v>85.44</v>
      </c>
      <c r="Y332" s="15">
        <v>1.51</v>
      </c>
      <c r="Z332" s="15">
        <v>11.15</v>
      </c>
      <c r="AA332" s="15">
        <v>12.66</v>
      </c>
      <c r="AB332" s="15">
        <v>96.573400000000021</v>
      </c>
      <c r="AC332" s="15">
        <v>4828.670000000001</v>
      </c>
      <c r="AD332" s="15">
        <v>63.93</v>
      </c>
      <c r="AE332" s="15">
        <v>524.79</v>
      </c>
      <c r="AF332" s="15"/>
      <c r="AG332" s="15">
        <v>100.6</v>
      </c>
      <c r="AH332" s="15">
        <v>157.18</v>
      </c>
      <c r="AI332" s="15"/>
      <c r="AJ332" s="15">
        <v>846.5</v>
      </c>
      <c r="AK332" s="15">
        <v>0.84650000000000003</v>
      </c>
      <c r="AL332" s="182"/>
      <c r="AM332" s="142" t="s">
        <v>20</v>
      </c>
      <c r="AN332" s="135" t="str">
        <f>AO332</f>
        <v>D</v>
      </c>
      <c r="AO332" s="135" t="s">
        <v>21</v>
      </c>
      <c r="AP332" s="372">
        <v>45557</v>
      </c>
      <c r="AQ332" s="372">
        <v>45578</v>
      </c>
      <c r="AR332" s="372">
        <v>45582</v>
      </c>
      <c r="AS332" s="372">
        <v>45586</v>
      </c>
      <c r="AT332" s="24" t="s">
        <v>599</v>
      </c>
      <c r="AU332" s="182"/>
      <c r="AV332" s="142" t="s">
        <v>20</v>
      </c>
      <c r="AW332" s="15" t="s">
        <v>6</v>
      </c>
      <c r="AX332" s="297">
        <v>45662</v>
      </c>
      <c r="AY332" s="297">
        <v>45662</v>
      </c>
      <c r="AZ332" s="187" t="s">
        <v>595</v>
      </c>
      <c r="BA332" s="182"/>
      <c r="BB332" s="142" t="s">
        <v>20</v>
      </c>
      <c r="BC332" s="135"/>
      <c r="BD332" s="135" t="s">
        <v>21</v>
      </c>
      <c r="BE332" s="298">
        <f>BF332-2</f>
        <v>45719</v>
      </c>
      <c r="BF332" s="298">
        <v>45721</v>
      </c>
      <c r="BG332" s="17" t="s">
        <v>510</v>
      </c>
      <c r="BH332" s="138"/>
      <c r="BI332" s="142" t="s">
        <v>20</v>
      </c>
      <c r="BJ332" s="135">
        <f>BK332</f>
        <v>45807</v>
      </c>
      <c r="BK332" s="135">
        <v>45807</v>
      </c>
      <c r="BL332" s="25">
        <v>1330</v>
      </c>
      <c r="BM332" s="24" t="s">
        <v>593</v>
      </c>
    </row>
    <row r="333" spans="1:65" ht="14.25" hidden="1" customHeight="1">
      <c r="B333" s="19"/>
      <c r="C333" s="184"/>
      <c r="D333" s="134"/>
      <c r="E333" s="134"/>
      <c r="F333" s="134"/>
      <c r="G333" s="134"/>
      <c r="H333" s="185"/>
      <c r="I333" s="19"/>
      <c r="J333" s="19"/>
      <c r="K333" s="186"/>
      <c r="L333" s="178"/>
      <c r="M333" s="15"/>
      <c r="N333" s="15"/>
      <c r="O333" s="15"/>
      <c r="P333" s="180">
        <f t="shared" si="36"/>
        <v>0</v>
      </c>
      <c r="Q333" s="178"/>
      <c r="R333" s="15"/>
      <c r="S333" s="180"/>
      <c r="T333" s="204"/>
      <c r="U333" s="204"/>
      <c r="V333" s="16">
        <v>390.08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82"/>
      <c r="AM333" s="15"/>
      <c r="AN333" s="24"/>
      <c r="AO333" s="24"/>
      <c r="AP333" s="24"/>
      <c r="AQ333" s="24"/>
      <c r="AR333" s="24"/>
      <c r="AS333" s="24"/>
      <c r="AT333" s="24"/>
      <c r="AU333" s="182"/>
      <c r="AV333" s="15"/>
      <c r="AW333" s="24"/>
      <c r="AX333" s="297"/>
      <c r="AY333" s="297"/>
      <c r="AZ333" s="24"/>
      <c r="BA333" s="182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v>163</v>
      </c>
      <c r="B334" s="19" t="s">
        <v>244</v>
      </c>
      <c r="C334" s="184" t="s">
        <v>37</v>
      </c>
      <c r="D334" s="134">
        <v>6.992</v>
      </c>
      <c r="E334" s="134">
        <f>D334*4</f>
        <v>27.968</v>
      </c>
      <c r="F334" s="134">
        <f>E334*8</f>
        <v>223.744</v>
      </c>
      <c r="G334" s="134"/>
      <c r="H334" s="185"/>
      <c r="I334" s="19"/>
      <c r="J334" s="19"/>
      <c r="K334" s="186"/>
      <c r="L334" s="178">
        <v>2.6070000000000002</v>
      </c>
      <c r="M334" s="15">
        <v>2.657</v>
      </c>
      <c r="N334" s="15">
        <v>2E-3</v>
      </c>
      <c r="O334" s="15">
        <v>0.21299999999999999</v>
      </c>
      <c r="P334" s="180">
        <f t="shared" si="36"/>
        <v>5.4790000000000001</v>
      </c>
      <c r="Q334" s="178">
        <v>0.24399999999999999</v>
      </c>
      <c r="R334" s="15">
        <v>5.0000000000000001E-3</v>
      </c>
      <c r="S334" s="180">
        <f>SUM(Q334:R334)</f>
        <v>0.249</v>
      </c>
      <c r="T334" s="204"/>
      <c r="U334" s="181" t="s">
        <v>540</v>
      </c>
      <c r="V334" s="15"/>
      <c r="W334" s="15" t="s">
        <v>504</v>
      </c>
      <c r="X334" s="15">
        <v>41.44</v>
      </c>
      <c r="Y334" s="15">
        <v>0.8</v>
      </c>
      <c r="Z334" s="15">
        <v>7.8</v>
      </c>
      <c r="AA334" s="15">
        <v>8.6</v>
      </c>
      <c r="AB334" s="15">
        <v>66.42</v>
      </c>
      <c r="AC334" s="15">
        <v>3321</v>
      </c>
      <c r="AD334" s="15">
        <v>73.73</v>
      </c>
      <c r="AE334" s="15">
        <v>301.5</v>
      </c>
      <c r="AF334" s="15"/>
      <c r="AG334" s="15">
        <v>206.46</v>
      </c>
      <c r="AH334" s="15"/>
      <c r="AI334" s="15"/>
      <c r="AJ334" s="15">
        <v>581.69000000000005</v>
      </c>
      <c r="AK334" s="15">
        <v>0.58169000000000004</v>
      </c>
      <c r="AL334" s="182"/>
      <c r="AM334" s="142" t="s">
        <v>20</v>
      </c>
      <c r="AN334" s="135" t="s">
        <v>21</v>
      </c>
      <c r="AO334" s="135" t="s">
        <v>21</v>
      </c>
      <c r="AP334" s="372">
        <f t="shared" ref="AP334:AR334" si="86">AQ334-2</f>
        <v>45768</v>
      </c>
      <c r="AQ334" s="372">
        <f t="shared" si="86"/>
        <v>45770</v>
      </c>
      <c r="AR334" s="372">
        <f t="shared" si="86"/>
        <v>45772</v>
      </c>
      <c r="AS334" s="372">
        <v>45774</v>
      </c>
      <c r="AT334" s="19" t="s">
        <v>566</v>
      </c>
      <c r="AU334" s="182"/>
      <c r="AV334" s="142" t="s">
        <v>20</v>
      </c>
      <c r="AW334" s="15" t="s">
        <v>6</v>
      </c>
      <c r="AX334" s="297">
        <f>AY334-0</f>
        <v>45782</v>
      </c>
      <c r="AY334" s="297">
        <v>45782</v>
      </c>
      <c r="AZ334" s="19" t="s">
        <v>566</v>
      </c>
      <c r="BA334" s="182"/>
      <c r="BB334" s="142" t="s">
        <v>20</v>
      </c>
      <c r="BC334" s="135"/>
      <c r="BD334" s="135" t="s">
        <v>21</v>
      </c>
      <c r="BE334" s="298">
        <f>BF334-2</f>
        <v>45794</v>
      </c>
      <c r="BF334" s="298">
        <v>45796</v>
      </c>
      <c r="BG334" s="17" t="s">
        <v>600</v>
      </c>
      <c r="BH334" s="15"/>
      <c r="BI334" s="142" t="s">
        <v>20</v>
      </c>
      <c r="BJ334" s="135">
        <f>BK334</f>
        <v>45807</v>
      </c>
      <c r="BK334" s="135">
        <f>BK332</f>
        <v>45807</v>
      </c>
      <c r="BL334" s="25">
        <v>1330</v>
      </c>
      <c r="BM334" s="24" t="s">
        <v>593</v>
      </c>
    </row>
    <row r="335" spans="1:65" ht="14.25" hidden="1" customHeight="1">
      <c r="A335" s="24"/>
      <c r="B335" s="19"/>
      <c r="C335" s="184"/>
      <c r="D335" s="134"/>
      <c r="E335" s="134"/>
      <c r="F335" s="134"/>
      <c r="G335" s="134"/>
      <c r="H335" s="185"/>
      <c r="I335" s="19"/>
      <c r="J335" s="19"/>
      <c r="K335" s="186"/>
      <c r="L335" s="178"/>
      <c r="M335" s="15"/>
      <c r="N335" s="15"/>
      <c r="O335" s="15"/>
      <c r="P335" s="180">
        <f t="shared" si="36"/>
        <v>0</v>
      </c>
      <c r="Q335" s="178"/>
      <c r="R335" s="15"/>
      <c r="S335" s="180"/>
      <c r="T335" s="204"/>
      <c r="U335" s="204"/>
      <c r="V335" s="16">
        <v>343.38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82"/>
      <c r="AM335" s="15"/>
      <c r="AN335" s="24"/>
      <c r="AO335" s="24"/>
      <c r="AP335" s="24"/>
      <c r="AQ335" s="24"/>
      <c r="AR335" s="24"/>
      <c r="AS335" s="24"/>
      <c r="AT335" s="24"/>
      <c r="AU335" s="182"/>
      <c r="AV335" s="15"/>
      <c r="AW335" s="24"/>
      <c r="AX335" s="297"/>
      <c r="AY335" s="297"/>
      <c r="AZ335" s="24"/>
      <c r="BA335" s="182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v>164</v>
      </c>
      <c r="B336" s="19" t="s">
        <v>246</v>
      </c>
      <c r="C336" s="184" t="s">
        <v>46</v>
      </c>
      <c r="D336" s="134">
        <v>8.6259999999999994</v>
      </c>
      <c r="E336" s="134">
        <f>D336*4</f>
        <v>34.503999999999998</v>
      </c>
      <c r="F336" s="134">
        <f>E336*8</f>
        <v>276.03199999999998</v>
      </c>
      <c r="G336" s="134"/>
      <c r="H336" s="185"/>
      <c r="I336" s="19"/>
      <c r="J336" s="19"/>
      <c r="K336" s="186"/>
      <c r="L336" s="178">
        <v>4.5380000000000003</v>
      </c>
      <c r="M336" s="15">
        <v>3.23</v>
      </c>
      <c r="N336" s="15">
        <v>6.4000000000000003E-3</v>
      </c>
      <c r="O336" s="15">
        <v>0.42899999999999999</v>
      </c>
      <c r="P336" s="180">
        <f t="shared" si="36"/>
        <v>8.2034000000000002</v>
      </c>
      <c r="Q336" s="178">
        <v>0.436</v>
      </c>
      <c r="R336" s="15">
        <v>0.01</v>
      </c>
      <c r="S336" s="180">
        <f>SUM(Q336:R336)</f>
        <v>0.44600000000000001</v>
      </c>
      <c r="T336" s="204" t="s">
        <v>245</v>
      </c>
      <c r="U336" s="181" t="s">
        <v>540</v>
      </c>
      <c r="V336" s="15"/>
      <c r="W336" s="15" t="s">
        <v>541</v>
      </c>
      <c r="X336" s="15">
        <v>148.80000000000001</v>
      </c>
      <c r="Y336" s="15">
        <v>2.5099999999999998</v>
      </c>
      <c r="Z336" s="15">
        <v>19.47</v>
      </c>
      <c r="AA336" s="15">
        <v>21.979999999999997</v>
      </c>
      <c r="AB336" s="15">
        <v>168.07259999999999</v>
      </c>
      <c r="AC336" s="15">
        <v>8403.6299999999992</v>
      </c>
      <c r="AD336" s="15">
        <v>70.930000000000007</v>
      </c>
      <c r="AE336" s="15">
        <v>914.33</v>
      </c>
      <c r="AF336" s="15"/>
      <c r="AG336" s="15">
        <v>98.08</v>
      </c>
      <c r="AH336" s="15">
        <v>153.24</v>
      </c>
      <c r="AI336" s="15"/>
      <c r="AJ336" s="15">
        <v>1236.58</v>
      </c>
      <c r="AK336" s="15">
        <v>1.23658</v>
      </c>
      <c r="AL336" s="15"/>
      <c r="AM336" s="142" t="s">
        <v>20</v>
      </c>
      <c r="AN336" s="135" t="s">
        <v>552</v>
      </c>
      <c r="AO336" s="135" t="s">
        <v>21</v>
      </c>
      <c r="AP336" s="372">
        <f>AQ336-2</f>
        <v>45632</v>
      </c>
      <c r="AQ336" s="372">
        <f>AR336-1</f>
        <v>45634</v>
      </c>
      <c r="AR336" s="372">
        <f>AS336-2</f>
        <v>45635</v>
      </c>
      <c r="AS336" s="372">
        <v>45637</v>
      </c>
      <c r="AT336" s="24" t="s">
        <v>599</v>
      </c>
      <c r="AU336" s="182"/>
      <c r="AV336" s="142" t="s">
        <v>20</v>
      </c>
      <c r="AW336" s="15" t="s">
        <v>6</v>
      </c>
      <c r="AX336" s="297">
        <v>45660</v>
      </c>
      <c r="AY336" s="297">
        <f>AX336</f>
        <v>45660</v>
      </c>
      <c r="AZ336" s="24" t="s">
        <v>599</v>
      </c>
      <c r="BA336" s="182"/>
      <c r="BB336" s="142" t="s">
        <v>20</v>
      </c>
      <c r="BC336" s="135"/>
      <c r="BD336" s="135" t="s">
        <v>21</v>
      </c>
      <c r="BE336" s="298">
        <f>BF336-2</f>
        <v>45714</v>
      </c>
      <c r="BF336" s="298">
        <v>45716</v>
      </c>
      <c r="BG336" s="17" t="s">
        <v>510</v>
      </c>
      <c r="BH336" s="15"/>
      <c r="BI336" s="142" t="s">
        <v>20</v>
      </c>
      <c r="BJ336" s="135">
        <v>45808</v>
      </c>
      <c r="BK336" s="135">
        <v>45808</v>
      </c>
      <c r="BL336" s="25">
        <v>1433</v>
      </c>
      <c r="BM336" s="24" t="s">
        <v>593</v>
      </c>
    </row>
    <row r="337" spans="1:65" ht="14.25" hidden="1" customHeight="1">
      <c r="A337" s="24"/>
      <c r="B337" s="19"/>
      <c r="C337" s="184"/>
      <c r="D337" s="134"/>
      <c r="E337" s="134"/>
      <c r="F337" s="134"/>
      <c r="G337" s="134"/>
      <c r="H337" s="185"/>
      <c r="I337" s="19"/>
      <c r="J337" s="19"/>
      <c r="K337" s="186"/>
      <c r="L337" s="178"/>
      <c r="M337" s="15"/>
      <c r="N337" s="15"/>
      <c r="O337" s="15"/>
      <c r="P337" s="180">
        <f t="shared" si="36"/>
        <v>0</v>
      </c>
      <c r="Q337" s="178"/>
      <c r="R337" s="15"/>
      <c r="S337" s="180"/>
      <c r="T337" s="204"/>
      <c r="U337" s="204"/>
      <c r="V337" s="15">
        <v>326.52999999999997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82"/>
      <c r="AM337" s="15"/>
      <c r="AN337" s="24"/>
      <c r="AO337" s="24"/>
      <c r="AP337" s="24"/>
      <c r="AQ337" s="24"/>
      <c r="AR337" s="24"/>
      <c r="AS337" s="24"/>
      <c r="AT337" s="24"/>
      <c r="AU337" s="183"/>
      <c r="AV337" s="15"/>
      <c r="AW337" s="24"/>
      <c r="AX337" s="297"/>
      <c r="AY337" s="297"/>
      <c r="AZ337" s="24"/>
      <c r="BA337" s="182"/>
      <c r="BB337" s="15"/>
      <c r="BC337" s="24"/>
      <c r="BD337" s="24"/>
      <c r="BE337" s="25"/>
      <c r="BF337" s="25"/>
      <c r="BG337" s="25"/>
      <c r="BH337" s="198"/>
      <c r="BI337" s="24"/>
      <c r="BJ337" s="24"/>
      <c r="BK337" s="24"/>
      <c r="BL337" s="24"/>
      <c r="BM337" s="24"/>
    </row>
    <row r="338" spans="1:65" ht="14.25" customHeight="1">
      <c r="A338" s="15">
        <v>165</v>
      </c>
      <c r="B338" s="19" t="s">
        <v>247</v>
      </c>
      <c r="C338" s="184" t="s">
        <v>37</v>
      </c>
      <c r="D338" s="134">
        <v>6.992</v>
      </c>
      <c r="E338" s="134">
        <f>D338*4</f>
        <v>27.968</v>
      </c>
      <c r="F338" s="134">
        <f>E338*8</f>
        <v>223.744</v>
      </c>
      <c r="G338" s="134"/>
      <c r="H338" s="185"/>
      <c r="I338" s="19"/>
      <c r="J338" s="19"/>
      <c r="K338" s="186"/>
      <c r="L338" s="178">
        <v>2.6070000000000002</v>
      </c>
      <c r="M338" s="15">
        <v>2.657</v>
      </c>
      <c r="N338" s="15">
        <v>2E-3</v>
      </c>
      <c r="O338" s="15">
        <v>0.21299999999999999</v>
      </c>
      <c r="P338" s="180">
        <f t="shared" si="36"/>
        <v>5.4790000000000001</v>
      </c>
      <c r="Q338" s="178">
        <v>0.24399999999999999</v>
      </c>
      <c r="R338" s="15">
        <v>5.0000000000000001E-3</v>
      </c>
      <c r="S338" s="180">
        <f>SUM(Q338:R338)</f>
        <v>0.249</v>
      </c>
      <c r="T338" s="204" t="s">
        <v>31</v>
      </c>
      <c r="U338" s="181" t="s">
        <v>540</v>
      </c>
      <c r="V338" s="15"/>
      <c r="W338" s="15" t="s">
        <v>541</v>
      </c>
      <c r="X338" s="15">
        <v>85.44</v>
      </c>
      <c r="Y338" s="15">
        <v>1.51</v>
      </c>
      <c r="Z338" s="15">
        <v>11.15</v>
      </c>
      <c r="AA338" s="15">
        <v>12.66</v>
      </c>
      <c r="AB338" s="15">
        <v>96.573400000000021</v>
      </c>
      <c r="AC338" s="15">
        <v>4828.670000000001</v>
      </c>
      <c r="AD338" s="15">
        <v>63.93</v>
      </c>
      <c r="AE338" s="15">
        <v>524.79</v>
      </c>
      <c r="AF338" s="15"/>
      <c r="AG338" s="15">
        <v>100.6</v>
      </c>
      <c r="AH338" s="15">
        <v>157.18</v>
      </c>
      <c r="AI338" s="15"/>
      <c r="AJ338" s="15">
        <v>846.5</v>
      </c>
      <c r="AK338" s="15">
        <v>0.84650000000000003</v>
      </c>
      <c r="AL338" s="182"/>
      <c r="AM338" s="142" t="s">
        <v>20</v>
      </c>
      <c r="AN338" s="135" t="str">
        <f>AO338</f>
        <v>D</v>
      </c>
      <c r="AO338" s="135" t="s">
        <v>21</v>
      </c>
      <c r="AP338" s="372">
        <f t="shared" ref="AP338:AR338" si="87">AQ338-2</f>
        <v>45639</v>
      </c>
      <c r="AQ338" s="372">
        <f t="shared" si="87"/>
        <v>45641</v>
      </c>
      <c r="AR338" s="372">
        <f t="shared" si="87"/>
        <v>45643</v>
      </c>
      <c r="AS338" s="372">
        <v>45645</v>
      </c>
      <c r="AT338" s="24" t="s">
        <v>599</v>
      </c>
      <c r="AU338" s="183"/>
      <c r="AV338" s="142" t="s">
        <v>20</v>
      </c>
      <c r="AW338" s="15" t="s">
        <v>6</v>
      </c>
      <c r="AX338" s="297">
        <v>45660</v>
      </c>
      <c r="AY338" s="297">
        <f>AX338</f>
        <v>45660</v>
      </c>
      <c r="AZ338" s="24" t="s">
        <v>599</v>
      </c>
      <c r="BA338" s="182"/>
      <c r="BB338" s="142" t="s">
        <v>20</v>
      </c>
      <c r="BC338" s="135"/>
      <c r="BD338" s="135" t="s">
        <v>21</v>
      </c>
      <c r="BE338" s="298">
        <f>BF338-2</f>
        <v>45715</v>
      </c>
      <c r="BF338" s="298">
        <v>45717</v>
      </c>
      <c r="BG338" s="17" t="s">
        <v>510</v>
      </c>
      <c r="BH338" s="194"/>
      <c r="BI338" s="142" t="s">
        <v>20</v>
      </c>
      <c r="BJ338" s="135">
        <v>45808</v>
      </c>
      <c r="BK338" s="135">
        <v>45808</v>
      </c>
      <c r="BL338" s="25">
        <v>1330</v>
      </c>
      <c r="BM338" s="24" t="s">
        <v>593</v>
      </c>
    </row>
    <row r="339" spans="1:65" ht="14.25" hidden="1" customHeight="1">
      <c r="A339" s="24"/>
      <c r="B339" s="19"/>
      <c r="C339" s="184"/>
      <c r="D339" s="134"/>
      <c r="E339" s="134"/>
      <c r="F339" s="134"/>
      <c r="G339" s="134"/>
      <c r="H339" s="185"/>
      <c r="I339" s="19"/>
      <c r="J339" s="19"/>
      <c r="K339" s="186"/>
      <c r="L339" s="178"/>
      <c r="M339" s="15"/>
      <c r="N339" s="15"/>
      <c r="O339" s="15"/>
      <c r="P339" s="180">
        <f t="shared" si="36"/>
        <v>0</v>
      </c>
      <c r="Q339" s="178"/>
      <c r="R339" s="15"/>
      <c r="S339" s="180"/>
      <c r="T339" s="204"/>
      <c r="U339" s="204"/>
      <c r="V339" s="15">
        <v>302.5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82"/>
      <c r="AM339" s="15"/>
      <c r="AN339" s="24"/>
      <c r="AO339" s="24"/>
      <c r="AP339" s="24"/>
      <c r="AQ339" s="24"/>
      <c r="AR339" s="24"/>
      <c r="AS339" s="24"/>
      <c r="AT339" s="24"/>
      <c r="AU339" s="183"/>
      <c r="AV339" s="15"/>
      <c r="AW339" s="24"/>
      <c r="AX339" s="297"/>
      <c r="AY339" s="297"/>
      <c r="AZ339" s="24"/>
      <c r="BA339" s="183"/>
      <c r="BB339" s="15"/>
      <c r="BC339" s="24"/>
      <c r="BD339" s="24"/>
      <c r="BE339" s="25"/>
      <c r="BF339" s="25"/>
      <c r="BG339" s="25"/>
      <c r="BH339" s="198"/>
      <c r="BI339" s="24"/>
      <c r="BJ339" s="24"/>
      <c r="BK339" s="24"/>
      <c r="BL339" s="24"/>
      <c r="BM339" s="24"/>
    </row>
    <row r="340" spans="1:65" ht="14.25" customHeight="1">
      <c r="A340" s="15">
        <v>166</v>
      </c>
      <c r="B340" s="19" t="s">
        <v>248</v>
      </c>
      <c r="C340" s="184" t="s">
        <v>37</v>
      </c>
      <c r="D340" s="134">
        <v>6.992</v>
      </c>
      <c r="E340" s="134">
        <f>D340*4</f>
        <v>27.968</v>
      </c>
      <c r="F340" s="134">
        <f>E340*8</f>
        <v>223.744</v>
      </c>
      <c r="G340" s="134"/>
      <c r="H340" s="185"/>
      <c r="I340" s="19"/>
      <c r="J340" s="19"/>
      <c r="K340" s="186"/>
      <c r="L340" s="178">
        <v>2.6070000000000002</v>
      </c>
      <c r="M340" s="15">
        <v>2.657</v>
      </c>
      <c r="N340" s="15">
        <v>2E-3</v>
      </c>
      <c r="O340" s="15">
        <v>0.21299999999999999</v>
      </c>
      <c r="P340" s="180">
        <f t="shared" si="36"/>
        <v>5.4790000000000001</v>
      </c>
      <c r="Q340" s="178">
        <v>0.24399999999999999</v>
      </c>
      <c r="R340" s="15">
        <v>5.0000000000000001E-3</v>
      </c>
      <c r="S340" s="180">
        <f>SUM(Q340:R340)</f>
        <v>0.249</v>
      </c>
      <c r="T340" s="204" t="s">
        <v>31</v>
      </c>
      <c r="U340" s="181" t="s">
        <v>540</v>
      </c>
      <c r="V340" s="15"/>
      <c r="W340" s="15" t="s">
        <v>541</v>
      </c>
      <c r="X340" s="15">
        <v>85.44</v>
      </c>
      <c r="Y340" s="15">
        <v>1.51</v>
      </c>
      <c r="Z340" s="15">
        <v>11.15</v>
      </c>
      <c r="AA340" s="15"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82"/>
      <c r="AM340" s="142" t="s">
        <v>20</v>
      </c>
      <c r="AN340" s="135" t="str">
        <f>AO340</f>
        <v>D</v>
      </c>
      <c r="AO340" s="135" t="s">
        <v>21</v>
      </c>
      <c r="AP340" s="372">
        <v>45526</v>
      </c>
      <c r="AQ340" s="372">
        <v>45560</v>
      </c>
      <c r="AR340" s="372">
        <v>45570</v>
      </c>
      <c r="AS340" s="372">
        <v>45574</v>
      </c>
      <c r="AT340" s="24" t="s">
        <v>599</v>
      </c>
      <c r="AU340" s="183"/>
      <c r="AV340" s="142" t="s">
        <v>20</v>
      </c>
      <c r="AW340" s="15" t="s">
        <v>6</v>
      </c>
      <c r="AX340" s="297">
        <v>45662</v>
      </c>
      <c r="AY340" s="297">
        <v>45662</v>
      </c>
      <c r="AZ340" s="187" t="s">
        <v>595</v>
      </c>
      <c r="BA340" s="188"/>
      <c r="BB340" s="142" t="s">
        <v>20</v>
      </c>
      <c r="BC340" s="135"/>
      <c r="BD340" s="135" t="s">
        <v>21</v>
      </c>
      <c r="BE340" s="298">
        <f>BF340-1</f>
        <v>45713</v>
      </c>
      <c r="BF340" s="298">
        <v>45714</v>
      </c>
      <c r="BG340" s="17" t="s">
        <v>510</v>
      </c>
      <c r="BH340" s="182"/>
      <c r="BI340" s="142" t="s">
        <v>20</v>
      </c>
      <c r="BJ340" s="135">
        <v>45808</v>
      </c>
      <c r="BK340" s="135">
        <v>45808</v>
      </c>
      <c r="BL340" s="25">
        <v>1330</v>
      </c>
      <c r="BM340" s="24" t="s">
        <v>593</v>
      </c>
    </row>
    <row r="341" spans="1:65" ht="14.25" hidden="1" customHeight="1">
      <c r="A341" s="24"/>
      <c r="B341" s="19"/>
      <c r="C341" s="184"/>
      <c r="D341" s="134"/>
      <c r="E341" s="134"/>
      <c r="F341" s="134"/>
      <c r="G341" s="134"/>
      <c r="H341" s="185"/>
      <c r="I341" s="19"/>
      <c r="J341" s="19"/>
      <c r="K341" s="186"/>
      <c r="L341" s="178"/>
      <c r="M341" s="15"/>
      <c r="N341" s="15"/>
      <c r="O341" s="15"/>
      <c r="P341" s="180">
        <f t="shared" si="36"/>
        <v>0</v>
      </c>
      <c r="Q341" s="178"/>
      <c r="R341" s="15"/>
      <c r="S341" s="180"/>
      <c r="T341" s="204"/>
      <c r="U341" s="204"/>
      <c r="V341" s="15">
        <v>318.2</v>
      </c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82"/>
      <c r="AM341" s="15"/>
      <c r="AN341" s="24"/>
      <c r="AO341" s="24"/>
      <c r="AP341" s="24"/>
      <c r="AQ341" s="24"/>
      <c r="AR341" s="24"/>
      <c r="AS341" s="24"/>
      <c r="AT341" s="24"/>
      <c r="AU341" s="183"/>
      <c r="AV341" s="15"/>
      <c r="AW341" s="24"/>
      <c r="AX341" s="297"/>
      <c r="AY341" s="297"/>
      <c r="AZ341" s="24"/>
      <c r="BA341" s="183"/>
      <c r="BB341" s="15"/>
      <c r="BC341" s="24"/>
      <c r="BD341" s="24"/>
      <c r="BE341" s="24"/>
      <c r="BF341" s="24"/>
      <c r="BG341" s="24"/>
      <c r="BH341" s="183"/>
      <c r="BI341" s="24"/>
      <c r="BJ341" s="24"/>
      <c r="BK341" s="24"/>
      <c r="BL341" s="24"/>
      <c r="BM341" s="24"/>
    </row>
    <row r="342" spans="1:65" ht="14.25" customHeight="1">
      <c r="A342" s="15">
        <v>167</v>
      </c>
      <c r="B342" s="19" t="s">
        <v>250</v>
      </c>
      <c r="C342" s="184" t="s">
        <v>39</v>
      </c>
      <c r="D342" s="134">
        <v>7.7080000000000002</v>
      </c>
      <c r="E342" s="134">
        <f>D342*4</f>
        <v>30.832000000000001</v>
      </c>
      <c r="F342" s="134">
        <f>E342*8</f>
        <v>246.65600000000001</v>
      </c>
      <c r="G342" s="134"/>
      <c r="H342" s="185"/>
      <c r="I342" s="19"/>
      <c r="J342" s="19"/>
      <c r="K342" s="186"/>
      <c r="L342" s="178">
        <v>4.0570000000000004</v>
      </c>
      <c r="M342" s="15">
        <v>2.48</v>
      </c>
      <c r="N342" s="15">
        <v>6.0000000000000001E-3</v>
      </c>
      <c r="O342" s="15">
        <v>0.36499999999999999</v>
      </c>
      <c r="P342" s="180">
        <f t="shared" si="36"/>
        <v>6.9080000000000013</v>
      </c>
      <c r="Q342" s="178">
        <v>0.436</v>
      </c>
      <c r="R342" s="15">
        <v>0.01</v>
      </c>
      <c r="S342" s="180">
        <f>SUM(Q342:R342)</f>
        <v>0.44600000000000001</v>
      </c>
      <c r="T342" s="204" t="s">
        <v>249</v>
      </c>
      <c r="U342" s="181" t="s">
        <v>540</v>
      </c>
      <c r="V342" s="15"/>
      <c r="W342" s="15" t="s">
        <v>504</v>
      </c>
      <c r="X342" s="15">
        <v>75.36</v>
      </c>
      <c r="Y342" s="15">
        <v>1.35</v>
      </c>
      <c r="Z342" s="15">
        <v>12.85</v>
      </c>
      <c r="AA342" s="15">
        <v>14.2</v>
      </c>
      <c r="AB342" s="15">
        <v>109.565</v>
      </c>
      <c r="AC342" s="15">
        <v>5478.25</v>
      </c>
      <c r="AD342" s="15">
        <v>81.819999999999993</v>
      </c>
      <c r="AE342" s="15">
        <v>599.6</v>
      </c>
      <c r="AF342" s="15"/>
      <c r="AG342" s="15">
        <v>201.4</v>
      </c>
      <c r="AH342" s="15"/>
      <c r="AI342" s="15"/>
      <c r="AJ342" s="15">
        <v>882.82</v>
      </c>
      <c r="AK342" s="15">
        <v>0.88282000000000005</v>
      </c>
      <c r="AL342" s="182"/>
      <c r="AM342" s="142" t="s">
        <v>20</v>
      </c>
      <c r="AN342" s="135" t="str">
        <f>AO342</f>
        <v>D</v>
      </c>
      <c r="AO342" s="135" t="s">
        <v>21</v>
      </c>
      <c r="AP342" s="372">
        <v>45688</v>
      </c>
      <c r="AQ342" s="372">
        <f>AR342-1</f>
        <v>45691</v>
      </c>
      <c r="AR342" s="372">
        <f>AS342-2</f>
        <v>45692</v>
      </c>
      <c r="AS342" s="372">
        <v>45694</v>
      </c>
      <c r="AT342" s="187" t="s">
        <v>595</v>
      </c>
      <c r="AU342" s="188"/>
      <c r="AV342" s="142" t="s">
        <v>20</v>
      </c>
      <c r="AW342" s="15" t="s">
        <v>6</v>
      </c>
      <c r="AX342" s="297">
        <f>AS342+10</f>
        <v>45704</v>
      </c>
      <c r="AY342" s="297">
        <f>AX342</f>
        <v>45704</v>
      </c>
      <c r="AZ342" s="19" t="s">
        <v>596</v>
      </c>
      <c r="BA342" s="199"/>
      <c r="BB342" s="142" t="s">
        <v>20</v>
      </c>
      <c r="BC342" s="135"/>
      <c r="BD342" s="135" t="s">
        <v>577</v>
      </c>
      <c r="BE342" s="298">
        <f>BF342-2</f>
        <v>45886</v>
      </c>
      <c r="BF342" s="298">
        <v>45888</v>
      </c>
      <c r="BG342" s="15" t="s">
        <v>601</v>
      </c>
      <c r="BH342" s="182"/>
      <c r="BI342" s="142" t="s">
        <v>20</v>
      </c>
      <c r="BJ342" s="135"/>
      <c r="BK342" s="135"/>
      <c r="BL342" s="25">
        <v>1001</v>
      </c>
      <c r="BM342" s="24"/>
    </row>
    <row r="343" spans="1:65" ht="14.25" hidden="1" customHeight="1">
      <c r="A343" s="24"/>
      <c r="B343" s="19"/>
      <c r="C343" s="184"/>
      <c r="D343" s="134"/>
      <c r="E343" s="134"/>
      <c r="F343" s="134"/>
      <c r="G343" s="134"/>
      <c r="H343" s="185"/>
      <c r="I343" s="19"/>
      <c r="J343" s="19"/>
      <c r="K343" s="186"/>
      <c r="L343" s="178"/>
      <c r="M343" s="15"/>
      <c r="N343" s="15"/>
      <c r="O343" s="15"/>
      <c r="P343" s="180">
        <f t="shared" si="36"/>
        <v>0</v>
      </c>
      <c r="Q343" s="178"/>
      <c r="R343" s="15"/>
      <c r="S343" s="180"/>
      <c r="T343" s="204"/>
      <c r="U343" s="204"/>
      <c r="V343" s="15">
        <v>315.48</v>
      </c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82"/>
      <c r="AM343" s="15"/>
      <c r="AN343" s="24"/>
      <c r="AO343" s="24"/>
      <c r="AP343" s="24"/>
      <c r="AQ343" s="24"/>
      <c r="AR343" s="24"/>
      <c r="AS343" s="24"/>
      <c r="AT343" s="24"/>
      <c r="AU343" s="183"/>
      <c r="AV343" s="15"/>
      <c r="AW343" s="24"/>
      <c r="AX343" s="297"/>
      <c r="AY343" s="297"/>
      <c r="AZ343" s="24"/>
      <c r="BA343" s="183"/>
      <c r="BB343" s="15"/>
      <c r="BC343" s="24"/>
      <c r="BD343" s="24"/>
      <c r="BE343" s="24"/>
      <c r="BF343" s="24"/>
      <c r="BG343" s="24"/>
      <c r="BH343" s="183"/>
      <c r="BI343" s="24"/>
      <c r="BJ343" s="24"/>
      <c r="BK343" s="24"/>
      <c r="BL343" s="24"/>
      <c r="BM343" s="24"/>
    </row>
    <row r="344" spans="1:65" ht="14.25" customHeight="1">
      <c r="A344" s="15">
        <v>168</v>
      </c>
      <c r="B344" s="19" t="s">
        <v>251</v>
      </c>
      <c r="C344" s="184" t="s">
        <v>42</v>
      </c>
      <c r="D344" s="134">
        <v>6.3620000000000001</v>
      </c>
      <c r="E344" s="134">
        <f>D344*4</f>
        <v>25.448</v>
      </c>
      <c r="F344" s="134">
        <f>E344*8</f>
        <v>203.584</v>
      </c>
      <c r="G344" s="134"/>
      <c r="H344" s="185"/>
      <c r="I344" s="19"/>
      <c r="J344" s="19"/>
      <c r="K344" s="186"/>
      <c r="L344" s="178">
        <v>2.25</v>
      </c>
      <c r="M344" s="15">
        <v>2.1880000000000002</v>
      </c>
      <c r="N344" s="15">
        <v>2E-3</v>
      </c>
      <c r="O344" s="15">
        <v>0.183</v>
      </c>
      <c r="P344" s="180">
        <f t="shared" si="36"/>
        <v>4.6230000000000002</v>
      </c>
      <c r="Q344" s="178">
        <v>0.24399999999999999</v>
      </c>
      <c r="R344" s="15">
        <v>5.0000000000000001E-3</v>
      </c>
      <c r="S344" s="180">
        <f>SUM(Q344:R344)</f>
        <v>0.249</v>
      </c>
      <c r="T344" s="204" t="s">
        <v>31</v>
      </c>
      <c r="U344" s="181" t="s">
        <v>540</v>
      </c>
      <c r="V344" s="15"/>
      <c r="W344" s="15" t="s">
        <v>504</v>
      </c>
      <c r="X344" s="15">
        <v>41.44</v>
      </c>
      <c r="Y344" s="15">
        <v>0.8</v>
      </c>
      <c r="Z344" s="15">
        <v>7.8</v>
      </c>
      <c r="AA344" s="15">
        <v>8.6</v>
      </c>
      <c r="AB344" s="15">
        <v>66.42</v>
      </c>
      <c r="AC344" s="15">
        <v>3321</v>
      </c>
      <c r="AD344" s="15">
        <v>73.73</v>
      </c>
      <c r="AE344" s="15">
        <v>301.5</v>
      </c>
      <c r="AF344" s="191"/>
      <c r="AG344" s="191">
        <v>206.46</v>
      </c>
      <c r="AH344" s="191"/>
      <c r="AI344" s="191"/>
      <c r="AJ344" s="191">
        <v>581.69000000000005</v>
      </c>
      <c r="AK344" s="15">
        <v>0.58169000000000004</v>
      </c>
      <c r="AL344" s="182"/>
      <c r="AM344" s="142" t="s">
        <v>20</v>
      </c>
      <c r="AN344" s="135" t="str">
        <f>AO344</f>
        <v>D</v>
      </c>
      <c r="AO344" s="135" t="s">
        <v>21</v>
      </c>
      <c r="AP344" s="372">
        <v>45692</v>
      </c>
      <c r="AQ344" s="372">
        <f>AR344-1</f>
        <v>45695</v>
      </c>
      <c r="AR344" s="372">
        <f>AS344-2</f>
        <v>45696</v>
      </c>
      <c r="AS344" s="372">
        <v>45698</v>
      </c>
      <c r="AT344" s="187" t="s">
        <v>595</v>
      </c>
      <c r="AU344" s="188"/>
      <c r="AV344" s="142" t="s">
        <v>20</v>
      </c>
      <c r="AW344" s="15" t="s">
        <v>6</v>
      </c>
      <c r="AX344" s="297">
        <v>45662</v>
      </c>
      <c r="AY344" s="297">
        <v>45662</v>
      </c>
      <c r="AZ344" s="19" t="s">
        <v>596</v>
      </c>
      <c r="BA344" s="199"/>
      <c r="BB344" s="142" t="s">
        <v>20</v>
      </c>
      <c r="BC344" s="135"/>
      <c r="BD344" s="135" t="s">
        <v>21</v>
      </c>
      <c r="BE344" s="298">
        <f>BF344-1</f>
        <v>45721</v>
      </c>
      <c r="BF344" s="298">
        <v>45722</v>
      </c>
      <c r="BG344" s="17" t="s">
        <v>510</v>
      </c>
      <c r="BH344" s="182"/>
      <c r="BI344" s="142" t="s">
        <v>20</v>
      </c>
      <c r="BJ344" s="135">
        <v>45809</v>
      </c>
      <c r="BK344" s="135">
        <v>45809</v>
      </c>
      <c r="BL344" s="25">
        <v>980</v>
      </c>
      <c r="BM344" s="24" t="s">
        <v>593</v>
      </c>
    </row>
    <row r="345" spans="1:65" ht="14.25" hidden="1" customHeight="1">
      <c r="A345" s="24"/>
      <c r="B345" s="19"/>
      <c r="C345" s="184"/>
      <c r="D345" s="134"/>
      <c r="E345" s="134"/>
      <c r="F345" s="134"/>
      <c r="G345" s="134"/>
      <c r="H345" s="185"/>
      <c r="I345" s="19"/>
      <c r="J345" s="19"/>
      <c r="K345" s="186"/>
      <c r="L345" s="178"/>
      <c r="M345" s="15"/>
      <c r="N345" s="15"/>
      <c r="O345" s="15"/>
      <c r="P345" s="180">
        <f t="shared" si="36"/>
        <v>0</v>
      </c>
      <c r="Q345" s="178"/>
      <c r="R345" s="15"/>
      <c r="S345" s="180"/>
      <c r="T345" s="204"/>
      <c r="U345" s="204"/>
      <c r="V345" s="15">
        <v>249.29</v>
      </c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82"/>
      <c r="AM345" s="15"/>
      <c r="AN345" s="24"/>
      <c r="AO345" s="24"/>
      <c r="AP345" s="24"/>
      <c r="AQ345" s="24"/>
      <c r="AR345" s="24"/>
      <c r="AS345" s="24"/>
      <c r="AT345" s="24"/>
      <c r="AU345" s="183"/>
      <c r="AV345" s="15"/>
      <c r="AW345" s="24"/>
      <c r="AX345" s="297"/>
      <c r="AY345" s="297"/>
      <c r="AZ345" s="24"/>
      <c r="BA345" s="183"/>
      <c r="BB345" s="15"/>
      <c r="BC345" s="24"/>
      <c r="BD345" s="24"/>
      <c r="BE345" s="24"/>
      <c r="BF345" s="24"/>
      <c r="BG345" s="24"/>
      <c r="BH345" s="183"/>
      <c r="BI345" s="24"/>
      <c r="BJ345" s="24"/>
      <c r="BK345" s="24"/>
      <c r="BL345" s="24"/>
      <c r="BM345" s="24"/>
    </row>
    <row r="346" spans="1:65" ht="14.25" customHeight="1">
      <c r="A346" s="15">
        <v>169</v>
      </c>
      <c r="B346" s="19" t="s">
        <v>252</v>
      </c>
      <c r="C346" s="184" t="s">
        <v>42</v>
      </c>
      <c r="D346" s="134">
        <v>6.3620000000000001</v>
      </c>
      <c r="E346" s="134">
        <f>D346*4</f>
        <v>25.448</v>
      </c>
      <c r="F346" s="134">
        <f>E346*8</f>
        <v>203.584</v>
      </c>
      <c r="G346" s="134"/>
      <c r="H346" s="185"/>
      <c r="I346" s="19"/>
      <c r="J346" s="19"/>
      <c r="K346" s="186"/>
      <c r="L346" s="178">
        <v>2.25</v>
      </c>
      <c r="M346" s="15">
        <v>2.1880000000000002</v>
      </c>
      <c r="N346" s="15">
        <v>2E-3</v>
      </c>
      <c r="O346" s="15">
        <v>0.183</v>
      </c>
      <c r="P346" s="180">
        <f t="shared" si="36"/>
        <v>4.6230000000000002</v>
      </c>
      <c r="Q346" s="178">
        <v>0.24399999999999999</v>
      </c>
      <c r="R346" s="15">
        <v>5.0000000000000001E-3</v>
      </c>
      <c r="S346" s="180">
        <f>SUM(Q346:R346)</f>
        <v>0.249</v>
      </c>
      <c r="T346" s="204" t="s">
        <v>31</v>
      </c>
      <c r="U346" s="181" t="s">
        <v>540</v>
      </c>
      <c r="V346" s="15"/>
      <c r="W346" s="15" t="s">
        <v>504</v>
      </c>
      <c r="X346" s="15">
        <v>41.44</v>
      </c>
      <c r="Y346" s="15">
        <v>0.8</v>
      </c>
      <c r="Z346" s="15">
        <v>7.8</v>
      </c>
      <c r="AA346" s="15"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5"/>
      <c r="AG346" s="15">
        <v>206.46</v>
      </c>
      <c r="AH346" s="15"/>
      <c r="AI346" s="15"/>
      <c r="AJ346" s="15">
        <v>581.69000000000005</v>
      </c>
      <c r="AK346" s="15">
        <v>0.58169000000000004</v>
      </c>
      <c r="AL346" s="182"/>
      <c r="AM346" s="142" t="s">
        <v>20</v>
      </c>
      <c r="AN346" s="135" t="str">
        <f>AO346</f>
        <v>D</v>
      </c>
      <c r="AO346" s="135" t="s">
        <v>21</v>
      </c>
      <c r="AP346" s="372">
        <f>AQ346-3</f>
        <v>45642</v>
      </c>
      <c r="AQ346" s="372">
        <f t="shared" ref="AQ346:AR346" si="88">AR346-2</f>
        <v>45645</v>
      </c>
      <c r="AR346" s="372">
        <f t="shared" si="88"/>
        <v>45647</v>
      </c>
      <c r="AS346" s="372">
        <v>45649</v>
      </c>
      <c r="AT346" s="24" t="s">
        <v>599</v>
      </c>
      <c r="AU346" s="183"/>
      <c r="AV346" s="142" t="s">
        <v>20</v>
      </c>
      <c r="AW346" s="15" t="s">
        <v>6</v>
      </c>
      <c r="AX346" s="297">
        <v>45713</v>
      </c>
      <c r="AY346" s="297">
        <v>45713</v>
      </c>
      <c r="AZ346" s="24" t="s">
        <v>599</v>
      </c>
      <c r="BA346" s="183"/>
      <c r="BB346" s="142" t="s">
        <v>20</v>
      </c>
      <c r="BC346" s="135"/>
      <c r="BD346" s="135" t="s">
        <v>21</v>
      </c>
      <c r="BE346" s="298">
        <f>BF346-1</f>
        <v>45717</v>
      </c>
      <c r="BF346" s="298">
        <v>45718</v>
      </c>
      <c r="BG346" s="17" t="s">
        <v>510</v>
      </c>
      <c r="BH346" s="182"/>
      <c r="BI346" s="142" t="s">
        <v>20</v>
      </c>
      <c r="BJ346" s="135">
        <v>45809</v>
      </c>
      <c r="BK346" s="135">
        <v>45809</v>
      </c>
      <c r="BL346" s="25">
        <v>980</v>
      </c>
      <c r="BM346" s="24" t="s">
        <v>593</v>
      </c>
    </row>
    <row r="347" spans="1:65" ht="14.25" hidden="1" customHeight="1">
      <c r="A347" s="24"/>
      <c r="B347" s="19"/>
      <c r="C347" s="184"/>
      <c r="D347" s="134"/>
      <c r="E347" s="134"/>
      <c r="F347" s="134"/>
      <c r="G347" s="134"/>
      <c r="H347" s="185"/>
      <c r="I347" s="19"/>
      <c r="J347" s="19"/>
      <c r="K347" s="186"/>
      <c r="L347" s="178"/>
      <c r="M347" s="15"/>
      <c r="N347" s="15"/>
      <c r="O347" s="15"/>
      <c r="P347" s="180">
        <f t="shared" si="36"/>
        <v>0</v>
      </c>
      <c r="Q347" s="178"/>
      <c r="R347" s="15"/>
      <c r="S347" s="180"/>
      <c r="T347" s="204"/>
      <c r="U347" s="204"/>
      <c r="V347" s="15">
        <v>288.05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82"/>
      <c r="AM347" s="15"/>
      <c r="AN347" s="24"/>
      <c r="AO347" s="24"/>
      <c r="AP347" s="24"/>
      <c r="AQ347" s="24"/>
      <c r="AR347" s="24"/>
      <c r="AS347" s="24"/>
      <c r="AT347" s="24"/>
      <c r="AU347" s="183"/>
      <c r="AV347" s="15"/>
      <c r="AW347" s="24"/>
      <c r="AX347" s="297"/>
      <c r="AY347" s="297"/>
      <c r="AZ347" s="24"/>
      <c r="BA347" s="183"/>
      <c r="BB347" s="15"/>
      <c r="BC347" s="24"/>
      <c r="BD347" s="24"/>
      <c r="BE347" s="24"/>
      <c r="BF347" s="24"/>
      <c r="BG347" s="24"/>
      <c r="BH347" s="183"/>
      <c r="BI347" s="24"/>
      <c r="BJ347" s="24"/>
      <c r="BK347" s="24"/>
      <c r="BL347" s="24"/>
      <c r="BM347" s="24"/>
    </row>
    <row r="348" spans="1:65" ht="14.25" customHeight="1">
      <c r="A348" s="15">
        <v>170</v>
      </c>
      <c r="B348" s="19" t="s">
        <v>253</v>
      </c>
      <c r="C348" s="184" t="s">
        <v>42</v>
      </c>
      <c r="D348" s="134">
        <v>6.3620000000000001</v>
      </c>
      <c r="E348" s="134">
        <f>D348*4</f>
        <v>25.448</v>
      </c>
      <c r="F348" s="134">
        <f>E348*8</f>
        <v>203.584</v>
      </c>
      <c r="G348" s="134"/>
      <c r="H348" s="185"/>
      <c r="I348" s="19"/>
      <c r="J348" s="19"/>
      <c r="K348" s="186"/>
      <c r="L348" s="178">
        <v>2.25</v>
      </c>
      <c r="M348" s="15">
        <v>2.1880000000000002</v>
      </c>
      <c r="N348" s="15">
        <v>2E-3</v>
      </c>
      <c r="O348" s="15">
        <v>0.183</v>
      </c>
      <c r="P348" s="180">
        <f t="shared" si="36"/>
        <v>4.6230000000000002</v>
      </c>
      <c r="Q348" s="178">
        <v>0.24399999999999999</v>
      </c>
      <c r="R348" s="15">
        <v>5.0000000000000001E-3</v>
      </c>
      <c r="S348" s="180">
        <f>SUM(Q348:R348)</f>
        <v>0.249</v>
      </c>
      <c r="T348" s="204" t="s">
        <v>31</v>
      </c>
      <c r="U348" s="181" t="s">
        <v>540</v>
      </c>
      <c r="V348" s="15"/>
      <c r="W348" s="15" t="s">
        <v>504</v>
      </c>
      <c r="X348" s="15">
        <v>41.44</v>
      </c>
      <c r="Y348" s="15">
        <v>0.8</v>
      </c>
      <c r="Z348" s="15">
        <v>7.8</v>
      </c>
      <c r="AA348" s="15"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91"/>
      <c r="AG348" s="191">
        <v>206.46</v>
      </c>
      <c r="AH348" s="191"/>
      <c r="AI348" s="191"/>
      <c r="AJ348" s="191">
        <v>581.69000000000005</v>
      </c>
      <c r="AK348" s="15">
        <v>0.58169000000000004</v>
      </c>
      <c r="AL348" s="182"/>
      <c r="AM348" s="142" t="s">
        <v>20</v>
      </c>
      <c r="AN348" s="135" t="str">
        <f>AO348</f>
        <v>D</v>
      </c>
      <c r="AO348" s="135" t="s">
        <v>21</v>
      </c>
      <c r="AP348" s="372">
        <f t="shared" ref="AP348:AQ348" si="89">AQ348-2</f>
        <v>45711</v>
      </c>
      <c r="AQ348" s="372">
        <f t="shared" si="89"/>
        <v>45713</v>
      </c>
      <c r="AR348" s="372">
        <f>AS348-1</f>
        <v>45715</v>
      </c>
      <c r="AS348" s="372">
        <v>45716</v>
      </c>
      <c r="AT348" s="187" t="s">
        <v>595</v>
      </c>
      <c r="AU348" s="188"/>
      <c r="AV348" s="142" t="s">
        <v>20</v>
      </c>
      <c r="AW348" s="15" t="s">
        <v>6</v>
      </c>
      <c r="AX348" s="297">
        <f>AY348</f>
        <v>45718</v>
      </c>
      <c r="AY348" s="297">
        <v>45718</v>
      </c>
      <c r="AZ348" s="104" t="str">
        <f>AT348</f>
        <v xml:space="preserve">Shree Bayo </v>
      </c>
      <c r="BA348" s="207"/>
      <c r="BB348" s="142" t="s">
        <v>20</v>
      </c>
      <c r="BC348" s="135"/>
      <c r="BD348" s="135" t="s">
        <v>21</v>
      </c>
      <c r="BE348" s="298">
        <f>BF348-2</f>
        <v>45803</v>
      </c>
      <c r="BF348" s="298">
        <v>45805</v>
      </c>
      <c r="BG348" s="17" t="s">
        <v>510</v>
      </c>
      <c r="BH348" s="193"/>
      <c r="BI348" s="142" t="s">
        <v>20</v>
      </c>
      <c r="BJ348" s="135">
        <v>45809</v>
      </c>
      <c r="BK348" s="135">
        <v>45809</v>
      </c>
      <c r="BL348" s="25">
        <v>980</v>
      </c>
      <c r="BM348" s="24" t="s">
        <v>593</v>
      </c>
    </row>
    <row r="349" spans="1:65" ht="14.25" hidden="1" customHeight="1">
      <c r="A349" s="24"/>
      <c r="B349" s="19"/>
      <c r="C349" s="184"/>
      <c r="D349" s="134"/>
      <c r="E349" s="134"/>
      <c r="F349" s="134"/>
      <c r="G349" s="134"/>
      <c r="H349" s="185"/>
      <c r="I349" s="19"/>
      <c r="J349" s="19"/>
      <c r="K349" s="186"/>
      <c r="L349" s="178"/>
      <c r="M349" s="15"/>
      <c r="N349" s="15"/>
      <c r="O349" s="15"/>
      <c r="P349" s="180"/>
      <c r="Q349" s="178"/>
      <c r="R349" s="15"/>
      <c r="S349" s="180"/>
      <c r="T349" s="204"/>
      <c r="U349" s="204"/>
      <c r="V349" s="15">
        <v>369.86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82"/>
      <c r="AM349" s="15"/>
      <c r="AN349" s="24"/>
      <c r="AO349" s="24"/>
      <c r="AP349" s="24"/>
      <c r="AQ349" s="24"/>
      <c r="AR349" s="24"/>
      <c r="AS349" s="24"/>
      <c r="AT349" s="24"/>
      <c r="AU349" s="183"/>
      <c r="AV349" s="15"/>
      <c r="AW349" s="24"/>
      <c r="AX349" s="297"/>
      <c r="AY349" s="297"/>
      <c r="AZ349" s="24"/>
      <c r="BA349" s="183"/>
      <c r="BB349" s="15"/>
      <c r="BC349" s="24"/>
      <c r="BD349" s="24"/>
      <c r="BE349" s="24"/>
      <c r="BF349" s="24"/>
      <c r="BG349" s="24"/>
      <c r="BH349" s="183"/>
      <c r="BI349" s="24"/>
      <c r="BJ349" s="24"/>
      <c r="BK349" s="24"/>
      <c r="BL349" s="24"/>
      <c r="BM349" s="24"/>
    </row>
    <row r="350" spans="1:65" ht="14.25" customHeight="1">
      <c r="A350" s="15">
        <v>171</v>
      </c>
      <c r="B350" s="19" t="s">
        <v>254</v>
      </c>
      <c r="C350" s="184" t="s">
        <v>37</v>
      </c>
      <c r="D350" s="134">
        <v>6.992</v>
      </c>
      <c r="E350" s="134">
        <f>D350*4</f>
        <v>27.968</v>
      </c>
      <c r="F350" s="134">
        <f>E350*8</f>
        <v>223.744</v>
      </c>
      <c r="G350" s="134"/>
      <c r="H350" s="185"/>
      <c r="I350" s="19"/>
      <c r="J350" s="19"/>
      <c r="K350" s="186"/>
      <c r="L350" s="178">
        <v>2.6070000000000002</v>
      </c>
      <c r="M350" s="15">
        <v>2.657</v>
      </c>
      <c r="N350" s="15">
        <v>2E-3</v>
      </c>
      <c r="O350" s="15">
        <v>0.21299999999999999</v>
      </c>
      <c r="P350" s="180">
        <v>5.4790000000000001</v>
      </c>
      <c r="Q350" s="178">
        <v>0.24399999999999999</v>
      </c>
      <c r="R350" s="15">
        <v>5.0000000000000001E-3</v>
      </c>
      <c r="S350" s="180">
        <f>SUM(Q350:R350)</f>
        <v>0.249</v>
      </c>
      <c r="T350" s="204" t="s">
        <v>31</v>
      </c>
      <c r="U350" s="204" t="s">
        <v>575</v>
      </c>
      <c r="V350" s="15"/>
      <c r="W350" s="15" t="s">
        <v>541</v>
      </c>
      <c r="X350" s="15">
        <v>85.44</v>
      </c>
      <c r="Y350" s="15">
        <v>1.51</v>
      </c>
      <c r="Z350" s="15">
        <v>11.15</v>
      </c>
      <c r="AA350" s="15">
        <v>12.66</v>
      </c>
      <c r="AB350" s="15">
        <v>96.573400000000021</v>
      </c>
      <c r="AC350" s="15">
        <v>4828.670000000001</v>
      </c>
      <c r="AD350" s="15">
        <v>63.93</v>
      </c>
      <c r="AE350" s="15">
        <v>524.79</v>
      </c>
      <c r="AF350" s="15"/>
      <c r="AG350" s="15">
        <v>100.6</v>
      </c>
      <c r="AH350" s="15">
        <v>157.18</v>
      </c>
      <c r="AI350" s="15"/>
      <c r="AJ350" s="15">
        <v>846.5</v>
      </c>
      <c r="AK350" s="15">
        <v>0.84650000000000003</v>
      </c>
      <c r="AL350" s="182"/>
      <c r="AM350" s="142" t="s">
        <v>20</v>
      </c>
      <c r="AN350" s="135" t="str">
        <f>AO350</f>
        <v>D</v>
      </c>
      <c r="AO350" s="135" t="s">
        <v>21</v>
      </c>
      <c r="AP350" s="372">
        <v>45637</v>
      </c>
      <c r="AQ350" s="372">
        <v>45638</v>
      </c>
      <c r="AR350" s="372">
        <f>AS350-2</f>
        <v>45639</v>
      </c>
      <c r="AS350" s="372">
        <v>45641</v>
      </c>
      <c r="AT350" s="187" t="s">
        <v>595</v>
      </c>
      <c r="AU350" s="188"/>
      <c r="AV350" s="142" t="s">
        <v>20</v>
      </c>
      <c r="AW350" s="15" t="s">
        <v>6</v>
      </c>
      <c r="AX350" s="297">
        <v>45646</v>
      </c>
      <c r="AY350" s="297">
        <v>45646</v>
      </c>
      <c r="AZ350" s="19" t="s">
        <v>596</v>
      </c>
      <c r="BA350" s="199"/>
      <c r="BB350" s="142" t="s">
        <v>20</v>
      </c>
      <c r="BC350" s="135"/>
      <c r="BD350" s="135" t="s">
        <v>21</v>
      </c>
      <c r="BE350" s="298">
        <f>BF350-1</f>
        <v>45718</v>
      </c>
      <c r="BF350" s="298">
        <v>45719</v>
      </c>
      <c r="BG350" s="17" t="s">
        <v>510</v>
      </c>
      <c r="BH350" s="182"/>
      <c r="BI350" s="142" t="s">
        <v>20</v>
      </c>
      <c r="BJ350" s="135">
        <v>45810</v>
      </c>
      <c r="BK350" s="135">
        <v>45810</v>
      </c>
      <c r="BL350" s="25">
        <v>1330</v>
      </c>
      <c r="BM350" s="24" t="s">
        <v>593</v>
      </c>
    </row>
    <row r="351" spans="1:65" ht="14.25" hidden="1" customHeight="1">
      <c r="A351" s="24" t="s">
        <v>0</v>
      </c>
      <c r="B351" s="19"/>
      <c r="C351" s="184"/>
      <c r="D351" s="134"/>
      <c r="E351" s="134"/>
      <c r="F351" s="134"/>
      <c r="G351" s="134"/>
      <c r="H351" s="185"/>
      <c r="I351" s="19"/>
      <c r="J351" s="19"/>
      <c r="K351" s="186"/>
      <c r="L351" s="178"/>
      <c r="M351" s="15"/>
      <c r="N351" s="15"/>
      <c r="O351" s="15"/>
      <c r="P351" s="180"/>
      <c r="Q351" s="178"/>
      <c r="R351" s="15"/>
      <c r="S351" s="180"/>
      <c r="T351" s="204"/>
      <c r="U351" s="204"/>
      <c r="V351" s="15">
        <v>320.20999999999998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82"/>
      <c r="AM351" s="15"/>
      <c r="AN351" s="24"/>
      <c r="AO351" s="24"/>
      <c r="AP351" s="24"/>
      <c r="AQ351" s="24"/>
      <c r="AR351" s="24"/>
      <c r="AS351" s="24"/>
      <c r="AT351" s="24"/>
      <c r="AU351" s="183"/>
      <c r="AV351" s="15"/>
      <c r="AW351" s="24"/>
      <c r="AX351" s="297"/>
      <c r="AY351" s="297"/>
      <c r="AZ351" s="24"/>
      <c r="BA351" s="183"/>
      <c r="BB351" s="15"/>
      <c r="BC351" s="24"/>
      <c r="BD351" s="24"/>
      <c r="BE351" s="24"/>
      <c r="BF351" s="24"/>
      <c r="BG351" s="24"/>
      <c r="BH351" s="183"/>
      <c r="BI351" s="24"/>
      <c r="BJ351" s="24"/>
      <c r="BK351" s="24"/>
      <c r="BL351" s="24"/>
      <c r="BM351" s="24"/>
    </row>
    <row r="352" spans="1:65" ht="14.25" customHeight="1">
      <c r="A352" s="15">
        <v>172</v>
      </c>
      <c r="B352" s="19" t="s">
        <v>255</v>
      </c>
      <c r="C352" s="184" t="s">
        <v>42</v>
      </c>
      <c r="D352" s="134">
        <v>6.3620000000000001</v>
      </c>
      <c r="E352" s="134">
        <f>D352*4</f>
        <v>25.448</v>
      </c>
      <c r="F352" s="134">
        <f>E352*8</f>
        <v>203.584</v>
      </c>
      <c r="G352" s="134"/>
      <c r="H352" s="185"/>
      <c r="I352" s="19"/>
      <c r="J352" s="19"/>
      <c r="K352" s="186"/>
      <c r="L352" s="178">
        <v>2.25</v>
      </c>
      <c r="M352" s="15">
        <v>2.1880000000000002</v>
      </c>
      <c r="N352" s="15">
        <v>2E-3</v>
      </c>
      <c r="O352" s="15">
        <v>0.183</v>
      </c>
      <c r="P352" s="180">
        <v>4.6230000000000002</v>
      </c>
      <c r="Q352" s="178">
        <v>0.24399999999999999</v>
      </c>
      <c r="R352" s="15">
        <v>5.0000000000000001E-3</v>
      </c>
      <c r="S352" s="180">
        <f>SUM(Q352:R352)</f>
        <v>0.249</v>
      </c>
      <c r="T352" s="204" t="s">
        <v>31</v>
      </c>
      <c r="U352" s="204" t="s">
        <v>575</v>
      </c>
      <c r="V352" s="15"/>
      <c r="W352" s="15" t="s">
        <v>504</v>
      </c>
      <c r="X352" s="15">
        <v>41.44</v>
      </c>
      <c r="Y352" s="15">
        <v>0.8</v>
      </c>
      <c r="Z352" s="15">
        <v>7.8</v>
      </c>
      <c r="AA352" s="15">
        <v>8.6</v>
      </c>
      <c r="AB352" s="15">
        <v>66.42</v>
      </c>
      <c r="AC352" s="15">
        <v>3321</v>
      </c>
      <c r="AD352" s="15">
        <v>73.73</v>
      </c>
      <c r="AE352" s="15">
        <v>301.5</v>
      </c>
      <c r="AF352" s="15"/>
      <c r="AG352" s="15">
        <v>206.46</v>
      </c>
      <c r="AH352" s="15"/>
      <c r="AI352" s="15"/>
      <c r="AJ352" s="15">
        <v>581.69000000000005</v>
      </c>
      <c r="AK352" s="15">
        <v>0.58169000000000004</v>
      </c>
      <c r="AL352" s="182"/>
      <c r="AM352" s="142" t="s">
        <v>20</v>
      </c>
      <c r="AN352" s="135" t="s">
        <v>21</v>
      </c>
      <c r="AO352" s="135" t="s">
        <v>21</v>
      </c>
      <c r="AP352" s="372">
        <f t="shared" ref="AP352:AR352" si="90">AQ352-2</f>
        <v>45771</v>
      </c>
      <c r="AQ352" s="372">
        <f t="shared" si="90"/>
        <v>45773</v>
      </c>
      <c r="AR352" s="372">
        <f t="shared" si="90"/>
        <v>45775</v>
      </c>
      <c r="AS352" s="372">
        <v>45777</v>
      </c>
      <c r="AT352" s="187" t="s">
        <v>542</v>
      </c>
      <c r="AU352" s="188"/>
      <c r="AV352" s="142" t="s">
        <v>20</v>
      </c>
      <c r="AW352" s="15" t="s">
        <v>6</v>
      </c>
      <c r="AX352" s="297">
        <f>AY352</f>
        <v>45783</v>
      </c>
      <c r="AY352" s="297">
        <f>AS352+6</f>
        <v>45783</v>
      </c>
      <c r="AZ352" s="187" t="str">
        <f>AT352</f>
        <v>Ram Singh</v>
      </c>
      <c r="BA352" s="188"/>
      <c r="BB352" s="142" t="s">
        <v>20</v>
      </c>
      <c r="BC352" s="135" t="s">
        <v>544</v>
      </c>
      <c r="BD352" s="135" t="s">
        <v>21</v>
      </c>
      <c r="BE352" s="298">
        <f>BF352-2</f>
        <v>45806</v>
      </c>
      <c r="BF352" s="298">
        <v>45808</v>
      </c>
      <c r="BG352" s="17" t="s">
        <v>510</v>
      </c>
      <c r="BH352" s="192"/>
      <c r="BI352" s="142" t="s">
        <v>20</v>
      </c>
      <c r="BJ352" s="135">
        <v>45885</v>
      </c>
      <c r="BK352" s="135">
        <f>BJ352</f>
        <v>45885</v>
      </c>
      <c r="BL352" s="25">
        <v>980</v>
      </c>
      <c r="BM352" s="190" t="s">
        <v>593</v>
      </c>
    </row>
    <row r="353" spans="1:66" ht="14.25" hidden="1" customHeight="1">
      <c r="A353" s="24" t="s">
        <v>0</v>
      </c>
      <c r="B353" s="19"/>
      <c r="C353" s="184"/>
      <c r="D353" s="134"/>
      <c r="E353" s="134"/>
      <c r="F353" s="134"/>
      <c r="G353" s="134"/>
      <c r="H353" s="185"/>
      <c r="I353" s="19"/>
      <c r="J353" s="19"/>
      <c r="K353" s="186"/>
      <c r="L353" s="178"/>
      <c r="M353" s="15"/>
      <c r="N353" s="15"/>
      <c r="O353" s="15"/>
      <c r="P353" s="180"/>
      <c r="Q353" s="178"/>
      <c r="R353" s="15"/>
      <c r="S353" s="180"/>
      <c r="T353" s="204"/>
      <c r="U353" s="204"/>
      <c r="V353" s="15">
        <v>383.86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82"/>
      <c r="AM353" s="15"/>
      <c r="AN353" s="24"/>
      <c r="AO353" s="24"/>
      <c r="AP353" s="24"/>
      <c r="AQ353" s="24"/>
      <c r="AR353" s="24"/>
      <c r="AS353" s="24"/>
      <c r="AT353" s="24"/>
      <c r="AU353" s="183"/>
      <c r="AV353" s="15"/>
      <c r="AW353" s="24"/>
      <c r="AX353" s="297"/>
      <c r="AY353" s="297"/>
      <c r="AZ353" s="24"/>
      <c r="BA353" s="183"/>
      <c r="BB353" s="15"/>
      <c r="BC353" s="24"/>
      <c r="BD353" s="24"/>
      <c r="BE353" s="24"/>
      <c r="BF353" s="24"/>
      <c r="BG353" s="24"/>
      <c r="BH353" s="183"/>
      <c r="BI353" s="24"/>
      <c r="BJ353" s="24"/>
      <c r="BK353" s="24"/>
      <c r="BL353" s="24"/>
      <c r="BM353" s="24"/>
      <c r="BN353" s="24"/>
    </row>
    <row r="354" spans="1:66" ht="16.5" customHeight="1">
      <c r="A354" s="15">
        <v>173</v>
      </c>
      <c r="B354" s="19" t="s">
        <v>257</v>
      </c>
      <c r="C354" s="184" t="s">
        <v>54</v>
      </c>
      <c r="D354" s="134">
        <v>13.257999999999999</v>
      </c>
      <c r="E354" s="134">
        <f>D354*4</f>
        <v>53.031999999999996</v>
      </c>
      <c r="F354" s="134">
        <f>E354*8</f>
        <v>424.25599999999997</v>
      </c>
      <c r="G354" s="134">
        <v>1</v>
      </c>
      <c r="H354" s="185">
        <v>3</v>
      </c>
      <c r="I354" s="19">
        <v>3</v>
      </c>
      <c r="J354" s="19">
        <v>3</v>
      </c>
      <c r="K354" s="186">
        <v>3</v>
      </c>
      <c r="L354" s="178">
        <v>6.0579999999999998</v>
      </c>
      <c r="M354" s="15">
        <v>5.8739999999999997</v>
      </c>
      <c r="N354" s="15">
        <v>7.7000000000000002E-3</v>
      </c>
      <c r="O354" s="15">
        <v>0.56299999999999994</v>
      </c>
      <c r="P354" s="179">
        <v>12.502699999999999</v>
      </c>
      <c r="Q354" s="178">
        <v>0.55700000000000005</v>
      </c>
      <c r="R354" s="15">
        <v>0.01</v>
      </c>
      <c r="S354" s="180">
        <f>SUM(Q354:R354)</f>
        <v>0.56700000000000006</v>
      </c>
      <c r="T354" s="208" t="s">
        <v>602</v>
      </c>
      <c r="U354" s="204" t="s">
        <v>575</v>
      </c>
      <c r="V354" s="29"/>
      <c r="W354" s="15" t="s">
        <v>541</v>
      </c>
      <c r="X354" s="15">
        <v>215.12</v>
      </c>
      <c r="Y354" s="15">
        <v>3.53</v>
      </c>
      <c r="Z354" s="15">
        <v>38.97</v>
      </c>
      <c r="AA354" s="15">
        <f>Y354+Z354</f>
        <v>42.5</v>
      </c>
      <c r="AB354" s="23">
        <f t="shared" ref="AB354:AB406" si="91">+Y354*4.44+Z354*8.06</f>
        <v>329.77140000000003</v>
      </c>
      <c r="AC354" s="15"/>
      <c r="AD354" s="15">
        <v>237.43</v>
      </c>
      <c r="AE354" s="15"/>
      <c r="AF354" s="15">
        <v>1520.85</v>
      </c>
      <c r="AG354" s="15">
        <v>690.12</v>
      </c>
      <c r="AH354" s="15">
        <v>0</v>
      </c>
      <c r="AI354" s="15"/>
      <c r="AJ354" s="15">
        <f>SUM(AD354:AH354)</f>
        <v>2448.4</v>
      </c>
      <c r="AK354" s="15">
        <f>AJ354/1000</f>
        <v>2.4483999999999999</v>
      </c>
      <c r="AL354" s="182"/>
      <c r="AM354" s="142" t="s">
        <v>20</v>
      </c>
      <c r="AN354" s="135" t="s">
        <v>544</v>
      </c>
      <c r="AO354" s="135" t="s">
        <v>21</v>
      </c>
      <c r="AP354" s="372">
        <f t="shared" ref="AP354:AR354" si="92">AQ354-2</f>
        <v>45770</v>
      </c>
      <c r="AQ354" s="372">
        <f t="shared" si="92"/>
        <v>45772</v>
      </c>
      <c r="AR354" s="372">
        <f t="shared" si="92"/>
        <v>45774</v>
      </c>
      <c r="AS354" s="372">
        <v>45776</v>
      </c>
      <c r="AT354" s="187" t="s">
        <v>542</v>
      </c>
      <c r="AU354" s="188"/>
      <c r="AV354" s="142" t="s">
        <v>20</v>
      </c>
      <c r="AW354" s="15" t="s">
        <v>6</v>
      </c>
      <c r="AX354" s="297">
        <v>45778</v>
      </c>
      <c r="AY354" s="297">
        <v>45778</v>
      </c>
      <c r="AZ354" s="187" t="s">
        <v>595</v>
      </c>
      <c r="BA354" s="188"/>
      <c r="BB354" s="142" t="s">
        <v>20</v>
      </c>
      <c r="BC354" s="135" t="s">
        <v>544</v>
      </c>
      <c r="BD354" s="135" t="s">
        <v>21</v>
      </c>
      <c r="BE354" s="298">
        <f>BF354-2</f>
        <v>45817</v>
      </c>
      <c r="BF354" s="298">
        <v>45819</v>
      </c>
      <c r="BG354" s="17" t="s">
        <v>510</v>
      </c>
      <c r="BH354" s="182"/>
      <c r="BI354" s="142" t="s">
        <v>20</v>
      </c>
      <c r="BJ354" s="135">
        <v>45885</v>
      </c>
      <c r="BK354" s="135">
        <f>BJ354</f>
        <v>45885</v>
      </c>
      <c r="BL354" s="25">
        <v>2008</v>
      </c>
      <c r="BM354" s="24" t="s">
        <v>593</v>
      </c>
      <c r="BN354" s="135"/>
    </row>
    <row r="355" spans="1:66" ht="14.25" hidden="1" customHeight="1">
      <c r="A355" s="15" t="s">
        <v>0</v>
      </c>
      <c r="B355" s="19"/>
      <c r="C355" s="184"/>
      <c r="D355" s="134"/>
      <c r="E355" s="134"/>
      <c r="F355" s="134"/>
      <c r="G355" s="134"/>
      <c r="H355" s="185"/>
      <c r="I355" s="19"/>
      <c r="J355" s="19"/>
      <c r="K355" s="186"/>
      <c r="L355" s="178"/>
      <c r="M355" s="15"/>
      <c r="N355" s="15"/>
      <c r="O355" s="15"/>
      <c r="P355" s="180"/>
      <c r="Q355" s="178"/>
      <c r="R355" s="15"/>
      <c r="S355" s="180"/>
      <c r="T355" s="209"/>
      <c r="U355" s="209"/>
      <c r="V355" s="24">
        <v>190.524</v>
      </c>
      <c r="W355" s="15"/>
      <c r="X355" s="15"/>
      <c r="Y355" s="15"/>
      <c r="Z355" s="15"/>
      <c r="AA355" s="15"/>
      <c r="AB355" s="23">
        <f t="shared" si="91"/>
        <v>0</v>
      </c>
      <c r="AC355" s="15"/>
      <c r="AD355" s="15"/>
      <c r="AE355" s="15"/>
      <c r="AF355" s="15"/>
      <c r="AG355" s="15"/>
      <c r="AH355" s="15"/>
      <c r="AI355" s="15"/>
      <c r="AJ355" s="15"/>
      <c r="AK355" s="15"/>
      <c r="AL355" s="182"/>
      <c r="AM355" s="15"/>
      <c r="AN355" s="24"/>
      <c r="AO355" s="24"/>
      <c r="AP355" s="24"/>
      <c r="AQ355" s="24"/>
      <c r="AR355" s="24"/>
      <c r="AS355" s="24"/>
      <c r="AT355" s="24"/>
      <c r="AU355" s="183"/>
      <c r="AV355" s="15"/>
      <c r="AW355" s="24"/>
      <c r="AX355" s="297"/>
      <c r="AY355" s="297"/>
      <c r="AZ355" s="24"/>
      <c r="BA355" s="183"/>
      <c r="BB355" s="15"/>
      <c r="BC355" s="24"/>
      <c r="BD355" s="24"/>
      <c r="BE355" s="24"/>
      <c r="BF355" s="24"/>
      <c r="BG355" s="24"/>
      <c r="BH355" s="183"/>
      <c r="BI355" s="24"/>
      <c r="BJ355" s="24"/>
      <c r="BK355" s="24"/>
      <c r="BL355" s="24"/>
      <c r="BM355" s="24"/>
      <c r="BN355" s="24"/>
    </row>
    <row r="356" spans="1:66" ht="14.25" customHeight="1">
      <c r="A356" s="15">
        <v>174</v>
      </c>
      <c r="B356" s="19" t="s">
        <v>259</v>
      </c>
      <c r="C356" s="184" t="s">
        <v>260</v>
      </c>
      <c r="D356" s="134">
        <v>16.654</v>
      </c>
      <c r="E356" s="134">
        <f>D356*4</f>
        <v>66.616</v>
      </c>
      <c r="F356" s="134">
        <f>E356*8</f>
        <v>532.928</v>
      </c>
      <c r="G356" s="134">
        <v>1</v>
      </c>
      <c r="H356" s="185">
        <v>3</v>
      </c>
      <c r="I356" s="19">
        <v>3</v>
      </c>
      <c r="J356" s="19">
        <v>3</v>
      </c>
      <c r="K356" s="186">
        <v>3</v>
      </c>
      <c r="L356" s="178">
        <v>8.1959999999999997</v>
      </c>
      <c r="M356" s="15">
        <v>8.8010000000000002</v>
      </c>
      <c r="N356" s="15">
        <v>9.0000000000000011E-3</v>
      </c>
      <c r="O356" s="15">
        <v>0.752</v>
      </c>
      <c r="P356" s="180">
        <v>17.757999999999999</v>
      </c>
      <c r="Q356" s="178">
        <v>0.76100000000000001</v>
      </c>
      <c r="R356" s="15">
        <v>1.9E-2</v>
      </c>
      <c r="S356" s="180">
        <f>SUM(Q356:R356)</f>
        <v>0.78</v>
      </c>
      <c r="T356" s="181" t="s">
        <v>603</v>
      </c>
      <c r="U356" s="204" t="s">
        <v>575</v>
      </c>
      <c r="V356" s="15"/>
      <c r="W356" s="15" t="s">
        <v>504</v>
      </c>
      <c r="X356" s="15">
        <v>136.28</v>
      </c>
      <c r="Y356" s="15">
        <v>2.31</v>
      </c>
      <c r="Z356" s="15">
        <v>27.89</v>
      </c>
      <c r="AA356" s="15">
        <f>Y356+Z356</f>
        <v>30.2</v>
      </c>
      <c r="AB356" s="23">
        <f t="shared" si="91"/>
        <v>235.04980000000003</v>
      </c>
      <c r="AC356" s="15"/>
      <c r="AD356" s="15">
        <v>171.11</v>
      </c>
      <c r="AE356" s="15"/>
      <c r="AF356" s="15">
        <v>1373.57</v>
      </c>
      <c r="AG356" s="15"/>
      <c r="AH356" s="15">
        <v>831.91</v>
      </c>
      <c r="AI356" s="15"/>
      <c r="AJ356" s="15">
        <f>SUM(AD356:AI356)</f>
        <v>2376.5899999999997</v>
      </c>
      <c r="AK356" s="15">
        <f>AJ356/1000</f>
        <v>2.3765899999999998</v>
      </c>
      <c r="AL356" s="182"/>
      <c r="AM356" s="142" t="s">
        <v>20</v>
      </c>
      <c r="AN356" s="135" t="s">
        <v>544</v>
      </c>
      <c r="AO356" s="135" t="s">
        <v>21</v>
      </c>
      <c r="AP356" s="372">
        <f t="shared" ref="AP356:AR356" si="93">AQ356-2</f>
        <v>45758</v>
      </c>
      <c r="AQ356" s="372">
        <f t="shared" si="93"/>
        <v>45760</v>
      </c>
      <c r="AR356" s="372">
        <f t="shared" si="93"/>
        <v>45762</v>
      </c>
      <c r="AS356" s="372">
        <v>45764</v>
      </c>
      <c r="AT356" s="187" t="s">
        <v>595</v>
      </c>
      <c r="AU356" s="188"/>
      <c r="AV356" s="142" t="s">
        <v>20</v>
      </c>
      <c r="AW356" s="15" t="s">
        <v>6</v>
      </c>
      <c r="AX356" s="297">
        <f>AY356</f>
        <v>45767</v>
      </c>
      <c r="AY356" s="297">
        <v>45767</v>
      </c>
      <c r="AZ356" s="19" t="s">
        <v>543</v>
      </c>
      <c r="BA356" s="199"/>
      <c r="BB356" s="142" t="s">
        <v>20</v>
      </c>
      <c r="BC356" s="135"/>
      <c r="BD356" s="135" t="s">
        <v>577</v>
      </c>
      <c r="BE356" s="298">
        <f>BF356-2</f>
        <v>45862</v>
      </c>
      <c r="BF356" s="298">
        <v>45864</v>
      </c>
      <c r="BG356" s="17" t="s">
        <v>510</v>
      </c>
      <c r="BH356" s="182"/>
      <c r="BI356" s="142" t="s">
        <v>20</v>
      </c>
      <c r="BJ356" s="135"/>
      <c r="BK356" s="135"/>
      <c r="BL356" s="138"/>
      <c r="BM356" s="24"/>
      <c r="BN356" s="15"/>
    </row>
    <row r="357" spans="1:66" ht="14.25" hidden="1" customHeight="1">
      <c r="A357" s="15" t="s">
        <v>0</v>
      </c>
      <c r="B357" s="19"/>
      <c r="C357" s="184"/>
      <c r="D357" s="134"/>
      <c r="E357" s="134"/>
      <c r="F357" s="134"/>
      <c r="G357" s="134"/>
      <c r="H357" s="185"/>
      <c r="I357" s="19"/>
      <c r="J357" s="19"/>
      <c r="K357" s="186"/>
      <c r="L357" s="178"/>
      <c r="M357" s="15"/>
      <c r="N357" s="15"/>
      <c r="O357" s="15"/>
      <c r="P357" s="180"/>
      <c r="Q357" s="178"/>
      <c r="R357" s="15"/>
      <c r="S357" s="180"/>
      <c r="T357" s="181"/>
      <c r="U357" s="181"/>
      <c r="V357" s="16">
        <v>173.541</v>
      </c>
      <c r="W357" s="15"/>
      <c r="X357" s="15"/>
      <c r="Y357" s="15"/>
      <c r="Z357" s="15"/>
      <c r="AA357" s="15"/>
      <c r="AB357" s="23">
        <f t="shared" si="9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82"/>
      <c r="AM357" s="15"/>
      <c r="AN357" s="24"/>
      <c r="AO357" s="24"/>
      <c r="AP357" s="24"/>
      <c r="AQ357" s="24"/>
      <c r="AR357" s="24"/>
      <c r="AS357" s="24"/>
      <c r="AT357" s="24"/>
      <c r="AU357" s="183"/>
      <c r="AV357" s="15"/>
      <c r="AW357" s="24"/>
      <c r="AX357" s="297"/>
      <c r="AY357" s="297"/>
      <c r="AZ357" s="24"/>
      <c r="BA357" s="183"/>
      <c r="BB357" s="15"/>
      <c r="BC357" s="24"/>
      <c r="BD357" s="24"/>
      <c r="BE357" s="24"/>
      <c r="BF357" s="24"/>
      <c r="BG357" s="24"/>
      <c r="BH357" s="183"/>
      <c r="BI357" s="24"/>
      <c r="BJ357" s="24"/>
      <c r="BK357" s="24"/>
      <c r="BL357" s="24"/>
      <c r="BM357" s="24"/>
      <c r="BN357" s="24"/>
    </row>
    <row r="358" spans="1:66" ht="14.25" customHeight="1">
      <c r="A358" s="15">
        <v>175</v>
      </c>
      <c r="B358" s="19" t="s">
        <v>262</v>
      </c>
      <c r="C358" s="184" t="s">
        <v>260</v>
      </c>
      <c r="D358" s="134">
        <v>16.654</v>
      </c>
      <c r="E358" s="134">
        <f>D358*4</f>
        <v>66.616</v>
      </c>
      <c r="F358" s="134">
        <f>E358*8</f>
        <v>532.928</v>
      </c>
      <c r="G358" s="134">
        <v>1</v>
      </c>
      <c r="H358" s="185">
        <v>3</v>
      </c>
      <c r="I358" s="19">
        <v>3</v>
      </c>
      <c r="J358" s="19">
        <v>3</v>
      </c>
      <c r="K358" s="186">
        <v>3</v>
      </c>
      <c r="L358" s="178">
        <v>8.1959999999999997</v>
      </c>
      <c r="M358" s="15">
        <v>8.8010000000000002</v>
      </c>
      <c r="N358" s="15">
        <v>9.0000000000000011E-3</v>
      </c>
      <c r="O358" s="15">
        <v>0.752</v>
      </c>
      <c r="P358" s="180">
        <v>17.757999999999999</v>
      </c>
      <c r="Q358" s="178">
        <v>0.76100000000000001</v>
      </c>
      <c r="R358" s="15">
        <v>1.9E-2</v>
      </c>
      <c r="S358" s="180">
        <f>SUM(Q358:R358)</f>
        <v>0.78</v>
      </c>
      <c r="T358" s="181" t="s">
        <v>31</v>
      </c>
      <c r="U358" s="204" t="s">
        <v>575</v>
      </c>
      <c r="V358" s="15"/>
      <c r="W358" s="15" t="s">
        <v>541</v>
      </c>
      <c r="X358" s="15">
        <v>231.88</v>
      </c>
      <c r="Y358" s="15">
        <v>3.78</v>
      </c>
      <c r="Z358" s="15">
        <v>36.43</v>
      </c>
      <c r="AA358" s="15">
        <f>Y358+Z358</f>
        <v>40.21</v>
      </c>
      <c r="AB358" s="23">
        <f t="shared" si="91"/>
        <v>310.40900000000005</v>
      </c>
      <c r="AC358" s="15"/>
      <c r="AD358" s="15">
        <v>171.11</v>
      </c>
      <c r="AE358" s="15"/>
      <c r="AF358" s="15">
        <v>1849.49</v>
      </c>
      <c r="AG358" s="15"/>
      <c r="AH358" s="15">
        <v>831.91</v>
      </c>
      <c r="AI358" s="15"/>
      <c r="AJ358" s="15">
        <f>SUM(AD358:AI358)</f>
        <v>2852.5099999999998</v>
      </c>
      <c r="AK358" s="15">
        <f>AJ358/1000</f>
        <v>2.8525099999999997</v>
      </c>
      <c r="AL358" s="182"/>
      <c r="AM358" s="142" t="s">
        <v>20</v>
      </c>
      <c r="AN358" s="135" t="s">
        <v>552</v>
      </c>
      <c r="AO358" s="135" t="s">
        <v>21</v>
      </c>
      <c r="AP358" s="372">
        <f>AQ358-2</f>
        <v>45725</v>
      </c>
      <c r="AQ358" s="372">
        <f>AR358-3</f>
        <v>45727</v>
      </c>
      <c r="AR358" s="372">
        <f>AS358-2</f>
        <v>45730</v>
      </c>
      <c r="AS358" s="372">
        <v>45732</v>
      </c>
      <c r="AT358" s="187" t="s">
        <v>595</v>
      </c>
      <c r="AU358" s="188"/>
      <c r="AV358" s="142" t="s">
        <v>20</v>
      </c>
      <c r="AW358" s="15" t="s">
        <v>6</v>
      </c>
      <c r="AX358" s="297">
        <f>AY358</f>
        <v>45754</v>
      </c>
      <c r="AY358" s="297">
        <v>45754</v>
      </c>
      <c r="AZ358" s="19" t="s">
        <v>543</v>
      </c>
      <c r="BA358" s="199"/>
      <c r="BB358" s="142" t="s">
        <v>20</v>
      </c>
      <c r="BC358" s="135" t="s">
        <v>544</v>
      </c>
      <c r="BD358" s="135" t="s">
        <v>604</v>
      </c>
      <c r="BE358" s="298">
        <f>BF358-2</f>
        <v>45812</v>
      </c>
      <c r="BF358" s="298">
        <v>45814</v>
      </c>
      <c r="BG358" s="17" t="s">
        <v>510</v>
      </c>
      <c r="BH358" s="182"/>
      <c r="BI358" s="142" t="s">
        <v>20</v>
      </c>
      <c r="BJ358" s="135"/>
      <c r="BK358" s="135"/>
      <c r="BL358" s="138"/>
      <c r="BM358" s="24"/>
      <c r="BN358" s="135"/>
    </row>
    <row r="359" spans="1:66" ht="14.25" hidden="1" customHeight="1">
      <c r="A359" s="15" t="s">
        <v>0</v>
      </c>
      <c r="B359" s="19"/>
      <c r="C359" s="184"/>
      <c r="D359" s="134"/>
      <c r="E359" s="134"/>
      <c r="F359" s="134"/>
      <c r="G359" s="134"/>
      <c r="H359" s="185"/>
      <c r="I359" s="19"/>
      <c r="J359" s="19"/>
      <c r="K359" s="186"/>
      <c r="L359" s="178"/>
      <c r="M359" s="15"/>
      <c r="N359" s="15"/>
      <c r="O359" s="15"/>
      <c r="P359" s="180"/>
      <c r="Q359" s="178"/>
      <c r="R359" s="15"/>
      <c r="S359" s="180"/>
      <c r="T359" s="181"/>
      <c r="U359" s="181"/>
      <c r="V359" s="16">
        <v>142.38399999999999</v>
      </c>
      <c r="W359" s="15"/>
      <c r="X359" s="15"/>
      <c r="Y359" s="15"/>
      <c r="Z359" s="15"/>
      <c r="AA359" s="15"/>
      <c r="AB359" s="23">
        <f t="shared" si="9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82"/>
      <c r="AM359" s="15"/>
      <c r="AN359" s="24"/>
      <c r="AO359" s="24"/>
      <c r="AP359" s="24"/>
      <c r="AQ359" s="24"/>
      <c r="AR359" s="24"/>
      <c r="AS359" s="24"/>
      <c r="AT359" s="24"/>
      <c r="AU359" s="183"/>
      <c r="AV359" s="15"/>
      <c r="AW359" s="24"/>
      <c r="AX359" s="297"/>
      <c r="AY359" s="297"/>
      <c r="AZ359" s="24"/>
      <c r="BA359" s="183"/>
      <c r="BB359" s="15"/>
      <c r="BC359" s="24"/>
      <c r="BD359" s="24"/>
      <c r="BE359" s="24"/>
      <c r="BF359" s="24"/>
      <c r="BG359" s="24"/>
      <c r="BH359" s="183"/>
      <c r="BI359" s="24"/>
      <c r="BJ359" s="24"/>
      <c r="BK359" s="24"/>
      <c r="BL359" s="24"/>
      <c r="BM359" s="24"/>
      <c r="BN359" s="24"/>
    </row>
    <row r="360" spans="1:66" ht="14.25" customHeight="1">
      <c r="A360" s="15">
        <v>176</v>
      </c>
      <c r="B360" s="19" t="s">
        <v>264</v>
      </c>
      <c r="C360" s="184" t="s">
        <v>260</v>
      </c>
      <c r="D360" s="134">
        <v>16.654</v>
      </c>
      <c r="E360" s="134">
        <f>D360*4</f>
        <v>66.616</v>
      </c>
      <c r="F360" s="134">
        <f>E360*8</f>
        <v>532.928</v>
      </c>
      <c r="G360" s="134">
        <v>1</v>
      </c>
      <c r="H360" s="185">
        <v>3</v>
      </c>
      <c r="I360" s="19">
        <v>3</v>
      </c>
      <c r="J360" s="19">
        <v>3</v>
      </c>
      <c r="K360" s="186">
        <v>3</v>
      </c>
      <c r="L360" s="178">
        <v>8.1959999999999997</v>
      </c>
      <c r="M360" s="15">
        <v>8.8010000000000002</v>
      </c>
      <c r="N360" s="15">
        <v>9.0000000000000011E-3</v>
      </c>
      <c r="O360" s="15">
        <v>0.752</v>
      </c>
      <c r="P360" s="180">
        <v>17.757999999999999</v>
      </c>
      <c r="Q360" s="178">
        <v>0.76100000000000001</v>
      </c>
      <c r="R360" s="15">
        <v>1.9E-2</v>
      </c>
      <c r="S360" s="180">
        <f>SUM(Q360:R360)</f>
        <v>0.78</v>
      </c>
      <c r="T360" s="181" t="s">
        <v>31</v>
      </c>
      <c r="U360" s="204" t="s">
        <v>575</v>
      </c>
      <c r="V360" s="15"/>
      <c r="W360" s="15" t="s">
        <v>541</v>
      </c>
      <c r="X360" s="15">
        <v>231.88</v>
      </c>
      <c r="Y360" s="15">
        <v>3.78</v>
      </c>
      <c r="Z360" s="15">
        <v>36.43</v>
      </c>
      <c r="AA360" s="15">
        <f>Y360+Z360</f>
        <v>40.21</v>
      </c>
      <c r="AB360" s="23">
        <f t="shared" si="91"/>
        <v>310.40900000000005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82"/>
      <c r="AM360" s="142" t="s">
        <v>20</v>
      </c>
      <c r="AN360" s="135" t="s">
        <v>544</v>
      </c>
      <c r="AO360" s="135" t="s">
        <v>21</v>
      </c>
      <c r="AP360" s="372">
        <f>AQ360-2</f>
        <v>45743</v>
      </c>
      <c r="AQ360" s="372">
        <f>AR360-3</f>
        <v>45745</v>
      </c>
      <c r="AR360" s="372">
        <f>AS360-2</f>
        <v>45748</v>
      </c>
      <c r="AS360" s="372">
        <v>45750</v>
      </c>
      <c r="AT360" s="187" t="s">
        <v>595</v>
      </c>
      <c r="AU360" s="188"/>
      <c r="AV360" s="142" t="s">
        <v>20</v>
      </c>
      <c r="AW360" s="15" t="s">
        <v>6</v>
      </c>
      <c r="AX360" s="297">
        <f>AY360</f>
        <v>45754</v>
      </c>
      <c r="AY360" s="297">
        <v>45754</v>
      </c>
      <c r="AZ360" s="19" t="s">
        <v>543</v>
      </c>
      <c r="BA360" s="199"/>
      <c r="BB360" s="142" t="s">
        <v>20</v>
      </c>
      <c r="BC360" s="135"/>
      <c r="BD360" s="135" t="s">
        <v>577</v>
      </c>
      <c r="BE360" s="298">
        <f>BF360-2</f>
        <v>45862</v>
      </c>
      <c r="BF360" s="298">
        <v>45864</v>
      </c>
      <c r="BG360" s="17" t="s">
        <v>553</v>
      </c>
      <c r="BH360" s="182"/>
      <c r="BI360" s="142" t="s">
        <v>20</v>
      </c>
      <c r="BJ360" s="135"/>
      <c r="BK360" s="135"/>
      <c r="BL360" s="138"/>
      <c r="BM360" s="24"/>
      <c r="BN360" s="197" t="s">
        <v>557</v>
      </c>
    </row>
    <row r="361" spans="1:66" ht="14.25" hidden="1" customHeight="1">
      <c r="A361" s="15" t="s">
        <v>0</v>
      </c>
      <c r="B361" s="19"/>
      <c r="C361" s="184"/>
      <c r="D361" s="134"/>
      <c r="E361" s="134"/>
      <c r="F361" s="134"/>
      <c r="G361" s="134"/>
      <c r="H361" s="185"/>
      <c r="I361" s="19"/>
      <c r="J361" s="19"/>
      <c r="K361" s="186"/>
      <c r="L361" s="178"/>
      <c r="M361" s="15"/>
      <c r="N361" s="15"/>
      <c r="O361" s="15"/>
      <c r="P361" s="180"/>
      <c r="Q361" s="178"/>
      <c r="R361" s="15"/>
      <c r="S361" s="180"/>
      <c r="T361" s="181"/>
      <c r="U361" s="181"/>
      <c r="V361" s="16">
        <v>77.015000000000001</v>
      </c>
      <c r="W361" s="15"/>
      <c r="X361" s="15"/>
      <c r="Y361" s="15"/>
      <c r="Z361" s="15"/>
      <c r="AA361" s="15"/>
      <c r="AB361" s="23">
        <f t="shared" si="9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82"/>
      <c r="AM361" s="15"/>
      <c r="AN361" s="24"/>
      <c r="AO361" s="24"/>
      <c r="AP361" s="24"/>
      <c r="AQ361" s="24"/>
      <c r="AR361" s="24"/>
      <c r="AS361" s="24"/>
      <c r="AT361" s="24"/>
      <c r="AU361" s="183"/>
      <c r="AV361" s="15"/>
      <c r="AW361" s="24"/>
      <c r="AX361" s="297"/>
      <c r="AY361" s="297"/>
      <c r="AZ361" s="24"/>
      <c r="BA361" s="183"/>
      <c r="BB361" s="15"/>
      <c r="BC361" s="24"/>
      <c r="BD361" s="24"/>
      <c r="BE361" s="24"/>
      <c r="BF361" s="24"/>
      <c r="BG361" s="24"/>
      <c r="BH361" s="183"/>
      <c r="BI361" s="24"/>
      <c r="BJ361" s="24"/>
      <c r="BK361" s="24"/>
      <c r="BL361" s="24"/>
      <c r="BM361" s="24"/>
      <c r="BN361" s="24"/>
    </row>
    <row r="362" spans="1:66" ht="14.25" customHeight="1">
      <c r="A362" s="15">
        <v>177</v>
      </c>
      <c r="B362" s="19" t="s">
        <v>266</v>
      </c>
      <c r="C362" s="184" t="s">
        <v>34</v>
      </c>
      <c r="D362" s="134">
        <v>9.6539999999999999</v>
      </c>
      <c r="E362" s="134">
        <f>D362*4</f>
        <v>38.616</v>
      </c>
      <c r="F362" s="134">
        <f>E362*8</f>
        <v>308.928</v>
      </c>
      <c r="G362" s="134"/>
      <c r="H362" s="185"/>
      <c r="I362" s="19"/>
      <c r="J362" s="19"/>
      <c r="K362" s="186"/>
      <c r="L362" s="178">
        <v>4.8070000000000004</v>
      </c>
      <c r="M362" s="15">
        <v>4.016</v>
      </c>
      <c r="N362" s="15">
        <v>7.0000000000000001E-3</v>
      </c>
      <c r="O362" s="15">
        <v>0.43099999999999999</v>
      </c>
      <c r="P362" s="180">
        <v>9.2609999999999992</v>
      </c>
      <c r="Q362" s="178">
        <v>0.55700000000000005</v>
      </c>
      <c r="R362" s="15">
        <v>0.01</v>
      </c>
      <c r="S362" s="180">
        <f>SUM(Q362:R362)</f>
        <v>0.56700000000000006</v>
      </c>
      <c r="T362" s="181" t="s">
        <v>31</v>
      </c>
      <c r="U362" s="204" t="s">
        <v>575</v>
      </c>
      <c r="V362" s="15"/>
      <c r="W362" s="15" t="s">
        <v>504</v>
      </c>
      <c r="X362" s="15">
        <v>119.36</v>
      </c>
      <c r="Y362" s="15">
        <v>2.0499999999999998</v>
      </c>
      <c r="Z362" s="15">
        <v>18.37</v>
      </c>
      <c r="AA362" s="15">
        <v>20.420000000000002</v>
      </c>
      <c r="AB362" s="23">
        <f t="shared" si="91"/>
        <v>157.16420000000002</v>
      </c>
      <c r="AC362" s="15">
        <v>7858.2100000000009</v>
      </c>
      <c r="AD362" s="15">
        <v>89.9</v>
      </c>
      <c r="AE362" s="15"/>
      <c r="AF362" s="15">
        <v>1115.3400000000001</v>
      </c>
      <c r="AG362" s="15">
        <v>198.68</v>
      </c>
      <c r="AH362" s="15"/>
      <c r="AI362" s="15"/>
      <c r="AJ362" s="15">
        <v>1403.9200000000003</v>
      </c>
      <c r="AK362" s="15">
        <v>1.4039200000000003</v>
      </c>
      <c r="AL362" s="182"/>
      <c r="AM362" s="142" t="s">
        <v>20</v>
      </c>
      <c r="AN362" s="135" t="s">
        <v>544</v>
      </c>
      <c r="AO362" s="135" t="s">
        <v>21</v>
      </c>
      <c r="AP362" s="372">
        <f>AQ362-1</f>
        <v>45797</v>
      </c>
      <c r="AQ362" s="372">
        <f t="shared" ref="AQ362:AR362" si="94">AR362-2</f>
        <v>45798</v>
      </c>
      <c r="AR362" s="372">
        <f t="shared" si="94"/>
        <v>45800</v>
      </c>
      <c r="AS362" s="372">
        <v>45802</v>
      </c>
      <c r="AT362" s="187" t="s">
        <v>595</v>
      </c>
      <c r="AU362" s="188"/>
      <c r="AV362" s="142" t="s">
        <v>20</v>
      </c>
      <c r="AW362" s="15" t="s">
        <v>6</v>
      </c>
      <c r="AX362" s="297">
        <f>AY362</f>
        <v>45813</v>
      </c>
      <c r="AY362" s="297">
        <v>45813</v>
      </c>
      <c r="AZ362" s="24" t="str">
        <f>AT362</f>
        <v xml:space="preserve">Shree Bayo </v>
      </c>
      <c r="BA362" s="183"/>
      <c r="BB362" s="142" t="s">
        <v>20</v>
      </c>
      <c r="BC362" s="135" t="s">
        <v>544</v>
      </c>
      <c r="BD362" s="135" t="s">
        <v>21</v>
      </c>
      <c r="BE362" s="298">
        <f>BF362-2</f>
        <v>45823</v>
      </c>
      <c r="BF362" s="298">
        <v>45825</v>
      </c>
      <c r="BG362" s="17" t="s">
        <v>510</v>
      </c>
      <c r="BH362" s="182"/>
      <c r="BI362" s="142" t="s">
        <v>20</v>
      </c>
      <c r="BJ362" s="135"/>
      <c r="BK362" s="135"/>
      <c r="BL362" s="25">
        <v>1202</v>
      </c>
      <c r="BM362" s="24"/>
      <c r="BN362" s="197" t="s">
        <v>557</v>
      </c>
    </row>
    <row r="363" spans="1:66" ht="14.25" hidden="1" customHeight="1">
      <c r="A363" s="15" t="s">
        <v>0</v>
      </c>
      <c r="B363" s="19"/>
      <c r="C363" s="184"/>
      <c r="D363" s="134"/>
      <c r="E363" s="134"/>
      <c r="F363" s="134"/>
      <c r="G363" s="134"/>
      <c r="H363" s="185"/>
      <c r="I363" s="19"/>
      <c r="J363" s="19"/>
      <c r="K363" s="186"/>
      <c r="L363" s="178"/>
      <c r="M363" s="15"/>
      <c r="N363" s="15"/>
      <c r="O363" s="15"/>
      <c r="P363" s="180"/>
      <c r="Q363" s="178"/>
      <c r="R363" s="15"/>
      <c r="S363" s="180"/>
      <c r="T363" s="181"/>
      <c r="U363" s="181"/>
      <c r="V363" s="16">
        <v>42.265999999999998</v>
      </c>
      <c r="W363" s="15"/>
      <c r="X363" s="15"/>
      <c r="Y363" s="15"/>
      <c r="Z363" s="15"/>
      <c r="AA363" s="15"/>
      <c r="AB363" s="23">
        <f t="shared" si="9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82"/>
      <c r="AM363" s="15"/>
      <c r="AN363" s="24"/>
      <c r="AO363" s="24"/>
      <c r="AP363" s="24"/>
      <c r="AQ363" s="24"/>
      <c r="AR363" s="24"/>
      <c r="AS363" s="24"/>
      <c r="AT363" s="24"/>
      <c r="AU363" s="183"/>
      <c r="AV363" s="15"/>
      <c r="AW363" s="24"/>
      <c r="AX363" s="297"/>
      <c r="AY363" s="297"/>
      <c r="AZ363" s="24"/>
      <c r="BA363" s="183"/>
      <c r="BB363" s="15"/>
      <c r="BC363" s="24"/>
      <c r="BD363" s="24"/>
      <c r="BE363" s="24"/>
      <c r="BF363" s="24"/>
      <c r="BG363" s="24"/>
      <c r="BH363" s="183"/>
      <c r="BI363" s="24"/>
      <c r="BJ363" s="24"/>
      <c r="BK363" s="24"/>
      <c r="BL363" s="24"/>
      <c r="BM363" s="24"/>
      <c r="BN363" s="24"/>
    </row>
    <row r="364" spans="1:66" ht="14.25" customHeight="1">
      <c r="A364" s="15">
        <v>178</v>
      </c>
      <c r="B364" s="210" t="s">
        <v>267</v>
      </c>
      <c r="C364" s="184" t="s">
        <v>268</v>
      </c>
      <c r="D364" s="134"/>
      <c r="E364" s="134">
        <f>D364*4</f>
        <v>0</v>
      </c>
      <c r="F364" s="134">
        <f>4.5*4*3</f>
        <v>54</v>
      </c>
      <c r="G364" s="134"/>
      <c r="H364" s="185"/>
      <c r="I364" s="19"/>
      <c r="J364" s="19"/>
      <c r="K364" s="186"/>
      <c r="L364" s="178">
        <v>3.8340000000000001</v>
      </c>
      <c r="M364" s="15">
        <v>1.954</v>
      </c>
      <c r="N364" s="15">
        <v>1.9E-2</v>
      </c>
      <c r="O364" s="15">
        <v>0.39300000000000002</v>
      </c>
      <c r="P364" s="180">
        <v>6.2</v>
      </c>
      <c r="Q364" s="178">
        <v>0.68300000000000005</v>
      </c>
      <c r="R364" s="15">
        <v>1.4999999999999999E-2</v>
      </c>
      <c r="S364" s="180">
        <f>Q364+R364</f>
        <v>0.69800000000000006</v>
      </c>
      <c r="T364" s="181" t="s">
        <v>31</v>
      </c>
      <c r="U364" s="204" t="s">
        <v>575</v>
      </c>
      <c r="V364" s="15"/>
      <c r="W364" s="15" t="s">
        <v>541</v>
      </c>
      <c r="X364" s="15">
        <v>351</v>
      </c>
      <c r="Y364" s="15">
        <v>4.5</v>
      </c>
      <c r="Z364" s="15">
        <v>43.8</v>
      </c>
      <c r="AA364" s="15">
        <f>Y364+Z364</f>
        <v>48.3</v>
      </c>
      <c r="AB364" s="23">
        <f t="shared" si="91"/>
        <v>373.00800000000004</v>
      </c>
      <c r="AC364" s="15"/>
      <c r="AD364" s="15">
        <v>211.2</v>
      </c>
      <c r="AE364" s="15"/>
      <c r="AF364" s="15">
        <v>2410.4</v>
      </c>
      <c r="AG364" s="15"/>
      <c r="AH364" s="15"/>
      <c r="AI364" s="15">
        <v>1552.2</v>
      </c>
      <c r="AJ364" s="15">
        <f>SUM(AD364:AI364)</f>
        <v>4173.8</v>
      </c>
      <c r="AK364" s="15">
        <f>AJ364/1000</f>
        <v>4.1738</v>
      </c>
      <c r="AL364" s="182"/>
      <c r="AM364" s="142" t="s">
        <v>20</v>
      </c>
      <c r="AN364" s="135"/>
      <c r="AO364" s="135"/>
      <c r="AP364" s="372">
        <f>AR364-15</f>
        <v>45783</v>
      </c>
      <c r="AQ364" s="372">
        <f>AR364-9</f>
        <v>45789</v>
      </c>
      <c r="AR364" s="372">
        <f>AS364-3</f>
        <v>45798</v>
      </c>
      <c r="AS364" s="372">
        <v>45801</v>
      </c>
      <c r="AT364" s="19" t="s">
        <v>543</v>
      </c>
      <c r="AU364" s="199"/>
      <c r="AV364" s="142" t="s">
        <v>20</v>
      </c>
      <c r="AW364" s="15"/>
      <c r="AX364" s="297"/>
      <c r="AY364" s="297"/>
      <c r="AZ364" s="19"/>
      <c r="BA364" s="199"/>
      <c r="BB364" s="142" t="s">
        <v>20</v>
      </c>
      <c r="BC364" s="135"/>
      <c r="BD364" s="135"/>
      <c r="BE364" s="298">
        <v>45948</v>
      </c>
      <c r="BF364" s="298">
        <v>45952</v>
      </c>
      <c r="BG364" s="17" t="s">
        <v>510</v>
      </c>
      <c r="BH364" s="182"/>
      <c r="BI364" s="15"/>
      <c r="BJ364" s="135"/>
      <c r="BK364" s="135"/>
      <c r="BL364" s="138"/>
      <c r="BM364" s="24"/>
      <c r="BN364" s="135"/>
    </row>
    <row r="365" spans="1:66" ht="14.25" hidden="1" customHeight="1">
      <c r="A365" s="15" t="s">
        <v>0</v>
      </c>
      <c r="B365" s="19"/>
      <c r="C365" s="184"/>
      <c r="D365" s="134"/>
      <c r="E365" s="134"/>
      <c r="F365" s="134"/>
      <c r="G365" s="134"/>
      <c r="H365" s="185"/>
      <c r="I365" s="19"/>
      <c r="J365" s="19"/>
      <c r="K365" s="186"/>
      <c r="L365" s="178"/>
      <c r="M365" s="15"/>
      <c r="N365" s="15"/>
      <c r="O365" s="15"/>
      <c r="P365" s="180"/>
      <c r="Q365" s="178"/>
      <c r="R365" s="15"/>
      <c r="S365" s="180"/>
      <c r="T365" s="181"/>
      <c r="U365" s="181"/>
      <c r="V365" s="16">
        <v>54.573</v>
      </c>
      <c r="W365" s="15"/>
      <c r="X365" s="15"/>
      <c r="Y365" s="15"/>
      <c r="Z365" s="15"/>
      <c r="AA365" s="15"/>
      <c r="AB365" s="23">
        <f t="shared" si="9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82"/>
      <c r="AM365" s="15"/>
      <c r="AN365" s="24"/>
      <c r="AO365" s="24"/>
      <c r="AP365" s="24"/>
      <c r="AQ365" s="24"/>
      <c r="AR365" s="24"/>
      <c r="AS365" s="24"/>
      <c r="AT365" s="24"/>
      <c r="AU365" s="183"/>
      <c r="AV365" s="15"/>
      <c r="AW365" s="24"/>
      <c r="AX365" s="297"/>
      <c r="AY365" s="297"/>
      <c r="AZ365" s="24"/>
      <c r="BA365" s="183"/>
      <c r="BB365" s="15"/>
      <c r="BC365" s="24"/>
      <c r="BD365" s="24"/>
      <c r="BE365" s="24"/>
      <c r="BF365" s="24"/>
      <c r="BG365" s="24"/>
      <c r="BH365" s="183"/>
      <c r="BI365" s="24"/>
      <c r="BJ365" s="24"/>
      <c r="BK365" s="24"/>
      <c r="BL365" s="24"/>
      <c r="BM365" s="24"/>
      <c r="BN365" s="24"/>
    </row>
    <row r="366" spans="1:66" ht="14.25" customHeight="1">
      <c r="A366" s="15">
        <v>179</v>
      </c>
      <c r="B366" s="19" t="s">
        <v>269</v>
      </c>
      <c r="C366" s="184" t="s">
        <v>268</v>
      </c>
      <c r="D366" s="134"/>
      <c r="E366" s="134">
        <f>D366*4</f>
        <v>0</v>
      </c>
      <c r="F366" s="134">
        <f>4.5*4*3</f>
        <v>54</v>
      </c>
      <c r="G366" s="134"/>
      <c r="H366" s="185"/>
      <c r="I366" s="19"/>
      <c r="J366" s="19"/>
      <c r="K366" s="186"/>
      <c r="L366" s="178">
        <v>3.8340000000000001</v>
      </c>
      <c r="M366" s="15">
        <v>1.954</v>
      </c>
      <c r="N366" s="15">
        <v>1.9E-2</v>
      </c>
      <c r="O366" s="15">
        <v>0.39300000000000002</v>
      </c>
      <c r="P366" s="180">
        <v>6.2</v>
      </c>
      <c r="Q366" s="178">
        <v>0.68300000000000005</v>
      </c>
      <c r="R366" s="15">
        <v>1.4999999999999999E-2</v>
      </c>
      <c r="S366" s="180">
        <f>Q366+R366</f>
        <v>0.69800000000000006</v>
      </c>
      <c r="T366" s="181" t="s">
        <v>31</v>
      </c>
      <c r="U366" s="204" t="s">
        <v>575</v>
      </c>
      <c r="V366" s="15"/>
      <c r="W366" s="15" t="s">
        <v>541</v>
      </c>
      <c r="X366" s="15">
        <v>351</v>
      </c>
      <c r="Y366" s="15">
        <v>4.5</v>
      </c>
      <c r="Z366" s="15">
        <v>43.8</v>
      </c>
      <c r="AA366" s="15">
        <f>Y366+Z366</f>
        <v>48.3</v>
      </c>
      <c r="AB366" s="23">
        <f t="shared" si="9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82"/>
      <c r="AM366" s="142" t="s">
        <v>20</v>
      </c>
      <c r="AN366" s="135"/>
      <c r="AO366" s="135"/>
      <c r="AP366" s="372">
        <f t="shared" ref="AP366:AQ366" si="95">AQ366-5</f>
        <v>45824</v>
      </c>
      <c r="AQ366" s="372">
        <f t="shared" si="95"/>
        <v>45829</v>
      </c>
      <c r="AR366" s="372">
        <f>AS366-3</f>
        <v>45834</v>
      </c>
      <c r="AS366" s="372">
        <v>45837</v>
      </c>
      <c r="AT366" s="19" t="s">
        <v>543</v>
      </c>
      <c r="AU366" s="199"/>
      <c r="AV366" s="142" t="s">
        <v>20</v>
      </c>
      <c r="AW366" s="15"/>
      <c r="AX366" s="297">
        <f>AS366+10</f>
        <v>45847</v>
      </c>
      <c r="AY366" s="297">
        <f>AX366</f>
        <v>45847</v>
      </c>
      <c r="AZ366" s="19" t="s">
        <v>543</v>
      </c>
      <c r="BA366" s="199"/>
      <c r="BB366" s="142" t="s">
        <v>20</v>
      </c>
      <c r="BC366" s="135"/>
      <c r="BD366" s="135"/>
      <c r="BE366" s="298">
        <f>BF366-3</f>
        <v>45883</v>
      </c>
      <c r="BF366" s="298">
        <v>45886</v>
      </c>
      <c r="BG366" s="15" t="s">
        <v>553</v>
      </c>
      <c r="BH366" s="182"/>
      <c r="BI366" s="142" t="s">
        <v>20</v>
      </c>
      <c r="BJ366" s="135"/>
      <c r="BK366" s="135"/>
      <c r="BL366" s="138"/>
      <c r="BM366" s="24"/>
      <c r="BN366" s="15"/>
    </row>
    <row r="367" spans="1:66" ht="14.25" hidden="1" customHeight="1">
      <c r="A367" s="15" t="s">
        <v>0</v>
      </c>
      <c r="B367" s="19"/>
      <c r="C367" s="184"/>
      <c r="D367" s="134"/>
      <c r="E367" s="134"/>
      <c r="F367" s="134"/>
      <c r="G367" s="134"/>
      <c r="H367" s="185"/>
      <c r="I367" s="19"/>
      <c r="J367" s="19"/>
      <c r="K367" s="186"/>
      <c r="L367" s="178"/>
      <c r="M367" s="15"/>
      <c r="N367" s="15"/>
      <c r="O367" s="15"/>
      <c r="P367" s="180"/>
      <c r="Q367" s="178"/>
      <c r="R367" s="15"/>
      <c r="S367" s="180"/>
      <c r="T367" s="181"/>
      <c r="U367" s="181"/>
      <c r="V367" s="16">
        <v>41.886000000000003</v>
      </c>
      <c r="W367" s="15"/>
      <c r="X367" s="15"/>
      <c r="Y367" s="15"/>
      <c r="Z367" s="15"/>
      <c r="AA367" s="15"/>
      <c r="AB367" s="23">
        <f t="shared" si="9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82"/>
      <c r="AM367" s="15"/>
      <c r="AN367" s="24"/>
      <c r="AO367" s="24"/>
      <c r="AP367" s="24"/>
      <c r="AQ367" s="24"/>
      <c r="AR367" s="24"/>
      <c r="AS367" s="24"/>
      <c r="AT367" s="24"/>
      <c r="AU367" s="183"/>
      <c r="AV367" s="15"/>
      <c r="AW367" s="24"/>
      <c r="AX367" s="297"/>
      <c r="AY367" s="297"/>
      <c r="AZ367" s="24"/>
      <c r="BA367" s="183"/>
      <c r="BB367" s="15"/>
      <c r="BC367" s="24"/>
      <c r="BD367" s="24"/>
      <c r="BE367" s="24"/>
      <c r="BF367" s="24"/>
      <c r="BG367" s="24"/>
      <c r="BH367" s="183"/>
      <c r="BI367" s="24"/>
      <c r="BJ367" s="24"/>
      <c r="BK367" s="24"/>
      <c r="BL367" s="24"/>
      <c r="BM367" s="24"/>
      <c r="BN367" s="24"/>
    </row>
    <row r="368" spans="1:66" ht="14.25" customHeight="1">
      <c r="A368" s="15">
        <v>180</v>
      </c>
      <c r="B368" s="19" t="s">
        <v>271</v>
      </c>
      <c r="C368" s="184" t="s">
        <v>51</v>
      </c>
      <c r="D368" s="134">
        <v>10.82</v>
      </c>
      <c r="E368" s="134">
        <f>D368*4</f>
        <v>43.28</v>
      </c>
      <c r="F368" s="134">
        <f>E368*8</f>
        <v>346.24</v>
      </c>
      <c r="G368" s="134"/>
      <c r="H368" s="185"/>
      <c r="I368" s="19"/>
      <c r="J368" s="19"/>
      <c r="K368" s="186"/>
      <c r="L368" s="178">
        <v>5.4920000000000009</v>
      </c>
      <c r="M368" s="15">
        <v>5.0969999999999995</v>
      </c>
      <c r="N368" s="15">
        <v>7.4000000000000003E-3</v>
      </c>
      <c r="O368" s="15">
        <v>0.502</v>
      </c>
      <c r="P368" s="180">
        <v>11.098400000000002</v>
      </c>
      <c r="Q368" s="178">
        <v>0.55700000000000005</v>
      </c>
      <c r="R368" s="15">
        <v>0.01</v>
      </c>
      <c r="S368" s="180">
        <f>SUM(Q368:R368)</f>
        <v>0.56700000000000006</v>
      </c>
      <c r="T368" s="181" t="s">
        <v>31</v>
      </c>
      <c r="U368" s="204" t="s">
        <v>575</v>
      </c>
      <c r="V368" s="15"/>
      <c r="W368" s="15" t="s">
        <v>504</v>
      </c>
      <c r="X368" s="15">
        <v>119.36</v>
      </c>
      <c r="Y368" s="15">
        <v>2.0499999999999998</v>
      </c>
      <c r="Z368" s="15">
        <v>18.37</v>
      </c>
      <c r="AA368" s="15">
        <v>20.420000000000002</v>
      </c>
      <c r="AB368" s="23">
        <f t="shared" si="91"/>
        <v>157.16420000000002</v>
      </c>
      <c r="AC368" s="15">
        <v>7858.2100000000009</v>
      </c>
      <c r="AD368" s="15">
        <v>89.9</v>
      </c>
      <c r="AE368" s="15"/>
      <c r="AF368" s="15">
        <v>1115.3400000000001</v>
      </c>
      <c r="AG368" s="15">
        <v>198.68</v>
      </c>
      <c r="AH368" s="15"/>
      <c r="AI368" s="15"/>
      <c r="AJ368" s="15">
        <v>1403.9200000000003</v>
      </c>
      <c r="AK368" s="15">
        <v>1.4039200000000003</v>
      </c>
      <c r="AL368" s="182"/>
      <c r="AM368" s="142" t="s">
        <v>20</v>
      </c>
      <c r="AN368" s="135" t="s">
        <v>21</v>
      </c>
      <c r="AO368" s="135" t="s">
        <v>21</v>
      </c>
      <c r="AP368" s="372">
        <f>AQ368-3</f>
        <v>45784</v>
      </c>
      <c r="AQ368" s="372">
        <f t="shared" ref="AQ368:AR368" si="96">AR368-2</f>
        <v>45787</v>
      </c>
      <c r="AR368" s="372">
        <f t="shared" si="96"/>
        <v>45789</v>
      </c>
      <c r="AS368" s="372">
        <v>45791</v>
      </c>
      <c r="AT368" s="19" t="s">
        <v>543</v>
      </c>
      <c r="AU368" s="199"/>
      <c r="AV368" s="142" t="s">
        <v>20</v>
      </c>
      <c r="AW368" s="15" t="s">
        <v>6</v>
      </c>
      <c r="AX368" s="297">
        <f>AY368</f>
        <v>45798</v>
      </c>
      <c r="AY368" s="297">
        <f>AS368+7</f>
        <v>45798</v>
      </c>
      <c r="AZ368" s="24" t="str">
        <f>AT368</f>
        <v>Ram Singh-1</v>
      </c>
      <c r="BA368" s="183"/>
      <c r="BB368" s="142" t="s">
        <v>20</v>
      </c>
      <c r="BC368" s="135" t="s">
        <v>544</v>
      </c>
      <c r="BD368" s="135" t="s">
        <v>565</v>
      </c>
      <c r="BE368" s="298">
        <f>BF368-2</f>
        <v>45821</v>
      </c>
      <c r="BF368" s="298">
        <v>45823</v>
      </c>
      <c r="BG368" s="17" t="s">
        <v>510</v>
      </c>
      <c r="BH368" s="182"/>
      <c r="BI368" s="142" t="s">
        <v>20</v>
      </c>
      <c r="BJ368" s="135"/>
      <c r="BK368" s="135"/>
      <c r="BL368" s="25">
        <v>1552</v>
      </c>
      <c r="BM368" s="24"/>
      <c r="BN368" s="196" t="s">
        <v>557</v>
      </c>
    </row>
    <row r="369" spans="1:65" ht="14.25" hidden="1" customHeight="1">
      <c r="A369" s="15" t="s">
        <v>0</v>
      </c>
      <c r="B369" s="19"/>
      <c r="C369" s="184"/>
      <c r="D369" s="134"/>
      <c r="E369" s="134"/>
      <c r="F369" s="134"/>
      <c r="G369" s="134"/>
      <c r="H369" s="185"/>
      <c r="I369" s="19"/>
      <c r="J369" s="19"/>
      <c r="K369" s="186"/>
      <c r="L369" s="178"/>
      <c r="M369" s="15"/>
      <c r="N369" s="15"/>
      <c r="O369" s="15"/>
      <c r="P369" s="180"/>
      <c r="Q369" s="178"/>
      <c r="R369" s="15"/>
      <c r="S369" s="180"/>
      <c r="T369" s="181"/>
      <c r="U369" s="181"/>
      <c r="V369" s="16">
        <v>353.28399999999999</v>
      </c>
      <c r="W369" s="15"/>
      <c r="X369" s="15"/>
      <c r="Y369" s="15"/>
      <c r="Z369" s="15"/>
      <c r="AA369" s="15"/>
      <c r="AB369" s="23">
        <f t="shared" si="9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82"/>
      <c r="AM369" s="15"/>
      <c r="AN369" s="24"/>
      <c r="AO369" s="24"/>
      <c r="AP369" s="24"/>
      <c r="AQ369" s="24"/>
      <c r="AR369" s="24"/>
      <c r="AS369" s="24"/>
      <c r="AT369" s="24"/>
      <c r="AU369" s="183"/>
      <c r="AV369" s="15"/>
      <c r="AW369" s="24"/>
      <c r="AX369" s="297"/>
      <c r="AY369" s="297"/>
      <c r="AZ369" s="24"/>
      <c r="BA369" s="183"/>
      <c r="BB369" s="15"/>
      <c r="BC369" s="24"/>
      <c r="BD369" s="24"/>
      <c r="BE369" s="24"/>
      <c r="BF369" s="24"/>
      <c r="BG369" s="24"/>
      <c r="BH369" s="183"/>
      <c r="BI369" s="24"/>
      <c r="BJ369" s="24"/>
      <c r="BK369" s="24"/>
      <c r="BL369" s="24"/>
      <c r="BM369" s="24"/>
    </row>
    <row r="370" spans="1:65" ht="14.25" customHeight="1">
      <c r="A370" s="15">
        <v>181</v>
      </c>
      <c r="B370" s="19" t="s">
        <v>273</v>
      </c>
      <c r="C370" s="184" t="s">
        <v>65</v>
      </c>
      <c r="D370" s="134">
        <v>10.462</v>
      </c>
      <c r="E370" s="134">
        <f>D370*4</f>
        <v>41.847999999999999</v>
      </c>
      <c r="F370" s="134">
        <f>E370*8</f>
        <v>334.78399999999999</v>
      </c>
      <c r="G370" s="134"/>
      <c r="H370" s="185"/>
      <c r="I370" s="19"/>
      <c r="J370" s="19"/>
      <c r="K370" s="186"/>
      <c r="L370" s="178">
        <v>5.2010000000000005</v>
      </c>
      <c r="M370" s="15">
        <v>4.1459999999999999</v>
      </c>
      <c r="N370" s="15">
        <v>6.7000000000000002E-3</v>
      </c>
      <c r="O370" s="15">
        <v>0.503</v>
      </c>
      <c r="P370" s="180">
        <v>9.8567000000000018</v>
      </c>
      <c r="Q370" s="178">
        <v>0.436</v>
      </c>
      <c r="R370" s="15">
        <v>0.01</v>
      </c>
      <c r="S370" s="180">
        <f>SUM(Q370:R370)</f>
        <v>0.44600000000000001</v>
      </c>
      <c r="T370" s="181" t="s">
        <v>31</v>
      </c>
      <c r="U370" s="204" t="s">
        <v>575</v>
      </c>
      <c r="V370" s="15"/>
      <c r="W370" s="15" t="s">
        <v>504</v>
      </c>
      <c r="X370" s="15">
        <v>75.36</v>
      </c>
      <c r="Y370" s="15">
        <v>1.35</v>
      </c>
      <c r="Z370" s="15">
        <v>12.85</v>
      </c>
      <c r="AA370" s="15">
        <v>14.2</v>
      </c>
      <c r="AB370" s="23">
        <f t="shared" si="91"/>
        <v>109.565</v>
      </c>
      <c r="AC370" s="15">
        <v>5478.25</v>
      </c>
      <c r="AD370" s="15">
        <v>81.819999999999993</v>
      </c>
      <c r="AE370" s="15">
        <v>599.6</v>
      </c>
      <c r="AF370" s="15"/>
      <c r="AG370" s="15">
        <v>201.4</v>
      </c>
      <c r="AH370" s="15"/>
      <c r="AI370" s="15"/>
      <c r="AJ370" s="15">
        <v>882.82</v>
      </c>
      <c r="AK370" s="15">
        <v>0.88282000000000005</v>
      </c>
      <c r="AL370" s="182"/>
      <c r="AM370" s="142" t="s">
        <v>20</v>
      </c>
      <c r="AN370" s="135" t="s">
        <v>544</v>
      </c>
      <c r="AO370" s="135" t="s">
        <v>21</v>
      </c>
      <c r="AP370" s="372">
        <f>AQ370-3</f>
        <v>45780</v>
      </c>
      <c r="AQ370" s="372">
        <f t="shared" ref="AQ370:AR370" si="97">AR370-2</f>
        <v>45783</v>
      </c>
      <c r="AR370" s="372">
        <f t="shared" si="97"/>
        <v>45785</v>
      </c>
      <c r="AS370" s="372">
        <v>45787</v>
      </c>
      <c r="AT370" s="19" t="s">
        <v>543</v>
      </c>
      <c r="AU370" s="199"/>
      <c r="AV370" s="142" t="s">
        <v>20</v>
      </c>
      <c r="AW370" s="15"/>
      <c r="AX370" s="297">
        <f>AS370+10</f>
        <v>45797</v>
      </c>
      <c r="AY370" s="297">
        <f>AX370</f>
        <v>45797</v>
      </c>
      <c r="AZ370" s="19" t="s">
        <v>543</v>
      </c>
      <c r="BA370" s="199"/>
      <c r="BB370" s="142" t="s">
        <v>20</v>
      </c>
      <c r="BC370" s="135"/>
      <c r="BD370" s="135" t="s">
        <v>565</v>
      </c>
      <c r="BE370" s="298">
        <f>BF370-3</f>
        <v>45880</v>
      </c>
      <c r="BF370" s="298">
        <v>45883</v>
      </c>
      <c r="BG370" s="15" t="s">
        <v>553</v>
      </c>
      <c r="BH370" s="182"/>
      <c r="BI370" s="142" t="s">
        <v>20</v>
      </c>
      <c r="BJ370" s="135"/>
      <c r="BK370" s="135"/>
      <c r="BL370" s="25">
        <v>1657</v>
      </c>
      <c r="BM370" s="24" t="s">
        <v>593</v>
      </c>
    </row>
    <row r="371" spans="1:65" ht="14.25" hidden="1" customHeight="1">
      <c r="A371" s="15" t="s">
        <v>0</v>
      </c>
      <c r="B371" s="19"/>
      <c r="C371" s="184"/>
      <c r="D371" s="134"/>
      <c r="E371" s="134"/>
      <c r="F371" s="134"/>
      <c r="G371" s="134"/>
      <c r="H371" s="185"/>
      <c r="I371" s="19"/>
      <c r="J371" s="19"/>
      <c r="K371" s="186"/>
      <c r="L371" s="178"/>
      <c r="M371" s="15"/>
      <c r="N371" s="15"/>
      <c r="O371" s="15"/>
      <c r="P371" s="180"/>
      <c r="Q371" s="178"/>
      <c r="R371" s="15"/>
      <c r="S371" s="180"/>
      <c r="T371" s="181"/>
      <c r="U371" s="181"/>
      <c r="V371" s="16">
        <v>393</v>
      </c>
      <c r="W371" s="15"/>
      <c r="X371" s="15"/>
      <c r="Y371" s="15"/>
      <c r="Z371" s="15"/>
      <c r="AA371" s="15"/>
      <c r="AB371" s="23">
        <f t="shared" si="9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82"/>
      <c r="AM371" s="15"/>
      <c r="AN371" s="24"/>
      <c r="AO371" s="24"/>
      <c r="AP371" s="24"/>
      <c r="AQ371" s="24"/>
      <c r="AR371" s="24"/>
      <c r="AS371" s="24"/>
      <c r="AT371" s="24"/>
      <c r="AU371" s="183"/>
      <c r="AV371" s="15"/>
      <c r="AW371" s="24"/>
      <c r="AX371" s="297"/>
      <c r="AY371" s="297"/>
      <c r="AZ371" s="24"/>
      <c r="BA371" s="183"/>
      <c r="BB371" s="15"/>
      <c r="BC371" s="24"/>
      <c r="BD371" s="24"/>
      <c r="BE371" s="24"/>
      <c r="BF371" s="24"/>
      <c r="BG371" s="24"/>
      <c r="BH371" s="183"/>
      <c r="BI371" s="24"/>
      <c r="BJ371" s="24"/>
      <c r="BK371" s="24"/>
      <c r="BL371" s="24"/>
      <c r="BM371" s="24"/>
    </row>
    <row r="372" spans="1:65" ht="14.25" customHeight="1">
      <c r="A372" s="31">
        <v>182</v>
      </c>
      <c r="B372" s="19" t="s">
        <v>274</v>
      </c>
      <c r="C372" s="184" t="s">
        <v>42</v>
      </c>
      <c r="D372" s="134">
        <v>6.3620000000000001</v>
      </c>
      <c r="E372" s="134">
        <f>D372*4</f>
        <v>25.448</v>
      </c>
      <c r="F372" s="134">
        <f>E372*8</f>
        <v>203.584</v>
      </c>
      <c r="G372" s="134"/>
      <c r="H372" s="185"/>
      <c r="I372" s="19"/>
      <c r="J372" s="19"/>
      <c r="K372" s="186"/>
      <c r="L372" s="178">
        <v>2.25</v>
      </c>
      <c r="M372" s="15">
        <v>2.1880000000000002</v>
      </c>
      <c r="N372" s="15">
        <v>2E-3</v>
      </c>
      <c r="O372" s="15">
        <v>0.183</v>
      </c>
      <c r="P372" s="180">
        <v>4.6230000000000002</v>
      </c>
      <c r="Q372" s="178">
        <v>0.24399999999999999</v>
      </c>
      <c r="R372" s="15">
        <v>5.0000000000000001E-3</v>
      </c>
      <c r="S372" s="180">
        <f>SUM(Q372:R372)</f>
        <v>0.249</v>
      </c>
      <c r="T372" s="181" t="s">
        <v>31</v>
      </c>
      <c r="U372" s="204" t="s">
        <v>575</v>
      </c>
      <c r="V372" s="15"/>
      <c r="W372" s="15" t="s">
        <v>504</v>
      </c>
      <c r="X372" s="15">
        <v>41.44</v>
      </c>
      <c r="Y372" s="15">
        <v>0.8</v>
      </c>
      <c r="Z372" s="15">
        <v>7.8</v>
      </c>
      <c r="AA372" s="15">
        <v>8.6</v>
      </c>
      <c r="AB372" s="23">
        <f t="shared" si="91"/>
        <v>66.42</v>
      </c>
      <c r="AC372" s="15">
        <v>3321</v>
      </c>
      <c r="AD372" s="15">
        <v>73.73</v>
      </c>
      <c r="AE372" s="15">
        <v>301.5</v>
      </c>
      <c r="AF372" s="15"/>
      <c r="AG372" s="15">
        <v>206.46</v>
      </c>
      <c r="AH372" s="15"/>
      <c r="AI372" s="15"/>
      <c r="AJ372" s="15">
        <v>581.69000000000005</v>
      </c>
      <c r="AK372" s="15">
        <v>0.58169000000000004</v>
      </c>
      <c r="AL372" s="182"/>
      <c r="AM372" s="142" t="s">
        <v>20</v>
      </c>
      <c r="AN372" s="135" t="s">
        <v>552</v>
      </c>
      <c r="AO372" s="135" t="s">
        <v>21</v>
      </c>
      <c r="AP372" s="372">
        <f t="shared" ref="AP372:AR372" si="98">AQ372-2</f>
        <v>45646</v>
      </c>
      <c r="AQ372" s="372">
        <f t="shared" si="98"/>
        <v>45648</v>
      </c>
      <c r="AR372" s="372">
        <f t="shared" si="98"/>
        <v>45650</v>
      </c>
      <c r="AS372" s="372">
        <v>45652</v>
      </c>
      <c r="AT372" s="19" t="s">
        <v>543</v>
      </c>
      <c r="AU372" s="199"/>
      <c r="AV372" s="142" t="s">
        <v>20</v>
      </c>
      <c r="AW372" s="15" t="s">
        <v>6</v>
      </c>
      <c r="AX372" s="297">
        <v>45677</v>
      </c>
      <c r="AY372" s="297">
        <v>45677</v>
      </c>
      <c r="AZ372" s="187" t="s">
        <v>543</v>
      </c>
      <c r="BA372" s="188"/>
      <c r="BB372" s="142" t="s">
        <v>20</v>
      </c>
      <c r="BC372" s="135" t="s">
        <v>544</v>
      </c>
      <c r="BD372" s="135" t="s">
        <v>21</v>
      </c>
      <c r="BE372" s="298">
        <f>BF372-1</f>
        <v>45706</v>
      </c>
      <c r="BF372" s="298">
        <v>45707</v>
      </c>
      <c r="BG372" s="15" t="s">
        <v>581</v>
      </c>
      <c r="BH372" s="182"/>
      <c r="BI372" s="142" t="s">
        <v>20</v>
      </c>
      <c r="BJ372" s="135">
        <v>45810</v>
      </c>
      <c r="BK372" s="135">
        <v>45810</v>
      </c>
      <c r="BL372" s="25">
        <v>980</v>
      </c>
      <c r="BM372" s="24" t="s">
        <v>593</v>
      </c>
    </row>
    <row r="373" spans="1:65" ht="14.25" hidden="1" customHeight="1">
      <c r="A373" s="15" t="s">
        <v>0</v>
      </c>
      <c r="B373" s="19"/>
      <c r="C373" s="184"/>
      <c r="D373" s="134"/>
      <c r="E373" s="134"/>
      <c r="F373" s="134"/>
      <c r="G373" s="134"/>
      <c r="H373" s="185"/>
      <c r="I373" s="19"/>
      <c r="J373" s="19"/>
      <c r="K373" s="186"/>
      <c r="L373" s="178"/>
      <c r="M373" s="15"/>
      <c r="N373" s="15"/>
      <c r="O373" s="15"/>
      <c r="P373" s="180"/>
      <c r="Q373" s="178"/>
      <c r="R373" s="15"/>
      <c r="S373" s="180"/>
      <c r="T373" s="181"/>
      <c r="U373" s="181"/>
      <c r="V373" s="16">
        <v>359</v>
      </c>
      <c r="W373" s="15"/>
      <c r="X373" s="15"/>
      <c r="Y373" s="15"/>
      <c r="Z373" s="15"/>
      <c r="AA373" s="15"/>
      <c r="AB373" s="23">
        <f t="shared" si="9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82"/>
      <c r="AM373" s="15"/>
      <c r="AN373" s="24"/>
      <c r="AO373" s="24"/>
      <c r="AP373" s="24"/>
      <c r="AQ373" s="24"/>
      <c r="AR373" s="24"/>
      <c r="AS373" s="24"/>
      <c r="AT373" s="24"/>
      <c r="AU373" s="183"/>
      <c r="AV373" s="15"/>
      <c r="AW373" s="24"/>
      <c r="AX373" s="297"/>
      <c r="AY373" s="297"/>
      <c r="AZ373" s="24"/>
      <c r="BA373" s="183"/>
      <c r="BB373" s="24"/>
      <c r="BC373" s="24"/>
      <c r="BD373" s="24"/>
      <c r="BE373" s="24"/>
      <c r="BF373" s="24"/>
      <c r="BG373" s="24"/>
      <c r="BH373" s="183"/>
      <c r="BI373" s="24"/>
      <c r="BJ373" s="24"/>
      <c r="BK373" s="24"/>
      <c r="BL373" s="24"/>
      <c r="BM373" s="24"/>
    </row>
    <row r="374" spans="1:65" ht="14.25" customHeight="1">
      <c r="A374" s="15">
        <v>183</v>
      </c>
      <c r="B374" s="19" t="s">
        <v>275</v>
      </c>
      <c r="C374" s="184" t="s">
        <v>56</v>
      </c>
      <c r="D374" s="134">
        <v>7.6219999999999999</v>
      </c>
      <c r="E374" s="134">
        <f>D374*4</f>
        <v>30.488</v>
      </c>
      <c r="F374" s="134">
        <f>E374*8</f>
        <v>243.904</v>
      </c>
      <c r="G374" s="134"/>
      <c r="H374" s="185"/>
      <c r="I374" s="19"/>
      <c r="J374" s="19"/>
      <c r="K374" s="186"/>
      <c r="L374" s="178">
        <v>2.6789999999999998</v>
      </c>
      <c r="M374" s="15">
        <v>3.133</v>
      </c>
      <c r="N374" s="15">
        <v>2.3E-3</v>
      </c>
      <c r="O374" s="15">
        <v>0.23299999999999998</v>
      </c>
      <c r="P374" s="180">
        <v>6.047299999999999</v>
      </c>
      <c r="Q374" s="178">
        <v>0.24399999999999999</v>
      </c>
      <c r="R374" s="15">
        <v>5.0000000000000001E-3</v>
      </c>
      <c r="S374" s="180">
        <f>SUM(Q374:R374)</f>
        <v>0.249</v>
      </c>
      <c r="T374" s="211" t="s">
        <v>605</v>
      </c>
      <c r="U374" s="204" t="s">
        <v>575</v>
      </c>
      <c r="V374" s="31"/>
      <c r="W374" s="15" t="s">
        <v>504</v>
      </c>
      <c r="X374" s="15">
        <v>41.44</v>
      </c>
      <c r="Y374" s="15">
        <v>0.8</v>
      </c>
      <c r="Z374" s="15">
        <v>7.8</v>
      </c>
      <c r="AA374" s="15">
        <v>8.6</v>
      </c>
      <c r="AB374" s="23">
        <f t="shared" si="9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82"/>
      <c r="AM374" s="142" t="s">
        <v>20</v>
      </c>
      <c r="AN374" s="135" t="str">
        <f>AO374</f>
        <v>D</v>
      </c>
      <c r="AO374" s="135" t="s">
        <v>21</v>
      </c>
      <c r="AP374" s="372">
        <f>AQ374-6</f>
        <v>45636</v>
      </c>
      <c r="AQ374" s="372">
        <f t="shared" ref="AQ374:AR374" si="99">AR374-2</f>
        <v>45642</v>
      </c>
      <c r="AR374" s="372">
        <f t="shared" si="99"/>
        <v>45644</v>
      </c>
      <c r="AS374" s="372">
        <v>45646</v>
      </c>
      <c r="AT374" s="187" t="s">
        <v>595</v>
      </c>
      <c r="AU374" s="188"/>
      <c r="AV374" s="142" t="s">
        <v>20</v>
      </c>
      <c r="AW374" s="15" t="s">
        <v>6</v>
      </c>
      <c r="AX374" s="297">
        <v>45648</v>
      </c>
      <c r="AY374" s="297">
        <v>45648</v>
      </c>
      <c r="AZ374" s="19" t="s">
        <v>596</v>
      </c>
      <c r="BA374" s="199"/>
      <c r="BB374" s="142" t="s">
        <v>20</v>
      </c>
      <c r="BC374" s="135"/>
      <c r="BD374" s="135" t="s">
        <v>21</v>
      </c>
      <c r="BE374" s="298">
        <f>BF374-2</f>
        <v>45707</v>
      </c>
      <c r="BF374" s="298">
        <v>45709</v>
      </c>
      <c r="BG374" s="15" t="s">
        <v>581</v>
      </c>
      <c r="BH374" s="182"/>
      <c r="BI374" s="142" t="s">
        <v>20</v>
      </c>
      <c r="BJ374" s="135">
        <v>45810</v>
      </c>
      <c r="BK374" s="135">
        <v>45810</v>
      </c>
      <c r="BL374" s="25">
        <v>1545</v>
      </c>
      <c r="BM374" s="24" t="s">
        <v>593</v>
      </c>
    </row>
    <row r="375" spans="1:65" ht="14.25" hidden="1" customHeight="1">
      <c r="A375" s="15" t="s">
        <v>0</v>
      </c>
      <c r="B375" s="19"/>
      <c r="C375" s="184"/>
      <c r="D375" s="134"/>
      <c r="E375" s="134"/>
      <c r="F375" s="134"/>
      <c r="G375" s="134"/>
      <c r="H375" s="185"/>
      <c r="I375" s="19"/>
      <c r="J375" s="19"/>
      <c r="K375" s="186"/>
      <c r="L375" s="178"/>
      <c r="M375" s="15"/>
      <c r="N375" s="15"/>
      <c r="O375" s="15"/>
      <c r="P375" s="180"/>
      <c r="Q375" s="178"/>
      <c r="R375" s="15"/>
      <c r="S375" s="180"/>
      <c r="T375" s="181"/>
      <c r="U375" s="181"/>
      <c r="V375" s="16">
        <v>387</v>
      </c>
      <c r="W375" s="15"/>
      <c r="X375" s="15"/>
      <c r="Y375" s="15"/>
      <c r="Z375" s="15"/>
      <c r="AA375" s="15"/>
      <c r="AB375" s="23">
        <f t="shared" si="9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82"/>
      <c r="AM375" s="15"/>
      <c r="AN375" s="24"/>
      <c r="AO375" s="24"/>
      <c r="AP375" s="24"/>
      <c r="AQ375" s="24"/>
      <c r="AR375" s="24"/>
      <c r="AS375" s="24"/>
      <c r="AT375" s="24"/>
      <c r="AU375" s="183"/>
      <c r="AV375" s="15"/>
      <c r="AW375" s="24"/>
      <c r="AX375" s="297"/>
      <c r="AY375" s="297"/>
      <c r="AZ375" s="24"/>
      <c r="BA375" s="183"/>
      <c r="BB375" s="24"/>
      <c r="BC375" s="24"/>
      <c r="BD375" s="24"/>
      <c r="BE375" s="24"/>
      <c r="BF375" s="24"/>
      <c r="BG375" s="24"/>
      <c r="BH375" s="183"/>
      <c r="BI375" s="24"/>
      <c r="BJ375" s="24"/>
      <c r="BK375" s="24"/>
      <c r="BL375" s="24"/>
      <c r="BM375" s="24"/>
    </row>
    <row r="376" spans="1:65" ht="14.25" customHeight="1">
      <c r="A376" s="15">
        <v>184</v>
      </c>
      <c r="B376" s="19" t="s">
        <v>276</v>
      </c>
      <c r="C376" s="184" t="s">
        <v>85</v>
      </c>
      <c r="D376" s="134">
        <v>8.2520000000000007</v>
      </c>
      <c r="E376" s="134">
        <f>D376*4</f>
        <v>33.008000000000003</v>
      </c>
      <c r="F376" s="134">
        <f>E376*8</f>
        <v>264.06400000000002</v>
      </c>
      <c r="G376" s="134"/>
      <c r="H376" s="185"/>
      <c r="I376" s="19"/>
      <c r="J376" s="19"/>
      <c r="K376" s="186"/>
      <c r="L376" s="178">
        <v>3.077</v>
      </c>
      <c r="M376" s="15">
        <v>3.6589999999999998</v>
      </c>
      <c r="N376" s="15">
        <v>2.5000000000000001E-3</v>
      </c>
      <c r="O376" s="15">
        <v>0.26600000000000001</v>
      </c>
      <c r="P376" s="180">
        <v>7.0045000000000002</v>
      </c>
      <c r="Q376" s="178">
        <v>0.24399999999999999</v>
      </c>
      <c r="R376" s="15">
        <v>5.0000000000000001E-3</v>
      </c>
      <c r="S376" s="180">
        <f>SUM(Q376:R376)</f>
        <v>0.249</v>
      </c>
      <c r="T376" s="181"/>
      <c r="U376" s="204" t="s">
        <v>575</v>
      </c>
      <c r="V376" s="15"/>
      <c r="W376" s="15" t="s">
        <v>504</v>
      </c>
      <c r="X376" s="15">
        <v>41.44</v>
      </c>
      <c r="Y376" s="15">
        <v>0.8</v>
      </c>
      <c r="Z376" s="15">
        <v>7.8</v>
      </c>
      <c r="AA376" s="15">
        <v>8.6</v>
      </c>
      <c r="AB376" s="23">
        <f t="shared" si="9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82"/>
      <c r="AM376" s="142" t="s">
        <v>20</v>
      </c>
      <c r="AN376" s="135" t="str">
        <f>AO376</f>
        <v>D</v>
      </c>
      <c r="AO376" s="135" t="s">
        <v>21</v>
      </c>
      <c r="AP376" s="372">
        <f t="shared" ref="AP376:AR376" si="100">AQ376-2</f>
        <v>45645</v>
      </c>
      <c r="AQ376" s="372">
        <f t="shared" si="100"/>
        <v>45647</v>
      </c>
      <c r="AR376" s="372">
        <f t="shared" si="100"/>
        <v>45649</v>
      </c>
      <c r="AS376" s="372">
        <v>45651</v>
      </c>
      <c r="AT376" s="187" t="s">
        <v>595</v>
      </c>
      <c r="AU376" s="188"/>
      <c r="AV376" s="142" t="s">
        <v>20</v>
      </c>
      <c r="AW376" s="15" t="s">
        <v>6</v>
      </c>
      <c r="AX376" s="297">
        <v>45648</v>
      </c>
      <c r="AY376" s="297">
        <v>45648</v>
      </c>
      <c r="AZ376" s="19" t="s">
        <v>596</v>
      </c>
      <c r="BA376" s="199"/>
      <c r="BB376" s="142" t="s">
        <v>20</v>
      </c>
      <c r="BC376" s="135"/>
      <c r="BD376" s="135" t="s">
        <v>21</v>
      </c>
      <c r="BE376" s="298">
        <f>BF376-2</f>
        <v>45709</v>
      </c>
      <c r="BF376" s="298">
        <v>45711</v>
      </c>
      <c r="BG376" s="15" t="s">
        <v>581</v>
      </c>
      <c r="BH376" s="192"/>
      <c r="BI376" s="142" t="s">
        <v>20</v>
      </c>
      <c r="BJ376" s="135">
        <v>45780</v>
      </c>
      <c r="BK376" s="135">
        <v>45780</v>
      </c>
      <c r="BL376" s="25">
        <v>1588</v>
      </c>
      <c r="BM376" s="24" t="s">
        <v>593</v>
      </c>
    </row>
    <row r="377" spans="1:65" ht="14.25" hidden="1" customHeight="1">
      <c r="A377" s="15" t="s">
        <v>0</v>
      </c>
      <c r="B377" s="19"/>
      <c r="C377" s="184"/>
      <c r="D377" s="134"/>
      <c r="E377" s="134"/>
      <c r="F377" s="134"/>
      <c r="G377" s="134"/>
      <c r="H377" s="185"/>
      <c r="I377" s="19"/>
      <c r="J377" s="19"/>
      <c r="K377" s="186"/>
      <c r="L377" s="178"/>
      <c r="M377" s="15"/>
      <c r="N377" s="15"/>
      <c r="O377" s="15"/>
      <c r="P377" s="180"/>
      <c r="Q377" s="178"/>
      <c r="R377" s="15"/>
      <c r="S377" s="180"/>
      <c r="T377" s="181"/>
      <c r="U377" s="181"/>
      <c r="V377" s="15">
        <v>346</v>
      </c>
      <c r="W377" s="15"/>
      <c r="X377" s="15"/>
      <c r="Y377" s="15"/>
      <c r="Z377" s="15"/>
      <c r="AA377" s="15"/>
      <c r="AB377" s="23">
        <f t="shared" si="9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82"/>
      <c r="AM377" s="15"/>
      <c r="AN377" s="24"/>
      <c r="AO377" s="24"/>
      <c r="AP377" s="24"/>
      <c r="AQ377" s="24"/>
      <c r="AR377" s="24"/>
      <c r="AS377" s="24"/>
      <c r="AT377" s="24"/>
      <c r="AU377" s="183"/>
      <c r="AV377" s="15"/>
      <c r="AW377" s="24"/>
      <c r="AX377" s="297"/>
      <c r="AY377" s="297"/>
      <c r="AZ377" s="24"/>
      <c r="BA377" s="183"/>
      <c r="BB377" s="24"/>
      <c r="BC377" s="24"/>
      <c r="BD377" s="24"/>
      <c r="BE377" s="24"/>
      <c r="BF377" s="24"/>
      <c r="BG377" s="24"/>
      <c r="BH377" s="183"/>
      <c r="BI377" s="24"/>
      <c r="BJ377" s="24"/>
      <c r="BK377" s="24"/>
      <c r="BL377" s="24"/>
      <c r="BM377" s="24"/>
    </row>
    <row r="378" spans="1:65" ht="14.25" customHeight="1">
      <c r="A378" s="15">
        <v>185</v>
      </c>
      <c r="B378" s="19" t="s">
        <v>277</v>
      </c>
      <c r="C378" s="184" t="s">
        <v>37</v>
      </c>
      <c r="D378" s="134">
        <v>6.992</v>
      </c>
      <c r="E378" s="134">
        <f>D378*4</f>
        <v>27.968</v>
      </c>
      <c r="F378" s="134">
        <f>E378*8</f>
        <v>223.744</v>
      </c>
      <c r="G378" s="134"/>
      <c r="H378" s="185"/>
      <c r="I378" s="19"/>
      <c r="J378" s="19"/>
      <c r="K378" s="186"/>
      <c r="L378" s="178">
        <v>2.6070000000000002</v>
      </c>
      <c r="M378" s="15">
        <v>2.657</v>
      </c>
      <c r="N378" s="15">
        <v>2E-3</v>
      </c>
      <c r="O378" s="15">
        <v>0.21299999999999999</v>
      </c>
      <c r="P378" s="180">
        <v>5.4790000000000001</v>
      </c>
      <c r="Q378" s="178">
        <v>0.24399999999999999</v>
      </c>
      <c r="R378" s="15">
        <v>5.0000000000000001E-3</v>
      </c>
      <c r="S378" s="180">
        <f>SUM(Q378:R378)</f>
        <v>0.249</v>
      </c>
      <c r="T378" s="181"/>
      <c r="U378" s="204" t="s">
        <v>575</v>
      </c>
      <c r="V378" s="15"/>
      <c r="W378" s="15" t="s">
        <v>504</v>
      </c>
      <c r="X378" s="15">
        <v>41.44</v>
      </c>
      <c r="Y378" s="15">
        <v>0.8</v>
      </c>
      <c r="Z378" s="15">
        <v>7.8</v>
      </c>
      <c r="AA378" s="15">
        <v>8.6</v>
      </c>
      <c r="AB378" s="23">
        <f t="shared" si="91"/>
        <v>66.42</v>
      </c>
      <c r="AC378" s="15">
        <v>3321</v>
      </c>
      <c r="AD378" s="191">
        <v>73.73</v>
      </c>
      <c r="AE378" s="191">
        <v>301.5</v>
      </c>
      <c r="AF378" s="191"/>
      <c r="AG378" s="191">
        <v>206.46</v>
      </c>
      <c r="AH378" s="191"/>
      <c r="AI378" s="191"/>
      <c r="AJ378" s="191">
        <v>581.69000000000005</v>
      </c>
      <c r="AK378" s="15">
        <v>0.58169000000000004</v>
      </c>
      <c r="AL378" s="182"/>
      <c r="AM378" s="142" t="s">
        <v>20</v>
      </c>
      <c r="AN378" s="135" t="str">
        <f>AO378</f>
        <v>D</v>
      </c>
      <c r="AO378" s="135" t="s">
        <v>21</v>
      </c>
      <c r="AP378" s="372">
        <v>45648</v>
      </c>
      <c r="AQ378" s="372">
        <f>AR378-3</f>
        <v>45672</v>
      </c>
      <c r="AR378" s="372">
        <f>AS378-1</f>
        <v>45675</v>
      </c>
      <c r="AS378" s="372">
        <v>45676</v>
      </c>
      <c r="AT378" s="187" t="s">
        <v>606</v>
      </c>
      <c r="AU378" s="188"/>
      <c r="AV378" s="142" t="s">
        <v>20</v>
      </c>
      <c r="AW378" s="15" t="s">
        <v>6</v>
      </c>
      <c r="AX378" s="297">
        <f>AY378</f>
        <v>45723</v>
      </c>
      <c r="AY378" s="297">
        <v>45723</v>
      </c>
      <c r="AZ378" s="24" t="s">
        <v>599</v>
      </c>
      <c r="BA378" s="183"/>
      <c r="BB378" s="142" t="s">
        <v>20</v>
      </c>
      <c r="BC378" s="135"/>
      <c r="BD378" s="135" t="s">
        <v>21</v>
      </c>
      <c r="BE378" s="298">
        <f>BF378-1</f>
        <v>45714</v>
      </c>
      <c r="BF378" s="298">
        <v>45715</v>
      </c>
      <c r="BG378" s="15" t="s">
        <v>581</v>
      </c>
      <c r="BH378" s="182"/>
      <c r="BI378" s="142" t="s">
        <v>20</v>
      </c>
      <c r="BJ378" s="135">
        <v>45780</v>
      </c>
      <c r="BK378" s="135">
        <v>45780</v>
      </c>
      <c r="BL378" s="25">
        <v>1330</v>
      </c>
      <c r="BM378" s="24" t="s">
        <v>593</v>
      </c>
    </row>
    <row r="379" spans="1:65" ht="14.25" hidden="1" customHeight="1">
      <c r="A379" s="15" t="s">
        <v>0</v>
      </c>
      <c r="B379" s="19"/>
      <c r="C379" s="184"/>
      <c r="D379" s="134"/>
      <c r="E379" s="134"/>
      <c r="F379" s="134"/>
      <c r="G379" s="134"/>
      <c r="H379" s="185"/>
      <c r="I379" s="19"/>
      <c r="J379" s="19"/>
      <c r="K379" s="186"/>
      <c r="L379" s="178"/>
      <c r="M379" s="15"/>
      <c r="N379" s="15"/>
      <c r="O379" s="15"/>
      <c r="P379" s="180"/>
      <c r="Q379" s="178"/>
      <c r="R379" s="15"/>
      <c r="S379" s="180"/>
      <c r="T379" s="181"/>
      <c r="U379" s="181"/>
      <c r="V379" s="15">
        <v>375.54500000000002</v>
      </c>
      <c r="W379" s="15"/>
      <c r="X379" s="15"/>
      <c r="Y379" s="15"/>
      <c r="Z379" s="15"/>
      <c r="AA379" s="15"/>
      <c r="AB379" s="23">
        <f t="shared" si="9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82"/>
      <c r="AM379" s="15"/>
      <c r="AN379" s="24"/>
      <c r="AO379" s="24"/>
      <c r="AP379" s="24"/>
      <c r="AQ379" s="24"/>
      <c r="AR379" s="24"/>
      <c r="AS379" s="24"/>
      <c r="AT379" s="24"/>
      <c r="AU379" s="183"/>
      <c r="AV379" s="15"/>
      <c r="AW379" s="24"/>
      <c r="AX379" s="297"/>
      <c r="AY379" s="297"/>
      <c r="AZ379" s="24"/>
      <c r="BA379" s="183"/>
      <c r="BB379" s="24"/>
      <c r="BC379" s="24"/>
      <c r="BD379" s="24"/>
      <c r="BE379" s="24"/>
      <c r="BF379" s="24"/>
      <c r="BG379" s="24"/>
      <c r="BH379" s="183"/>
      <c r="BI379" s="24"/>
      <c r="BJ379" s="24"/>
      <c r="BK379" s="24"/>
      <c r="BL379" s="24"/>
      <c r="BM379" s="24"/>
    </row>
    <row r="380" spans="1:65" ht="14.25" customHeight="1">
      <c r="A380" s="15">
        <v>186</v>
      </c>
      <c r="B380" s="19" t="s">
        <v>279</v>
      </c>
      <c r="C380" s="184" t="s">
        <v>89</v>
      </c>
      <c r="D380" s="134">
        <v>8.6300000000000008</v>
      </c>
      <c r="E380" s="134">
        <f>D380*4</f>
        <v>34.520000000000003</v>
      </c>
      <c r="F380" s="134">
        <f>E380*8</f>
        <v>276.16000000000003</v>
      </c>
      <c r="G380" s="134"/>
      <c r="H380" s="185"/>
      <c r="I380" s="19"/>
      <c r="J380" s="19"/>
      <c r="K380" s="186"/>
      <c r="L380" s="178">
        <v>3.867</v>
      </c>
      <c r="M380" s="15">
        <v>3.306</v>
      </c>
      <c r="N380" s="15">
        <v>4.3E-3</v>
      </c>
      <c r="O380" s="15">
        <v>0.27500000000000002</v>
      </c>
      <c r="P380" s="180">
        <v>7.4523000000000001</v>
      </c>
      <c r="Q380" s="178">
        <v>0.36299999999999999</v>
      </c>
      <c r="R380" s="15">
        <v>6.0000000000000001E-3</v>
      </c>
      <c r="S380" s="180">
        <f>SUM(Q380:R380)</f>
        <v>0.36899999999999999</v>
      </c>
      <c r="T380" s="181"/>
      <c r="U380" s="204" t="s">
        <v>575</v>
      </c>
      <c r="V380" s="15"/>
      <c r="W380" s="15" t="s">
        <v>504</v>
      </c>
      <c r="X380" s="15">
        <v>51.64</v>
      </c>
      <c r="Y380" s="15">
        <v>0.97</v>
      </c>
      <c r="Z380" s="15">
        <v>9.82</v>
      </c>
      <c r="AA380" s="15">
        <v>10.790000000000001</v>
      </c>
      <c r="AB380" s="23">
        <f t="shared" si="91"/>
        <v>83.456000000000003</v>
      </c>
      <c r="AC380" s="15">
        <v>4172.8</v>
      </c>
      <c r="AD380" s="15">
        <v>81.819999999999993</v>
      </c>
      <c r="AE380" s="15">
        <v>408.9</v>
      </c>
      <c r="AF380" s="15"/>
      <c r="AG380" s="15">
        <v>203.94</v>
      </c>
      <c r="AH380" s="15"/>
      <c r="AI380" s="15"/>
      <c r="AJ380" s="15">
        <v>694.66</v>
      </c>
      <c r="AK380" s="15">
        <v>0.69465999999999994</v>
      </c>
      <c r="AL380" s="182"/>
      <c r="AM380" s="142" t="s">
        <v>20</v>
      </c>
      <c r="AN380" s="135" t="str">
        <f>AO380</f>
        <v>D</v>
      </c>
      <c r="AO380" s="135" t="s">
        <v>21</v>
      </c>
      <c r="AP380" s="372">
        <v>45650</v>
      </c>
      <c r="AQ380" s="372">
        <f t="shared" ref="AQ380:AR380" si="101">AR380-1</f>
        <v>45652</v>
      </c>
      <c r="AR380" s="372">
        <f t="shared" si="101"/>
        <v>45653</v>
      </c>
      <c r="AS380" s="372">
        <v>45654</v>
      </c>
      <c r="AT380" s="24" t="s">
        <v>542</v>
      </c>
      <c r="AU380" s="183"/>
      <c r="AV380" s="142" t="s">
        <v>20</v>
      </c>
      <c r="AW380" s="15" t="s">
        <v>6</v>
      </c>
      <c r="AX380" s="297">
        <v>45655</v>
      </c>
      <c r="AY380" s="297">
        <f>AX380</f>
        <v>45655</v>
      </c>
      <c r="AZ380" s="187" t="s">
        <v>543</v>
      </c>
      <c r="BA380" s="188"/>
      <c r="BB380" s="142" t="s">
        <v>20</v>
      </c>
      <c r="BC380" s="135"/>
      <c r="BD380" s="135" t="s">
        <v>21</v>
      </c>
      <c r="BE380" s="298">
        <f>BF380-2</f>
        <v>45711</v>
      </c>
      <c r="BF380" s="298">
        <v>45713</v>
      </c>
      <c r="BG380" s="15" t="s">
        <v>581</v>
      </c>
      <c r="BH380" s="193"/>
      <c r="BI380" s="142" t="s">
        <v>20</v>
      </c>
      <c r="BJ380" s="135">
        <v>45815</v>
      </c>
      <c r="BK380" s="135">
        <v>45815</v>
      </c>
      <c r="BL380" s="25">
        <v>1560</v>
      </c>
      <c r="BM380" s="24" t="s">
        <v>593</v>
      </c>
    </row>
    <row r="381" spans="1:65" ht="14.25" hidden="1" customHeight="1">
      <c r="A381" s="15" t="s">
        <v>0</v>
      </c>
      <c r="B381" s="19"/>
      <c r="C381" s="184"/>
      <c r="D381" s="134"/>
      <c r="E381" s="134"/>
      <c r="F381" s="134"/>
      <c r="G381" s="134"/>
      <c r="H381" s="185"/>
      <c r="I381" s="19"/>
      <c r="J381" s="19"/>
      <c r="K381" s="186"/>
      <c r="L381" s="178"/>
      <c r="M381" s="15"/>
      <c r="N381" s="15"/>
      <c r="O381" s="15"/>
      <c r="P381" s="180"/>
      <c r="Q381" s="178"/>
      <c r="R381" s="15"/>
      <c r="S381" s="180"/>
      <c r="T381" s="181"/>
      <c r="U381" s="181"/>
      <c r="V381" s="15">
        <v>341.74</v>
      </c>
      <c r="W381" s="15"/>
      <c r="X381" s="15"/>
      <c r="Y381" s="15"/>
      <c r="Z381" s="15"/>
      <c r="AA381" s="15"/>
      <c r="AB381" s="23">
        <f t="shared" si="9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82"/>
      <c r="AM381" s="15"/>
      <c r="AN381" s="24"/>
      <c r="AO381" s="24"/>
      <c r="AP381" s="24"/>
      <c r="AQ381" s="24"/>
      <c r="AR381" s="24"/>
      <c r="AS381" s="24"/>
      <c r="AT381" s="24"/>
      <c r="AU381" s="183"/>
      <c r="AV381" s="15"/>
      <c r="AW381" s="24"/>
      <c r="AX381" s="297"/>
      <c r="AY381" s="297"/>
      <c r="AZ381" s="24"/>
      <c r="BA381" s="183"/>
      <c r="BB381" s="24"/>
      <c r="BC381" s="24"/>
      <c r="BD381" s="24"/>
      <c r="BE381" s="24"/>
      <c r="BF381" s="24"/>
      <c r="BG381" s="24"/>
      <c r="BH381" s="183"/>
      <c r="BI381" s="24"/>
      <c r="BJ381" s="24"/>
      <c r="BK381" s="24"/>
      <c r="BL381" s="24"/>
      <c r="BM381" s="24"/>
    </row>
    <row r="382" spans="1:65" ht="14.25" customHeight="1">
      <c r="A382" s="15">
        <v>187</v>
      </c>
      <c r="B382" s="19" t="s">
        <v>280</v>
      </c>
      <c r="C382" s="184" t="s">
        <v>42</v>
      </c>
      <c r="D382" s="134">
        <v>6.3620000000000001</v>
      </c>
      <c r="E382" s="134">
        <f>D382*4</f>
        <v>25.448</v>
      </c>
      <c r="F382" s="134">
        <f>E382*8</f>
        <v>203.584</v>
      </c>
      <c r="G382" s="134"/>
      <c r="H382" s="185"/>
      <c r="I382" s="19"/>
      <c r="J382" s="19"/>
      <c r="K382" s="186"/>
      <c r="L382" s="178">
        <v>2.25</v>
      </c>
      <c r="M382" s="15">
        <v>2.1880000000000002</v>
      </c>
      <c r="N382" s="15">
        <v>2E-3</v>
      </c>
      <c r="O382" s="15">
        <v>0.183</v>
      </c>
      <c r="P382" s="180">
        <v>4.6230000000000002</v>
      </c>
      <c r="Q382" s="178">
        <v>0.24399999999999999</v>
      </c>
      <c r="R382" s="15">
        <v>5.0000000000000001E-3</v>
      </c>
      <c r="S382" s="180">
        <f>SUM(Q382:R382)</f>
        <v>0.249</v>
      </c>
      <c r="T382" s="181"/>
      <c r="U382" s="204" t="s">
        <v>575</v>
      </c>
      <c r="V382" s="15"/>
      <c r="W382" s="15" t="s">
        <v>504</v>
      </c>
      <c r="X382" s="15">
        <v>41.44</v>
      </c>
      <c r="Y382" s="15">
        <v>0.8</v>
      </c>
      <c r="Z382" s="15">
        <v>7.8</v>
      </c>
      <c r="AA382" s="15">
        <v>8.6</v>
      </c>
      <c r="AB382" s="23">
        <f t="shared" si="91"/>
        <v>66.42</v>
      </c>
      <c r="AC382" s="15">
        <v>3321</v>
      </c>
      <c r="AD382" s="15">
        <v>73.73</v>
      </c>
      <c r="AE382" s="15">
        <v>301.5</v>
      </c>
      <c r="AF382" s="15"/>
      <c r="AG382" s="15">
        <v>206.46</v>
      </c>
      <c r="AH382" s="15"/>
      <c r="AI382" s="15"/>
      <c r="AJ382" s="15">
        <v>581.69000000000005</v>
      </c>
      <c r="AK382" s="15">
        <v>0.58169000000000004</v>
      </c>
      <c r="AL382" s="182"/>
      <c r="AM382" s="142" t="s">
        <v>20</v>
      </c>
      <c r="AN382" s="135" t="str">
        <f>AO382</f>
        <v>D</v>
      </c>
      <c r="AO382" s="135" t="s">
        <v>21</v>
      </c>
      <c r="AP382" s="372">
        <v>45651</v>
      </c>
      <c r="AQ382" s="372">
        <f t="shared" ref="AQ382:AR382" si="102">AR382-1</f>
        <v>45652</v>
      </c>
      <c r="AR382" s="372">
        <f t="shared" si="102"/>
        <v>45653</v>
      </c>
      <c r="AS382" s="372">
        <v>45654</v>
      </c>
      <c r="AT382" s="187" t="s">
        <v>607</v>
      </c>
      <c r="AU382" s="188"/>
      <c r="AV382" s="142" t="s">
        <v>20</v>
      </c>
      <c r="AW382" s="15" t="s">
        <v>6</v>
      </c>
      <c r="AX382" s="297">
        <v>45655</v>
      </c>
      <c r="AY382" s="297">
        <f>AX382</f>
        <v>45655</v>
      </c>
      <c r="AZ382" s="24" t="s">
        <v>599</v>
      </c>
      <c r="BA382" s="183"/>
      <c r="BB382" s="142" t="s">
        <v>20</v>
      </c>
      <c r="BC382" s="135"/>
      <c r="BD382" s="135" t="s">
        <v>21</v>
      </c>
      <c r="BE382" s="298">
        <f>BF382-2</f>
        <v>45714</v>
      </c>
      <c r="BF382" s="298">
        <v>45716</v>
      </c>
      <c r="BG382" s="15" t="s">
        <v>581</v>
      </c>
      <c r="BH382" s="182"/>
      <c r="BI382" s="142" t="s">
        <v>20</v>
      </c>
      <c r="BJ382" s="135">
        <v>45815</v>
      </c>
      <c r="BK382" s="135">
        <v>45815</v>
      </c>
      <c r="BL382" s="25">
        <v>980</v>
      </c>
      <c r="BM382" s="24" t="s">
        <v>593</v>
      </c>
    </row>
    <row r="383" spans="1:65" ht="14.25" hidden="1" customHeight="1">
      <c r="A383" s="15" t="s">
        <v>0</v>
      </c>
      <c r="B383" s="19"/>
      <c r="C383" s="184"/>
      <c r="D383" s="134"/>
      <c r="E383" s="134"/>
      <c r="F383" s="134"/>
      <c r="G383" s="134"/>
      <c r="H383" s="185"/>
      <c r="I383" s="19"/>
      <c r="J383" s="19"/>
      <c r="K383" s="186"/>
      <c r="L383" s="178"/>
      <c r="M383" s="15"/>
      <c r="N383" s="15"/>
      <c r="O383" s="15"/>
      <c r="P383" s="180"/>
      <c r="Q383" s="178"/>
      <c r="R383" s="15"/>
      <c r="S383" s="180"/>
      <c r="T383" s="181"/>
      <c r="U383" s="181"/>
      <c r="V383" s="15">
        <v>321.51</v>
      </c>
      <c r="W383" s="15"/>
      <c r="X383" s="15"/>
      <c r="Y383" s="15"/>
      <c r="Z383" s="15"/>
      <c r="AA383" s="15"/>
      <c r="AB383" s="23">
        <f t="shared" si="9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82"/>
      <c r="AM383" s="15"/>
      <c r="AN383" s="135"/>
      <c r="AO383" s="135"/>
      <c r="AP383" s="135"/>
      <c r="AQ383" s="135"/>
      <c r="AR383" s="135"/>
      <c r="AS383" s="135"/>
      <c r="AT383" s="187"/>
      <c r="AU383" s="188"/>
      <c r="AV383" s="15"/>
      <c r="AW383" s="15"/>
      <c r="AX383" s="297"/>
      <c r="AY383" s="297"/>
      <c r="AZ383" s="187"/>
      <c r="BA383" s="188"/>
      <c r="BB383" s="15"/>
      <c r="BC383" s="135"/>
      <c r="BD383" s="135"/>
      <c r="BE383" s="135"/>
      <c r="BF383" s="135"/>
      <c r="BG383" s="15"/>
      <c r="BH383" s="182"/>
      <c r="BI383" s="15"/>
      <c r="BJ383" s="135"/>
      <c r="BK383" s="135"/>
      <c r="BL383" s="135"/>
      <c r="BM383" s="24"/>
    </row>
    <row r="384" spans="1:65" ht="14.25" customHeight="1">
      <c r="A384" s="15">
        <v>188</v>
      </c>
      <c r="B384" s="19" t="s">
        <v>281</v>
      </c>
      <c r="C384" s="184" t="s">
        <v>42</v>
      </c>
      <c r="D384" s="134">
        <v>6.3620000000000001</v>
      </c>
      <c r="E384" s="134">
        <f>D384*4</f>
        <v>25.448</v>
      </c>
      <c r="F384" s="134">
        <f>E384*8</f>
        <v>203.584</v>
      </c>
      <c r="G384" s="134"/>
      <c r="H384" s="185"/>
      <c r="I384" s="19"/>
      <c r="J384" s="19"/>
      <c r="K384" s="186"/>
      <c r="L384" s="178">
        <v>2.25</v>
      </c>
      <c r="M384" s="15">
        <v>2.1880000000000002</v>
      </c>
      <c r="N384" s="15">
        <v>2E-3</v>
      </c>
      <c r="O384" s="15">
        <v>0.183</v>
      </c>
      <c r="P384" s="180">
        <v>4.6230000000000002</v>
      </c>
      <c r="Q384" s="178">
        <v>0.24399999999999999</v>
      </c>
      <c r="R384" s="15">
        <v>5.0000000000000001E-3</v>
      </c>
      <c r="S384" s="180">
        <f>SUM(Q384:R384)</f>
        <v>0.249</v>
      </c>
      <c r="T384" s="181"/>
      <c r="U384" s="204" t="s">
        <v>575</v>
      </c>
      <c r="V384" s="15"/>
      <c r="W384" s="15" t="s">
        <v>504</v>
      </c>
      <c r="X384" s="15">
        <v>41.44</v>
      </c>
      <c r="Y384" s="15">
        <v>0.8</v>
      </c>
      <c r="Z384" s="15">
        <v>7.8</v>
      </c>
      <c r="AA384" s="15">
        <v>8.6</v>
      </c>
      <c r="AB384" s="23">
        <f t="shared" si="9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82"/>
      <c r="AM384" s="142" t="s">
        <v>20</v>
      </c>
      <c r="AN384" s="135" t="str">
        <f>AO384</f>
        <v>D</v>
      </c>
      <c r="AO384" s="135" t="s">
        <v>21</v>
      </c>
      <c r="AP384" s="372">
        <v>45652</v>
      </c>
      <c r="AQ384" s="372">
        <f>AR384-1</f>
        <v>45660</v>
      </c>
      <c r="AR384" s="372">
        <f>AS384-2</f>
        <v>45661</v>
      </c>
      <c r="AS384" s="372">
        <v>45663</v>
      </c>
      <c r="AT384" s="187" t="s">
        <v>607</v>
      </c>
      <c r="AU384" s="188"/>
      <c r="AV384" s="142" t="s">
        <v>20</v>
      </c>
      <c r="AW384" s="15" t="s">
        <v>6</v>
      </c>
      <c r="AX384" s="297">
        <v>45721</v>
      </c>
      <c r="AY384" s="297">
        <v>45721</v>
      </c>
      <c r="AZ384" s="24" t="s">
        <v>599</v>
      </c>
      <c r="BA384" s="183"/>
      <c r="BB384" s="142" t="s">
        <v>20</v>
      </c>
      <c r="BC384" s="135"/>
      <c r="BD384" s="135" t="s">
        <v>21</v>
      </c>
      <c r="BE384" s="298">
        <f>BF384-1</f>
        <v>45718</v>
      </c>
      <c r="BF384" s="298">
        <v>45719</v>
      </c>
      <c r="BG384" s="15" t="s">
        <v>581</v>
      </c>
      <c r="BH384" s="182"/>
      <c r="BI384" s="142" t="s">
        <v>20</v>
      </c>
      <c r="BJ384" s="135">
        <v>45816</v>
      </c>
      <c r="BK384" s="135">
        <v>45816</v>
      </c>
      <c r="BL384" s="25">
        <v>980</v>
      </c>
      <c r="BM384" s="24" t="s">
        <v>593</v>
      </c>
    </row>
    <row r="385" spans="1:65" ht="14.25" hidden="1" customHeight="1">
      <c r="A385" s="15" t="s">
        <v>0</v>
      </c>
      <c r="B385" s="19"/>
      <c r="C385" s="184"/>
      <c r="D385" s="134"/>
      <c r="E385" s="134"/>
      <c r="F385" s="134"/>
      <c r="G385" s="134"/>
      <c r="H385" s="185"/>
      <c r="I385" s="19"/>
      <c r="J385" s="19"/>
      <c r="K385" s="186"/>
      <c r="L385" s="178"/>
      <c r="M385" s="15"/>
      <c r="N385" s="15"/>
      <c r="O385" s="15"/>
      <c r="P385" s="180"/>
      <c r="Q385" s="178"/>
      <c r="R385" s="15"/>
      <c r="S385" s="180"/>
      <c r="T385" s="181"/>
      <c r="U385" s="181"/>
      <c r="V385" s="15">
        <v>312.39</v>
      </c>
      <c r="W385" s="15"/>
      <c r="X385" s="15"/>
      <c r="Y385" s="15"/>
      <c r="Z385" s="15"/>
      <c r="AA385" s="15"/>
      <c r="AB385" s="23">
        <f t="shared" si="9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82"/>
      <c r="AM385" s="15"/>
      <c r="AN385" s="135"/>
      <c r="AO385" s="135"/>
      <c r="AP385" s="135"/>
      <c r="AQ385" s="135"/>
      <c r="AR385" s="135"/>
      <c r="AS385" s="135"/>
      <c r="AT385" s="187"/>
      <c r="AU385" s="188"/>
      <c r="AV385" s="15"/>
      <c r="AW385" s="15"/>
      <c r="AX385" s="297"/>
      <c r="AY385" s="297"/>
      <c r="AZ385" s="187"/>
      <c r="BA385" s="188"/>
      <c r="BB385" s="15"/>
      <c r="BC385" s="135"/>
      <c r="BD385" s="135"/>
      <c r="BE385" s="135"/>
      <c r="BF385" s="135"/>
      <c r="BG385" s="15"/>
      <c r="BH385" s="182"/>
      <c r="BI385" s="15"/>
      <c r="BJ385" s="135"/>
      <c r="BK385" s="135"/>
      <c r="BL385" s="135"/>
      <c r="BM385" s="24"/>
    </row>
    <row r="386" spans="1:65" ht="14.25" customHeight="1">
      <c r="A386" s="15">
        <v>189</v>
      </c>
      <c r="B386" s="19" t="s">
        <v>282</v>
      </c>
      <c r="C386" s="184" t="s">
        <v>42</v>
      </c>
      <c r="D386" s="134">
        <v>6.3620000000000001</v>
      </c>
      <c r="E386" s="134">
        <f>D386*4</f>
        <v>25.448</v>
      </c>
      <c r="F386" s="134">
        <f>E386*8</f>
        <v>203.584</v>
      </c>
      <c r="G386" s="134"/>
      <c r="H386" s="185"/>
      <c r="I386" s="19"/>
      <c r="J386" s="19"/>
      <c r="K386" s="186"/>
      <c r="L386" s="178">
        <v>2.25</v>
      </c>
      <c r="M386" s="15">
        <v>2.1880000000000002</v>
      </c>
      <c r="N386" s="15">
        <v>2E-3</v>
      </c>
      <c r="O386" s="15">
        <v>0.183</v>
      </c>
      <c r="P386" s="180">
        <v>4.6230000000000002</v>
      </c>
      <c r="Q386" s="178">
        <v>0.24399999999999999</v>
      </c>
      <c r="R386" s="15">
        <v>5.0000000000000001E-3</v>
      </c>
      <c r="S386" s="180">
        <f>SUM(Q386:R386)</f>
        <v>0.249</v>
      </c>
      <c r="T386" s="181"/>
      <c r="U386" s="204" t="s">
        <v>575</v>
      </c>
      <c r="V386" s="15"/>
      <c r="W386" s="15" t="s">
        <v>504</v>
      </c>
      <c r="X386" s="15">
        <v>41.44</v>
      </c>
      <c r="Y386" s="15">
        <v>0.8</v>
      </c>
      <c r="Z386" s="15">
        <v>7.8</v>
      </c>
      <c r="AA386" s="15">
        <v>8.6</v>
      </c>
      <c r="AB386" s="23">
        <f t="shared" si="9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82"/>
      <c r="AM386" s="142" t="s">
        <v>20</v>
      </c>
      <c r="AN386" s="135" t="str">
        <f>AO386</f>
        <v>D</v>
      </c>
      <c r="AO386" s="135" t="s">
        <v>21</v>
      </c>
      <c r="AP386" s="372">
        <v>45654</v>
      </c>
      <c r="AQ386" s="372">
        <f t="shared" ref="AQ386:AR386" si="103">AP386+1</f>
        <v>45655</v>
      </c>
      <c r="AR386" s="372">
        <f t="shared" si="103"/>
        <v>45656</v>
      </c>
      <c r="AS386" s="372">
        <v>45657</v>
      </c>
      <c r="AT386" s="19" t="s">
        <v>543</v>
      </c>
      <c r="AU386" s="199"/>
      <c r="AV386" s="142" t="s">
        <v>20</v>
      </c>
      <c r="AW386" s="15" t="s">
        <v>6</v>
      </c>
      <c r="AX386" s="297">
        <v>45655</v>
      </c>
      <c r="AY386" s="297">
        <f>AX386</f>
        <v>45655</v>
      </c>
      <c r="AZ386" s="187" t="s">
        <v>543</v>
      </c>
      <c r="BA386" s="188"/>
      <c r="BB386" s="142" t="s">
        <v>20</v>
      </c>
      <c r="BC386" s="135"/>
      <c r="BD386" s="135" t="s">
        <v>21</v>
      </c>
      <c r="BE386" s="298">
        <f>BF386-2</f>
        <v>45687</v>
      </c>
      <c r="BF386" s="298">
        <v>45689</v>
      </c>
      <c r="BG386" s="15" t="s">
        <v>581</v>
      </c>
      <c r="BH386" s="182"/>
      <c r="BI386" s="142" t="s">
        <v>20</v>
      </c>
      <c r="BJ386" s="135">
        <v>45816</v>
      </c>
      <c r="BK386" s="135">
        <v>45816</v>
      </c>
      <c r="BL386" s="25">
        <v>980</v>
      </c>
      <c r="BM386" s="24" t="s">
        <v>593</v>
      </c>
    </row>
    <row r="387" spans="1:65" ht="14.25" hidden="1" customHeight="1">
      <c r="A387" s="15" t="s">
        <v>0</v>
      </c>
      <c r="B387" s="19"/>
      <c r="C387" s="184"/>
      <c r="D387" s="134"/>
      <c r="E387" s="134"/>
      <c r="F387" s="134"/>
      <c r="G387" s="134"/>
      <c r="H387" s="185"/>
      <c r="I387" s="19"/>
      <c r="J387" s="19"/>
      <c r="K387" s="186"/>
      <c r="L387" s="178"/>
      <c r="M387" s="15"/>
      <c r="N387" s="15"/>
      <c r="O387" s="15"/>
      <c r="P387" s="180"/>
      <c r="Q387" s="178"/>
      <c r="R387" s="15"/>
      <c r="S387" s="180"/>
      <c r="T387" s="181"/>
      <c r="U387" s="181"/>
      <c r="V387" s="15">
        <v>358.35</v>
      </c>
      <c r="W387" s="15"/>
      <c r="X387" s="15"/>
      <c r="Y387" s="15"/>
      <c r="Z387" s="15"/>
      <c r="AA387" s="15"/>
      <c r="AB387" s="23">
        <f t="shared" si="9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82"/>
      <c r="AM387" s="15"/>
      <c r="AN387" s="135"/>
      <c r="AO387" s="135"/>
      <c r="AP387" s="135"/>
      <c r="AQ387" s="135"/>
      <c r="AR387" s="135"/>
      <c r="AS387" s="135"/>
      <c r="AT387" s="187"/>
      <c r="AU387" s="188"/>
      <c r="AV387" s="15"/>
      <c r="AW387" s="15"/>
      <c r="AX387" s="297"/>
      <c r="AY387" s="297"/>
      <c r="AZ387" s="187"/>
      <c r="BA387" s="188"/>
      <c r="BB387" s="15"/>
      <c r="BC387" s="135"/>
      <c r="BD387" s="135"/>
      <c r="BE387" s="135"/>
      <c r="BF387" s="135"/>
      <c r="BG387" s="15"/>
      <c r="BH387" s="182"/>
      <c r="BI387" s="15"/>
      <c r="BJ387" s="135"/>
      <c r="BK387" s="135"/>
      <c r="BL387" s="135"/>
      <c r="BM387" s="24"/>
    </row>
    <row r="388" spans="1:65" ht="14.25" customHeight="1">
      <c r="A388" s="15">
        <v>190</v>
      </c>
      <c r="B388" s="19" t="s">
        <v>283</v>
      </c>
      <c r="C388" s="184" t="s">
        <v>42</v>
      </c>
      <c r="D388" s="134">
        <v>6.3620000000000001</v>
      </c>
      <c r="E388" s="134">
        <f>D388*4</f>
        <v>25.448</v>
      </c>
      <c r="F388" s="134">
        <f>E388*8</f>
        <v>203.584</v>
      </c>
      <c r="G388" s="134"/>
      <c r="H388" s="185"/>
      <c r="I388" s="19"/>
      <c r="J388" s="19"/>
      <c r="K388" s="186"/>
      <c r="L388" s="178">
        <v>2.25</v>
      </c>
      <c r="M388" s="15">
        <v>2.1880000000000002</v>
      </c>
      <c r="N388" s="15">
        <v>2E-3</v>
      </c>
      <c r="O388" s="15">
        <v>0.183</v>
      </c>
      <c r="P388" s="180">
        <v>4.6230000000000002</v>
      </c>
      <c r="Q388" s="178">
        <v>0.24399999999999999</v>
      </c>
      <c r="R388" s="15">
        <v>5.0000000000000001E-3</v>
      </c>
      <c r="S388" s="180">
        <f>SUM(Q388:R388)</f>
        <v>0.249</v>
      </c>
      <c r="T388" s="181"/>
      <c r="U388" s="204" t="s">
        <v>575</v>
      </c>
      <c r="V388" s="15"/>
      <c r="W388" s="15" t="s">
        <v>504</v>
      </c>
      <c r="X388" s="15">
        <v>41.44</v>
      </c>
      <c r="Y388" s="15">
        <v>0.8</v>
      </c>
      <c r="Z388" s="15">
        <v>7.8</v>
      </c>
      <c r="AA388" s="15">
        <v>8.6</v>
      </c>
      <c r="AB388" s="23">
        <f t="shared" si="9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82"/>
      <c r="AM388" s="142" t="s">
        <v>20</v>
      </c>
      <c r="AN388" s="135" t="str">
        <f>AO388</f>
        <v>D</v>
      </c>
      <c r="AO388" s="135" t="s">
        <v>21</v>
      </c>
      <c r="AP388" s="372">
        <v>45659</v>
      </c>
      <c r="AQ388" s="372">
        <f t="shared" ref="AQ388:AR388" si="104">AR388-1</f>
        <v>45660</v>
      </c>
      <c r="AR388" s="372">
        <f t="shared" si="104"/>
        <v>45661</v>
      </c>
      <c r="AS388" s="372">
        <v>45662</v>
      </c>
      <c r="AT388" s="19" t="s">
        <v>543</v>
      </c>
      <c r="AU388" s="199"/>
      <c r="AV388" s="142" t="s">
        <v>20</v>
      </c>
      <c r="AW388" s="15" t="s">
        <v>6</v>
      </c>
      <c r="AX388" s="297">
        <v>45655</v>
      </c>
      <c r="AY388" s="297">
        <f>AX388</f>
        <v>45655</v>
      </c>
      <c r="AZ388" s="187" t="s">
        <v>543</v>
      </c>
      <c r="BA388" s="188"/>
      <c r="BB388" s="142" t="s">
        <v>20</v>
      </c>
      <c r="BC388" s="135"/>
      <c r="BD388" s="135" t="s">
        <v>21</v>
      </c>
      <c r="BE388" s="298">
        <f>BF388-1</f>
        <v>45721</v>
      </c>
      <c r="BF388" s="298">
        <v>45722</v>
      </c>
      <c r="BG388" s="15" t="s">
        <v>553</v>
      </c>
      <c r="BH388" s="182"/>
      <c r="BI388" s="142" t="s">
        <v>20</v>
      </c>
      <c r="BJ388" s="135">
        <f>BK388</f>
        <v>45792</v>
      </c>
      <c r="BK388" s="135">
        <v>45792</v>
      </c>
      <c r="BL388" s="25">
        <v>980</v>
      </c>
      <c r="BM388" s="24" t="s">
        <v>593</v>
      </c>
    </row>
    <row r="389" spans="1:65" ht="14.25" hidden="1" customHeight="1">
      <c r="A389" s="15" t="s">
        <v>0</v>
      </c>
      <c r="B389" s="19"/>
      <c r="C389" s="184"/>
      <c r="D389" s="134"/>
      <c r="E389" s="134"/>
      <c r="F389" s="134"/>
      <c r="G389" s="134"/>
      <c r="H389" s="185"/>
      <c r="I389" s="19"/>
      <c r="J389" s="19"/>
      <c r="K389" s="186"/>
      <c r="L389" s="178"/>
      <c r="M389" s="15"/>
      <c r="N389" s="15"/>
      <c r="O389" s="15"/>
      <c r="P389" s="180"/>
      <c r="Q389" s="178"/>
      <c r="R389" s="15"/>
      <c r="S389" s="180"/>
      <c r="T389" s="181"/>
      <c r="U389" s="181"/>
      <c r="V389" s="15">
        <v>319.20999999999998</v>
      </c>
      <c r="W389" s="15"/>
      <c r="X389" s="15"/>
      <c r="Y389" s="15"/>
      <c r="Z389" s="15"/>
      <c r="AA389" s="15"/>
      <c r="AB389" s="23">
        <f t="shared" si="9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82"/>
      <c r="AM389" s="15"/>
      <c r="AN389" s="135"/>
      <c r="AO389" s="135"/>
      <c r="AP389" s="135"/>
      <c r="AQ389" s="135"/>
      <c r="AR389" s="135"/>
      <c r="AS389" s="135"/>
      <c r="AT389" s="187"/>
      <c r="AU389" s="188"/>
      <c r="AV389" s="15"/>
      <c r="AW389" s="15"/>
      <c r="AX389" s="297"/>
      <c r="AY389" s="297"/>
      <c r="AZ389" s="187"/>
      <c r="BA389" s="188"/>
      <c r="BB389" s="15"/>
      <c r="BC389" s="135"/>
      <c r="BD389" s="135"/>
      <c r="BE389" s="135"/>
      <c r="BF389" s="135"/>
      <c r="BG389" s="15"/>
      <c r="BH389" s="182"/>
      <c r="BI389" s="15"/>
      <c r="BJ389" s="135"/>
      <c r="BK389" s="135"/>
      <c r="BL389" s="135"/>
      <c r="BM389" s="24"/>
    </row>
    <row r="390" spans="1:65" ht="14.25" customHeight="1">
      <c r="A390" s="15">
        <v>191</v>
      </c>
      <c r="B390" s="19" t="s">
        <v>284</v>
      </c>
      <c r="C390" s="184" t="s">
        <v>42</v>
      </c>
      <c r="D390" s="134">
        <v>6.3620000000000001</v>
      </c>
      <c r="E390" s="134">
        <f>D390*4</f>
        <v>25.448</v>
      </c>
      <c r="F390" s="134">
        <f>E390*8</f>
        <v>203.584</v>
      </c>
      <c r="G390" s="134"/>
      <c r="H390" s="185"/>
      <c r="I390" s="19"/>
      <c r="J390" s="19"/>
      <c r="K390" s="186"/>
      <c r="L390" s="178">
        <v>2.25</v>
      </c>
      <c r="M390" s="15">
        <v>2.1880000000000002</v>
      </c>
      <c r="N390" s="15">
        <v>2E-3</v>
      </c>
      <c r="O390" s="15">
        <v>0.183</v>
      </c>
      <c r="P390" s="180">
        <v>4.6230000000000002</v>
      </c>
      <c r="Q390" s="178">
        <v>0.24399999999999999</v>
      </c>
      <c r="R390" s="15">
        <v>5.0000000000000001E-3</v>
      </c>
      <c r="S390" s="180">
        <f>SUM(Q390:R390)</f>
        <v>0.249</v>
      </c>
      <c r="T390" s="181"/>
      <c r="U390" s="204" t="s">
        <v>575</v>
      </c>
      <c r="V390" s="15"/>
      <c r="W390" s="15" t="s">
        <v>504</v>
      </c>
      <c r="X390" s="15">
        <v>41.44</v>
      </c>
      <c r="Y390" s="15">
        <v>0.8</v>
      </c>
      <c r="Z390" s="15">
        <v>7.8</v>
      </c>
      <c r="AA390" s="15">
        <v>8.6</v>
      </c>
      <c r="AB390" s="23">
        <f t="shared" si="9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82"/>
      <c r="AM390" s="142" t="s">
        <v>20</v>
      </c>
      <c r="AN390" s="135" t="str">
        <f>AO390</f>
        <v>D</v>
      </c>
      <c r="AO390" s="135" t="s">
        <v>21</v>
      </c>
      <c r="AP390" s="372">
        <v>45659</v>
      </c>
      <c r="AQ390" s="372">
        <f>AR390-3</f>
        <v>45662</v>
      </c>
      <c r="AR390" s="372">
        <f>AS390-2</f>
        <v>45665</v>
      </c>
      <c r="AS390" s="372">
        <v>45667</v>
      </c>
      <c r="AT390" s="19" t="s">
        <v>543</v>
      </c>
      <c r="AU390" s="199"/>
      <c r="AV390" s="142" t="s">
        <v>20</v>
      </c>
      <c r="AW390" s="15" t="s">
        <v>6</v>
      </c>
      <c r="AX390" s="297">
        <v>45655</v>
      </c>
      <c r="AY390" s="297">
        <f>AX390</f>
        <v>45655</v>
      </c>
      <c r="AZ390" s="187" t="s">
        <v>543</v>
      </c>
      <c r="BA390" s="188"/>
      <c r="BB390" s="142" t="s">
        <v>20</v>
      </c>
      <c r="BC390" s="135"/>
      <c r="BD390" s="135" t="s">
        <v>21</v>
      </c>
      <c r="BE390" s="298">
        <f>BF390-2</f>
        <v>45719</v>
      </c>
      <c r="BF390" s="298">
        <v>45721</v>
      </c>
      <c r="BG390" s="15" t="s">
        <v>553</v>
      </c>
      <c r="BH390" s="182"/>
      <c r="BI390" s="142" t="s">
        <v>20</v>
      </c>
      <c r="BJ390" s="135">
        <v>45792</v>
      </c>
      <c r="BK390" s="135">
        <v>45792</v>
      </c>
      <c r="BL390" s="25">
        <v>980</v>
      </c>
      <c r="BM390" s="190" t="s">
        <v>593</v>
      </c>
    </row>
    <row r="391" spans="1:65" ht="14.25" hidden="1" customHeight="1">
      <c r="A391" s="15" t="s">
        <v>0</v>
      </c>
      <c r="B391" s="19"/>
      <c r="C391" s="184"/>
      <c r="D391" s="134"/>
      <c r="E391" s="134"/>
      <c r="F391" s="134"/>
      <c r="G391" s="134"/>
      <c r="H391" s="185"/>
      <c r="I391" s="19"/>
      <c r="J391" s="19"/>
      <c r="K391" s="186"/>
      <c r="L391" s="178"/>
      <c r="M391" s="15"/>
      <c r="N391" s="15"/>
      <c r="O391" s="15"/>
      <c r="P391" s="180"/>
      <c r="Q391" s="178"/>
      <c r="R391" s="15"/>
      <c r="S391" s="180"/>
      <c r="T391" s="181"/>
      <c r="U391" s="181"/>
      <c r="V391" s="15">
        <v>342.4</v>
      </c>
      <c r="W391" s="15"/>
      <c r="X391" s="15"/>
      <c r="Y391" s="15"/>
      <c r="Z391" s="15"/>
      <c r="AA391" s="15"/>
      <c r="AB391" s="23">
        <f t="shared" si="9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82"/>
      <c r="AM391" s="15"/>
      <c r="AN391" s="135"/>
      <c r="AO391" s="135"/>
      <c r="AP391" s="135"/>
      <c r="AQ391" s="135"/>
      <c r="AR391" s="135"/>
      <c r="AS391" s="135"/>
      <c r="AT391" s="187"/>
      <c r="AU391" s="188"/>
      <c r="AV391" s="15"/>
      <c r="AW391" s="15"/>
      <c r="AX391" s="297"/>
      <c r="AY391" s="297"/>
      <c r="AZ391" s="187"/>
      <c r="BA391" s="188"/>
      <c r="BB391" s="15"/>
      <c r="BC391" s="135"/>
      <c r="BD391" s="135"/>
      <c r="BE391" s="135"/>
      <c r="BF391" s="135"/>
      <c r="BG391" s="15"/>
      <c r="BH391" s="182"/>
      <c r="BI391" s="15"/>
      <c r="BJ391" s="135"/>
      <c r="BK391" s="135"/>
      <c r="BL391" s="135"/>
      <c r="BM391" s="24"/>
    </row>
    <row r="392" spans="1:65" ht="14.25" customHeight="1">
      <c r="A392" s="15">
        <v>192</v>
      </c>
      <c r="B392" s="19" t="s">
        <v>285</v>
      </c>
      <c r="C392" s="184" t="s">
        <v>37</v>
      </c>
      <c r="D392" s="134">
        <v>6.992</v>
      </c>
      <c r="E392" s="134">
        <f>D392*4</f>
        <v>27.968</v>
      </c>
      <c r="F392" s="134">
        <f>E392*8</f>
        <v>223.744</v>
      </c>
      <c r="G392" s="134"/>
      <c r="H392" s="185"/>
      <c r="I392" s="19"/>
      <c r="J392" s="19"/>
      <c r="K392" s="186"/>
      <c r="L392" s="178">
        <v>2.6070000000000002</v>
      </c>
      <c r="M392" s="15">
        <v>2.657</v>
      </c>
      <c r="N392" s="15">
        <v>2E-3</v>
      </c>
      <c r="O392" s="15">
        <v>0.21299999999999999</v>
      </c>
      <c r="P392" s="180">
        <v>5.4790000000000001</v>
      </c>
      <c r="Q392" s="178">
        <v>0.24399999999999999</v>
      </c>
      <c r="R392" s="15">
        <v>5.0000000000000001E-3</v>
      </c>
      <c r="S392" s="180">
        <f>SUM(Q392:R392)</f>
        <v>0.249</v>
      </c>
      <c r="T392" s="181"/>
      <c r="U392" s="204" t="s">
        <v>575</v>
      </c>
      <c r="V392" s="15"/>
      <c r="W392" s="15" t="s">
        <v>504</v>
      </c>
      <c r="X392" s="15">
        <v>41.44</v>
      </c>
      <c r="Y392" s="15">
        <v>0.8</v>
      </c>
      <c r="Z392" s="15">
        <v>7.8</v>
      </c>
      <c r="AA392" s="15">
        <v>8.6</v>
      </c>
      <c r="AB392" s="23">
        <f t="shared" si="9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82"/>
      <c r="AM392" s="142" t="s">
        <v>20</v>
      </c>
      <c r="AN392" s="135" t="str">
        <f>AO392</f>
        <v>D</v>
      </c>
      <c r="AO392" s="135" t="s">
        <v>21</v>
      </c>
      <c r="AP392" s="372">
        <v>45654</v>
      </c>
      <c r="AQ392" s="372">
        <v>45654</v>
      </c>
      <c r="AR392" s="372">
        <f>AS392-1</f>
        <v>45655</v>
      </c>
      <c r="AS392" s="372">
        <v>45656</v>
      </c>
      <c r="AT392" s="187" t="s">
        <v>595</v>
      </c>
      <c r="AU392" s="188"/>
      <c r="AV392" s="142" t="s">
        <v>20</v>
      </c>
      <c r="AW392" s="15" t="s">
        <v>6</v>
      </c>
      <c r="AX392" s="297">
        <v>45655</v>
      </c>
      <c r="AY392" s="297">
        <f>AX392</f>
        <v>45655</v>
      </c>
      <c r="AZ392" s="19" t="s">
        <v>596</v>
      </c>
      <c r="BA392" s="199"/>
      <c r="BB392" s="142" t="s">
        <v>20</v>
      </c>
      <c r="BC392" s="135"/>
      <c r="BD392" s="135" t="s">
        <v>21</v>
      </c>
      <c r="BE392" s="298">
        <f>BF392-1</f>
        <v>45718</v>
      </c>
      <c r="BF392" s="298">
        <v>45719</v>
      </c>
      <c r="BG392" s="15" t="s">
        <v>553</v>
      </c>
      <c r="BH392" s="182"/>
      <c r="BI392" s="142" t="s">
        <v>20</v>
      </c>
      <c r="BJ392" s="135">
        <v>45792</v>
      </c>
      <c r="BK392" s="135">
        <v>45792</v>
      </c>
      <c r="BL392" s="25">
        <v>1330</v>
      </c>
      <c r="BM392" s="190" t="s">
        <v>593</v>
      </c>
    </row>
    <row r="393" spans="1:65" ht="14.25" hidden="1" customHeight="1">
      <c r="A393" s="15" t="s">
        <v>0</v>
      </c>
      <c r="B393" s="19"/>
      <c r="C393" s="184"/>
      <c r="D393" s="134"/>
      <c r="E393" s="134"/>
      <c r="F393" s="134"/>
      <c r="G393" s="134"/>
      <c r="H393" s="185"/>
      <c r="I393" s="19"/>
      <c r="J393" s="19"/>
      <c r="K393" s="186"/>
      <c r="L393" s="178"/>
      <c r="M393" s="15"/>
      <c r="N393" s="15"/>
      <c r="O393" s="15"/>
      <c r="P393" s="180"/>
      <c r="Q393" s="178"/>
      <c r="R393" s="15"/>
      <c r="S393" s="180"/>
      <c r="T393" s="181"/>
      <c r="U393" s="181"/>
      <c r="V393" s="15">
        <v>337.31</v>
      </c>
      <c r="W393" s="15"/>
      <c r="X393" s="15"/>
      <c r="Y393" s="15"/>
      <c r="Z393" s="15"/>
      <c r="AA393" s="15"/>
      <c r="AB393" s="23">
        <f t="shared" si="9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82"/>
      <c r="AM393" s="15"/>
      <c r="AN393" s="135"/>
      <c r="AO393" s="135"/>
      <c r="AP393" s="135"/>
      <c r="AQ393" s="135"/>
      <c r="AR393" s="135"/>
      <c r="AS393" s="135"/>
      <c r="AT393" s="187"/>
      <c r="AU393" s="188"/>
      <c r="AV393" s="15"/>
      <c r="AW393" s="15"/>
      <c r="AX393" s="297"/>
      <c r="AY393" s="297"/>
      <c r="AZ393" s="187"/>
      <c r="BA393" s="188"/>
      <c r="BB393" s="15"/>
      <c r="BC393" s="135"/>
      <c r="BD393" s="135"/>
      <c r="BE393" s="135"/>
      <c r="BF393" s="135"/>
      <c r="BG393" s="15"/>
      <c r="BH393" s="182"/>
      <c r="BI393" s="15"/>
      <c r="BJ393" s="135"/>
      <c r="BK393" s="135"/>
      <c r="BL393" s="135"/>
      <c r="BM393" s="24"/>
    </row>
    <row r="394" spans="1:65" ht="14.25" customHeight="1">
      <c r="A394" s="15">
        <v>193</v>
      </c>
      <c r="B394" s="19" t="s">
        <v>287</v>
      </c>
      <c r="C394" s="184" t="s">
        <v>89</v>
      </c>
      <c r="D394" s="134">
        <v>8.6300000000000008</v>
      </c>
      <c r="E394" s="134">
        <f>D394*4</f>
        <v>34.520000000000003</v>
      </c>
      <c r="F394" s="134">
        <f>E394*8</f>
        <v>276.16000000000003</v>
      </c>
      <c r="G394" s="134"/>
      <c r="H394" s="185"/>
      <c r="I394" s="19"/>
      <c r="J394" s="19"/>
      <c r="K394" s="186"/>
      <c r="L394" s="178">
        <v>3.867</v>
      </c>
      <c r="M394" s="15">
        <v>3.306</v>
      </c>
      <c r="N394" s="15">
        <v>4.3E-3</v>
      </c>
      <c r="O394" s="15">
        <v>0.27500000000000002</v>
      </c>
      <c r="P394" s="180">
        <v>7.4523000000000001</v>
      </c>
      <c r="Q394" s="178">
        <v>0.36299999999999999</v>
      </c>
      <c r="R394" s="15">
        <v>6.0000000000000001E-3</v>
      </c>
      <c r="S394" s="180">
        <f>SUM(Q394:R394)</f>
        <v>0.36899999999999999</v>
      </c>
      <c r="T394" s="181"/>
      <c r="U394" s="204" t="s">
        <v>575</v>
      </c>
      <c r="V394" s="15"/>
      <c r="W394" s="15" t="s">
        <v>504</v>
      </c>
      <c r="X394" s="15">
        <v>51.64</v>
      </c>
      <c r="Y394" s="15">
        <v>0.97</v>
      </c>
      <c r="Z394" s="15">
        <v>9.82</v>
      </c>
      <c r="AA394" s="15">
        <v>10.790000000000001</v>
      </c>
      <c r="AB394" s="23">
        <f t="shared" si="91"/>
        <v>83.456000000000003</v>
      </c>
      <c r="AC394" s="15">
        <v>4172.8</v>
      </c>
      <c r="AD394" s="15">
        <v>81.819999999999993</v>
      </c>
      <c r="AE394" s="15">
        <v>408.9</v>
      </c>
      <c r="AF394" s="15"/>
      <c r="AG394" s="15">
        <v>203.94</v>
      </c>
      <c r="AH394" s="15"/>
      <c r="AI394" s="15"/>
      <c r="AJ394" s="15">
        <v>694.66</v>
      </c>
      <c r="AK394" s="15">
        <v>0.69465999999999994</v>
      </c>
      <c r="AL394" s="15"/>
      <c r="AM394" s="142" t="s">
        <v>20</v>
      </c>
      <c r="AN394" s="135" t="str">
        <f>AO394</f>
        <v>D</v>
      </c>
      <c r="AO394" s="135" t="s">
        <v>21</v>
      </c>
      <c r="AP394" s="372">
        <f t="shared" ref="AP394:AR394" si="105">AQ394-2</f>
        <v>45658</v>
      </c>
      <c r="AQ394" s="372">
        <f t="shared" si="105"/>
        <v>45660</v>
      </c>
      <c r="AR394" s="372">
        <f t="shared" si="105"/>
        <v>45662</v>
      </c>
      <c r="AS394" s="372">
        <v>45664</v>
      </c>
      <c r="AT394" s="187" t="s">
        <v>595</v>
      </c>
      <c r="AU394" s="188"/>
      <c r="AV394" s="142" t="s">
        <v>20</v>
      </c>
      <c r="AW394" s="15" t="s">
        <v>6</v>
      </c>
      <c r="AX394" s="297">
        <v>45655</v>
      </c>
      <c r="AY394" s="297">
        <f>AX394</f>
        <v>45655</v>
      </c>
      <c r="AZ394" s="19" t="s">
        <v>596</v>
      </c>
      <c r="BA394" s="188"/>
      <c r="BB394" s="142" t="s">
        <v>20</v>
      </c>
      <c r="BC394" s="135"/>
      <c r="BD394" s="135" t="s">
        <v>21</v>
      </c>
      <c r="BE394" s="298">
        <f>BF394-2</f>
        <v>45716</v>
      </c>
      <c r="BF394" s="298">
        <v>45718</v>
      </c>
      <c r="BG394" s="15" t="s">
        <v>581</v>
      </c>
      <c r="BH394" s="15"/>
      <c r="BI394" s="142" t="s">
        <v>20</v>
      </c>
      <c r="BJ394" s="135">
        <v>45792</v>
      </c>
      <c r="BK394" s="135">
        <v>45792</v>
      </c>
      <c r="BL394" s="25">
        <v>1560</v>
      </c>
      <c r="BM394" s="24" t="s">
        <v>593</v>
      </c>
    </row>
    <row r="395" spans="1:65" ht="14.25" hidden="1" customHeight="1">
      <c r="A395" s="15" t="s">
        <v>0</v>
      </c>
      <c r="B395" s="19"/>
      <c r="C395" s="184"/>
      <c r="D395" s="134"/>
      <c r="E395" s="134"/>
      <c r="F395" s="134"/>
      <c r="G395" s="134"/>
      <c r="H395" s="185"/>
      <c r="I395" s="19"/>
      <c r="J395" s="19"/>
      <c r="K395" s="186"/>
      <c r="L395" s="178"/>
      <c r="M395" s="15"/>
      <c r="N395" s="15"/>
      <c r="O395" s="15"/>
      <c r="P395" s="180"/>
      <c r="Q395" s="178"/>
      <c r="R395" s="15"/>
      <c r="S395" s="180"/>
      <c r="T395" s="181"/>
      <c r="U395" s="181"/>
      <c r="V395" s="15">
        <v>371.81</v>
      </c>
      <c r="W395" s="15"/>
      <c r="X395" s="15"/>
      <c r="Y395" s="15"/>
      <c r="Z395" s="15"/>
      <c r="AA395" s="15"/>
      <c r="AB395" s="23">
        <f t="shared" si="9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88"/>
      <c r="AM395" s="15"/>
      <c r="AN395" s="135"/>
      <c r="AO395" s="135"/>
      <c r="AP395" s="135"/>
      <c r="AQ395" s="135"/>
      <c r="AR395" s="135"/>
      <c r="AS395" s="135"/>
      <c r="AT395" s="187"/>
      <c r="AU395" s="188"/>
      <c r="AV395" s="15"/>
      <c r="AW395" s="15"/>
      <c r="AX395" s="297"/>
      <c r="AY395" s="297"/>
      <c r="AZ395" s="187"/>
      <c r="BA395" s="188"/>
      <c r="BB395" s="15"/>
      <c r="BC395" s="135"/>
      <c r="BD395" s="135"/>
      <c r="BE395" s="135"/>
      <c r="BF395" s="135"/>
      <c r="BG395" s="15"/>
      <c r="BH395" s="15"/>
      <c r="BI395" s="15"/>
      <c r="BJ395" s="135"/>
      <c r="BK395" s="135"/>
      <c r="BL395" s="135"/>
      <c r="BM395" s="24"/>
    </row>
    <row r="396" spans="1:65" ht="14.25" customHeight="1">
      <c r="A396" s="15">
        <v>194</v>
      </c>
      <c r="B396" s="19" t="s">
        <v>288</v>
      </c>
      <c r="C396" s="184" t="s">
        <v>56</v>
      </c>
      <c r="D396" s="134">
        <v>7.6219999999999999</v>
      </c>
      <c r="E396" s="134">
        <f>D396*4</f>
        <v>30.488</v>
      </c>
      <c r="F396" s="134">
        <f>E396*8</f>
        <v>243.904</v>
      </c>
      <c r="G396" s="134">
        <v>1</v>
      </c>
      <c r="H396" s="185">
        <v>5</v>
      </c>
      <c r="I396" s="19">
        <v>5</v>
      </c>
      <c r="J396" s="19">
        <v>5</v>
      </c>
      <c r="K396" s="186">
        <v>5</v>
      </c>
      <c r="L396" s="178">
        <v>2.6789999999999998</v>
      </c>
      <c r="M396" s="15">
        <v>3.133</v>
      </c>
      <c r="N396" s="15">
        <v>2.3E-3</v>
      </c>
      <c r="O396" s="15">
        <v>0.23299999999999998</v>
      </c>
      <c r="P396" s="180">
        <v>6.047299999999999</v>
      </c>
      <c r="Q396" s="178">
        <v>0.24399999999999999</v>
      </c>
      <c r="R396" s="15">
        <v>5.0000000000000001E-3</v>
      </c>
      <c r="S396" s="180">
        <f>SUM(Q396:R396)</f>
        <v>0.249</v>
      </c>
      <c r="T396" s="181"/>
      <c r="U396" s="204" t="s">
        <v>575</v>
      </c>
      <c r="V396" s="15"/>
      <c r="W396" s="15" t="s">
        <v>504</v>
      </c>
      <c r="X396" s="15">
        <v>41.44</v>
      </c>
      <c r="Y396" s="15">
        <v>0.8</v>
      </c>
      <c r="Z396" s="15">
        <v>23.14</v>
      </c>
      <c r="AA396" s="15">
        <f>Z396+Y396</f>
        <v>23.94</v>
      </c>
      <c r="AB396" s="23">
        <f t="shared" si="91"/>
        <v>190.06040000000002</v>
      </c>
      <c r="AC396" s="15"/>
      <c r="AD396" s="191">
        <f>154.18+133.13</f>
        <v>287.31</v>
      </c>
      <c r="AE396" s="191">
        <f>131.37+113.15+86.88</f>
        <v>331.4</v>
      </c>
      <c r="AF396" s="191"/>
      <c r="AG396" s="191">
        <f>229.43+688.25</f>
        <v>917.68000000000006</v>
      </c>
      <c r="AH396" s="191"/>
      <c r="AI396" s="191"/>
      <c r="AJ396" s="191">
        <f>SUM(AD396:AI396)</f>
        <v>1536.39</v>
      </c>
      <c r="AK396" s="15">
        <f>AJ396/1000</f>
        <v>1.5363900000000001</v>
      </c>
      <c r="AL396" s="188"/>
      <c r="AM396" s="142" t="s">
        <v>20</v>
      </c>
      <c r="AN396" s="135" t="s">
        <v>552</v>
      </c>
      <c r="AO396" s="135" t="s">
        <v>21</v>
      </c>
      <c r="AP396" s="372">
        <v>45667</v>
      </c>
      <c r="AQ396" s="372">
        <f>AR396-1</f>
        <v>45669</v>
      </c>
      <c r="AR396" s="372">
        <f>AS396-2</f>
        <v>45670</v>
      </c>
      <c r="AS396" s="372">
        <v>45672</v>
      </c>
      <c r="AT396" s="187" t="s">
        <v>595</v>
      </c>
      <c r="AU396" s="188"/>
      <c r="AV396" s="142" t="s">
        <v>20</v>
      </c>
      <c r="AW396" s="15" t="s">
        <v>6</v>
      </c>
      <c r="AX396" s="297">
        <v>45700</v>
      </c>
      <c r="AY396" s="297">
        <v>45700</v>
      </c>
      <c r="AZ396" s="187" t="s">
        <v>595</v>
      </c>
      <c r="BA396" s="188"/>
      <c r="BB396" s="142" t="s">
        <v>20</v>
      </c>
      <c r="BC396" s="135"/>
      <c r="BD396" s="135" t="s">
        <v>576</v>
      </c>
      <c r="BE396" s="298">
        <f>BF396-2</f>
        <v>45849</v>
      </c>
      <c r="BF396" s="298">
        <v>45851</v>
      </c>
      <c r="BG396" s="15" t="s">
        <v>510</v>
      </c>
      <c r="BH396" s="15"/>
      <c r="BI396" s="15"/>
      <c r="BJ396" s="135"/>
      <c r="BK396" s="135"/>
      <c r="BL396" s="138"/>
      <c r="BM396" s="24"/>
    </row>
    <row r="397" spans="1:65" ht="14.25" hidden="1" customHeight="1">
      <c r="A397" s="15" t="s">
        <v>0</v>
      </c>
      <c r="B397" s="19"/>
      <c r="C397" s="184"/>
      <c r="D397" s="134"/>
      <c r="E397" s="134"/>
      <c r="F397" s="134"/>
      <c r="G397" s="134"/>
      <c r="H397" s="185"/>
      <c r="I397" s="19"/>
      <c r="J397" s="19"/>
      <c r="K397" s="186"/>
      <c r="L397" s="178"/>
      <c r="M397" s="15"/>
      <c r="N397" s="15"/>
      <c r="O397" s="15"/>
      <c r="P397" s="180"/>
      <c r="Q397" s="178"/>
      <c r="R397" s="15"/>
      <c r="S397" s="180"/>
      <c r="T397" s="181"/>
      <c r="U397" s="181"/>
      <c r="V397" s="15">
        <v>371.54</v>
      </c>
      <c r="W397" s="15"/>
      <c r="X397" s="15"/>
      <c r="Y397" s="15"/>
      <c r="Z397" s="15"/>
      <c r="AA397" s="15"/>
      <c r="AB397" s="23">
        <f t="shared" si="9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8"/>
      <c r="AM397" s="15"/>
      <c r="AN397" s="135"/>
      <c r="AO397" s="135"/>
      <c r="AP397" s="135"/>
      <c r="AQ397" s="135"/>
      <c r="AR397" s="135"/>
      <c r="AS397" s="135"/>
      <c r="AT397" s="187"/>
      <c r="AU397" s="188"/>
      <c r="AV397" s="15"/>
      <c r="AW397" s="15"/>
      <c r="AX397" s="297"/>
      <c r="AY397" s="297"/>
      <c r="AZ397" s="187"/>
      <c r="BA397" s="188"/>
      <c r="BB397" s="15"/>
      <c r="BC397" s="135"/>
      <c r="BD397" s="135"/>
      <c r="BE397" s="135"/>
      <c r="BF397" s="135"/>
      <c r="BG397" s="15"/>
      <c r="BH397" s="15"/>
      <c r="BI397" s="15"/>
      <c r="BJ397" s="135"/>
      <c r="BK397" s="135"/>
      <c r="BL397" s="135"/>
      <c r="BM397" s="24"/>
    </row>
    <row r="398" spans="1:65" ht="14.25" customHeight="1">
      <c r="A398" s="15">
        <v>195</v>
      </c>
      <c r="B398" s="19" t="s">
        <v>290</v>
      </c>
      <c r="C398" s="184" t="s">
        <v>39</v>
      </c>
      <c r="D398" s="134">
        <v>7.7080000000000002</v>
      </c>
      <c r="E398" s="134">
        <f>D398*4</f>
        <v>30.832000000000001</v>
      </c>
      <c r="F398" s="134">
        <f>E398*8</f>
        <v>246.65600000000001</v>
      </c>
      <c r="G398" s="134">
        <v>1</v>
      </c>
      <c r="H398" s="185">
        <v>5</v>
      </c>
      <c r="I398" s="19">
        <v>5</v>
      </c>
      <c r="J398" s="19">
        <v>5</v>
      </c>
      <c r="K398" s="186">
        <v>5</v>
      </c>
      <c r="L398" s="178">
        <v>4.0570000000000004</v>
      </c>
      <c r="M398" s="15">
        <v>2.48</v>
      </c>
      <c r="N398" s="15">
        <v>6.0000000000000001E-3</v>
      </c>
      <c r="O398" s="15">
        <v>0.36499999999999999</v>
      </c>
      <c r="P398" s="180">
        <v>6.9080000000000013</v>
      </c>
      <c r="Q398" s="178">
        <v>0.436</v>
      </c>
      <c r="R398" s="15">
        <v>0.01</v>
      </c>
      <c r="S398" s="180">
        <f>SUM(Q398:R398)</f>
        <v>0.44600000000000001</v>
      </c>
      <c r="T398" s="181"/>
      <c r="U398" s="204" t="s">
        <v>575</v>
      </c>
      <c r="V398" s="15"/>
      <c r="W398" s="15" t="s">
        <v>541</v>
      </c>
      <c r="X398" s="15">
        <v>148.80000000000001</v>
      </c>
      <c r="Y398" s="15">
        <v>2.5099999999999998</v>
      </c>
      <c r="Z398" s="15">
        <v>37.049999999999997</v>
      </c>
      <c r="AA398" s="15">
        <f>Z398+Y398</f>
        <v>39.559999999999995</v>
      </c>
      <c r="AB398" s="23">
        <f t="shared" si="91"/>
        <v>309.76740000000001</v>
      </c>
      <c r="AC398" s="15"/>
      <c r="AD398" s="15">
        <v>255.02</v>
      </c>
      <c r="AE398" s="15">
        <v>289.23</v>
      </c>
      <c r="AF398" s="15">
        <v>691.07</v>
      </c>
      <c r="AG398" s="15"/>
      <c r="AH398" s="15">
        <v>1432.6</v>
      </c>
      <c r="AI398" s="15"/>
      <c r="AJ398" s="15">
        <f>SUM(AD398:AI398)</f>
        <v>2667.92</v>
      </c>
      <c r="AK398" s="15">
        <f>AJ398/1000</f>
        <v>2.6679200000000001</v>
      </c>
      <c r="AL398" s="15"/>
      <c r="AM398" s="142" t="s">
        <v>20</v>
      </c>
      <c r="AN398" s="135" t="s">
        <v>552</v>
      </c>
      <c r="AO398" s="135" t="s">
        <v>21</v>
      </c>
      <c r="AP398" s="372">
        <v>45677</v>
      </c>
      <c r="AQ398" s="372">
        <f>AP398+2</f>
        <v>45679</v>
      </c>
      <c r="AR398" s="372">
        <f>AS398-2</f>
        <v>45684</v>
      </c>
      <c r="AS398" s="372">
        <v>45686</v>
      </c>
      <c r="AT398" s="187" t="s">
        <v>595</v>
      </c>
      <c r="AU398" s="188"/>
      <c r="AV398" s="142" t="s">
        <v>20</v>
      </c>
      <c r="AW398" s="15" t="s">
        <v>6</v>
      </c>
      <c r="AX398" s="297">
        <v>45700</v>
      </c>
      <c r="AY398" s="297">
        <v>45700</v>
      </c>
      <c r="AZ398" s="187" t="s">
        <v>595</v>
      </c>
      <c r="BA398" s="188"/>
      <c r="BB398" s="142" t="s">
        <v>20</v>
      </c>
      <c r="BC398" s="135"/>
      <c r="BD398" s="135" t="s">
        <v>576</v>
      </c>
      <c r="BE398" s="298">
        <f>BF398-2</f>
        <v>45852</v>
      </c>
      <c r="BF398" s="298">
        <v>45854</v>
      </c>
      <c r="BG398" s="15" t="s">
        <v>510</v>
      </c>
      <c r="BH398" s="15"/>
      <c r="BI398" s="15"/>
      <c r="BJ398" s="135"/>
      <c r="BK398" s="135"/>
      <c r="BL398" s="25">
        <v>1001</v>
      </c>
      <c r="BM398" s="24"/>
    </row>
    <row r="399" spans="1:65" ht="14.25" hidden="1" customHeight="1">
      <c r="A399" s="15" t="s">
        <v>0</v>
      </c>
      <c r="B399" s="19"/>
      <c r="C399" s="184"/>
      <c r="D399" s="134"/>
      <c r="E399" s="134"/>
      <c r="F399" s="134"/>
      <c r="G399" s="134"/>
      <c r="H399" s="185"/>
      <c r="I399" s="19"/>
      <c r="J399" s="19"/>
      <c r="K399" s="186"/>
      <c r="L399" s="178"/>
      <c r="M399" s="15"/>
      <c r="N399" s="15"/>
      <c r="O399" s="15"/>
      <c r="P399" s="180"/>
      <c r="Q399" s="178"/>
      <c r="R399" s="15"/>
      <c r="S399" s="180"/>
      <c r="T399" s="181"/>
      <c r="U399" s="181"/>
      <c r="V399" s="15">
        <v>303</v>
      </c>
      <c r="W399" s="15"/>
      <c r="X399" s="15"/>
      <c r="Y399" s="15"/>
      <c r="Z399" s="15"/>
      <c r="AA399" s="15"/>
      <c r="AB399" s="23">
        <f t="shared" si="9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2"/>
      <c r="AM399" s="15"/>
      <c r="AN399" s="135"/>
      <c r="AO399" s="135"/>
      <c r="AP399" s="135"/>
      <c r="AQ399" s="135"/>
      <c r="AR399" s="135"/>
      <c r="AS399" s="135"/>
      <c r="AT399" s="187"/>
      <c r="AU399" s="188"/>
      <c r="AV399" s="15"/>
      <c r="AW399" s="15"/>
      <c r="AX399" s="297"/>
      <c r="AY399" s="297"/>
      <c r="AZ399" s="187"/>
      <c r="BA399" s="188"/>
      <c r="BB399" s="15"/>
      <c r="BC399" s="135"/>
      <c r="BD399" s="135"/>
      <c r="BE399" s="135"/>
      <c r="BF399" s="135"/>
      <c r="BG399" s="15"/>
      <c r="BH399" s="182"/>
      <c r="BI399" s="15"/>
      <c r="BJ399" s="135"/>
      <c r="BK399" s="135"/>
      <c r="BL399" s="135"/>
      <c r="BM399" s="24"/>
    </row>
    <row r="400" spans="1:65" ht="14.25" customHeight="1">
      <c r="A400" s="15">
        <v>196</v>
      </c>
      <c r="B400" s="19" t="s">
        <v>291</v>
      </c>
      <c r="C400" s="184" t="s">
        <v>42</v>
      </c>
      <c r="D400" s="134">
        <v>6.3620000000000001</v>
      </c>
      <c r="E400" s="134">
        <f>D400*4</f>
        <v>25.448</v>
      </c>
      <c r="F400" s="134">
        <f>E400*8</f>
        <v>203.584</v>
      </c>
      <c r="G400" s="134">
        <v>1</v>
      </c>
      <c r="H400" s="185">
        <v>2</v>
      </c>
      <c r="I400" s="19">
        <v>2</v>
      </c>
      <c r="J400" s="19">
        <v>2</v>
      </c>
      <c r="K400" s="186">
        <v>2</v>
      </c>
      <c r="L400" s="178">
        <v>2.25</v>
      </c>
      <c r="M400" s="15">
        <v>2.1880000000000002</v>
      </c>
      <c r="N400" s="15">
        <v>2E-3</v>
      </c>
      <c r="O400" s="15">
        <v>0.183</v>
      </c>
      <c r="P400" s="180">
        <v>4.6230000000000002</v>
      </c>
      <c r="Q400" s="178">
        <v>0.24399999999999999</v>
      </c>
      <c r="R400" s="15">
        <v>5.0000000000000001E-3</v>
      </c>
      <c r="S400" s="180">
        <f>SUM(Q400:R400)</f>
        <v>0.249</v>
      </c>
      <c r="T400" s="181"/>
      <c r="U400" s="204" t="s">
        <v>575</v>
      </c>
      <c r="V400" s="15"/>
      <c r="W400" s="15" t="s">
        <v>541</v>
      </c>
      <c r="X400" s="15">
        <v>91.76</v>
      </c>
      <c r="Y400" s="15">
        <v>1.61</v>
      </c>
      <c r="Z400" s="15">
        <v>17.579999999999998</v>
      </c>
      <c r="AA400" s="15">
        <f>Z400+Y400</f>
        <v>19.189999999999998</v>
      </c>
      <c r="AB400" s="23">
        <f t="shared" si="91"/>
        <v>148.8432</v>
      </c>
      <c r="AC400" s="15"/>
      <c r="AD400" s="15">
        <v>130.54</v>
      </c>
      <c r="AE400" s="15">
        <v>491.04</v>
      </c>
      <c r="AF400" s="15"/>
      <c r="AG400" s="15">
        <v>302.14999999999998</v>
      </c>
      <c r="AH400" s="15">
        <v>236.06</v>
      </c>
      <c r="AI400" s="15"/>
      <c r="AJ400" s="15">
        <f>SUM(AD400:AI400)</f>
        <v>1159.79</v>
      </c>
      <c r="AK400" s="15">
        <f>AJ400/1000</f>
        <v>1.1597899999999999</v>
      </c>
      <c r="AL400" s="182"/>
      <c r="AM400" s="142" t="s">
        <v>20</v>
      </c>
      <c r="AN400" s="135" t="s">
        <v>21</v>
      </c>
      <c r="AO400" s="135" t="s">
        <v>21</v>
      </c>
      <c r="AP400" s="372">
        <v>45674</v>
      </c>
      <c r="AQ400" s="372">
        <v>45676</v>
      </c>
      <c r="AR400" s="372">
        <v>45678</v>
      </c>
      <c r="AS400" s="372">
        <v>45680</v>
      </c>
      <c r="AT400" s="187" t="s">
        <v>595</v>
      </c>
      <c r="AU400" s="188"/>
      <c r="AV400" s="142" t="s">
        <v>20</v>
      </c>
      <c r="AW400" s="15" t="s">
        <v>6</v>
      </c>
      <c r="AX400" s="297">
        <v>45700</v>
      </c>
      <c r="AY400" s="297">
        <v>45700</v>
      </c>
      <c r="AZ400" s="187" t="s">
        <v>595</v>
      </c>
      <c r="BA400" s="188"/>
      <c r="BB400" s="142" t="s">
        <v>20</v>
      </c>
      <c r="BC400" s="135"/>
      <c r="BD400" s="135" t="s">
        <v>21</v>
      </c>
      <c r="BE400" s="298">
        <f>BF400-1</f>
        <v>45806</v>
      </c>
      <c r="BF400" s="298">
        <v>45807</v>
      </c>
      <c r="BG400" s="15" t="s">
        <v>510</v>
      </c>
      <c r="BH400" s="182"/>
      <c r="BI400" s="15"/>
      <c r="BJ400" s="135"/>
      <c r="BK400" s="135"/>
      <c r="BL400" s="138"/>
      <c r="BM400" s="24"/>
    </row>
    <row r="401" spans="1:64" ht="14.25" hidden="1" customHeight="1">
      <c r="A401" s="15"/>
      <c r="B401" s="19"/>
      <c r="C401" s="184"/>
      <c r="D401" s="134"/>
      <c r="E401" s="134"/>
      <c r="F401" s="134"/>
      <c r="G401" s="134"/>
      <c r="H401" s="185"/>
      <c r="I401" s="19"/>
      <c r="J401" s="19"/>
      <c r="K401" s="186"/>
      <c r="L401" s="178"/>
      <c r="M401" s="15"/>
      <c r="N401" s="15"/>
      <c r="O401" s="15"/>
      <c r="P401" s="180"/>
      <c r="Q401" s="178"/>
      <c r="R401" s="15"/>
      <c r="S401" s="180"/>
      <c r="T401" s="181"/>
      <c r="U401" s="181"/>
      <c r="V401" s="15">
        <v>303</v>
      </c>
      <c r="W401" s="15"/>
      <c r="X401" s="15"/>
      <c r="Y401" s="15"/>
      <c r="Z401" s="15"/>
      <c r="AA401" s="15"/>
      <c r="AB401" s="23">
        <f t="shared" si="9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82"/>
      <c r="AM401" s="15"/>
      <c r="AN401" s="135"/>
      <c r="AO401" s="135"/>
      <c r="AP401" s="135"/>
      <c r="AQ401" s="135"/>
      <c r="AR401" s="135"/>
      <c r="AS401" s="135"/>
      <c r="AT401" s="187"/>
      <c r="AU401" s="188"/>
      <c r="AV401" s="15"/>
      <c r="AW401" s="15"/>
      <c r="AX401" s="297"/>
      <c r="AY401" s="297"/>
      <c r="AZ401" s="187"/>
      <c r="BA401" s="188"/>
      <c r="BB401" s="15"/>
      <c r="BC401" s="135"/>
      <c r="BD401" s="135"/>
      <c r="BE401" s="135"/>
      <c r="BF401" s="135"/>
      <c r="BG401" s="15"/>
      <c r="BH401" s="182"/>
      <c r="BI401" s="15"/>
      <c r="BL401"/>
    </row>
    <row r="402" spans="1:64" ht="14.25" customHeight="1">
      <c r="A402" s="15">
        <v>197</v>
      </c>
      <c r="B402" s="19" t="s">
        <v>292</v>
      </c>
      <c r="C402" s="184" t="s">
        <v>42</v>
      </c>
      <c r="D402" s="134">
        <v>6.3620000000000001</v>
      </c>
      <c r="E402" s="134">
        <f>D402*4</f>
        <v>25.448</v>
      </c>
      <c r="F402" s="134">
        <f>E402*8</f>
        <v>203.584</v>
      </c>
      <c r="G402" s="134"/>
      <c r="H402" s="185"/>
      <c r="I402" s="19"/>
      <c r="J402" s="19"/>
      <c r="K402" s="186"/>
      <c r="L402" s="178">
        <v>2.25</v>
      </c>
      <c r="M402" s="15">
        <v>2.1880000000000002</v>
      </c>
      <c r="N402" s="15">
        <v>2E-3</v>
      </c>
      <c r="O402" s="15">
        <v>0.183</v>
      </c>
      <c r="P402" s="180">
        <v>4.6230000000000002</v>
      </c>
      <c r="Q402" s="178">
        <v>0.24399999999999999</v>
      </c>
      <c r="R402" s="15">
        <v>5.0000000000000001E-3</v>
      </c>
      <c r="S402" s="180">
        <f>SUM(Q402:R402)</f>
        <v>0.249</v>
      </c>
      <c r="T402" s="181"/>
      <c r="U402" s="204" t="s">
        <v>575</v>
      </c>
      <c r="V402" s="15"/>
      <c r="W402" s="15" t="s">
        <v>504</v>
      </c>
      <c r="X402" s="15">
        <v>41.44</v>
      </c>
      <c r="Y402" s="15">
        <v>0.8</v>
      </c>
      <c r="Z402" s="15">
        <v>7.8</v>
      </c>
      <c r="AA402" s="15">
        <v>8.6</v>
      </c>
      <c r="AB402" s="23">
        <f t="shared" si="91"/>
        <v>66.42</v>
      </c>
      <c r="AC402" s="15">
        <v>3321</v>
      </c>
      <c r="AD402" s="191">
        <v>73.73</v>
      </c>
      <c r="AE402" s="191">
        <v>301.5</v>
      </c>
      <c r="AF402" s="191"/>
      <c r="AG402" s="191">
        <v>206.46</v>
      </c>
      <c r="AH402" s="191"/>
      <c r="AI402" s="191"/>
      <c r="AJ402" s="191">
        <v>581.69000000000005</v>
      </c>
      <c r="AK402" s="15">
        <v>0.58169000000000004</v>
      </c>
      <c r="AL402" s="182"/>
      <c r="AM402" s="142" t="s">
        <v>20</v>
      </c>
      <c r="AN402" s="135" t="str">
        <f>AO402</f>
        <v>D</v>
      </c>
      <c r="AO402" s="135" t="s">
        <v>21</v>
      </c>
      <c r="AP402" s="372">
        <f t="shared" ref="AP402:AQ402" si="106">AQ402-2</f>
        <v>45698</v>
      </c>
      <c r="AQ402" s="372">
        <f t="shared" si="106"/>
        <v>45700</v>
      </c>
      <c r="AR402" s="372">
        <f>AS402-1</f>
        <v>45702</v>
      </c>
      <c r="AS402" s="372">
        <v>45703</v>
      </c>
      <c r="AT402" s="187" t="s">
        <v>595</v>
      </c>
      <c r="AU402" s="188"/>
      <c r="AV402" s="142" t="s">
        <v>20</v>
      </c>
      <c r="AW402" s="15" t="s">
        <v>6</v>
      </c>
      <c r="AX402" s="297">
        <f>AY402</f>
        <v>45719</v>
      </c>
      <c r="AY402" s="297">
        <v>45719</v>
      </c>
      <c r="AZ402" s="19" t="s">
        <v>596</v>
      </c>
      <c r="BA402" s="199"/>
      <c r="BB402" s="142" t="s">
        <v>20</v>
      </c>
      <c r="BC402" s="135"/>
      <c r="BD402" s="135" t="s">
        <v>21</v>
      </c>
      <c r="BE402" s="298">
        <f>BF402-2</f>
        <v>45801</v>
      </c>
      <c r="BF402" s="298">
        <v>45803</v>
      </c>
      <c r="BG402" s="17" t="s">
        <v>600</v>
      </c>
      <c r="BH402" s="182"/>
      <c r="BI402" s="15"/>
    </row>
    <row r="403" spans="1:64" ht="14.25" hidden="1" customHeight="1">
      <c r="A403" s="15"/>
      <c r="B403" s="19"/>
      <c r="C403" s="184"/>
      <c r="D403" s="134"/>
      <c r="E403" s="134"/>
      <c r="F403" s="134"/>
      <c r="G403" s="134"/>
      <c r="H403" s="185"/>
      <c r="I403" s="19"/>
      <c r="J403" s="19"/>
      <c r="K403" s="186"/>
      <c r="L403" s="178"/>
      <c r="M403" s="15"/>
      <c r="N403" s="15"/>
      <c r="O403" s="15"/>
      <c r="P403" s="180"/>
      <c r="Q403" s="178"/>
      <c r="R403" s="15"/>
      <c r="S403" s="180"/>
      <c r="T403" s="181"/>
      <c r="U403" s="181"/>
      <c r="V403" s="15">
        <v>303.22000000000003</v>
      </c>
      <c r="W403" s="15"/>
      <c r="X403" s="15"/>
      <c r="Y403" s="15"/>
      <c r="Z403" s="15"/>
      <c r="AA403" s="15"/>
      <c r="AB403" s="23">
        <f t="shared" si="9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82"/>
      <c r="AM403" s="15"/>
      <c r="AN403" s="135"/>
      <c r="AO403" s="135"/>
      <c r="AP403" s="135"/>
      <c r="AQ403" s="135"/>
      <c r="AR403" s="135"/>
      <c r="AS403" s="135"/>
      <c r="AT403" s="187"/>
      <c r="AU403" s="188"/>
      <c r="AV403" s="15"/>
      <c r="AW403" s="15"/>
      <c r="AX403" s="297"/>
      <c r="AY403" s="297"/>
      <c r="AZ403" s="187"/>
      <c r="BA403" s="188"/>
      <c r="BB403" s="15"/>
      <c r="BC403" s="135"/>
      <c r="BD403" s="135"/>
      <c r="BE403" s="135"/>
      <c r="BF403" s="135"/>
      <c r="BG403" s="15"/>
      <c r="BH403" s="182"/>
      <c r="BI403" s="15"/>
      <c r="BL403"/>
    </row>
    <row r="404" spans="1:64" ht="14.25" hidden="1" customHeight="1">
      <c r="A404" s="15">
        <v>198</v>
      </c>
      <c r="B404" s="19" t="s">
        <v>294</v>
      </c>
      <c r="C404" s="184" t="s">
        <v>34</v>
      </c>
      <c r="D404" s="134">
        <v>9.6539999999999999</v>
      </c>
      <c r="E404" s="134">
        <f>D404*4</f>
        <v>38.616</v>
      </c>
      <c r="F404" s="134">
        <f>E404*8</f>
        <v>308.928</v>
      </c>
      <c r="G404" s="134"/>
      <c r="H404" s="185"/>
      <c r="I404" s="19"/>
      <c r="J404" s="19"/>
      <c r="K404" s="186"/>
      <c r="L404" s="178">
        <v>4.8070000000000004</v>
      </c>
      <c r="M404" s="15">
        <v>4.016</v>
      </c>
      <c r="N404" s="15">
        <v>7.0000000000000001E-3</v>
      </c>
      <c r="O404" s="15">
        <v>0.43099999999999999</v>
      </c>
      <c r="P404" s="180">
        <v>9.26</v>
      </c>
      <c r="Q404" s="178">
        <v>0.55700000000000005</v>
      </c>
      <c r="R404" s="15">
        <v>0.01</v>
      </c>
      <c r="S404" s="180">
        <f>SUM(Q404:R404)</f>
        <v>0.56700000000000006</v>
      </c>
      <c r="T404" s="181"/>
      <c r="U404" s="204" t="s">
        <v>575</v>
      </c>
      <c r="V404" s="15"/>
      <c r="W404" s="15" t="s">
        <v>504</v>
      </c>
      <c r="X404" s="15">
        <v>119.36</v>
      </c>
      <c r="Y404" s="15">
        <v>2.0499999999999998</v>
      </c>
      <c r="Z404" s="15">
        <v>18.37</v>
      </c>
      <c r="AA404" s="15">
        <v>20.420000000000002</v>
      </c>
      <c r="AB404" s="23">
        <f t="shared" si="91"/>
        <v>157.16420000000002</v>
      </c>
      <c r="AC404" s="15">
        <v>7858.2100000000009</v>
      </c>
      <c r="AD404" s="15">
        <v>89.9</v>
      </c>
      <c r="AE404" s="15"/>
      <c r="AF404" s="15">
        <v>1115.3400000000001</v>
      </c>
      <c r="AG404" s="15">
        <v>198.68</v>
      </c>
      <c r="AH404" s="15"/>
      <c r="AI404" s="15"/>
      <c r="AJ404" s="15">
        <v>1403.9200000000003</v>
      </c>
      <c r="AK404" s="15">
        <v>1.4039200000000003</v>
      </c>
      <c r="AL404" s="182"/>
      <c r="AM404" s="15"/>
      <c r="AN404" s="135"/>
      <c r="AO404" s="135"/>
      <c r="AP404" s="372"/>
      <c r="AQ404" s="372"/>
      <c r="AR404" s="372"/>
      <c r="AS404" s="372"/>
      <c r="AT404" s="19" t="s">
        <v>608</v>
      </c>
      <c r="AU404" s="199"/>
      <c r="AV404" s="15"/>
      <c r="AW404" s="15"/>
      <c r="AX404" s="297"/>
      <c r="AY404" s="297"/>
      <c r="AZ404" s="187"/>
      <c r="BA404" s="188"/>
      <c r="BB404" s="15"/>
      <c r="BC404" s="135"/>
      <c r="BD404" s="135"/>
      <c r="BE404" s="135"/>
      <c r="BF404" s="135"/>
      <c r="BG404" s="15"/>
      <c r="BH404" s="182"/>
      <c r="BI404" s="15"/>
    </row>
    <row r="405" spans="1:64" ht="19.5" hidden="1" customHeight="1">
      <c r="A405" s="15"/>
      <c r="B405" s="19"/>
      <c r="C405" s="184"/>
      <c r="D405" s="134"/>
      <c r="E405" s="134"/>
      <c r="F405" s="134"/>
      <c r="G405" s="134"/>
      <c r="H405" s="185"/>
      <c r="I405" s="19"/>
      <c r="J405" s="19"/>
      <c r="K405" s="186"/>
      <c r="L405" s="178"/>
      <c r="M405" s="15"/>
      <c r="N405" s="15"/>
      <c r="O405" s="15"/>
      <c r="P405" s="180"/>
      <c r="Q405" s="178"/>
      <c r="R405" s="15"/>
      <c r="S405" s="180"/>
      <c r="T405" s="181"/>
      <c r="U405" s="181"/>
      <c r="V405" s="15">
        <v>209</v>
      </c>
      <c r="W405" s="15"/>
      <c r="X405" s="15"/>
      <c r="Y405" s="15"/>
      <c r="Z405" s="15"/>
      <c r="AA405" s="15"/>
      <c r="AB405" s="23">
        <f t="shared" si="9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82"/>
      <c r="AM405" s="15">
        <f>+COUNTIF($AM$8:$AM$404,"C")</f>
        <v>196</v>
      </c>
      <c r="AN405" s="135"/>
      <c r="AO405" s="15">
        <f>+COUNTIF($AO$8:$AO$404,"D")</f>
        <v>171</v>
      </c>
      <c r="AP405" s="135"/>
      <c r="AQ405" s="135"/>
      <c r="AR405" s="135"/>
      <c r="AS405" s="135"/>
      <c r="AT405" s="187"/>
      <c r="AU405" s="188"/>
      <c r="AV405" s="15">
        <f>+COUNTIF($AV$8:$AV$404,"C")</f>
        <v>196</v>
      </c>
      <c r="AW405" s="15"/>
      <c r="AX405" s="297"/>
      <c r="AY405" s="297"/>
      <c r="AZ405" s="187"/>
      <c r="BA405" s="188"/>
      <c r="BB405" s="15">
        <f>+COUNTIF($BB$8:$BB$404,"C")</f>
        <v>195</v>
      </c>
      <c r="BC405" s="135"/>
      <c r="BD405" s="15">
        <f>+COUNTIF($BD$8:$BD$404,"D")</f>
        <v>139</v>
      </c>
      <c r="BE405" s="135"/>
      <c r="BF405" s="135"/>
      <c r="BG405" s="15"/>
      <c r="BH405" s="182"/>
      <c r="BI405" s="15">
        <f>+COUNTIF($BI$8:$BI$404,"C")</f>
        <v>167</v>
      </c>
      <c r="BL405"/>
    </row>
    <row r="406" spans="1:64" ht="93.75" hidden="1" customHeight="1" thickBot="1">
      <c r="A406" s="15">
        <v>199</v>
      </c>
      <c r="B406" s="19" t="s">
        <v>295</v>
      </c>
      <c r="C406" s="184" t="s">
        <v>34</v>
      </c>
      <c r="D406" s="134">
        <v>9.6539999999999999</v>
      </c>
      <c r="E406" s="134">
        <f>D406*4</f>
        <v>38.616</v>
      </c>
      <c r="F406" s="134">
        <f>E406*8</f>
        <v>308.928</v>
      </c>
      <c r="G406" s="186"/>
      <c r="H406" s="212"/>
      <c r="I406" s="213"/>
      <c r="J406" s="213"/>
      <c r="K406" s="214"/>
      <c r="L406" s="215">
        <v>4.8070000000000004</v>
      </c>
      <c r="M406" s="216">
        <v>4.016</v>
      </c>
      <c r="N406" s="216">
        <v>7.0000000000000001E-3</v>
      </c>
      <c r="O406" s="216">
        <v>0.43099999999999999</v>
      </c>
      <c r="P406" s="217">
        <v>9.26</v>
      </c>
      <c r="Q406" s="215">
        <v>0.55700000000000005</v>
      </c>
      <c r="R406" s="216">
        <v>0.01</v>
      </c>
      <c r="S406" s="217">
        <f>SUM(Q406:R406)</f>
        <v>0.56700000000000006</v>
      </c>
      <c r="T406" s="218"/>
      <c r="U406" s="219" t="s">
        <v>575</v>
      </c>
      <c r="V406" s="15"/>
      <c r="W406" s="15" t="s">
        <v>541</v>
      </c>
      <c r="X406" s="15">
        <v>220.64</v>
      </c>
      <c r="Y406" s="15">
        <v>3.61</v>
      </c>
      <c r="Z406" s="15">
        <v>27.92</v>
      </c>
      <c r="AA406" s="15">
        <v>31.53</v>
      </c>
      <c r="AB406" s="23">
        <f t="shared" si="91"/>
        <v>241.06360000000004</v>
      </c>
      <c r="AC406" s="15">
        <v>12053.180000000002</v>
      </c>
      <c r="AD406" s="15">
        <v>77.930000000000007</v>
      </c>
      <c r="AE406" s="15"/>
      <c r="AF406" s="15">
        <v>1601.75</v>
      </c>
      <c r="AG406" s="15">
        <v>96.72</v>
      </c>
      <c r="AH406" s="15">
        <v>151.11000000000001</v>
      </c>
      <c r="AI406" s="15"/>
      <c r="AJ406" s="15">
        <v>1927.5100000000002</v>
      </c>
      <c r="AK406" s="15">
        <v>1.9275100000000003</v>
      </c>
      <c r="AL406" s="182"/>
      <c r="AM406" s="15"/>
      <c r="AN406" s="135"/>
      <c r="AO406" s="135"/>
      <c r="AP406" s="135"/>
      <c r="AQ406" s="135"/>
      <c r="AR406" s="135"/>
      <c r="AS406" s="135"/>
      <c r="AT406" s="19" t="s">
        <v>608</v>
      </c>
      <c r="AU406" s="199"/>
      <c r="AV406" s="15"/>
      <c r="AW406" s="15"/>
      <c r="AX406" s="297"/>
      <c r="AY406" s="297"/>
      <c r="AZ406" s="187"/>
      <c r="BA406" s="188"/>
      <c r="BB406" s="15"/>
      <c r="BC406" s="135"/>
      <c r="BD406" s="135"/>
      <c r="BE406" s="135"/>
      <c r="BF406" s="135"/>
      <c r="BG406" s="15"/>
      <c r="BH406" s="182"/>
      <c r="BI406" s="15"/>
    </row>
    <row r="407" spans="1:64" ht="14.25" hidden="1" customHeight="1" thickTop="1">
      <c r="V407" s="145">
        <v>100</v>
      </c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148"/>
      <c r="AM407" s="43"/>
      <c r="AU407" s="149"/>
      <c r="BA407" s="149"/>
      <c r="BE407"/>
      <c r="BF407"/>
      <c r="BH407" s="149"/>
      <c r="BL407"/>
    </row>
    <row r="408" spans="1:64" ht="14.25" hidden="1" customHeight="1">
      <c r="F408" s="145">
        <v>49560</v>
      </c>
      <c r="W408" s="43"/>
      <c r="X408" s="43"/>
      <c r="Y408" s="43"/>
      <c r="Z408" s="43"/>
      <c r="AA408" s="43"/>
      <c r="AB408" s="43"/>
      <c r="AC408" s="43"/>
      <c r="AD408" s="43">
        <v>4.5</v>
      </c>
      <c r="AE408" s="43">
        <v>16</v>
      </c>
      <c r="AF408" s="43">
        <v>15</v>
      </c>
      <c r="AG408" s="43">
        <v>9.1999999999999993</v>
      </c>
      <c r="AH408" s="43">
        <v>3</v>
      </c>
      <c r="AI408" s="43">
        <v>3.5</v>
      </c>
      <c r="AJ408" s="43">
        <f t="shared" ref="AJ408:AK408" si="107">SUM(AJ8:AJ404)</f>
        <v>179279.71000000031</v>
      </c>
      <c r="AK408" s="43">
        <f t="shared" si="107"/>
        <v>179.18973999999994</v>
      </c>
      <c r="AL408" s="148"/>
      <c r="AM408" s="43"/>
      <c r="AU408" s="149"/>
      <c r="BA408" s="149"/>
      <c r="BE408"/>
      <c r="BF408" s="145">
        <v>5</v>
      </c>
      <c r="BH408" s="149"/>
      <c r="BL408"/>
    </row>
    <row r="409" spans="1:64" ht="14.25" hidden="1" customHeight="1"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>
        <f>AJ408/1000</f>
        <v>179.27971000000031</v>
      </c>
      <c r="AK409" s="43"/>
      <c r="AL409" s="148"/>
      <c r="AM409" s="43"/>
      <c r="AU409" s="149"/>
      <c r="BA409" s="149"/>
      <c r="BE409"/>
      <c r="BF409" s="145">
        <v>16</v>
      </c>
      <c r="BH409" s="149"/>
      <c r="BL409"/>
    </row>
  </sheetData>
  <autoFilter ref="A6:BM409" xr:uid="{00000000-0001-0000-0700-000000000000}">
    <filterColumn colId="27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41" showButton="0"/>
    <filterColumn colId="43" showButton="0"/>
    <filterColumn colId="53">
      <filters>
        <filter val="C"/>
      </filters>
    </filterColumn>
  </autoFilter>
  <mergeCells count="7"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4DED-F8A8-4A35-8E37-3046E4BB5740}">
  <sheetPr filterMode="1"/>
  <dimension ref="A1:N207"/>
  <sheetViews>
    <sheetView tabSelected="1" workbookViewId="0">
      <selection activeCell="I2" sqref="I2"/>
    </sheetView>
  </sheetViews>
  <sheetFormatPr defaultRowHeight="14.5"/>
  <cols>
    <col min="5" max="5" width="10.453125" bestFit="1" customWidth="1"/>
    <col min="7" max="7" width="20.7265625" customWidth="1"/>
    <col min="9" max="9" width="12.90625" bestFit="1" customWidth="1"/>
    <col min="10" max="10" width="25.54296875" bestFit="1" customWidth="1"/>
  </cols>
  <sheetData>
    <row r="1" spans="1:14" ht="29">
      <c r="A1" s="437" t="s">
        <v>2</v>
      </c>
      <c r="B1" s="437" t="s">
        <v>719</v>
      </c>
      <c r="C1" s="437" t="s">
        <v>495</v>
      </c>
      <c r="D1" s="437" t="s">
        <v>720</v>
      </c>
      <c r="E1" s="438" t="s">
        <v>721</v>
      </c>
      <c r="F1" s="437" t="s">
        <v>722</v>
      </c>
      <c r="G1" s="437" t="s">
        <v>477</v>
      </c>
      <c r="H1" s="437" t="s">
        <v>623</v>
      </c>
      <c r="I1" s="438" t="s">
        <v>723</v>
      </c>
      <c r="J1" s="437" t="s">
        <v>724</v>
      </c>
      <c r="K1" s="437" t="s">
        <v>725</v>
      </c>
      <c r="L1" s="439" t="s">
        <v>726</v>
      </c>
      <c r="M1" s="437" t="s">
        <v>15</v>
      </c>
      <c r="N1" s="440" t="s">
        <v>727</v>
      </c>
    </row>
    <row r="2" spans="1:14">
      <c r="A2">
        <v>1</v>
      </c>
      <c r="B2" s="15" t="s">
        <v>322</v>
      </c>
      <c r="D2" s="15" t="s">
        <v>62</v>
      </c>
      <c r="E2" s="17" t="s">
        <v>703</v>
      </c>
      <c r="G2" s="15">
        <v>11.815</v>
      </c>
      <c r="H2" t="s">
        <v>32</v>
      </c>
      <c r="I2" s="391" t="s">
        <v>704</v>
      </c>
      <c r="J2" s="15" t="s">
        <v>706</v>
      </c>
    </row>
    <row r="3" spans="1:14" hidden="1">
      <c r="A3">
        <v>2</v>
      </c>
      <c r="B3" s="15" t="s">
        <v>326</v>
      </c>
      <c r="D3" s="15" t="s">
        <v>34</v>
      </c>
      <c r="E3" s="17">
        <v>46028</v>
      </c>
      <c r="G3" s="15">
        <v>8.4130000000000003</v>
      </c>
      <c r="H3" t="s">
        <v>32</v>
      </c>
      <c r="I3" s="17">
        <v>46029</v>
      </c>
      <c r="J3" s="15" t="s">
        <v>706</v>
      </c>
    </row>
    <row r="4" spans="1:14" hidden="1">
      <c r="A4">
        <v>3</v>
      </c>
      <c r="B4" s="15" t="s">
        <v>329</v>
      </c>
      <c r="D4" s="15" t="s">
        <v>34</v>
      </c>
      <c r="E4" s="17">
        <v>46025</v>
      </c>
      <c r="G4" s="15">
        <v>8.4130000000000003</v>
      </c>
      <c r="H4" t="s">
        <v>32</v>
      </c>
      <c r="I4" s="17">
        <v>46027</v>
      </c>
      <c r="J4" s="15" t="s">
        <v>706</v>
      </c>
    </row>
    <row r="5" spans="1:14" hidden="1">
      <c r="A5">
        <v>4</v>
      </c>
      <c r="B5" s="136" t="s">
        <v>181</v>
      </c>
      <c r="D5" s="15" t="s">
        <v>42</v>
      </c>
      <c r="E5" s="17" t="s">
        <v>705</v>
      </c>
      <c r="G5" s="15">
        <v>4.3389999999999995</v>
      </c>
      <c r="H5" t="s">
        <v>32</v>
      </c>
      <c r="I5" s="17">
        <v>46024</v>
      </c>
      <c r="J5" s="15" t="s">
        <v>706</v>
      </c>
    </row>
    <row r="6" spans="1:14">
      <c r="A6">
        <v>5</v>
      </c>
      <c r="B6" s="141" t="s">
        <v>182</v>
      </c>
      <c r="D6" s="15" t="s">
        <v>42</v>
      </c>
      <c r="E6" s="17">
        <v>46018</v>
      </c>
      <c r="G6" s="15">
        <v>4.3389999999999995</v>
      </c>
      <c r="H6" t="s">
        <v>32</v>
      </c>
      <c r="I6" s="17">
        <v>46018</v>
      </c>
      <c r="J6" s="15" t="s">
        <v>706</v>
      </c>
    </row>
    <row r="7" spans="1:14">
      <c r="A7">
        <v>6</v>
      </c>
      <c r="B7" s="136" t="s">
        <v>183</v>
      </c>
      <c r="D7" s="15" t="s">
        <v>42</v>
      </c>
      <c r="E7" s="17">
        <v>46016</v>
      </c>
      <c r="G7" s="15">
        <v>4.3389999999999995</v>
      </c>
      <c r="H7" t="s">
        <v>32</v>
      </c>
      <c r="I7" s="17">
        <v>46017</v>
      </c>
      <c r="J7" s="15" t="s">
        <v>706</v>
      </c>
    </row>
    <row r="8" spans="1:14">
      <c r="A8">
        <v>7</v>
      </c>
      <c r="B8" s="15" t="s">
        <v>336</v>
      </c>
      <c r="D8" s="15" t="s">
        <v>34</v>
      </c>
      <c r="E8" s="17">
        <v>45973</v>
      </c>
      <c r="G8" s="15">
        <v>8.4130000000000003</v>
      </c>
      <c r="H8" t="s">
        <v>32</v>
      </c>
      <c r="I8" s="17" t="s">
        <v>696</v>
      </c>
      <c r="J8" s="15" t="s">
        <v>706</v>
      </c>
    </row>
    <row r="9" spans="1:14">
      <c r="A9">
        <v>8</v>
      </c>
      <c r="B9" s="136" t="s">
        <v>192</v>
      </c>
      <c r="D9" s="15" t="s">
        <v>505</v>
      </c>
      <c r="E9" s="17">
        <v>45975</v>
      </c>
      <c r="G9" s="15">
        <v>4.3360000000000003</v>
      </c>
      <c r="H9" t="s">
        <v>32</v>
      </c>
      <c r="I9" s="17">
        <v>45978</v>
      </c>
      <c r="J9" s="15" t="s">
        <v>508</v>
      </c>
    </row>
    <row r="10" spans="1:14">
      <c r="A10">
        <v>9</v>
      </c>
      <c r="B10" s="136" t="s">
        <v>193</v>
      </c>
      <c r="D10" s="15" t="s">
        <v>505</v>
      </c>
      <c r="E10" s="17">
        <v>45978</v>
      </c>
      <c r="G10" s="15">
        <v>4.3360000000000003</v>
      </c>
      <c r="H10" t="s">
        <v>32</v>
      </c>
      <c r="I10" s="17">
        <v>45981</v>
      </c>
      <c r="J10" s="15" t="s">
        <v>508</v>
      </c>
    </row>
    <row r="11" spans="1:14" hidden="1">
      <c r="A11">
        <v>10</v>
      </c>
      <c r="B11" s="136" t="s">
        <v>338</v>
      </c>
      <c r="D11" s="15" t="s">
        <v>34</v>
      </c>
      <c r="E11" s="17">
        <v>45897</v>
      </c>
      <c r="G11" s="15">
        <v>8.4130000000000003</v>
      </c>
      <c r="H11" t="s">
        <v>32</v>
      </c>
      <c r="I11" s="17">
        <v>45900</v>
      </c>
      <c r="J11" s="15" t="s">
        <v>706</v>
      </c>
    </row>
    <row r="12" spans="1:14">
      <c r="A12">
        <v>11</v>
      </c>
      <c r="B12" s="136" t="s">
        <v>340</v>
      </c>
      <c r="D12" s="15" t="s">
        <v>511</v>
      </c>
      <c r="E12" s="15" t="s">
        <v>700</v>
      </c>
      <c r="G12" s="15">
        <v>11.517000000000001</v>
      </c>
      <c r="H12" t="s">
        <v>32</v>
      </c>
      <c r="I12" s="391" t="s">
        <v>699</v>
      </c>
      <c r="J12" s="15" t="s">
        <v>706</v>
      </c>
    </row>
    <row r="13" spans="1:14" hidden="1">
      <c r="A13">
        <v>12</v>
      </c>
      <c r="B13" s="19" t="s">
        <v>33</v>
      </c>
      <c r="D13" s="184" t="s">
        <v>34</v>
      </c>
      <c r="E13" s="298">
        <v>45754</v>
      </c>
      <c r="G13" s="180">
        <v>9.2609999999999992</v>
      </c>
      <c r="H13" t="s">
        <v>32</v>
      </c>
      <c r="I13" s="298">
        <v>45756</v>
      </c>
      <c r="J13" s="15" t="s">
        <v>510</v>
      </c>
    </row>
    <row r="14" spans="1:14" hidden="1">
      <c r="A14">
        <v>13</v>
      </c>
      <c r="B14" s="19" t="s">
        <v>36</v>
      </c>
      <c r="D14" s="184" t="s">
        <v>37</v>
      </c>
      <c r="E14" s="298">
        <v>45749</v>
      </c>
      <c r="G14" s="189">
        <v>5.4790000000000001</v>
      </c>
      <c r="H14" t="s">
        <v>32</v>
      </c>
      <c r="I14" s="298">
        <v>45751</v>
      </c>
      <c r="J14" s="15" t="s">
        <v>510</v>
      </c>
    </row>
    <row r="15" spans="1:14" hidden="1">
      <c r="A15">
        <v>14</v>
      </c>
      <c r="B15" s="19" t="s">
        <v>38</v>
      </c>
      <c r="D15" s="184" t="s">
        <v>39</v>
      </c>
      <c r="E15" s="298">
        <v>45758</v>
      </c>
      <c r="G15" s="180">
        <v>6.9080000000000013</v>
      </c>
      <c r="H15" t="s">
        <v>32</v>
      </c>
      <c r="I15" s="298">
        <v>45760</v>
      </c>
      <c r="J15" s="15" t="s">
        <v>510</v>
      </c>
    </row>
    <row r="16" spans="1:14" hidden="1">
      <c r="A16">
        <v>15</v>
      </c>
      <c r="B16" s="19" t="s">
        <v>41</v>
      </c>
      <c r="D16" s="184" t="s">
        <v>42</v>
      </c>
      <c r="E16" s="298">
        <v>45747</v>
      </c>
      <c r="G16" s="180">
        <v>4.6230000000000002</v>
      </c>
      <c r="H16" t="s">
        <v>32</v>
      </c>
      <c r="I16" s="298">
        <v>45749</v>
      </c>
      <c r="J16" s="15" t="s">
        <v>510</v>
      </c>
    </row>
    <row r="17" spans="1:10" hidden="1">
      <c r="A17">
        <v>16</v>
      </c>
      <c r="B17" s="19" t="s">
        <v>43</v>
      </c>
      <c r="D17" s="184" t="s">
        <v>37</v>
      </c>
      <c r="E17" s="298">
        <v>45745</v>
      </c>
      <c r="G17" s="180">
        <v>5.4790000000000001</v>
      </c>
      <c r="H17" t="s">
        <v>32</v>
      </c>
      <c r="I17" s="298">
        <v>45747</v>
      </c>
      <c r="J17" s="15" t="s">
        <v>510</v>
      </c>
    </row>
    <row r="18" spans="1:10" hidden="1">
      <c r="A18">
        <v>17</v>
      </c>
      <c r="B18" s="19" t="s">
        <v>45</v>
      </c>
      <c r="D18" s="184" t="s">
        <v>46</v>
      </c>
      <c r="E18" s="298">
        <v>45768</v>
      </c>
      <c r="G18" s="180">
        <v>8.2034000000000002</v>
      </c>
      <c r="H18" t="s">
        <v>32</v>
      </c>
      <c r="I18" s="298">
        <v>45770</v>
      </c>
      <c r="J18" s="15" t="s">
        <v>510</v>
      </c>
    </row>
    <row r="19" spans="1:10" hidden="1">
      <c r="A19">
        <v>18</v>
      </c>
      <c r="B19" s="19" t="s">
        <v>47</v>
      </c>
      <c r="D19" s="184" t="s">
        <v>37</v>
      </c>
      <c r="E19" s="298">
        <v>45751</v>
      </c>
      <c r="G19" s="180">
        <v>5.4790000000000001</v>
      </c>
      <c r="H19" t="s">
        <v>32</v>
      </c>
      <c r="I19" s="298">
        <v>45753</v>
      </c>
      <c r="J19" s="15" t="s">
        <v>510</v>
      </c>
    </row>
    <row r="20" spans="1:10" hidden="1">
      <c r="A20">
        <v>19</v>
      </c>
      <c r="B20" s="19" t="s">
        <v>48</v>
      </c>
      <c r="D20" s="184" t="s">
        <v>39</v>
      </c>
      <c r="E20" s="298">
        <v>45761</v>
      </c>
      <c r="G20" s="180">
        <v>6.9080000000000013</v>
      </c>
      <c r="H20" t="s">
        <v>32</v>
      </c>
      <c r="I20" s="298">
        <v>45763</v>
      </c>
      <c r="J20" s="15" t="s">
        <v>510</v>
      </c>
    </row>
    <row r="21" spans="1:10" hidden="1">
      <c r="A21">
        <v>20</v>
      </c>
      <c r="B21" s="19" t="s">
        <v>50</v>
      </c>
      <c r="D21" s="184" t="s">
        <v>51</v>
      </c>
      <c r="E21" s="298">
        <v>45772</v>
      </c>
      <c r="G21" s="180">
        <v>11.098400000000002</v>
      </c>
      <c r="H21" t="s">
        <v>32</v>
      </c>
      <c r="I21" s="298">
        <v>45774</v>
      </c>
      <c r="J21" s="15" t="s">
        <v>510</v>
      </c>
    </row>
    <row r="22" spans="1:10" hidden="1">
      <c r="A22">
        <v>21</v>
      </c>
      <c r="B22" s="19" t="s">
        <v>55</v>
      </c>
      <c r="D22" s="184" t="s">
        <v>56</v>
      </c>
      <c r="E22" s="298">
        <v>45794</v>
      </c>
      <c r="G22" s="180">
        <v>6.047299999999999</v>
      </c>
      <c r="H22" t="s">
        <v>32</v>
      </c>
      <c r="I22" s="298">
        <v>45796</v>
      </c>
      <c r="J22" s="17" t="s">
        <v>551</v>
      </c>
    </row>
    <row r="23" spans="1:10" hidden="1">
      <c r="A23">
        <v>22</v>
      </c>
      <c r="B23" s="19" t="s">
        <v>58</v>
      </c>
      <c r="D23" s="184" t="s">
        <v>39</v>
      </c>
      <c r="E23" s="298">
        <v>45745</v>
      </c>
      <c r="G23" s="180">
        <v>6.9080000000000013</v>
      </c>
      <c r="H23" t="s">
        <v>32</v>
      </c>
      <c r="I23" s="298">
        <v>45746</v>
      </c>
      <c r="J23" s="15" t="s">
        <v>510</v>
      </c>
    </row>
    <row r="24" spans="1:10" hidden="1">
      <c r="A24">
        <v>23</v>
      </c>
      <c r="B24" s="19" t="s">
        <v>59</v>
      </c>
      <c r="D24" s="184" t="s">
        <v>42</v>
      </c>
      <c r="E24" s="298">
        <v>45743</v>
      </c>
      <c r="G24" s="180">
        <v>4.6230000000000002</v>
      </c>
      <c r="H24" t="s">
        <v>32</v>
      </c>
      <c r="I24" s="298">
        <v>45744</v>
      </c>
      <c r="J24" s="15" t="s">
        <v>510</v>
      </c>
    </row>
    <row r="25" spans="1:10" hidden="1">
      <c r="A25">
        <v>24</v>
      </c>
      <c r="B25" s="19" t="s">
        <v>61</v>
      </c>
      <c r="D25" s="184" t="s">
        <v>62</v>
      </c>
      <c r="E25" s="298">
        <v>45802</v>
      </c>
      <c r="G25" s="180">
        <v>11.987500000000001</v>
      </c>
      <c r="H25" t="s">
        <v>32</v>
      </c>
      <c r="I25" s="298">
        <v>45804</v>
      </c>
      <c r="J25" s="17" t="s">
        <v>553</v>
      </c>
    </row>
    <row r="26" spans="1:10" hidden="1">
      <c r="A26">
        <v>25</v>
      </c>
      <c r="B26" s="19" t="s">
        <v>64</v>
      </c>
      <c r="D26" s="184" t="s">
        <v>65</v>
      </c>
      <c r="E26" s="298">
        <v>45766</v>
      </c>
      <c r="G26" s="180">
        <v>8.9772999999999996</v>
      </c>
      <c r="H26" t="s">
        <v>32</v>
      </c>
      <c r="I26" s="298">
        <v>45768</v>
      </c>
      <c r="J26" s="15" t="s">
        <v>510</v>
      </c>
    </row>
    <row r="27" spans="1:10" hidden="1">
      <c r="A27">
        <v>26</v>
      </c>
      <c r="B27" s="19" t="s">
        <v>67</v>
      </c>
      <c r="D27" s="184" t="s">
        <v>51</v>
      </c>
      <c r="E27" s="298">
        <v>45778</v>
      </c>
      <c r="G27" s="180">
        <v>11.098400000000002</v>
      </c>
      <c r="H27" t="s">
        <v>32</v>
      </c>
      <c r="I27" s="298">
        <v>45780</v>
      </c>
      <c r="J27" s="15" t="s">
        <v>510</v>
      </c>
    </row>
    <row r="28" spans="1:10" hidden="1">
      <c r="A28">
        <v>27</v>
      </c>
      <c r="B28" s="19" t="s">
        <v>69</v>
      </c>
      <c r="D28" s="184" t="s">
        <v>70</v>
      </c>
      <c r="E28" s="298">
        <v>45805</v>
      </c>
      <c r="G28" s="180">
        <v>8.8983000000000008</v>
      </c>
      <c r="H28" t="s">
        <v>32</v>
      </c>
      <c r="I28" s="298">
        <v>45807</v>
      </c>
      <c r="J28" s="15" t="s">
        <v>510</v>
      </c>
    </row>
    <row r="29" spans="1:10" hidden="1">
      <c r="A29">
        <v>28</v>
      </c>
      <c r="B29" s="19" t="s">
        <v>71</v>
      </c>
      <c r="D29" s="184" t="s">
        <v>56</v>
      </c>
      <c r="E29" s="298">
        <v>45742</v>
      </c>
      <c r="G29" s="180">
        <v>6.047299999999999</v>
      </c>
      <c r="H29" t="s">
        <v>32</v>
      </c>
      <c r="I29" s="298">
        <v>45742</v>
      </c>
      <c r="J29" s="15" t="s">
        <v>510</v>
      </c>
    </row>
    <row r="30" spans="1:10" hidden="1">
      <c r="A30">
        <v>29</v>
      </c>
      <c r="B30" s="19" t="s">
        <v>72</v>
      </c>
      <c r="D30" s="184" t="s">
        <v>37</v>
      </c>
      <c r="E30" s="298">
        <v>45737</v>
      </c>
      <c r="G30" s="180">
        <v>5.4790000000000001</v>
      </c>
      <c r="H30" t="s">
        <v>32</v>
      </c>
      <c r="I30" s="298">
        <v>45739</v>
      </c>
      <c r="J30" s="15" t="s">
        <v>510</v>
      </c>
    </row>
    <row r="31" spans="1:10" hidden="1">
      <c r="A31">
        <v>30</v>
      </c>
      <c r="B31" s="19" t="s">
        <v>73</v>
      </c>
      <c r="D31" s="184" t="s">
        <v>56</v>
      </c>
      <c r="E31" s="298">
        <v>45734</v>
      </c>
      <c r="G31" s="180">
        <v>6.047299999999999</v>
      </c>
      <c r="H31" t="s">
        <v>32</v>
      </c>
      <c r="I31" s="298">
        <v>45736</v>
      </c>
      <c r="J31" s="15" t="s">
        <v>510</v>
      </c>
    </row>
    <row r="32" spans="1:10" hidden="1">
      <c r="A32">
        <v>31</v>
      </c>
      <c r="B32" s="19" t="s">
        <v>74</v>
      </c>
      <c r="D32" s="184" t="s">
        <v>37</v>
      </c>
      <c r="E32" s="298">
        <v>45736</v>
      </c>
      <c r="G32" s="180">
        <v>5.4790000000000001</v>
      </c>
      <c r="H32" t="s">
        <v>32</v>
      </c>
      <c r="I32" s="298">
        <v>45738</v>
      </c>
      <c r="J32" s="15" t="s">
        <v>510</v>
      </c>
    </row>
    <row r="33" spans="1:10" hidden="1">
      <c r="A33">
        <v>32</v>
      </c>
      <c r="B33" s="19" t="s">
        <v>75</v>
      </c>
      <c r="D33" s="184" t="s">
        <v>76</v>
      </c>
      <c r="E33" s="298">
        <v>45739</v>
      </c>
      <c r="G33" s="180">
        <v>6.3299999999999992</v>
      </c>
      <c r="H33" t="s">
        <v>32</v>
      </c>
      <c r="I33" s="298">
        <v>45741</v>
      </c>
      <c r="J33" s="15" t="s">
        <v>510</v>
      </c>
    </row>
    <row r="34" spans="1:10" hidden="1">
      <c r="A34">
        <v>33</v>
      </c>
      <c r="B34" s="19" t="s">
        <v>77</v>
      </c>
      <c r="D34" s="184" t="s">
        <v>70</v>
      </c>
      <c r="E34" s="298">
        <v>45725</v>
      </c>
      <c r="G34" s="180">
        <v>8.8983000000000008</v>
      </c>
      <c r="H34" t="s">
        <v>32</v>
      </c>
      <c r="I34" s="298">
        <v>45726</v>
      </c>
      <c r="J34" s="15" t="s">
        <v>510</v>
      </c>
    </row>
    <row r="35" spans="1:10">
      <c r="A35">
        <v>34</v>
      </c>
      <c r="B35" s="19" t="s">
        <v>79</v>
      </c>
      <c r="D35" s="184" t="s">
        <v>70</v>
      </c>
      <c r="E35" s="298">
        <v>46013</v>
      </c>
      <c r="G35" s="180">
        <v>8.8983000000000008</v>
      </c>
      <c r="H35" t="s">
        <v>32</v>
      </c>
      <c r="I35" s="298">
        <v>46015</v>
      </c>
      <c r="J35" s="25" t="s">
        <v>510</v>
      </c>
    </row>
    <row r="36" spans="1:10" hidden="1">
      <c r="A36">
        <v>35</v>
      </c>
      <c r="B36" s="19" t="s">
        <v>80</v>
      </c>
      <c r="D36" s="184" t="s">
        <v>81</v>
      </c>
      <c r="E36" s="298">
        <v>45731</v>
      </c>
      <c r="G36" s="180">
        <v>8.1404000000000014</v>
      </c>
      <c r="H36" t="s">
        <v>32</v>
      </c>
      <c r="I36" s="298">
        <v>45733</v>
      </c>
      <c r="J36" s="15" t="s">
        <v>510</v>
      </c>
    </row>
    <row r="37" spans="1:10" hidden="1">
      <c r="A37">
        <v>36</v>
      </c>
      <c r="B37" s="19" t="s">
        <v>82</v>
      </c>
      <c r="D37" s="184" t="s">
        <v>81</v>
      </c>
      <c r="E37" s="298">
        <v>45727</v>
      </c>
      <c r="G37" s="180">
        <v>8.1404000000000014</v>
      </c>
      <c r="H37" t="s">
        <v>32</v>
      </c>
      <c r="I37" s="298">
        <v>45729</v>
      </c>
      <c r="J37" s="15" t="s">
        <v>510</v>
      </c>
    </row>
    <row r="38" spans="1:10" hidden="1">
      <c r="A38">
        <v>37</v>
      </c>
      <c r="B38" s="19" t="s">
        <v>83</v>
      </c>
      <c r="D38" s="184" t="s">
        <v>76</v>
      </c>
      <c r="E38" s="298">
        <v>45727</v>
      </c>
      <c r="G38" s="180">
        <v>6.3299999999999992</v>
      </c>
      <c r="H38" t="s">
        <v>32</v>
      </c>
      <c r="I38" s="298">
        <v>45728</v>
      </c>
      <c r="J38" s="17" t="s">
        <v>553</v>
      </c>
    </row>
    <row r="39" spans="1:10" hidden="1">
      <c r="A39">
        <v>38</v>
      </c>
      <c r="B39" s="19" t="s">
        <v>84</v>
      </c>
      <c r="D39" s="184" t="s">
        <v>85</v>
      </c>
      <c r="E39" s="298">
        <v>45812</v>
      </c>
      <c r="G39" s="180">
        <v>7.0045000000000002</v>
      </c>
      <c r="H39" t="s">
        <v>32</v>
      </c>
      <c r="I39" s="298">
        <v>45812</v>
      </c>
      <c r="J39" s="15" t="s">
        <v>553</v>
      </c>
    </row>
    <row r="40" spans="1:10" hidden="1">
      <c r="A40">
        <v>39</v>
      </c>
      <c r="B40" s="19" t="s">
        <v>86</v>
      </c>
      <c r="D40" s="184" t="s">
        <v>56</v>
      </c>
      <c r="E40" s="298">
        <v>45729</v>
      </c>
      <c r="G40" s="180">
        <v>6.047299999999999</v>
      </c>
      <c r="H40" t="s">
        <v>32</v>
      </c>
      <c r="I40" s="298">
        <v>45732</v>
      </c>
      <c r="J40" s="17" t="s">
        <v>553</v>
      </c>
    </row>
    <row r="41" spans="1:10" hidden="1">
      <c r="A41">
        <v>40</v>
      </c>
      <c r="B41" s="19" t="s">
        <v>87</v>
      </c>
      <c r="D41" s="184" t="s">
        <v>42</v>
      </c>
      <c r="E41" s="298">
        <v>45732</v>
      </c>
      <c r="G41" s="180">
        <v>4.6230000000000002</v>
      </c>
      <c r="H41" t="s">
        <v>32</v>
      </c>
      <c r="I41" s="298">
        <v>45734</v>
      </c>
      <c r="J41" s="17" t="s">
        <v>553</v>
      </c>
    </row>
    <row r="42" spans="1:10" hidden="1">
      <c r="A42">
        <v>41</v>
      </c>
      <c r="B42" s="19" t="s">
        <v>88</v>
      </c>
      <c r="D42" s="184" t="s">
        <v>89</v>
      </c>
      <c r="E42" s="298">
        <v>45739</v>
      </c>
      <c r="G42" s="180">
        <v>7.4523000000000001</v>
      </c>
      <c r="H42" t="s">
        <v>32</v>
      </c>
      <c r="I42" s="298">
        <v>45741</v>
      </c>
      <c r="J42" s="17" t="s">
        <v>553</v>
      </c>
    </row>
    <row r="43" spans="1:10" hidden="1">
      <c r="A43">
        <v>42</v>
      </c>
      <c r="B43" s="19" t="s">
        <v>90</v>
      </c>
      <c r="D43" s="184" t="s">
        <v>76</v>
      </c>
      <c r="E43" s="298">
        <v>45737</v>
      </c>
      <c r="G43" s="180">
        <v>6.3299999999999992</v>
      </c>
      <c r="H43" t="s">
        <v>32</v>
      </c>
      <c r="I43" s="298">
        <v>45739</v>
      </c>
      <c r="J43" s="17" t="s">
        <v>553</v>
      </c>
    </row>
    <row r="44" spans="1:10" hidden="1">
      <c r="A44">
        <v>43</v>
      </c>
      <c r="B44" s="19" t="s">
        <v>91</v>
      </c>
      <c r="D44" s="184" t="s">
        <v>76</v>
      </c>
      <c r="E44" s="298">
        <v>45735</v>
      </c>
      <c r="G44" s="180">
        <v>6.3299999999999992</v>
      </c>
      <c r="H44" t="s">
        <v>32</v>
      </c>
      <c r="I44" s="298">
        <v>45736</v>
      </c>
      <c r="J44" s="17" t="s">
        <v>553</v>
      </c>
    </row>
    <row r="45" spans="1:10" hidden="1">
      <c r="A45">
        <v>44</v>
      </c>
      <c r="B45" s="19" t="s">
        <v>93</v>
      </c>
      <c r="D45" s="184" t="s">
        <v>81</v>
      </c>
      <c r="E45" s="298">
        <v>45852</v>
      </c>
      <c r="G45" s="180">
        <v>8.1404000000000014</v>
      </c>
      <c r="H45" t="s">
        <v>32</v>
      </c>
      <c r="I45" s="298">
        <v>45854</v>
      </c>
      <c r="J45" s="17" t="s">
        <v>553</v>
      </c>
    </row>
    <row r="46" spans="1:10" hidden="1">
      <c r="A46">
        <v>45</v>
      </c>
      <c r="B46" s="19" t="s">
        <v>94</v>
      </c>
      <c r="D46" s="184" t="s">
        <v>89</v>
      </c>
      <c r="E46" s="298">
        <v>45759</v>
      </c>
      <c r="G46" s="180">
        <v>7.4523000000000001</v>
      </c>
      <c r="H46" t="s">
        <v>32</v>
      </c>
      <c r="I46" s="298">
        <v>45760</v>
      </c>
      <c r="J46" s="17" t="s">
        <v>553</v>
      </c>
    </row>
    <row r="47" spans="1:10" hidden="1">
      <c r="A47">
        <v>46</v>
      </c>
      <c r="B47" s="19" t="s">
        <v>95</v>
      </c>
      <c r="D47" s="184" t="s">
        <v>56</v>
      </c>
      <c r="E47" s="298">
        <v>45742</v>
      </c>
      <c r="G47" s="180">
        <v>6.047299999999999</v>
      </c>
      <c r="H47" t="s">
        <v>32</v>
      </c>
      <c r="I47" s="298">
        <v>45744</v>
      </c>
      <c r="J47" s="17" t="s">
        <v>553</v>
      </c>
    </row>
    <row r="48" spans="1:10" hidden="1">
      <c r="A48">
        <v>47</v>
      </c>
      <c r="B48" s="19" t="s">
        <v>96</v>
      </c>
      <c r="D48" s="184" t="s">
        <v>37</v>
      </c>
      <c r="E48" s="298">
        <v>45745</v>
      </c>
      <c r="G48" s="180">
        <v>5.4790000000000001</v>
      </c>
      <c r="H48" t="s">
        <v>32</v>
      </c>
      <c r="I48" s="298">
        <v>45747</v>
      </c>
      <c r="J48" s="17" t="s">
        <v>553</v>
      </c>
    </row>
    <row r="49" spans="1:10" hidden="1">
      <c r="A49">
        <v>48</v>
      </c>
      <c r="B49" s="19" t="s">
        <v>98</v>
      </c>
      <c r="D49" s="184" t="s">
        <v>39</v>
      </c>
      <c r="E49" s="298">
        <v>45746</v>
      </c>
      <c r="G49" s="180">
        <v>6.9080000000000013</v>
      </c>
      <c r="H49" t="s">
        <v>32</v>
      </c>
      <c r="I49" s="298">
        <v>45746</v>
      </c>
      <c r="J49" s="17" t="s">
        <v>553</v>
      </c>
    </row>
    <row r="50" spans="1:10">
      <c r="A50">
        <v>49</v>
      </c>
      <c r="B50" s="19" t="s">
        <v>99</v>
      </c>
      <c r="D50" s="184" t="s">
        <v>76</v>
      </c>
      <c r="E50" s="298">
        <v>45984</v>
      </c>
      <c r="G50" s="180">
        <v>6.3299999999999992</v>
      </c>
      <c r="H50" t="s">
        <v>32</v>
      </c>
      <c r="I50" s="298">
        <v>45985</v>
      </c>
      <c r="J50" s="25" t="s">
        <v>510</v>
      </c>
    </row>
    <row r="51" spans="1:10">
      <c r="A51">
        <v>50</v>
      </c>
      <c r="B51" s="19" t="s">
        <v>100</v>
      </c>
      <c r="D51" s="184" t="s">
        <v>76</v>
      </c>
      <c r="E51" s="298">
        <v>45983</v>
      </c>
      <c r="G51" s="180">
        <v>6.3299999999999992</v>
      </c>
      <c r="H51" t="s">
        <v>32</v>
      </c>
      <c r="I51" s="298">
        <v>45984</v>
      </c>
      <c r="J51" s="25" t="s">
        <v>510</v>
      </c>
    </row>
    <row r="52" spans="1:10">
      <c r="A52">
        <v>51</v>
      </c>
      <c r="B52" s="19" t="s">
        <v>102</v>
      </c>
      <c r="D52" s="184" t="s">
        <v>89</v>
      </c>
      <c r="E52" s="298">
        <v>45982</v>
      </c>
      <c r="G52" s="180">
        <v>7.4523000000000001</v>
      </c>
      <c r="H52" t="s">
        <v>32</v>
      </c>
      <c r="I52" s="298">
        <v>45983</v>
      </c>
      <c r="J52" s="25" t="s">
        <v>510</v>
      </c>
    </row>
    <row r="53" spans="1:10">
      <c r="A53">
        <v>52</v>
      </c>
      <c r="B53" s="19" t="s">
        <v>104</v>
      </c>
      <c r="D53" s="184" t="s">
        <v>39</v>
      </c>
      <c r="E53" s="298">
        <v>46009</v>
      </c>
      <c r="G53" s="180">
        <v>6.9080000000000013</v>
      </c>
      <c r="H53" t="s">
        <v>32</v>
      </c>
      <c r="I53" s="298">
        <v>46011</v>
      </c>
      <c r="J53" s="25" t="s">
        <v>510</v>
      </c>
    </row>
    <row r="54" spans="1:10" hidden="1">
      <c r="A54">
        <v>53</v>
      </c>
      <c r="B54" s="19" t="s">
        <v>106</v>
      </c>
      <c r="D54" s="184" t="s">
        <v>70</v>
      </c>
      <c r="E54" s="298">
        <v>45755</v>
      </c>
      <c r="G54" s="180">
        <v>8.8983000000000008</v>
      </c>
      <c r="H54" t="s">
        <v>32</v>
      </c>
      <c r="I54" s="298">
        <v>45757</v>
      </c>
      <c r="J54" s="17" t="s">
        <v>553</v>
      </c>
    </row>
    <row r="55" spans="1:10" hidden="1">
      <c r="A55">
        <v>54</v>
      </c>
      <c r="B55" s="19" t="s">
        <v>107</v>
      </c>
      <c r="D55" s="184" t="s">
        <v>42</v>
      </c>
      <c r="E55" s="298">
        <v>45752</v>
      </c>
      <c r="G55" s="180">
        <v>4.6230000000000002</v>
      </c>
      <c r="H55" t="s">
        <v>32</v>
      </c>
      <c r="I55" s="298">
        <v>45753</v>
      </c>
      <c r="J55" s="17" t="s">
        <v>553</v>
      </c>
    </row>
    <row r="56" spans="1:10" hidden="1">
      <c r="A56">
        <v>55</v>
      </c>
      <c r="B56" s="19" t="s">
        <v>108</v>
      </c>
      <c r="D56" s="184" t="s">
        <v>42</v>
      </c>
      <c r="E56" s="298">
        <v>45752</v>
      </c>
      <c r="G56" s="180">
        <v>4.6230000000000002</v>
      </c>
      <c r="H56" t="s">
        <v>32</v>
      </c>
      <c r="I56" s="298">
        <v>45754</v>
      </c>
      <c r="J56" s="17" t="s">
        <v>553</v>
      </c>
    </row>
    <row r="57" spans="1:10" hidden="1">
      <c r="A57">
        <v>56</v>
      </c>
      <c r="B57" s="19" t="s">
        <v>109</v>
      </c>
      <c r="D57" s="184" t="s">
        <v>42</v>
      </c>
      <c r="E57" s="298">
        <v>45768</v>
      </c>
      <c r="G57" s="180">
        <v>4.6230000000000002</v>
      </c>
      <c r="H57" t="s">
        <v>32</v>
      </c>
      <c r="I57" s="298">
        <v>45770</v>
      </c>
      <c r="J57" s="17" t="s">
        <v>553</v>
      </c>
    </row>
    <row r="58" spans="1:10" hidden="1">
      <c r="A58">
        <v>57</v>
      </c>
      <c r="B58" s="19" t="s">
        <v>111</v>
      </c>
      <c r="D58" s="184" t="s">
        <v>34</v>
      </c>
      <c r="E58" s="298">
        <v>45814</v>
      </c>
      <c r="G58" s="180">
        <v>9.2609999999999992</v>
      </c>
      <c r="H58" t="s">
        <v>32</v>
      </c>
      <c r="I58" s="298">
        <v>45816</v>
      </c>
      <c r="J58" s="17" t="s">
        <v>553</v>
      </c>
    </row>
    <row r="59" spans="1:10" hidden="1">
      <c r="A59">
        <v>58</v>
      </c>
      <c r="B59" s="19" t="s">
        <v>113</v>
      </c>
      <c r="D59" s="184" t="s">
        <v>34</v>
      </c>
      <c r="E59" s="298">
        <v>45775</v>
      </c>
      <c r="G59" s="180">
        <v>9.2609999999999992</v>
      </c>
      <c r="H59" t="s">
        <v>32</v>
      </c>
      <c r="I59" s="298">
        <v>45777</v>
      </c>
      <c r="J59" s="17" t="s">
        <v>553</v>
      </c>
    </row>
    <row r="60" spans="1:10" hidden="1">
      <c r="A60">
        <v>59</v>
      </c>
      <c r="B60" s="19" t="s">
        <v>115</v>
      </c>
      <c r="D60" s="184" t="s">
        <v>116</v>
      </c>
      <c r="E60" s="298">
        <v>45767</v>
      </c>
      <c r="G60" s="180">
        <v>9.8567000000000018</v>
      </c>
      <c r="H60" t="s">
        <v>32</v>
      </c>
      <c r="I60" s="298">
        <v>45769</v>
      </c>
      <c r="J60" s="17" t="s">
        <v>553</v>
      </c>
    </row>
    <row r="61" spans="1:10" hidden="1">
      <c r="A61">
        <v>60</v>
      </c>
      <c r="B61" s="19" t="s">
        <v>117</v>
      </c>
      <c r="D61" s="184" t="s">
        <v>42</v>
      </c>
      <c r="E61" s="298">
        <v>45749</v>
      </c>
      <c r="G61" s="180">
        <v>4.6230000000000002</v>
      </c>
      <c r="H61" t="s">
        <v>32</v>
      </c>
      <c r="I61" s="298">
        <v>45750</v>
      </c>
      <c r="J61" s="17" t="s">
        <v>553</v>
      </c>
    </row>
    <row r="62" spans="1:10" hidden="1">
      <c r="A62">
        <v>61</v>
      </c>
      <c r="B62" s="19" t="s">
        <v>118</v>
      </c>
      <c r="D62" s="184" t="s">
        <v>42</v>
      </c>
      <c r="E62" s="298">
        <v>45750</v>
      </c>
      <c r="G62" s="180">
        <v>4.6230000000000002</v>
      </c>
      <c r="H62" t="s">
        <v>32</v>
      </c>
      <c r="I62" s="298">
        <v>45751</v>
      </c>
      <c r="J62" s="17" t="s">
        <v>553</v>
      </c>
    </row>
    <row r="63" spans="1:10" hidden="1">
      <c r="A63">
        <v>62</v>
      </c>
      <c r="B63" s="19" t="s">
        <v>120</v>
      </c>
      <c r="D63" s="184" t="s">
        <v>34</v>
      </c>
      <c r="E63" s="298">
        <v>45812</v>
      </c>
      <c r="G63" s="180">
        <v>9.2609999999999992</v>
      </c>
      <c r="H63" t="s">
        <v>32</v>
      </c>
      <c r="I63" s="298">
        <v>45814</v>
      </c>
      <c r="J63" s="17" t="s">
        <v>553</v>
      </c>
    </row>
    <row r="64" spans="1:10" hidden="1">
      <c r="A64">
        <v>63</v>
      </c>
      <c r="B64" s="19" t="s">
        <v>122</v>
      </c>
      <c r="D64" s="184" t="s">
        <v>34</v>
      </c>
      <c r="E64" s="298">
        <v>45762</v>
      </c>
      <c r="G64" s="180">
        <v>9.2609999999999992</v>
      </c>
      <c r="H64" t="s">
        <v>32</v>
      </c>
      <c r="I64" s="298">
        <v>45764</v>
      </c>
      <c r="J64" s="17" t="s">
        <v>553</v>
      </c>
    </row>
    <row r="65" spans="1:10">
      <c r="A65">
        <v>64</v>
      </c>
      <c r="B65" s="19" t="s">
        <v>123</v>
      </c>
      <c r="D65" s="184" t="s">
        <v>54</v>
      </c>
      <c r="E65" s="298">
        <v>45995</v>
      </c>
      <c r="G65" s="180">
        <v>12.502699999999999</v>
      </c>
      <c r="H65" t="s">
        <v>32</v>
      </c>
      <c r="I65" s="298">
        <v>45998</v>
      </c>
      <c r="J65" s="25" t="s">
        <v>510</v>
      </c>
    </row>
    <row r="66" spans="1:10">
      <c r="A66">
        <v>65</v>
      </c>
      <c r="B66" s="19" t="s">
        <v>124</v>
      </c>
      <c r="D66" s="184" t="s">
        <v>56</v>
      </c>
      <c r="E66" s="298">
        <v>45988</v>
      </c>
      <c r="G66" s="180">
        <v>6.047299999999999</v>
      </c>
      <c r="H66" t="s">
        <v>32</v>
      </c>
      <c r="I66" s="298">
        <v>45990</v>
      </c>
      <c r="J66" s="25" t="s">
        <v>510</v>
      </c>
    </row>
    <row r="67" spans="1:10">
      <c r="A67">
        <v>66</v>
      </c>
      <c r="B67" s="19" t="s">
        <v>574</v>
      </c>
      <c r="D67" s="184" t="s">
        <v>37</v>
      </c>
      <c r="E67" s="298">
        <v>45998</v>
      </c>
      <c r="G67" s="180">
        <v>6.047299999999999</v>
      </c>
      <c r="H67" t="s">
        <v>32</v>
      </c>
      <c r="I67" s="298">
        <v>45999</v>
      </c>
      <c r="J67" s="25" t="s">
        <v>510</v>
      </c>
    </row>
    <row r="68" spans="1:10">
      <c r="A68">
        <v>67</v>
      </c>
      <c r="B68" s="19" t="s">
        <v>125</v>
      </c>
      <c r="D68" s="184" t="s">
        <v>76</v>
      </c>
      <c r="E68" s="298">
        <v>45987</v>
      </c>
      <c r="G68" s="180">
        <v>6.3299999999999992</v>
      </c>
      <c r="H68" t="s">
        <v>32</v>
      </c>
      <c r="I68" s="298">
        <v>45988</v>
      </c>
      <c r="J68" s="25" t="s">
        <v>510</v>
      </c>
    </row>
    <row r="69" spans="1:10">
      <c r="A69">
        <v>68</v>
      </c>
      <c r="B69" s="19" t="s">
        <v>126</v>
      </c>
      <c r="D69" s="184" t="s">
        <v>89</v>
      </c>
      <c r="E69" s="298">
        <v>45963</v>
      </c>
      <c r="G69" s="180">
        <v>7.4523000000000001</v>
      </c>
      <c r="H69" t="s">
        <v>32</v>
      </c>
      <c r="I69" s="298">
        <v>45965</v>
      </c>
      <c r="J69" s="25" t="s">
        <v>510</v>
      </c>
    </row>
    <row r="70" spans="1:10">
      <c r="A70">
        <v>69</v>
      </c>
      <c r="B70" s="19" t="s">
        <v>127</v>
      </c>
      <c r="D70" s="184" t="s">
        <v>76</v>
      </c>
      <c r="E70" s="298">
        <v>45964</v>
      </c>
      <c r="G70" s="180">
        <v>6.3299999999999992</v>
      </c>
      <c r="H70" t="s">
        <v>32</v>
      </c>
      <c r="I70" s="298">
        <v>45966</v>
      </c>
      <c r="J70" s="25" t="s">
        <v>510</v>
      </c>
    </row>
    <row r="71" spans="1:10">
      <c r="A71">
        <v>70</v>
      </c>
      <c r="B71" s="19" t="s">
        <v>128</v>
      </c>
      <c r="D71" s="184" t="s">
        <v>76</v>
      </c>
      <c r="E71" s="298">
        <v>45966</v>
      </c>
      <c r="G71" s="180">
        <v>6.3299999999999992</v>
      </c>
      <c r="H71" t="s">
        <v>32</v>
      </c>
      <c r="I71" s="298">
        <v>45968</v>
      </c>
      <c r="J71" s="25" t="s">
        <v>510</v>
      </c>
    </row>
    <row r="72" spans="1:10">
      <c r="A72">
        <v>71</v>
      </c>
      <c r="B72" s="19" t="s">
        <v>130</v>
      </c>
      <c r="D72" s="184" t="s">
        <v>39</v>
      </c>
      <c r="E72" s="298">
        <v>45968</v>
      </c>
      <c r="G72" s="180">
        <v>6.9080000000000013</v>
      </c>
      <c r="H72" t="s">
        <v>32</v>
      </c>
      <c r="I72" s="298">
        <v>45970</v>
      </c>
      <c r="J72" s="25" t="s">
        <v>510</v>
      </c>
    </row>
    <row r="73" spans="1:10" hidden="1">
      <c r="A73">
        <v>72</v>
      </c>
      <c r="B73" s="19" t="s">
        <v>131</v>
      </c>
      <c r="D73" s="184" t="s">
        <v>89</v>
      </c>
      <c r="E73" s="298">
        <v>45831</v>
      </c>
      <c r="G73" s="180">
        <v>7.4523000000000001</v>
      </c>
      <c r="H73" t="s">
        <v>32</v>
      </c>
      <c r="I73" s="298">
        <v>45833</v>
      </c>
      <c r="J73" s="25" t="s">
        <v>510</v>
      </c>
    </row>
    <row r="74" spans="1:10" hidden="1">
      <c r="A74">
        <v>73</v>
      </c>
      <c r="B74" s="19" t="s">
        <v>132</v>
      </c>
      <c r="D74" s="184" t="s">
        <v>70</v>
      </c>
      <c r="E74" s="298">
        <v>45817</v>
      </c>
      <c r="G74" s="180">
        <v>8.8983000000000008</v>
      </c>
      <c r="H74" t="s">
        <v>32</v>
      </c>
      <c r="I74" s="298">
        <v>45819</v>
      </c>
      <c r="J74" s="17" t="s">
        <v>553</v>
      </c>
    </row>
    <row r="75" spans="1:10" hidden="1">
      <c r="A75">
        <v>74</v>
      </c>
      <c r="B75" s="19" t="s">
        <v>133</v>
      </c>
      <c r="D75" s="184" t="s">
        <v>37</v>
      </c>
      <c r="E75" s="298">
        <v>45830</v>
      </c>
      <c r="G75" s="180">
        <v>5.4790000000000001</v>
      </c>
      <c r="H75" t="s">
        <v>32</v>
      </c>
      <c r="I75" s="298">
        <v>45832</v>
      </c>
      <c r="J75" s="17" t="s">
        <v>553</v>
      </c>
    </row>
    <row r="76" spans="1:10" hidden="1">
      <c r="A76">
        <v>75</v>
      </c>
      <c r="B76" s="19" t="s">
        <v>134</v>
      </c>
      <c r="D76" s="184" t="s">
        <v>42</v>
      </c>
      <c r="E76" s="298">
        <v>45829</v>
      </c>
      <c r="G76" s="180">
        <v>4.6230000000000002</v>
      </c>
      <c r="H76" t="s">
        <v>32</v>
      </c>
      <c r="I76" s="298">
        <v>45831</v>
      </c>
      <c r="J76" s="17" t="s">
        <v>553</v>
      </c>
    </row>
    <row r="77" spans="1:10" hidden="1">
      <c r="A77">
        <v>76</v>
      </c>
      <c r="B77" s="19" t="s">
        <v>135</v>
      </c>
      <c r="D77" s="184" t="s">
        <v>70</v>
      </c>
      <c r="E77" s="298">
        <v>45833</v>
      </c>
      <c r="G77" s="180">
        <v>8.8983000000000008</v>
      </c>
      <c r="H77" t="s">
        <v>32</v>
      </c>
      <c r="I77" s="298">
        <v>45835</v>
      </c>
      <c r="J77" s="17" t="s">
        <v>553</v>
      </c>
    </row>
    <row r="78" spans="1:10" hidden="1">
      <c r="A78">
        <v>77</v>
      </c>
      <c r="B78" s="19" t="s">
        <v>136</v>
      </c>
      <c r="D78" s="184" t="s">
        <v>70</v>
      </c>
      <c r="E78" s="298">
        <v>45828</v>
      </c>
      <c r="G78" s="180">
        <v>8.8983000000000008</v>
      </c>
      <c r="H78" t="s">
        <v>32</v>
      </c>
      <c r="I78" s="298">
        <v>45830</v>
      </c>
      <c r="J78" s="25" t="s">
        <v>510</v>
      </c>
    </row>
    <row r="79" spans="1:10">
      <c r="A79">
        <v>78</v>
      </c>
      <c r="B79" s="19" t="s">
        <v>137</v>
      </c>
      <c r="D79" s="184" t="s">
        <v>76</v>
      </c>
      <c r="E79" s="298">
        <v>45990</v>
      </c>
      <c r="G79" s="180">
        <v>6.3299999999999992</v>
      </c>
      <c r="H79" t="s">
        <v>32</v>
      </c>
      <c r="I79" s="298">
        <v>45994</v>
      </c>
      <c r="J79" s="15" t="s">
        <v>587</v>
      </c>
    </row>
    <row r="80" spans="1:10" hidden="1">
      <c r="A80">
        <v>79</v>
      </c>
      <c r="B80" s="19" t="s">
        <v>138</v>
      </c>
      <c r="D80" s="184" t="s">
        <v>70</v>
      </c>
      <c r="E80" s="298">
        <v>45828</v>
      </c>
      <c r="G80" s="180">
        <v>8.8983000000000008</v>
      </c>
      <c r="H80" t="s">
        <v>32</v>
      </c>
      <c r="I80" s="298">
        <v>45830</v>
      </c>
      <c r="J80" s="17" t="s">
        <v>553</v>
      </c>
    </row>
    <row r="81" spans="1:10" hidden="1">
      <c r="A81">
        <v>80</v>
      </c>
      <c r="B81" s="19" t="s">
        <v>139</v>
      </c>
      <c r="D81" s="184" t="s">
        <v>42</v>
      </c>
      <c r="E81" s="298">
        <v>45825</v>
      </c>
      <c r="G81" s="180">
        <v>4.6230000000000002</v>
      </c>
      <c r="H81" t="s">
        <v>32</v>
      </c>
      <c r="I81" s="298">
        <v>45827</v>
      </c>
      <c r="J81" s="17" t="s">
        <v>553</v>
      </c>
    </row>
    <row r="82" spans="1:10" hidden="1">
      <c r="A82">
        <v>81</v>
      </c>
      <c r="B82" s="19" t="s">
        <v>140</v>
      </c>
      <c r="D82" s="184" t="s">
        <v>56</v>
      </c>
      <c r="E82" s="298">
        <v>45821</v>
      </c>
      <c r="G82" s="180">
        <v>6.047299999999999</v>
      </c>
      <c r="H82" t="s">
        <v>32</v>
      </c>
      <c r="I82" s="298">
        <v>45822</v>
      </c>
      <c r="J82" s="17" t="s">
        <v>553</v>
      </c>
    </row>
    <row r="83" spans="1:10" hidden="1">
      <c r="A83">
        <v>82</v>
      </c>
      <c r="B83" s="19" t="s">
        <v>141</v>
      </c>
      <c r="D83" s="184" t="s">
        <v>89</v>
      </c>
      <c r="E83" s="298">
        <v>45823</v>
      </c>
      <c r="G83" s="180">
        <v>7.4523000000000001</v>
      </c>
      <c r="H83" t="s">
        <v>32</v>
      </c>
      <c r="I83" s="298">
        <v>45825</v>
      </c>
      <c r="J83" s="17" t="s">
        <v>553</v>
      </c>
    </row>
    <row r="84" spans="1:10" hidden="1">
      <c r="A84">
        <v>83</v>
      </c>
      <c r="B84" s="19" t="s">
        <v>142</v>
      </c>
      <c r="D84" s="184" t="s">
        <v>89</v>
      </c>
      <c r="E84" s="298">
        <v>45844</v>
      </c>
      <c r="G84" s="180">
        <v>7.4523000000000001</v>
      </c>
      <c r="H84" t="s">
        <v>32</v>
      </c>
      <c r="I84" s="298">
        <v>45846</v>
      </c>
      <c r="J84" s="17" t="s">
        <v>553</v>
      </c>
    </row>
    <row r="85" spans="1:10" hidden="1">
      <c r="A85">
        <v>84</v>
      </c>
      <c r="B85" s="19" t="s">
        <v>144</v>
      </c>
      <c r="D85" s="184" t="s">
        <v>46</v>
      </c>
      <c r="E85" s="298">
        <v>45840</v>
      </c>
      <c r="G85" s="180">
        <v>8.2034000000000002</v>
      </c>
      <c r="H85" t="s">
        <v>32</v>
      </c>
      <c r="I85" s="298">
        <v>45842</v>
      </c>
      <c r="J85" s="17" t="s">
        <v>553</v>
      </c>
    </row>
    <row r="86" spans="1:10" hidden="1">
      <c r="A86">
        <v>85</v>
      </c>
      <c r="B86" s="19" t="s">
        <v>145</v>
      </c>
      <c r="D86" s="184" t="s">
        <v>42</v>
      </c>
      <c r="E86" s="298">
        <v>45842</v>
      </c>
      <c r="G86" s="180">
        <v>4.6230000000000002</v>
      </c>
      <c r="H86" t="s">
        <v>32</v>
      </c>
      <c r="I86" s="298">
        <v>45844</v>
      </c>
      <c r="J86" s="17" t="s">
        <v>553</v>
      </c>
    </row>
    <row r="87" spans="1:10" hidden="1">
      <c r="A87">
        <v>86</v>
      </c>
      <c r="B87" s="19" t="s">
        <v>146</v>
      </c>
      <c r="D87" s="184" t="s">
        <v>37</v>
      </c>
      <c r="E87" s="298">
        <v>45839</v>
      </c>
      <c r="G87" s="180">
        <v>5.4790000000000001</v>
      </c>
      <c r="H87" t="s">
        <v>32</v>
      </c>
      <c r="I87" s="298">
        <v>45841</v>
      </c>
      <c r="J87" s="25" t="s">
        <v>510</v>
      </c>
    </row>
    <row r="88" spans="1:10" hidden="1">
      <c r="A88">
        <v>87</v>
      </c>
      <c r="B88" s="19" t="s">
        <v>147</v>
      </c>
      <c r="D88" s="184" t="s">
        <v>42</v>
      </c>
      <c r="E88" s="298">
        <v>45841</v>
      </c>
      <c r="G88" s="180">
        <v>4.6230000000000002</v>
      </c>
      <c r="H88" t="s">
        <v>32</v>
      </c>
      <c r="I88" s="298">
        <v>45843</v>
      </c>
      <c r="J88" s="25" t="s">
        <v>510</v>
      </c>
    </row>
    <row r="89" spans="1:10" hidden="1">
      <c r="A89">
        <v>88</v>
      </c>
      <c r="B89" s="19" t="s">
        <v>148</v>
      </c>
      <c r="D89" s="184" t="s">
        <v>76</v>
      </c>
      <c r="E89" s="298">
        <v>45845</v>
      </c>
      <c r="G89" s="180">
        <v>6.3299999999999992</v>
      </c>
      <c r="H89" t="s">
        <v>32</v>
      </c>
      <c r="I89" s="298">
        <v>45845</v>
      </c>
      <c r="J89" s="25" t="s">
        <v>510</v>
      </c>
    </row>
    <row r="90" spans="1:10" hidden="1">
      <c r="A90">
        <v>89</v>
      </c>
      <c r="B90" s="19" t="s">
        <v>149</v>
      </c>
      <c r="D90" s="184" t="s">
        <v>81</v>
      </c>
      <c r="E90" s="298">
        <v>45866</v>
      </c>
      <c r="G90" s="180">
        <v>8.1404000000000014</v>
      </c>
      <c r="H90" t="s">
        <v>32</v>
      </c>
      <c r="I90" s="298">
        <v>45868</v>
      </c>
      <c r="J90" s="25" t="s">
        <v>510</v>
      </c>
    </row>
    <row r="91" spans="1:10" hidden="1">
      <c r="A91">
        <v>90</v>
      </c>
      <c r="B91" s="19" t="s">
        <v>150</v>
      </c>
      <c r="D91" s="184" t="s">
        <v>85</v>
      </c>
      <c r="E91" s="298">
        <v>45835</v>
      </c>
      <c r="G91" s="180">
        <v>7.0045000000000002</v>
      </c>
      <c r="H91" t="s">
        <v>32</v>
      </c>
      <c r="I91" s="298">
        <v>45837</v>
      </c>
      <c r="J91" s="17" t="s">
        <v>553</v>
      </c>
    </row>
    <row r="92" spans="1:10" hidden="1">
      <c r="A92">
        <v>91</v>
      </c>
      <c r="B92" s="19" t="s">
        <v>151</v>
      </c>
      <c r="D92" s="184" t="s">
        <v>42</v>
      </c>
      <c r="E92" s="298">
        <v>45839</v>
      </c>
      <c r="G92" s="180">
        <v>4.6230000000000002</v>
      </c>
      <c r="H92" t="s">
        <v>32</v>
      </c>
      <c r="I92" s="298">
        <v>45839</v>
      </c>
      <c r="J92" s="17" t="s">
        <v>553</v>
      </c>
    </row>
    <row r="93" spans="1:10" hidden="1">
      <c r="A93">
        <v>92</v>
      </c>
      <c r="B93" s="19" t="s">
        <v>152</v>
      </c>
      <c r="D93" s="184" t="s">
        <v>42</v>
      </c>
      <c r="E93" s="298">
        <v>45729</v>
      </c>
      <c r="G93" s="180">
        <v>4.6230000000000002</v>
      </c>
      <c r="H93" t="s">
        <v>32</v>
      </c>
      <c r="I93" s="298">
        <v>45731</v>
      </c>
      <c r="J93" s="15" t="s">
        <v>581</v>
      </c>
    </row>
    <row r="94" spans="1:10" hidden="1">
      <c r="A94">
        <v>93</v>
      </c>
      <c r="B94" s="19" t="s">
        <v>153</v>
      </c>
      <c r="D94" s="184" t="s">
        <v>37</v>
      </c>
      <c r="E94" s="298">
        <v>45796</v>
      </c>
      <c r="G94" s="180">
        <v>5.4790000000000001</v>
      </c>
      <c r="H94" t="s">
        <v>32</v>
      </c>
      <c r="I94" s="298">
        <v>45797</v>
      </c>
      <c r="J94" s="25" t="s">
        <v>510</v>
      </c>
    </row>
    <row r="95" spans="1:10" hidden="1">
      <c r="A95">
        <v>94</v>
      </c>
      <c r="B95" s="19" t="s">
        <v>155</v>
      </c>
      <c r="D95" s="184" t="s">
        <v>34</v>
      </c>
      <c r="E95" s="298">
        <v>45743</v>
      </c>
      <c r="G95" s="180">
        <v>9.2609999999999992</v>
      </c>
      <c r="H95" t="s">
        <v>32</v>
      </c>
      <c r="I95" s="298">
        <v>45745</v>
      </c>
      <c r="J95" s="15" t="s">
        <v>581</v>
      </c>
    </row>
    <row r="96" spans="1:10" hidden="1">
      <c r="A96">
        <v>95</v>
      </c>
      <c r="B96" s="19" t="s">
        <v>156</v>
      </c>
      <c r="D96" s="205" t="s">
        <v>37</v>
      </c>
      <c r="E96" s="298">
        <v>45798</v>
      </c>
      <c r="G96" s="180">
        <v>5.4790000000000001</v>
      </c>
      <c r="H96" t="s">
        <v>32</v>
      </c>
      <c r="I96" s="298">
        <v>45799</v>
      </c>
      <c r="J96" s="25" t="s">
        <v>510</v>
      </c>
    </row>
    <row r="97" spans="1:10" hidden="1">
      <c r="A97">
        <v>96</v>
      </c>
      <c r="B97" s="19" t="s">
        <v>157</v>
      </c>
      <c r="D97" s="184" t="s">
        <v>85</v>
      </c>
      <c r="E97" s="298">
        <v>45733</v>
      </c>
      <c r="G97" s="180">
        <v>7.0045000000000002</v>
      </c>
      <c r="H97" t="s">
        <v>32</v>
      </c>
      <c r="I97" s="298">
        <v>45735</v>
      </c>
      <c r="J97" s="15" t="s">
        <v>581</v>
      </c>
    </row>
    <row r="98" spans="1:10" hidden="1">
      <c r="A98">
        <v>97</v>
      </c>
      <c r="B98" s="19" t="s">
        <v>158</v>
      </c>
      <c r="D98" s="184" t="s">
        <v>42</v>
      </c>
      <c r="E98" s="298">
        <v>45727</v>
      </c>
      <c r="G98" s="180">
        <v>4.6230000000000002</v>
      </c>
      <c r="H98" t="s">
        <v>32</v>
      </c>
      <c r="I98" s="298">
        <v>45729</v>
      </c>
      <c r="J98" s="15" t="s">
        <v>581</v>
      </c>
    </row>
    <row r="99" spans="1:10" hidden="1">
      <c r="A99">
        <v>98</v>
      </c>
      <c r="B99" s="19" t="s">
        <v>159</v>
      </c>
      <c r="D99" s="184" t="s">
        <v>37</v>
      </c>
      <c r="E99" s="298">
        <v>45770</v>
      </c>
      <c r="G99" s="180">
        <v>5.4790000000000001</v>
      </c>
      <c r="H99" t="s">
        <v>32</v>
      </c>
      <c r="I99" s="298">
        <v>45772</v>
      </c>
      <c r="J99" s="25" t="s">
        <v>583</v>
      </c>
    </row>
    <row r="100" spans="1:10" hidden="1">
      <c r="A100">
        <v>99</v>
      </c>
      <c r="B100" s="19" t="s">
        <v>161</v>
      </c>
      <c r="D100" s="184" t="s">
        <v>39</v>
      </c>
      <c r="E100" s="298">
        <v>45777</v>
      </c>
      <c r="G100" s="180">
        <v>6.9080000000000013</v>
      </c>
      <c r="H100" t="s">
        <v>32</v>
      </c>
      <c r="I100" s="298">
        <v>45779</v>
      </c>
      <c r="J100" s="25" t="s">
        <v>583</v>
      </c>
    </row>
    <row r="101" spans="1:10" hidden="1">
      <c r="A101">
        <v>100</v>
      </c>
      <c r="B101" s="19" t="s">
        <v>162</v>
      </c>
      <c r="D101" s="184" t="s">
        <v>42</v>
      </c>
      <c r="E101" s="298">
        <v>45729</v>
      </c>
      <c r="G101" s="180">
        <v>4.6230000000000002</v>
      </c>
      <c r="H101" t="s">
        <v>32</v>
      </c>
      <c r="I101" s="298">
        <v>45730</v>
      </c>
      <c r="J101" s="17" t="s">
        <v>584</v>
      </c>
    </row>
    <row r="102" spans="1:10" hidden="1">
      <c r="A102">
        <v>101</v>
      </c>
      <c r="B102" s="19" t="s">
        <v>164</v>
      </c>
      <c r="D102" s="184" t="s">
        <v>34</v>
      </c>
      <c r="E102" s="298">
        <v>45736</v>
      </c>
      <c r="G102" s="180">
        <v>9.2609999999999992</v>
      </c>
      <c r="H102" t="s">
        <v>32</v>
      </c>
      <c r="I102" s="298">
        <v>45738</v>
      </c>
      <c r="J102" s="15" t="s">
        <v>581</v>
      </c>
    </row>
    <row r="103" spans="1:10" hidden="1">
      <c r="A103">
        <v>102</v>
      </c>
      <c r="B103" s="19" t="s">
        <v>166</v>
      </c>
      <c r="D103" s="184" t="s">
        <v>46</v>
      </c>
      <c r="E103" s="298">
        <v>45800</v>
      </c>
      <c r="G103" s="180">
        <v>8.2034000000000002</v>
      </c>
      <c r="H103" t="s">
        <v>32</v>
      </c>
      <c r="I103" s="298">
        <v>45801</v>
      </c>
      <c r="J103" s="15" t="s">
        <v>586</v>
      </c>
    </row>
    <row r="104" spans="1:10">
      <c r="A104">
        <v>103</v>
      </c>
      <c r="B104" s="19" t="s">
        <v>167</v>
      </c>
      <c r="D104" s="184" t="s">
        <v>37</v>
      </c>
      <c r="E104" s="298">
        <v>45971</v>
      </c>
      <c r="G104" s="180">
        <v>5.4790000000000001</v>
      </c>
      <c r="H104" t="s">
        <v>32</v>
      </c>
      <c r="I104" s="298">
        <v>45973</v>
      </c>
      <c r="J104" s="15" t="s">
        <v>587</v>
      </c>
    </row>
    <row r="105" spans="1:10" hidden="1">
      <c r="A105">
        <v>104</v>
      </c>
      <c r="B105" s="19" t="s">
        <v>169</v>
      </c>
      <c r="D105" s="184" t="s">
        <v>65</v>
      </c>
      <c r="E105" s="298">
        <v>45785</v>
      </c>
      <c r="G105" s="180">
        <v>8.9772999999999996</v>
      </c>
      <c r="H105" t="s">
        <v>32</v>
      </c>
      <c r="I105" s="298">
        <v>45785</v>
      </c>
      <c r="J105" s="15" t="s">
        <v>586</v>
      </c>
    </row>
    <row r="106" spans="1:10">
      <c r="A106">
        <v>105</v>
      </c>
      <c r="B106" s="19" t="s">
        <v>170</v>
      </c>
      <c r="D106" s="184" t="s">
        <v>89</v>
      </c>
      <c r="E106" s="298">
        <v>45956</v>
      </c>
      <c r="G106" s="180">
        <v>7.4523000000000001</v>
      </c>
      <c r="H106" t="s">
        <v>32</v>
      </c>
      <c r="I106" s="298">
        <v>45956</v>
      </c>
      <c r="J106" s="15" t="s">
        <v>586</v>
      </c>
    </row>
    <row r="107" spans="1:10">
      <c r="A107">
        <v>106</v>
      </c>
      <c r="B107" s="19" t="s">
        <v>171</v>
      </c>
      <c r="D107" s="184" t="s">
        <v>56</v>
      </c>
      <c r="E107" s="298">
        <v>45951</v>
      </c>
      <c r="G107" s="180">
        <v>6.047299999999999</v>
      </c>
      <c r="H107" t="s">
        <v>32</v>
      </c>
      <c r="I107" s="298">
        <v>45953</v>
      </c>
      <c r="J107" s="15" t="s">
        <v>586</v>
      </c>
    </row>
    <row r="108" spans="1:10">
      <c r="A108">
        <v>107</v>
      </c>
      <c r="B108" s="19" t="s">
        <v>172</v>
      </c>
      <c r="D108" s="184" t="s">
        <v>76</v>
      </c>
      <c r="E108" s="298">
        <v>45957</v>
      </c>
      <c r="G108" s="189">
        <v>6.3299999999999992</v>
      </c>
      <c r="H108" t="s">
        <v>32</v>
      </c>
      <c r="I108" s="298">
        <v>45959</v>
      </c>
      <c r="J108" s="15" t="s">
        <v>586</v>
      </c>
    </row>
    <row r="109" spans="1:10">
      <c r="A109">
        <v>108</v>
      </c>
      <c r="B109" s="19" t="s">
        <v>173</v>
      </c>
      <c r="D109" s="184" t="s">
        <v>56</v>
      </c>
      <c r="E109" s="298">
        <v>45975</v>
      </c>
      <c r="G109" s="180">
        <v>6.047299999999999</v>
      </c>
      <c r="H109" t="s">
        <v>32</v>
      </c>
      <c r="I109" s="298">
        <v>45977</v>
      </c>
      <c r="J109" s="15" t="s">
        <v>586</v>
      </c>
    </row>
    <row r="110" spans="1:10">
      <c r="A110">
        <v>109</v>
      </c>
      <c r="B110" s="19" t="s">
        <v>174</v>
      </c>
      <c r="D110" s="184" t="s">
        <v>42</v>
      </c>
      <c r="E110" s="298">
        <v>45959</v>
      </c>
      <c r="G110" s="180">
        <v>4.6230000000000002</v>
      </c>
      <c r="H110" t="s">
        <v>32</v>
      </c>
      <c r="I110" s="298">
        <v>45961</v>
      </c>
      <c r="J110" s="15" t="s">
        <v>586</v>
      </c>
    </row>
    <row r="111" spans="1:10">
      <c r="A111">
        <v>110</v>
      </c>
      <c r="B111" s="19" t="s">
        <v>175</v>
      </c>
      <c r="D111" s="184" t="s">
        <v>37</v>
      </c>
      <c r="E111" s="298">
        <v>45976</v>
      </c>
      <c r="G111" s="180">
        <v>5.4790000000000001</v>
      </c>
      <c r="H111" t="s">
        <v>32</v>
      </c>
      <c r="I111" s="298">
        <v>45978</v>
      </c>
      <c r="J111" s="15" t="s">
        <v>586</v>
      </c>
    </row>
    <row r="112" spans="1:10" hidden="1">
      <c r="A112">
        <v>111</v>
      </c>
      <c r="B112" s="19" t="s">
        <v>176</v>
      </c>
      <c r="D112" s="184" t="s">
        <v>42</v>
      </c>
      <c r="E112" s="298">
        <v>45686</v>
      </c>
      <c r="G112" s="180">
        <v>4.6230000000000002</v>
      </c>
      <c r="H112" t="s">
        <v>32</v>
      </c>
      <c r="I112" s="298">
        <v>45688</v>
      </c>
      <c r="J112" s="15" t="s">
        <v>510</v>
      </c>
    </row>
    <row r="113" spans="1:10" hidden="1">
      <c r="A113">
        <v>112</v>
      </c>
      <c r="B113" s="19" t="s">
        <v>177</v>
      </c>
      <c r="D113" s="184" t="s">
        <v>37</v>
      </c>
      <c r="E113" s="298">
        <v>45687</v>
      </c>
      <c r="G113" s="180">
        <v>5.4790000000000001</v>
      </c>
      <c r="H113" t="s">
        <v>32</v>
      </c>
      <c r="I113" s="298">
        <v>45689</v>
      </c>
      <c r="J113" s="15" t="s">
        <v>510</v>
      </c>
    </row>
    <row r="114" spans="1:10" hidden="1">
      <c r="A114">
        <v>113</v>
      </c>
      <c r="B114" s="19" t="s">
        <v>178</v>
      </c>
      <c r="D114" s="184" t="s">
        <v>42</v>
      </c>
      <c r="E114" s="298">
        <v>45689</v>
      </c>
      <c r="G114" s="180">
        <v>4.6230000000000002</v>
      </c>
      <c r="H114" t="s">
        <v>32</v>
      </c>
      <c r="I114" s="298">
        <v>45690</v>
      </c>
      <c r="J114" s="15" t="s">
        <v>510</v>
      </c>
    </row>
    <row r="115" spans="1:10" hidden="1">
      <c r="A115">
        <v>114</v>
      </c>
      <c r="B115" s="19" t="s">
        <v>180</v>
      </c>
      <c r="D115" s="184" t="s">
        <v>34</v>
      </c>
      <c r="E115" s="298">
        <v>45692</v>
      </c>
      <c r="G115" s="180">
        <v>9.2609999999999992</v>
      </c>
      <c r="H115" t="s">
        <v>32</v>
      </c>
      <c r="I115" s="298">
        <v>45693</v>
      </c>
      <c r="J115" s="15" t="s">
        <v>510</v>
      </c>
    </row>
    <row r="116" spans="1:10" hidden="1">
      <c r="A116">
        <v>115</v>
      </c>
      <c r="B116" s="19" t="s">
        <v>181</v>
      </c>
      <c r="D116" s="184" t="s">
        <v>37</v>
      </c>
      <c r="E116" s="298">
        <v>45645</v>
      </c>
      <c r="G116" s="180">
        <v>5.4790000000000001</v>
      </c>
      <c r="H116" t="s">
        <v>32</v>
      </c>
      <c r="I116" s="298">
        <v>45649</v>
      </c>
      <c r="J116" s="24" t="s">
        <v>590</v>
      </c>
    </row>
    <row r="117" spans="1:10" hidden="1">
      <c r="A117">
        <v>116</v>
      </c>
      <c r="B117" s="19" t="s">
        <v>182</v>
      </c>
      <c r="D117" s="184" t="s">
        <v>42</v>
      </c>
      <c r="E117" s="298">
        <v>45650</v>
      </c>
      <c r="G117" s="180">
        <v>4.6230000000000002</v>
      </c>
      <c r="H117" t="s">
        <v>32</v>
      </c>
      <c r="I117" s="298">
        <v>45651</v>
      </c>
      <c r="J117" s="24" t="s">
        <v>590</v>
      </c>
    </row>
    <row r="118" spans="1:10" hidden="1">
      <c r="A118">
        <v>117</v>
      </c>
      <c r="B118" s="19" t="s">
        <v>183</v>
      </c>
      <c r="D118" s="184" t="s">
        <v>42</v>
      </c>
      <c r="E118" s="298">
        <v>45651</v>
      </c>
      <c r="G118" s="180">
        <v>4.6230000000000002</v>
      </c>
      <c r="H118" t="s">
        <v>32</v>
      </c>
      <c r="I118" s="298">
        <v>45652</v>
      </c>
      <c r="J118" s="24" t="s">
        <v>590</v>
      </c>
    </row>
    <row r="119" spans="1:10" hidden="1">
      <c r="A119">
        <v>118</v>
      </c>
      <c r="B119" s="19" t="s">
        <v>184</v>
      </c>
      <c r="D119" s="184" t="s">
        <v>56</v>
      </c>
      <c r="E119" s="298">
        <v>45693</v>
      </c>
      <c r="G119" s="180">
        <v>6.047299999999999</v>
      </c>
      <c r="H119" t="s">
        <v>32</v>
      </c>
      <c r="I119" s="298">
        <v>45695</v>
      </c>
      <c r="J119" s="15" t="s">
        <v>510</v>
      </c>
    </row>
    <row r="120" spans="1:10" hidden="1">
      <c r="A120">
        <v>119</v>
      </c>
      <c r="B120" s="19" t="s">
        <v>185</v>
      </c>
      <c r="D120" s="184" t="s">
        <v>37</v>
      </c>
      <c r="E120" s="298">
        <v>45695</v>
      </c>
      <c r="G120" s="180">
        <v>5.4790000000000001</v>
      </c>
      <c r="H120" t="s">
        <v>32</v>
      </c>
      <c r="I120" s="298">
        <v>45697</v>
      </c>
      <c r="J120" s="15" t="s">
        <v>510</v>
      </c>
    </row>
    <row r="121" spans="1:10" hidden="1">
      <c r="A121">
        <v>120</v>
      </c>
      <c r="B121" s="19" t="s">
        <v>186</v>
      </c>
      <c r="D121" s="184" t="s">
        <v>42</v>
      </c>
      <c r="E121" s="298">
        <v>45699</v>
      </c>
      <c r="G121" s="180">
        <v>4.6230000000000002</v>
      </c>
      <c r="H121" t="s">
        <v>32</v>
      </c>
      <c r="I121" s="298">
        <v>45700</v>
      </c>
      <c r="J121" s="15" t="s">
        <v>510</v>
      </c>
    </row>
    <row r="122" spans="1:10" hidden="1">
      <c r="A122">
        <v>121</v>
      </c>
      <c r="B122" s="19" t="s">
        <v>187</v>
      </c>
      <c r="D122" s="184" t="s">
        <v>37</v>
      </c>
      <c r="E122" s="298">
        <v>45697</v>
      </c>
      <c r="G122" s="180">
        <v>5.4790000000000001</v>
      </c>
      <c r="H122" t="s">
        <v>32</v>
      </c>
      <c r="I122" s="298">
        <v>45699</v>
      </c>
      <c r="J122" s="15" t="s">
        <v>510</v>
      </c>
    </row>
    <row r="123" spans="1:10" hidden="1">
      <c r="A123">
        <v>122</v>
      </c>
      <c r="B123" s="19" t="s">
        <v>188</v>
      </c>
      <c r="D123" s="184" t="s">
        <v>42</v>
      </c>
      <c r="E123" s="298">
        <v>45699</v>
      </c>
      <c r="G123" s="180">
        <v>4.6230000000000002</v>
      </c>
      <c r="H123" t="s">
        <v>32</v>
      </c>
      <c r="I123" s="298">
        <v>45701</v>
      </c>
      <c r="J123" s="15" t="s">
        <v>510</v>
      </c>
    </row>
    <row r="124" spans="1:10" hidden="1">
      <c r="A124">
        <v>123</v>
      </c>
      <c r="B124" s="19" t="s">
        <v>189</v>
      </c>
      <c r="D124" s="184" t="s">
        <v>42</v>
      </c>
      <c r="E124" s="298">
        <v>45704</v>
      </c>
      <c r="G124" s="180">
        <v>4.6230000000000002</v>
      </c>
      <c r="H124" t="s">
        <v>32</v>
      </c>
      <c r="I124" s="298">
        <v>45705</v>
      </c>
      <c r="J124" s="15" t="s">
        <v>510</v>
      </c>
    </row>
    <row r="125" spans="1:10" hidden="1">
      <c r="A125">
        <v>124</v>
      </c>
      <c r="B125" s="19" t="s">
        <v>191</v>
      </c>
      <c r="D125" s="184" t="s">
        <v>39</v>
      </c>
      <c r="E125" s="298">
        <v>45702</v>
      </c>
      <c r="G125" s="180">
        <v>6.9080000000000013</v>
      </c>
      <c r="H125" t="s">
        <v>32</v>
      </c>
      <c r="I125" s="298">
        <v>45703</v>
      </c>
      <c r="J125" s="15" t="s">
        <v>510</v>
      </c>
    </row>
    <row r="126" spans="1:10" hidden="1">
      <c r="A126">
        <v>125</v>
      </c>
      <c r="B126" s="19" t="s">
        <v>192</v>
      </c>
      <c r="D126" s="184" t="s">
        <v>37</v>
      </c>
      <c r="E126" s="298">
        <v>45702</v>
      </c>
      <c r="G126" s="180">
        <v>5.4790000000000001</v>
      </c>
      <c r="H126" t="s">
        <v>32</v>
      </c>
      <c r="I126" s="298">
        <v>45704</v>
      </c>
      <c r="J126" s="15" t="s">
        <v>510</v>
      </c>
    </row>
    <row r="127" spans="1:10" hidden="1">
      <c r="A127">
        <v>126</v>
      </c>
      <c r="B127" s="19" t="s">
        <v>193</v>
      </c>
      <c r="D127" s="184" t="s">
        <v>37</v>
      </c>
      <c r="E127" s="298">
        <v>45710</v>
      </c>
      <c r="G127" s="180">
        <v>5.4790000000000001</v>
      </c>
      <c r="H127" t="s">
        <v>32</v>
      </c>
      <c r="I127" s="298">
        <v>45712</v>
      </c>
      <c r="J127" s="15" t="s">
        <v>510</v>
      </c>
    </row>
    <row r="128" spans="1:10" hidden="1">
      <c r="A128">
        <v>127</v>
      </c>
      <c r="B128" s="19" t="s">
        <v>194</v>
      </c>
      <c r="D128" s="184" t="s">
        <v>37</v>
      </c>
      <c r="E128" s="298">
        <v>45706</v>
      </c>
      <c r="G128" s="180">
        <v>5.4790000000000001</v>
      </c>
      <c r="H128" t="s">
        <v>32</v>
      </c>
      <c r="I128" s="298">
        <v>45707</v>
      </c>
      <c r="J128" s="15" t="s">
        <v>510</v>
      </c>
    </row>
    <row r="129" spans="1:10" hidden="1">
      <c r="A129">
        <v>128</v>
      </c>
      <c r="B129" s="19" t="s">
        <v>196</v>
      </c>
      <c r="D129" s="184" t="s">
        <v>46</v>
      </c>
      <c r="E129" s="298">
        <v>45695</v>
      </c>
      <c r="G129" s="180">
        <v>8.2034000000000002</v>
      </c>
      <c r="H129" t="s">
        <v>32</v>
      </c>
      <c r="I129" s="298">
        <v>45697</v>
      </c>
      <c r="J129" s="17" t="s">
        <v>594</v>
      </c>
    </row>
    <row r="130" spans="1:10" hidden="1">
      <c r="A130">
        <v>129</v>
      </c>
      <c r="B130" s="19" t="s">
        <v>197</v>
      </c>
      <c r="D130" s="184" t="s">
        <v>56</v>
      </c>
      <c r="E130" s="298">
        <v>45706</v>
      </c>
      <c r="G130" s="180">
        <v>6.047299999999999</v>
      </c>
      <c r="H130" t="s">
        <v>32</v>
      </c>
      <c r="I130" s="298">
        <v>45708</v>
      </c>
      <c r="J130" s="15" t="s">
        <v>510</v>
      </c>
    </row>
    <row r="131" spans="1:10" hidden="1">
      <c r="A131">
        <v>130</v>
      </c>
      <c r="B131" s="19" t="s">
        <v>198</v>
      </c>
      <c r="D131" s="184" t="s">
        <v>37</v>
      </c>
      <c r="E131" s="298">
        <v>45689</v>
      </c>
      <c r="G131" s="180">
        <v>5.4790000000000001</v>
      </c>
      <c r="H131" t="s">
        <v>32</v>
      </c>
      <c r="I131" s="298">
        <v>45691</v>
      </c>
      <c r="J131" s="17" t="s">
        <v>594</v>
      </c>
    </row>
    <row r="132" spans="1:10" hidden="1">
      <c r="A132">
        <v>131</v>
      </c>
      <c r="B132" s="19" t="s">
        <v>199</v>
      </c>
      <c r="D132" s="184" t="s">
        <v>56</v>
      </c>
      <c r="E132" s="298">
        <v>45686</v>
      </c>
      <c r="G132" s="180">
        <v>6.047299999999999</v>
      </c>
      <c r="H132" t="s">
        <v>32</v>
      </c>
      <c r="I132" s="298">
        <v>45688</v>
      </c>
      <c r="J132" s="17" t="s">
        <v>594</v>
      </c>
    </row>
    <row r="133" spans="1:10" hidden="1">
      <c r="A133">
        <v>132</v>
      </c>
      <c r="B133" s="19" t="s">
        <v>201</v>
      </c>
      <c r="D133" s="184" t="s">
        <v>39</v>
      </c>
      <c r="E133" s="298">
        <v>45709</v>
      </c>
      <c r="G133" s="180">
        <v>6.9080000000000013</v>
      </c>
      <c r="H133" t="s">
        <v>32</v>
      </c>
      <c r="I133" s="298">
        <v>45711</v>
      </c>
      <c r="J133" s="17" t="s">
        <v>510</v>
      </c>
    </row>
    <row r="134" spans="1:10" hidden="1">
      <c r="A134">
        <v>133</v>
      </c>
      <c r="B134" s="19" t="s">
        <v>202</v>
      </c>
      <c r="D134" s="184" t="s">
        <v>42</v>
      </c>
      <c r="E134" s="298">
        <v>45656</v>
      </c>
      <c r="G134" s="180">
        <v>4.6230000000000002</v>
      </c>
      <c r="H134" t="s">
        <v>32</v>
      </c>
      <c r="I134" s="298">
        <v>45657</v>
      </c>
      <c r="J134" s="17" t="s">
        <v>510</v>
      </c>
    </row>
    <row r="135" spans="1:10" hidden="1">
      <c r="A135">
        <v>134</v>
      </c>
      <c r="B135" s="19" t="s">
        <v>203</v>
      </c>
      <c r="D135" s="184" t="s">
        <v>37</v>
      </c>
      <c r="E135" s="298">
        <v>45653</v>
      </c>
      <c r="G135" s="180">
        <v>5.4790000000000001</v>
      </c>
      <c r="H135" t="s">
        <v>32</v>
      </c>
      <c r="I135" s="298">
        <v>45655</v>
      </c>
      <c r="J135" s="17" t="s">
        <v>510</v>
      </c>
    </row>
    <row r="136" spans="1:10" hidden="1">
      <c r="A136">
        <v>135</v>
      </c>
      <c r="B136" s="19" t="s">
        <v>204</v>
      </c>
      <c r="D136" s="184" t="s">
        <v>42</v>
      </c>
      <c r="E136" s="298">
        <v>45662</v>
      </c>
      <c r="G136" s="180">
        <v>4.6230000000000002</v>
      </c>
      <c r="H136" t="s">
        <v>32</v>
      </c>
      <c r="I136" s="298">
        <v>45663</v>
      </c>
      <c r="J136" s="17" t="s">
        <v>510</v>
      </c>
    </row>
    <row r="137" spans="1:10" hidden="1">
      <c r="A137">
        <v>136</v>
      </c>
      <c r="B137" s="19" t="s">
        <v>205</v>
      </c>
      <c r="D137" s="184" t="s">
        <v>42</v>
      </c>
      <c r="E137" s="298">
        <v>45659</v>
      </c>
      <c r="G137" s="180">
        <v>4.6230000000000002</v>
      </c>
      <c r="H137" t="s">
        <v>32</v>
      </c>
      <c r="I137" s="298">
        <v>45660</v>
      </c>
      <c r="J137" s="17" t="s">
        <v>510</v>
      </c>
    </row>
    <row r="138" spans="1:10" hidden="1">
      <c r="A138">
        <v>137</v>
      </c>
      <c r="B138" s="19" t="s">
        <v>206</v>
      </c>
      <c r="D138" s="184" t="s">
        <v>37</v>
      </c>
      <c r="E138" s="298">
        <v>45660</v>
      </c>
      <c r="G138" s="180">
        <v>5.4790000000000001</v>
      </c>
      <c r="H138" t="s">
        <v>32</v>
      </c>
      <c r="I138" s="298">
        <v>45662</v>
      </c>
      <c r="J138" s="17" t="s">
        <v>510</v>
      </c>
    </row>
    <row r="139" spans="1:10" hidden="1">
      <c r="A139">
        <v>138</v>
      </c>
      <c r="B139" s="19" t="s">
        <v>207</v>
      </c>
      <c r="D139" s="184" t="s">
        <v>37</v>
      </c>
      <c r="E139" s="298">
        <v>45664</v>
      </c>
      <c r="G139" s="180">
        <v>5.4790000000000001</v>
      </c>
      <c r="H139" t="s">
        <v>32</v>
      </c>
      <c r="I139" s="298">
        <v>45665</v>
      </c>
      <c r="J139" s="17" t="s">
        <v>510</v>
      </c>
    </row>
    <row r="140" spans="1:10" hidden="1">
      <c r="A140">
        <v>139</v>
      </c>
      <c r="B140" s="19" t="s">
        <v>208</v>
      </c>
      <c r="D140" s="184" t="s">
        <v>56</v>
      </c>
      <c r="E140" s="298">
        <v>45671</v>
      </c>
      <c r="G140" s="180">
        <v>6.047299999999999</v>
      </c>
      <c r="H140" t="s">
        <v>32</v>
      </c>
      <c r="I140" s="298">
        <v>45673</v>
      </c>
      <c r="J140" s="17" t="s">
        <v>510</v>
      </c>
    </row>
    <row r="141" spans="1:10" hidden="1">
      <c r="A141">
        <v>140</v>
      </c>
      <c r="B141" s="19" t="s">
        <v>209</v>
      </c>
      <c r="D141" s="184" t="s">
        <v>37</v>
      </c>
      <c r="E141" s="298">
        <v>45666</v>
      </c>
      <c r="G141" s="180">
        <v>5.4790000000000001</v>
      </c>
      <c r="H141" t="s">
        <v>32</v>
      </c>
      <c r="I141" s="298">
        <v>45667</v>
      </c>
      <c r="J141" s="17" t="s">
        <v>510</v>
      </c>
    </row>
    <row r="142" spans="1:10" hidden="1">
      <c r="A142">
        <v>141</v>
      </c>
      <c r="B142" s="19" t="s">
        <v>210</v>
      </c>
      <c r="D142" s="184" t="s">
        <v>37</v>
      </c>
      <c r="E142" s="298">
        <v>45668</v>
      </c>
      <c r="G142" s="180">
        <v>5.4790000000000001</v>
      </c>
      <c r="H142" t="s">
        <v>32</v>
      </c>
      <c r="I142" s="298">
        <v>45669</v>
      </c>
      <c r="J142" s="17" t="s">
        <v>510</v>
      </c>
    </row>
    <row r="143" spans="1:10" hidden="1">
      <c r="A143">
        <v>142</v>
      </c>
      <c r="B143" s="19" t="s">
        <v>211</v>
      </c>
      <c r="D143" s="184" t="s">
        <v>37</v>
      </c>
      <c r="E143" s="298">
        <v>45669</v>
      </c>
      <c r="G143" s="180">
        <v>5.4790000000000001</v>
      </c>
      <c r="H143" t="s">
        <v>32</v>
      </c>
      <c r="I143" s="298">
        <v>45670</v>
      </c>
      <c r="J143" s="17" t="s">
        <v>510</v>
      </c>
    </row>
    <row r="144" spans="1:10" hidden="1">
      <c r="A144">
        <v>143</v>
      </c>
      <c r="B144" s="19" t="s">
        <v>212</v>
      </c>
      <c r="D144" s="184" t="s">
        <v>37</v>
      </c>
      <c r="E144" s="298">
        <v>45685</v>
      </c>
      <c r="G144" s="180">
        <v>5.4790000000000001</v>
      </c>
      <c r="H144" t="s">
        <v>32</v>
      </c>
      <c r="I144" s="298">
        <v>45686</v>
      </c>
      <c r="J144" s="17" t="s">
        <v>510</v>
      </c>
    </row>
    <row r="145" spans="1:10" hidden="1">
      <c r="A145">
        <v>144</v>
      </c>
      <c r="B145" s="19" t="s">
        <v>214</v>
      </c>
      <c r="D145" s="184" t="s">
        <v>89</v>
      </c>
      <c r="E145" s="298">
        <v>45673</v>
      </c>
      <c r="G145" s="180">
        <v>7.4523000000000001</v>
      </c>
      <c r="H145" t="s">
        <v>32</v>
      </c>
      <c r="I145" s="298">
        <v>45674</v>
      </c>
      <c r="J145" s="17" t="s">
        <v>510</v>
      </c>
    </row>
    <row r="146" spans="1:10" hidden="1">
      <c r="A146">
        <v>145</v>
      </c>
      <c r="B146" s="19" t="s">
        <v>215</v>
      </c>
      <c r="D146" s="184" t="s">
        <v>42</v>
      </c>
      <c r="E146" s="298">
        <v>45675</v>
      </c>
      <c r="G146" s="180">
        <v>4.6230000000000002</v>
      </c>
      <c r="H146" t="s">
        <v>32</v>
      </c>
      <c r="I146" s="298">
        <v>45676</v>
      </c>
      <c r="J146" s="17" t="s">
        <v>510</v>
      </c>
    </row>
    <row r="147" spans="1:10" hidden="1">
      <c r="A147">
        <v>146</v>
      </c>
      <c r="B147" s="19" t="s">
        <v>216</v>
      </c>
      <c r="D147" s="184" t="s">
        <v>37</v>
      </c>
      <c r="E147" s="298">
        <v>45677</v>
      </c>
      <c r="G147" s="180">
        <v>5.4790000000000001</v>
      </c>
      <c r="H147" t="s">
        <v>32</v>
      </c>
      <c r="I147" s="298">
        <v>45678</v>
      </c>
      <c r="J147" s="17" t="s">
        <v>510</v>
      </c>
    </row>
    <row r="148" spans="1:10" hidden="1">
      <c r="A148">
        <v>147</v>
      </c>
      <c r="B148" s="19" t="s">
        <v>217</v>
      </c>
      <c r="D148" s="184" t="s">
        <v>37</v>
      </c>
      <c r="E148" s="298">
        <v>45679</v>
      </c>
      <c r="G148" s="180">
        <v>5.4790000000000001</v>
      </c>
      <c r="H148" t="s">
        <v>32</v>
      </c>
      <c r="I148" s="298">
        <v>45680</v>
      </c>
      <c r="J148" s="17" t="s">
        <v>510</v>
      </c>
    </row>
    <row r="149" spans="1:10" hidden="1">
      <c r="A149">
        <v>148</v>
      </c>
      <c r="B149" s="19" t="s">
        <v>218</v>
      </c>
      <c r="D149" s="184" t="s">
        <v>42</v>
      </c>
      <c r="E149" s="298">
        <v>45681</v>
      </c>
      <c r="G149" s="180">
        <v>4.6230000000000002</v>
      </c>
      <c r="H149" t="s">
        <v>32</v>
      </c>
      <c r="I149" s="298">
        <v>45682</v>
      </c>
      <c r="J149" s="17" t="s">
        <v>510</v>
      </c>
    </row>
    <row r="150" spans="1:10" hidden="1">
      <c r="A150">
        <v>149</v>
      </c>
      <c r="B150" s="19" t="s">
        <v>219</v>
      </c>
      <c r="D150" s="184" t="s">
        <v>42</v>
      </c>
      <c r="E150" s="298">
        <v>45786</v>
      </c>
      <c r="G150" s="180">
        <v>4.6230000000000002</v>
      </c>
      <c r="H150" t="s">
        <v>32</v>
      </c>
      <c r="I150" s="298">
        <v>45787</v>
      </c>
      <c r="J150" s="17" t="s">
        <v>510</v>
      </c>
    </row>
    <row r="151" spans="1:10" hidden="1">
      <c r="A151">
        <v>150</v>
      </c>
      <c r="B151" s="19" t="s">
        <v>221</v>
      </c>
      <c r="D151" s="184" t="s">
        <v>76</v>
      </c>
      <c r="E151" s="298">
        <v>45714</v>
      </c>
      <c r="G151" s="180">
        <v>6.3299999999999992</v>
      </c>
      <c r="H151" t="s">
        <v>32</v>
      </c>
      <c r="I151" s="298">
        <v>45716</v>
      </c>
      <c r="J151" s="17" t="s">
        <v>584</v>
      </c>
    </row>
    <row r="152" spans="1:10" hidden="1">
      <c r="A152">
        <v>151</v>
      </c>
      <c r="B152" s="19" t="s">
        <v>222</v>
      </c>
      <c r="D152" s="184" t="s">
        <v>42</v>
      </c>
      <c r="E152" s="298">
        <v>45709</v>
      </c>
      <c r="G152" s="180">
        <v>4.6230000000000002</v>
      </c>
      <c r="H152" t="s">
        <v>32</v>
      </c>
      <c r="I152" s="298">
        <v>45711</v>
      </c>
      <c r="J152" s="17" t="s">
        <v>584</v>
      </c>
    </row>
    <row r="153" spans="1:10" hidden="1">
      <c r="A153">
        <v>152</v>
      </c>
      <c r="B153" s="19" t="s">
        <v>223</v>
      </c>
      <c r="D153" s="184" t="s">
        <v>37</v>
      </c>
      <c r="E153" s="298">
        <v>45711</v>
      </c>
      <c r="G153" s="180">
        <v>5.4790000000000001</v>
      </c>
      <c r="H153" t="s">
        <v>32</v>
      </c>
      <c r="I153" s="298">
        <v>45713</v>
      </c>
      <c r="J153" s="17" t="s">
        <v>584</v>
      </c>
    </row>
    <row r="154" spans="1:10" hidden="1">
      <c r="A154">
        <v>153</v>
      </c>
      <c r="B154" s="19" t="s">
        <v>224</v>
      </c>
      <c r="D154" s="184" t="s">
        <v>42</v>
      </c>
      <c r="E154" s="298">
        <v>45716</v>
      </c>
      <c r="G154" s="180">
        <v>4.6230000000000002</v>
      </c>
      <c r="H154" t="s">
        <v>32</v>
      </c>
      <c r="I154" s="298">
        <v>45718</v>
      </c>
      <c r="J154" s="17" t="s">
        <v>584</v>
      </c>
    </row>
    <row r="155" spans="1:10" hidden="1">
      <c r="A155">
        <v>154</v>
      </c>
      <c r="B155" s="19" t="s">
        <v>225</v>
      </c>
      <c r="D155" s="184" t="s">
        <v>42</v>
      </c>
      <c r="E155" s="298">
        <v>45718</v>
      </c>
      <c r="G155" s="180">
        <v>4.6230000000000002</v>
      </c>
      <c r="H155" t="s">
        <v>32</v>
      </c>
      <c r="I155" s="298">
        <v>45720</v>
      </c>
      <c r="J155" s="17" t="s">
        <v>584</v>
      </c>
    </row>
    <row r="156" spans="1:10" hidden="1">
      <c r="A156">
        <v>155</v>
      </c>
      <c r="B156" s="19" t="s">
        <v>226</v>
      </c>
      <c r="D156" s="184" t="s">
        <v>42</v>
      </c>
      <c r="E156" s="298">
        <v>45705</v>
      </c>
      <c r="G156" s="180">
        <v>4.6230000000000002</v>
      </c>
      <c r="H156" t="s">
        <v>32</v>
      </c>
      <c r="I156" s="298">
        <v>45707</v>
      </c>
      <c r="J156" s="17" t="s">
        <v>584</v>
      </c>
    </row>
    <row r="157" spans="1:10" hidden="1">
      <c r="A157">
        <v>156</v>
      </c>
      <c r="B157" s="19" t="s">
        <v>227</v>
      </c>
      <c r="D157" s="184" t="s">
        <v>37</v>
      </c>
      <c r="E157" s="298">
        <v>45721</v>
      </c>
      <c r="G157" s="180">
        <v>5.4790000000000001</v>
      </c>
      <c r="H157" t="s">
        <v>32</v>
      </c>
      <c r="I157" s="298">
        <v>45722</v>
      </c>
      <c r="J157" s="17" t="s">
        <v>584</v>
      </c>
    </row>
    <row r="158" spans="1:10" hidden="1">
      <c r="A158">
        <v>157</v>
      </c>
      <c r="B158" s="19" t="s">
        <v>228</v>
      </c>
      <c r="D158" s="184" t="s">
        <v>37</v>
      </c>
      <c r="E158" s="298">
        <v>45707</v>
      </c>
      <c r="G158" s="180">
        <v>5.4790000000000001</v>
      </c>
      <c r="H158" t="s">
        <v>32</v>
      </c>
      <c r="I158" s="298">
        <v>45709</v>
      </c>
      <c r="J158" s="17" t="s">
        <v>584</v>
      </c>
    </row>
    <row r="159" spans="1:10">
      <c r="A159">
        <v>158</v>
      </c>
      <c r="B159" s="19" t="s">
        <v>229</v>
      </c>
      <c r="D159" s="184" t="s">
        <v>37</v>
      </c>
      <c r="E159" s="298">
        <v>45971</v>
      </c>
      <c r="G159" s="180">
        <v>5.4790000000000001</v>
      </c>
      <c r="H159" t="s">
        <v>32</v>
      </c>
      <c r="I159" s="298">
        <v>45973</v>
      </c>
      <c r="J159" s="17" t="s">
        <v>510</v>
      </c>
    </row>
    <row r="160" spans="1:10" hidden="1">
      <c r="A160">
        <v>159</v>
      </c>
      <c r="B160" s="19" t="s">
        <v>231</v>
      </c>
      <c r="D160" s="184" t="s">
        <v>76</v>
      </c>
      <c r="E160" s="298">
        <v>45722</v>
      </c>
      <c r="G160" s="180">
        <v>6.3299999999999992</v>
      </c>
      <c r="H160" t="s">
        <v>32</v>
      </c>
      <c r="I160" s="298">
        <v>45724</v>
      </c>
      <c r="J160" s="17" t="s">
        <v>584</v>
      </c>
    </row>
    <row r="161" spans="1:10" hidden="1">
      <c r="A161">
        <v>160</v>
      </c>
      <c r="B161" s="19" t="s">
        <v>232</v>
      </c>
      <c r="D161" s="184" t="s">
        <v>37</v>
      </c>
      <c r="E161" s="298">
        <v>45794</v>
      </c>
      <c r="G161" s="180">
        <v>5.4790000000000001</v>
      </c>
      <c r="H161" t="s">
        <v>32</v>
      </c>
      <c r="I161" s="298">
        <v>45794</v>
      </c>
      <c r="J161" s="15" t="s">
        <v>600</v>
      </c>
    </row>
    <row r="162" spans="1:10" hidden="1">
      <c r="A162">
        <v>161</v>
      </c>
      <c r="B162" s="19" t="s">
        <v>233</v>
      </c>
      <c r="D162" s="184" t="s">
        <v>37</v>
      </c>
      <c r="E162" s="298">
        <v>45791</v>
      </c>
      <c r="G162" s="180">
        <v>5.4790000000000001</v>
      </c>
      <c r="H162" t="s">
        <v>32</v>
      </c>
      <c r="I162" s="298">
        <v>45792</v>
      </c>
      <c r="J162" s="15" t="s">
        <v>600</v>
      </c>
    </row>
    <row r="163" spans="1:10" hidden="1">
      <c r="A163">
        <v>162</v>
      </c>
      <c r="B163" s="19" t="s">
        <v>234</v>
      </c>
      <c r="D163" s="184" t="s">
        <v>37</v>
      </c>
      <c r="E163" s="298">
        <v>45706</v>
      </c>
      <c r="G163" s="180">
        <v>5.4790000000000001</v>
      </c>
      <c r="H163" t="s">
        <v>32</v>
      </c>
      <c r="I163" s="298">
        <v>45707</v>
      </c>
      <c r="J163" s="17" t="s">
        <v>553</v>
      </c>
    </row>
    <row r="164" spans="1:10" hidden="1">
      <c r="A164">
        <v>163</v>
      </c>
      <c r="B164" s="19" t="s">
        <v>235</v>
      </c>
      <c r="D164" s="184" t="s">
        <v>42</v>
      </c>
      <c r="E164" s="298">
        <v>45695</v>
      </c>
      <c r="G164" s="180">
        <v>4.6230000000000002</v>
      </c>
      <c r="H164" t="s">
        <v>32</v>
      </c>
      <c r="I164" s="298">
        <v>45697</v>
      </c>
      <c r="J164" s="17" t="s">
        <v>553</v>
      </c>
    </row>
    <row r="165" spans="1:10" hidden="1">
      <c r="A165">
        <v>164</v>
      </c>
      <c r="B165" s="19" t="s">
        <v>236</v>
      </c>
      <c r="D165" s="184" t="s">
        <v>37</v>
      </c>
      <c r="E165" s="298">
        <v>45698</v>
      </c>
      <c r="G165" s="180">
        <v>5.4790000000000001</v>
      </c>
      <c r="H165" t="s">
        <v>32</v>
      </c>
      <c r="I165" s="298">
        <v>45699</v>
      </c>
      <c r="J165" s="17" t="s">
        <v>553</v>
      </c>
    </row>
    <row r="166" spans="1:10" hidden="1">
      <c r="A166">
        <v>165</v>
      </c>
      <c r="B166" s="19" t="s">
        <v>237</v>
      </c>
      <c r="D166" s="184" t="s">
        <v>37</v>
      </c>
      <c r="E166" s="298">
        <v>45701</v>
      </c>
      <c r="G166" s="180">
        <v>5.4790000000000001</v>
      </c>
      <c r="H166" t="s">
        <v>32</v>
      </c>
      <c r="I166" s="298">
        <v>45702</v>
      </c>
      <c r="J166" s="17" t="s">
        <v>553</v>
      </c>
    </row>
    <row r="167" spans="1:10" hidden="1">
      <c r="A167">
        <v>166</v>
      </c>
      <c r="B167" s="19" t="s">
        <v>238</v>
      </c>
      <c r="D167" s="184" t="s">
        <v>37</v>
      </c>
      <c r="E167" s="298">
        <v>45702</v>
      </c>
      <c r="G167" s="180">
        <v>5.4790000000000001</v>
      </c>
      <c r="H167" t="s">
        <v>32</v>
      </c>
      <c r="I167" s="298">
        <v>45704</v>
      </c>
      <c r="J167" s="17" t="s">
        <v>553</v>
      </c>
    </row>
    <row r="168" spans="1:10" hidden="1">
      <c r="A168">
        <v>167</v>
      </c>
      <c r="B168" s="19" t="s">
        <v>239</v>
      </c>
      <c r="D168" s="184" t="s">
        <v>37</v>
      </c>
      <c r="E168" s="298">
        <v>45707</v>
      </c>
      <c r="G168" s="180">
        <v>5.4790000000000001</v>
      </c>
      <c r="H168" t="s">
        <v>32</v>
      </c>
      <c r="I168" s="298">
        <v>45709</v>
      </c>
      <c r="J168" s="17" t="s">
        <v>553</v>
      </c>
    </row>
    <row r="169" spans="1:10" hidden="1">
      <c r="A169">
        <v>168</v>
      </c>
      <c r="B169" s="19" t="s">
        <v>240</v>
      </c>
      <c r="D169" s="184" t="s">
        <v>42</v>
      </c>
      <c r="E169" s="298">
        <v>45709</v>
      </c>
      <c r="G169" s="180">
        <v>4.6230000000000002</v>
      </c>
      <c r="H169" t="s">
        <v>32</v>
      </c>
      <c r="I169" s="298">
        <v>45711</v>
      </c>
      <c r="J169" s="17" t="s">
        <v>553</v>
      </c>
    </row>
    <row r="170" spans="1:10" hidden="1">
      <c r="A170">
        <v>169</v>
      </c>
      <c r="B170" s="19" t="s">
        <v>241</v>
      </c>
      <c r="D170" s="184" t="s">
        <v>37</v>
      </c>
      <c r="E170" s="298">
        <v>45711</v>
      </c>
      <c r="G170" s="180">
        <v>5.4790000000000001</v>
      </c>
      <c r="H170" t="s">
        <v>32</v>
      </c>
      <c r="I170" s="298">
        <v>45713</v>
      </c>
      <c r="J170" s="17" t="s">
        <v>553</v>
      </c>
    </row>
    <row r="171" spans="1:10" hidden="1">
      <c r="A171">
        <v>170</v>
      </c>
      <c r="B171" s="19" t="s">
        <v>242</v>
      </c>
      <c r="D171" s="184" t="s">
        <v>42</v>
      </c>
      <c r="E171" s="298">
        <v>45787</v>
      </c>
      <c r="G171" s="180">
        <v>4.6230000000000002</v>
      </c>
      <c r="H171" t="s">
        <v>32</v>
      </c>
      <c r="I171" s="298">
        <v>45789</v>
      </c>
      <c r="J171" s="17" t="s">
        <v>600</v>
      </c>
    </row>
    <row r="172" spans="1:10" hidden="1">
      <c r="A172">
        <v>171</v>
      </c>
      <c r="B172" s="19" t="s">
        <v>243</v>
      </c>
      <c r="D172" s="184" t="s">
        <v>37</v>
      </c>
      <c r="E172" s="298">
        <v>45719</v>
      </c>
      <c r="G172" s="180">
        <v>5.4790000000000001</v>
      </c>
      <c r="H172" t="s">
        <v>32</v>
      </c>
      <c r="I172" s="298">
        <v>45721</v>
      </c>
      <c r="J172" s="17" t="s">
        <v>510</v>
      </c>
    </row>
    <row r="173" spans="1:10" hidden="1">
      <c r="A173">
        <v>172</v>
      </c>
      <c r="B173" s="19" t="s">
        <v>244</v>
      </c>
      <c r="D173" s="184" t="s">
        <v>37</v>
      </c>
      <c r="E173" s="298">
        <v>45794</v>
      </c>
      <c r="G173" s="180">
        <v>5.4790000000000001</v>
      </c>
      <c r="H173" t="s">
        <v>32</v>
      </c>
      <c r="I173" s="298">
        <v>45796</v>
      </c>
      <c r="J173" s="17" t="s">
        <v>600</v>
      </c>
    </row>
    <row r="174" spans="1:10" hidden="1">
      <c r="A174">
        <v>173</v>
      </c>
      <c r="B174" s="19" t="s">
        <v>246</v>
      </c>
      <c r="D174" s="184" t="s">
        <v>46</v>
      </c>
      <c r="E174" s="298">
        <v>45714</v>
      </c>
      <c r="G174" s="180">
        <v>8.2034000000000002</v>
      </c>
      <c r="H174" t="s">
        <v>32</v>
      </c>
      <c r="I174" s="298">
        <v>45716</v>
      </c>
      <c r="J174" s="17" t="s">
        <v>510</v>
      </c>
    </row>
    <row r="175" spans="1:10" hidden="1">
      <c r="A175">
        <v>174</v>
      </c>
      <c r="B175" s="19" t="s">
        <v>247</v>
      </c>
      <c r="D175" s="184" t="s">
        <v>37</v>
      </c>
      <c r="E175" s="298">
        <v>45715</v>
      </c>
      <c r="G175" s="180">
        <v>5.4790000000000001</v>
      </c>
      <c r="H175" t="s">
        <v>32</v>
      </c>
      <c r="I175" s="298">
        <v>45717</v>
      </c>
      <c r="J175" s="17" t="s">
        <v>510</v>
      </c>
    </row>
    <row r="176" spans="1:10" hidden="1">
      <c r="A176">
        <v>175</v>
      </c>
      <c r="B176" s="19" t="s">
        <v>248</v>
      </c>
      <c r="D176" s="184" t="s">
        <v>37</v>
      </c>
      <c r="E176" s="298">
        <v>45713</v>
      </c>
      <c r="G176" s="180">
        <v>5.4790000000000001</v>
      </c>
      <c r="H176" t="s">
        <v>32</v>
      </c>
      <c r="I176" s="298">
        <v>45714</v>
      </c>
      <c r="J176" s="17" t="s">
        <v>510</v>
      </c>
    </row>
    <row r="177" spans="1:10" hidden="1">
      <c r="A177">
        <v>176</v>
      </c>
      <c r="B177" s="19" t="s">
        <v>250</v>
      </c>
      <c r="D177" s="184" t="s">
        <v>39</v>
      </c>
      <c r="E177" s="298">
        <v>45886</v>
      </c>
      <c r="G177" s="180">
        <v>6.9080000000000013</v>
      </c>
      <c r="H177" t="s">
        <v>32</v>
      </c>
      <c r="I177" s="298">
        <v>45888</v>
      </c>
      <c r="J177" s="15" t="s">
        <v>601</v>
      </c>
    </row>
    <row r="178" spans="1:10" hidden="1">
      <c r="A178">
        <v>177</v>
      </c>
      <c r="B178" s="19" t="s">
        <v>251</v>
      </c>
      <c r="D178" s="184" t="s">
        <v>42</v>
      </c>
      <c r="E178" s="298">
        <v>45721</v>
      </c>
      <c r="G178" s="180">
        <v>4.6230000000000002</v>
      </c>
      <c r="H178" t="s">
        <v>32</v>
      </c>
      <c r="I178" s="298">
        <v>45722</v>
      </c>
      <c r="J178" s="17" t="s">
        <v>510</v>
      </c>
    </row>
    <row r="179" spans="1:10" hidden="1">
      <c r="A179">
        <v>178</v>
      </c>
      <c r="B179" s="19" t="s">
        <v>252</v>
      </c>
      <c r="D179" s="184" t="s">
        <v>42</v>
      </c>
      <c r="E179" s="298">
        <v>45717</v>
      </c>
      <c r="G179" s="180">
        <v>4.6230000000000002</v>
      </c>
      <c r="H179" t="s">
        <v>32</v>
      </c>
      <c r="I179" s="298">
        <v>45718</v>
      </c>
      <c r="J179" s="17" t="s">
        <v>510</v>
      </c>
    </row>
    <row r="180" spans="1:10" hidden="1">
      <c r="A180">
        <v>179</v>
      </c>
      <c r="B180" s="19" t="s">
        <v>253</v>
      </c>
      <c r="D180" s="184" t="s">
        <v>42</v>
      </c>
      <c r="E180" s="298">
        <v>45803</v>
      </c>
      <c r="G180" s="180">
        <v>4.6230000000000002</v>
      </c>
      <c r="H180" t="s">
        <v>32</v>
      </c>
      <c r="I180" s="298">
        <v>45805</v>
      </c>
      <c r="J180" s="17" t="s">
        <v>510</v>
      </c>
    </row>
    <row r="181" spans="1:10" hidden="1">
      <c r="A181">
        <v>180</v>
      </c>
      <c r="B181" s="19" t="s">
        <v>254</v>
      </c>
      <c r="D181" s="184" t="s">
        <v>37</v>
      </c>
      <c r="E181" s="298">
        <v>45718</v>
      </c>
      <c r="G181" s="180">
        <v>5.4790000000000001</v>
      </c>
      <c r="H181" t="s">
        <v>32</v>
      </c>
      <c r="I181" s="298">
        <v>45719</v>
      </c>
      <c r="J181" s="17" t="s">
        <v>510</v>
      </c>
    </row>
    <row r="182" spans="1:10" hidden="1">
      <c r="A182">
        <v>181</v>
      </c>
      <c r="B182" s="19" t="s">
        <v>255</v>
      </c>
      <c r="D182" s="184" t="s">
        <v>42</v>
      </c>
      <c r="E182" s="298">
        <v>45806</v>
      </c>
      <c r="G182" s="180">
        <v>4.6230000000000002</v>
      </c>
      <c r="H182" t="s">
        <v>32</v>
      </c>
      <c r="I182" s="298">
        <v>45808</v>
      </c>
      <c r="J182" s="17" t="s">
        <v>510</v>
      </c>
    </row>
    <row r="183" spans="1:10" hidden="1">
      <c r="A183">
        <v>182</v>
      </c>
      <c r="B183" s="19" t="s">
        <v>257</v>
      </c>
      <c r="D183" s="184" t="s">
        <v>54</v>
      </c>
      <c r="E183" s="298">
        <v>45817</v>
      </c>
      <c r="G183" s="179">
        <v>12.502699999999999</v>
      </c>
      <c r="H183" t="s">
        <v>32</v>
      </c>
      <c r="I183" s="298">
        <v>45819</v>
      </c>
      <c r="J183" s="17" t="s">
        <v>510</v>
      </c>
    </row>
    <row r="184" spans="1:10" hidden="1">
      <c r="A184">
        <v>183</v>
      </c>
      <c r="B184" s="19" t="s">
        <v>259</v>
      </c>
      <c r="D184" s="184" t="s">
        <v>260</v>
      </c>
      <c r="E184" s="298">
        <v>45862</v>
      </c>
      <c r="G184" s="180">
        <v>17.757999999999999</v>
      </c>
      <c r="H184" t="s">
        <v>32</v>
      </c>
      <c r="I184" s="298">
        <v>45864</v>
      </c>
      <c r="J184" s="17" t="s">
        <v>510</v>
      </c>
    </row>
    <row r="185" spans="1:10" hidden="1">
      <c r="A185">
        <v>184</v>
      </c>
      <c r="B185" s="19" t="s">
        <v>262</v>
      </c>
      <c r="D185" s="184" t="s">
        <v>260</v>
      </c>
      <c r="E185" s="298">
        <v>45812</v>
      </c>
      <c r="G185" s="180">
        <v>17.757999999999999</v>
      </c>
      <c r="H185" t="s">
        <v>32</v>
      </c>
      <c r="I185" s="298">
        <v>45814</v>
      </c>
      <c r="J185" s="17" t="s">
        <v>510</v>
      </c>
    </row>
    <row r="186" spans="1:10" hidden="1">
      <c r="A186">
        <v>185</v>
      </c>
      <c r="B186" s="19" t="s">
        <v>264</v>
      </c>
      <c r="D186" s="184" t="s">
        <v>260</v>
      </c>
      <c r="E186" s="298">
        <v>45862</v>
      </c>
      <c r="G186" s="180">
        <v>17.757999999999999</v>
      </c>
      <c r="H186" t="s">
        <v>32</v>
      </c>
      <c r="I186" s="298">
        <v>45864</v>
      </c>
      <c r="J186" s="17" t="s">
        <v>553</v>
      </c>
    </row>
    <row r="187" spans="1:10" hidden="1">
      <c r="A187">
        <v>186</v>
      </c>
      <c r="B187" s="19" t="s">
        <v>266</v>
      </c>
      <c r="D187" s="184" t="s">
        <v>34</v>
      </c>
      <c r="E187" s="298">
        <v>45823</v>
      </c>
      <c r="G187" s="180">
        <v>9.2609999999999992</v>
      </c>
      <c r="H187" t="s">
        <v>32</v>
      </c>
      <c r="I187" s="298">
        <v>45825</v>
      </c>
      <c r="J187" s="17" t="s">
        <v>510</v>
      </c>
    </row>
    <row r="188" spans="1:10">
      <c r="A188">
        <v>187</v>
      </c>
      <c r="B188" s="210" t="s">
        <v>267</v>
      </c>
      <c r="D188" s="184" t="s">
        <v>268</v>
      </c>
      <c r="E188" s="298">
        <v>45948</v>
      </c>
      <c r="G188" s="180">
        <v>6.2</v>
      </c>
      <c r="H188" t="s">
        <v>32</v>
      </c>
      <c r="I188" s="298">
        <v>45952</v>
      </c>
      <c r="J188" s="17" t="s">
        <v>510</v>
      </c>
    </row>
    <row r="189" spans="1:10" hidden="1">
      <c r="A189">
        <v>188</v>
      </c>
      <c r="B189" s="19" t="s">
        <v>269</v>
      </c>
      <c r="D189" s="184" t="s">
        <v>268</v>
      </c>
      <c r="E189" s="298">
        <v>45883</v>
      </c>
      <c r="G189" s="180">
        <v>6.2</v>
      </c>
      <c r="H189" t="s">
        <v>32</v>
      </c>
      <c r="I189" s="298">
        <v>45886</v>
      </c>
      <c r="J189" s="15" t="s">
        <v>553</v>
      </c>
    </row>
    <row r="190" spans="1:10" hidden="1">
      <c r="A190">
        <v>189</v>
      </c>
      <c r="B190" s="19" t="s">
        <v>271</v>
      </c>
      <c r="D190" s="184" t="s">
        <v>51</v>
      </c>
      <c r="E190" s="298">
        <v>45821</v>
      </c>
      <c r="G190" s="180">
        <v>11.098400000000002</v>
      </c>
      <c r="H190" t="s">
        <v>32</v>
      </c>
      <c r="I190" s="298">
        <v>45823</v>
      </c>
      <c r="J190" s="17" t="s">
        <v>510</v>
      </c>
    </row>
    <row r="191" spans="1:10" hidden="1">
      <c r="A191">
        <v>190</v>
      </c>
      <c r="B191" s="19" t="s">
        <v>273</v>
      </c>
      <c r="D191" s="184" t="s">
        <v>65</v>
      </c>
      <c r="E191" s="298">
        <v>45880</v>
      </c>
      <c r="G191" s="180">
        <v>9.8567000000000018</v>
      </c>
      <c r="H191" t="s">
        <v>32</v>
      </c>
      <c r="I191" s="298">
        <v>45883</v>
      </c>
      <c r="J191" s="15" t="s">
        <v>553</v>
      </c>
    </row>
    <row r="192" spans="1:10" hidden="1">
      <c r="A192">
        <v>191</v>
      </c>
      <c r="B192" s="19" t="s">
        <v>274</v>
      </c>
      <c r="D192" s="184" t="s">
        <v>42</v>
      </c>
      <c r="E192" s="298">
        <v>45706</v>
      </c>
      <c r="G192" s="180">
        <v>4.6230000000000002</v>
      </c>
      <c r="H192" t="s">
        <v>32</v>
      </c>
      <c r="I192" s="298">
        <v>45707</v>
      </c>
      <c r="J192" s="15" t="s">
        <v>581</v>
      </c>
    </row>
    <row r="193" spans="1:10" hidden="1">
      <c r="A193">
        <v>192</v>
      </c>
      <c r="B193" s="19" t="s">
        <v>275</v>
      </c>
      <c r="D193" s="184" t="s">
        <v>56</v>
      </c>
      <c r="E193" s="298">
        <v>45707</v>
      </c>
      <c r="G193" s="180">
        <v>6.047299999999999</v>
      </c>
      <c r="H193" t="s">
        <v>32</v>
      </c>
      <c r="I193" s="298">
        <v>45709</v>
      </c>
      <c r="J193" s="15" t="s">
        <v>581</v>
      </c>
    </row>
    <row r="194" spans="1:10" hidden="1">
      <c r="A194">
        <v>193</v>
      </c>
      <c r="B194" s="19" t="s">
        <v>276</v>
      </c>
      <c r="D194" s="184" t="s">
        <v>85</v>
      </c>
      <c r="E194" s="298">
        <v>45709</v>
      </c>
      <c r="G194" s="180">
        <v>7.0045000000000002</v>
      </c>
      <c r="H194" t="s">
        <v>32</v>
      </c>
      <c r="I194" s="298">
        <v>45711</v>
      </c>
      <c r="J194" s="15" t="s">
        <v>581</v>
      </c>
    </row>
    <row r="195" spans="1:10" hidden="1">
      <c r="A195">
        <v>194</v>
      </c>
      <c r="B195" s="19" t="s">
        <v>277</v>
      </c>
      <c r="D195" s="184" t="s">
        <v>37</v>
      </c>
      <c r="E195" s="298">
        <v>45714</v>
      </c>
      <c r="G195" s="180">
        <v>5.4790000000000001</v>
      </c>
      <c r="H195" t="s">
        <v>32</v>
      </c>
      <c r="I195" s="298">
        <v>45715</v>
      </c>
      <c r="J195" s="15" t="s">
        <v>581</v>
      </c>
    </row>
    <row r="196" spans="1:10" hidden="1">
      <c r="A196">
        <v>195</v>
      </c>
      <c r="B196" s="19" t="s">
        <v>279</v>
      </c>
      <c r="D196" s="184" t="s">
        <v>89</v>
      </c>
      <c r="E196" s="298">
        <v>45711</v>
      </c>
      <c r="G196" s="180">
        <v>7.4523000000000001</v>
      </c>
      <c r="H196" t="s">
        <v>32</v>
      </c>
      <c r="I196" s="298">
        <v>45713</v>
      </c>
      <c r="J196" s="15" t="s">
        <v>581</v>
      </c>
    </row>
    <row r="197" spans="1:10" hidden="1">
      <c r="A197">
        <v>196</v>
      </c>
      <c r="B197" s="19" t="s">
        <v>280</v>
      </c>
      <c r="D197" s="184" t="s">
        <v>42</v>
      </c>
      <c r="E197" s="298">
        <v>45714</v>
      </c>
      <c r="G197" s="180">
        <v>4.6230000000000002</v>
      </c>
      <c r="H197" t="s">
        <v>32</v>
      </c>
      <c r="I197" s="298">
        <v>45716</v>
      </c>
      <c r="J197" s="15" t="s">
        <v>581</v>
      </c>
    </row>
    <row r="198" spans="1:10" hidden="1">
      <c r="A198">
        <v>197</v>
      </c>
      <c r="B198" s="19" t="s">
        <v>281</v>
      </c>
      <c r="D198" s="184" t="s">
        <v>42</v>
      </c>
      <c r="E198" s="298">
        <v>45718</v>
      </c>
      <c r="G198" s="180">
        <v>4.6230000000000002</v>
      </c>
      <c r="H198" t="s">
        <v>32</v>
      </c>
      <c r="I198" s="298">
        <v>45719</v>
      </c>
      <c r="J198" s="15" t="s">
        <v>581</v>
      </c>
    </row>
    <row r="199" spans="1:10" hidden="1">
      <c r="A199">
        <v>198</v>
      </c>
      <c r="B199" s="19" t="s">
        <v>282</v>
      </c>
      <c r="D199" s="184" t="s">
        <v>42</v>
      </c>
      <c r="E199" s="298">
        <v>45687</v>
      </c>
      <c r="G199" s="180">
        <v>4.6230000000000002</v>
      </c>
      <c r="H199" t="s">
        <v>32</v>
      </c>
      <c r="I199" s="298">
        <v>45689</v>
      </c>
      <c r="J199" s="15" t="s">
        <v>581</v>
      </c>
    </row>
    <row r="200" spans="1:10" hidden="1">
      <c r="A200">
        <v>199</v>
      </c>
      <c r="B200" s="19" t="s">
        <v>283</v>
      </c>
      <c r="D200" s="184" t="s">
        <v>42</v>
      </c>
      <c r="E200" s="298">
        <v>45721</v>
      </c>
      <c r="G200" s="180">
        <v>4.6230000000000002</v>
      </c>
      <c r="H200" t="s">
        <v>32</v>
      </c>
      <c r="I200" s="298">
        <v>45722</v>
      </c>
      <c r="J200" s="15" t="s">
        <v>553</v>
      </c>
    </row>
    <row r="201" spans="1:10" hidden="1">
      <c r="A201">
        <v>200</v>
      </c>
      <c r="B201" s="19" t="s">
        <v>284</v>
      </c>
      <c r="D201" s="184" t="s">
        <v>42</v>
      </c>
      <c r="E201" s="298">
        <v>45719</v>
      </c>
      <c r="G201" s="180">
        <v>4.6230000000000002</v>
      </c>
      <c r="H201" t="s">
        <v>32</v>
      </c>
      <c r="I201" s="298">
        <v>45721</v>
      </c>
      <c r="J201" s="15" t="s">
        <v>553</v>
      </c>
    </row>
    <row r="202" spans="1:10" hidden="1">
      <c r="A202">
        <v>201</v>
      </c>
      <c r="B202" s="19" t="s">
        <v>285</v>
      </c>
      <c r="D202" s="184" t="s">
        <v>37</v>
      </c>
      <c r="E202" s="298">
        <v>45718</v>
      </c>
      <c r="G202" s="180">
        <v>5.4790000000000001</v>
      </c>
      <c r="H202" t="s">
        <v>32</v>
      </c>
      <c r="I202" s="298">
        <v>45719</v>
      </c>
      <c r="J202" s="15" t="s">
        <v>553</v>
      </c>
    </row>
    <row r="203" spans="1:10" hidden="1">
      <c r="A203">
        <v>202</v>
      </c>
      <c r="B203" s="19" t="s">
        <v>287</v>
      </c>
      <c r="D203" s="184" t="s">
        <v>89</v>
      </c>
      <c r="E203" s="298">
        <v>45716</v>
      </c>
      <c r="G203" s="180">
        <v>7.4523000000000001</v>
      </c>
      <c r="H203" t="s">
        <v>32</v>
      </c>
      <c r="I203" s="298">
        <v>45718</v>
      </c>
      <c r="J203" s="15" t="s">
        <v>581</v>
      </c>
    </row>
    <row r="204" spans="1:10" hidden="1">
      <c r="A204">
        <v>203</v>
      </c>
      <c r="B204" s="19" t="s">
        <v>288</v>
      </c>
      <c r="D204" s="184" t="s">
        <v>56</v>
      </c>
      <c r="E204" s="298">
        <v>45849</v>
      </c>
      <c r="G204" s="180">
        <v>6.047299999999999</v>
      </c>
      <c r="H204" t="s">
        <v>32</v>
      </c>
      <c r="I204" s="298">
        <v>45851</v>
      </c>
      <c r="J204" s="15" t="s">
        <v>510</v>
      </c>
    </row>
    <row r="205" spans="1:10" hidden="1">
      <c r="A205">
        <v>204</v>
      </c>
      <c r="B205" s="19" t="s">
        <v>290</v>
      </c>
      <c r="D205" s="184" t="s">
        <v>39</v>
      </c>
      <c r="E205" s="298">
        <v>45852</v>
      </c>
      <c r="G205" s="180">
        <v>6.9080000000000013</v>
      </c>
      <c r="H205" t="s">
        <v>32</v>
      </c>
      <c r="I205" s="298">
        <v>45854</v>
      </c>
      <c r="J205" s="15" t="s">
        <v>510</v>
      </c>
    </row>
    <row r="206" spans="1:10" hidden="1">
      <c r="A206">
        <v>205</v>
      </c>
      <c r="B206" s="19" t="s">
        <v>291</v>
      </c>
      <c r="D206" s="184" t="s">
        <v>42</v>
      </c>
      <c r="E206" s="298">
        <v>45806</v>
      </c>
      <c r="G206" s="180">
        <v>4.6230000000000002</v>
      </c>
      <c r="H206" t="s">
        <v>32</v>
      </c>
      <c r="I206" s="298">
        <v>45807</v>
      </c>
      <c r="J206" s="15" t="s">
        <v>510</v>
      </c>
    </row>
    <row r="207" spans="1:10" hidden="1">
      <c r="A207">
        <v>206</v>
      </c>
      <c r="B207" s="19" t="s">
        <v>292</v>
      </c>
      <c r="D207" s="184" t="s">
        <v>42</v>
      </c>
      <c r="E207" s="298">
        <v>45801</v>
      </c>
      <c r="G207" s="180">
        <v>4.6230000000000002</v>
      </c>
      <c r="H207" t="s">
        <v>32</v>
      </c>
      <c r="I207" s="298">
        <v>45803</v>
      </c>
      <c r="J207" s="17" t="s">
        <v>600</v>
      </c>
    </row>
  </sheetData>
  <autoFilter ref="A1:N207" xr:uid="{E7034DED-F8A8-4A35-8E37-3046E4BB5740}">
    <filterColumn colId="8">
      <filters>
        <filter val="13/12/25"/>
        <filter val="17/12/2025"/>
        <filter val="30/12/25"/>
        <dateGroupItem year="2025" month="10" dateTimeGrouping="month"/>
        <dateGroupItem year="2025" month="11" dateTimeGrouping="month"/>
        <dateGroupItem year="2025" month="12" dateTimeGrouping="month"/>
      </filters>
    </filterColumn>
  </autoFilter>
  <conditionalFormatting sqref="B1">
    <cfRule type="duplicateValues" dxfId="1504" priority="1"/>
    <cfRule type="duplicateValues" dxfId="1503" priority="2"/>
    <cfRule type="duplicateValues" dxfId="1502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230"/>
  <sheetViews>
    <sheetView workbookViewId="0">
      <pane xSplit="4" ySplit="5" topLeftCell="Q6" activePane="bottomRight" state="frozen"/>
      <selection pane="topRight" activeCell="E1" sqref="E1"/>
      <selection pane="bottomLeft" activeCell="A6" sqref="A6"/>
      <selection pane="bottomRight" activeCell="D57" sqref="D57:D62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9" width="11.26953125" customWidth="1"/>
    <col min="10" max="10" width="12.08984375" customWidth="1"/>
    <col min="11" max="12" width="11.26953125" customWidth="1"/>
    <col min="13" max="13" width="12.08984375" customWidth="1"/>
    <col min="14" max="15" width="11.26953125" customWidth="1"/>
    <col min="16" max="16" width="21.453125" customWidth="1"/>
    <col min="17" max="17" width="5.08984375" customWidth="1"/>
    <col min="18" max="18" width="19.26953125" customWidth="1"/>
    <col min="19" max="19" width="3" customWidth="1"/>
    <col min="20" max="20" width="8.7265625" customWidth="1"/>
    <col min="21" max="22" width="11.26953125" customWidth="1"/>
    <col min="23" max="23" width="8.7265625" customWidth="1"/>
    <col min="24" max="25" width="11.26953125" customWidth="1"/>
    <col min="26" max="26" width="22" customWidth="1"/>
  </cols>
  <sheetData>
    <row r="1" spans="1:26" ht="14.25" customHeight="1">
      <c r="A1" s="498" t="str">
        <f>+Summary!A2</f>
        <v>Name of the Line: 220KV DC AL59 line from Neemuch - Chanderiya + 132KV DC ACSS Line from Chanderiya to Hindustan Zinc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3"/>
    </row>
    <row r="2" spans="1:26" ht="14.25" customHeight="1">
      <c r="A2" s="498" t="str">
        <f>+Summary!A5</f>
        <v>Progress of 220kV Line</v>
      </c>
      <c r="B2" s="442"/>
      <c r="C2" s="442"/>
      <c r="D2" s="443"/>
      <c r="E2" s="123"/>
      <c r="F2" s="498" t="s">
        <v>609</v>
      </c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3"/>
      <c r="S2" s="220"/>
      <c r="T2" s="498" t="s">
        <v>610</v>
      </c>
      <c r="U2" s="442"/>
      <c r="V2" s="442"/>
      <c r="W2" s="442"/>
      <c r="X2" s="442"/>
      <c r="Y2" s="442"/>
      <c r="Z2" s="443"/>
    </row>
    <row r="3" spans="1:26" ht="14.25" customHeight="1">
      <c r="A3" s="498" t="s">
        <v>611</v>
      </c>
      <c r="B3" s="442"/>
      <c r="C3" s="443"/>
      <c r="D3" s="221">
        <f>Summary!R5</f>
        <v>46030</v>
      </c>
      <c r="E3" s="222">
        <f>SUMIF(E6:E212,"C",$D$6:$D$212)/1000</f>
        <v>54.854477999999993</v>
      </c>
      <c r="F3" s="223"/>
      <c r="G3" s="223"/>
      <c r="H3" s="224">
        <f>SUMIF(G6:G212,"WIP",$D$6:$D$212)/1000</f>
        <v>0</v>
      </c>
      <c r="I3" s="222">
        <f>SUMIF(G6:G212,"C",$D$6:$D$212)/1000</f>
        <v>54.111127999999994</v>
      </c>
      <c r="J3" s="223"/>
      <c r="K3" s="224">
        <f>SUMIF(J6:J212,"WIP",$D$6:$D$212)/1000</f>
        <v>0</v>
      </c>
      <c r="L3" s="222">
        <f>SUMIF(J6:J212,"C",$D$6:$D$212)/1000</f>
        <v>54.111127999999994</v>
      </c>
      <c r="M3" s="223"/>
      <c r="N3" s="223"/>
      <c r="O3" s="223"/>
      <c r="P3" s="223"/>
      <c r="Q3" s="223"/>
      <c r="R3" s="223"/>
      <c r="S3" s="225"/>
      <c r="T3" s="223"/>
      <c r="U3" s="224">
        <f>SUMIF(T6:T212,"WIP",$D$6:$D$212)/1000</f>
        <v>0</v>
      </c>
      <c r="V3" s="224">
        <f>SUMIF(T6:T212,"C",$D$6:$D$212)/1000</f>
        <v>39.301040999999991</v>
      </c>
      <c r="W3" s="224"/>
      <c r="X3" s="224">
        <f>SUMIF(W6:W212,"WIP",$D$6:$D$212)/1000</f>
        <v>0</v>
      </c>
      <c r="Y3" s="224">
        <f>SUMIF(W6:W212,"C",$D$6:$D$212)/1000</f>
        <v>39.301040999999991</v>
      </c>
      <c r="Z3" s="223"/>
    </row>
    <row r="4" spans="1:26" ht="14.25" customHeight="1">
      <c r="A4" s="226" t="s">
        <v>2</v>
      </c>
      <c r="B4" s="499" t="s">
        <v>460</v>
      </c>
      <c r="C4" s="443"/>
      <c r="D4" s="226" t="s">
        <v>612</v>
      </c>
      <c r="E4" s="227" t="s">
        <v>613</v>
      </c>
      <c r="F4" s="55" t="s">
        <v>614</v>
      </c>
      <c r="G4" s="444" t="s">
        <v>615</v>
      </c>
      <c r="H4" s="442"/>
      <c r="I4" s="443"/>
      <c r="J4" s="444" t="s">
        <v>388</v>
      </c>
      <c r="K4" s="442"/>
      <c r="L4" s="443"/>
      <c r="M4" s="228" t="s">
        <v>616</v>
      </c>
      <c r="N4" s="129" t="s">
        <v>617</v>
      </c>
      <c r="O4" s="229" t="s">
        <v>618</v>
      </c>
      <c r="P4" s="2" t="s">
        <v>493</v>
      </c>
      <c r="Q4" s="230" t="s">
        <v>575</v>
      </c>
      <c r="R4" s="55" t="s">
        <v>15</v>
      </c>
      <c r="S4" s="231"/>
      <c r="T4" s="441" t="s">
        <v>619</v>
      </c>
      <c r="U4" s="442"/>
      <c r="V4" s="443"/>
      <c r="W4" s="441" t="s">
        <v>620</v>
      </c>
      <c r="X4" s="442"/>
      <c r="Y4" s="443"/>
      <c r="Z4" s="2" t="s">
        <v>493</v>
      </c>
    </row>
    <row r="5" spans="1:26" ht="14.25" customHeight="1">
      <c r="A5" s="226"/>
      <c r="B5" s="232" t="s">
        <v>621</v>
      </c>
      <c r="C5" s="232" t="s">
        <v>622</v>
      </c>
      <c r="D5" s="226"/>
      <c r="E5" s="233"/>
      <c r="F5" s="132"/>
      <c r="G5" s="229" t="s">
        <v>623</v>
      </c>
      <c r="H5" s="229" t="s">
        <v>496</v>
      </c>
      <c r="I5" s="229" t="s">
        <v>23</v>
      </c>
      <c r="J5" s="229" t="s">
        <v>623</v>
      </c>
      <c r="K5" s="229" t="s">
        <v>496</v>
      </c>
      <c r="L5" s="229" t="s">
        <v>23</v>
      </c>
      <c r="M5" s="229" t="s">
        <v>623</v>
      </c>
      <c r="N5" s="229" t="s">
        <v>623</v>
      </c>
      <c r="O5" s="229" t="s">
        <v>623</v>
      </c>
      <c r="P5" s="2"/>
      <c r="Q5" s="234"/>
      <c r="R5" s="132"/>
      <c r="S5" s="235"/>
      <c r="T5" s="229" t="s">
        <v>623</v>
      </c>
      <c r="U5" s="229" t="s">
        <v>496</v>
      </c>
      <c r="V5" s="229" t="s">
        <v>23</v>
      </c>
      <c r="W5" s="229" t="s">
        <v>623</v>
      </c>
      <c r="X5" s="229" t="s">
        <v>496</v>
      </c>
      <c r="Y5" s="229" t="s">
        <v>23</v>
      </c>
      <c r="Z5" s="2"/>
    </row>
    <row r="6" spans="1:26" ht="14.25" customHeight="1">
      <c r="A6" s="15">
        <v>1</v>
      </c>
      <c r="B6" s="136" t="s">
        <v>33</v>
      </c>
      <c r="C6" s="15" t="s">
        <v>38</v>
      </c>
      <c r="D6" s="16">
        <v>439.47</v>
      </c>
      <c r="E6" s="16" t="s">
        <v>20</v>
      </c>
      <c r="F6" s="16" t="s">
        <v>20</v>
      </c>
      <c r="G6" s="16" t="s">
        <v>20</v>
      </c>
      <c r="H6" s="297">
        <v>45796</v>
      </c>
      <c r="I6" s="297">
        <v>45801</v>
      </c>
      <c r="J6" s="16" t="s">
        <v>20</v>
      </c>
      <c r="K6" s="298">
        <v>45803</v>
      </c>
      <c r="L6" s="297">
        <f t="shared" ref="L6:L7" si="0">K6+2</f>
        <v>45805</v>
      </c>
      <c r="M6" s="16" t="s">
        <v>20</v>
      </c>
      <c r="N6" s="16" t="s">
        <v>20</v>
      </c>
      <c r="O6" s="16" t="s">
        <v>20</v>
      </c>
      <c r="P6" s="24" t="s">
        <v>624</v>
      </c>
      <c r="Q6" s="25"/>
      <c r="R6" s="24"/>
      <c r="S6" s="236"/>
      <c r="T6" s="24"/>
      <c r="U6" s="297"/>
      <c r="V6" s="297"/>
      <c r="W6" s="24"/>
      <c r="X6" s="297"/>
      <c r="Y6" s="297"/>
      <c r="Z6" s="24"/>
    </row>
    <row r="7" spans="1:26" ht="14.25" customHeight="1">
      <c r="A7" s="15">
        <v>2</v>
      </c>
      <c r="B7" s="15" t="str">
        <f t="shared" ref="B7:B85" si="1">C6</f>
        <v>1/0</v>
      </c>
      <c r="C7" s="15" t="s">
        <v>45</v>
      </c>
      <c r="D7" s="16">
        <v>1037.32</v>
      </c>
      <c r="E7" s="16" t="s">
        <v>20</v>
      </c>
      <c r="F7" s="16" t="s">
        <v>20</v>
      </c>
      <c r="G7" s="16" t="s">
        <v>20</v>
      </c>
      <c r="H7" s="297">
        <v>45796</v>
      </c>
      <c r="I7" s="297">
        <v>45801</v>
      </c>
      <c r="J7" s="16" t="s">
        <v>20</v>
      </c>
      <c r="K7" s="298">
        <v>45803</v>
      </c>
      <c r="L7" s="297">
        <f t="shared" si="0"/>
        <v>45805</v>
      </c>
      <c r="M7" s="16" t="s">
        <v>20</v>
      </c>
      <c r="N7" s="16" t="s">
        <v>20</v>
      </c>
      <c r="O7" s="16" t="s">
        <v>20</v>
      </c>
      <c r="P7" s="24" t="s">
        <v>624</v>
      </c>
      <c r="Q7" s="25"/>
      <c r="R7" s="24"/>
      <c r="S7" s="236"/>
      <c r="T7" s="24"/>
      <c r="U7" s="297"/>
      <c r="V7" s="297"/>
      <c r="W7" s="24"/>
      <c r="X7" s="297"/>
      <c r="Y7" s="297"/>
      <c r="Z7" s="24"/>
    </row>
    <row r="8" spans="1:26" ht="14.25" customHeight="1">
      <c r="A8" s="15">
        <v>3</v>
      </c>
      <c r="B8" s="15" t="str">
        <f t="shared" si="1"/>
        <v>1A/0</v>
      </c>
      <c r="C8" s="15" t="s">
        <v>48</v>
      </c>
      <c r="D8" s="16">
        <v>609</v>
      </c>
      <c r="E8" s="16" t="s">
        <v>20</v>
      </c>
      <c r="F8" s="16" t="s">
        <v>20</v>
      </c>
      <c r="G8" s="16" t="s">
        <v>20</v>
      </c>
      <c r="H8" s="297">
        <f t="shared" ref="H8:H9" si="2">I8</f>
        <v>45837</v>
      </c>
      <c r="I8" s="297">
        <v>45837</v>
      </c>
      <c r="J8" s="16" t="s">
        <v>20</v>
      </c>
      <c r="K8" s="297">
        <v>45838</v>
      </c>
      <c r="L8" s="297">
        <f t="shared" ref="L8:L9" si="3">K8</f>
        <v>45838</v>
      </c>
      <c r="M8" s="16" t="s">
        <v>20</v>
      </c>
      <c r="N8" s="16" t="s">
        <v>20</v>
      </c>
      <c r="O8" s="16" t="s">
        <v>20</v>
      </c>
      <c r="P8" s="24" t="s">
        <v>624</v>
      </c>
      <c r="Q8" s="25"/>
      <c r="R8" s="24"/>
      <c r="S8" s="236"/>
      <c r="T8" s="24"/>
      <c r="U8" s="297"/>
      <c r="V8" s="297"/>
      <c r="W8" s="24"/>
      <c r="X8" s="297"/>
      <c r="Y8" s="297"/>
      <c r="Z8" s="24"/>
    </row>
    <row r="9" spans="1:26" ht="14.25" customHeight="1">
      <c r="A9" s="15">
        <v>4</v>
      </c>
      <c r="B9" s="15" t="str">
        <f t="shared" si="1"/>
        <v>1A/2</v>
      </c>
      <c r="C9" s="15" t="s">
        <v>50</v>
      </c>
      <c r="D9" s="16">
        <v>232.09800000000001</v>
      </c>
      <c r="E9" s="16" t="s">
        <v>20</v>
      </c>
      <c r="F9" s="16" t="s">
        <v>20</v>
      </c>
      <c r="G9" s="16" t="s">
        <v>20</v>
      </c>
      <c r="H9" s="297">
        <f t="shared" si="2"/>
        <v>45837</v>
      </c>
      <c r="I9" s="297">
        <v>45837</v>
      </c>
      <c r="J9" s="16" t="s">
        <v>20</v>
      </c>
      <c r="K9" s="297">
        <v>45837</v>
      </c>
      <c r="L9" s="297">
        <f t="shared" si="3"/>
        <v>45837</v>
      </c>
      <c r="M9" s="16" t="s">
        <v>20</v>
      </c>
      <c r="N9" s="16" t="s">
        <v>20</v>
      </c>
      <c r="O9" s="16"/>
      <c r="P9" s="24" t="s">
        <v>624</v>
      </c>
      <c r="Q9" s="25"/>
      <c r="R9" s="24"/>
      <c r="S9" s="236"/>
      <c r="T9" s="24"/>
      <c r="U9" s="297"/>
      <c r="V9" s="297"/>
      <c r="W9" s="24"/>
      <c r="X9" s="297"/>
      <c r="Y9" s="297"/>
      <c r="Z9" s="24"/>
    </row>
    <row r="10" spans="1:26" ht="14.25" customHeight="1">
      <c r="A10" s="15">
        <v>5</v>
      </c>
      <c r="B10" s="15" t="str">
        <f t="shared" si="1"/>
        <v>1B/0</v>
      </c>
      <c r="C10" s="15" t="s">
        <v>53</v>
      </c>
      <c r="D10" s="16">
        <v>237.78299999999999</v>
      </c>
      <c r="E10" s="16"/>
      <c r="F10" s="24"/>
      <c r="G10" s="24"/>
      <c r="H10" s="297"/>
      <c r="I10" s="297"/>
      <c r="J10" s="24"/>
      <c r="K10" s="297"/>
      <c r="L10" s="297"/>
      <c r="M10" s="24"/>
      <c r="N10" s="24"/>
      <c r="O10" s="24"/>
      <c r="P10" s="24"/>
      <c r="Q10" s="25"/>
      <c r="R10" s="24"/>
      <c r="S10" s="236"/>
      <c r="T10" s="24"/>
      <c r="U10" s="297"/>
      <c r="V10" s="297"/>
      <c r="W10" s="24"/>
      <c r="X10" s="297"/>
      <c r="Y10" s="297"/>
      <c r="Z10" s="24"/>
    </row>
    <row r="11" spans="1:26" ht="14.25" customHeight="1">
      <c r="A11" s="15">
        <v>6</v>
      </c>
      <c r="B11" s="15" t="str">
        <f t="shared" si="1"/>
        <v>1C/0</v>
      </c>
      <c r="C11" s="15" t="s">
        <v>58</v>
      </c>
      <c r="D11" s="16">
        <v>675.21</v>
      </c>
      <c r="E11" s="16"/>
      <c r="F11" s="24"/>
      <c r="G11" s="24"/>
      <c r="H11" s="297"/>
      <c r="I11" s="297"/>
      <c r="J11" s="24"/>
      <c r="K11" s="297"/>
      <c r="L11" s="297"/>
      <c r="M11" s="24"/>
      <c r="N11" s="24"/>
      <c r="O11" s="24"/>
      <c r="P11" s="24"/>
      <c r="Q11" s="25"/>
      <c r="R11" s="24"/>
      <c r="S11" s="236"/>
      <c r="T11" s="24"/>
      <c r="U11" s="297"/>
      <c r="V11" s="297"/>
      <c r="W11" s="24"/>
      <c r="X11" s="297"/>
      <c r="Y11" s="297"/>
      <c r="Z11" s="24"/>
    </row>
    <row r="12" spans="1:26" ht="14.25" customHeight="1">
      <c r="A12" s="15">
        <v>7</v>
      </c>
      <c r="B12" s="15" t="str">
        <f t="shared" si="1"/>
        <v>1D/0</v>
      </c>
      <c r="C12" s="15" t="s">
        <v>61</v>
      </c>
      <c r="D12" s="16">
        <v>699.92</v>
      </c>
      <c r="E12" s="16" t="s">
        <v>20</v>
      </c>
      <c r="F12" s="16" t="s">
        <v>20</v>
      </c>
      <c r="G12" s="16" t="s">
        <v>20</v>
      </c>
      <c r="H12" s="297">
        <f>I12-1</f>
        <v>45870</v>
      </c>
      <c r="I12" s="297">
        <f t="shared" ref="I12:I13" si="4">K12-2</f>
        <v>45871</v>
      </c>
      <c r="J12" s="16" t="s">
        <v>20</v>
      </c>
      <c r="K12" s="297">
        <f t="shared" ref="K12:K13" si="5">L12-3</f>
        <v>45873</v>
      </c>
      <c r="L12" s="297">
        <v>45876</v>
      </c>
      <c r="M12" s="16" t="s">
        <v>20</v>
      </c>
      <c r="N12" s="16" t="s">
        <v>20</v>
      </c>
      <c r="O12" s="16" t="s">
        <v>20</v>
      </c>
      <c r="P12" s="24" t="s">
        <v>625</v>
      </c>
      <c r="Q12" s="25"/>
      <c r="R12" s="24"/>
      <c r="S12" s="236"/>
      <c r="T12" s="24"/>
      <c r="U12" s="297"/>
      <c r="V12" s="297"/>
      <c r="W12" s="24"/>
      <c r="X12" s="297"/>
      <c r="Y12" s="297"/>
      <c r="Z12" s="24"/>
    </row>
    <row r="13" spans="1:26" ht="14.25" customHeight="1">
      <c r="A13" s="15">
        <v>8</v>
      </c>
      <c r="B13" s="15" t="str">
        <f t="shared" si="1"/>
        <v>1E/0</v>
      </c>
      <c r="C13" s="15" t="s">
        <v>64</v>
      </c>
      <c r="D13" s="16">
        <v>356.66399999999999</v>
      </c>
      <c r="E13" s="16" t="s">
        <v>20</v>
      </c>
      <c r="F13" s="16" t="s">
        <v>20</v>
      </c>
      <c r="G13" s="16" t="s">
        <v>20</v>
      </c>
      <c r="H13" s="297">
        <f>I13-3</f>
        <v>45864</v>
      </c>
      <c r="I13" s="297">
        <f t="shared" si="4"/>
        <v>45867</v>
      </c>
      <c r="J13" s="16" t="s">
        <v>20</v>
      </c>
      <c r="K13" s="297">
        <f t="shared" si="5"/>
        <v>45869</v>
      </c>
      <c r="L13" s="297">
        <v>45872</v>
      </c>
      <c r="M13" s="16" t="s">
        <v>20</v>
      </c>
      <c r="N13" s="16" t="s">
        <v>20</v>
      </c>
      <c r="O13" s="24"/>
      <c r="P13" s="24" t="s">
        <v>625</v>
      </c>
      <c r="Q13" s="25"/>
      <c r="R13" s="24"/>
      <c r="S13" s="236"/>
      <c r="T13" s="24"/>
      <c r="U13" s="297"/>
      <c r="V13" s="297"/>
      <c r="W13" s="24"/>
      <c r="X13" s="297"/>
      <c r="Y13" s="297"/>
      <c r="Z13" s="24"/>
    </row>
    <row r="14" spans="1:26" ht="14.25" customHeight="1">
      <c r="A14" s="15">
        <v>9</v>
      </c>
      <c r="B14" s="15" t="str">
        <f t="shared" si="1"/>
        <v>2/0</v>
      </c>
      <c r="C14" s="15" t="s">
        <v>67</v>
      </c>
      <c r="D14" s="16">
        <v>174.20500000000001</v>
      </c>
      <c r="E14" s="16"/>
      <c r="F14" s="16"/>
      <c r="G14" s="24"/>
      <c r="H14" s="297"/>
      <c r="I14" s="297"/>
      <c r="J14" s="24"/>
      <c r="K14" s="297"/>
      <c r="L14" s="297"/>
      <c r="M14" s="24"/>
      <c r="N14" s="24"/>
      <c r="O14" s="24"/>
      <c r="P14" s="24"/>
      <c r="Q14" s="25"/>
      <c r="R14" s="24"/>
      <c r="S14" s="236"/>
      <c r="T14" s="24"/>
      <c r="U14" s="297"/>
      <c r="V14" s="297"/>
      <c r="W14" s="24"/>
      <c r="X14" s="297"/>
      <c r="Y14" s="297"/>
      <c r="Z14" s="24"/>
    </row>
    <row r="15" spans="1:26" ht="14.25" customHeight="1">
      <c r="A15" s="15">
        <v>10</v>
      </c>
      <c r="B15" s="15" t="str">
        <f t="shared" si="1"/>
        <v>3/0</v>
      </c>
      <c r="C15" s="15" t="s">
        <v>69</v>
      </c>
      <c r="D15" s="16">
        <v>229.73</v>
      </c>
      <c r="E15" s="16"/>
      <c r="F15" s="16"/>
      <c r="G15" s="24"/>
      <c r="H15" s="297"/>
      <c r="I15" s="297"/>
      <c r="J15" s="24"/>
      <c r="K15" s="297"/>
      <c r="L15" s="297"/>
      <c r="M15" s="24"/>
      <c r="N15" s="24"/>
      <c r="O15" s="24"/>
      <c r="P15" s="24"/>
      <c r="Q15" s="25"/>
      <c r="R15" s="24"/>
      <c r="S15" s="236"/>
      <c r="T15" s="24"/>
      <c r="U15" s="297"/>
      <c r="V15" s="297"/>
      <c r="W15" s="24"/>
      <c r="X15" s="297"/>
      <c r="Y15" s="297"/>
      <c r="Z15" s="24"/>
    </row>
    <row r="16" spans="1:26" ht="14.25" customHeight="1">
      <c r="A16" s="15">
        <v>11</v>
      </c>
      <c r="B16" s="15" t="str">
        <f t="shared" si="1"/>
        <v>4/0</v>
      </c>
      <c r="C16" s="15" t="s">
        <v>75</v>
      </c>
      <c r="D16" s="16">
        <v>1733</v>
      </c>
      <c r="E16" s="16" t="s">
        <v>20</v>
      </c>
      <c r="F16" s="16" t="s">
        <v>20</v>
      </c>
      <c r="G16" s="16" t="s">
        <v>20</v>
      </c>
      <c r="H16" s="297">
        <f t="shared" ref="H16:H17" si="6">I16-3</f>
        <v>45849</v>
      </c>
      <c r="I16" s="297">
        <f t="shared" ref="I16:I17" si="7">K16-2</f>
        <v>45852</v>
      </c>
      <c r="J16" s="16" t="s">
        <v>20</v>
      </c>
      <c r="K16" s="297">
        <f t="shared" ref="K16:K17" si="8">L16-2</f>
        <v>45854</v>
      </c>
      <c r="L16" s="297">
        <v>45856</v>
      </c>
      <c r="M16" s="16" t="s">
        <v>20</v>
      </c>
      <c r="N16" s="16" t="s">
        <v>20</v>
      </c>
      <c r="O16" s="16" t="s">
        <v>20</v>
      </c>
      <c r="P16" s="24" t="s">
        <v>625</v>
      </c>
      <c r="Q16" s="25"/>
      <c r="R16" s="24"/>
      <c r="S16" s="236"/>
      <c r="T16" s="24"/>
      <c r="U16" s="297"/>
      <c r="V16" s="297"/>
      <c r="W16" s="24"/>
      <c r="X16" s="297"/>
      <c r="Y16" s="297"/>
      <c r="Z16" s="24"/>
    </row>
    <row r="17" spans="1:26" ht="14.25" customHeight="1">
      <c r="A17" s="15">
        <v>12</v>
      </c>
      <c r="B17" s="15" t="str">
        <f t="shared" si="1"/>
        <v>4/5</v>
      </c>
      <c r="C17" s="15" t="s">
        <v>77</v>
      </c>
      <c r="D17" s="16">
        <v>349</v>
      </c>
      <c r="E17" s="16" t="s">
        <v>20</v>
      </c>
      <c r="F17" s="16" t="s">
        <v>20</v>
      </c>
      <c r="G17" s="16" t="s">
        <v>20</v>
      </c>
      <c r="H17" s="297">
        <f t="shared" si="6"/>
        <v>45849</v>
      </c>
      <c r="I17" s="297">
        <f t="shared" si="7"/>
        <v>45852</v>
      </c>
      <c r="J17" s="16" t="s">
        <v>20</v>
      </c>
      <c r="K17" s="297">
        <f t="shared" si="8"/>
        <v>45854</v>
      </c>
      <c r="L17" s="297">
        <v>45856</v>
      </c>
      <c r="M17" s="16" t="s">
        <v>20</v>
      </c>
      <c r="N17" s="16" t="s">
        <v>20</v>
      </c>
      <c r="O17" s="16"/>
      <c r="P17" s="24" t="s">
        <v>625</v>
      </c>
      <c r="Q17" s="25"/>
      <c r="R17" s="24"/>
      <c r="S17" s="236"/>
      <c r="T17" s="24"/>
      <c r="U17" s="297"/>
      <c r="V17" s="297"/>
      <c r="W17" s="24"/>
      <c r="X17" s="297"/>
      <c r="Y17" s="297"/>
      <c r="Z17" s="24"/>
    </row>
    <row r="18" spans="1:26" ht="14.25" customHeight="1">
      <c r="A18" s="15">
        <v>13</v>
      </c>
      <c r="B18" s="15" t="str">
        <f t="shared" si="1"/>
        <v>4/6</v>
      </c>
      <c r="C18" s="15" t="s">
        <v>78</v>
      </c>
      <c r="D18" s="16">
        <v>360</v>
      </c>
      <c r="E18" s="16"/>
      <c r="F18" s="24"/>
      <c r="G18" s="24"/>
      <c r="H18" s="297"/>
      <c r="I18" s="297"/>
      <c r="J18" s="24"/>
      <c r="K18" s="297"/>
      <c r="L18" s="297"/>
      <c r="M18" s="24"/>
      <c r="N18" s="24"/>
      <c r="O18" s="24"/>
      <c r="P18" s="24"/>
      <c r="Q18" s="25"/>
      <c r="R18" s="24"/>
      <c r="S18" s="236"/>
      <c r="T18" s="24"/>
      <c r="U18" s="297"/>
      <c r="V18" s="297"/>
      <c r="W18" s="24"/>
      <c r="X18" s="297"/>
      <c r="Y18" s="297"/>
      <c r="Z18" s="24"/>
    </row>
    <row r="19" spans="1:26" ht="14.25" customHeight="1">
      <c r="A19" s="15">
        <v>14</v>
      </c>
      <c r="B19" s="15" t="str">
        <f t="shared" si="1"/>
        <v>4/7</v>
      </c>
      <c r="C19" s="15" t="s">
        <v>79</v>
      </c>
      <c r="D19" s="16">
        <v>460</v>
      </c>
      <c r="E19" s="16"/>
      <c r="F19" s="24"/>
      <c r="G19" s="24"/>
      <c r="H19" s="297"/>
      <c r="I19" s="297"/>
      <c r="J19" s="24"/>
      <c r="K19" s="297"/>
      <c r="L19" s="297"/>
      <c r="M19" s="24"/>
      <c r="N19" s="24"/>
      <c r="O19" s="24"/>
      <c r="P19" s="24"/>
      <c r="Q19" s="25"/>
      <c r="R19" s="24"/>
      <c r="S19" s="236"/>
      <c r="T19" s="24"/>
      <c r="U19" s="297"/>
      <c r="V19" s="297"/>
      <c r="W19" s="24"/>
      <c r="X19" s="297"/>
      <c r="Y19" s="297"/>
      <c r="Z19" s="24"/>
    </row>
    <row r="20" spans="1:26" ht="14.25" customHeight="1">
      <c r="A20" s="15">
        <v>15</v>
      </c>
      <c r="B20" s="15" t="str">
        <f t="shared" si="1"/>
        <v>4/8</v>
      </c>
      <c r="C20" s="15" t="s">
        <v>80</v>
      </c>
      <c r="D20" s="16">
        <v>230</v>
      </c>
      <c r="E20" s="16"/>
      <c r="F20" s="24"/>
      <c r="G20" s="24"/>
      <c r="H20" s="297"/>
      <c r="I20" s="297"/>
      <c r="J20" s="24"/>
      <c r="K20" s="297"/>
      <c r="L20" s="297"/>
      <c r="M20" s="24"/>
      <c r="N20" s="24"/>
      <c r="O20" s="24"/>
      <c r="P20" s="24"/>
      <c r="Q20" s="25"/>
      <c r="R20" s="24"/>
      <c r="S20" s="236"/>
      <c r="T20" s="24"/>
      <c r="U20" s="297"/>
      <c r="V20" s="297"/>
      <c r="W20" s="24"/>
      <c r="X20" s="297"/>
      <c r="Y20" s="297"/>
      <c r="Z20" s="24"/>
    </row>
    <row r="21" spans="1:26" ht="14.25" customHeight="1">
      <c r="A21" s="15">
        <v>16</v>
      </c>
      <c r="B21" s="15" t="str">
        <f t="shared" si="1"/>
        <v>4/9</v>
      </c>
      <c r="C21" s="15" t="s">
        <v>82</v>
      </c>
      <c r="D21" s="16">
        <v>371.51</v>
      </c>
      <c r="E21" s="16" t="s">
        <v>20</v>
      </c>
      <c r="F21" s="16" t="s">
        <v>20</v>
      </c>
      <c r="G21" s="16" t="s">
        <v>20</v>
      </c>
      <c r="H21" s="297">
        <f t="shared" ref="H21:H25" si="9">I21-3</f>
        <v>45891</v>
      </c>
      <c r="I21" s="297">
        <v>45894</v>
      </c>
      <c r="J21" s="16" t="s">
        <v>20</v>
      </c>
      <c r="K21" s="297">
        <f>L21-2</f>
        <v>45919</v>
      </c>
      <c r="L21" s="297">
        <v>45921</v>
      </c>
      <c r="M21" s="16" t="s">
        <v>20</v>
      </c>
      <c r="N21" s="16" t="s">
        <v>20</v>
      </c>
      <c r="O21" s="16" t="s">
        <v>20</v>
      </c>
      <c r="P21" s="24" t="s">
        <v>624</v>
      </c>
      <c r="Q21" s="25"/>
      <c r="R21" s="24"/>
      <c r="S21" s="236"/>
      <c r="T21" s="24"/>
      <c r="U21" s="297"/>
      <c r="V21" s="297"/>
      <c r="W21" s="24"/>
      <c r="X21" s="297"/>
      <c r="Y21" s="297"/>
      <c r="Z21" s="24"/>
    </row>
    <row r="22" spans="1:26" ht="14.25" customHeight="1">
      <c r="A22" s="15">
        <v>17</v>
      </c>
      <c r="B22" s="15" t="str">
        <f t="shared" si="1"/>
        <v>4/10</v>
      </c>
      <c r="C22" s="15" t="s">
        <v>83</v>
      </c>
      <c r="D22" s="16">
        <v>332.471</v>
      </c>
      <c r="E22" s="16" t="s">
        <v>20</v>
      </c>
      <c r="F22" s="16" t="s">
        <v>20</v>
      </c>
      <c r="G22" s="16" t="s">
        <v>20</v>
      </c>
      <c r="H22" s="297">
        <f t="shared" si="9"/>
        <v>45891</v>
      </c>
      <c r="I22" s="297">
        <v>45894</v>
      </c>
      <c r="J22" s="16" t="s">
        <v>20</v>
      </c>
      <c r="K22" s="297">
        <f>K21</f>
        <v>45919</v>
      </c>
      <c r="L22" s="297">
        <v>45921</v>
      </c>
      <c r="M22" s="16" t="s">
        <v>20</v>
      </c>
      <c r="N22" s="16" t="s">
        <v>20</v>
      </c>
      <c r="O22" s="16" t="s">
        <v>20</v>
      </c>
      <c r="P22" s="24" t="s">
        <v>624</v>
      </c>
      <c r="Q22" s="15"/>
      <c r="R22" s="24"/>
      <c r="S22" s="236"/>
      <c r="T22" s="24"/>
      <c r="U22" s="297"/>
      <c r="V22" s="297"/>
      <c r="W22" s="24"/>
      <c r="X22" s="297"/>
      <c r="Y22" s="297"/>
      <c r="Z22" s="24"/>
    </row>
    <row r="23" spans="1:26" ht="14.25" customHeight="1">
      <c r="A23" s="15">
        <v>18</v>
      </c>
      <c r="B23" s="15" t="str">
        <f t="shared" si="1"/>
        <v>4/11</v>
      </c>
      <c r="C23" s="15" t="s">
        <v>88</v>
      </c>
      <c r="D23" s="16">
        <v>1335.05</v>
      </c>
      <c r="E23" s="16" t="s">
        <v>20</v>
      </c>
      <c r="F23" s="16" t="s">
        <v>20</v>
      </c>
      <c r="G23" s="16" t="s">
        <v>20</v>
      </c>
      <c r="H23" s="297">
        <f t="shared" si="9"/>
        <v>45891</v>
      </c>
      <c r="I23" s="297">
        <v>45894</v>
      </c>
      <c r="J23" s="16" t="s">
        <v>20</v>
      </c>
      <c r="K23" s="297">
        <f t="shared" ref="K23:K24" si="10">L23-3</f>
        <v>45910</v>
      </c>
      <c r="L23" s="297">
        <v>45913</v>
      </c>
      <c r="M23" s="16" t="s">
        <v>20</v>
      </c>
      <c r="N23" s="16" t="s">
        <v>20</v>
      </c>
      <c r="O23" s="16" t="s">
        <v>20</v>
      </c>
      <c r="P23" s="24" t="s">
        <v>624</v>
      </c>
      <c r="Q23" s="15"/>
      <c r="R23" s="24"/>
      <c r="S23" s="236"/>
      <c r="T23" s="24"/>
      <c r="U23" s="297"/>
      <c r="V23" s="297"/>
      <c r="W23" s="24"/>
      <c r="X23" s="297"/>
      <c r="Y23" s="297"/>
      <c r="Z23" s="24"/>
    </row>
    <row r="24" spans="1:26" ht="14.25" customHeight="1">
      <c r="A24" s="15">
        <v>19</v>
      </c>
      <c r="B24" s="15" t="str">
        <f t="shared" si="1"/>
        <v>4/15</v>
      </c>
      <c r="C24" s="15" t="s">
        <v>90</v>
      </c>
      <c r="D24" s="16">
        <v>415</v>
      </c>
      <c r="E24" s="16" t="s">
        <v>20</v>
      </c>
      <c r="F24" s="16" t="s">
        <v>20</v>
      </c>
      <c r="G24" s="16" t="s">
        <v>20</v>
      </c>
      <c r="H24" s="297">
        <f t="shared" si="9"/>
        <v>45891</v>
      </c>
      <c r="I24" s="297">
        <v>45894</v>
      </c>
      <c r="J24" s="16" t="s">
        <v>20</v>
      </c>
      <c r="K24" s="297">
        <f t="shared" si="10"/>
        <v>45900</v>
      </c>
      <c r="L24" s="297">
        <v>45903</v>
      </c>
      <c r="M24" s="16" t="s">
        <v>20</v>
      </c>
      <c r="N24" s="16" t="s">
        <v>20</v>
      </c>
      <c r="O24" s="16" t="s">
        <v>20</v>
      </c>
      <c r="P24" s="24" t="s">
        <v>624</v>
      </c>
      <c r="Q24" s="15"/>
      <c r="R24" s="24"/>
      <c r="S24" s="236"/>
      <c r="T24" s="24"/>
      <c r="U24" s="297"/>
      <c r="V24" s="297"/>
      <c r="W24" s="24"/>
      <c r="X24" s="297"/>
      <c r="Y24" s="297"/>
      <c r="Z24" s="24"/>
    </row>
    <row r="25" spans="1:26" ht="14.25" customHeight="1">
      <c r="A25" s="15">
        <v>20</v>
      </c>
      <c r="B25" s="15" t="str">
        <f t="shared" si="1"/>
        <v>4/16</v>
      </c>
      <c r="C25" s="15" t="s">
        <v>91</v>
      </c>
      <c r="D25" s="16">
        <v>237</v>
      </c>
      <c r="E25" s="16" t="s">
        <v>20</v>
      </c>
      <c r="F25" s="16" t="s">
        <v>20</v>
      </c>
      <c r="G25" s="16" t="s">
        <v>20</v>
      </c>
      <c r="H25" s="297">
        <f t="shared" si="9"/>
        <v>45891</v>
      </c>
      <c r="I25" s="297">
        <v>45894</v>
      </c>
      <c r="J25" s="16" t="s">
        <v>20</v>
      </c>
      <c r="K25" s="297">
        <f>L25-1</f>
        <v>45916</v>
      </c>
      <c r="L25" s="297">
        <v>45917</v>
      </c>
      <c r="M25" s="16" t="s">
        <v>20</v>
      </c>
      <c r="N25" s="16" t="s">
        <v>20</v>
      </c>
      <c r="O25" s="16" t="s">
        <v>20</v>
      </c>
      <c r="P25" s="24" t="s">
        <v>624</v>
      </c>
      <c r="Q25" s="15"/>
      <c r="R25" s="24"/>
      <c r="S25" s="236"/>
      <c r="T25" s="24"/>
      <c r="U25" s="297"/>
      <c r="V25" s="297"/>
      <c r="W25" s="24"/>
      <c r="X25" s="297"/>
      <c r="Y25" s="297"/>
      <c r="Z25" s="24"/>
    </row>
    <row r="26" spans="1:26" ht="14.25" customHeight="1">
      <c r="A26" s="15">
        <v>21</v>
      </c>
      <c r="B26" s="15" t="str">
        <f t="shared" si="1"/>
        <v>4/17</v>
      </c>
      <c r="C26" s="15" t="s">
        <v>93</v>
      </c>
      <c r="D26" s="16">
        <v>188.45400000000001</v>
      </c>
      <c r="E26" s="16" t="s">
        <v>20</v>
      </c>
      <c r="F26" s="16" t="s">
        <v>20</v>
      </c>
      <c r="G26" s="16" t="s">
        <v>20</v>
      </c>
      <c r="H26" s="297">
        <v>45897</v>
      </c>
      <c r="I26" s="297">
        <v>45900</v>
      </c>
      <c r="J26" s="16" t="s">
        <v>20</v>
      </c>
      <c r="K26" s="297">
        <f t="shared" ref="K26:K27" si="11">L26-3</f>
        <v>45907</v>
      </c>
      <c r="L26" s="297">
        <v>45910</v>
      </c>
      <c r="M26" s="16" t="s">
        <v>20</v>
      </c>
      <c r="N26" s="16" t="s">
        <v>20</v>
      </c>
      <c r="O26" s="16" t="s">
        <v>20</v>
      </c>
      <c r="P26" s="24" t="s">
        <v>624</v>
      </c>
      <c r="Q26" s="15"/>
      <c r="R26" s="24"/>
      <c r="S26" s="236"/>
      <c r="T26" s="24"/>
      <c r="U26" s="297"/>
      <c r="V26" s="297"/>
      <c r="W26" s="24"/>
      <c r="X26" s="297"/>
      <c r="Y26" s="297"/>
      <c r="Z26" s="24"/>
    </row>
    <row r="27" spans="1:26" ht="14.25" customHeight="1">
      <c r="A27" s="15">
        <v>22</v>
      </c>
      <c r="B27" s="15" t="str">
        <f t="shared" si="1"/>
        <v>5/0</v>
      </c>
      <c r="C27" s="15" t="s">
        <v>94</v>
      </c>
      <c r="D27" s="16">
        <v>383</v>
      </c>
      <c r="E27" s="16" t="s">
        <v>20</v>
      </c>
      <c r="F27" s="16" t="s">
        <v>20</v>
      </c>
      <c r="G27" s="16" t="s">
        <v>20</v>
      </c>
      <c r="H27" s="297">
        <v>45897</v>
      </c>
      <c r="I27" s="297">
        <v>45900</v>
      </c>
      <c r="J27" s="16" t="s">
        <v>20</v>
      </c>
      <c r="K27" s="297">
        <f t="shared" si="11"/>
        <v>45908</v>
      </c>
      <c r="L27" s="297">
        <f>L26+1</f>
        <v>45911</v>
      </c>
      <c r="M27" s="16" t="s">
        <v>20</v>
      </c>
      <c r="N27" s="16" t="s">
        <v>20</v>
      </c>
      <c r="O27" s="16" t="s">
        <v>20</v>
      </c>
      <c r="P27" s="24" t="s">
        <v>624</v>
      </c>
      <c r="Q27" s="15"/>
      <c r="R27" s="24"/>
      <c r="S27" s="236"/>
      <c r="T27" s="24"/>
      <c r="U27" s="297"/>
      <c r="V27" s="297"/>
      <c r="W27" s="24"/>
      <c r="X27" s="297"/>
      <c r="Y27" s="297"/>
      <c r="Z27" s="24"/>
    </row>
    <row r="28" spans="1:26" ht="14.25" customHeight="1">
      <c r="A28" s="15">
        <v>23</v>
      </c>
      <c r="B28" s="15" t="str">
        <f t="shared" si="1"/>
        <v>5/1</v>
      </c>
      <c r="C28" s="15" t="s">
        <v>98</v>
      </c>
      <c r="D28" s="16">
        <v>952</v>
      </c>
      <c r="E28" s="16" t="s">
        <v>20</v>
      </c>
      <c r="F28" s="16" t="s">
        <v>20</v>
      </c>
      <c r="G28" s="16" t="s">
        <v>20</v>
      </c>
      <c r="H28" s="297">
        <f>I28</f>
        <v>45946</v>
      </c>
      <c r="I28" s="297">
        <f>K28-1</f>
        <v>45946</v>
      </c>
      <c r="J28" s="16" t="s">
        <v>20</v>
      </c>
      <c r="K28" s="297">
        <f>L28-2</f>
        <v>45947</v>
      </c>
      <c r="L28" s="297">
        <v>45949</v>
      </c>
      <c r="M28" s="16" t="s">
        <v>20</v>
      </c>
      <c r="N28" s="16" t="s">
        <v>20</v>
      </c>
      <c r="O28" s="24"/>
      <c r="P28" s="24"/>
      <c r="Q28" s="15"/>
      <c r="R28" s="24"/>
      <c r="S28" s="236"/>
      <c r="T28" s="24"/>
      <c r="U28" s="297"/>
      <c r="V28" s="297"/>
      <c r="W28" s="24"/>
      <c r="X28" s="297"/>
      <c r="Y28" s="297"/>
      <c r="Z28" s="24"/>
    </row>
    <row r="29" spans="1:26" ht="14.25" customHeight="1">
      <c r="A29" s="15">
        <v>24</v>
      </c>
      <c r="B29" s="15" t="str">
        <f t="shared" si="1"/>
        <v>5A/0</v>
      </c>
      <c r="C29" s="15" t="s">
        <v>99</v>
      </c>
      <c r="D29" s="16">
        <v>322</v>
      </c>
      <c r="E29" s="16"/>
      <c r="F29" s="16"/>
      <c r="G29" s="16"/>
      <c r="H29" s="297"/>
      <c r="I29" s="297"/>
      <c r="J29" s="16"/>
      <c r="K29" s="297"/>
      <c r="L29" s="297"/>
      <c r="M29" s="24"/>
      <c r="N29" s="24"/>
      <c r="O29" s="24"/>
      <c r="P29" s="24"/>
      <c r="Q29" s="15"/>
      <c r="R29" s="24"/>
      <c r="S29" s="236"/>
      <c r="T29" s="24"/>
      <c r="U29" s="297"/>
      <c r="V29" s="297"/>
      <c r="W29" s="24"/>
      <c r="X29" s="297"/>
      <c r="Y29" s="297"/>
      <c r="Z29" s="24"/>
    </row>
    <row r="30" spans="1:26" ht="14.25" customHeight="1">
      <c r="A30" s="15">
        <v>25</v>
      </c>
      <c r="B30" s="15" t="str">
        <f t="shared" si="1"/>
        <v>5A/1</v>
      </c>
      <c r="C30" s="15" t="s">
        <v>100</v>
      </c>
      <c r="D30" s="16">
        <v>284</v>
      </c>
      <c r="E30" s="16"/>
      <c r="F30" s="16"/>
      <c r="G30" s="16"/>
      <c r="H30" s="297"/>
      <c r="I30" s="297"/>
      <c r="J30" s="16"/>
      <c r="K30" s="297"/>
      <c r="L30" s="297"/>
      <c r="M30" s="24"/>
      <c r="N30" s="24"/>
      <c r="O30" s="24"/>
      <c r="P30" s="24"/>
      <c r="Q30" s="15"/>
      <c r="R30" s="24"/>
      <c r="S30" s="236"/>
      <c r="T30" s="24"/>
      <c r="U30" s="297"/>
      <c r="V30" s="297"/>
      <c r="W30" s="24"/>
      <c r="X30" s="297"/>
      <c r="Y30" s="297"/>
      <c r="Z30" s="24"/>
    </row>
    <row r="31" spans="1:26" ht="14.25" customHeight="1">
      <c r="A31" s="15">
        <v>26</v>
      </c>
      <c r="B31" s="15" t="str">
        <f t="shared" si="1"/>
        <v>5A/2</v>
      </c>
      <c r="C31" s="15" t="s">
        <v>102</v>
      </c>
      <c r="D31" s="16">
        <v>282.74</v>
      </c>
      <c r="E31" s="16"/>
      <c r="F31" s="16"/>
      <c r="G31" s="16"/>
      <c r="H31" s="297"/>
      <c r="I31" s="297"/>
      <c r="J31" s="25"/>
      <c r="K31" s="297"/>
      <c r="L31" s="297"/>
      <c r="M31" s="24"/>
      <c r="N31" s="24"/>
      <c r="O31" s="24"/>
      <c r="P31" s="24"/>
      <c r="Q31" s="15"/>
      <c r="R31" s="24"/>
      <c r="S31" s="236"/>
      <c r="T31" s="24"/>
      <c r="U31" s="297"/>
      <c r="V31" s="297"/>
      <c r="W31" s="24"/>
      <c r="X31" s="297"/>
      <c r="Y31" s="297"/>
      <c r="Z31" s="24"/>
    </row>
    <row r="32" spans="1:26" ht="14.25" customHeight="1">
      <c r="A32" s="15">
        <v>27</v>
      </c>
      <c r="B32" s="15" t="str">
        <f t="shared" si="1"/>
        <v>5B/0</v>
      </c>
      <c r="C32" s="15" t="s">
        <v>104</v>
      </c>
      <c r="D32" s="16">
        <v>462.06</v>
      </c>
      <c r="E32" s="16"/>
      <c r="F32" s="25"/>
      <c r="G32" s="25"/>
      <c r="H32" s="297"/>
      <c r="I32" s="297"/>
      <c r="J32" s="24"/>
      <c r="K32" s="297"/>
      <c r="L32" s="297"/>
      <c r="M32" s="24"/>
      <c r="N32" s="24"/>
      <c r="O32" s="24"/>
      <c r="P32" s="24"/>
      <c r="Q32" s="25"/>
      <c r="R32" s="24"/>
      <c r="S32" s="236"/>
      <c r="T32" s="24"/>
      <c r="U32" s="297"/>
      <c r="V32" s="297"/>
      <c r="W32" s="24"/>
      <c r="X32" s="297"/>
      <c r="Y32" s="297"/>
      <c r="Z32" s="24"/>
    </row>
    <row r="33" spans="1:26" ht="14.25" customHeight="1">
      <c r="A33" s="15">
        <v>28</v>
      </c>
      <c r="B33" s="15" t="str">
        <f t="shared" si="1"/>
        <v>6/0</v>
      </c>
      <c r="C33" s="15" t="s">
        <v>106</v>
      </c>
      <c r="D33" s="16">
        <v>318.04000000000002</v>
      </c>
      <c r="E33" s="16"/>
      <c r="F33" s="24"/>
      <c r="G33" s="24"/>
      <c r="H33" s="297"/>
      <c r="I33" s="297"/>
      <c r="J33" s="24"/>
      <c r="K33" s="297"/>
      <c r="L33" s="297"/>
      <c r="M33" s="24"/>
      <c r="N33" s="24"/>
      <c r="O33" s="24"/>
      <c r="P33" s="24"/>
      <c r="Q33" s="25"/>
      <c r="R33" s="24"/>
      <c r="S33" s="236"/>
      <c r="T33" s="24"/>
      <c r="U33" s="297"/>
      <c r="V33" s="297"/>
      <c r="W33" s="24"/>
      <c r="X33" s="297"/>
      <c r="Y33" s="297"/>
      <c r="Z33" s="24"/>
    </row>
    <row r="34" spans="1:26" ht="14.25" customHeight="1">
      <c r="A34" s="15">
        <v>29</v>
      </c>
      <c r="B34" s="15" t="str">
        <f t="shared" si="1"/>
        <v>7/0</v>
      </c>
      <c r="C34" s="15" t="s">
        <v>111</v>
      </c>
      <c r="D34" s="16">
        <v>1147.05</v>
      </c>
      <c r="E34" s="16" t="s">
        <v>20</v>
      </c>
      <c r="F34" s="16" t="s">
        <v>20</v>
      </c>
      <c r="G34" s="16" t="s">
        <v>20</v>
      </c>
      <c r="H34" s="297">
        <f>I34-2</f>
        <v>45922</v>
      </c>
      <c r="I34" s="297">
        <v>45924</v>
      </c>
      <c r="J34" s="16" t="s">
        <v>20</v>
      </c>
      <c r="K34" s="297">
        <f>L34-2</f>
        <v>45925</v>
      </c>
      <c r="L34" s="297">
        <v>45927</v>
      </c>
      <c r="M34" s="16" t="s">
        <v>20</v>
      </c>
      <c r="N34" s="16" t="s">
        <v>20</v>
      </c>
      <c r="O34" s="16" t="s">
        <v>20</v>
      </c>
      <c r="P34" s="24" t="s">
        <v>624</v>
      </c>
      <c r="Q34" s="25"/>
      <c r="R34" s="24"/>
      <c r="S34" s="236"/>
      <c r="T34" s="24"/>
      <c r="U34" s="297"/>
      <c r="V34" s="297"/>
      <c r="W34" s="24"/>
      <c r="X34" s="297"/>
      <c r="Y34" s="297"/>
      <c r="Z34" s="24"/>
    </row>
    <row r="35" spans="1:26" ht="14.25" customHeight="1">
      <c r="A35" s="15">
        <v>30</v>
      </c>
      <c r="B35" s="15" t="str">
        <f t="shared" si="1"/>
        <v>8/0</v>
      </c>
      <c r="C35" s="15" t="s">
        <v>113</v>
      </c>
      <c r="D35" s="16">
        <v>173.57</v>
      </c>
      <c r="E35" s="16" t="s">
        <v>20</v>
      </c>
      <c r="F35" s="16" t="s">
        <v>20</v>
      </c>
      <c r="G35" s="16" t="s">
        <v>20</v>
      </c>
      <c r="H35" s="297">
        <f>I35</f>
        <v>45931</v>
      </c>
      <c r="I35" s="297">
        <v>45931</v>
      </c>
      <c r="J35" s="16" t="s">
        <v>20</v>
      </c>
      <c r="K35" s="297">
        <f t="shared" ref="K35:K37" si="12">L35-1</f>
        <v>45934</v>
      </c>
      <c r="L35" s="297">
        <v>45935</v>
      </c>
      <c r="M35" s="16" t="s">
        <v>20</v>
      </c>
      <c r="N35" s="16" t="s">
        <v>20</v>
      </c>
      <c r="O35" s="16" t="s">
        <v>20</v>
      </c>
      <c r="P35" s="24" t="s">
        <v>624</v>
      </c>
      <c r="Q35" s="25"/>
      <c r="R35" s="24"/>
      <c r="S35" s="236"/>
      <c r="T35" s="24"/>
      <c r="U35" s="297"/>
      <c r="V35" s="297"/>
      <c r="W35" s="24"/>
      <c r="X35" s="297"/>
      <c r="Y35" s="297"/>
      <c r="Z35" s="24"/>
    </row>
    <row r="36" spans="1:26" ht="14.25" customHeight="1">
      <c r="A36" s="15">
        <v>31</v>
      </c>
      <c r="B36" s="15" t="str">
        <f t="shared" si="1"/>
        <v>8A/0</v>
      </c>
      <c r="C36" s="15" t="s">
        <v>115</v>
      </c>
      <c r="D36" s="16">
        <v>336.5</v>
      </c>
      <c r="E36" s="16" t="s">
        <v>20</v>
      </c>
      <c r="F36" s="16" t="s">
        <v>20</v>
      </c>
      <c r="G36" s="16" t="s">
        <v>20</v>
      </c>
      <c r="H36" s="297">
        <f t="shared" ref="H36:I36" si="13">H35+2</f>
        <v>45933</v>
      </c>
      <c r="I36" s="297">
        <f t="shared" si="13"/>
        <v>45933</v>
      </c>
      <c r="J36" s="16" t="s">
        <v>20</v>
      </c>
      <c r="K36" s="297">
        <f t="shared" si="12"/>
        <v>45938</v>
      </c>
      <c r="L36" s="297">
        <v>45939</v>
      </c>
      <c r="M36" s="16" t="s">
        <v>20</v>
      </c>
      <c r="N36" s="16" t="s">
        <v>20</v>
      </c>
      <c r="O36" s="16" t="s">
        <v>20</v>
      </c>
      <c r="P36" s="24" t="s">
        <v>624</v>
      </c>
      <c r="Q36" s="25"/>
      <c r="R36" s="24"/>
      <c r="S36" s="236"/>
      <c r="T36" s="24"/>
      <c r="U36" s="297"/>
      <c r="V36" s="297"/>
      <c r="W36" s="24"/>
      <c r="X36" s="297"/>
      <c r="Y36" s="297"/>
      <c r="Z36" s="24"/>
    </row>
    <row r="37" spans="1:26" ht="14.25" customHeight="1">
      <c r="A37" s="15">
        <v>32</v>
      </c>
      <c r="B37" s="15" t="str">
        <f t="shared" si="1"/>
        <v>8B/0</v>
      </c>
      <c r="C37" s="15" t="s">
        <v>120</v>
      </c>
      <c r="D37" s="16">
        <v>900.14</v>
      </c>
      <c r="E37" s="16" t="s">
        <v>20</v>
      </c>
      <c r="F37" s="16" t="s">
        <v>20</v>
      </c>
      <c r="G37" s="16" t="s">
        <v>20</v>
      </c>
      <c r="H37" s="297">
        <f t="shared" ref="H37:I37" si="14">H36+1</f>
        <v>45934</v>
      </c>
      <c r="I37" s="297">
        <f t="shared" si="14"/>
        <v>45934</v>
      </c>
      <c r="J37" s="16" t="s">
        <v>20</v>
      </c>
      <c r="K37" s="297">
        <f t="shared" si="12"/>
        <v>45938</v>
      </c>
      <c r="L37" s="297">
        <v>45939</v>
      </c>
      <c r="M37" s="16" t="s">
        <v>20</v>
      </c>
      <c r="N37" s="16" t="s">
        <v>20</v>
      </c>
      <c r="O37" s="16" t="s">
        <v>20</v>
      </c>
      <c r="P37" s="24" t="s">
        <v>624</v>
      </c>
      <c r="Q37" s="25"/>
      <c r="R37" s="24"/>
      <c r="S37" s="236"/>
      <c r="T37" s="24"/>
      <c r="U37" s="297"/>
      <c r="V37" s="297"/>
      <c r="W37" s="24"/>
      <c r="X37" s="297"/>
      <c r="Y37" s="297"/>
      <c r="Z37" s="24"/>
    </row>
    <row r="38" spans="1:26" ht="14.25" customHeight="1">
      <c r="A38" s="15">
        <v>33</v>
      </c>
      <c r="B38" s="15" t="str">
        <f t="shared" si="1"/>
        <v>8C/0</v>
      </c>
      <c r="C38" s="15" t="s">
        <v>122</v>
      </c>
      <c r="D38" s="16">
        <v>318.76</v>
      </c>
      <c r="E38" s="16"/>
      <c r="F38" s="16"/>
      <c r="G38" s="16"/>
      <c r="H38" s="297"/>
      <c r="I38" s="297"/>
      <c r="J38" s="16"/>
      <c r="K38" s="297"/>
      <c r="L38" s="297"/>
      <c r="M38" s="16"/>
      <c r="N38" s="16"/>
      <c r="O38" s="24"/>
      <c r="P38" s="104"/>
      <c r="Q38" s="25"/>
      <c r="R38" s="24"/>
      <c r="S38" s="236"/>
      <c r="T38" s="24"/>
      <c r="U38" s="297"/>
      <c r="V38" s="297"/>
      <c r="W38" s="24"/>
      <c r="X38" s="297"/>
      <c r="Y38" s="297"/>
      <c r="Z38" s="24"/>
    </row>
    <row r="39" spans="1:26" ht="14.25" customHeight="1">
      <c r="A39" s="15">
        <v>34</v>
      </c>
      <c r="B39" s="15" t="str">
        <f t="shared" si="1"/>
        <v>8D/0</v>
      </c>
      <c r="C39" s="15" t="s">
        <v>123</v>
      </c>
      <c r="D39" s="16">
        <v>302.58</v>
      </c>
      <c r="E39" s="16"/>
      <c r="F39" s="25"/>
      <c r="G39" s="24"/>
      <c r="H39" s="297"/>
      <c r="I39" s="297"/>
      <c r="J39" s="24"/>
      <c r="K39" s="297"/>
      <c r="L39" s="297"/>
      <c r="M39" s="24"/>
      <c r="N39" s="24"/>
      <c r="O39" s="24"/>
      <c r="P39" s="24"/>
      <c r="Q39" s="25"/>
      <c r="R39" s="24"/>
      <c r="S39" s="236"/>
      <c r="T39" s="24"/>
      <c r="U39" s="297"/>
      <c r="V39" s="297"/>
      <c r="W39" s="24"/>
      <c r="X39" s="297"/>
      <c r="Y39" s="297"/>
      <c r="Z39" s="24"/>
    </row>
    <row r="40" spans="1:26" ht="14.25" customHeight="1">
      <c r="A40" s="15">
        <v>35</v>
      </c>
      <c r="B40" s="15" t="str">
        <f t="shared" si="1"/>
        <v>8D/1</v>
      </c>
      <c r="C40" s="15" t="s">
        <v>125</v>
      </c>
      <c r="D40" s="16">
        <v>695.62</v>
      </c>
      <c r="E40" s="16"/>
      <c r="F40" s="16"/>
      <c r="G40" s="25"/>
      <c r="H40" s="297"/>
      <c r="I40" s="297"/>
      <c r="J40" s="24"/>
      <c r="K40" s="297"/>
      <c r="L40" s="297"/>
      <c r="M40" s="24"/>
      <c r="N40" s="24"/>
      <c r="O40" s="24"/>
      <c r="P40" s="104"/>
      <c r="Q40" s="25"/>
      <c r="R40" s="24"/>
      <c r="S40" s="236"/>
      <c r="T40" s="24"/>
      <c r="U40" s="297"/>
      <c r="V40" s="297"/>
      <c r="W40" s="24"/>
      <c r="X40" s="297"/>
      <c r="Y40" s="297"/>
      <c r="Z40" s="24"/>
    </row>
    <row r="41" spans="1:26" ht="14.25" customHeight="1">
      <c r="A41" s="15">
        <v>36</v>
      </c>
      <c r="B41" s="15" t="str">
        <f t="shared" si="1"/>
        <v>8D/3</v>
      </c>
      <c r="C41" s="15" t="s">
        <v>126</v>
      </c>
      <c r="D41" s="16">
        <v>459</v>
      </c>
      <c r="E41" s="16"/>
      <c r="F41" s="15"/>
      <c r="G41" s="15"/>
      <c r="H41" s="297"/>
      <c r="I41" s="297"/>
      <c r="J41" s="15"/>
      <c r="K41" s="297"/>
      <c r="L41" s="297"/>
      <c r="M41" s="15"/>
      <c r="N41" s="135"/>
      <c r="O41" s="24"/>
      <c r="P41" s="104"/>
      <c r="Q41" s="15"/>
      <c r="R41" s="24"/>
      <c r="S41" s="236"/>
      <c r="T41" s="15"/>
      <c r="U41" s="297"/>
      <c r="V41" s="297"/>
      <c r="W41" s="24"/>
      <c r="X41" s="297"/>
      <c r="Y41" s="297"/>
      <c r="Z41" s="24"/>
    </row>
    <row r="42" spans="1:26" ht="14.25" customHeight="1">
      <c r="A42" s="15">
        <v>37</v>
      </c>
      <c r="B42" s="15" t="str">
        <f t="shared" si="1"/>
        <v>8D/4</v>
      </c>
      <c r="C42" s="15" t="s">
        <v>127</v>
      </c>
      <c r="D42" s="16">
        <v>195</v>
      </c>
      <c r="E42" s="16"/>
      <c r="F42" s="15"/>
      <c r="G42" s="15"/>
      <c r="H42" s="297"/>
      <c r="I42" s="297"/>
      <c r="J42" s="15"/>
      <c r="K42" s="297"/>
      <c r="L42" s="297"/>
      <c r="M42" s="15"/>
      <c r="N42" s="135"/>
      <c r="O42" s="15"/>
      <c r="P42" s="104"/>
      <c r="Q42" s="35"/>
      <c r="R42" s="35"/>
      <c r="S42" s="237"/>
      <c r="T42" s="15"/>
      <c r="U42" s="297"/>
      <c r="V42" s="297"/>
      <c r="W42" s="24"/>
      <c r="X42" s="297"/>
      <c r="Y42" s="297"/>
      <c r="Z42" s="24"/>
    </row>
    <row r="43" spans="1:26" ht="14.25" customHeight="1">
      <c r="A43" s="15">
        <v>38</v>
      </c>
      <c r="B43" s="15" t="str">
        <f t="shared" si="1"/>
        <v>8D/5</v>
      </c>
      <c r="C43" s="15" t="s">
        <v>128</v>
      </c>
      <c r="D43" s="16">
        <v>295</v>
      </c>
      <c r="E43" s="16"/>
      <c r="F43" s="15"/>
      <c r="G43" s="15"/>
      <c r="H43" s="297"/>
      <c r="I43" s="297"/>
      <c r="J43" s="15"/>
      <c r="K43" s="297"/>
      <c r="L43" s="297"/>
      <c r="M43" s="24"/>
      <c r="N43" s="135"/>
      <c r="O43" s="15"/>
      <c r="P43" s="104"/>
      <c r="Q43" s="35"/>
      <c r="R43" s="24"/>
      <c r="S43" s="236"/>
      <c r="T43" s="15"/>
      <c r="U43" s="297"/>
      <c r="V43" s="297"/>
      <c r="W43" s="24"/>
      <c r="X43" s="297"/>
      <c r="Y43" s="297"/>
      <c r="Z43" s="24"/>
    </row>
    <row r="44" spans="1:26" ht="14.25" customHeight="1">
      <c r="A44" s="15">
        <v>39</v>
      </c>
      <c r="B44" s="15" t="str">
        <f t="shared" si="1"/>
        <v>8D/6</v>
      </c>
      <c r="C44" s="15" t="s">
        <v>130</v>
      </c>
      <c r="D44" s="16">
        <v>380.25</v>
      </c>
      <c r="E44" s="16"/>
      <c r="F44" s="15"/>
      <c r="G44" s="15"/>
      <c r="H44" s="297"/>
      <c r="I44" s="297"/>
      <c r="J44" s="15"/>
      <c r="K44" s="297"/>
      <c r="L44" s="297"/>
      <c r="M44" s="24"/>
      <c r="N44" s="135"/>
      <c r="O44" s="15"/>
      <c r="P44" s="104"/>
      <c r="Q44" s="35"/>
      <c r="R44" s="24"/>
      <c r="S44" s="236"/>
      <c r="T44" s="15"/>
      <c r="U44" s="297"/>
      <c r="V44" s="297"/>
      <c r="W44" s="24"/>
      <c r="X44" s="297"/>
      <c r="Y44" s="297"/>
      <c r="Z44" s="24"/>
    </row>
    <row r="45" spans="1:26" ht="14.25" customHeight="1">
      <c r="A45" s="15">
        <v>40</v>
      </c>
      <c r="B45" s="15" t="str">
        <f t="shared" si="1"/>
        <v>8E/0</v>
      </c>
      <c r="C45" s="15" t="s">
        <v>131</v>
      </c>
      <c r="D45" s="16">
        <v>428</v>
      </c>
      <c r="E45" s="16"/>
      <c r="F45" s="15"/>
      <c r="G45" s="15"/>
      <c r="H45" s="297"/>
      <c r="I45" s="297"/>
      <c r="J45" s="15"/>
      <c r="K45" s="297"/>
      <c r="L45" s="297"/>
      <c r="M45" s="24"/>
      <c r="N45" s="135"/>
      <c r="O45" s="15"/>
      <c r="P45" s="104"/>
      <c r="Q45" s="35"/>
      <c r="R45" s="24"/>
      <c r="S45" s="236"/>
      <c r="T45" s="15"/>
      <c r="U45" s="297"/>
      <c r="V45" s="297"/>
      <c r="W45" s="24"/>
      <c r="X45" s="297"/>
      <c r="Y45" s="297"/>
      <c r="Z45" s="24"/>
    </row>
    <row r="46" spans="1:26" ht="14.25" customHeight="1">
      <c r="A46" s="15">
        <v>41</v>
      </c>
      <c r="B46" s="15" t="str">
        <f t="shared" si="1"/>
        <v>8E/1</v>
      </c>
      <c r="C46" s="15" t="s">
        <v>132</v>
      </c>
      <c r="D46" s="16">
        <v>419</v>
      </c>
      <c r="E46" s="16" t="s">
        <v>20</v>
      </c>
      <c r="F46" s="16" t="s">
        <v>20</v>
      </c>
      <c r="G46" s="16" t="s">
        <v>20</v>
      </c>
      <c r="H46" s="297">
        <f t="shared" ref="H46:H48" si="15">I46-3</f>
        <v>45972</v>
      </c>
      <c r="I46" s="297">
        <f t="shared" ref="I46:I48" si="16">K46-1</f>
        <v>45975</v>
      </c>
      <c r="J46" s="16" t="s">
        <v>20</v>
      </c>
      <c r="K46" s="297">
        <f t="shared" ref="K46:K48" si="17">L46-3</f>
        <v>45976</v>
      </c>
      <c r="L46" s="297">
        <v>45979</v>
      </c>
      <c r="M46" s="16" t="s">
        <v>20</v>
      </c>
      <c r="N46" s="16" t="s">
        <v>20</v>
      </c>
      <c r="O46" s="16" t="s">
        <v>20</v>
      </c>
      <c r="P46" s="24" t="s">
        <v>624</v>
      </c>
      <c r="Q46" s="35"/>
      <c r="R46" s="24"/>
      <c r="S46" s="236"/>
      <c r="T46" s="15"/>
      <c r="U46" s="297"/>
      <c r="V46" s="297"/>
      <c r="W46" s="15"/>
      <c r="X46" s="297"/>
      <c r="Y46" s="297"/>
      <c r="Z46" s="18"/>
    </row>
    <row r="47" spans="1:26" ht="14.25" customHeight="1">
      <c r="A47" s="15">
        <v>42</v>
      </c>
      <c r="B47" s="15" t="str">
        <f t="shared" si="1"/>
        <v>8E/2</v>
      </c>
      <c r="C47" s="15" t="s">
        <v>135</v>
      </c>
      <c r="D47" s="16">
        <v>900</v>
      </c>
      <c r="E47" s="16" t="s">
        <v>20</v>
      </c>
      <c r="F47" s="16" t="s">
        <v>20</v>
      </c>
      <c r="G47" s="16" t="s">
        <v>20</v>
      </c>
      <c r="H47" s="297">
        <f t="shared" si="15"/>
        <v>45972</v>
      </c>
      <c r="I47" s="297">
        <f t="shared" si="16"/>
        <v>45975</v>
      </c>
      <c r="J47" s="16" t="s">
        <v>20</v>
      </c>
      <c r="K47" s="297">
        <f t="shared" si="17"/>
        <v>45976</v>
      </c>
      <c r="L47" s="297">
        <v>45979</v>
      </c>
      <c r="M47" s="16" t="s">
        <v>20</v>
      </c>
      <c r="N47" s="16" t="s">
        <v>20</v>
      </c>
      <c r="O47" s="16" t="s">
        <v>20</v>
      </c>
      <c r="P47" s="24" t="s">
        <v>624</v>
      </c>
      <c r="Q47" s="35"/>
      <c r="R47" s="24"/>
      <c r="S47" s="236"/>
      <c r="T47" s="15"/>
      <c r="U47" s="297"/>
      <c r="V47" s="297"/>
      <c r="W47" s="15"/>
      <c r="X47" s="297"/>
      <c r="Y47" s="297"/>
      <c r="Z47" s="18"/>
    </row>
    <row r="48" spans="1:26" ht="14.25" customHeight="1">
      <c r="A48" s="15">
        <v>43</v>
      </c>
      <c r="B48" s="15" t="str">
        <f t="shared" si="1"/>
        <v>8E/5</v>
      </c>
      <c r="C48" s="15" t="s">
        <v>136</v>
      </c>
      <c r="D48" s="16">
        <v>343.87</v>
      </c>
      <c r="E48" s="16" t="s">
        <v>20</v>
      </c>
      <c r="F48" s="16" t="s">
        <v>20</v>
      </c>
      <c r="G48" s="16" t="s">
        <v>20</v>
      </c>
      <c r="H48" s="297">
        <f t="shared" si="15"/>
        <v>45972</v>
      </c>
      <c r="I48" s="297">
        <f t="shared" si="16"/>
        <v>45975</v>
      </c>
      <c r="J48" s="16" t="s">
        <v>20</v>
      </c>
      <c r="K48" s="297">
        <f t="shared" si="17"/>
        <v>45976</v>
      </c>
      <c r="L48" s="297">
        <v>45979</v>
      </c>
      <c r="M48" s="16" t="s">
        <v>20</v>
      </c>
      <c r="N48" s="16" t="s">
        <v>20</v>
      </c>
      <c r="O48" s="16" t="s">
        <v>20</v>
      </c>
      <c r="P48" s="24" t="s">
        <v>624</v>
      </c>
      <c r="Q48" s="35"/>
      <c r="R48" s="24"/>
      <c r="S48" s="236"/>
      <c r="T48" s="15"/>
      <c r="U48" s="297"/>
      <c r="V48" s="297"/>
      <c r="W48" s="15"/>
      <c r="X48" s="297"/>
      <c r="Y48" s="297"/>
      <c r="Z48" s="18"/>
    </row>
    <row r="49" spans="1:26" ht="14.25" customHeight="1">
      <c r="A49" s="15">
        <v>44</v>
      </c>
      <c r="B49" s="15" t="str">
        <f t="shared" si="1"/>
        <v>8E/6</v>
      </c>
      <c r="C49" s="15" t="s">
        <v>137</v>
      </c>
      <c r="D49" s="16">
        <v>499.13</v>
      </c>
      <c r="E49" s="16"/>
      <c r="F49" s="16"/>
      <c r="G49" s="16"/>
      <c r="H49" s="297"/>
      <c r="I49" s="297"/>
      <c r="J49" s="15"/>
      <c r="K49" s="297"/>
      <c r="L49" s="297"/>
      <c r="M49" s="16"/>
      <c r="N49" s="16"/>
      <c r="O49" s="15"/>
      <c r="P49" s="104"/>
      <c r="Q49" s="35"/>
      <c r="R49" s="24"/>
      <c r="S49" s="236"/>
      <c r="T49" s="15"/>
      <c r="U49" s="297"/>
      <c r="V49" s="297"/>
      <c r="W49" s="15"/>
      <c r="X49" s="297"/>
      <c r="Y49" s="297"/>
      <c r="Z49" s="18"/>
    </row>
    <row r="50" spans="1:26" ht="14.25" customHeight="1">
      <c r="A50" s="15">
        <v>45</v>
      </c>
      <c r="B50" s="15" t="str">
        <f t="shared" si="1"/>
        <v>8E/7</v>
      </c>
      <c r="C50" s="15" t="s">
        <v>138</v>
      </c>
      <c r="D50" s="16">
        <v>434</v>
      </c>
      <c r="E50" s="16"/>
      <c r="F50" s="15"/>
      <c r="G50" s="15"/>
      <c r="H50" s="297"/>
      <c r="I50" s="297"/>
      <c r="J50" s="15"/>
      <c r="K50" s="297"/>
      <c r="L50" s="297"/>
      <c r="M50" s="24"/>
      <c r="N50" s="135"/>
      <c r="O50" s="15"/>
      <c r="P50" s="104"/>
      <c r="Q50" s="35"/>
      <c r="R50" s="24"/>
      <c r="S50" s="236"/>
      <c r="T50" s="15"/>
      <c r="U50" s="297"/>
      <c r="V50" s="297"/>
      <c r="W50" s="15"/>
      <c r="X50" s="297"/>
      <c r="Y50" s="297"/>
      <c r="Z50" s="18"/>
    </row>
    <row r="51" spans="1:26" ht="14.25" customHeight="1">
      <c r="A51" s="15">
        <v>46</v>
      </c>
      <c r="B51" s="15" t="str">
        <f t="shared" si="1"/>
        <v>8E/8</v>
      </c>
      <c r="C51" s="15" t="s">
        <v>141</v>
      </c>
      <c r="D51" s="16">
        <v>919</v>
      </c>
      <c r="E51" s="16" t="s">
        <v>20</v>
      </c>
      <c r="F51" s="16" t="s">
        <v>20</v>
      </c>
      <c r="G51" s="16" t="s">
        <v>20</v>
      </c>
      <c r="H51" s="297">
        <f>I51-2</f>
        <v>45978</v>
      </c>
      <c r="I51" s="297">
        <v>45980</v>
      </c>
      <c r="J51" s="16" t="s">
        <v>20</v>
      </c>
      <c r="K51" s="297">
        <f>L51-1</f>
        <v>45983</v>
      </c>
      <c r="L51" s="297">
        <v>45984</v>
      </c>
      <c r="M51" s="16" t="s">
        <v>20</v>
      </c>
      <c r="N51" s="16" t="s">
        <v>20</v>
      </c>
      <c r="O51" s="16" t="s">
        <v>20</v>
      </c>
      <c r="P51" s="24" t="s">
        <v>624</v>
      </c>
      <c r="Q51" s="35"/>
      <c r="R51" s="24"/>
      <c r="S51" s="236"/>
      <c r="T51" s="15"/>
      <c r="U51" s="297"/>
      <c r="V51" s="297"/>
      <c r="W51" s="15"/>
      <c r="X51" s="297"/>
      <c r="Y51" s="297"/>
      <c r="Z51" s="18"/>
    </row>
    <row r="52" spans="1:26" ht="14.25" customHeight="1">
      <c r="A52" s="15">
        <v>47</v>
      </c>
      <c r="B52" s="15" t="str">
        <f t="shared" si="1"/>
        <v>8E/11</v>
      </c>
      <c r="C52" s="15" t="s">
        <v>142</v>
      </c>
      <c r="D52" s="16">
        <v>489</v>
      </c>
      <c r="E52" s="16" t="s">
        <v>20</v>
      </c>
      <c r="F52" s="16" t="s">
        <v>20</v>
      </c>
      <c r="G52" s="16" t="s">
        <v>20</v>
      </c>
      <c r="H52" s="297">
        <f t="shared" ref="H52:H54" si="18">I52-4</f>
        <v>45966</v>
      </c>
      <c r="I52" s="297">
        <v>45970</v>
      </c>
      <c r="J52" s="16" t="s">
        <v>20</v>
      </c>
      <c r="K52" s="297">
        <f t="shared" ref="K52:K54" si="19">L52-2</f>
        <v>45972</v>
      </c>
      <c r="L52" s="297">
        <v>45974</v>
      </c>
      <c r="M52" s="16" t="s">
        <v>20</v>
      </c>
      <c r="N52" s="16" t="s">
        <v>20</v>
      </c>
      <c r="O52" s="16" t="s">
        <v>20</v>
      </c>
      <c r="P52" s="24" t="s">
        <v>624</v>
      </c>
      <c r="Q52" s="35"/>
      <c r="R52" s="24"/>
      <c r="S52" s="236"/>
      <c r="T52" s="15" t="s">
        <v>20</v>
      </c>
      <c r="U52" s="297">
        <v>46008</v>
      </c>
      <c r="V52" s="297">
        <v>46011</v>
      </c>
      <c r="W52" s="15" t="s">
        <v>20</v>
      </c>
      <c r="X52" s="297">
        <v>46012</v>
      </c>
      <c r="Y52" s="297">
        <v>46012</v>
      </c>
      <c r="Z52" s="18"/>
    </row>
    <row r="53" spans="1:26" ht="14.25" customHeight="1">
      <c r="A53" s="15">
        <v>48</v>
      </c>
      <c r="B53" s="15" t="str">
        <f t="shared" si="1"/>
        <v>8E/12</v>
      </c>
      <c r="C53" s="15" t="s">
        <v>144</v>
      </c>
      <c r="D53" s="16">
        <v>382.48</v>
      </c>
      <c r="E53" s="16" t="s">
        <v>20</v>
      </c>
      <c r="F53" s="16" t="s">
        <v>20</v>
      </c>
      <c r="G53" s="16" t="s">
        <v>20</v>
      </c>
      <c r="H53" s="297">
        <f t="shared" si="18"/>
        <v>45966</v>
      </c>
      <c r="I53" s="297">
        <v>45970</v>
      </c>
      <c r="J53" s="16" t="s">
        <v>20</v>
      </c>
      <c r="K53" s="297">
        <f t="shared" si="19"/>
        <v>45970</v>
      </c>
      <c r="L53" s="297">
        <v>45972</v>
      </c>
      <c r="M53" s="16" t="s">
        <v>20</v>
      </c>
      <c r="N53" s="16" t="s">
        <v>20</v>
      </c>
      <c r="O53" s="16" t="s">
        <v>20</v>
      </c>
      <c r="P53" s="24" t="s">
        <v>624</v>
      </c>
      <c r="Q53" s="35"/>
      <c r="R53" s="24"/>
      <c r="S53" s="236"/>
      <c r="T53" s="15" t="s">
        <v>20</v>
      </c>
      <c r="U53" s="297">
        <v>46008</v>
      </c>
      <c r="V53" s="297">
        <v>46011</v>
      </c>
      <c r="W53" s="15" t="s">
        <v>20</v>
      </c>
      <c r="X53" s="297">
        <v>46012</v>
      </c>
      <c r="Y53" s="297">
        <v>46012</v>
      </c>
      <c r="Z53" s="18"/>
    </row>
    <row r="54" spans="1:26" ht="14.25" customHeight="1">
      <c r="A54" s="15">
        <v>49</v>
      </c>
      <c r="B54" s="15" t="str">
        <f t="shared" si="1"/>
        <v>AP-9</v>
      </c>
      <c r="C54" s="15" t="s">
        <v>148</v>
      </c>
      <c r="D54" s="16">
        <v>1250.32</v>
      </c>
      <c r="E54" s="16" t="s">
        <v>20</v>
      </c>
      <c r="F54" s="16" t="s">
        <v>20</v>
      </c>
      <c r="G54" s="16" t="s">
        <v>20</v>
      </c>
      <c r="H54" s="297">
        <f t="shared" si="18"/>
        <v>45966</v>
      </c>
      <c r="I54" s="297">
        <v>45970</v>
      </c>
      <c r="J54" s="16" t="s">
        <v>20</v>
      </c>
      <c r="K54" s="297">
        <f t="shared" si="19"/>
        <v>45970</v>
      </c>
      <c r="L54" s="297">
        <v>45972</v>
      </c>
      <c r="M54" s="16" t="s">
        <v>20</v>
      </c>
      <c r="N54" s="16" t="s">
        <v>20</v>
      </c>
      <c r="O54" s="16" t="s">
        <v>20</v>
      </c>
      <c r="P54" s="24" t="s">
        <v>624</v>
      </c>
      <c r="Q54" s="35"/>
      <c r="R54" s="24"/>
      <c r="S54" s="236"/>
      <c r="T54" s="15" t="s">
        <v>20</v>
      </c>
      <c r="U54" s="297">
        <v>46008</v>
      </c>
      <c r="V54" s="297">
        <v>46011</v>
      </c>
      <c r="W54" s="15" t="s">
        <v>20</v>
      </c>
      <c r="X54" s="297">
        <v>46012</v>
      </c>
      <c r="Y54" s="297">
        <v>46012</v>
      </c>
      <c r="Z54" s="24"/>
    </row>
    <row r="55" spans="1:26" ht="14.25" customHeight="1">
      <c r="A55" s="15">
        <v>50</v>
      </c>
      <c r="B55" s="15" t="str">
        <f t="shared" si="1"/>
        <v>9/4</v>
      </c>
      <c r="C55" s="15" t="s">
        <v>149</v>
      </c>
      <c r="D55" s="16">
        <v>246.76</v>
      </c>
      <c r="E55" s="16" t="s">
        <v>20</v>
      </c>
      <c r="F55" s="16" t="s">
        <v>20</v>
      </c>
      <c r="G55" s="16" t="s">
        <v>20</v>
      </c>
      <c r="H55" s="297">
        <v>45956</v>
      </c>
      <c r="I55" s="297">
        <f>H55+1</f>
        <v>45957</v>
      </c>
      <c r="J55" s="16" t="s">
        <v>20</v>
      </c>
      <c r="K55" s="297">
        <f>I55+1</f>
        <v>45958</v>
      </c>
      <c r="L55" s="297">
        <f t="shared" ref="L55:L56" si="20">K55+1</f>
        <v>45959</v>
      </c>
      <c r="M55" s="16" t="s">
        <v>20</v>
      </c>
      <c r="N55" s="16" t="s">
        <v>20</v>
      </c>
      <c r="O55" s="16" t="s">
        <v>20</v>
      </c>
      <c r="P55" s="24" t="s">
        <v>624</v>
      </c>
      <c r="Q55" s="35"/>
      <c r="R55" s="24"/>
      <c r="S55" s="236"/>
      <c r="T55" s="15" t="s">
        <v>20</v>
      </c>
      <c r="U55" s="297">
        <v>46008</v>
      </c>
      <c r="V55" s="297">
        <v>46011</v>
      </c>
      <c r="W55" s="15" t="s">
        <v>20</v>
      </c>
      <c r="X55" s="297">
        <v>46012</v>
      </c>
      <c r="Y55" s="297">
        <v>46012</v>
      </c>
      <c r="Z55" s="24"/>
    </row>
    <row r="56" spans="1:26" ht="14.25" customHeight="1">
      <c r="A56" s="15">
        <v>51</v>
      </c>
      <c r="B56" s="15" t="str">
        <f t="shared" si="1"/>
        <v>9/5</v>
      </c>
      <c r="C56" s="15" t="s">
        <v>155</v>
      </c>
      <c r="D56" s="16">
        <v>1697.24</v>
      </c>
      <c r="E56" s="16" t="s">
        <v>20</v>
      </c>
      <c r="F56" s="16" t="s">
        <v>20</v>
      </c>
      <c r="G56" s="16" t="s">
        <v>20</v>
      </c>
      <c r="H56" s="297">
        <f>I56-4</f>
        <v>45926</v>
      </c>
      <c r="I56" s="297">
        <v>45930</v>
      </c>
      <c r="J56" s="16" t="s">
        <v>20</v>
      </c>
      <c r="K56" s="297">
        <v>45956</v>
      </c>
      <c r="L56" s="297">
        <f t="shared" si="20"/>
        <v>45957</v>
      </c>
      <c r="M56" s="16" t="s">
        <v>20</v>
      </c>
      <c r="N56" s="16" t="s">
        <v>20</v>
      </c>
      <c r="O56" s="16" t="s">
        <v>20</v>
      </c>
      <c r="P56" s="24" t="s">
        <v>624</v>
      </c>
      <c r="Q56" s="35"/>
      <c r="R56" s="24"/>
      <c r="S56" s="236"/>
      <c r="T56" s="15" t="s">
        <v>20</v>
      </c>
      <c r="U56" s="297">
        <v>46008</v>
      </c>
      <c r="V56" s="297">
        <v>46011</v>
      </c>
      <c r="W56" s="15" t="s">
        <v>20</v>
      </c>
      <c r="X56" s="297">
        <v>46012</v>
      </c>
      <c r="Y56" s="297">
        <v>46012</v>
      </c>
      <c r="Z56" s="24"/>
    </row>
    <row r="57" spans="1:26" ht="14.25" customHeight="1">
      <c r="A57" s="15">
        <v>53</v>
      </c>
      <c r="B57" s="15" t="str">
        <f t="shared" si="1"/>
        <v>AP-10</v>
      </c>
      <c r="C57" s="15" t="s">
        <v>161</v>
      </c>
      <c r="D57" s="16">
        <v>1600.078</v>
      </c>
      <c r="E57" s="16" t="s">
        <v>20</v>
      </c>
      <c r="F57" s="16" t="s">
        <v>20</v>
      </c>
      <c r="G57" s="16" t="s">
        <v>20</v>
      </c>
      <c r="H57" s="297">
        <f t="shared" ref="H57:H58" si="21">I57-2</f>
        <v>45940</v>
      </c>
      <c r="I57" s="297">
        <v>45942</v>
      </c>
      <c r="J57" s="16" t="s">
        <v>20</v>
      </c>
      <c r="K57" s="297">
        <f t="shared" ref="K57:K59" si="22">L57-2</f>
        <v>45942</v>
      </c>
      <c r="L57" s="297">
        <v>45944</v>
      </c>
      <c r="M57" s="16" t="s">
        <v>20</v>
      </c>
      <c r="N57" s="16" t="s">
        <v>20</v>
      </c>
      <c r="O57" s="16" t="s">
        <v>20</v>
      </c>
      <c r="P57" s="24" t="s">
        <v>624</v>
      </c>
      <c r="Q57" s="35"/>
      <c r="R57" s="24"/>
      <c r="S57" s="236"/>
      <c r="T57" s="15" t="s">
        <v>20</v>
      </c>
      <c r="U57" s="297">
        <v>46017</v>
      </c>
      <c r="V57" s="297">
        <v>46018</v>
      </c>
      <c r="W57" s="15" t="s">
        <v>20</v>
      </c>
      <c r="X57" s="297">
        <v>46019</v>
      </c>
      <c r="Y57" s="297">
        <v>46019</v>
      </c>
      <c r="Z57" s="24"/>
    </row>
    <row r="58" spans="1:26" ht="14.25" customHeight="1">
      <c r="A58" s="15">
        <v>54</v>
      </c>
      <c r="B58" s="15" t="str">
        <f t="shared" si="1"/>
        <v>AP-11</v>
      </c>
      <c r="C58" s="15" t="s">
        <v>164</v>
      </c>
      <c r="D58" s="16">
        <v>525.89</v>
      </c>
      <c r="E58" s="16" t="s">
        <v>20</v>
      </c>
      <c r="F58" s="16" t="s">
        <v>20</v>
      </c>
      <c r="G58" s="16" t="s">
        <v>20</v>
      </c>
      <c r="H58" s="297">
        <f t="shared" si="21"/>
        <v>45940</v>
      </c>
      <c r="I58" s="297">
        <v>45942</v>
      </c>
      <c r="J58" s="16" t="s">
        <v>20</v>
      </c>
      <c r="K58" s="297">
        <f t="shared" si="22"/>
        <v>45942</v>
      </c>
      <c r="L58" s="297">
        <v>45944</v>
      </c>
      <c r="M58" s="16" t="s">
        <v>20</v>
      </c>
      <c r="N58" s="16" t="s">
        <v>20</v>
      </c>
      <c r="O58" s="16" t="s">
        <v>20</v>
      </c>
      <c r="P58" s="24" t="s">
        <v>624</v>
      </c>
      <c r="Q58" s="25"/>
      <c r="R58" s="24"/>
      <c r="S58" s="236"/>
      <c r="T58" s="15" t="s">
        <v>20</v>
      </c>
      <c r="U58" s="297">
        <v>46017</v>
      </c>
      <c r="V58" s="297">
        <v>46018</v>
      </c>
      <c r="W58" s="15" t="s">
        <v>20</v>
      </c>
      <c r="X58" s="297">
        <v>46019</v>
      </c>
      <c r="Y58" s="297">
        <v>46019</v>
      </c>
      <c r="Z58" s="24"/>
    </row>
    <row r="59" spans="1:26" ht="14.25" customHeight="1">
      <c r="A59" s="15">
        <v>55</v>
      </c>
      <c r="B59" s="15" t="str">
        <f t="shared" si="1"/>
        <v>AP-12</v>
      </c>
      <c r="C59" s="15" t="s">
        <v>166</v>
      </c>
      <c r="D59" s="16">
        <v>356.279</v>
      </c>
      <c r="E59" s="16" t="s">
        <v>20</v>
      </c>
      <c r="F59" s="16" t="s">
        <v>20</v>
      </c>
      <c r="G59" s="16" t="s">
        <v>20</v>
      </c>
      <c r="H59" s="297">
        <f>I59</f>
        <v>45931</v>
      </c>
      <c r="I59" s="297">
        <v>45931</v>
      </c>
      <c r="J59" s="16" t="s">
        <v>20</v>
      </c>
      <c r="K59" s="297">
        <f t="shared" si="22"/>
        <v>45938</v>
      </c>
      <c r="L59" s="297">
        <v>45940</v>
      </c>
      <c r="M59" s="16" t="s">
        <v>20</v>
      </c>
      <c r="N59" s="16" t="s">
        <v>20</v>
      </c>
      <c r="O59" s="24"/>
      <c r="P59" s="24" t="s">
        <v>624</v>
      </c>
      <c r="Q59" s="25"/>
      <c r="R59" s="24"/>
      <c r="S59" s="236"/>
      <c r="T59" s="15" t="s">
        <v>20</v>
      </c>
      <c r="U59" s="297">
        <v>46017</v>
      </c>
      <c r="V59" s="297">
        <v>46018</v>
      </c>
      <c r="W59" s="15" t="s">
        <v>20</v>
      </c>
      <c r="X59" s="297">
        <v>46019</v>
      </c>
      <c r="Y59" s="297">
        <v>46019</v>
      </c>
      <c r="Z59" s="24"/>
    </row>
    <row r="60" spans="1:26" ht="14.25" customHeight="1">
      <c r="A60" s="15">
        <v>56</v>
      </c>
      <c r="B60" s="15" t="str">
        <f t="shared" si="1"/>
        <v>AP-13</v>
      </c>
      <c r="C60" s="15" t="s">
        <v>169</v>
      </c>
      <c r="D60" s="16">
        <v>667.59</v>
      </c>
      <c r="E60" s="16" t="s">
        <v>20</v>
      </c>
      <c r="F60" s="16" t="s">
        <v>20</v>
      </c>
      <c r="G60" s="16" t="s">
        <v>20</v>
      </c>
      <c r="H60" s="297">
        <v>46009</v>
      </c>
      <c r="I60" s="297">
        <v>46011</v>
      </c>
      <c r="J60" s="16" t="s">
        <v>20</v>
      </c>
      <c r="K60" s="297">
        <v>46015</v>
      </c>
      <c r="L60" s="297">
        <v>46018</v>
      </c>
      <c r="M60" s="24"/>
      <c r="N60" s="24"/>
      <c r="O60" s="24"/>
      <c r="P60" s="24" t="s">
        <v>624</v>
      </c>
      <c r="Q60" s="25"/>
      <c r="R60" s="24"/>
      <c r="S60" s="236"/>
      <c r="T60" s="15" t="s">
        <v>20</v>
      </c>
      <c r="U60" s="297">
        <v>46017</v>
      </c>
      <c r="V60" s="297">
        <v>46018</v>
      </c>
      <c r="W60" s="15" t="s">
        <v>20</v>
      </c>
      <c r="X60" s="297">
        <v>46019</v>
      </c>
      <c r="Y60" s="297">
        <v>46019</v>
      </c>
      <c r="Z60" s="24"/>
    </row>
    <row r="61" spans="1:26" ht="14.25" customHeight="1">
      <c r="A61" s="15">
        <v>57</v>
      </c>
      <c r="B61" s="15" t="str">
        <f t="shared" si="1"/>
        <v>AP-14</v>
      </c>
      <c r="C61" s="15" t="s">
        <v>170</v>
      </c>
      <c r="D61" s="16">
        <v>362</v>
      </c>
      <c r="E61" s="16" t="s">
        <v>20</v>
      </c>
      <c r="F61" s="16" t="s">
        <v>20</v>
      </c>
      <c r="G61" s="16" t="s">
        <v>20</v>
      </c>
      <c r="H61" s="297">
        <v>46009</v>
      </c>
      <c r="I61" s="297">
        <v>46011</v>
      </c>
      <c r="J61" s="16" t="s">
        <v>20</v>
      </c>
      <c r="K61" s="297">
        <v>46015</v>
      </c>
      <c r="L61" s="297">
        <v>46018</v>
      </c>
      <c r="M61" s="24"/>
      <c r="N61" s="24"/>
      <c r="O61" s="24"/>
      <c r="P61" s="24" t="s">
        <v>624</v>
      </c>
      <c r="Q61" s="25"/>
      <c r="R61" s="24"/>
      <c r="S61" s="236"/>
      <c r="T61" s="15" t="s">
        <v>20</v>
      </c>
      <c r="U61" s="297">
        <v>46017</v>
      </c>
      <c r="V61" s="297">
        <v>46018</v>
      </c>
      <c r="W61" s="15" t="s">
        <v>20</v>
      </c>
      <c r="X61" s="297">
        <v>46019</v>
      </c>
      <c r="Y61" s="297">
        <v>46019</v>
      </c>
      <c r="Z61" s="24"/>
    </row>
    <row r="62" spans="1:26" ht="14.25" customHeight="1">
      <c r="A62" s="15">
        <v>58</v>
      </c>
      <c r="B62" s="15" t="str">
        <f t="shared" si="1"/>
        <v>14/1</v>
      </c>
      <c r="C62" s="15" t="s">
        <v>172</v>
      </c>
      <c r="D62" s="16">
        <v>752</v>
      </c>
      <c r="E62" s="16" t="s">
        <v>20</v>
      </c>
      <c r="F62" s="16" t="s">
        <v>20</v>
      </c>
      <c r="G62" s="16" t="s">
        <v>20</v>
      </c>
      <c r="H62" s="297">
        <v>46009</v>
      </c>
      <c r="I62" s="297">
        <v>46011</v>
      </c>
      <c r="J62" s="16" t="s">
        <v>20</v>
      </c>
      <c r="K62" s="297">
        <v>46012</v>
      </c>
      <c r="L62" s="297">
        <v>46018</v>
      </c>
      <c r="M62" s="24"/>
      <c r="N62" s="24"/>
      <c r="O62" s="24"/>
      <c r="P62" s="24" t="s">
        <v>624</v>
      </c>
      <c r="Q62" s="25"/>
      <c r="R62" s="24"/>
      <c r="S62" s="236"/>
      <c r="T62" s="15" t="s">
        <v>20</v>
      </c>
      <c r="U62" s="297">
        <v>46017</v>
      </c>
      <c r="V62" s="297">
        <v>46018</v>
      </c>
      <c r="W62" s="15" t="s">
        <v>20</v>
      </c>
      <c r="X62" s="297">
        <v>46019</v>
      </c>
      <c r="Y62" s="297">
        <v>46019</v>
      </c>
      <c r="Z62" s="24"/>
    </row>
    <row r="63" spans="1:26" ht="14.25" customHeight="1">
      <c r="A63" s="15">
        <v>60</v>
      </c>
      <c r="B63" s="15" t="str">
        <f t="shared" si="1"/>
        <v>14/3</v>
      </c>
      <c r="C63" s="15" t="s">
        <v>180</v>
      </c>
      <c r="D63" s="16">
        <v>2536.1799999999998</v>
      </c>
      <c r="E63" s="16" t="s">
        <v>20</v>
      </c>
      <c r="F63" s="16" t="s">
        <v>20</v>
      </c>
      <c r="G63" s="16" t="s">
        <v>20</v>
      </c>
      <c r="H63" s="297">
        <v>46004</v>
      </c>
      <c r="I63" s="297">
        <v>46006</v>
      </c>
      <c r="J63" s="16" t="s">
        <v>20</v>
      </c>
      <c r="K63" s="297">
        <v>46013</v>
      </c>
      <c r="L63" s="297">
        <v>46014</v>
      </c>
      <c r="M63" s="24"/>
      <c r="N63" s="135"/>
      <c r="O63" s="24"/>
      <c r="P63" s="24" t="s">
        <v>624</v>
      </c>
      <c r="Q63" s="25"/>
      <c r="R63" s="24"/>
      <c r="S63" s="236"/>
      <c r="T63" s="15" t="s">
        <v>20</v>
      </c>
      <c r="U63" s="297">
        <v>46013</v>
      </c>
      <c r="V63" s="297">
        <v>46015</v>
      </c>
      <c r="W63" s="15" t="s">
        <v>20</v>
      </c>
      <c r="X63" s="297">
        <v>46016</v>
      </c>
      <c r="Y63" s="297">
        <v>46016</v>
      </c>
      <c r="Z63" s="24"/>
    </row>
    <row r="64" spans="1:26" ht="14.25" customHeight="1">
      <c r="A64" s="15">
        <v>63</v>
      </c>
      <c r="B64" s="15" t="str">
        <f t="shared" si="1"/>
        <v>AP-15</v>
      </c>
      <c r="C64" s="15" t="s">
        <v>191</v>
      </c>
      <c r="D64" s="16">
        <v>3422.45</v>
      </c>
      <c r="E64" s="16" t="s">
        <v>20</v>
      </c>
      <c r="F64" s="16" t="s">
        <v>20</v>
      </c>
      <c r="G64" s="16" t="s">
        <v>20</v>
      </c>
      <c r="H64" s="297">
        <v>45825</v>
      </c>
      <c r="I64" s="297">
        <v>45833</v>
      </c>
      <c r="J64" s="16" t="s">
        <v>20</v>
      </c>
      <c r="K64" s="297">
        <v>45828</v>
      </c>
      <c r="L64" s="297">
        <v>45837</v>
      </c>
      <c r="M64" s="16" t="s">
        <v>20</v>
      </c>
      <c r="N64" s="16" t="s">
        <v>20</v>
      </c>
      <c r="O64" s="16" t="s">
        <v>20</v>
      </c>
      <c r="P64" s="24" t="s">
        <v>626</v>
      </c>
      <c r="Q64" s="25"/>
      <c r="R64" s="24"/>
      <c r="S64" s="236"/>
      <c r="T64" s="16" t="s">
        <v>20</v>
      </c>
      <c r="U64" s="297">
        <f t="shared" ref="U64:U66" si="23">V64-2</f>
        <v>45928</v>
      </c>
      <c r="V64" s="297">
        <f t="shared" ref="V64:V66" si="24">X64-1</f>
        <v>45930</v>
      </c>
      <c r="W64" s="16" t="s">
        <v>20</v>
      </c>
      <c r="X64" s="297">
        <f t="shared" ref="X64:X65" si="25">Y64-1</f>
        <v>45931</v>
      </c>
      <c r="Y64" s="297">
        <f t="shared" ref="Y64:Y65" si="26">X65-1</f>
        <v>45932</v>
      </c>
      <c r="Z64" s="24"/>
    </row>
    <row r="65" spans="1:26" ht="14.25" customHeight="1">
      <c r="A65" s="15">
        <v>64</v>
      </c>
      <c r="B65" s="15" t="str">
        <f t="shared" si="1"/>
        <v>AP-16</v>
      </c>
      <c r="C65" s="15" t="s">
        <v>196</v>
      </c>
      <c r="D65" s="16">
        <v>1307.6500000000001</v>
      </c>
      <c r="E65" s="16" t="s">
        <v>20</v>
      </c>
      <c r="F65" s="16" t="s">
        <v>20</v>
      </c>
      <c r="G65" s="16" t="s">
        <v>20</v>
      </c>
      <c r="H65" s="297">
        <v>45838</v>
      </c>
      <c r="I65" s="297">
        <v>45844</v>
      </c>
      <c r="J65" s="16" t="s">
        <v>20</v>
      </c>
      <c r="K65" s="297">
        <v>45846</v>
      </c>
      <c r="L65" s="297">
        <v>45849</v>
      </c>
      <c r="M65" s="16" t="s">
        <v>20</v>
      </c>
      <c r="N65" s="16" t="s">
        <v>20</v>
      </c>
      <c r="O65" s="16" t="s">
        <v>20</v>
      </c>
      <c r="P65" s="24" t="s">
        <v>624</v>
      </c>
      <c r="Q65" s="25"/>
      <c r="R65" s="24"/>
      <c r="S65" s="236"/>
      <c r="T65" s="16" t="s">
        <v>20</v>
      </c>
      <c r="U65" s="297">
        <f t="shared" si="23"/>
        <v>45930</v>
      </c>
      <c r="V65" s="297">
        <f t="shared" si="24"/>
        <v>45932</v>
      </c>
      <c r="W65" s="16" t="s">
        <v>20</v>
      </c>
      <c r="X65" s="297">
        <f t="shared" si="25"/>
        <v>45933</v>
      </c>
      <c r="Y65" s="297">
        <f t="shared" si="26"/>
        <v>45934</v>
      </c>
      <c r="Z65" s="24"/>
    </row>
    <row r="66" spans="1:26" ht="14.25" customHeight="1">
      <c r="A66" s="15">
        <v>65</v>
      </c>
      <c r="B66" s="15" t="str">
        <f t="shared" si="1"/>
        <v>AP-17</v>
      </c>
      <c r="C66" s="15" t="s">
        <v>201</v>
      </c>
      <c r="D66" s="16">
        <v>1435.97</v>
      </c>
      <c r="E66" s="16" t="s">
        <v>20</v>
      </c>
      <c r="F66" s="16" t="s">
        <v>20</v>
      </c>
      <c r="G66" s="16" t="s">
        <v>20</v>
      </c>
      <c r="H66" s="297">
        <v>45838</v>
      </c>
      <c r="I66" s="297">
        <v>45844</v>
      </c>
      <c r="J66" s="16" t="s">
        <v>20</v>
      </c>
      <c r="K66" s="297">
        <v>45846</v>
      </c>
      <c r="L66" s="297">
        <v>45849</v>
      </c>
      <c r="M66" s="16" t="s">
        <v>20</v>
      </c>
      <c r="N66" s="16" t="s">
        <v>20</v>
      </c>
      <c r="O66" s="16" t="s">
        <v>20</v>
      </c>
      <c r="P66" s="24" t="s">
        <v>624</v>
      </c>
      <c r="Q66" s="25"/>
      <c r="R66" s="25"/>
      <c r="S66" s="238"/>
      <c r="T66" s="16" t="s">
        <v>20</v>
      </c>
      <c r="U66" s="297">
        <f t="shared" si="23"/>
        <v>45932</v>
      </c>
      <c r="V66" s="297">
        <f t="shared" si="24"/>
        <v>45934</v>
      </c>
      <c r="W66" s="16" t="s">
        <v>20</v>
      </c>
      <c r="X66" s="297">
        <f>Y66-2</f>
        <v>45935</v>
      </c>
      <c r="Y66" s="297">
        <v>45937</v>
      </c>
      <c r="Z66" s="24"/>
    </row>
    <row r="67" spans="1:26" ht="14.25" customHeight="1">
      <c r="A67" s="15">
        <v>66</v>
      </c>
      <c r="B67" s="15" t="str">
        <f t="shared" si="1"/>
        <v>AP-18</v>
      </c>
      <c r="C67" s="15" t="s">
        <v>214</v>
      </c>
      <c r="D67" s="16">
        <v>4210.1310000000003</v>
      </c>
      <c r="E67" s="16" t="s">
        <v>20</v>
      </c>
      <c r="F67" s="16" t="s">
        <v>20</v>
      </c>
      <c r="G67" s="16" t="s">
        <v>20</v>
      </c>
      <c r="H67" s="297">
        <v>45852</v>
      </c>
      <c r="I67" s="297">
        <v>45853</v>
      </c>
      <c r="J67" s="16" t="s">
        <v>20</v>
      </c>
      <c r="K67" s="297">
        <v>45854</v>
      </c>
      <c r="L67" s="297">
        <v>45856</v>
      </c>
      <c r="M67" s="16" t="s">
        <v>20</v>
      </c>
      <c r="N67" s="16" t="s">
        <v>20</v>
      </c>
      <c r="O67" s="16" t="s">
        <v>20</v>
      </c>
      <c r="P67" s="187" t="s">
        <v>624</v>
      </c>
      <c r="Q67" s="25"/>
      <c r="R67" s="25"/>
      <c r="S67" s="238"/>
      <c r="T67" s="16" t="s">
        <v>20</v>
      </c>
      <c r="U67" s="297">
        <v>45938</v>
      </c>
      <c r="V67" s="297">
        <f>U67+1</f>
        <v>45939</v>
      </c>
      <c r="W67" s="16" t="s">
        <v>20</v>
      </c>
      <c r="X67" s="297">
        <f>V67+1</f>
        <v>45940</v>
      </c>
      <c r="Y67" s="297">
        <f>X67+1</f>
        <v>45941</v>
      </c>
      <c r="Z67" s="24"/>
    </row>
    <row r="68" spans="1:26" ht="14.25" customHeight="1">
      <c r="A68" s="15">
        <v>67</v>
      </c>
      <c r="B68" s="15" t="str">
        <f t="shared" si="1"/>
        <v>AP-19</v>
      </c>
      <c r="C68" s="15" t="s">
        <v>221</v>
      </c>
      <c r="D68" s="16">
        <v>1946.55</v>
      </c>
      <c r="E68" s="16" t="s">
        <v>20</v>
      </c>
      <c r="F68" s="16" t="s">
        <v>20</v>
      </c>
      <c r="G68" s="16" t="s">
        <v>20</v>
      </c>
      <c r="H68" s="297">
        <v>45858</v>
      </c>
      <c r="I68" s="297">
        <v>45859</v>
      </c>
      <c r="J68" s="16" t="s">
        <v>20</v>
      </c>
      <c r="K68" s="297">
        <v>45859</v>
      </c>
      <c r="L68" s="297">
        <v>45860</v>
      </c>
      <c r="M68" s="16" t="s">
        <v>20</v>
      </c>
      <c r="N68" s="16" t="s">
        <v>20</v>
      </c>
      <c r="O68" s="16" t="s">
        <v>20</v>
      </c>
      <c r="P68" s="24" t="s">
        <v>624</v>
      </c>
      <c r="Q68" s="25"/>
      <c r="R68" s="25"/>
      <c r="S68" s="238"/>
      <c r="T68" s="16" t="s">
        <v>20</v>
      </c>
      <c r="U68" s="297">
        <v>45998</v>
      </c>
      <c r="V68" s="297">
        <f>U68+1</f>
        <v>45999</v>
      </c>
      <c r="W68" s="16" t="s">
        <v>20</v>
      </c>
      <c r="X68" s="297">
        <v>45999</v>
      </c>
      <c r="Y68" s="297">
        <f>X68+1</f>
        <v>46000</v>
      </c>
      <c r="Z68" s="24"/>
    </row>
    <row r="69" spans="1:26" ht="14.25" customHeight="1">
      <c r="A69" s="15">
        <v>68</v>
      </c>
      <c r="B69" s="15" t="str">
        <f t="shared" si="1"/>
        <v>AP-20</v>
      </c>
      <c r="C69" s="15" t="s">
        <v>231</v>
      </c>
      <c r="D69" s="16">
        <v>2994.77</v>
      </c>
      <c r="E69" s="16" t="s">
        <v>20</v>
      </c>
      <c r="F69" s="16" t="s">
        <v>20</v>
      </c>
      <c r="G69" s="16" t="s">
        <v>20</v>
      </c>
      <c r="H69" s="298">
        <f>I69-2</f>
        <v>45860</v>
      </c>
      <c r="I69" s="297">
        <v>45862</v>
      </c>
      <c r="J69" s="16" t="s">
        <v>20</v>
      </c>
      <c r="K69" s="297"/>
      <c r="L69" s="297"/>
      <c r="M69" s="16" t="s">
        <v>20</v>
      </c>
      <c r="N69" s="16" t="s">
        <v>20</v>
      </c>
      <c r="O69" s="16" t="s">
        <v>20</v>
      </c>
      <c r="P69" s="24" t="s">
        <v>624</v>
      </c>
      <c r="Q69" s="25"/>
      <c r="R69" s="25"/>
      <c r="S69" s="238"/>
      <c r="T69" s="16" t="s">
        <v>20</v>
      </c>
      <c r="U69" s="297">
        <v>45998</v>
      </c>
      <c r="V69" s="297">
        <f>U69+1</f>
        <v>45999</v>
      </c>
      <c r="W69" s="16" t="s">
        <v>20</v>
      </c>
      <c r="X69" s="297">
        <v>45999</v>
      </c>
      <c r="Y69" s="297">
        <f>X69+1</f>
        <v>46000</v>
      </c>
      <c r="Z69" s="24"/>
    </row>
    <row r="70" spans="1:26" ht="14.25" customHeight="1">
      <c r="A70" s="15">
        <v>69</v>
      </c>
      <c r="B70" s="15" t="str">
        <f t="shared" si="1"/>
        <v>AP-21</v>
      </c>
      <c r="C70" s="15" t="s">
        <v>246</v>
      </c>
      <c r="D70" s="16">
        <v>4974.78</v>
      </c>
      <c r="E70" s="16" t="s">
        <v>20</v>
      </c>
      <c r="F70" s="16" t="s">
        <v>20</v>
      </c>
      <c r="G70" s="16" t="s">
        <v>20</v>
      </c>
      <c r="H70" s="297">
        <v>45873</v>
      </c>
      <c r="I70" s="297">
        <v>45881</v>
      </c>
      <c r="J70" s="16" t="s">
        <v>20</v>
      </c>
      <c r="K70" s="297">
        <v>45887</v>
      </c>
      <c r="L70" s="297">
        <f>K70+4</f>
        <v>45891</v>
      </c>
      <c r="M70" s="16" t="s">
        <v>20</v>
      </c>
      <c r="N70" s="16" t="s">
        <v>20</v>
      </c>
      <c r="O70" s="16" t="s">
        <v>20</v>
      </c>
      <c r="P70" s="24" t="s">
        <v>624</v>
      </c>
      <c r="Q70" s="25"/>
      <c r="R70" s="25"/>
      <c r="S70" s="238"/>
      <c r="T70" s="239" t="s">
        <v>20</v>
      </c>
      <c r="U70" s="301">
        <v>45987</v>
      </c>
      <c r="V70" s="297">
        <v>45988</v>
      </c>
      <c r="W70" s="239" t="s">
        <v>20</v>
      </c>
      <c r="X70" s="297">
        <v>45988</v>
      </c>
      <c r="Y70" s="297">
        <v>45988</v>
      </c>
      <c r="Z70" s="24"/>
    </row>
    <row r="71" spans="1:26" ht="14.25" customHeight="1">
      <c r="A71" s="15">
        <v>73</v>
      </c>
      <c r="B71" s="15" t="str">
        <f t="shared" si="1"/>
        <v>AP-22</v>
      </c>
      <c r="C71" s="15" t="s">
        <v>250</v>
      </c>
      <c r="D71" s="16">
        <v>947.23</v>
      </c>
      <c r="E71" s="16" t="s">
        <v>20</v>
      </c>
      <c r="F71" s="16" t="s">
        <v>20</v>
      </c>
      <c r="G71" s="16" t="s">
        <v>20</v>
      </c>
      <c r="H71" s="297">
        <f>I71-4</f>
        <v>45877</v>
      </c>
      <c r="I71" s="297">
        <v>45881</v>
      </c>
      <c r="J71" s="16" t="s">
        <v>20</v>
      </c>
      <c r="K71" s="297">
        <v>45907</v>
      </c>
      <c r="L71" s="297">
        <v>45908</v>
      </c>
      <c r="M71" s="16" t="s">
        <v>20</v>
      </c>
      <c r="N71" s="16" t="s">
        <v>20</v>
      </c>
      <c r="O71" s="16" t="s">
        <v>20</v>
      </c>
      <c r="P71" s="24" t="s">
        <v>624</v>
      </c>
      <c r="Q71" s="25"/>
      <c r="R71" s="24"/>
      <c r="S71" s="236"/>
      <c r="T71" s="239" t="s">
        <v>20</v>
      </c>
      <c r="U71" s="297">
        <v>46001</v>
      </c>
      <c r="V71" s="297">
        <v>46004</v>
      </c>
      <c r="W71" s="239" t="s">
        <v>20</v>
      </c>
      <c r="X71" s="297">
        <v>46005</v>
      </c>
      <c r="Y71" s="297">
        <v>46006</v>
      </c>
      <c r="Z71" s="24"/>
    </row>
    <row r="72" spans="1:26" ht="14.25" customHeight="1">
      <c r="A72" s="15">
        <v>74</v>
      </c>
      <c r="B72" s="15" t="str">
        <f t="shared" si="1"/>
        <v>AP-23</v>
      </c>
      <c r="C72" s="15" t="s">
        <v>257</v>
      </c>
      <c r="D72" s="16">
        <v>1926.75</v>
      </c>
      <c r="E72" s="16" t="s">
        <v>20</v>
      </c>
      <c r="F72" s="16" t="s">
        <v>20</v>
      </c>
      <c r="G72" s="16" t="s">
        <v>20</v>
      </c>
      <c r="H72" s="297">
        <v>45904</v>
      </c>
      <c r="I72" s="297">
        <v>45906</v>
      </c>
      <c r="J72" s="16" t="s">
        <v>20</v>
      </c>
      <c r="K72" s="297">
        <f>K71</f>
        <v>45907</v>
      </c>
      <c r="L72" s="297">
        <v>45908</v>
      </c>
      <c r="M72" s="16" t="s">
        <v>20</v>
      </c>
      <c r="N72" s="16" t="s">
        <v>20</v>
      </c>
      <c r="O72" s="16" t="s">
        <v>20</v>
      </c>
      <c r="P72" s="24" t="s">
        <v>624</v>
      </c>
      <c r="Q72" s="25"/>
      <c r="R72" s="24"/>
      <c r="S72" s="236"/>
      <c r="T72" s="239" t="s">
        <v>20</v>
      </c>
      <c r="U72" s="297">
        <v>46001</v>
      </c>
      <c r="V72" s="297">
        <v>46004</v>
      </c>
      <c r="W72" s="239" t="s">
        <v>20</v>
      </c>
      <c r="X72" s="297">
        <v>46005</v>
      </c>
      <c r="Y72" s="297">
        <v>46006</v>
      </c>
      <c r="Z72" s="24"/>
    </row>
    <row r="73" spans="1:26" ht="14.25" customHeight="1">
      <c r="A73" s="15">
        <v>77</v>
      </c>
      <c r="B73" s="15" t="str">
        <f t="shared" si="1"/>
        <v>AP-24</v>
      </c>
      <c r="C73" s="15" t="s">
        <v>259</v>
      </c>
      <c r="D73" s="16">
        <v>190.524</v>
      </c>
      <c r="E73" s="16" t="s">
        <v>20</v>
      </c>
      <c r="F73" s="16" t="s">
        <v>20</v>
      </c>
      <c r="G73" s="16" t="s">
        <v>20</v>
      </c>
      <c r="H73" s="297">
        <f>I73</f>
        <v>45934</v>
      </c>
      <c r="I73" s="297">
        <v>45934</v>
      </c>
      <c r="J73" s="16" t="s">
        <v>20</v>
      </c>
      <c r="K73" s="297">
        <f>L73</f>
        <v>45934</v>
      </c>
      <c r="L73" s="297">
        <v>45934</v>
      </c>
      <c r="M73" s="16" t="s">
        <v>20</v>
      </c>
      <c r="N73" s="16" t="s">
        <v>20</v>
      </c>
      <c r="O73" s="16" t="s">
        <v>20</v>
      </c>
      <c r="P73" s="24" t="s">
        <v>624</v>
      </c>
      <c r="Q73" s="25"/>
      <c r="R73" s="24" t="s">
        <v>422</v>
      </c>
      <c r="S73" s="236"/>
      <c r="T73" s="239" t="s">
        <v>20</v>
      </c>
      <c r="U73" s="297">
        <v>46001</v>
      </c>
      <c r="V73" s="297">
        <v>46004</v>
      </c>
      <c r="W73" s="239" t="s">
        <v>20</v>
      </c>
      <c r="X73" s="297">
        <v>46005</v>
      </c>
      <c r="Y73" s="297">
        <v>46006</v>
      </c>
      <c r="Z73" s="24"/>
    </row>
    <row r="74" spans="1:26" ht="14.25" customHeight="1">
      <c r="A74" s="15">
        <v>78</v>
      </c>
      <c r="B74" s="15" t="str">
        <f t="shared" si="1"/>
        <v>AP-25</v>
      </c>
      <c r="C74" s="15" t="s">
        <v>262</v>
      </c>
      <c r="D74" s="16">
        <v>173.541</v>
      </c>
      <c r="E74" s="16" t="s">
        <v>20</v>
      </c>
      <c r="F74" s="16" t="s">
        <v>20</v>
      </c>
      <c r="G74" s="16" t="s">
        <v>20</v>
      </c>
      <c r="H74" s="297">
        <f>I74-2</f>
        <v>45913</v>
      </c>
      <c r="I74" s="297">
        <v>45915</v>
      </c>
      <c r="J74" s="16" t="s">
        <v>20</v>
      </c>
      <c r="K74" s="297">
        <f>L74-1</f>
        <v>45915</v>
      </c>
      <c r="L74" s="297">
        <v>45916</v>
      </c>
      <c r="M74" s="16" t="s">
        <v>20</v>
      </c>
      <c r="N74" s="16" t="s">
        <v>20</v>
      </c>
      <c r="O74" s="16" t="s">
        <v>20</v>
      </c>
      <c r="P74" s="24" t="s">
        <v>624</v>
      </c>
      <c r="Q74" s="25"/>
      <c r="R74" s="24"/>
      <c r="S74" s="236"/>
      <c r="T74" s="239" t="s">
        <v>20</v>
      </c>
      <c r="U74" s="297">
        <v>46001</v>
      </c>
      <c r="V74" s="297">
        <v>46004</v>
      </c>
      <c r="W74" s="239" t="s">
        <v>20</v>
      </c>
      <c r="X74" s="297">
        <v>46005</v>
      </c>
      <c r="Y74" s="297">
        <v>46006</v>
      </c>
      <c r="Z74" s="24"/>
    </row>
    <row r="75" spans="1:26" ht="14.25" customHeight="1">
      <c r="A75" s="15">
        <v>79</v>
      </c>
      <c r="B75" s="15" t="str">
        <f t="shared" si="1"/>
        <v>AP-26</v>
      </c>
      <c r="C75" s="15" t="s">
        <v>264</v>
      </c>
      <c r="D75" s="16">
        <v>142.38399999999999</v>
      </c>
      <c r="E75" s="16" t="s">
        <v>20</v>
      </c>
      <c r="F75" s="16" t="s">
        <v>20</v>
      </c>
      <c r="G75" s="16" t="s">
        <v>20</v>
      </c>
      <c r="H75" s="297">
        <f>I75</f>
        <v>45936</v>
      </c>
      <c r="I75" s="297">
        <v>45936</v>
      </c>
      <c r="J75" s="16" t="s">
        <v>20</v>
      </c>
      <c r="K75" s="297">
        <f>L75</f>
        <v>45936</v>
      </c>
      <c r="L75" s="297">
        <v>45936</v>
      </c>
      <c r="M75" s="16" t="s">
        <v>20</v>
      </c>
      <c r="N75" s="16" t="s">
        <v>20</v>
      </c>
      <c r="O75" s="24"/>
      <c r="P75" s="24" t="s">
        <v>624</v>
      </c>
      <c r="Q75" s="25"/>
      <c r="R75" s="24" t="s">
        <v>422</v>
      </c>
      <c r="S75" s="236"/>
      <c r="T75" s="239" t="s">
        <v>20</v>
      </c>
      <c r="U75" s="297">
        <v>46001</v>
      </c>
      <c r="V75" s="297">
        <v>46004</v>
      </c>
      <c r="W75" s="239" t="s">
        <v>20</v>
      </c>
      <c r="X75" s="297">
        <v>46005</v>
      </c>
      <c r="Y75" s="297">
        <v>46006</v>
      </c>
      <c r="Z75" s="24"/>
    </row>
    <row r="76" spans="1:26" ht="14.25" customHeight="1">
      <c r="A76" s="15">
        <v>80</v>
      </c>
      <c r="B76" s="15" t="str">
        <f t="shared" si="1"/>
        <v>AP-27</v>
      </c>
      <c r="C76" s="15" t="s">
        <v>266</v>
      </c>
      <c r="D76" s="16">
        <v>77.015000000000001</v>
      </c>
      <c r="E76" s="16" t="s">
        <v>20</v>
      </c>
      <c r="F76" s="16" t="s">
        <v>20</v>
      </c>
      <c r="G76" s="16" t="s">
        <v>20</v>
      </c>
      <c r="H76" s="297">
        <v>45963</v>
      </c>
      <c r="I76" s="297">
        <v>45963</v>
      </c>
      <c r="J76" s="16" t="s">
        <v>20</v>
      </c>
      <c r="K76" s="297">
        <v>45994</v>
      </c>
      <c r="L76" s="297">
        <v>45996</v>
      </c>
      <c r="M76" s="24"/>
      <c r="N76" s="24"/>
      <c r="O76" s="24"/>
      <c r="P76" s="24" t="s">
        <v>624</v>
      </c>
      <c r="Q76" s="25"/>
      <c r="R76" s="24" t="s">
        <v>422</v>
      </c>
      <c r="S76" s="236"/>
      <c r="T76" s="239" t="s">
        <v>20</v>
      </c>
      <c r="U76" s="297">
        <v>46001</v>
      </c>
      <c r="V76" s="297">
        <v>46004</v>
      </c>
      <c r="W76" s="239" t="s">
        <v>20</v>
      </c>
      <c r="X76" s="297">
        <v>46005</v>
      </c>
      <c r="Y76" s="297">
        <v>46006</v>
      </c>
      <c r="Z76" s="24"/>
    </row>
    <row r="77" spans="1:26" ht="14.25" customHeight="1">
      <c r="A77" s="15">
        <v>81</v>
      </c>
      <c r="B77" s="15" t="str">
        <f t="shared" si="1"/>
        <v>AP-28</v>
      </c>
      <c r="C77" s="15" t="s">
        <v>267</v>
      </c>
      <c r="D77" s="16">
        <v>42.265999999999998</v>
      </c>
      <c r="E77" s="16" t="s">
        <v>20</v>
      </c>
      <c r="F77" s="16" t="s">
        <v>20</v>
      </c>
      <c r="G77" s="16" t="s">
        <v>20</v>
      </c>
      <c r="H77" s="297">
        <v>45963</v>
      </c>
      <c r="I77" s="297">
        <v>45963</v>
      </c>
      <c r="J77" s="16" t="s">
        <v>20</v>
      </c>
      <c r="K77" s="297">
        <v>45994</v>
      </c>
      <c r="L77" s="297">
        <v>45996</v>
      </c>
      <c r="M77" s="24"/>
      <c r="N77" s="24"/>
      <c r="O77" s="24"/>
      <c r="P77" s="24"/>
      <c r="Q77" s="25"/>
      <c r="R77" s="24"/>
      <c r="S77" s="236"/>
      <c r="T77" s="239" t="s">
        <v>20</v>
      </c>
      <c r="U77" s="297">
        <v>46001</v>
      </c>
      <c r="V77" s="297">
        <v>46004</v>
      </c>
      <c r="W77" s="239" t="s">
        <v>20</v>
      </c>
      <c r="X77" s="297">
        <v>46005</v>
      </c>
      <c r="Y77" s="297">
        <v>46006</v>
      </c>
      <c r="Z77" s="24"/>
    </row>
    <row r="78" spans="1:26" ht="14.25" customHeight="1">
      <c r="A78" s="15">
        <v>82</v>
      </c>
      <c r="B78" s="15" t="str">
        <f t="shared" si="1"/>
        <v>28/1</v>
      </c>
      <c r="C78" s="15" t="s">
        <v>269</v>
      </c>
      <c r="D78" s="16">
        <v>54.573</v>
      </c>
      <c r="E78" s="16" t="s">
        <v>20</v>
      </c>
      <c r="F78" s="16" t="s">
        <v>20</v>
      </c>
      <c r="G78" s="16" t="s">
        <v>20</v>
      </c>
      <c r="H78" s="297">
        <v>45963</v>
      </c>
      <c r="I78" s="297">
        <v>45963</v>
      </c>
      <c r="J78" s="16" t="s">
        <v>20</v>
      </c>
      <c r="K78" s="297">
        <v>45994</v>
      </c>
      <c r="L78" s="297">
        <v>45996</v>
      </c>
      <c r="M78" s="24"/>
      <c r="N78" s="24"/>
      <c r="O78" s="24"/>
      <c r="P78" s="24"/>
      <c r="Q78" s="25"/>
      <c r="R78" s="24"/>
      <c r="S78" s="236"/>
      <c r="T78" s="239" t="s">
        <v>20</v>
      </c>
      <c r="U78" s="297">
        <v>46001</v>
      </c>
      <c r="V78" s="297">
        <v>46004</v>
      </c>
      <c r="W78" s="239" t="s">
        <v>20</v>
      </c>
      <c r="X78" s="297">
        <v>46005</v>
      </c>
      <c r="Y78" s="297">
        <v>46006</v>
      </c>
      <c r="Z78" s="24"/>
    </row>
    <row r="79" spans="1:26" ht="14.25" customHeight="1">
      <c r="A79" s="15">
        <v>83</v>
      </c>
      <c r="B79" s="15" t="str">
        <f t="shared" si="1"/>
        <v>28/2</v>
      </c>
      <c r="C79" s="15" t="s">
        <v>271</v>
      </c>
      <c r="D79" s="16">
        <v>41.886000000000003</v>
      </c>
      <c r="E79" s="16" t="s">
        <v>20</v>
      </c>
      <c r="F79" s="16" t="s">
        <v>20</v>
      </c>
      <c r="G79" s="16" t="s">
        <v>20</v>
      </c>
      <c r="H79" s="297">
        <f t="shared" ref="H79:H80" si="27">I79</f>
        <v>45916</v>
      </c>
      <c r="I79" s="297">
        <v>45916</v>
      </c>
      <c r="J79" s="16" t="s">
        <v>20</v>
      </c>
      <c r="K79" s="297">
        <f t="shared" ref="K79:K80" si="28">L79</f>
        <v>45917</v>
      </c>
      <c r="L79" s="297">
        <v>45917</v>
      </c>
      <c r="M79" s="16" t="s">
        <v>20</v>
      </c>
      <c r="N79" s="16" t="s">
        <v>20</v>
      </c>
      <c r="O79" s="16" t="s">
        <v>20</v>
      </c>
      <c r="P79" s="24" t="s">
        <v>624</v>
      </c>
      <c r="Q79" s="25"/>
      <c r="R79" s="24"/>
      <c r="S79" s="236"/>
      <c r="T79" s="239" t="s">
        <v>20</v>
      </c>
      <c r="U79" s="297">
        <v>46001</v>
      </c>
      <c r="V79" s="297">
        <v>46004</v>
      </c>
      <c r="W79" s="239" t="s">
        <v>20</v>
      </c>
      <c r="X79" s="297">
        <v>46005</v>
      </c>
      <c r="Y79" s="297">
        <v>46006</v>
      </c>
      <c r="Z79" s="24"/>
    </row>
    <row r="80" spans="1:26" ht="14.25" customHeight="1">
      <c r="A80" s="15">
        <v>84</v>
      </c>
      <c r="B80" s="15" t="str">
        <f t="shared" si="1"/>
        <v>AP-29</v>
      </c>
      <c r="C80" s="15" t="s">
        <v>273</v>
      </c>
      <c r="D80" s="16">
        <v>353.28399999999999</v>
      </c>
      <c r="E80" s="16" t="s">
        <v>20</v>
      </c>
      <c r="F80" s="16" t="s">
        <v>20</v>
      </c>
      <c r="G80" s="16" t="s">
        <v>20</v>
      </c>
      <c r="H80" s="297">
        <f t="shared" si="27"/>
        <v>45915</v>
      </c>
      <c r="I80" s="297">
        <f>K80-1</f>
        <v>45915</v>
      </c>
      <c r="J80" s="16" t="s">
        <v>20</v>
      </c>
      <c r="K80" s="297">
        <f t="shared" si="28"/>
        <v>45916</v>
      </c>
      <c r="L80" s="297">
        <v>45916</v>
      </c>
      <c r="M80" s="16" t="s">
        <v>20</v>
      </c>
      <c r="N80" s="16" t="s">
        <v>20</v>
      </c>
      <c r="O80" s="16" t="s">
        <v>20</v>
      </c>
      <c r="P80" s="24" t="s">
        <v>624</v>
      </c>
      <c r="Q80" s="25"/>
      <c r="R80" s="24"/>
      <c r="S80" s="236"/>
      <c r="T80" s="239" t="s">
        <v>20</v>
      </c>
      <c r="U80" s="297">
        <v>46001</v>
      </c>
      <c r="V80" s="297">
        <v>46004</v>
      </c>
      <c r="W80" s="239" t="s">
        <v>20</v>
      </c>
      <c r="X80" s="297">
        <v>46005</v>
      </c>
      <c r="Y80" s="297">
        <v>46006</v>
      </c>
      <c r="Z80" s="24"/>
    </row>
    <row r="81" spans="1:26" ht="14.25" customHeight="1">
      <c r="A81" s="15">
        <v>85</v>
      </c>
      <c r="B81" s="15" t="str">
        <f t="shared" si="1"/>
        <v>29A/0</v>
      </c>
      <c r="C81" s="15" t="s">
        <v>279</v>
      </c>
      <c r="D81" s="16">
        <v>1860.55</v>
      </c>
      <c r="E81" s="16" t="s">
        <v>20</v>
      </c>
      <c r="F81" s="16" t="s">
        <v>20</v>
      </c>
      <c r="G81" s="16" t="s">
        <v>20</v>
      </c>
      <c r="H81" s="297">
        <v>45854</v>
      </c>
      <c r="I81" s="297">
        <f>H81+4</f>
        <v>45858</v>
      </c>
      <c r="J81" s="16" t="s">
        <v>20</v>
      </c>
      <c r="K81" s="297">
        <f>L81-3</f>
        <v>45897</v>
      </c>
      <c r="L81" s="297">
        <v>45900</v>
      </c>
      <c r="M81" s="16" t="s">
        <v>20</v>
      </c>
      <c r="N81" s="16" t="s">
        <v>20</v>
      </c>
      <c r="O81" s="16" t="s">
        <v>20</v>
      </c>
      <c r="P81" s="24" t="s">
        <v>624</v>
      </c>
      <c r="Q81" s="25"/>
      <c r="R81" s="24"/>
      <c r="S81" s="236"/>
      <c r="T81" s="239" t="s">
        <v>20</v>
      </c>
      <c r="U81" s="297">
        <v>45989</v>
      </c>
      <c r="V81" s="297">
        <v>45992</v>
      </c>
      <c r="W81" s="239" t="s">
        <v>20</v>
      </c>
      <c r="X81" s="297">
        <v>45989</v>
      </c>
      <c r="Y81" s="297">
        <v>45992</v>
      </c>
      <c r="Z81" s="24"/>
    </row>
    <row r="82" spans="1:26" ht="14.25" customHeight="1">
      <c r="A82" s="15">
        <v>86</v>
      </c>
      <c r="B82" s="15" t="str">
        <f t="shared" si="1"/>
        <v>AP-30</v>
      </c>
      <c r="C82" s="15" t="s">
        <v>287</v>
      </c>
      <c r="D82" s="16">
        <v>2332.92</v>
      </c>
      <c r="E82" s="16" t="s">
        <v>20</v>
      </c>
      <c r="F82" s="16" t="s">
        <v>20</v>
      </c>
      <c r="G82" s="16" t="s">
        <v>20</v>
      </c>
      <c r="H82" s="297">
        <v>45846</v>
      </c>
      <c r="I82" s="297">
        <f>H82+5</f>
        <v>45851</v>
      </c>
      <c r="J82" s="16" t="s">
        <v>20</v>
      </c>
      <c r="K82" s="297">
        <v>45854</v>
      </c>
      <c r="L82" s="297">
        <v>45860</v>
      </c>
      <c r="M82" s="16" t="s">
        <v>20</v>
      </c>
      <c r="N82" s="16" t="s">
        <v>20</v>
      </c>
      <c r="O82" s="24"/>
      <c r="P82" s="24" t="s">
        <v>627</v>
      </c>
      <c r="Q82" s="25"/>
      <c r="R82" s="24"/>
      <c r="S82" s="236"/>
      <c r="T82" s="239" t="s">
        <v>20</v>
      </c>
      <c r="U82" s="297">
        <v>45989</v>
      </c>
      <c r="V82" s="297">
        <v>45992</v>
      </c>
      <c r="W82" s="239" t="s">
        <v>20</v>
      </c>
      <c r="X82" s="297">
        <v>45989</v>
      </c>
      <c r="Y82" s="297">
        <v>45992</v>
      </c>
      <c r="Z82" s="24"/>
    </row>
    <row r="83" spans="1:26" ht="14.25" customHeight="1">
      <c r="A83" s="15">
        <v>87</v>
      </c>
      <c r="B83" s="15" t="str">
        <f t="shared" si="1"/>
        <v>AP-31</v>
      </c>
      <c r="C83" s="15" t="s">
        <v>290</v>
      </c>
      <c r="D83" s="16">
        <v>743.35</v>
      </c>
      <c r="E83" s="16" t="s">
        <v>20</v>
      </c>
      <c r="F83" s="16"/>
      <c r="G83" s="16"/>
      <c r="H83" s="297"/>
      <c r="I83" s="297"/>
      <c r="J83" s="16"/>
      <c r="K83" s="297"/>
      <c r="L83" s="297"/>
      <c r="M83" s="24"/>
      <c r="N83" s="24"/>
      <c r="O83" s="24"/>
      <c r="P83" s="24"/>
      <c r="Q83" s="25"/>
      <c r="R83" s="24"/>
      <c r="S83" s="236"/>
      <c r="T83" s="15"/>
      <c r="U83" s="297"/>
      <c r="V83" s="297"/>
      <c r="W83" s="24"/>
      <c r="X83" s="297"/>
      <c r="Y83" s="297"/>
      <c r="Z83" s="24"/>
    </row>
    <row r="84" spans="1:26" ht="14.25" customHeight="1">
      <c r="A84" s="15">
        <v>89</v>
      </c>
      <c r="B84" s="15" t="str">
        <f t="shared" si="1"/>
        <v>AP-32</v>
      </c>
      <c r="C84" s="15" t="s">
        <v>294</v>
      </c>
      <c r="D84" s="16">
        <v>909.22</v>
      </c>
      <c r="E84" s="16"/>
      <c r="F84" s="15"/>
      <c r="G84" s="15"/>
      <c r="H84" s="297"/>
      <c r="I84" s="297"/>
      <c r="J84" s="16"/>
      <c r="K84" s="297"/>
      <c r="L84" s="297"/>
      <c r="M84" s="24"/>
      <c r="N84" s="24"/>
      <c r="O84" s="24"/>
      <c r="P84" s="24"/>
      <c r="Q84" s="25"/>
      <c r="R84" s="24"/>
      <c r="S84" s="236"/>
      <c r="T84" s="15"/>
      <c r="U84" s="297"/>
      <c r="V84" s="297"/>
      <c r="W84" s="24"/>
      <c r="X84" s="297"/>
      <c r="Y84" s="297"/>
      <c r="Z84" s="24"/>
    </row>
    <row r="85" spans="1:26" ht="14.25" customHeight="1">
      <c r="A85" s="15">
        <v>92</v>
      </c>
      <c r="B85" s="15" t="str">
        <f t="shared" si="1"/>
        <v>33/0</v>
      </c>
      <c r="C85" s="15" t="s">
        <v>295</v>
      </c>
      <c r="D85" s="16">
        <v>209</v>
      </c>
      <c r="E85" s="16"/>
      <c r="F85" s="16"/>
      <c r="G85" s="16"/>
      <c r="H85" s="297"/>
      <c r="I85" s="297"/>
      <c r="J85" s="16"/>
      <c r="K85" s="297"/>
      <c r="L85" s="297"/>
      <c r="M85" s="15"/>
      <c r="N85" s="15"/>
      <c r="O85" s="15"/>
      <c r="P85" s="187"/>
      <c r="Q85" s="25"/>
      <c r="R85" s="24"/>
      <c r="S85" s="236"/>
      <c r="T85" s="15"/>
      <c r="U85" s="297"/>
      <c r="V85" s="297"/>
      <c r="W85" s="15"/>
      <c r="X85" s="297"/>
      <c r="Y85" s="297"/>
      <c r="Z85" s="18"/>
    </row>
    <row r="86" spans="1:26" ht="14.25" customHeight="1">
      <c r="A86" s="15">
        <v>93</v>
      </c>
      <c r="B86" s="15"/>
      <c r="C86" s="15"/>
      <c r="D86" s="16"/>
      <c r="E86" s="16"/>
      <c r="F86" s="16"/>
      <c r="G86" s="16"/>
      <c r="H86" s="297"/>
      <c r="I86" s="297"/>
      <c r="J86" s="16"/>
      <c r="K86" s="297"/>
      <c r="L86" s="297"/>
      <c r="M86" s="24"/>
      <c r="N86" s="135"/>
      <c r="O86" s="15"/>
      <c r="P86" s="187"/>
      <c r="Q86" s="25"/>
      <c r="R86" s="24"/>
      <c r="S86" s="236"/>
      <c r="T86" s="15"/>
      <c r="U86" s="297"/>
      <c r="V86" s="297"/>
      <c r="W86" s="15"/>
      <c r="X86" s="297"/>
      <c r="Y86" s="297"/>
      <c r="Z86" s="18"/>
    </row>
    <row r="87" spans="1:26" ht="14.25" customHeight="1">
      <c r="A87" s="15">
        <v>94</v>
      </c>
      <c r="B87" s="15"/>
      <c r="C87" s="15"/>
      <c r="D87" s="16"/>
      <c r="E87" s="16"/>
      <c r="F87" s="15"/>
      <c r="G87" s="15"/>
      <c r="H87" s="297"/>
      <c r="I87" s="297"/>
      <c r="J87" s="15"/>
      <c r="K87" s="297"/>
      <c r="L87" s="297"/>
      <c r="M87" s="15"/>
      <c r="N87" s="15"/>
      <c r="O87" s="15"/>
      <c r="P87" s="104"/>
      <c r="Q87" s="35"/>
      <c r="R87" s="35"/>
      <c r="S87" s="237"/>
      <c r="T87" s="15"/>
      <c r="U87" s="297"/>
      <c r="V87" s="297"/>
      <c r="W87" s="15"/>
      <c r="X87" s="297"/>
      <c r="Y87" s="297"/>
      <c r="Z87" s="18"/>
    </row>
    <row r="88" spans="1:26" ht="14.25" customHeight="1">
      <c r="A88" s="15">
        <v>95</v>
      </c>
      <c r="B88" s="15"/>
      <c r="C88" s="15"/>
      <c r="D88" s="16"/>
      <c r="E88" s="16"/>
      <c r="F88" s="16"/>
      <c r="G88" s="16"/>
      <c r="H88" s="297"/>
      <c r="I88" s="297"/>
      <c r="J88" s="15"/>
      <c r="K88" s="297"/>
      <c r="L88" s="297"/>
      <c r="M88" s="24"/>
      <c r="N88" s="135"/>
      <c r="O88" s="15"/>
      <c r="P88" s="187"/>
      <c r="Q88" s="25"/>
      <c r="R88" s="24"/>
      <c r="S88" s="236"/>
      <c r="T88" s="15"/>
      <c r="U88" s="297"/>
      <c r="V88" s="297"/>
      <c r="W88" s="15"/>
      <c r="X88" s="297"/>
      <c r="Y88" s="297"/>
      <c r="Z88" s="18"/>
    </row>
    <row r="89" spans="1:26" ht="14.25" customHeight="1">
      <c r="A89" s="15">
        <v>96</v>
      </c>
      <c r="B89" s="15"/>
      <c r="C89" s="15"/>
      <c r="D89" s="16"/>
      <c r="E89" s="16"/>
      <c r="F89" s="16"/>
      <c r="G89" s="16"/>
      <c r="H89" s="297"/>
      <c r="I89" s="297"/>
      <c r="J89" s="15"/>
      <c r="K89" s="297"/>
      <c r="L89" s="297"/>
      <c r="M89" s="24"/>
      <c r="N89" s="135"/>
      <c r="O89" s="15"/>
      <c r="P89" s="187"/>
      <c r="Q89" s="25"/>
      <c r="R89" s="24"/>
      <c r="S89" s="236"/>
      <c r="T89" s="15"/>
      <c r="U89" s="297"/>
      <c r="V89" s="297"/>
      <c r="W89" s="15"/>
      <c r="X89" s="297"/>
      <c r="Y89" s="297"/>
      <c r="Z89" s="18"/>
    </row>
    <row r="90" spans="1:26" ht="14.25" customHeight="1">
      <c r="A90" s="15">
        <v>97</v>
      </c>
      <c r="B90" s="15"/>
      <c r="C90" s="15"/>
      <c r="D90" s="16"/>
      <c r="E90" s="16"/>
      <c r="F90" s="16"/>
      <c r="G90" s="16"/>
      <c r="H90" s="297"/>
      <c r="I90" s="297"/>
      <c r="J90" s="15"/>
      <c r="K90" s="297"/>
      <c r="L90" s="297"/>
      <c r="M90" s="24"/>
      <c r="N90" s="135"/>
      <c r="O90" s="15"/>
      <c r="P90" s="187"/>
      <c r="Q90" s="25"/>
      <c r="R90" s="24"/>
      <c r="S90" s="236"/>
      <c r="T90" s="15"/>
      <c r="U90" s="297"/>
      <c r="V90" s="297"/>
      <c r="W90" s="15"/>
      <c r="X90" s="297"/>
      <c r="Y90" s="297"/>
      <c r="Z90" s="18"/>
    </row>
    <row r="91" spans="1:26" ht="14.25" customHeight="1">
      <c r="A91" s="15">
        <v>98</v>
      </c>
      <c r="B91" s="15"/>
      <c r="C91" s="15"/>
      <c r="D91" s="16"/>
      <c r="E91" s="16"/>
      <c r="F91" s="16"/>
      <c r="G91" s="16"/>
      <c r="H91" s="297"/>
      <c r="I91" s="297"/>
      <c r="J91" s="15"/>
      <c r="K91" s="297"/>
      <c r="L91" s="297"/>
      <c r="M91" s="24"/>
      <c r="N91" s="15"/>
      <c r="O91" s="15"/>
      <c r="P91" s="187"/>
      <c r="Q91" s="25"/>
      <c r="R91" s="24"/>
      <c r="S91" s="236"/>
      <c r="T91" s="15"/>
      <c r="U91" s="297"/>
      <c r="V91" s="297"/>
      <c r="W91" s="15"/>
      <c r="X91" s="297"/>
      <c r="Y91" s="297"/>
      <c r="Z91" s="18"/>
    </row>
    <row r="92" spans="1:26" ht="14.25" customHeight="1">
      <c r="A92" s="15">
        <v>99</v>
      </c>
      <c r="B92" s="15"/>
      <c r="C92" s="15"/>
      <c r="D92" s="16"/>
      <c r="E92" s="16"/>
      <c r="F92" s="16"/>
      <c r="G92" s="16"/>
      <c r="H92" s="297"/>
      <c r="I92" s="297"/>
      <c r="J92" s="15"/>
      <c r="K92" s="297"/>
      <c r="L92" s="297"/>
      <c r="M92" s="24"/>
      <c r="N92" s="135"/>
      <c r="O92" s="15"/>
      <c r="P92" s="24"/>
      <c r="Q92" s="25"/>
      <c r="R92" s="24"/>
      <c r="S92" s="236"/>
      <c r="T92" s="15"/>
      <c r="U92" s="297"/>
      <c r="V92" s="297"/>
      <c r="W92" s="15"/>
      <c r="X92" s="297"/>
      <c r="Y92" s="297"/>
      <c r="Z92" s="18"/>
    </row>
    <row r="93" spans="1:26" ht="14.25" customHeight="1">
      <c r="A93" s="15">
        <v>100</v>
      </c>
      <c r="B93" s="15"/>
      <c r="C93" s="15"/>
      <c r="D93" s="16"/>
      <c r="E93" s="16"/>
      <c r="F93" s="16"/>
      <c r="G93" s="16"/>
      <c r="H93" s="297"/>
      <c r="I93" s="297"/>
      <c r="J93" s="15"/>
      <c r="K93" s="297"/>
      <c r="L93" s="297"/>
      <c r="M93" s="24"/>
      <c r="N93" s="135"/>
      <c r="O93" s="24"/>
      <c r="P93" s="24"/>
      <c r="Q93" s="25"/>
      <c r="R93" s="24"/>
      <c r="S93" s="236"/>
      <c r="T93" s="24"/>
      <c r="U93" s="297"/>
      <c r="V93" s="297"/>
      <c r="W93" s="24"/>
      <c r="X93" s="297"/>
      <c r="Y93" s="297"/>
      <c r="Z93" s="24"/>
    </row>
    <row r="94" spans="1:26" ht="14.25" customHeight="1">
      <c r="A94" s="15">
        <v>101</v>
      </c>
      <c r="B94" s="15"/>
      <c r="C94" s="15"/>
      <c r="D94" s="16"/>
      <c r="E94" s="16"/>
      <c r="F94" s="16"/>
      <c r="G94" s="16"/>
      <c r="H94" s="297"/>
      <c r="I94" s="297"/>
      <c r="J94" s="15"/>
      <c r="K94" s="297"/>
      <c r="L94" s="297"/>
      <c r="M94" s="24"/>
      <c r="N94" s="24"/>
      <c r="O94" s="24"/>
      <c r="P94" s="187"/>
      <c r="Q94" s="25"/>
      <c r="R94" s="24"/>
      <c r="S94" s="236"/>
      <c r="T94" s="24"/>
      <c r="U94" s="297"/>
      <c r="V94" s="297"/>
      <c r="W94" s="24"/>
      <c r="X94" s="297"/>
      <c r="Y94" s="297"/>
      <c r="Z94" s="24"/>
    </row>
    <row r="95" spans="1:26" ht="14.25" customHeight="1">
      <c r="A95" s="15">
        <v>102</v>
      </c>
      <c r="B95" s="15"/>
      <c r="C95" s="15"/>
      <c r="D95" s="16"/>
      <c r="E95" s="16"/>
      <c r="F95" s="16"/>
      <c r="G95" s="16"/>
      <c r="H95" s="297"/>
      <c r="I95" s="297"/>
      <c r="J95" s="25"/>
      <c r="K95" s="297"/>
      <c r="L95" s="297"/>
      <c r="M95" s="24"/>
      <c r="N95" s="24"/>
      <c r="O95" s="24"/>
      <c r="P95" s="187"/>
      <c r="Q95" s="25"/>
      <c r="R95" s="24"/>
      <c r="S95" s="236"/>
      <c r="T95" s="24"/>
      <c r="U95" s="297"/>
      <c r="V95" s="297"/>
      <c r="W95" s="24"/>
      <c r="X95" s="297"/>
      <c r="Y95" s="297"/>
      <c r="Z95" s="24"/>
    </row>
    <row r="96" spans="1:26" ht="14.25" customHeight="1">
      <c r="A96" s="15">
        <v>103</v>
      </c>
      <c r="B96" s="15"/>
      <c r="C96" s="15"/>
      <c r="D96" s="16"/>
      <c r="E96" s="16"/>
      <c r="F96" s="16"/>
      <c r="G96" s="16"/>
      <c r="H96" s="297"/>
      <c r="I96" s="297"/>
      <c r="J96" s="24"/>
      <c r="K96" s="297"/>
      <c r="L96" s="297"/>
      <c r="M96" s="24"/>
      <c r="N96" s="24"/>
      <c r="O96" s="24"/>
      <c r="P96" s="187"/>
      <c r="Q96" s="25"/>
      <c r="R96" s="24"/>
      <c r="S96" s="236"/>
      <c r="T96" s="24"/>
      <c r="U96" s="297"/>
      <c r="V96" s="297"/>
      <c r="W96" s="24"/>
      <c r="X96" s="297"/>
      <c r="Y96" s="297"/>
      <c r="Z96" s="24"/>
    </row>
    <row r="97" spans="1:26" ht="14.25" customHeight="1">
      <c r="A97" s="15">
        <v>104</v>
      </c>
      <c r="B97" s="15"/>
      <c r="C97" s="15"/>
      <c r="D97" s="16"/>
      <c r="E97" s="16"/>
      <c r="F97" s="16"/>
      <c r="G97" s="25"/>
      <c r="H97" s="297"/>
      <c r="I97" s="297"/>
      <c r="J97" s="24"/>
      <c r="K97" s="297"/>
      <c r="L97" s="297"/>
      <c r="M97" s="24"/>
      <c r="N97" s="24"/>
      <c r="O97" s="24"/>
      <c r="P97" s="24"/>
      <c r="Q97" s="25"/>
      <c r="R97" s="24"/>
      <c r="S97" s="236"/>
      <c r="T97" s="24"/>
      <c r="U97" s="297"/>
      <c r="V97" s="297"/>
      <c r="W97" s="24"/>
      <c r="X97" s="297"/>
      <c r="Y97" s="297"/>
      <c r="Z97" s="24"/>
    </row>
    <row r="98" spans="1:26" ht="14.25" customHeight="1">
      <c r="A98" s="15">
        <v>105</v>
      </c>
      <c r="B98" s="15"/>
      <c r="C98" s="15"/>
      <c r="D98" s="16"/>
      <c r="E98" s="16"/>
      <c r="F98" s="16"/>
      <c r="G98" s="16"/>
      <c r="H98" s="297"/>
      <c r="I98" s="297"/>
      <c r="J98" s="16"/>
      <c r="K98" s="297"/>
      <c r="L98" s="297"/>
      <c r="M98" s="24"/>
      <c r="N98" s="24"/>
      <c r="O98" s="24"/>
      <c r="P98" s="24"/>
      <c r="Q98" s="25"/>
      <c r="R98" s="24"/>
      <c r="S98" s="236"/>
      <c r="T98" s="24"/>
      <c r="U98" s="297"/>
      <c r="V98" s="297"/>
      <c r="W98" s="24"/>
      <c r="X98" s="297"/>
      <c r="Y98" s="297"/>
      <c r="Z98" s="24"/>
    </row>
    <row r="99" spans="1:26" ht="14.25" customHeight="1">
      <c r="A99" s="15">
        <v>106</v>
      </c>
      <c r="B99" s="15"/>
      <c r="C99" s="15"/>
      <c r="D99" s="16"/>
      <c r="E99" s="16"/>
      <c r="F99" s="16"/>
      <c r="G99" s="16"/>
      <c r="H99" s="297"/>
      <c r="I99" s="297"/>
      <c r="J99" s="16"/>
      <c r="K99" s="297"/>
      <c r="L99" s="297"/>
      <c r="M99" s="25"/>
      <c r="N99" s="135"/>
      <c r="O99" s="135"/>
      <c r="P99" s="24"/>
      <c r="Q99" s="25"/>
      <c r="R99" s="24"/>
      <c r="S99" s="236"/>
      <c r="T99" s="15"/>
      <c r="U99" s="297"/>
      <c r="V99" s="297"/>
      <c r="W99" s="24"/>
      <c r="X99" s="297"/>
      <c r="Y99" s="297"/>
      <c r="Z99" s="24"/>
    </row>
    <row r="100" spans="1:26" ht="14.25" customHeight="1">
      <c r="A100" s="15">
        <v>107</v>
      </c>
      <c r="B100" s="15"/>
      <c r="C100" s="15"/>
      <c r="D100" s="16"/>
      <c r="E100" s="16"/>
      <c r="F100" s="16"/>
      <c r="G100" s="16"/>
      <c r="H100" s="297"/>
      <c r="I100" s="297"/>
      <c r="J100" s="16"/>
      <c r="K100" s="297"/>
      <c r="L100" s="297"/>
      <c r="M100" s="25"/>
      <c r="N100" s="15"/>
      <c r="O100" s="15"/>
      <c r="P100" s="24"/>
      <c r="Q100" s="25"/>
      <c r="R100" s="24"/>
      <c r="S100" s="236"/>
      <c r="T100" s="15"/>
      <c r="U100" s="297"/>
      <c r="V100" s="297"/>
      <c r="W100" s="24"/>
      <c r="X100" s="297"/>
      <c r="Y100" s="297"/>
      <c r="Z100" s="24"/>
    </row>
    <row r="101" spans="1:26" ht="14.25" customHeight="1">
      <c r="A101" s="15">
        <v>108</v>
      </c>
      <c r="B101" s="15"/>
      <c r="C101" s="15"/>
      <c r="D101" s="16"/>
      <c r="E101" s="16"/>
      <c r="F101" s="15"/>
      <c r="G101" s="15"/>
      <c r="H101" s="297"/>
      <c r="I101" s="297"/>
      <c r="J101" s="15"/>
      <c r="K101" s="297"/>
      <c r="L101" s="297"/>
      <c r="M101" s="15"/>
      <c r="N101" s="15"/>
      <c r="O101" s="24"/>
      <c r="P101" s="104"/>
      <c r="Q101" s="35"/>
      <c r="R101" s="35"/>
      <c r="S101" s="237"/>
      <c r="T101" s="15"/>
      <c r="U101" s="297"/>
      <c r="V101" s="297"/>
      <c r="W101" s="24"/>
      <c r="X101" s="297"/>
      <c r="Y101" s="297"/>
      <c r="Z101" s="24"/>
    </row>
    <row r="102" spans="1:26" ht="14.25" customHeight="1">
      <c r="A102" s="15">
        <v>109</v>
      </c>
      <c r="B102" s="15"/>
      <c r="C102" s="15"/>
      <c r="D102" s="16"/>
      <c r="E102" s="16"/>
      <c r="F102" s="15"/>
      <c r="G102" s="15"/>
      <c r="H102" s="297"/>
      <c r="I102" s="297"/>
      <c r="J102" s="15"/>
      <c r="K102" s="297"/>
      <c r="L102" s="297"/>
      <c r="M102" s="15"/>
      <c r="N102" s="15"/>
      <c r="O102" s="15"/>
      <c r="P102" s="104"/>
      <c r="Q102" s="35"/>
      <c r="R102" s="35"/>
      <c r="S102" s="237"/>
      <c r="T102" s="15"/>
      <c r="U102" s="297"/>
      <c r="V102" s="297"/>
      <c r="W102" s="15"/>
      <c r="X102" s="297"/>
      <c r="Y102" s="297"/>
      <c r="Z102" s="18"/>
    </row>
    <row r="103" spans="1:26" ht="14.25" customHeight="1">
      <c r="A103" s="15">
        <v>110</v>
      </c>
      <c r="B103" s="15"/>
      <c r="C103" s="15"/>
      <c r="D103" s="16"/>
      <c r="E103" s="16"/>
      <c r="F103" s="15"/>
      <c r="G103" s="15"/>
      <c r="H103" s="297"/>
      <c r="I103" s="297"/>
      <c r="J103" s="15"/>
      <c r="K103" s="297"/>
      <c r="L103" s="297"/>
      <c r="M103" s="15"/>
      <c r="N103" s="15"/>
      <c r="O103" s="15"/>
      <c r="P103" s="19"/>
      <c r="Q103" s="15"/>
      <c r="R103" s="15"/>
      <c r="S103" s="240"/>
      <c r="T103" s="15"/>
      <c r="U103" s="297"/>
      <c r="V103" s="297"/>
      <c r="W103" s="15"/>
      <c r="X103" s="297"/>
      <c r="Y103" s="297"/>
      <c r="Z103" s="18"/>
    </row>
    <row r="104" spans="1:26" ht="14.25" customHeight="1">
      <c r="A104" s="15">
        <v>111</v>
      </c>
      <c r="B104" s="15"/>
      <c r="C104" s="15"/>
      <c r="D104" s="16"/>
      <c r="E104" s="16"/>
      <c r="F104" s="15"/>
      <c r="G104" s="15"/>
      <c r="H104" s="297"/>
      <c r="I104" s="297"/>
      <c r="J104" s="15"/>
      <c r="K104" s="297"/>
      <c r="L104" s="297"/>
      <c r="M104" s="15"/>
      <c r="N104" s="15"/>
      <c r="O104" s="15"/>
      <c r="P104" s="19"/>
      <c r="Q104" s="15"/>
      <c r="R104" s="15"/>
      <c r="S104" s="240"/>
      <c r="T104" s="15"/>
      <c r="U104" s="297"/>
      <c r="V104" s="297"/>
      <c r="W104" s="15"/>
      <c r="X104" s="297"/>
      <c r="Y104" s="297"/>
      <c r="Z104" s="18"/>
    </row>
    <row r="105" spans="1:26" ht="14.25" customHeight="1">
      <c r="A105" s="15">
        <v>112</v>
      </c>
      <c r="B105" s="15"/>
      <c r="C105" s="15"/>
      <c r="D105" s="16"/>
      <c r="E105" s="16"/>
      <c r="F105" s="15"/>
      <c r="G105" s="15"/>
      <c r="H105" s="297"/>
      <c r="I105" s="297"/>
      <c r="J105" s="15"/>
      <c r="K105" s="297"/>
      <c r="L105" s="297"/>
      <c r="M105" s="15"/>
      <c r="N105" s="15"/>
      <c r="O105" s="15"/>
      <c r="P105" s="19"/>
      <c r="Q105" s="15"/>
      <c r="R105" s="15"/>
      <c r="S105" s="240"/>
      <c r="T105" s="15"/>
      <c r="U105" s="297"/>
      <c r="V105" s="297"/>
      <c r="W105" s="15"/>
      <c r="X105" s="297"/>
      <c r="Y105" s="297"/>
      <c r="Z105" s="18"/>
    </row>
    <row r="106" spans="1:26" ht="14.25" customHeight="1">
      <c r="A106" s="15">
        <v>113</v>
      </c>
      <c r="B106" s="15"/>
      <c r="C106" s="15"/>
      <c r="D106" s="16"/>
      <c r="E106" s="16"/>
      <c r="F106" s="15"/>
      <c r="G106" s="15"/>
      <c r="H106" s="297"/>
      <c r="I106" s="297"/>
      <c r="J106" s="15"/>
      <c r="K106" s="297"/>
      <c r="L106" s="297"/>
      <c r="M106" s="15"/>
      <c r="N106" s="15"/>
      <c r="O106" s="15"/>
      <c r="P106" s="19"/>
      <c r="Q106" s="15"/>
      <c r="R106" s="15"/>
      <c r="S106" s="240"/>
      <c r="T106" s="15"/>
      <c r="U106" s="297"/>
      <c r="V106" s="297"/>
      <c r="W106" s="15"/>
      <c r="X106" s="297"/>
      <c r="Y106" s="297"/>
      <c r="Z106" s="18"/>
    </row>
    <row r="107" spans="1:26" ht="14.25" customHeight="1">
      <c r="A107" s="15">
        <v>114</v>
      </c>
      <c r="B107" s="15"/>
      <c r="C107" s="15"/>
      <c r="D107" s="16"/>
      <c r="E107" s="16"/>
      <c r="F107" s="15"/>
      <c r="G107" s="15"/>
      <c r="H107" s="297"/>
      <c r="I107" s="297"/>
      <c r="J107" s="15"/>
      <c r="K107" s="297"/>
      <c r="L107" s="297"/>
      <c r="M107" s="15"/>
      <c r="N107" s="15"/>
      <c r="O107" s="15"/>
      <c r="P107" s="19"/>
      <c r="Q107" s="15"/>
      <c r="R107" s="15"/>
      <c r="S107" s="240"/>
      <c r="T107" s="15"/>
      <c r="U107" s="297"/>
      <c r="V107" s="297"/>
      <c r="W107" s="15"/>
      <c r="X107" s="297"/>
      <c r="Y107" s="297"/>
      <c r="Z107" s="18"/>
    </row>
    <row r="108" spans="1:26" ht="14.25" customHeight="1">
      <c r="A108" s="15">
        <v>115</v>
      </c>
      <c r="B108" s="15"/>
      <c r="C108" s="15"/>
      <c r="D108" s="16"/>
      <c r="E108" s="16"/>
      <c r="F108" s="16"/>
      <c r="G108" s="15"/>
      <c r="H108" s="297"/>
      <c r="I108" s="297"/>
      <c r="J108" s="15"/>
      <c r="K108" s="297"/>
      <c r="L108" s="297"/>
      <c r="M108" s="24"/>
      <c r="N108" s="135"/>
      <c r="O108" s="15"/>
      <c r="P108" s="187"/>
      <c r="Q108" s="15"/>
      <c r="R108" s="24"/>
      <c r="S108" s="236"/>
      <c r="T108" s="15"/>
      <c r="U108" s="297"/>
      <c r="V108" s="297"/>
      <c r="W108" s="15"/>
      <c r="X108" s="297"/>
      <c r="Y108" s="297"/>
      <c r="Z108" s="18"/>
    </row>
    <row r="109" spans="1:26" ht="14.25" customHeight="1">
      <c r="A109" s="15">
        <v>116</v>
      </c>
      <c r="B109" s="15"/>
      <c r="C109" s="15"/>
      <c r="D109" s="16"/>
      <c r="E109" s="16"/>
      <c r="F109" s="16"/>
      <c r="G109" s="16"/>
      <c r="H109" s="297"/>
      <c r="I109" s="297"/>
      <c r="J109" s="15"/>
      <c r="K109" s="297"/>
      <c r="L109" s="297"/>
      <c r="M109" s="24"/>
      <c r="N109" s="135"/>
      <c r="O109" s="15"/>
      <c r="P109" s="187"/>
      <c r="Q109" s="15"/>
      <c r="R109" s="24"/>
      <c r="S109" s="236"/>
      <c r="T109" s="15"/>
      <c r="U109" s="297"/>
      <c r="V109" s="297"/>
      <c r="W109" s="15"/>
      <c r="X109" s="297"/>
      <c r="Y109" s="297"/>
      <c r="Z109" s="18"/>
    </row>
    <row r="110" spans="1:26" ht="14.25" customHeight="1">
      <c r="A110" s="15">
        <v>117</v>
      </c>
      <c r="B110" s="15"/>
      <c r="C110" s="15"/>
      <c r="D110" s="16"/>
      <c r="E110" s="16"/>
      <c r="F110" s="16"/>
      <c r="G110" s="16"/>
      <c r="H110" s="297"/>
      <c r="I110" s="297"/>
      <c r="J110" s="15"/>
      <c r="K110" s="297"/>
      <c r="L110" s="297"/>
      <c r="M110" s="24"/>
      <c r="N110" s="135"/>
      <c r="O110" s="15"/>
      <c r="P110" s="187"/>
      <c r="Q110" s="15"/>
      <c r="R110" s="24"/>
      <c r="S110" s="236"/>
      <c r="T110" s="15"/>
      <c r="U110" s="297"/>
      <c r="V110" s="297"/>
      <c r="W110" s="15"/>
      <c r="X110" s="297"/>
      <c r="Y110" s="297"/>
      <c r="Z110" s="18"/>
    </row>
    <row r="111" spans="1:26" ht="14.25" customHeight="1">
      <c r="A111" s="15">
        <v>118</v>
      </c>
      <c r="B111" s="15"/>
      <c r="C111" s="15"/>
      <c r="D111" s="16"/>
      <c r="E111" s="16"/>
      <c r="F111" s="16"/>
      <c r="G111" s="16"/>
      <c r="H111" s="297"/>
      <c r="I111" s="297"/>
      <c r="J111" s="15"/>
      <c r="K111" s="297"/>
      <c r="L111" s="297"/>
      <c r="M111" s="24"/>
      <c r="N111" s="135"/>
      <c r="O111" s="15"/>
      <c r="P111" s="187"/>
      <c r="Q111" s="15"/>
      <c r="R111" s="24"/>
      <c r="S111" s="236"/>
      <c r="T111" s="15"/>
      <c r="U111" s="297"/>
      <c r="V111" s="297"/>
      <c r="W111" s="15"/>
      <c r="X111" s="297"/>
      <c r="Y111" s="297"/>
      <c r="Z111" s="18"/>
    </row>
    <row r="112" spans="1:26" ht="14.25" customHeight="1">
      <c r="A112" s="15">
        <v>119</v>
      </c>
      <c r="B112" s="15"/>
      <c r="C112" s="15"/>
      <c r="D112" s="16"/>
      <c r="E112" s="16"/>
      <c r="F112" s="16"/>
      <c r="G112" s="16"/>
      <c r="H112" s="297"/>
      <c r="I112" s="297"/>
      <c r="J112" s="15"/>
      <c r="K112" s="297"/>
      <c r="L112" s="297"/>
      <c r="M112" s="24"/>
      <c r="N112" s="135"/>
      <c r="O112" s="15"/>
      <c r="P112" s="24"/>
      <c r="Q112" s="15"/>
      <c r="R112" s="24"/>
      <c r="S112" s="236"/>
      <c r="T112" s="15"/>
      <c r="U112" s="297"/>
      <c r="V112" s="297"/>
      <c r="W112" s="15"/>
      <c r="X112" s="297"/>
      <c r="Y112" s="297"/>
      <c r="Z112" s="18"/>
    </row>
    <row r="113" spans="1:26" ht="14.25" customHeight="1">
      <c r="A113" s="15">
        <v>120</v>
      </c>
      <c r="B113" s="15"/>
      <c r="C113" s="15"/>
      <c r="D113" s="16"/>
      <c r="E113" s="16"/>
      <c r="F113" s="16"/>
      <c r="G113" s="16"/>
      <c r="H113" s="297"/>
      <c r="I113" s="297"/>
      <c r="J113" s="15"/>
      <c r="K113" s="297"/>
      <c r="L113" s="297"/>
      <c r="M113" s="24"/>
      <c r="N113" s="135"/>
      <c r="O113" s="15"/>
      <c r="P113" s="24"/>
      <c r="Q113" s="15"/>
      <c r="R113" s="24"/>
      <c r="S113" s="236"/>
      <c r="T113" s="15"/>
      <c r="U113" s="297"/>
      <c r="V113" s="297"/>
      <c r="W113" s="15"/>
      <c r="X113" s="297"/>
      <c r="Y113" s="297"/>
      <c r="Z113" s="18"/>
    </row>
    <row r="114" spans="1:26" ht="14.25" customHeight="1">
      <c r="A114" s="15">
        <v>121</v>
      </c>
      <c r="B114" s="15"/>
      <c r="C114" s="15"/>
      <c r="D114" s="16"/>
      <c r="E114" s="16"/>
      <c r="F114" s="16"/>
      <c r="G114" s="16"/>
      <c r="H114" s="297"/>
      <c r="I114" s="297"/>
      <c r="J114" s="15"/>
      <c r="K114" s="297"/>
      <c r="L114" s="297"/>
      <c r="M114" s="24"/>
      <c r="N114" s="15"/>
      <c r="O114" s="15"/>
      <c r="P114" s="24"/>
      <c r="Q114" s="15"/>
      <c r="R114" s="24"/>
      <c r="S114" s="236"/>
      <c r="T114" s="15"/>
      <c r="U114" s="297"/>
      <c r="V114" s="297"/>
      <c r="W114" s="15"/>
      <c r="X114" s="297"/>
      <c r="Y114" s="297"/>
      <c r="Z114" s="18"/>
    </row>
    <row r="115" spans="1:26" ht="14.25" customHeight="1">
      <c r="A115" s="15">
        <v>122</v>
      </c>
      <c r="B115" s="15"/>
      <c r="C115" s="15"/>
      <c r="D115" s="16"/>
      <c r="E115" s="16"/>
      <c r="F115" s="16"/>
      <c r="G115" s="16"/>
      <c r="H115" s="297"/>
      <c r="I115" s="297"/>
      <c r="J115" s="16"/>
      <c r="K115" s="297"/>
      <c r="L115" s="297"/>
      <c r="M115" s="24"/>
      <c r="N115" s="135"/>
      <c r="O115" s="15"/>
      <c r="P115" s="24"/>
      <c r="Q115" s="15"/>
      <c r="R115" s="24"/>
      <c r="S115" s="236"/>
      <c r="T115" s="15"/>
      <c r="U115" s="297"/>
      <c r="V115" s="297"/>
      <c r="W115" s="15"/>
      <c r="X115" s="297"/>
      <c r="Y115" s="297"/>
      <c r="Z115" s="18"/>
    </row>
    <row r="116" spans="1:26" ht="14.25" customHeight="1">
      <c r="A116" s="15">
        <v>123</v>
      </c>
      <c r="B116" s="15"/>
      <c r="C116" s="15"/>
      <c r="D116" s="16"/>
      <c r="E116" s="16"/>
      <c r="F116" s="16"/>
      <c r="G116" s="16"/>
      <c r="H116" s="297"/>
      <c r="I116" s="297"/>
      <c r="J116" s="16"/>
      <c r="K116" s="297"/>
      <c r="L116" s="297"/>
      <c r="M116" s="15"/>
      <c r="N116" s="135"/>
      <c r="O116" s="15"/>
      <c r="P116" s="24"/>
      <c r="Q116" s="15"/>
      <c r="R116" s="24"/>
      <c r="S116" s="236"/>
      <c r="T116" s="15"/>
      <c r="U116" s="297"/>
      <c r="V116" s="297"/>
      <c r="W116" s="15"/>
      <c r="X116" s="297"/>
      <c r="Y116" s="297"/>
      <c r="Z116" s="18"/>
    </row>
    <row r="117" spans="1:26" ht="14.25" customHeight="1">
      <c r="A117" s="15">
        <v>124</v>
      </c>
      <c r="B117" s="15"/>
      <c r="C117" s="15"/>
      <c r="D117" s="16"/>
      <c r="E117" s="16"/>
      <c r="F117" s="16"/>
      <c r="G117" s="16"/>
      <c r="H117" s="297"/>
      <c r="I117" s="297"/>
      <c r="J117" s="16"/>
      <c r="K117" s="297"/>
      <c r="L117" s="297"/>
      <c r="M117" s="24"/>
      <c r="N117" s="135"/>
      <c r="O117" s="15"/>
      <c r="P117" s="24"/>
      <c r="Q117" s="15"/>
      <c r="R117" s="24"/>
      <c r="S117" s="236"/>
      <c r="T117" s="15"/>
      <c r="U117" s="297"/>
      <c r="V117" s="297"/>
      <c r="W117" s="15"/>
      <c r="X117" s="297"/>
      <c r="Y117" s="297"/>
      <c r="Z117" s="18"/>
    </row>
    <row r="118" spans="1:26" ht="14.25" customHeight="1">
      <c r="A118" s="15">
        <v>125</v>
      </c>
      <c r="B118" s="15"/>
      <c r="C118" s="15"/>
      <c r="D118" s="16"/>
      <c r="E118" s="16"/>
      <c r="F118" s="16"/>
      <c r="G118" s="16"/>
      <c r="H118" s="297"/>
      <c r="I118" s="297"/>
      <c r="J118" s="16"/>
      <c r="K118" s="297"/>
      <c r="L118" s="297"/>
      <c r="M118" s="24"/>
      <c r="N118" s="135"/>
      <c r="O118" s="15"/>
      <c r="P118" s="24"/>
      <c r="Q118" s="15"/>
      <c r="R118" s="24"/>
      <c r="S118" s="236"/>
      <c r="T118" s="15"/>
      <c r="U118" s="297"/>
      <c r="V118" s="297"/>
      <c r="W118" s="15"/>
      <c r="X118" s="297"/>
      <c r="Y118" s="297"/>
      <c r="Z118" s="18"/>
    </row>
    <row r="119" spans="1:26" ht="14.25" customHeight="1">
      <c r="A119" s="15">
        <v>126</v>
      </c>
      <c r="B119" s="15"/>
      <c r="C119" s="15"/>
      <c r="D119" s="16"/>
      <c r="E119" s="16"/>
      <c r="F119" s="16"/>
      <c r="G119" s="16"/>
      <c r="H119" s="297"/>
      <c r="I119" s="297"/>
      <c r="J119" s="16"/>
      <c r="K119" s="297"/>
      <c r="L119" s="297"/>
      <c r="M119" s="24"/>
      <c r="N119" s="135"/>
      <c r="O119" s="15"/>
      <c r="P119" s="24"/>
      <c r="Q119" s="15"/>
      <c r="R119" s="24"/>
      <c r="S119" s="236"/>
      <c r="T119" s="15"/>
      <c r="U119" s="297"/>
      <c r="V119" s="297"/>
      <c r="W119" s="15"/>
      <c r="X119" s="297"/>
      <c r="Y119" s="297"/>
      <c r="Z119" s="18"/>
    </row>
    <row r="120" spans="1:26" ht="14.25" customHeight="1">
      <c r="A120" s="15">
        <v>127</v>
      </c>
      <c r="B120" s="15"/>
      <c r="C120" s="15"/>
      <c r="D120" s="16"/>
      <c r="E120" s="16"/>
      <c r="F120" s="16"/>
      <c r="G120" s="16"/>
      <c r="H120" s="297"/>
      <c r="I120" s="297"/>
      <c r="J120" s="16"/>
      <c r="K120" s="297"/>
      <c r="L120" s="297"/>
      <c r="M120" s="24"/>
      <c r="N120" s="135"/>
      <c r="O120" s="15"/>
      <c r="P120" s="24"/>
      <c r="Q120" s="15"/>
      <c r="R120" s="24"/>
      <c r="S120" s="236"/>
      <c r="T120" s="15"/>
      <c r="U120" s="297"/>
      <c r="V120" s="297"/>
      <c r="W120" s="15"/>
      <c r="X120" s="297"/>
      <c r="Y120" s="297"/>
      <c r="Z120" s="18"/>
    </row>
    <row r="121" spans="1:26" ht="14.25" customHeight="1">
      <c r="A121" s="15">
        <v>128</v>
      </c>
      <c r="B121" s="15"/>
      <c r="C121" s="15"/>
      <c r="D121" s="16"/>
      <c r="E121" s="16"/>
      <c r="F121" s="16"/>
      <c r="G121" s="16"/>
      <c r="H121" s="297"/>
      <c r="I121" s="297"/>
      <c r="J121" s="16"/>
      <c r="K121" s="297"/>
      <c r="L121" s="297"/>
      <c r="M121" s="24"/>
      <c r="N121" s="135"/>
      <c r="O121" s="15"/>
      <c r="P121" s="24"/>
      <c r="Q121" s="15"/>
      <c r="R121" s="24"/>
      <c r="S121" s="236"/>
      <c r="T121" s="15"/>
      <c r="U121" s="297"/>
      <c r="V121" s="297"/>
      <c r="W121" s="15"/>
      <c r="X121" s="297"/>
      <c r="Y121" s="297"/>
      <c r="Z121" s="18"/>
    </row>
    <row r="122" spans="1:26" ht="14.25" customHeight="1">
      <c r="A122" s="15">
        <v>129</v>
      </c>
      <c r="B122" s="15"/>
      <c r="C122" s="15"/>
      <c r="D122" s="16"/>
      <c r="E122" s="16"/>
      <c r="F122" s="16"/>
      <c r="G122" s="16"/>
      <c r="H122" s="297"/>
      <c r="I122" s="297"/>
      <c r="J122" s="16"/>
      <c r="K122" s="297"/>
      <c r="L122" s="297"/>
      <c r="M122" s="24"/>
      <c r="N122" s="135"/>
      <c r="O122" s="15"/>
      <c r="P122" s="24"/>
      <c r="Q122" s="15"/>
      <c r="R122" s="24"/>
      <c r="S122" s="236"/>
      <c r="T122" s="15"/>
      <c r="U122" s="297"/>
      <c r="V122" s="297"/>
      <c r="W122" s="15"/>
      <c r="X122" s="297"/>
      <c r="Y122" s="297"/>
      <c r="Z122" s="18"/>
    </row>
    <row r="123" spans="1:26" ht="14.25" customHeight="1">
      <c r="A123" s="15">
        <v>130</v>
      </c>
      <c r="B123" s="15"/>
      <c r="C123" s="15"/>
      <c r="D123" s="16"/>
      <c r="E123" s="16"/>
      <c r="F123" s="16"/>
      <c r="G123" s="16"/>
      <c r="H123" s="297"/>
      <c r="I123" s="297"/>
      <c r="J123" s="16"/>
      <c r="K123" s="297"/>
      <c r="L123" s="297"/>
      <c r="M123" s="24"/>
      <c r="N123" s="135"/>
      <c r="O123" s="15"/>
      <c r="P123" s="24"/>
      <c r="Q123" s="15"/>
      <c r="R123" s="24"/>
      <c r="S123" s="236"/>
      <c r="T123" s="15"/>
      <c r="U123" s="297"/>
      <c r="V123" s="297"/>
      <c r="W123" s="15"/>
      <c r="X123" s="297"/>
      <c r="Y123" s="297"/>
      <c r="Z123" s="18"/>
    </row>
    <row r="124" spans="1:26" ht="14.25" customHeight="1">
      <c r="A124" s="15">
        <v>131</v>
      </c>
      <c r="B124" s="15"/>
      <c r="C124" s="15"/>
      <c r="D124" s="16"/>
      <c r="E124" s="16"/>
      <c r="F124" s="16"/>
      <c r="G124" s="16"/>
      <c r="H124" s="297"/>
      <c r="I124" s="297"/>
      <c r="J124" s="16"/>
      <c r="K124" s="297"/>
      <c r="L124" s="297"/>
      <c r="M124" s="24"/>
      <c r="N124" s="135"/>
      <c r="O124" s="15"/>
      <c r="P124" s="24"/>
      <c r="Q124" s="15"/>
      <c r="R124" s="24"/>
      <c r="S124" s="236"/>
      <c r="T124" s="15"/>
      <c r="U124" s="297"/>
      <c r="V124" s="297"/>
      <c r="W124" s="15"/>
      <c r="X124" s="297"/>
      <c r="Y124" s="297"/>
      <c r="Z124" s="18"/>
    </row>
    <row r="125" spans="1:26" ht="14.25" customHeight="1">
      <c r="A125" s="15">
        <v>132</v>
      </c>
      <c r="B125" s="15"/>
      <c r="C125" s="15"/>
      <c r="D125" s="16"/>
      <c r="E125" s="16"/>
      <c r="F125" s="16"/>
      <c r="G125" s="16"/>
      <c r="H125" s="297"/>
      <c r="I125" s="297"/>
      <c r="J125" s="16"/>
      <c r="K125" s="297"/>
      <c r="L125" s="297"/>
      <c r="M125" s="24"/>
      <c r="N125" s="135"/>
      <c r="O125" s="15"/>
      <c r="P125" s="24"/>
      <c r="Q125" s="15"/>
      <c r="R125" s="24"/>
      <c r="S125" s="236"/>
      <c r="T125" s="15"/>
      <c r="U125" s="297"/>
      <c r="V125" s="297"/>
      <c r="W125" s="15"/>
      <c r="X125" s="297"/>
      <c r="Y125" s="297"/>
      <c r="Z125" s="18"/>
    </row>
    <row r="126" spans="1:26" ht="14.25" customHeight="1">
      <c r="A126" s="15">
        <v>133</v>
      </c>
      <c r="B126" s="15"/>
      <c r="C126" s="15"/>
      <c r="D126" s="16"/>
      <c r="E126" s="16"/>
      <c r="F126" s="16"/>
      <c r="G126" s="16"/>
      <c r="H126" s="297"/>
      <c r="I126" s="297"/>
      <c r="J126" s="16"/>
      <c r="K126" s="297"/>
      <c r="L126" s="297"/>
      <c r="M126" s="24"/>
      <c r="N126" s="135"/>
      <c r="O126" s="15"/>
      <c r="P126" s="187"/>
      <c r="Q126" s="15"/>
      <c r="R126" s="24"/>
      <c r="S126" s="236"/>
      <c r="T126" s="15"/>
      <c r="U126" s="297"/>
      <c r="V126" s="297"/>
      <c r="W126" s="15"/>
      <c r="X126" s="297"/>
      <c r="Y126" s="297"/>
      <c r="Z126" s="18"/>
    </row>
    <row r="127" spans="1:26" ht="14.25" customHeight="1">
      <c r="A127" s="15">
        <v>134</v>
      </c>
      <c r="B127" s="15"/>
      <c r="C127" s="15"/>
      <c r="D127" s="16"/>
      <c r="E127" s="16"/>
      <c r="F127" s="16"/>
      <c r="G127" s="16"/>
      <c r="H127" s="297"/>
      <c r="I127" s="297"/>
      <c r="J127" s="16"/>
      <c r="K127" s="297"/>
      <c r="L127" s="297"/>
      <c r="M127" s="24"/>
      <c r="N127" s="135"/>
      <c r="O127" s="15"/>
      <c r="P127" s="187"/>
      <c r="Q127" s="15"/>
      <c r="R127" s="24"/>
      <c r="S127" s="236"/>
      <c r="T127" s="15"/>
      <c r="U127" s="297"/>
      <c r="V127" s="297"/>
      <c r="W127" s="15"/>
      <c r="X127" s="297"/>
      <c r="Y127" s="297"/>
      <c r="Z127" s="18"/>
    </row>
    <row r="128" spans="1:26" ht="14.25" customHeight="1">
      <c r="A128" s="15">
        <v>135</v>
      </c>
      <c r="B128" s="15"/>
      <c r="C128" s="15"/>
      <c r="D128" s="16"/>
      <c r="E128" s="16"/>
      <c r="F128" s="16"/>
      <c r="G128" s="16"/>
      <c r="H128" s="297"/>
      <c r="I128" s="297"/>
      <c r="J128" s="16"/>
      <c r="K128" s="297"/>
      <c r="L128" s="297"/>
      <c r="M128" s="24"/>
      <c r="N128" s="135"/>
      <c r="O128" s="15"/>
      <c r="P128" s="24"/>
      <c r="Q128" s="15"/>
      <c r="R128" s="24"/>
      <c r="S128" s="236"/>
      <c r="T128" s="15"/>
      <c r="U128" s="297"/>
      <c r="V128" s="297"/>
      <c r="W128" s="15"/>
      <c r="X128" s="297"/>
      <c r="Y128" s="297"/>
      <c r="Z128" s="18"/>
    </row>
    <row r="129" spans="1:26" ht="14.25" customHeight="1">
      <c r="A129" s="15">
        <v>136</v>
      </c>
      <c r="B129" s="15"/>
      <c r="C129" s="15"/>
      <c r="D129" s="16"/>
      <c r="E129" s="16"/>
      <c r="F129" s="16"/>
      <c r="G129" s="16"/>
      <c r="H129" s="297"/>
      <c r="I129" s="297"/>
      <c r="J129" s="16"/>
      <c r="K129" s="297"/>
      <c r="L129" s="297"/>
      <c r="M129" s="15"/>
      <c r="N129" s="135"/>
      <c r="O129" s="15"/>
      <c r="P129" s="24"/>
      <c r="Q129" s="15"/>
      <c r="R129" s="24"/>
      <c r="S129" s="236"/>
      <c r="T129" s="15"/>
      <c r="U129" s="297"/>
      <c r="V129" s="297"/>
      <c r="W129" s="15"/>
      <c r="X129" s="297"/>
      <c r="Y129" s="297"/>
      <c r="Z129" s="18"/>
    </row>
    <row r="130" spans="1:26" ht="14.25" customHeight="1">
      <c r="A130" s="15">
        <v>137</v>
      </c>
      <c r="B130" s="15"/>
      <c r="C130" s="15"/>
      <c r="D130" s="16"/>
      <c r="E130" s="16"/>
      <c r="F130" s="16"/>
      <c r="G130" s="16"/>
      <c r="H130" s="297"/>
      <c r="I130" s="297"/>
      <c r="J130" s="16"/>
      <c r="K130" s="297"/>
      <c r="L130" s="297"/>
      <c r="M130" s="24"/>
      <c r="N130" s="135"/>
      <c r="O130" s="15"/>
      <c r="P130" s="24"/>
      <c r="Q130" s="15"/>
      <c r="R130" s="24"/>
      <c r="S130" s="236"/>
      <c r="T130" s="15"/>
      <c r="U130" s="297"/>
      <c r="V130" s="297"/>
      <c r="W130" s="15"/>
      <c r="X130" s="297"/>
      <c r="Y130" s="297"/>
      <c r="Z130" s="18"/>
    </row>
    <row r="131" spans="1:26" ht="14.25" customHeight="1">
      <c r="A131" s="15">
        <v>138</v>
      </c>
      <c r="B131" s="15"/>
      <c r="C131" s="15"/>
      <c r="D131" s="16"/>
      <c r="E131" s="16"/>
      <c r="F131" s="16"/>
      <c r="G131" s="16"/>
      <c r="H131" s="297"/>
      <c r="I131" s="297"/>
      <c r="J131" s="16"/>
      <c r="K131" s="297"/>
      <c r="L131" s="297"/>
      <c r="M131" s="24"/>
      <c r="N131" s="15"/>
      <c r="O131" s="15"/>
      <c r="P131" s="24"/>
      <c r="Q131" s="15"/>
      <c r="R131" s="24"/>
      <c r="S131" s="236"/>
      <c r="T131" s="15"/>
      <c r="U131" s="297"/>
      <c r="V131" s="297"/>
      <c r="W131" s="15"/>
      <c r="X131" s="297"/>
      <c r="Y131" s="297"/>
      <c r="Z131" s="18"/>
    </row>
    <row r="132" spans="1:26" ht="14.25" customHeight="1">
      <c r="A132" s="15">
        <v>139</v>
      </c>
      <c r="B132" s="15"/>
      <c r="C132" s="15"/>
      <c r="D132" s="16"/>
      <c r="E132" s="16"/>
      <c r="F132" s="16"/>
      <c r="G132" s="16"/>
      <c r="H132" s="297"/>
      <c r="I132" s="297"/>
      <c r="J132" s="16"/>
      <c r="K132" s="297"/>
      <c r="L132" s="297"/>
      <c r="M132" s="24"/>
      <c r="N132" s="15"/>
      <c r="O132" s="15"/>
      <c r="P132" s="24"/>
      <c r="Q132" s="15"/>
      <c r="R132" s="24"/>
      <c r="S132" s="236"/>
      <c r="T132" s="15"/>
      <c r="U132" s="297"/>
      <c r="V132" s="297"/>
      <c r="W132" s="15"/>
      <c r="X132" s="297"/>
      <c r="Y132" s="297"/>
      <c r="Z132" s="18"/>
    </row>
    <row r="133" spans="1:26" ht="14.25" customHeight="1">
      <c r="A133" s="15">
        <v>140</v>
      </c>
      <c r="B133" s="15"/>
      <c r="C133" s="15"/>
      <c r="D133" s="16"/>
      <c r="E133" s="16"/>
      <c r="F133" s="16"/>
      <c r="G133" s="16"/>
      <c r="H133" s="297"/>
      <c r="I133" s="297"/>
      <c r="J133" s="25"/>
      <c r="K133" s="297"/>
      <c r="L133" s="297"/>
      <c r="M133" s="24"/>
      <c r="N133" s="135"/>
      <c r="O133" s="15"/>
      <c r="P133" s="24"/>
      <c r="Q133" s="15"/>
      <c r="R133" s="24"/>
      <c r="S133" s="236"/>
      <c r="T133" s="15"/>
      <c r="U133" s="297"/>
      <c r="V133" s="297"/>
      <c r="W133" s="15"/>
      <c r="X133" s="297"/>
      <c r="Y133" s="297"/>
      <c r="Z133" s="18"/>
    </row>
    <row r="134" spans="1:26" ht="14.25" customHeight="1">
      <c r="A134" s="15">
        <v>141</v>
      </c>
      <c r="B134" s="15"/>
      <c r="C134" s="15"/>
      <c r="D134" s="16"/>
      <c r="E134" s="16"/>
      <c r="F134" s="15"/>
      <c r="G134" s="25"/>
      <c r="H134" s="297"/>
      <c r="I134" s="297"/>
      <c r="J134" s="25"/>
      <c r="K134" s="297"/>
      <c r="L134" s="297"/>
      <c r="M134" s="24"/>
      <c r="N134" s="15"/>
      <c r="O134" s="15"/>
      <c r="P134" s="187"/>
      <c r="Q134" s="25"/>
      <c r="R134" s="24"/>
      <c r="S134" s="236"/>
      <c r="T134" s="15"/>
      <c r="U134" s="297"/>
      <c r="V134" s="297"/>
      <c r="W134" s="15"/>
      <c r="X134" s="297"/>
      <c r="Y134" s="297"/>
      <c r="Z134" s="18"/>
    </row>
    <row r="135" spans="1:26" ht="14.25" customHeight="1">
      <c r="A135" s="15">
        <v>142</v>
      </c>
      <c r="B135" s="15"/>
      <c r="C135" s="15"/>
      <c r="D135" s="16"/>
      <c r="E135" s="16"/>
      <c r="F135" s="15"/>
      <c r="G135" s="25"/>
      <c r="H135" s="297"/>
      <c r="I135" s="297"/>
      <c r="J135" s="25"/>
      <c r="K135" s="297"/>
      <c r="L135" s="297"/>
      <c r="M135" s="24"/>
      <c r="N135" s="15"/>
      <c r="O135" s="15"/>
      <c r="P135" s="187"/>
      <c r="Q135" s="25"/>
      <c r="R135" s="25"/>
      <c r="S135" s="238"/>
      <c r="T135" s="15"/>
      <c r="U135" s="297"/>
      <c r="V135" s="297"/>
      <c r="W135" s="15"/>
      <c r="X135" s="297"/>
      <c r="Y135" s="297"/>
      <c r="Z135" s="18"/>
    </row>
    <row r="136" spans="1:26" ht="14.25" customHeight="1">
      <c r="A136" s="15">
        <v>143</v>
      </c>
      <c r="B136" s="15"/>
      <c r="C136" s="15"/>
      <c r="D136" s="16"/>
      <c r="E136" s="16"/>
      <c r="F136" s="15"/>
      <c r="G136" s="25"/>
      <c r="H136" s="297"/>
      <c r="I136" s="297"/>
      <c r="J136" s="25"/>
      <c r="K136" s="297"/>
      <c r="L136" s="297"/>
      <c r="M136" s="15"/>
      <c r="N136" s="15"/>
      <c r="O136" s="15"/>
      <c r="P136" s="187"/>
      <c r="Q136" s="25"/>
      <c r="R136" s="25"/>
      <c r="S136" s="238"/>
      <c r="T136" s="15"/>
      <c r="U136" s="297"/>
      <c r="V136" s="297"/>
      <c r="W136" s="15"/>
      <c r="X136" s="297"/>
      <c r="Y136" s="297"/>
      <c r="Z136" s="18"/>
    </row>
    <row r="137" spans="1:26" ht="14.25" customHeight="1">
      <c r="A137" s="15">
        <v>144</v>
      </c>
      <c r="B137" s="15"/>
      <c r="C137" s="15"/>
      <c r="D137" s="16"/>
      <c r="E137" s="16"/>
      <c r="F137" s="15"/>
      <c r="G137" s="25"/>
      <c r="H137" s="297"/>
      <c r="I137" s="297"/>
      <c r="J137" s="25"/>
      <c r="K137" s="297"/>
      <c r="L137" s="297"/>
      <c r="M137" s="15"/>
      <c r="N137" s="15"/>
      <c r="O137" s="15"/>
      <c r="P137" s="187"/>
      <c r="Q137" s="25"/>
      <c r="R137" s="25"/>
      <c r="S137" s="238"/>
      <c r="T137" s="15"/>
      <c r="U137" s="297"/>
      <c r="V137" s="297"/>
      <c r="W137" s="15"/>
      <c r="X137" s="297"/>
      <c r="Y137" s="297"/>
      <c r="Z137" s="18"/>
    </row>
    <row r="138" spans="1:26" ht="14.25" customHeight="1">
      <c r="A138" s="15">
        <v>145</v>
      </c>
      <c r="B138" s="15"/>
      <c r="C138" s="15"/>
      <c r="D138" s="16"/>
      <c r="E138" s="16"/>
      <c r="F138" s="15"/>
      <c r="G138" s="15"/>
      <c r="H138" s="299"/>
      <c r="I138" s="299"/>
      <c r="J138" s="15"/>
      <c r="K138" s="299"/>
      <c r="L138" s="299"/>
      <c r="M138" s="24"/>
      <c r="N138" s="203"/>
      <c r="O138" s="15"/>
      <c r="P138" s="241"/>
      <c r="Q138" s="242"/>
      <c r="R138" s="242"/>
      <c r="S138" s="243"/>
      <c r="T138" s="15"/>
      <c r="U138" s="299"/>
      <c r="V138" s="299"/>
      <c r="W138" s="15"/>
      <c r="X138" s="299"/>
      <c r="Y138" s="299"/>
      <c r="Z138" s="18"/>
    </row>
    <row r="139" spans="1:26" ht="14.25" customHeight="1">
      <c r="A139" s="15">
        <v>146</v>
      </c>
      <c r="B139" s="15"/>
      <c r="C139" s="15"/>
      <c r="D139" s="16"/>
      <c r="E139" s="16"/>
      <c r="F139" s="15"/>
      <c r="G139" s="25"/>
      <c r="H139" s="297"/>
      <c r="I139" s="297"/>
      <c r="J139" s="25"/>
      <c r="K139" s="297"/>
      <c r="L139" s="297"/>
      <c r="M139" s="15"/>
      <c r="N139" s="15"/>
      <c r="O139" s="15"/>
      <c r="P139" s="19"/>
      <c r="Q139" s="15"/>
      <c r="R139" s="15"/>
      <c r="S139" s="240"/>
      <c r="T139" s="15"/>
      <c r="U139" s="297"/>
      <c r="V139" s="297"/>
      <c r="W139" s="15"/>
      <c r="X139" s="297"/>
      <c r="Y139" s="297"/>
      <c r="Z139" s="18"/>
    </row>
    <row r="140" spans="1:26" ht="14.25" customHeight="1">
      <c r="A140" s="15">
        <v>147</v>
      </c>
      <c r="B140" s="15"/>
      <c r="C140" s="15"/>
      <c r="D140" s="16"/>
      <c r="E140" s="16"/>
      <c r="F140" s="15"/>
      <c r="G140" s="25"/>
      <c r="H140" s="297"/>
      <c r="I140" s="297"/>
      <c r="J140" s="25"/>
      <c r="K140" s="297"/>
      <c r="L140" s="297"/>
      <c r="M140" s="24"/>
      <c r="N140" s="15"/>
      <c r="O140" s="15"/>
      <c r="P140" s="19"/>
      <c r="Q140" s="15"/>
      <c r="R140" s="15"/>
      <c r="S140" s="240"/>
      <c r="T140" s="15"/>
      <c r="U140" s="297"/>
      <c r="V140" s="297"/>
      <c r="W140" s="15"/>
      <c r="X140" s="297"/>
      <c r="Y140" s="297"/>
      <c r="Z140" s="18"/>
    </row>
    <row r="141" spans="1:26" ht="14.25" customHeight="1">
      <c r="A141" s="15">
        <v>148</v>
      </c>
      <c r="B141" s="15"/>
      <c r="C141" s="15"/>
      <c r="D141" s="16"/>
      <c r="E141" s="16"/>
      <c r="F141" s="15"/>
      <c r="G141" s="25"/>
      <c r="H141" s="297"/>
      <c r="I141" s="297"/>
      <c r="J141" s="25"/>
      <c r="K141" s="297"/>
      <c r="L141" s="297"/>
      <c r="M141" s="24"/>
      <c r="N141" s="135"/>
      <c r="O141" s="15"/>
      <c r="P141" s="19"/>
      <c r="Q141" s="15"/>
      <c r="R141" s="15"/>
      <c r="S141" s="240"/>
      <c r="T141" s="15"/>
      <c r="U141" s="297"/>
      <c r="V141" s="297"/>
      <c r="W141" s="15"/>
      <c r="X141" s="297"/>
      <c r="Y141" s="297"/>
      <c r="Z141" s="18"/>
    </row>
    <row r="142" spans="1:26" ht="14.25" customHeight="1">
      <c r="A142" s="15">
        <v>149</v>
      </c>
      <c r="B142" s="15"/>
      <c r="C142" s="15"/>
      <c r="D142" s="16"/>
      <c r="E142" s="16"/>
      <c r="F142" s="16"/>
      <c r="G142" s="25"/>
      <c r="H142" s="297"/>
      <c r="I142" s="297"/>
      <c r="J142" s="25"/>
      <c r="K142" s="297"/>
      <c r="L142" s="297"/>
      <c r="M142" s="24"/>
      <c r="N142" s="135"/>
      <c r="O142" s="15"/>
      <c r="P142" s="19"/>
      <c r="Q142" s="15"/>
      <c r="R142" s="24"/>
      <c r="S142" s="236"/>
      <c r="T142" s="15"/>
      <c r="U142" s="135"/>
      <c r="V142" s="135"/>
      <c r="W142" s="15"/>
      <c r="X142" s="135"/>
      <c r="Y142" s="135"/>
      <c r="Z142" s="18"/>
    </row>
    <row r="143" spans="1:26" ht="14.25" customHeight="1">
      <c r="A143" s="15">
        <v>150</v>
      </c>
      <c r="B143" s="15"/>
      <c r="C143" s="15"/>
      <c r="D143" s="16"/>
      <c r="E143" s="16"/>
      <c r="F143" s="16"/>
      <c r="G143" s="25"/>
      <c r="H143" s="297"/>
      <c r="I143" s="297"/>
      <c r="J143" s="25"/>
      <c r="K143" s="297"/>
      <c r="L143" s="297"/>
      <c r="M143" s="24"/>
      <c r="N143" s="135"/>
      <c r="O143" s="15"/>
      <c r="P143" s="19"/>
      <c r="Q143" s="15"/>
      <c r="R143" s="24"/>
      <c r="S143" s="236"/>
      <c r="T143" s="15"/>
      <c r="U143" s="135"/>
      <c r="V143" s="135"/>
      <c r="W143" s="15"/>
      <c r="X143" s="135"/>
      <c r="Y143" s="135"/>
      <c r="Z143" s="18"/>
    </row>
    <row r="144" spans="1:26" ht="14.25" customHeight="1">
      <c r="A144" s="15">
        <v>151</v>
      </c>
      <c r="B144" s="15"/>
      <c r="C144" s="15"/>
      <c r="D144" s="16"/>
      <c r="E144" s="16"/>
      <c r="F144" s="16"/>
      <c r="G144" s="25"/>
      <c r="H144" s="297"/>
      <c r="I144" s="297"/>
      <c r="J144" s="25"/>
      <c r="K144" s="297"/>
      <c r="L144" s="297"/>
      <c r="M144" s="24"/>
      <c r="N144" s="135"/>
      <c r="O144" s="15"/>
      <c r="P144" s="19"/>
      <c r="Q144" s="15"/>
      <c r="R144" s="24"/>
      <c r="S144" s="236"/>
      <c r="T144" s="15"/>
      <c r="U144" s="135"/>
      <c r="V144" s="135"/>
      <c r="W144" s="15"/>
      <c r="X144" s="135"/>
      <c r="Y144" s="135"/>
      <c r="Z144" s="18"/>
    </row>
    <row r="145" spans="1:26" ht="14.25" customHeight="1">
      <c r="A145" s="15">
        <v>152</v>
      </c>
      <c r="B145" s="15"/>
      <c r="C145" s="15"/>
      <c r="D145" s="244"/>
      <c r="E145" s="16"/>
      <c r="F145" s="16"/>
      <c r="G145" s="25"/>
      <c r="H145" s="297"/>
      <c r="I145" s="297"/>
      <c r="J145" s="25"/>
      <c r="K145" s="297"/>
      <c r="L145" s="297"/>
      <c r="M145" s="24"/>
      <c r="N145" s="135"/>
      <c r="O145" s="15"/>
      <c r="P145" s="19"/>
      <c r="Q145" s="15"/>
      <c r="R145" s="24"/>
      <c r="S145" s="236"/>
      <c r="T145" s="15"/>
      <c r="U145" s="135"/>
      <c r="V145" s="135"/>
      <c r="W145" s="15"/>
      <c r="X145" s="135"/>
      <c r="Y145" s="135"/>
      <c r="Z145" s="18"/>
    </row>
    <row r="146" spans="1:26" ht="14.25" customHeight="1">
      <c r="A146" s="15">
        <v>153</v>
      </c>
      <c r="B146" s="15"/>
      <c r="C146" s="15"/>
      <c r="D146" s="244"/>
      <c r="E146" s="16"/>
      <c r="F146" s="16"/>
      <c r="G146" s="16"/>
      <c r="H146" s="297"/>
      <c r="I146" s="297"/>
      <c r="J146" s="25"/>
      <c r="K146" s="297"/>
      <c r="L146" s="297"/>
      <c r="M146" s="24"/>
      <c r="N146" s="135"/>
      <c r="O146" s="15"/>
      <c r="P146" s="19"/>
      <c r="Q146" s="15"/>
      <c r="R146" s="24"/>
      <c r="S146" s="236"/>
      <c r="T146" s="15"/>
      <c r="U146" s="135"/>
      <c r="V146" s="135"/>
      <c r="W146" s="15"/>
      <c r="X146" s="135"/>
      <c r="Y146" s="135"/>
      <c r="Z146" s="18"/>
    </row>
    <row r="147" spans="1:26" ht="14.25" customHeight="1">
      <c r="A147" s="15">
        <v>154</v>
      </c>
      <c r="B147" s="25"/>
      <c r="C147" s="15"/>
      <c r="D147" s="244"/>
      <c r="E147" s="16"/>
      <c r="F147" s="16"/>
      <c r="G147" s="16"/>
      <c r="H147" s="297"/>
      <c r="I147" s="297"/>
      <c r="J147" s="25"/>
      <c r="K147" s="297"/>
      <c r="L147" s="297"/>
      <c r="M147" s="24"/>
      <c r="N147" s="135"/>
      <c r="O147" s="15"/>
      <c r="P147" s="24"/>
      <c r="Q147" s="25"/>
      <c r="R147" s="24"/>
      <c r="S147" s="236"/>
      <c r="T147" s="15"/>
      <c r="U147" s="135"/>
      <c r="V147" s="135"/>
      <c r="W147" s="15"/>
      <c r="X147" s="135"/>
      <c r="Y147" s="135"/>
      <c r="Z147" s="18"/>
    </row>
    <row r="148" spans="1:26" ht="14.25" customHeight="1">
      <c r="A148" s="15">
        <v>155</v>
      </c>
      <c r="B148" s="25"/>
      <c r="C148" s="15"/>
      <c r="D148" s="244"/>
      <c r="E148" s="16"/>
      <c r="F148" s="16"/>
      <c r="G148" s="16"/>
      <c r="H148" s="297"/>
      <c r="I148" s="297"/>
      <c r="J148" s="16"/>
      <c r="K148" s="297"/>
      <c r="L148" s="297"/>
      <c r="M148" s="24"/>
      <c r="N148" s="135"/>
      <c r="O148" s="15"/>
      <c r="P148" s="24"/>
      <c r="Q148" s="25"/>
      <c r="R148" s="24"/>
      <c r="S148" s="236"/>
      <c r="T148" s="15"/>
      <c r="U148" s="135"/>
      <c r="V148" s="135"/>
      <c r="W148" s="15"/>
      <c r="X148" s="135"/>
      <c r="Y148" s="135"/>
      <c r="Z148" s="18"/>
    </row>
    <row r="149" spans="1:26" ht="14.25" customHeight="1">
      <c r="A149" s="15">
        <v>156</v>
      </c>
      <c r="B149" s="25"/>
      <c r="C149" s="15"/>
      <c r="D149" s="244"/>
      <c r="E149" s="16"/>
      <c r="F149" s="16"/>
      <c r="G149" s="16"/>
      <c r="H149" s="297"/>
      <c r="I149" s="297"/>
      <c r="J149" s="16"/>
      <c r="K149" s="297"/>
      <c r="L149" s="297"/>
      <c r="M149" s="24"/>
      <c r="N149" s="135"/>
      <c r="O149" s="15"/>
      <c r="P149" s="24"/>
      <c r="Q149" s="25"/>
      <c r="R149" s="24"/>
      <c r="S149" s="236"/>
      <c r="T149" s="15"/>
      <c r="U149" s="135"/>
      <c r="V149" s="135"/>
      <c r="W149" s="15"/>
      <c r="X149" s="135"/>
      <c r="Y149" s="135"/>
      <c r="Z149" s="18"/>
    </row>
    <row r="150" spans="1:26" ht="14.25" customHeight="1">
      <c r="A150" s="15">
        <v>157</v>
      </c>
      <c r="B150" s="25"/>
      <c r="C150" s="15"/>
      <c r="D150" s="244"/>
      <c r="E150" s="16"/>
      <c r="F150" s="16"/>
      <c r="G150" s="16"/>
      <c r="H150" s="297"/>
      <c r="I150" s="297"/>
      <c r="J150" s="16"/>
      <c r="K150" s="297"/>
      <c r="L150" s="297"/>
      <c r="M150" s="24"/>
      <c r="N150" s="135"/>
      <c r="O150" s="15"/>
      <c r="P150" s="24"/>
      <c r="Q150" s="25"/>
      <c r="R150" s="24"/>
      <c r="S150" s="236"/>
      <c r="T150" s="15"/>
      <c r="U150" s="135"/>
      <c r="V150" s="135"/>
      <c r="W150" s="15"/>
      <c r="X150" s="135"/>
      <c r="Y150" s="135"/>
      <c r="Z150" s="18"/>
    </row>
    <row r="151" spans="1:26" ht="14.25" customHeight="1">
      <c r="A151" s="15">
        <v>158</v>
      </c>
      <c r="B151" s="25"/>
      <c r="C151" s="15"/>
      <c r="D151" s="244"/>
      <c r="E151" s="16"/>
      <c r="F151" s="16"/>
      <c r="G151" s="16"/>
      <c r="H151" s="297"/>
      <c r="I151" s="297"/>
      <c r="J151" s="16"/>
      <c r="K151" s="297"/>
      <c r="L151" s="297"/>
      <c r="M151" s="15"/>
      <c r="N151" s="135"/>
      <c r="O151" s="15"/>
      <c r="P151" s="24"/>
      <c r="Q151" s="25"/>
      <c r="R151" s="24"/>
      <c r="S151" s="236"/>
      <c r="T151" s="15"/>
      <c r="U151" s="135"/>
      <c r="V151" s="135"/>
      <c r="W151" s="15"/>
      <c r="X151" s="135"/>
      <c r="Y151" s="135"/>
      <c r="Z151" s="18"/>
    </row>
    <row r="152" spans="1:26" ht="14.25" customHeight="1">
      <c r="A152" s="15">
        <v>159</v>
      </c>
      <c r="B152" s="25"/>
      <c r="C152" s="15"/>
      <c r="D152" s="244"/>
      <c r="E152" s="16"/>
      <c r="F152" s="16"/>
      <c r="G152" s="16"/>
      <c r="H152" s="297"/>
      <c r="I152" s="297"/>
      <c r="J152" s="16"/>
      <c r="K152" s="297"/>
      <c r="L152" s="297"/>
      <c r="M152" s="24"/>
      <c r="N152" s="15"/>
      <c r="O152" s="15"/>
      <c r="P152" s="24"/>
      <c r="Q152" s="25"/>
      <c r="R152" s="24"/>
      <c r="S152" s="236"/>
      <c r="T152" s="15"/>
      <c r="U152" s="135"/>
      <c r="V152" s="135"/>
      <c r="W152" s="15"/>
      <c r="X152" s="135"/>
      <c r="Y152" s="135"/>
      <c r="Z152" s="18"/>
    </row>
    <row r="153" spans="1:26" ht="14.25" customHeight="1">
      <c r="A153" s="15">
        <v>160</v>
      </c>
      <c r="B153" s="25"/>
      <c r="C153" s="15"/>
      <c r="D153" s="244"/>
      <c r="E153" s="16"/>
      <c r="F153" s="16"/>
      <c r="G153" s="16"/>
      <c r="H153" s="297"/>
      <c r="I153" s="297"/>
      <c r="J153" s="16"/>
      <c r="K153" s="297"/>
      <c r="L153" s="297"/>
      <c r="M153" s="24"/>
      <c r="N153" s="135"/>
      <c r="O153" s="15"/>
      <c r="P153" s="24"/>
      <c r="Q153" s="25"/>
      <c r="R153" s="24"/>
      <c r="S153" s="236"/>
      <c r="T153" s="15"/>
      <c r="U153" s="135"/>
      <c r="V153" s="135"/>
      <c r="W153" s="15"/>
      <c r="X153" s="135"/>
      <c r="Y153" s="135"/>
      <c r="Z153" s="18"/>
    </row>
    <row r="154" spans="1:26" ht="14.25" customHeight="1">
      <c r="A154" s="15">
        <v>161</v>
      </c>
      <c r="B154" s="25"/>
      <c r="C154" s="15"/>
      <c r="D154" s="244"/>
      <c r="E154" s="16"/>
      <c r="F154" s="16"/>
      <c r="G154" s="16"/>
      <c r="H154" s="297"/>
      <c r="I154" s="297"/>
      <c r="J154" s="25"/>
      <c r="K154" s="297"/>
      <c r="L154" s="297"/>
      <c r="M154" s="24"/>
      <c r="N154" s="15"/>
      <c r="O154" s="15"/>
      <c r="P154" s="24"/>
      <c r="Q154" s="25"/>
      <c r="R154" s="24"/>
      <c r="S154" s="236"/>
      <c r="T154" s="15"/>
      <c r="U154" s="135"/>
      <c r="V154" s="135"/>
      <c r="W154" s="15"/>
      <c r="X154" s="135"/>
      <c r="Y154" s="135"/>
      <c r="Z154" s="18"/>
    </row>
    <row r="155" spans="1:26" ht="14.25" customHeight="1">
      <c r="A155" s="15">
        <v>162</v>
      </c>
      <c r="B155" s="25"/>
      <c r="C155" s="15"/>
      <c r="D155" s="16"/>
      <c r="E155" s="16"/>
      <c r="F155" s="15"/>
      <c r="G155" s="25"/>
      <c r="H155" s="297"/>
      <c r="I155" s="297"/>
      <c r="J155" s="25"/>
      <c r="K155" s="297"/>
      <c r="L155" s="297"/>
      <c r="M155" s="24"/>
      <c r="N155" s="135"/>
      <c r="O155" s="15"/>
      <c r="P155" s="19"/>
      <c r="Q155" s="15"/>
      <c r="R155" s="15"/>
      <c r="S155" s="240"/>
      <c r="T155" s="15"/>
      <c r="U155" s="135"/>
      <c r="V155" s="135"/>
      <c r="W155" s="15"/>
      <c r="X155" s="135"/>
      <c r="Y155" s="135"/>
      <c r="Z155" s="18"/>
    </row>
    <row r="156" spans="1:26" ht="14.25" customHeight="1">
      <c r="A156" s="15">
        <v>163</v>
      </c>
      <c r="B156" s="25"/>
      <c r="C156" s="15"/>
      <c r="D156" s="16"/>
      <c r="E156" s="16"/>
      <c r="F156" s="15"/>
      <c r="G156" s="25"/>
      <c r="H156" s="297"/>
      <c r="I156" s="297"/>
      <c r="J156" s="25"/>
      <c r="K156" s="297"/>
      <c r="L156" s="297"/>
      <c r="M156" s="24"/>
      <c r="N156" s="135"/>
      <c r="O156" s="15"/>
      <c r="P156" s="19"/>
      <c r="Q156" s="15"/>
      <c r="R156" s="15"/>
      <c r="S156" s="240"/>
      <c r="T156" s="15"/>
      <c r="U156" s="135"/>
      <c r="V156" s="135"/>
      <c r="W156" s="15"/>
      <c r="X156" s="135"/>
      <c r="Y156" s="135"/>
      <c r="Z156" s="18"/>
    </row>
    <row r="157" spans="1:26" ht="14.25" customHeight="1">
      <c r="A157" s="15">
        <v>164</v>
      </c>
      <c r="B157" s="25"/>
      <c r="C157" s="15"/>
      <c r="D157" s="16"/>
      <c r="E157" s="16"/>
      <c r="F157" s="15"/>
      <c r="G157" s="25"/>
      <c r="H157" s="297"/>
      <c r="I157" s="297"/>
      <c r="J157" s="25"/>
      <c r="K157" s="297"/>
      <c r="L157" s="297"/>
      <c r="M157" s="24"/>
      <c r="N157" s="135"/>
      <c r="O157" s="135"/>
      <c r="P157" s="19"/>
      <c r="Q157" s="15"/>
      <c r="R157" s="15"/>
      <c r="S157" s="240"/>
      <c r="T157" s="15"/>
      <c r="U157" s="135"/>
      <c r="V157" s="135"/>
      <c r="W157" s="15"/>
      <c r="X157" s="135"/>
      <c r="Y157" s="135"/>
      <c r="Z157" s="18"/>
    </row>
    <row r="158" spans="1:26" ht="14.25" customHeight="1">
      <c r="A158" s="15">
        <v>165</v>
      </c>
      <c r="B158" s="25"/>
      <c r="C158" s="15"/>
      <c r="D158" s="16"/>
      <c r="E158" s="16"/>
      <c r="F158" s="15"/>
      <c r="G158" s="25"/>
      <c r="H158" s="297"/>
      <c r="I158" s="297"/>
      <c r="J158" s="25"/>
      <c r="K158" s="297"/>
      <c r="L158" s="297"/>
      <c r="M158" s="15"/>
      <c r="N158" s="135"/>
      <c r="O158" s="15"/>
      <c r="P158" s="19"/>
      <c r="Q158" s="25"/>
      <c r="R158" s="24"/>
      <c r="S158" s="236"/>
      <c r="T158" s="15"/>
      <c r="U158" s="135"/>
      <c r="V158" s="135"/>
      <c r="W158" s="15"/>
      <c r="X158" s="135"/>
      <c r="Y158" s="135"/>
      <c r="Z158" s="18"/>
    </row>
    <row r="159" spans="1:26" ht="14.25" customHeight="1">
      <c r="A159" s="15">
        <v>166</v>
      </c>
      <c r="B159" s="25"/>
      <c r="C159" s="15"/>
      <c r="D159" s="16"/>
      <c r="E159" s="16"/>
      <c r="F159" s="15"/>
      <c r="G159" s="25"/>
      <c r="H159" s="297"/>
      <c r="I159" s="297"/>
      <c r="J159" s="25"/>
      <c r="K159" s="297"/>
      <c r="L159" s="297"/>
      <c r="M159" s="24"/>
      <c r="N159" s="135"/>
      <c r="O159" s="15"/>
      <c r="P159" s="19"/>
      <c r="Q159" s="15"/>
      <c r="R159" s="24"/>
      <c r="S159" s="236"/>
      <c r="T159" s="15"/>
      <c r="U159" s="135"/>
      <c r="V159" s="135"/>
      <c r="W159" s="15"/>
      <c r="X159" s="135"/>
      <c r="Y159" s="135"/>
      <c r="Z159" s="18"/>
    </row>
    <row r="160" spans="1:26" ht="14.25" customHeight="1">
      <c r="A160" s="15">
        <v>167</v>
      </c>
      <c r="B160" s="25"/>
      <c r="C160" s="15"/>
      <c r="D160" s="16"/>
      <c r="E160" s="16"/>
      <c r="F160" s="15"/>
      <c r="G160" s="16"/>
      <c r="H160" s="297"/>
      <c r="I160" s="297"/>
      <c r="J160" s="25"/>
      <c r="K160" s="297"/>
      <c r="L160" s="297"/>
      <c r="M160" s="24"/>
      <c r="N160" s="135"/>
      <c r="O160" s="15"/>
      <c r="P160" s="19"/>
      <c r="Q160" s="15"/>
      <c r="R160" s="24"/>
      <c r="S160" s="236"/>
      <c r="T160" s="15"/>
      <c r="U160" s="135"/>
      <c r="V160" s="135"/>
      <c r="W160" s="15"/>
      <c r="X160" s="135"/>
      <c r="Y160" s="135"/>
      <c r="Z160" s="18"/>
    </row>
    <row r="161" spans="1:26" ht="14.25" customHeight="1">
      <c r="A161" s="15">
        <v>168</v>
      </c>
      <c r="B161" s="25"/>
      <c r="C161" s="15"/>
      <c r="D161" s="16"/>
      <c r="E161" s="16"/>
      <c r="F161" s="16"/>
      <c r="G161" s="16"/>
      <c r="H161" s="297"/>
      <c r="I161" s="297"/>
      <c r="J161" s="25"/>
      <c r="K161" s="297"/>
      <c r="L161" s="297"/>
      <c r="M161" s="24"/>
      <c r="N161" s="135"/>
      <c r="O161" s="15"/>
      <c r="P161" s="19"/>
      <c r="Q161" s="15"/>
      <c r="R161" s="24"/>
      <c r="S161" s="236"/>
      <c r="T161" s="15"/>
      <c r="U161" s="135"/>
      <c r="V161" s="135"/>
      <c r="W161" s="15"/>
      <c r="X161" s="135"/>
      <c r="Y161" s="135"/>
      <c r="Z161" s="18"/>
    </row>
    <row r="162" spans="1:26" ht="14.25" customHeight="1">
      <c r="A162" s="15">
        <v>169</v>
      </c>
      <c r="B162" s="25"/>
      <c r="C162" s="15"/>
      <c r="D162" s="16"/>
      <c r="E162" s="16"/>
      <c r="F162" s="16"/>
      <c r="G162" s="16"/>
      <c r="H162" s="297"/>
      <c r="I162" s="297"/>
      <c r="J162" s="25"/>
      <c r="K162" s="297"/>
      <c r="L162" s="297"/>
      <c r="M162" s="24"/>
      <c r="N162" s="135"/>
      <c r="O162" s="15"/>
      <c r="P162" s="19"/>
      <c r="Q162" s="15"/>
      <c r="R162" s="24"/>
      <c r="S162" s="236"/>
      <c r="T162" s="15"/>
      <c r="U162" s="135"/>
      <c r="V162" s="135"/>
      <c r="W162" s="15"/>
      <c r="X162" s="135"/>
      <c r="Y162" s="135"/>
      <c r="Z162" s="18"/>
    </row>
    <row r="163" spans="1:26" ht="14.25" customHeight="1">
      <c r="A163" s="15">
        <v>170</v>
      </c>
      <c r="B163" s="25"/>
      <c r="C163" s="15"/>
      <c r="D163" s="16"/>
      <c r="E163" s="16"/>
      <c r="F163" s="16"/>
      <c r="G163" s="16"/>
      <c r="H163" s="297"/>
      <c r="I163" s="297"/>
      <c r="J163" s="25"/>
      <c r="K163" s="297"/>
      <c r="L163" s="297"/>
      <c r="M163" s="24"/>
      <c r="N163" s="135"/>
      <c r="O163" s="15"/>
      <c r="P163" s="24"/>
      <c r="Q163" s="25"/>
      <c r="R163" s="24"/>
      <c r="S163" s="236"/>
      <c r="T163" s="15"/>
      <c r="U163" s="135"/>
      <c r="V163" s="135"/>
      <c r="W163" s="15"/>
      <c r="X163" s="135"/>
      <c r="Y163" s="135"/>
      <c r="Z163" s="18"/>
    </row>
    <row r="164" spans="1:26" ht="14.25" customHeight="1">
      <c r="A164" s="15">
        <v>171</v>
      </c>
      <c r="B164" s="25"/>
      <c r="C164" s="15"/>
      <c r="D164" s="16"/>
      <c r="E164" s="16"/>
      <c r="F164" s="16"/>
      <c r="G164" s="16"/>
      <c r="H164" s="297"/>
      <c r="I164" s="297"/>
      <c r="J164" s="25"/>
      <c r="K164" s="297"/>
      <c r="L164" s="297"/>
      <c r="M164" s="24"/>
      <c r="N164" s="135"/>
      <c r="O164" s="15"/>
      <c r="P164" s="24"/>
      <c r="Q164" s="25"/>
      <c r="R164" s="24"/>
      <c r="S164" s="236"/>
      <c r="T164" s="15"/>
      <c r="U164" s="135"/>
      <c r="V164" s="135"/>
      <c r="W164" s="15"/>
      <c r="X164" s="135"/>
      <c r="Y164" s="135"/>
      <c r="Z164" s="18"/>
    </row>
    <row r="165" spans="1:26" ht="14.25" customHeight="1">
      <c r="A165" s="15">
        <v>172</v>
      </c>
      <c r="B165" s="25"/>
      <c r="C165" s="15"/>
      <c r="D165" s="16"/>
      <c r="E165" s="16"/>
      <c r="F165" s="16"/>
      <c r="G165" s="16"/>
      <c r="H165" s="297"/>
      <c r="I165" s="297"/>
      <c r="J165" s="25"/>
      <c r="K165" s="297"/>
      <c r="L165" s="297"/>
      <c r="M165" s="24"/>
      <c r="N165" s="135"/>
      <c r="O165" s="15"/>
      <c r="P165" s="24"/>
      <c r="Q165" s="25"/>
      <c r="R165" s="24"/>
      <c r="S165" s="236"/>
      <c r="T165" s="15"/>
      <c r="U165" s="135"/>
      <c r="V165" s="135"/>
      <c r="W165" s="15"/>
      <c r="X165" s="135"/>
      <c r="Y165" s="135"/>
      <c r="Z165" s="18"/>
    </row>
    <row r="166" spans="1:26" ht="14.25" customHeight="1">
      <c r="A166" s="15">
        <v>173</v>
      </c>
      <c r="B166" s="25"/>
      <c r="C166" s="15"/>
      <c r="D166" s="16"/>
      <c r="E166" s="16"/>
      <c r="F166" s="16"/>
      <c r="G166" s="16"/>
      <c r="H166" s="297"/>
      <c r="I166" s="297"/>
      <c r="J166" s="25"/>
      <c r="K166" s="297"/>
      <c r="L166" s="297"/>
      <c r="M166" s="24"/>
      <c r="N166" s="135"/>
      <c r="O166" s="15"/>
      <c r="P166" s="24"/>
      <c r="Q166" s="25"/>
      <c r="R166" s="24"/>
      <c r="S166" s="236"/>
      <c r="T166" s="15"/>
      <c r="U166" s="135"/>
      <c r="V166" s="135"/>
      <c r="W166" s="15"/>
      <c r="X166" s="135"/>
      <c r="Y166" s="135"/>
      <c r="Z166" s="18"/>
    </row>
    <row r="167" spans="1:26" ht="14.25" customHeight="1">
      <c r="A167" s="15">
        <v>174</v>
      </c>
      <c r="B167" s="25"/>
      <c r="C167" s="15"/>
      <c r="D167" s="16"/>
      <c r="E167" s="16"/>
      <c r="F167" s="16"/>
      <c r="G167" s="16"/>
      <c r="H167" s="297"/>
      <c r="I167" s="297"/>
      <c r="J167" s="25"/>
      <c r="K167" s="297"/>
      <c r="L167" s="297"/>
      <c r="M167" s="24"/>
      <c r="N167" s="135"/>
      <c r="O167" s="15"/>
      <c r="P167" s="24"/>
      <c r="Q167" s="25"/>
      <c r="R167" s="24"/>
      <c r="S167" s="236"/>
      <c r="T167" s="15"/>
      <c r="U167" s="135"/>
      <c r="V167" s="135"/>
      <c r="W167" s="15"/>
      <c r="X167" s="135"/>
      <c r="Y167" s="135"/>
      <c r="Z167" s="18"/>
    </row>
    <row r="168" spans="1:26" ht="14.25" customHeight="1">
      <c r="A168" s="15">
        <v>175</v>
      </c>
      <c r="B168" s="25"/>
      <c r="C168" s="15"/>
      <c r="D168" s="16"/>
      <c r="E168" s="16"/>
      <c r="F168" s="16"/>
      <c r="G168" s="16"/>
      <c r="H168" s="297"/>
      <c r="I168" s="297"/>
      <c r="J168" s="15"/>
      <c r="K168" s="297"/>
      <c r="L168" s="297"/>
      <c r="M168" s="24"/>
      <c r="N168" s="135"/>
      <c r="O168" s="15"/>
      <c r="P168" s="24"/>
      <c r="Q168" s="25"/>
      <c r="R168" s="24"/>
      <c r="S168" s="236"/>
      <c r="T168" s="15"/>
      <c r="U168" s="135"/>
      <c r="V168" s="135"/>
      <c r="W168" s="15"/>
      <c r="X168" s="135"/>
      <c r="Y168" s="135"/>
      <c r="Z168" s="18"/>
    </row>
    <row r="169" spans="1:26" ht="14.25" customHeight="1">
      <c r="A169" s="15">
        <v>176</v>
      </c>
      <c r="B169" s="25"/>
      <c r="C169" s="15"/>
      <c r="D169" s="16"/>
      <c r="E169" s="16"/>
      <c r="F169" s="16"/>
      <c r="G169" s="16"/>
      <c r="H169" s="297"/>
      <c r="I169" s="297"/>
      <c r="J169" s="15"/>
      <c r="K169" s="297"/>
      <c r="L169" s="297"/>
      <c r="M169" s="24"/>
      <c r="N169" s="135"/>
      <c r="O169" s="15"/>
      <c r="P169" s="24"/>
      <c r="Q169" s="25"/>
      <c r="R169" s="24"/>
      <c r="S169" s="236"/>
      <c r="T169" s="15"/>
      <c r="U169" s="135"/>
      <c r="V169" s="135"/>
      <c r="W169" s="15"/>
      <c r="X169" s="135"/>
      <c r="Y169" s="135"/>
      <c r="Z169" s="18"/>
    </row>
    <row r="170" spans="1:26" ht="14.25" customHeight="1">
      <c r="A170" s="15">
        <v>177</v>
      </c>
      <c r="B170" s="25"/>
      <c r="C170" s="15"/>
      <c r="D170" s="16"/>
      <c r="E170" s="16"/>
      <c r="F170" s="16"/>
      <c r="G170" s="16"/>
      <c r="H170" s="297"/>
      <c r="I170" s="297"/>
      <c r="J170" s="15"/>
      <c r="K170" s="297"/>
      <c r="L170" s="297"/>
      <c r="M170" s="24"/>
      <c r="N170" s="135"/>
      <c r="O170" s="15"/>
      <c r="P170" s="24"/>
      <c r="Q170" s="25"/>
      <c r="R170" s="24"/>
      <c r="S170" s="236"/>
      <c r="T170" s="15"/>
      <c r="U170" s="135"/>
      <c r="V170" s="135"/>
      <c r="W170" s="15"/>
      <c r="X170" s="135"/>
      <c r="Y170" s="135"/>
      <c r="Z170" s="18"/>
    </row>
    <row r="171" spans="1:26" ht="14.25" customHeight="1">
      <c r="A171" s="15">
        <v>178</v>
      </c>
      <c r="B171" s="25"/>
      <c r="C171" s="15"/>
      <c r="D171" s="16"/>
      <c r="E171" s="16"/>
      <c r="F171" s="16"/>
      <c r="G171" s="16"/>
      <c r="H171" s="297"/>
      <c r="I171" s="297"/>
      <c r="J171" s="16"/>
      <c r="K171" s="297"/>
      <c r="L171" s="297"/>
      <c r="M171" s="24"/>
      <c r="N171" s="15"/>
      <c r="O171" s="15"/>
      <c r="P171" s="187"/>
      <c r="Q171" s="15"/>
      <c r="R171" s="24"/>
      <c r="S171" s="236"/>
      <c r="T171" s="15"/>
      <c r="U171" s="135"/>
      <c r="V171" s="135"/>
      <c r="W171" s="15"/>
      <c r="X171" s="135"/>
      <c r="Y171" s="135"/>
      <c r="Z171" s="18"/>
    </row>
    <row r="172" spans="1:26" ht="14.25" customHeight="1">
      <c r="A172" s="15">
        <v>179</v>
      </c>
      <c r="B172" s="25"/>
      <c r="C172" s="15"/>
      <c r="D172" s="16"/>
      <c r="E172" s="16"/>
      <c r="F172" s="16"/>
      <c r="G172" s="16"/>
      <c r="H172" s="297"/>
      <c r="I172" s="297"/>
      <c r="J172" s="16"/>
      <c r="K172" s="297"/>
      <c r="L172" s="297"/>
      <c r="M172" s="15"/>
      <c r="N172" s="135"/>
      <c r="O172" s="15"/>
      <c r="P172" s="24"/>
      <c r="Q172" s="15"/>
      <c r="R172" s="24"/>
      <c r="S172" s="236"/>
      <c r="T172" s="15"/>
      <c r="U172" s="135"/>
      <c r="V172" s="135"/>
      <c r="W172" s="15"/>
      <c r="X172" s="135"/>
      <c r="Y172" s="135"/>
      <c r="Z172" s="18"/>
    </row>
    <row r="173" spans="1:26" ht="14.25" customHeight="1">
      <c r="A173" s="15">
        <v>180</v>
      </c>
      <c r="B173" s="25"/>
      <c r="C173" s="15"/>
      <c r="D173" s="16"/>
      <c r="E173" s="16"/>
      <c r="F173" s="16"/>
      <c r="G173" s="16"/>
      <c r="H173" s="297"/>
      <c r="I173" s="297"/>
      <c r="J173" s="16"/>
      <c r="K173" s="297"/>
      <c r="L173" s="297"/>
      <c r="M173" s="24"/>
      <c r="N173" s="135"/>
      <c r="O173" s="15"/>
      <c r="P173" s="24"/>
      <c r="Q173" s="15"/>
      <c r="R173" s="24"/>
      <c r="S173" s="236"/>
      <c r="T173" s="15"/>
      <c r="U173" s="135"/>
      <c r="V173" s="135"/>
      <c r="W173" s="15"/>
      <c r="X173" s="135"/>
      <c r="Y173" s="135"/>
      <c r="Z173" s="18"/>
    </row>
    <row r="174" spans="1:26" ht="14.25" customHeight="1">
      <c r="A174" s="15">
        <v>181</v>
      </c>
      <c r="B174" s="25"/>
      <c r="C174" s="15"/>
      <c r="D174" s="16"/>
      <c r="E174" s="16"/>
      <c r="F174" s="16"/>
      <c r="G174" s="16"/>
      <c r="H174" s="297"/>
      <c r="I174" s="297"/>
      <c r="J174" s="16"/>
      <c r="K174" s="297"/>
      <c r="L174" s="297"/>
      <c r="M174" s="24"/>
      <c r="N174" s="135"/>
      <c r="O174" s="15"/>
      <c r="P174" s="24"/>
      <c r="Q174" s="15"/>
      <c r="R174" s="24"/>
      <c r="S174" s="236"/>
      <c r="T174" s="15"/>
      <c r="U174" s="135"/>
      <c r="V174" s="135"/>
      <c r="W174" s="15"/>
      <c r="X174" s="135"/>
      <c r="Y174" s="135"/>
      <c r="Z174" s="18"/>
    </row>
    <row r="175" spans="1:26" ht="14.25" customHeight="1">
      <c r="A175" s="15">
        <v>182</v>
      </c>
      <c r="B175" s="25"/>
      <c r="C175" s="15"/>
      <c r="D175" s="16"/>
      <c r="E175" s="16"/>
      <c r="F175" s="16"/>
      <c r="G175" s="16"/>
      <c r="H175" s="297"/>
      <c r="I175" s="297"/>
      <c r="J175" s="16"/>
      <c r="K175" s="297"/>
      <c r="L175" s="297"/>
      <c r="M175" s="24"/>
      <c r="N175" s="135"/>
      <c r="O175" s="15"/>
      <c r="P175" s="24"/>
      <c r="Q175" s="15"/>
      <c r="R175" s="24"/>
      <c r="S175" s="236"/>
      <c r="T175" s="15"/>
      <c r="U175" s="135"/>
      <c r="V175" s="135"/>
      <c r="W175" s="15"/>
      <c r="X175" s="135"/>
      <c r="Y175" s="135"/>
      <c r="Z175" s="18"/>
    </row>
    <row r="176" spans="1:26" ht="14.25" customHeight="1">
      <c r="A176" s="15">
        <v>183</v>
      </c>
      <c r="B176" s="25"/>
      <c r="C176" s="15"/>
      <c r="D176" s="16"/>
      <c r="E176" s="16"/>
      <c r="F176" s="16"/>
      <c r="G176" s="16"/>
      <c r="H176" s="297"/>
      <c r="I176" s="297"/>
      <c r="J176" s="16"/>
      <c r="K176" s="297"/>
      <c r="L176" s="297"/>
      <c r="M176" s="24"/>
      <c r="N176" s="135"/>
      <c r="O176" s="15"/>
      <c r="P176" s="24"/>
      <c r="Q176" s="15"/>
      <c r="R176" s="24"/>
      <c r="S176" s="236"/>
      <c r="T176" s="15"/>
      <c r="U176" s="135"/>
      <c r="V176" s="135"/>
      <c r="W176" s="15"/>
      <c r="X176" s="135"/>
      <c r="Y176" s="135"/>
      <c r="Z176" s="18"/>
    </row>
    <row r="177" spans="1:26" ht="14.25" customHeight="1">
      <c r="A177" s="15">
        <v>184</v>
      </c>
      <c r="B177" s="25"/>
      <c r="C177" s="15"/>
      <c r="D177" s="16"/>
      <c r="E177" s="16"/>
      <c r="F177" s="16"/>
      <c r="G177" s="16"/>
      <c r="H177" s="297"/>
      <c r="I177" s="297"/>
      <c r="J177" s="16"/>
      <c r="K177" s="297"/>
      <c r="L177" s="297"/>
      <c r="M177" s="24"/>
      <c r="N177" s="135"/>
      <c r="O177" s="15"/>
      <c r="P177" s="24"/>
      <c r="Q177" s="15"/>
      <c r="R177" s="24"/>
      <c r="S177" s="236"/>
      <c r="T177" s="15"/>
      <c r="U177" s="135"/>
      <c r="V177" s="135"/>
      <c r="W177" s="15"/>
      <c r="X177" s="135"/>
      <c r="Y177" s="135"/>
      <c r="Z177" s="18"/>
    </row>
    <row r="178" spans="1:26" ht="14.25" customHeight="1">
      <c r="A178" s="15">
        <v>185</v>
      </c>
      <c r="B178" s="25"/>
      <c r="C178" s="15"/>
      <c r="D178" s="16"/>
      <c r="E178" s="16"/>
      <c r="F178" s="16"/>
      <c r="G178" s="16"/>
      <c r="H178" s="297"/>
      <c r="I178" s="297"/>
      <c r="J178" s="16"/>
      <c r="K178" s="297"/>
      <c r="L178" s="297"/>
      <c r="M178" s="24"/>
      <c r="N178" s="135"/>
      <c r="O178" s="15"/>
      <c r="P178" s="24"/>
      <c r="Q178" s="15"/>
      <c r="R178" s="24"/>
      <c r="S178" s="236"/>
      <c r="T178" s="15"/>
      <c r="U178" s="135"/>
      <c r="V178" s="135"/>
      <c r="W178" s="15"/>
      <c r="X178" s="135"/>
      <c r="Y178" s="135"/>
      <c r="Z178" s="18"/>
    </row>
    <row r="179" spans="1:26" ht="14.25" customHeight="1">
      <c r="A179" s="15">
        <v>186</v>
      </c>
      <c r="B179" s="25"/>
      <c r="C179" s="15"/>
      <c r="D179" s="16"/>
      <c r="E179" s="16"/>
      <c r="F179" s="16"/>
      <c r="G179" s="16"/>
      <c r="H179" s="297"/>
      <c r="I179" s="297"/>
      <c r="J179" s="16"/>
      <c r="K179" s="297"/>
      <c r="L179" s="297"/>
      <c r="M179" s="24"/>
      <c r="N179" s="135"/>
      <c r="O179" s="15"/>
      <c r="P179" s="24"/>
      <c r="Q179" s="15"/>
      <c r="R179" s="24"/>
      <c r="S179" s="236"/>
      <c r="T179" s="15"/>
      <c r="U179" s="135"/>
      <c r="V179" s="135"/>
      <c r="W179" s="15"/>
      <c r="X179" s="135"/>
      <c r="Y179" s="135"/>
      <c r="Z179" s="18"/>
    </row>
    <row r="180" spans="1:26" ht="14.25" customHeight="1">
      <c r="A180" s="15">
        <v>187</v>
      </c>
      <c r="B180" s="25"/>
      <c r="C180" s="15"/>
      <c r="D180" s="16"/>
      <c r="E180" s="16"/>
      <c r="F180" s="16"/>
      <c r="G180" s="16"/>
      <c r="H180" s="297"/>
      <c r="I180" s="297"/>
      <c r="J180" s="16"/>
      <c r="K180" s="297"/>
      <c r="L180" s="297"/>
      <c r="M180" s="24"/>
      <c r="N180" s="135"/>
      <c r="O180" s="15"/>
      <c r="P180" s="24"/>
      <c r="Q180" s="15"/>
      <c r="R180" s="24"/>
      <c r="S180" s="236"/>
      <c r="T180" s="15"/>
      <c r="U180" s="135"/>
      <c r="V180" s="135"/>
      <c r="W180" s="15"/>
      <c r="X180" s="135"/>
      <c r="Y180" s="135"/>
      <c r="Z180" s="18"/>
    </row>
    <row r="181" spans="1:26" ht="14.25" customHeight="1">
      <c r="A181" s="15">
        <v>188</v>
      </c>
      <c r="B181" s="25"/>
      <c r="C181" s="15"/>
      <c r="D181" s="16"/>
      <c r="E181" s="16"/>
      <c r="F181" s="16"/>
      <c r="G181" s="16"/>
      <c r="H181" s="135"/>
      <c r="I181" s="135"/>
      <c r="J181" s="16"/>
      <c r="K181" s="297"/>
      <c r="L181" s="297"/>
      <c r="M181" s="24"/>
      <c r="N181" s="15"/>
      <c r="O181" s="15"/>
      <c r="P181" s="24"/>
      <c r="Q181" s="15"/>
      <c r="R181" s="24"/>
      <c r="S181" s="236"/>
      <c r="T181" s="15"/>
      <c r="U181" s="135"/>
      <c r="V181" s="135"/>
      <c r="W181" s="15"/>
      <c r="X181" s="135"/>
      <c r="Y181" s="135"/>
      <c r="Z181" s="18"/>
    </row>
    <row r="182" spans="1:26" ht="14.25" customHeight="1">
      <c r="A182" s="15">
        <v>189</v>
      </c>
      <c r="B182" s="25"/>
      <c r="C182" s="15"/>
      <c r="D182" s="16"/>
      <c r="E182" s="16"/>
      <c r="F182" s="16"/>
      <c r="G182" s="16"/>
      <c r="H182" s="135"/>
      <c r="I182" s="135"/>
      <c r="J182" s="16"/>
      <c r="K182" s="297"/>
      <c r="L182" s="297"/>
      <c r="M182" s="15"/>
      <c r="N182" s="15"/>
      <c r="O182" s="15"/>
      <c r="P182" s="24"/>
      <c r="Q182" s="15"/>
      <c r="R182" s="24"/>
      <c r="S182" s="236"/>
      <c r="T182" s="15"/>
      <c r="U182" s="135"/>
      <c r="V182" s="135"/>
      <c r="W182" s="15"/>
      <c r="X182" s="135"/>
      <c r="Y182" s="135"/>
      <c r="Z182" s="18"/>
    </row>
    <row r="183" spans="1:26" ht="14.25" customHeight="1">
      <c r="A183" s="15">
        <v>190</v>
      </c>
      <c r="B183" s="25"/>
      <c r="C183" s="15"/>
      <c r="D183" s="16"/>
      <c r="E183" s="16"/>
      <c r="F183" s="16"/>
      <c r="G183" s="16"/>
      <c r="H183" s="135"/>
      <c r="I183" s="135"/>
      <c r="J183" s="16"/>
      <c r="K183" s="297"/>
      <c r="L183" s="297"/>
      <c r="M183" s="24"/>
      <c r="N183" s="135"/>
      <c r="O183" s="15"/>
      <c r="P183" s="24"/>
      <c r="Q183" s="15"/>
      <c r="R183" s="24"/>
      <c r="S183" s="236"/>
      <c r="T183" s="15"/>
      <c r="U183" s="135"/>
      <c r="V183" s="135"/>
      <c r="W183" s="15"/>
      <c r="X183" s="135"/>
      <c r="Y183" s="135"/>
      <c r="Z183" s="18"/>
    </row>
    <row r="184" spans="1:26" ht="14.25" customHeight="1">
      <c r="A184" s="15">
        <v>191</v>
      </c>
      <c r="B184" s="25"/>
      <c r="C184" s="15"/>
      <c r="D184" s="16"/>
      <c r="E184" s="16"/>
      <c r="F184" s="16"/>
      <c r="G184" s="16"/>
      <c r="H184" s="135"/>
      <c r="I184" s="135"/>
      <c r="J184" s="16"/>
      <c r="K184" s="297"/>
      <c r="L184" s="297"/>
      <c r="M184" s="24"/>
      <c r="N184" s="135"/>
      <c r="O184" s="15"/>
      <c r="P184" s="24"/>
      <c r="Q184" s="15"/>
      <c r="R184" s="24"/>
      <c r="S184" s="236"/>
      <c r="T184" s="15"/>
      <c r="U184" s="135"/>
      <c r="V184" s="135"/>
      <c r="W184" s="15"/>
      <c r="X184" s="135"/>
      <c r="Y184" s="135"/>
      <c r="Z184" s="18"/>
    </row>
    <row r="185" spans="1:26" ht="14.25" customHeight="1">
      <c r="A185" s="15">
        <v>192</v>
      </c>
      <c r="B185" s="25"/>
      <c r="C185" s="15"/>
      <c r="D185" s="16"/>
      <c r="E185" s="16"/>
      <c r="F185" s="16"/>
      <c r="G185" s="16"/>
      <c r="H185" s="135"/>
      <c r="I185" s="135"/>
      <c r="J185" s="16"/>
      <c r="K185" s="297"/>
      <c r="L185" s="297"/>
      <c r="M185" s="24"/>
      <c r="N185" s="15"/>
      <c r="O185" s="15"/>
      <c r="P185" s="24"/>
      <c r="Q185" s="15"/>
      <c r="R185" s="24"/>
      <c r="S185" s="236"/>
      <c r="T185" s="15"/>
      <c r="U185" s="135"/>
      <c r="V185" s="135"/>
      <c r="W185" s="15"/>
      <c r="X185" s="135"/>
      <c r="Y185" s="135"/>
      <c r="Z185" s="18"/>
    </row>
    <row r="186" spans="1:26" ht="14.25" customHeight="1">
      <c r="A186" s="15">
        <v>193</v>
      </c>
      <c r="B186" s="25"/>
      <c r="C186" s="15"/>
      <c r="D186" s="16"/>
      <c r="E186" s="16"/>
      <c r="F186" s="16"/>
      <c r="G186" s="16"/>
      <c r="H186" s="135"/>
      <c r="I186" s="135"/>
      <c r="J186" s="16"/>
      <c r="K186" s="297"/>
      <c r="L186" s="297"/>
      <c r="M186" s="15"/>
      <c r="N186" s="135"/>
      <c r="O186" s="15"/>
      <c r="P186" s="24"/>
      <c r="Q186" s="15"/>
      <c r="R186" s="24"/>
      <c r="S186" s="236"/>
      <c r="T186" s="15"/>
      <c r="U186" s="135"/>
      <c r="V186" s="135"/>
      <c r="W186" s="15"/>
      <c r="X186" s="135"/>
      <c r="Y186" s="135"/>
      <c r="Z186" s="18"/>
    </row>
    <row r="187" spans="1:26" ht="14.25" customHeight="1">
      <c r="A187" s="15">
        <v>194</v>
      </c>
      <c r="B187" s="25"/>
      <c r="C187" s="15"/>
      <c r="D187" s="16"/>
      <c r="E187" s="16"/>
      <c r="F187" s="16"/>
      <c r="G187" s="16"/>
      <c r="H187" s="135"/>
      <c r="I187" s="135"/>
      <c r="J187" s="16"/>
      <c r="K187" s="297"/>
      <c r="L187" s="297"/>
      <c r="M187" s="15"/>
      <c r="N187" s="15"/>
      <c r="O187" s="15"/>
      <c r="P187" s="104"/>
      <c r="Q187" s="35"/>
      <c r="R187" s="24"/>
      <c r="S187" s="236"/>
      <c r="T187" s="15"/>
      <c r="U187" s="135"/>
      <c r="V187" s="135"/>
      <c r="W187" s="15"/>
      <c r="X187" s="135"/>
      <c r="Y187" s="135"/>
      <c r="Z187" s="18"/>
    </row>
    <row r="188" spans="1:26" ht="14.25" customHeight="1">
      <c r="A188" s="15">
        <v>195</v>
      </c>
      <c r="B188" s="25"/>
      <c r="C188" s="15"/>
      <c r="D188" s="16"/>
      <c r="E188" s="16"/>
      <c r="F188" s="16"/>
      <c r="G188" s="25"/>
      <c r="H188" s="135"/>
      <c r="I188" s="135"/>
      <c r="J188" s="16"/>
      <c r="K188" s="135"/>
      <c r="L188" s="135"/>
      <c r="M188" s="24"/>
      <c r="N188" s="15"/>
      <c r="O188" s="15"/>
      <c r="P188" s="104"/>
      <c r="Q188" s="35"/>
      <c r="R188" s="24"/>
      <c r="S188" s="236"/>
      <c r="T188" s="15"/>
      <c r="U188" s="135"/>
      <c r="V188" s="135"/>
      <c r="W188" s="15"/>
      <c r="X188" s="135"/>
      <c r="Y188" s="135"/>
      <c r="Z188" s="18"/>
    </row>
    <row r="189" spans="1:26" ht="14.25" customHeight="1">
      <c r="A189" s="15">
        <v>196</v>
      </c>
      <c r="B189" s="25"/>
      <c r="C189" s="15"/>
      <c r="D189" s="16"/>
      <c r="E189" s="16"/>
      <c r="F189" s="16"/>
      <c r="G189" s="25"/>
      <c r="H189" s="135"/>
      <c r="I189" s="135"/>
      <c r="J189" s="16"/>
      <c r="K189" s="135"/>
      <c r="L189" s="135"/>
      <c r="M189" s="15"/>
      <c r="N189" s="15"/>
      <c r="O189" s="15"/>
      <c r="P189" s="104"/>
      <c r="Q189" s="35"/>
      <c r="R189" s="24"/>
      <c r="S189" s="236"/>
      <c r="T189" s="15"/>
      <c r="U189" s="135"/>
      <c r="V189" s="135"/>
      <c r="W189" s="15"/>
      <c r="X189" s="135"/>
      <c r="Y189" s="135"/>
      <c r="Z189" s="18"/>
    </row>
    <row r="190" spans="1:26" ht="14.25" customHeight="1">
      <c r="A190" s="15">
        <v>197</v>
      </c>
      <c r="B190" s="25"/>
      <c r="C190" s="15"/>
      <c r="D190" s="16"/>
      <c r="E190" s="16"/>
      <c r="F190" s="16"/>
      <c r="G190" s="25"/>
      <c r="H190" s="135"/>
      <c r="I190" s="135"/>
      <c r="J190" s="16"/>
      <c r="K190" s="135"/>
      <c r="L190" s="135"/>
      <c r="M190" s="24"/>
      <c r="N190" s="15"/>
      <c r="O190" s="15"/>
      <c r="P190" s="104"/>
      <c r="Q190" s="35"/>
      <c r="R190" s="35"/>
      <c r="S190" s="237"/>
      <c r="T190" s="15"/>
      <c r="U190" s="135"/>
      <c r="V190" s="135"/>
      <c r="W190" s="15"/>
      <c r="X190" s="135"/>
      <c r="Y190" s="135"/>
      <c r="Z190" s="24"/>
    </row>
    <row r="191" spans="1:26" ht="14.25" customHeight="1">
      <c r="A191" s="15">
        <v>198</v>
      </c>
      <c r="B191" s="25"/>
      <c r="C191" s="15"/>
      <c r="D191" s="16"/>
      <c r="E191" s="16"/>
      <c r="F191" s="16"/>
      <c r="G191" s="25"/>
      <c r="H191" s="135"/>
      <c r="I191" s="135"/>
      <c r="J191" s="16"/>
      <c r="K191" s="135"/>
      <c r="L191" s="135"/>
      <c r="M191" s="15"/>
      <c r="N191" s="15"/>
      <c r="O191" s="24"/>
      <c r="P191" s="104"/>
      <c r="Q191" s="35"/>
      <c r="R191" s="24"/>
      <c r="S191" s="236"/>
      <c r="T191" s="15"/>
      <c r="U191" s="135"/>
      <c r="V191" s="135"/>
      <c r="W191" s="15"/>
      <c r="X191" s="135"/>
      <c r="Y191" s="135"/>
      <c r="Z191" s="24"/>
    </row>
    <row r="192" spans="1:26" ht="14.25" customHeight="1">
      <c r="A192" s="15">
        <v>199</v>
      </c>
      <c r="B192" s="25"/>
      <c r="C192" s="15"/>
      <c r="D192" s="16"/>
      <c r="E192" s="16"/>
      <c r="F192" s="16"/>
      <c r="G192" s="25"/>
      <c r="H192" s="135"/>
      <c r="I192" s="135"/>
      <c r="J192" s="16"/>
      <c r="K192" s="135"/>
      <c r="L192" s="135"/>
      <c r="M192" s="15"/>
      <c r="N192" s="135"/>
      <c r="O192" s="24"/>
      <c r="P192" s="24"/>
      <c r="Q192" s="25"/>
      <c r="R192" s="24"/>
      <c r="S192" s="236"/>
      <c r="T192" s="15"/>
      <c r="U192" s="135"/>
      <c r="V192" s="135"/>
      <c r="W192" s="15"/>
      <c r="X192" s="135"/>
      <c r="Y192" s="135"/>
      <c r="Z192" s="24"/>
    </row>
    <row r="193" spans="1:26" ht="14.25" customHeight="1">
      <c r="A193" s="15">
        <v>200</v>
      </c>
      <c r="B193" s="25"/>
      <c r="C193" s="15"/>
      <c r="D193" s="16"/>
      <c r="E193" s="16"/>
      <c r="F193" s="16"/>
      <c r="G193" s="25"/>
      <c r="H193" s="135"/>
      <c r="I193" s="135"/>
      <c r="J193" s="16"/>
      <c r="K193" s="135"/>
      <c r="L193" s="135"/>
      <c r="M193" s="24"/>
      <c r="N193" s="24"/>
      <c r="O193" s="24"/>
      <c r="P193" s="24"/>
      <c r="Q193" s="15"/>
      <c r="R193" s="24"/>
      <c r="S193" s="236"/>
      <c r="T193" s="15"/>
      <c r="U193" s="135"/>
      <c r="V193" s="135"/>
      <c r="W193" s="15"/>
      <c r="X193" s="135"/>
      <c r="Y193" s="135"/>
      <c r="Z193" s="24"/>
    </row>
    <row r="194" spans="1:26" ht="14.25" customHeight="1">
      <c r="A194" s="15">
        <v>201</v>
      </c>
      <c r="B194" s="25"/>
      <c r="C194" s="15"/>
      <c r="D194" s="16"/>
      <c r="E194" s="16"/>
      <c r="F194" s="16"/>
      <c r="G194" s="16"/>
      <c r="H194" s="135"/>
      <c r="I194" s="135"/>
      <c r="J194" s="16"/>
      <c r="K194" s="135"/>
      <c r="L194" s="135"/>
      <c r="M194" s="24"/>
      <c r="N194" s="24"/>
      <c r="O194" s="24"/>
      <c r="P194" s="24"/>
      <c r="Q194" s="15"/>
      <c r="R194" s="24"/>
      <c r="S194" s="236"/>
      <c r="T194" s="15"/>
      <c r="U194" s="135"/>
      <c r="V194" s="135"/>
      <c r="W194" s="15"/>
      <c r="X194" s="135"/>
      <c r="Y194" s="135"/>
      <c r="Z194" s="24"/>
    </row>
    <row r="195" spans="1:26" ht="14.25" customHeight="1">
      <c r="A195" s="15">
        <v>202</v>
      </c>
      <c r="B195" s="25"/>
      <c r="C195" s="15"/>
      <c r="D195" s="16"/>
      <c r="E195" s="16"/>
      <c r="F195" s="16"/>
      <c r="G195" s="16"/>
      <c r="H195" s="135"/>
      <c r="I195" s="135"/>
      <c r="J195" s="16"/>
      <c r="K195" s="135"/>
      <c r="L195" s="135"/>
      <c r="M195" s="24"/>
      <c r="N195" s="135"/>
      <c r="O195" s="24"/>
      <c r="P195" s="24"/>
      <c r="Q195" s="25"/>
      <c r="R195" s="24"/>
      <c r="S195" s="236"/>
      <c r="T195" s="15"/>
      <c r="U195" s="135"/>
      <c r="V195" s="135"/>
      <c r="W195" s="15"/>
      <c r="X195" s="135"/>
      <c r="Y195" s="135"/>
      <c r="Z195" s="18"/>
    </row>
    <row r="196" spans="1:26" ht="14.25" customHeight="1">
      <c r="A196" s="15">
        <v>203</v>
      </c>
      <c r="B196" s="25"/>
      <c r="C196" s="15"/>
      <c r="D196" s="16"/>
      <c r="E196" s="16"/>
      <c r="F196" s="16"/>
      <c r="G196" s="16"/>
      <c r="H196" s="135"/>
      <c r="I196" s="135"/>
      <c r="J196" s="16"/>
      <c r="K196" s="135"/>
      <c r="L196" s="135"/>
      <c r="M196" s="24"/>
      <c r="N196" s="15"/>
      <c r="O196" s="15"/>
      <c r="P196" s="24"/>
      <c r="Q196" s="25"/>
      <c r="R196" s="24"/>
      <c r="S196" s="236"/>
      <c r="T196" s="15"/>
      <c r="U196" s="135"/>
      <c r="V196" s="135"/>
      <c r="W196" s="15"/>
      <c r="X196" s="135"/>
      <c r="Y196" s="135"/>
      <c r="Z196" s="18"/>
    </row>
    <row r="197" spans="1:26" ht="14.25" customHeight="1">
      <c r="A197" s="15">
        <v>204</v>
      </c>
      <c r="B197" s="25"/>
      <c r="C197" s="15"/>
      <c r="D197" s="16"/>
      <c r="E197" s="16"/>
      <c r="F197" s="16"/>
      <c r="G197" s="16"/>
      <c r="H197" s="135"/>
      <c r="I197" s="135"/>
      <c r="J197" s="16"/>
      <c r="K197" s="135"/>
      <c r="L197" s="135"/>
      <c r="M197" s="24"/>
      <c r="N197" s="135"/>
      <c r="O197" s="15"/>
      <c r="P197" s="187"/>
      <c r="Q197" s="15"/>
      <c r="R197" s="24"/>
      <c r="S197" s="236"/>
      <c r="T197" s="15"/>
      <c r="U197" s="135"/>
      <c r="V197" s="135"/>
      <c r="W197" s="15"/>
      <c r="X197" s="135"/>
      <c r="Y197" s="135"/>
      <c r="Z197" s="18"/>
    </row>
    <row r="198" spans="1:26" ht="14.25" customHeight="1">
      <c r="A198" s="15">
        <v>205</v>
      </c>
      <c r="B198" s="25"/>
      <c r="C198" s="15"/>
      <c r="D198" s="16"/>
      <c r="E198" s="16"/>
      <c r="F198" s="16"/>
      <c r="G198" s="16"/>
      <c r="H198" s="135"/>
      <c r="I198" s="135"/>
      <c r="J198" s="16"/>
      <c r="K198" s="135"/>
      <c r="L198" s="135"/>
      <c r="M198" s="24"/>
      <c r="N198" s="135"/>
      <c r="O198" s="15"/>
      <c r="P198" s="187"/>
      <c r="Q198" s="15"/>
      <c r="R198" s="24"/>
      <c r="S198" s="236"/>
      <c r="T198" s="15"/>
      <c r="U198" s="135"/>
      <c r="V198" s="135"/>
      <c r="W198" s="15"/>
      <c r="X198" s="135"/>
      <c r="Y198" s="135"/>
      <c r="Z198" s="18"/>
    </row>
    <row r="199" spans="1:26" ht="14.25" customHeight="1">
      <c r="A199" s="15">
        <v>206</v>
      </c>
      <c r="B199" s="25"/>
      <c r="C199" s="15"/>
      <c r="D199" s="16"/>
      <c r="E199" s="16"/>
      <c r="F199" s="16"/>
      <c r="G199" s="16"/>
      <c r="H199" s="135"/>
      <c r="I199" s="135"/>
      <c r="J199" s="16"/>
      <c r="K199" s="135"/>
      <c r="L199" s="135"/>
      <c r="M199" s="24"/>
      <c r="N199" s="15"/>
      <c r="O199" s="15"/>
      <c r="P199" s="187"/>
      <c r="Q199" s="15"/>
      <c r="R199" s="24"/>
      <c r="S199" s="236"/>
      <c r="T199" s="15"/>
      <c r="U199" s="135"/>
      <c r="V199" s="135"/>
      <c r="W199" s="15"/>
      <c r="X199" s="135"/>
      <c r="Y199" s="135"/>
      <c r="Z199" s="18"/>
    </row>
    <row r="200" spans="1:26" ht="14.25" customHeight="1">
      <c r="A200" s="15">
        <v>207</v>
      </c>
      <c r="B200" s="25"/>
      <c r="C200" s="15"/>
      <c r="D200" s="16"/>
      <c r="E200" s="16"/>
      <c r="F200" s="16"/>
      <c r="G200" s="16"/>
      <c r="H200" s="135"/>
      <c r="I200" s="135"/>
      <c r="J200" s="16"/>
      <c r="K200" s="135"/>
      <c r="L200" s="135"/>
      <c r="M200" s="24"/>
      <c r="N200" s="135"/>
      <c r="O200" s="15"/>
      <c r="P200" s="187"/>
      <c r="Q200" s="15"/>
      <c r="R200" s="24"/>
      <c r="S200" s="236"/>
      <c r="T200" s="15"/>
      <c r="U200" s="135"/>
      <c r="V200" s="135"/>
      <c r="W200" s="15"/>
      <c r="X200" s="135"/>
      <c r="Y200" s="135"/>
      <c r="Z200" s="18"/>
    </row>
    <row r="201" spans="1:26" ht="14.25" customHeight="1">
      <c r="A201" s="15">
        <v>208</v>
      </c>
      <c r="B201" s="25"/>
      <c r="C201" s="15"/>
      <c r="D201" s="16"/>
      <c r="E201" s="16"/>
      <c r="F201" s="16"/>
      <c r="G201" s="16"/>
      <c r="H201" s="135"/>
      <c r="I201" s="135"/>
      <c r="J201" s="16"/>
      <c r="K201" s="135"/>
      <c r="L201" s="135"/>
      <c r="M201" s="15"/>
      <c r="N201" s="135"/>
      <c r="O201" s="15"/>
      <c r="P201" s="187"/>
      <c r="Q201" s="15"/>
      <c r="R201" s="24"/>
      <c r="S201" s="236"/>
      <c r="T201" s="15"/>
      <c r="U201" s="135"/>
      <c r="V201" s="135"/>
      <c r="W201" s="15"/>
      <c r="X201" s="135"/>
      <c r="Y201" s="135"/>
      <c r="Z201" s="18"/>
    </row>
    <row r="202" spans="1:26" ht="14.25" customHeight="1">
      <c r="A202" s="15">
        <v>209</v>
      </c>
      <c r="B202" s="25"/>
      <c r="C202" s="15"/>
      <c r="D202" s="16"/>
      <c r="E202" s="16"/>
      <c r="F202" s="16"/>
      <c r="G202" s="16"/>
      <c r="H202" s="135"/>
      <c r="I202" s="135"/>
      <c r="J202" s="16"/>
      <c r="K202" s="135"/>
      <c r="L202" s="135"/>
      <c r="M202" s="24"/>
      <c r="N202" s="15"/>
      <c r="O202" s="15"/>
      <c r="P202" s="24"/>
      <c r="Q202" s="15"/>
      <c r="R202" s="24"/>
      <c r="S202" s="236"/>
      <c r="T202" s="15"/>
      <c r="U202" s="135"/>
      <c r="V202" s="135"/>
      <c r="W202" s="15"/>
      <c r="X202" s="135"/>
      <c r="Y202" s="135"/>
      <c r="Z202" s="18"/>
    </row>
    <row r="203" spans="1:26" ht="14.25" customHeight="1">
      <c r="A203" s="15">
        <v>210</v>
      </c>
      <c r="B203" s="25"/>
      <c r="C203" s="15"/>
      <c r="D203" s="16"/>
      <c r="E203" s="16"/>
      <c r="F203" s="16"/>
      <c r="G203" s="16"/>
      <c r="H203" s="135"/>
      <c r="I203" s="135"/>
      <c r="J203" s="16"/>
      <c r="K203" s="135"/>
      <c r="L203" s="135"/>
      <c r="M203" s="24"/>
      <c r="N203" s="15"/>
      <c r="O203" s="15"/>
      <c r="P203" s="24"/>
      <c r="Q203" s="15"/>
      <c r="R203" s="24"/>
      <c r="S203" s="236"/>
      <c r="T203" s="15"/>
      <c r="U203" s="135"/>
      <c r="V203" s="135"/>
      <c r="W203" s="15"/>
      <c r="X203" s="135"/>
      <c r="Y203" s="135"/>
      <c r="Z203" s="18"/>
    </row>
    <row r="204" spans="1:26" ht="14.25" customHeight="1">
      <c r="A204" s="15">
        <v>211</v>
      </c>
      <c r="B204" s="25"/>
      <c r="C204" s="15"/>
      <c r="D204" s="16"/>
      <c r="E204" s="16"/>
      <c r="F204" s="16"/>
      <c r="G204" s="16"/>
      <c r="H204" s="135"/>
      <c r="I204" s="135"/>
      <c r="J204" s="16"/>
      <c r="K204" s="135"/>
      <c r="L204" s="135"/>
      <c r="M204" s="24"/>
      <c r="N204" s="15"/>
      <c r="O204" s="15"/>
      <c r="P204" s="24"/>
      <c r="Q204" s="15"/>
      <c r="R204" s="24"/>
      <c r="S204" s="236"/>
      <c r="T204" s="15"/>
      <c r="U204" s="135"/>
      <c r="V204" s="135"/>
      <c r="W204" s="15"/>
      <c r="X204" s="135"/>
      <c r="Y204" s="135"/>
      <c r="Z204" s="18"/>
    </row>
    <row r="205" spans="1:26" ht="14.25" customHeight="1">
      <c r="A205" s="15">
        <v>212</v>
      </c>
      <c r="B205" s="25"/>
      <c r="C205" s="15"/>
      <c r="D205" s="16"/>
      <c r="E205" s="16"/>
      <c r="F205" s="16"/>
      <c r="G205" s="16"/>
      <c r="H205" s="135"/>
      <c r="I205" s="135"/>
      <c r="J205" s="16"/>
      <c r="K205" s="135"/>
      <c r="L205" s="135"/>
      <c r="M205" s="24"/>
      <c r="N205" s="15"/>
      <c r="O205" s="15"/>
      <c r="P205" s="24"/>
      <c r="Q205" s="15"/>
      <c r="R205" s="24"/>
      <c r="S205" s="236"/>
      <c r="T205" s="15"/>
      <c r="U205" s="135"/>
      <c r="V205" s="135"/>
      <c r="W205" s="15"/>
      <c r="X205" s="135"/>
      <c r="Y205" s="135"/>
      <c r="Z205" s="18"/>
    </row>
    <row r="206" spans="1:26" ht="14.25" customHeight="1">
      <c r="A206" s="15">
        <v>213</v>
      </c>
      <c r="B206" s="25"/>
      <c r="C206" s="15"/>
      <c r="D206" s="16"/>
      <c r="E206" s="16"/>
      <c r="F206" s="16"/>
      <c r="G206" s="16"/>
      <c r="H206" s="135"/>
      <c r="I206" s="135"/>
      <c r="J206" s="16"/>
      <c r="K206" s="135"/>
      <c r="L206" s="135"/>
      <c r="M206" s="24"/>
      <c r="N206" s="15"/>
      <c r="O206" s="15"/>
      <c r="P206" s="24"/>
      <c r="Q206" s="15"/>
      <c r="R206" s="24"/>
      <c r="S206" s="236"/>
      <c r="T206" s="15"/>
      <c r="U206" s="135"/>
      <c r="V206" s="135"/>
      <c r="W206" s="15"/>
      <c r="X206" s="135"/>
      <c r="Y206" s="135"/>
      <c r="Z206" s="18"/>
    </row>
    <row r="207" spans="1:26" ht="14.25" customHeight="1">
      <c r="A207" s="15">
        <v>214</v>
      </c>
      <c r="B207" s="25"/>
      <c r="C207" s="15"/>
      <c r="D207" s="16"/>
      <c r="E207" s="16"/>
      <c r="F207" s="16"/>
      <c r="G207" s="16"/>
      <c r="H207" s="135"/>
      <c r="I207" s="135"/>
      <c r="J207" s="16"/>
      <c r="K207" s="135"/>
      <c r="L207" s="135"/>
      <c r="M207" s="24"/>
      <c r="N207" s="15"/>
      <c r="O207" s="15"/>
      <c r="P207" s="24"/>
      <c r="Q207" s="25"/>
      <c r="R207" s="24"/>
      <c r="S207" s="236"/>
      <c r="T207" s="15"/>
      <c r="U207" s="135"/>
      <c r="V207" s="135"/>
      <c r="W207" s="15"/>
      <c r="X207" s="135"/>
      <c r="Y207" s="135"/>
      <c r="Z207" s="18"/>
    </row>
    <row r="208" spans="1:26" ht="14.25" customHeight="1">
      <c r="A208" s="15">
        <v>215</v>
      </c>
      <c r="B208" s="25"/>
      <c r="C208" s="15"/>
      <c r="D208" s="16"/>
      <c r="E208" s="16"/>
      <c r="F208" s="16"/>
      <c r="G208" s="16"/>
      <c r="H208" s="135"/>
      <c r="I208" s="135"/>
      <c r="J208" s="16"/>
      <c r="K208" s="135"/>
      <c r="L208" s="135"/>
      <c r="M208" s="24"/>
      <c r="N208" s="135"/>
      <c r="O208" s="15"/>
      <c r="P208" s="24"/>
      <c r="Q208" s="15"/>
      <c r="R208" s="24"/>
      <c r="S208" s="236"/>
      <c r="T208" s="15"/>
      <c r="U208" s="135"/>
      <c r="V208" s="135"/>
      <c r="W208" s="15"/>
      <c r="X208" s="135"/>
      <c r="Y208" s="135"/>
      <c r="Z208" s="18"/>
    </row>
    <row r="209" spans="1:26" ht="14.25" customHeight="1">
      <c r="A209" s="15">
        <v>216</v>
      </c>
      <c r="B209" s="25"/>
      <c r="C209" s="15"/>
      <c r="D209" s="16"/>
      <c r="E209" s="16"/>
      <c r="F209" s="16"/>
      <c r="G209" s="16"/>
      <c r="H209" s="135"/>
      <c r="I209" s="135"/>
      <c r="J209" s="16"/>
      <c r="K209" s="135"/>
      <c r="L209" s="135"/>
      <c r="M209" s="24"/>
      <c r="N209" s="135"/>
      <c r="O209" s="15"/>
      <c r="P209" s="24"/>
      <c r="Q209" s="15"/>
      <c r="R209" s="24"/>
      <c r="S209" s="236"/>
      <c r="T209" s="15"/>
      <c r="U209" s="135"/>
      <c r="V209" s="135"/>
      <c r="W209" s="15"/>
      <c r="X209" s="135"/>
      <c r="Y209" s="135"/>
      <c r="Z209" s="18"/>
    </row>
    <row r="210" spans="1:26" ht="14.25" customHeight="1">
      <c r="A210" s="15">
        <v>217</v>
      </c>
      <c r="B210" s="25"/>
      <c r="C210" s="15"/>
      <c r="D210" s="16"/>
      <c r="E210" s="16"/>
      <c r="F210" s="16"/>
      <c r="G210" s="16"/>
      <c r="H210" s="135"/>
      <c r="I210" s="135"/>
      <c r="J210" s="16"/>
      <c r="K210" s="135"/>
      <c r="L210" s="135"/>
      <c r="M210" s="24"/>
      <c r="N210" s="135"/>
      <c r="O210" s="15"/>
      <c r="P210" s="24"/>
      <c r="Q210" s="15"/>
      <c r="R210" s="24"/>
      <c r="S210" s="236"/>
      <c r="T210" s="15"/>
      <c r="U210" s="135"/>
      <c r="V210" s="135"/>
      <c r="W210" s="15"/>
      <c r="X210" s="135"/>
      <c r="Y210" s="135"/>
      <c r="Z210" s="18"/>
    </row>
    <row r="211" spans="1:26" ht="14.25" customHeight="1">
      <c r="A211" s="15">
        <v>218</v>
      </c>
      <c r="B211" s="25"/>
      <c r="C211" s="15"/>
      <c r="D211" s="16"/>
      <c r="E211" s="16"/>
      <c r="F211" s="16"/>
      <c r="G211" s="16"/>
      <c r="H211" s="135"/>
      <c r="I211" s="135"/>
      <c r="J211" s="16"/>
      <c r="K211" s="135"/>
      <c r="L211" s="135"/>
      <c r="M211" s="24"/>
      <c r="N211" s="15"/>
      <c r="O211" s="15"/>
      <c r="P211" s="24"/>
      <c r="Q211" s="15"/>
      <c r="R211" s="24"/>
      <c r="S211" s="236"/>
      <c r="T211" s="15"/>
      <c r="U211" s="135"/>
      <c r="V211" s="135"/>
      <c r="W211" s="15"/>
      <c r="X211" s="135"/>
      <c r="Y211" s="135"/>
      <c r="Z211" s="18"/>
    </row>
    <row r="212" spans="1:26" ht="14.25" customHeight="1">
      <c r="A212" s="15">
        <v>219</v>
      </c>
      <c r="B212" s="25"/>
      <c r="C212" s="15"/>
      <c r="D212" s="16"/>
      <c r="E212" s="16"/>
      <c r="F212" s="16"/>
      <c r="G212" s="16"/>
      <c r="H212" s="135"/>
      <c r="I212" s="135"/>
      <c r="J212" s="16"/>
      <c r="K212" s="135"/>
      <c r="L212" s="135"/>
      <c r="M212" s="24"/>
      <c r="N212" s="15"/>
      <c r="O212" s="15"/>
      <c r="P212" s="24"/>
      <c r="Q212" s="15"/>
      <c r="R212" s="24"/>
      <c r="S212" s="236"/>
      <c r="T212" s="15"/>
      <c r="U212" s="135"/>
      <c r="V212" s="135"/>
      <c r="W212" s="15"/>
      <c r="X212" s="135"/>
      <c r="Y212" s="135"/>
      <c r="Z212" s="18"/>
    </row>
    <row r="213" spans="1:26" ht="14.25" customHeight="1">
      <c r="A213" s="15">
        <v>220</v>
      </c>
      <c r="B213" s="25"/>
      <c r="C213" s="25"/>
      <c r="D213" s="245"/>
      <c r="E213" s="246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36"/>
      <c r="T213" s="24"/>
      <c r="U213" s="24"/>
      <c r="V213" s="24"/>
      <c r="W213" s="24"/>
      <c r="X213" s="24"/>
      <c r="Y213" s="24"/>
      <c r="Z213" s="24"/>
    </row>
    <row r="214" spans="1:26" ht="14.25" customHeight="1">
      <c r="S214" s="247"/>
    </row>
    <row r="215" spans="1:26" ht="14.25" customHeight="1">
      <c r="S215" s="247"/>
    </row>
    <row r="216" spans="1:26" ht="14.25" customHeight="1">
      <c r="S216" s="247"/>
    </row>
    <row r="217" spans="1:26" ht="14.25" customHeight="1">
      <c r="S217" s="247"/>
    </row>
    <row r="218" spans="1:26" ht="14.25" customHeight="1">
      <c r="H218" s="145">
        <v>4</v>
      </c>
      <c r="N218" s="109"/>
      <c r="O218" s="43"/>
      <c r="P218" s="109"/>
      <c r="S218" s="247"/>
    </row>
    <row r="219" spans="1:26" ht="14.25" customHeight="1">
      <c r="H219" s="145">
        <v>16</v>
      </c>
      <c r="L219" s="248">
        <f>I3-L3</f>
        <v>0</v>
      </c>
      <c r="S219" s="247"/>
    </row>
    <row r="220" spans="1:26" ht="14.25" customHeight="1">
      <c r="H220" s="145">
        <v>7</v>
      </c>
      <c r="S220" s="247"/>
    </row>
    <row r="221" spans="1:26" ht="14.25" customHeight="1">
      <c r="G221" s="16">
        <v>952</v>
      </c>
      <c r="H221" s="145">
        <f t="shared" ref="H221:H230" si="29">G221/1000</f>
        <v>0.95199999999999996</v>
      </c>
      <c r="S221" s="247"/>
    </row>
    <row r="222" spans="1:26" ht="14.25" customHeight="1">
      <c r="G222" s="16">
        <v>173.57</v>
      </c>
      <c r="H222" s="145">
        <f t="shared" si="29"/>
        <v>0.17357</v>
      </c>
      <c r="S222" s="247"/>
    </row>
    <row r="223" spans="1:26" ht="14.25" customHeight="1">
      <c r="G223" s="16">
        <v>336.5</v>
      </c>
      <c r="H223" s="145">
        <f t="shared" si="29"/>
        <v>0.33650000000000002</v>
      </c>
      <c r="S223" s="247"/>
    </row>
    <row r="224" spans="1:26" ht="14.25" customHeight="1">
      <c r="G224" s="16">
        <v>900.14</v>
      </c>
      <c r="H224" s="145">
        <f t="shared" si="29"/>
        <v>0.90013999999999994</v>
      </c>
      <c r="S224" s="247"/>
    </row>
    <row r="225" spans="7:8" ht="14.25" customHeight="1">
      <c r="G225" s="16">
        <v>1697.24</v>
      </c>
      <c r="H225" s="145">
        <f t="shared" si="29"/>
        <v>1.6972400000000001</v>
      </c>
    </row>
    <row r="226" spans="7:8" ht="14.25" customHeight="1">
      <c r="G226" s="16">
        <v>1600.078</v>
      </c>
      <c r="H226" s="145">
        <f t="shared" si="29"/>
        <v>1.6000779999999999</v>
      </c>
    </row>
    <row r="227" spans="7:8" ht="14.25" customHeight="1">
      <c r="G227" s="16">
        <v>525.89</v>
      </c>
      <c r="H227" s="145">
        <f t="shared" si="29"/>
        <v>0.52588999999999997</v>
      </c>
    </row>
    <row r="228" spans="7:8" ht="14.25" customHeight="1">
      <c r="G228" s="16">
        <v>356.279</v>
      </c>
      <c r="H228" s="145">
        <f t="shared" si="29"/>
        <v>0.35627900000000001</v>
      </c>
    </row>
    <row r="229" spans="7:8" ht="14.25" customHeight="1">
      <c r="G229" s="16">
        <v>190.524</v>
      </c>
      <c r="H229" s="145">
        <f t="shared" si="29"/>
        <v>0.190524</v>
      </c>
    </row>
    <row r="230" spans="7:8" ht="14.25" customHeight="1">
      <c r="G230" s="16">
        <v>142.38399999999999</v>
      </c>
      <c r="H230" s="145">
        <f t="shared" si="29"/>
        <v>0.14238399999999998</v>
      </c>
    </row>
  </sheetData>
  <autoFilter ref="A5:Z213" xr:uid="{00000000-0009-0000-0000-000008000000}"/>
  <mergeCells count="10">
    <mergeCell ref="J4:L4"/>
    <mergeCell ref="T4:V4"/>
    <mergeCell ref="A1:Z1"/>
    <mergeCell ref="A2:D2"/>
    <mergeCell ref="F2:R2"/>
    <mergeCell ref="T2:Z2"/>
    <mergeCell ref="A3:C3"/>
    <mergeCell ref="B4:C4"/>
    <mergeCell ref="G4:I4"/>
    <mergeCell ref="W4:Y4"/>
  </mergeCells>
  <conditionalFormatting sqref="E6:G31">
    <cfRule type="containsText" dxfId="1501" priority="12" operator="containsText" text="C">
      <formula>NOT(ISERROR(SEARCH(("C"),(E6))))</formula>
    </cfRule>
  </conditionalFormatting>
  <conditionalFormatting sqref="E34:G34">
    <cfRule type="containsText" dxfId="1500" priority="17" operator="containsText" text="C">
      <formula>NOT(ISERROR(SEARCH(("C"),(E34))))</formula>
    </cfRule>
  </conditionalFormatting>
  <conditionalFormatting sqref="E100:G100">
    <cfRule type="containsText" dxfId="1499" priority="18" operator="containsText" text="WIP">
      <formula>NOT(ISERROR(SEARCH(("WIP"),(E100))))</formula>
    </cfRule>
  </conditionalFormatting>
  <conditionalFormatting sqref="F12:F17">
    <cfRule type="containsText" dxfId="1498" priority="19" operator="containsText" text="WIP">
      <formula>NOT(ISERROR(SEARCH(("WIP"),(F12))))</formula>
    </cfRule>
  </conditionalFormatting>
  <conditionalFormatting sqref="F39">
    <cfRule type="containsText" dxfId="1497" priority="20" operator="containsText" text="WIP">
      <formula>NOT(ISERROR(SEARCH(("WIP"),(F39))))</formula>
    </cfRule>
  </conditionalFormatting>
  <conditionalFormatting sqref="F39:F45 F49:F50 E84:E100">
    <cfRule type="containsText" dxfId="1496" priority="9" operator="containsText" text="C">
      <formula>NOT(ISERROR(SEARCH(("C"),(E84))))</formula>
    </cfRule>
  </conditionalFormatting>
  <conditionalFormatting sqref="F130">
    <cfRule type="containsText" dxfId="1495" priority="21" operator="containsText" text="WIP">
      <formula>NOT(ISERROR(SEARCH(("WIP"),(F130))))</formula>
    </cfRule>
  </conditionalFormatting>
  <conditionalFormatting sqref="F131:F160">
    <cfRule type="containsText" dxfId="1494" priority="22" operator="containsText" text="C">
      <formula>NOT(ISERROR(SEARCH(("C"),(F131))))</formula>
    </cfRule>
  </conditionalFormatting>
  <conditionalFormatting sqref="F175:F186">
    <cfRule type="containsText" dxfId="1493" priority="23" operator="containsText" text="C">
      <formula>NOT(ISERROR(SEARCH(("C"),(F175))))</formula>
    </cfRule>
  </conditionalFormatting>
  <conditionalFormatting sqref="F29:G32">
    <cfRule type="containsText" dxfId="1492" priority="24" operator="containsText" text="WIP">
      <formula>NOT(ISERROR(SEARCH(("WIP"),(F29))))</formula>
    </cfRule>
  </conditionalFormatting>
  <conditionalFormatting sqref="F35:G38 E35:E59 J38 M38:N38 E63:E83">
    <cfRule type="containsText" dxfId="1491" priority="8" operator="containsText" text="C">
      <formula>NOT(ISERROR(SEARCH(("C"),(E35))))</formula>
    </cfRule>
  </conditionalFormatting>
  <conditionalFormatting sqref="F46:G49">
    <cfRule type="containsText" dxfId="1490" priority="119" operator="containsText" text="C">
      <formula>NOT(ISERROR(SEARCH(("C"),(F46))))</formula>
    </cfRule>
  </conditionalFormatting>
  <conditionalFormatting sqref="F63:G100 F51:G59 E60:G62">
    <cfRule type="containsText" dxfId="1489" priority="26" operator="containsText" text="C">
      <formula>NOT(ISERROR(SEARCH(("C"),(E51))))</formula>
    </cfRule>
  </conditionalFormatting>
  <conditionalFormatting sqref="F101:G113 E101:E213 F192:F193">
    <cfRule type="containsText" dxfId="1488" priority="10" operator="containsText" text="C">
      <formula>NOT(ISERROR(SEARCH(("C"),(E101))))</formula>
    </cfRule>
  </conditionalFormatting>
  <conditionalFormatting sqref="F114:G130">
    <cfRule type="containsText" dxfId="1487" priority="29" operator="containsText" text="C">
      <formula>NOT(ISERROR(SEARCH(("C"),(F114))))</formula>
    </cfRule>
  </conditionalFormatting>
  <conditionalFormatting sqref="F161:G174">
    <cfRule type="containsText" dxfId="1486" priority="30" operator="containsText" text="C">
      <formula>NOT(ISERROR(SEARCH(("C"),(F161))))</formula>
    </cfRule>
  </conditionalFormatting>
  <conditionalFormatting sqref="F194:G212">
    <cfRule type="containsText" dxfId="1485" priority="32" operator="containsText" text="C">
      <formula>NOT(ISERROR(SEARCH(("C"),(F194))))</formula>
    </cfRule>
  </conditionalFormatting>
  <conditionalFormatting sqref="G6:G21">
    <cfRule type="containsText" dxfId="1484" priority="35" operator="containsText" text="WIP">
      <formula>NOT(ISERROR(SEARCH(("WIP"),(G6))))</formula>
    </cfRule>
  </conditionalFormatting>
  <conditionalFormatting sqref="G32 E32:F33">
    <cfRule type="containsText" dxfId="1483" priority="36" operator="containsText" text="C">
      <formula>NOT(ISERROR(SEARCH(("C"),(E32))))</formula>
    </cfRule>
  </conditionalFormatting>
  <conditionalFormatting sqref="G33">
    <cfRule type="containsText" dxfId="1482" priority="38" operator="containsText" text="C">
      <formula>NOT(ISERROR(SEARCH(("C"),(G33))))</formula>
    </cfRule>
    <cfRule type="containsText" dxfId="1481" priority="37" operator="containsText" text="WIP">
      <formula>NOT(ISERROR(SEARCH(("WIP"),(G33))))</formula>
    </cfRule>
  </conditionalFormatting>
  <conditionalFormatting sqref="G39:G40">
    <cfRule type="containsText" dxfId="1480" priority="39" operator="containsText" text="WIP">
      <formula>NOT(ISERROR(SEARCH(("WIP"),(G39))))</formula>
    </cfRule>
  </conditionalFormatting>
  <conditionalFormatting sqref="G39:G44 F187:G191 G192:G193">
    <cfRule type="containsText" dxfId="1479" priority="40" operator="containsText" text="C">
      <formula>NOT(ISERROR(SEARCH(("C"),(F187))))</formula>
    </cfRule>
  </conditionalFormatting>
  <conditionalFormatting sqref="G43:G44">
    <cfRule type="containsText" dxfId="1478" priority="41" operator="containsText" text="WIP">
      <formula>NOT(ISERROR(SEARCH(("WIP"),(G43))))</formula>
    </cfRule>
  </conditionalFormatting>
  <conditionalFormatting sqref="G45 G49:G50">
    <cfRule type="containsText" dxfId="1477" priority="42" operator="containsText" text="C">
      <formula>NOT(ISERROR(SEARCH(("C"),(G45))))</formula>
    </cfRule>
  </conditionalFormatting>
  <conditionalFormatting sqref="G68:G69 E131:E132 H69">
    <cfRule type="containsText" dxfId="1476" priority="63" operator="containsText" text="WIP">
      <formula>NOT(ISERROR(SEARCH(("WIP"),(E131))))</formula>
    </cfRule>
  </conditionalFormatting>
  <conditionalFormatting sqref="G86:G87">
    <cfRule type="containsText" dxfId="1475" priority="43" operator="containsText" text="WIP">
      <formula>NOT(ISERROR(SEARCH(("WIP"),(G86))))</formula>
    </cfRule>
  </conditionalFormatting>
  <conditionalFormatting sqref="G92:G97">
    <cfRule type="containsText" dxfId="1474" priority="44" operator="containsText" text="WIP">
      <formula>NOT(ISERROR(SEARCH(("WIP"),(G92))))</formula>
    </cfRule>
  </conditionalFormatting>
  <conditionalFormatting sqref="G99 G101:G109">
    <cfRule type="containsText" dxfId="1473" priority="45" operator="containsText" text="WIP">
      <formula>NOT(ISERROR(SEARCH(("WIP"),(G99))))</formula>
    </cfRule>
  </conditionalFormatting>
  <conditionalFormatting sqref="G114 G111">
    <cfRule type="containsText" dxfId="1472" priority="46" operator="containsText" text="WIP">
      <formula>NOT(ISERROR(SEARCH(("WIP"),(G111))))</formula>
    </cfRule>
  </conditionalFormatting>
  <conditionalFormatting sqref="G118:G120">
    <cfRule type="containsText" dxfId="1471" priority="47" operator="containsText" text="WIP">
      <formula>NOT(ISERROR(SEARCH(("WIP"),(G118))))</formula>
    </cfRule>
  </conditionalFormatting>
  <conditionalFormatting sqref="G131:G133">
    <cfRule type="containsText" dxfId="1470" priority="48" operator="containsText" text="C">
      <formula>NOT(ISERROR(SEARCH(("C"),(G131))))</formula>
    </cfRule>
  </conditionalFormatting>
  <conditionalFormatting sqref="G134:G145">
    <cfRule type="containsText" dxfId="1469" priority="49" operator="containsText" text="WIP">
      <formula>NOT(ISERROR(SEARCH(("WIP"),(G134))))</formula>
    </cfRule>
  </conditionalFormatting>
  <conditionalFormatting sqref="G134:G160">
    <cfRule type="containsText" dxfId="1468" priority="50" operator="containsText" text="C">
      <formula>NOT(ISERROR(SEARCH(("C"),(G134))))</formula>
    </cfRule>
  </conditionalFormatting>
  <conditionalFormatting sqref="G150 G152">
    <cfRule type="containsText" dxfId="1467" priority="51" operator="containsText" text="WIP">
      <formula>NOT(ISERROR(SEARCH(("WIP"),(G150))))</formula>
    </cfRule>
  </conditionalFormatting>
  <conditionalFormatting sqref="G154:G159">
    <cfRule type="containsText" dxfId="1466" priority="52" operator="containsText" text="WIP">
      <formula>NOT(ISERROR(SEARCH(("WIP"),(G154))))</formula>
    </cfRule>
  </conditionalFormatting>
  <conditionalFormatting sqref="G163:G170">
    <cfRule type="containsText" dxfId="1465" priority="53" operator="containsText" text="WIP">
      <formula>NOT(ISERROR(SEARCH(("WIP"),(G163))))</formula>
    </cfRule>
  </conditionalFormatting>
  <conditionalFormatting sqref="G170">
    <cfRule type="containsText" dxfId="1464" priority="54" operator="containsText" text="C">
      <formula>NOT(ISERROR(SEARCH(("C"),(G170))))</formula>
    </cfRule>
  </conditionalFormatting>
  <conditionalFormatting sqref="G172:G179">
    <cfRule type="containsText" dxfId="1463" priority="55" operator="containsText" text="WIP">
      <formula>NOT(ISERROR(SEARCH(("WIP"),(G172))))</formula>
    </cfRule>
  </conditionalFormatting>
  <conditionalFormatting sqref="G173:G186">
    <cfRule type="containsText" dxfId="1462" priority="56" operator="containsText" text="C">
      <formula>NOT(ISERROR(SEARCH(("C"),(G173))))</formula>
    </cfRule>
  </conditionalFormatting>
  <conditionalFormatting sqref="G175:G179">
    <cfRule type="containsText" dxfId="1461" priority="31" operator="containsText" text="C">
      <formula>NOT(ISERROR(SEARCH(("C"),(G175))))</formula>
    </cfRule>
  </conditionalFormatting>
  <conditionalFormatting sqref="G182:G185">
    <cfRule type="containsText" dxfId="1460" priority="57" operator="containsText" text="WIP">
      <formula>NOT(ISERROR(SEARCH(("WIP"),(G182))))</formula>
    </cfRule>
  </conditionalFormatting>
  <conditionalFormatting sqref="G187:G193">
    <cfRule type="containsText" dxfId="1459" priority="58" operator="containsText" text="WIP">
      <formula>NOT(ISERROR(SEARCH(("WIP"),(G187))))</formula>
    </cfRule>
  </conditionalFormatting>
  <conditionalFormatting sqref="G191:G193">
    <cfRule type="containsText" dxfId="1458" priority="60" operator="containsText" text="C">
      <formula>NOT(ISERROR(SEARCH(("C"),(G191))))</formula>
    </cfRule>
  </conditionalFormatting>
  <conditionalFormatting sqref="G195:G201">
    <cfRule type="containsText" dxfId="1457" priority="61" operator="containsText" text="WIP">
      <formula>NOT(ISERROR(SEARCH(("WIP"),(G195))))</formula>
    </cfRule>
  </conditionalFormatting>
  <conditionalFormatting sqref="G205:G206">
    <cfRule type="containsText" dxfId="1456" priority="62" operator="containsText" text="WIP">
      <formula>NOT(ISERROR(SEARCH(("WIP"),(G205))))</formula>
    </cfRule>
  </conditionalFormatting>
  <conditionalFormatting sqref="H69">
    <cfRule type="containsText" dxfId="1455" priority="64" operator="containsText" text="C">
      <formula>NOT(ISERROR(SEARCH(("C"),(H69))))</formula>
    </cfRule>
  </conditionalFormatting>
  <conditionalFormatting sqref="J6:J9">
    <cfRule type="containsText" dxfId="1454" priority="65" operator="containsText" text="C">
      <formula>NOT(ISERROR(SEARCH(("C"),(J6))))</formula>
    </cfRule>
  </conditionalFormatting>
  <conditionalFormatting sqref="J6:J20">
    <cfRule type="containsText" dxfId="1453" priority="66" operator="containsText" text="WIP">
      <formula>NOT(ISERROR(SEARCH(("WIP"),(J6))))</formula>
    </cfRule>
  </conditionalFormatting>
  <conditionalFormatting sqref="J6:J37">
    <cfRule type="containsText" dxfId="1452" priority="67" operator="containsText" text="C">
      <formula>NOT(ISERROR(SEARCH(("C"),(J6))))</formula>
    </cfRule>
  </conditionalFormatting>
  <conditionalFormatting sqref="J29:J33">
    <cfRule type="containsText" dxfId="1451" priority="71" operator="containsText" text="WIP">
      <formula>NOT(ISERROR(SEARCH(("WIP"),(J29))))</formula>
    </cfRule>
  </conditionalFormatting>
  <conditionalFormatting sqref="J38:J40">
    <cfRule type="containsText" dxfId="1450" priority="73" operator="containsText" text="WIP">
      <formula>NOT(ISERROR(SEARCH(("WIP"),(J38))))</formula>
    </cfRule>
  </conditionalFormatting>
  <conditionalFormatting sqref="J38:J82">
    <cfRule type="containsText" dxfId="1449" priority="75" operator="containsText" text="C">
      <formula>NOT(ISERROR(SEARCH(("C"),(J38))))</formula>
    </cfRule>
  </conditionalFormatting>
  <conditionalFormatting sqref="J43:J45 J49:J50">
    <cfRule type="containsText" dxfId="1448" priority="74" operator="containsText" text="WIP">
      <formula>NOT(ISERROR(SEARCH(("WIP"),(J43))))</formula>
    </cfRule>
  </conditionalFormatting>
  <conditionalFormatting sqref="J60:J63 J68:J70 J73:J78 J81 G57:G58 G61:G63 E203 J83:J84">
    <cfRule type="containsText" dxfId="1447" priority="76" operator="containsText" text="WIP">
      <formula>NOT(ISERROR(SEARCH(("WIP"),(G57))))</formula>
    </cfRule>
  </conditionalFormatting>
  <conditionalFormatting sqref="J83:J100">
    <cfRule type="containsText" dxfId="1446" priority="77" operator="containsText" text="C">
      <formula>NOT(ISERROR(SEARCH(("C"),(J83))))</formula>
    </cfRule>
  </conditionalFormatting>
  <conditionalFormatting sqref="J87:J97">
    <cfRule type="containsText" dxfId="1445" priority="79" operator="containsText" text="WIP">
      <formula>NOT(ISERROR(SEARCH(("WIP"),(J87))))</formula>
    </cfRule>
  </conditionalFormatting>
  <conditionalFormatting sqref="J99:J121">
    <cfRule type="containsText" dxfId="1444" priority="78" operator="containsText" text="WIP">
      <formula>NOT(ISERROR(SEARCH(("WIP"),(J99))))</formula>
    </cfRule>
  </conditionalFormatting>
  <conditionalFormatting sqref="J101:J132">
    <cfRule type="containsText" dxfId="1443" priority="80" operator="containsText" text="C">
      <formula>NOT(ISERROR(SEARCH(("C"),(J101))))</formula>
    </cfRule>
  </conditionalFormatting>
  <conditionalFormatting sqref="J112:J116">
    <cfRule type="containsText" dxfId="1442" priority="82" operator="containsText" text="WIP">
      <formula>NOT(ISERROR(SEARCH(("WIP"),(J112))))</formula>
    </cfRule>
  </conditionalFormatting>
  <conditionalFormatting sqref="J131:J150">
    <cfRule type="containsText" dxfId="1441" priority="83" operator="containsText" text="WIP">
      <formula>NOT(ISERROR(SEARCH(("WIP"),(J131))))</formula>
    </cfRule>
  </conditionalFormatting>
  <conditionalFormatting sqref="J132:J153">
    <cfRule type="containsText" dxfId="1440" priority="84" operator="containsText" text="C">
      <formula>NOT(ISERROR(SEARCH(("C"),(J132))))</formula>
    </cfRule>
  </conditionalFormatting>
  <conditionalFormatting sqref="J153:J170">
    <cfRule type="containsText" dxfId="1439" priority="85" operator="containsText" text="WIP">
      <formula>NOT(ISERROR(SEARCH(("WIP"),(J153))))</formula>
    </cfRule>
  </conditionalFormatting>
  <conditionalFormatting sqref="J154:J212">
    <cfRule type="containsText" dxfId="1438" priority="86" operator="containsText" text="C">
      <formula>NOT(ISERROR(SEARCH(("C"),(J154))))</formula>
    </cfRule>
  </conditionalFormatting>
  <conditionalFormatting sqref="J172:J179">
    <cfRule type="containsText" dxfId="1437" priority="88" operator="containsText" text="WIP">
      <formula>NOT(ISERROR(SEARCH(("WIP"),(J172))))</formula>
    </cfRule>
  </conditionalFormatting>
  <conditionalFormatting sqref="J185:J208">
    <cfRule type="containsText" dxfId="1436" priority="90" operator="containsText" text="WIP">
      <formula>NOT(ISERROR(SEARCH(("WIP"),(J185))))</formula>
    </cfRule>
  </conditionalFormatting>
  <conditionalFormatting sqref="J6:K7">
    <cfRule type="containsText" dxfId="1435" priority="91" operator="containsText" text="C">
      <formula>NOT(ISERROR(SEARCH(("C"),(J6))))</formula>
    </cfRule>
  </conditionalFormatting>
  <conditionalFormatting sqref="K6:K7">
    <cfRule type="containsText" dxfId="1434" priority="92" operator="containsText" text="WIP">
      <formula>NOT(ISERROR(SEARCH(("WIP"),(K6))))</formula>
    </cfRule>
  </conditionalFormatting>
  <conditionalFormatting sqref="M21:N28 M17:O17">
    <cfRule type="containsText" dxfId="1433" priority="105" operator="containsText" text="WIP">
      <formula>NOT(ISERROR(SEARCH(("WIP"),(M17))))</formula>
    </cfRule>
  </conditionalFormatting>
  <conditionalFormatting sqref="M21:N28">
    <cfRule type="containsText" dxfId="1432" priority="103" operator="containsText" text="C">
      <formula>NOT(ISERROR(SEARCH(("C"),(M21))))</formula>
    </cfRule>
  </conditionalFormatting>
  <conditionalFormatting sqref="M87:N87">
    <cfRule type="containsText" dxfId="1431" priority="96" operator="containsText" text="WIP">
      <formula>NOT(ISERROR(SEARCH(("WIP"),(M87))))</formula>
    </cfRule>
    <cfRule type="containsText" dxfId="1430" priority="97" operator="containsText" text="C">
      <formula>NOT(ISERROR(SEARCH(("C"),(M87))))</formula>
    </cfRule>
  </conditionalFormatting>
  <conditionalFormatting sqref="M6:O9">
    <cfRule type="containsText" dxfId="1429" priority="98" operator="containsText" text="C">
      <formula>NOT(ISERROR(SEARCH(("C"),(M6))))</formula>
    </cfRule>
    <cfRule type="containsText" dxfId="1428" priority="99" operator="containsText" text="WIP">
      <formula>NOT(ISERROR(SEARCH(("WIP"),(M6))))</formula>
    </cfRule>
    <cfRule type="containsText" dxfId="1427" priority="100" operator="containsText" text="C">
      <formula>NOT(ISERROR(SEARCH(("C"),(M6))))</formula>
    </cfRule>
  </conditionalFormatting>
  <conditionalFormatting sqref="M16:O16">
    <cfRule type="containsText" dxfId="1426" priority="101" operator="containsText" text="WIP">
      <formula>NOT(ISERROR(SEARCH(("WIP"),(M16))))</formula>
    </cfRule>
  </conditionalFormatting>
  <conditionalFormatting sqref="M16:O17">
    <cfRule type="containsText" dxfId="1425" priority="102" operator="containsText" text="C">
      <formula>NOT(ISERROR(SEARCH(("C"),(M16))))</formula>
    </cfRule>
  </conditionalFormatting>
  <conditionalFormatting sqref="O12 M12:N13 O16 O21:O27 M34:O37 O46:O48 M46:N49 O51:O58 M51:N59 O64:O74 M64:N75 O79:O81 M79:N82">
    <cfRule type="containsText" dxfId="1424" priority="93" operator="containsText" text="C">
      <formula>NOT(ISERROR(SEARCH(("C"),(M12))))</formula>
    </cfRule>
    <cfRule type="containsText" dxfId="1423" priority="94" operator="containsText" text="WIP">
      <formula>NOT(ISERROR(SEARCH(("WIP"),(M12))))</formula>
    </cfRule>
    <cfRule type="containsText" dxfId="1422" priority="95" operator="containsText" text="C">
      <formula>NOT(ISERROR(SEARCH(("C"),(M12))))</formula>
    </cfRule>
  </conditionalFormatting>
  <conditionalFormatting sqref="T46:T63">
    <cfRule type="containsText" dxfId="1421" priority="106" operator="containsText" text="WIP">
      <formula>NOT(ISERROR(SEARCH(("WIP"),(T46))))</formula>
    </cfRule>
  </conditionalFormatting>
  <conditionalFormatting sqref="T46:T69">
    <cfRule type="containsText" dxfId="1420" priority="107" operator="containsText" text="C">
      <formula>NOT(ISERROR(SEARCH(("C"),(T46))))</formula>
    </cfRule>
  </conditionalFormatting>
  <conditionalFormatting sqref="T85:T92 W85:W92">
    <cfRule type="containsText" dxfId="1419" priority="109" operator="containsText" text="WIP">
      <formula>NOT(ISERROR(SEARCH(("WIP"),(T85))))</formula>
    </cfRule>
    <cfRule type="containsText" dxfId="1418" priority="110" operator="containsText" text="C">
      <formula>NOT(ISERROR(SEARCH(("C"),(T85))))</formula>
    </cfRule>
  </conditionalFormatting>
  <conditionalFormatting sqref="T102:T212">
    <cfRule type="containsText" dxfId="1417" priority="111" operator="containsText" text="WIP">
      <formula>NOT(ISERROR(SEARCH(("WIP"),(T102))))</formula>
    </cfRule>
    <cfRule type="containsText" dxfId="1416" priority="112" operator="containsText" text="C">
      <formula>NOT(ISERROR(SEARCH(("C"),(T102))))</formula>
    </cfRule>
  </conditionalFormatting>
  <conditionalFormatting sqref="W46:W63">
    <cfRule type="containsText" dxfId="1415" priority="1" operator="containsText" text="WIP">
      <formula>NOT(ISERROR(SEARCH(("WIP"),(W46))))</formula>
    </cfRule>
  </conditionalFormatting>
  <conditionalFormatting sqref="W46:W69">
    <cfRule type="containsText" dxfId="1414" priority="2" operator="containsText" text="C">
      <formula>NOT(ISERROR(SEARCH(("C"),(W46))))</formula>
    </cfRule>
  </conditionalFormatting>
  <conditionalFormatting sqref="W102:W212">
    <cfRule type="containsText" dxfId="1413" priority="116" operator="containsText" text="WIP">
      <formula>NOT(ISERROR(SEARCH(("WIP"),(W102))))</formula>
    </cfRule>
    <cfRule type="containsText" dxfId="1412" priority="117" operator="containsText" text="C">
      <formula>NOT(ISERROR(SEARCH(("C"),(W102))))</formula>
    </cfRule>
  </conditionalFormatting>
  <pageMargins left="0.11811023622047245" right="0.11811023622047245" top="0.74803149606299213" bottom="0.74803149606299213" header="0" footer="0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B155"/>
  <sheetViews>
    <sheetView view="pageBreakPreview" zoomScale="65" zoomScaleNormal="69" zoomScaleSheetLayoutView="65" workbookViewId="0">
      <pane ySplit="2" topLeftCell="A108" activePane="bottomLeft" state="frozen"/>
      <selection sqref="A1:H1"/>
      <selection pane="bottomLeft" activeCell="AY137" sqref="AY137"/>
    </sheetView>
  </sheetViews>
  <sheetFormatPr defaultRowHeight="14.5"/>
  <cols>
    <col min="1" max="1" width="3.1796875" style="303" customWidth="1"/>
    <col min="2" max="3" width="4" style="303" customWidth="1"/>
    <col min="4" max="4" width="5.453125" style="304" customWidth="1"/>
    <col min="5" max="6" width="4" style="303" customWidth="1"/>
    <col min="7" max="7" width="4.1796875" style="304" customWidth="1"/>
    <col min="8" max="9" width="4" style="303" customWidth="1"/>
    <col min="10" max="10" width="5.54296875" style="304" customWidth="1"/>
    <col min="11" max="12" width="4" style="303" customWidth="1"/>
    <col min="13" max="13" width="5.54296875" style="304" customWidth="1"/>
    <col min="14" max="15" width="4" style="303" customWidth="1"/>
    <col min="16" max="16" width="5" style="304" customWidth="1"/>
    <col min="17" max="18" width="4" style="303" customWidth="1"/>
    <col min="19" max="19" width="4.54296875" style="304" customWidth="1"/>
    <col min="20" max="21" width="4" style="303" customWidth="1"/>
    <col min="22" max="22" width="5.1796875" style="304" customWidth="1"/>
    <col min="23" max="24" width="4" style="303" customWidth="1"/>
    <col min="25" max="25" width="5" style="304" customWidth="1"/>
    <col min="26" max="27" width="4" style="303" customWidth="1"/>
    <col min="28" max="28" width="5.26953125" style="304" customWidth="1"/>
    <col min="29" max="29" width="3.81640625" style="303" customWidth="1"/>
    <col min="30" max="30" width="3.7265625" style="303" customWidth="1"/>
    <col min="31" max="31" width="5.1796875" style="304" customWidth="1"/>
    <col min="32" max="32" width="4" style="303" customWidth="1"/>
    <col min="33" max="33" width="3.7265625" style="303" customWidth="1"/>
    <col min="34" max="34" width="6.26953125" style="304" customWidth="1"/>
    <col min="35" max="35" width="4" style="303" customWidth="1"/>
    <col min="36" max="36" width="3.81640625" style="303" customWidth="1"/>
    <col min="37" max="37" width="6.453125" style="304" customWidth="1"/>
    <col min="38" max="38" width="4" style="303" customWidth="1"/>
    <col min="39" max="39" width="3.54296875" style="303" customWidth="1"/>
    <col min="40" max="40" width="6.26953125" style="304" customWidth="1"/>
    <col min="41" max="41" width="4" style="303" customWidth="1"/>
    <col min="42" max="42" width="3.453125" style="303" customWidth="1"/>
    <col min="43" max="43" width="6.26953125" style="304" customWidth="1"/>
    <col min="44" max="44" width="3.54296875" style="304" customWidth="1"/>
    <col min="45" max="45" width="3.453125" style="304" customWidth="1"/>
    <col min="46" max="46" width="6.26953125" style="304" customWidth="1"/>
    <col min="47" max="47" width="2.54296875" style="303" customWidth="1"/>
    <col min="48" max="48" width="6.1796875" style="303" customWidth="1"/>
    <col min="49" max="49" width="6" style="303" customWidth="1"/>
    <col min="50" max="51" width="5.7265625" style="303" customWidth="1"/>
    <col min="52" max="52" width="7.1796875" style="303" customWidth="1"/>
    <col min="53" max="53" width="8.7265625" style="303" customWidth="1"/>
    <col min="54" max="16384" width="8.7265625" style="303"/>
  </cols>
  <sheetData>
    <row r="1" spans="1:54" ht="15.75" customHeight="1" thickBot="1">
      <c r="A1" s="560" t="str">
        <f>+[1]Summary!A2</f>
        <v>Name of the Line: 220KV DC AL59 line from Neemuch - Chanderiya + 132KV DC ACSS Line from Chanderiya to Hindustan Zinc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561"/>
      <c r="R1" s="561"/>
      <c r="S1" s="561"/>
      <c r="T1" s="561"/>
      <c r="U1" s="561"/>
      <c r="V1" s="561"/>
      <c r="W1" s="561"/>
      <c r="X1" s="561"/>
      <c r="Y1" s="561"/>
      <c r="Z1" s="561"/>
      <c r="AA1" s="561"/>
      <c r="AB1" s="561"/>
      <c r="AC1" s="561"/>
      <c r="AD1" s="561"/>
      <c r="AE1" s="561"/>
      <c r="AF1" s="561"/>
      <c r="AG1" s="561"/>
      <c r="AH1" s="561"/>
      <c r="AI1" s="561"/>
      <c r="AJ1" s="561"/>
      <c r="AK1" s="561"/>
      <c r="AL1" s="561"/>
      <c r="AM1" s="561"/>
      <c r="AN1" s="561"/>
      <c r="AO1" s="561"/>
      <c r="AP1" s="561"/>
      <c r="AQ1" s="561"/>
      <c r="AR1" s="561"/>
      <c r="AS1" s="561"/>
      <c r="AT1" s="562"/>
      <c r="AV1" s="563">
        <f>Summary!R5</f>
        <v>46030</v>
      </c>
      <c r="AW1" s="563"/>
      <c r="AX1" s="563"/>
      <c r="AY1" s="563"/>
      <c r="AZ1" s="563"/>
    </row>
    <row r="2" spans="1:54" ht="18.5">
      <c r="A2" s="316"/>
      <c r="T2" s="567" t="s">
        <v>674</v>
      </c>
      <c r="U2" s="567"/>
      <c r="V2" s="567"/>
      <c r="W2" s="567"/>
      <c r="X2" s="567"/>
      <c r="Y2" s="567"/>
      <c r="Z2" s="567"/>
      <c r="AA2" s="567"/>
      <c r="AB2" s="567"/>
      <c r="AC2" s="567"/>
      <c r="AD2" s="567"/>
      <c r="AK2" s="505" t="s">
        <v>26</v>
      </c>
      <c r="AL2" s="505"/>
      <c r="AM2" s="505"/>
      <c r="AN2" s="566">
        <f>AV1</f>
        <v>46030</v>
      </c>
      <c r="AO2" s="566"/>
      <c r="AP2" s="566"/>
      <c r="AV2" s="319" t="s">
        <v>629</v>
      </c>
      <c r="AW2" s="319" t="s">
        <v>630</v>
      </c>
      <c r="AX2" s="319" t="s">
        <v>631</v>
      </c>
      <c r="AY2" s="338" t="s">
        <v>632</v>
      </c>
      <c r="AZ2" s="564" t="s">
        <v>633</v>
      </c>
      <c r="BA2" s="565"/>
      <c r="BB2" s="367" t="s">
        <v>390</v>
      </c>
    </row>
    <row r="3" spans="1:54">
      <c r="A3" s="316"/>
      <c r="C3" s="304"/>
      <c r="F3" s="304"/>
      <c r="G3" s="303"/>
      <c r="AV3" s="325"/>
      <c r="AW3" s="325"/>
      <c r="AX3" s="325"/>
      <c r="AY3" s="325"/>
      <c r="AZ3" s="325" t="s">
        <v>692</v>
      </c>
      <c r="BA3" s="367" t="s">
        <v>693</v>
      </c>
    </row>
    <row r="4" spans="1:54">
      <c r="A4" s="316"/>
      <c r="B4" s="501"/>
      <c r="C4" s="501"/>
      <c r="E4" s="501"/>
      <c r="F4" s="501"/>
      <c r="H4" s="551"/>
      <c r="I4" s="551"/>
      <c r="K4" s="501"/>
      <c r="L4" s="501"/>
      <c r="N4" s="501"/>
      <c r="O4" s="501"/>
      <c r="Q4" s="551"/>
      <c r="R4" s="551"/>
      <c r="T4" s="551"/>
      <c r="U4" s="551"/>
      <c r="W4" s="503"/>
      <c r="X4" s="503"/>
      <c r="Z4" s="503"/>
      <c r="AA4" s="503"/>
      <c r="AC4" s="551"/>
      <c r="AD4" s="501"/>
      <c r="AF4" s="551"/>
      <c r="AG4" s="501"/>
      <c r="AI4" s="551"/>
      <c r="AJ4" s="501"/>
      <c r="AL4" s="551"/>
      <c r="AM4" s="501"/>
      <c r="AO4" s="551"/>
      <c r="AP4" s="501"/>
    </row>
    <row r="5" spans="1:54">
      <c r="A5" s="316"/>
      <c r="B5" s="320"/>
      <c r="C5" s="322"/>
      <c r="D5" s="311"/>
      <c r="E5" s="320"/>
      <c r="F5" s="322"/>
      <c r="G5" s="311"/>
      <c r="H5" s="320"/>
      <c r="I5" s="322"/>
      <c r="J5" s="321"/>
      <c r="K5" s="320"/>
      <c r="L5" s="322"/>
      <c r="M5" s="311"/>
      <c r="N5" s="320"/>
      <c r="O5" s="322"/>
      <c r="P5" s="339"/>
      <c r="Q5" s="320"/>
      <c r="R5" s="322"/>
      <c r="S5" s="339"/>
      <c r="T5" s="320"/>
      <c r="U5" s="322"/>
      <c r="V5" s="339"/>
      <c r="W5" s="320"/>
      <c r="X5" s="322"/>
      <c r="Y5" s="339"/>
      <c r="Z5" s="320"/>
      <c r="AA5" s="322"/>
      <c r="AB5" s="339"/>
      <c r="AC5" s="319"/>
      <c r="AD5" s="318"/>
      <c r="AE5" s="339"/>
      <c r="AF5" s="320"/>
      <c r="AG5" s="322"/>
      <c r="AH5" s="339"/>
      <c r="AI5" s="320"/>
      <c r="AJ5" s="322"/>
      <c r="AK5" s="339"/>
      <c r="AL5" s="320"/>
      <c r="AM5" s="322"/>
      <c r="AN5" s="339"/>
      <c r="AO5" s="320"/>
      <c r="AP5" s="322"/>
      <c r="AQ5" s="339"/>
      <c r="AR5" s="339"/>
      <c r="AS5" s="339"/>
      <c r="AT5" s="339"/>
    </row>
    <row r="6" spans="1:54">
      <c r="A6" s="316"/>
      <c r="B6" s="320"/>
      <c r="C6" s="320"/>
      <c r="D6" s="331"/>
      <c r="E6" s="320"/>
      <c r="F6" s="320"/>
      <c r="G6" s="331"/>
      <c r="H6" s="320"/>
      <c r="I6" s="320"/>
      <c r="J6" s="337"/>
      <c r="K6" s="320"/>
      <c r="L6" s="320"/>
      <c r="M6" s="331"/>
      <c r="N6" s="320"/>
      <c r="O6" s="320"/>
      <c r="P6" s="331"/>
      <c r="Q6" s="320"/>
      <c r="R6" s="320"/>
      <c r="S6" s="331"/>
      <c r="T6" s="320"/>
      <c r="U6" s="320"/>
      <c r="V6" s="331"/>
      <c r="W6" s="320"/>
      <c r="X6" s="320"/>
      <c r="Y6" s="331"/>
      <c r="Z6" s="320"/>
      <c r="AA6" s="320"/>
      <c r="AB6" s="331"/>
      <c r="AC6" s="319"/>
      <c r="AD6" s="319"/>
      <c r="AF6" s="320"/>
      <c r="AG6" s="320"/>
      <c r="AH6" s="331"/>
      <c r="AI6" s="320"/>
      <c r="AJ6" s="320"/>
      <c r="AK6" s="331"/>
      <c r="AL6" s="320"/>
      <c r="AM6" s="320"/>
      <c r="AN6" s="331"/>
      <c r="AO6" s="320"/>
      <c r="AP6" s="320"/>
      <c r="AQ6" s="331"/>
      <c r="AR6" s="331"/>
      <c r="AS6" s="331"/>
      <c r="AT6" s="331"/>
      <c r="AV6" s="310">
        <v>13</v>
      </c>
      <c r="AW6" s="310">
        <v>13</v>
      </c>
      <c r="AX6" s="310">
        <v>13</v>
      </c>
      <c r="AY6" s="310">
        <v>12</v>
      </c>
      <c r="AZ6" s="369">
        <v>3.3277000000000001</v>
      </c>
      <c r="BA6" s="369">
        <v>3.3277000000000001</v>
      </c>
      <c r="BB6" s="350"/>
    </row>
    <row r="7" spans="1:54">
      <c r="A7" s="316"/>
      <c r="B7" s="507" t="s">
        <v>33</v>
      </c>
      <c r="C7" s="507"/>
      <c r="D7" s="331"/>
      <c r="E7" s="507" t="s">
        <v>36</v>
      </c>
      <c r="F7" s="507"/>
      <c r="G7" s="331"/>
      <c r="H7" s="507" t="s">
        <v>38</v>
      </c>
      <c r="I7" s="507"/>
      <c r="J7" s="331"/>
      <c r="K7" s="547" t="s">
        <v>41</v>
      </c>
      <c r="L7" s="507"/>
      <c r="M7" s="331"/>
      <c r="N7" s="547" t="s">
        <v>43</v>
      </c>
      <c r="O7" s="507"/>
      <c r="P7" s="331"/>
      <c r="Q7" s="548" t="s">
        <v>45</v>
      </c>
      <c r="R7" s="549"/>
      <c r="S7" s="331"/>
      <c r="T7" s="506" t="s">
        <v>47</v>
      </c>
      <c r="U7" s="507"/>
      <c r="V7" s="331"/>
      <c r="W7" s="509" t="s">
        <v>48</v>
      </c>
      <c r="X7" s="504"/>
      <c r="Y7" s="331"/>
      <c r="Z7" s="509" t="s">
        <v>50</v>
      </c>
      <c r="AA7" s="504"/>
      <c r="AB7" s="331"/>
      <c r="AC7" s="512" t="s">
        <v>53</v>
      </c>
      <c r="AD7" s="507"/>
      <c r="AF7" s="512" t="s">
        <v>55</v>
      </c>
      <c r="AG7" s="507"/>
      <c r="AH7" s="331"/>
      <c r="AI7" s="507" t="s">
        <v>58</v>
      </c>
      <c r="AJ7" s="507"/>
      <c r="AK7" s="331"/>
      <c r="AL7" s="512" t="s">
        <v>59</v>
      </c>
      <c r="AM7" s="507"/>
      <c r="AN7" s="331"/>
      <c r="AO7" s="512" t="s">
        <v>61</v>
      </c>
      <c r="AP7" s="507"/>
      <c r="AQ7" s="331"/>
      <c r="AR7" s="331"/>
      <c r="AS7" s="331"/>
      <c r="AT7" s="331"/>
      <c r="AZ7" s="368"/>
      <c r="BA7" s="368"/>
    </row>
    <row r="8" spans="1:54">
      <c r="A8" s="316"/>
      <c r="B8" s="504" t="s">
        <v>34</v>
      </c>
      <c r="C8" s="504"/>
      <c r="D8" s="329"/>
      <c r="E8" s="504" t="s">
        <v>37</v>
      </c>
      <c r="F8" s="504"/>
      <c r="G8" s="329"/>
      <c r="H8" s="504" t="s">
        <v>39</v>
      </c>
      <c r="I8" s="504"/>
      <c r="J8" s="329"/>
      <c r="K8" s="546" t="s">
        <v>42</v>
      </c>
      <c r="L8" s="504"/>
      <c r="M8" s="329"/>
      <c r="N8" s="546" t="s">
        <v>37</v>
      </c>
      <c r="O8" s="504"/>
      <c r="P8" s="329"/>
      <c r="Q8" s="510" t="s">
        <v>46</v>
      </c>
      <c r="R8" s="510"/>
      <c r="S8" s="329"/>
      <c r="T8" s="510" t="s">
        <v>37</v>
      </c>
      <c r="U8" s="510"/>
      <c r="V8" s="329"/>
      <c r="W8" s="504" t="s">
        <v>39</v>
      </c>
      <c r="X8" s="504"/>
      <c r="Y8" s="329"/>
      <c r="Z8" s="504" t="s">
        <v>51</v>
      </c>
      <c r="AA8" s="504"/>
      <c r="AB8" s="329"/>
      <c r="AC8" s="504" t="s">
        <v>54</v>
      </c>
      <c r="AD8" s="504"/>
      <c r="AE8" s="331"/>
      <c r="AF8" s="504" t="s">
        <v>56</v>
      </c>
      <c r="AG8" s="504"/>
      <c r="AH8" s="329"/>
      <c r="AI8" s="504" t="s">
        <v>39</v>
      </c>
      <c r="AJ8" s="504"/>
      <c r="AK8" s="329"/>
      <c r="AL8" s="504" t="s">
        <v>42</v>
      </c>
      <c r="AM8" s="504"/>
      <c r="AN8" s="329"/>
      <c r="AO8" s="504" t="s">
        <v>62</v>
      </c>
      <c r="AP8" s="504"/>
      <c r="AZ8" s="368"/>
      <c r="BA8" s="368"/>
    </row>
    <row r="9" spans="1:54">
      <c r="B9" s="366"/>
      <c r="C9" s="366"/>
      <c r="D9" s="365">
        <v>196</v>
      </c>
      <c r="E9" s="366"/>
      <c r="F9" s="366"/>
      <c r="G9" s="365">
        <v>196.7</v>
      </c>
      <c r="H9" s="366"/>
      <c r="I9" s="366"/>
      <c r="J9" s="365">
        <v>334</v>
      </c>
      <c r="K9" s="366"/>
      <c r="L9" s="366"/>
      <c r="M9" s="365">
        <v>319</v>
      </c>
      <c r="N9" s="366"/>
      <c r="O9" s="366"/>
      <c r="P9" s="365">
        <v>384.3</v>
      </c>
      <c r="Q9" s="366"/>
      <c r="R9" s="366"/>
      <c r="S9" s="365">
        <v>329</v>
      </c>
      <c r="T9" s="366"/>
      <c r="U9" s="366"/>
      <c r="V9" s="365">
        <v>280</v>
      </c>
      <c r="W9" s="366"/>
      <c r="X9" s="366"/>
      <c r="Y9" s="365">
        <v>232.1</v>
      </c>
      <c r="Z9" s="366"/>
      <c r="AA9" s="366"/>
      <c r="AB9" s="365">
        <v>237.8</v>
      </c>
      <c r="AC9" s="366"/>
      <c r="AD9" s="366"/>
      <c r="AE9" s="365">
        <v>334</v>
      </c>
      <c r="AF9" s="366"/>
      <c r="AG9" s="366"/>
      <c r="AH9" s="365">
        <v>341.2</v>
      </c>
      <c r="AI9" s="366"/>
      <c r="AJ9" s="366"/>
      <c r="AK9" s="365">
        <v>306</v>
      </c>
      <c r="AL9" s="366"/>
      <c r="AM9" s="366"/>
      <c r="AN9" s="365">
        <v>393.9</v>
      </c>
      <c r="AO9" s="366"/>
      <c r="AP9" s="366"/>
      <c r="AQ9" s="365">
        <v>356.7</v>
      </c>
      <c r="AT9" s="403">
        <f>SUM(A9:AR9)</f>
        <v>4240.7</v>
      </c>
      <c r="AZ9" s="366"/>
      <c r="BA9" s="366"/>
    </row>
    <row r="10" spans="1:54">
      <c r="A10" s="316"/>
      <c r="B10" s="328"/>
      <c r="C10" s="328"/>
      <c r="D10" s="329"/>
      <c r="E10" s="354" t="s">
        <v>540</v>
      </c>
      <c r="F10" s="354"/>
      <c r="G10" s="353"/>
      <c r="H10" s="354" t="s">
        <v>540</v>
      </c>
      <c r="I10" s="354"/>
      <c r="J10" s="353"/>
      <c r="K10" s="354" t="s">
        <v>540</v>
      </c>
      <c r="L10" s="354"/>
      <c r="M10" s="353"/>
      <c r="N10" s="354" t="s">
        <v>540</v>
      </c>
      <c r="O10" s="354"/>
      <c r="P10" s="353"/>
      <c r="Q10" s="354" t="s">
        <v>540</v>
      </c>
      <c r="R10" s="356"/>
      <c r="S10" s="353"/>
      <c r="T10" s="354" t="s">
        <v>540</v>
      </c>
      <c r="U10" s="356"/>
      <c r="V10" s="353"/>
      <c r="W10" s="354" t="s">
        <v>540</v>
      </c>
      <c r="X10" s="354"/>
      <c r="Y10" s="353"/>
      <c r="Z10" s="354" t="s">
        <v>540</v>
      </c>
      <c r="AA10" s="354"/>
      <c r="AB10" s="353"/>
      <c r="AC10" s="354" t="s">
        <v>540</v>
      </c>
      <c r="AD10" s="354"/>
      <c r="AE10" s="363"/>
      <c r="AF10" s="354" t="s">
        <v>540</v>
      </c>
      <c r="AG10" s="354"/>
      <c r="AH10" s="353"/>
      <c r="AI10" s="354" t="s">
        <v>540</v>
      </c>
      <c r="AJ10" s="354"/>
      <c r="AK10" s="353"/>
      <c r="AL10" s="354" t="s">
        <v>540</v>
      </c>
      <c r="AM10" s="354"/>
      <c r="AN10" s="353"/>
      <c r="AO10" s="354" t="s">
        <v>540</v>
      </c>
      <c r="AP10" s="354"/>
      <c r="AQ10" s="362"/>
      <c r="AR10" s="362"/>
      <c r="AS10" s="362"/>
      <c r="AT10" s="404"/>
      <c r="AZ10" s="368"/>
      <c r="BA10" s="368"/>
    </row>
    <row r="11" spans="1:54">
      <c r="A11" s="316"/>
      <c r="K11" s="304"/>
      <c r="L11" s="304"/>
      <c r="Z11" s="304"/>
      <c r="AT11" s="403"/>
      <c r="AX11" s="303" t="s">
        <v>0</v>
      </c>
      <c r="AZ11" s="368"/>
      <c r="BA11" s="368"/>
    </row>
    <row r="12" spans="1:54">
      <c r="A12" s="316"/>
      <c r="M12" s="329"/>
      <c r="Q12" s="304"/>
      <c r="AT12" s="403"/>
      <c r="AZ12" s="368"/>
      <c r="BA12" s="368"/>
    </row>
    <row r="13" spans="1:54">
      <c r="A13" s="316"/>
      <c r="B13" s="503"/>
      <c r="C13" s="503"/>
      <c r="E13" s="551"/>
      <c r="F13" s="501"/>
      <c r="H13" s="551"/>
      <c r="I13" s="501"/>
      <c r="K13" s="501"/>
      <c r="L13" s="501"/>
      <c r="N13" s="551"/>
      <c r="O13" s="501"/>
      <c r="Q13" s="551"/>
      <c r="R13" s="501"/>
      <c r="T13" s="551"/>
      <c r="U13" s="501"/>
      <c r="W13" s="551"/>
      <c r="X13" s="501"/>
      <c r="Z13" s="551"/>
      <c r="AA13" s="501"/>
      <c r="AC13" s="501"/>
      <c r="AD13" s="501"/>
      <c r="AF13" s="551"/>
      <c r="AG13" s="501"/>
      <c r="AI13" s="501"/>
      <c r="AJ13" s="501"/>
      <c r="AL13" s="501"/>
      <c r="AM13" s="501"/>
      <c r="AO13" s="551"/>
      <c r="AP13" s="501"/>
      <c r="AT13" s="403"/>
      <c r="AZ13" s="368"/>
      <c r="BA13" s="368"/>
    </row>
    <row r="14" spans="1:54">
      <c r="A14" s="316"/>
      <c r="B14" s="320"/>
      <c r="C14" s="322"/>
      <c r="D14" s="339"/>
      <c r="E14" s="320"/>
      <c r="F14" s="322"/>
      <c r="G14" s="339"/>
      <c r="H14" s="320"/>
      <c r="I14" s="322"/>
      <c r="J14" s="339"/>
      <c r="K14" s="320"/>
      <c r="L14" s="322"/>
      <c r="M14" s="339"/>
      <c r="N14" s="320"/>
      <c r="O14" s="322"/>
      <c r="P14" s="339"/>
      <c r="Q14" s="320"/>
      <c r="R14" s="322"/>
      <c r="S14" s="339"/>
      <c r="T14" s="320"/>
      <c r="U14" s="322"/>
      <c r="V14" s="339"/>
      <c r="W14" s="320"/>
      <c r="X14" s="322"/>
      <c r="Y14" s="339"/>
      <c r="Z14" s="320"/>
      <c r="AA14" s="322"/>
      <c r="AB14" s="339"/>
      <c r="AC14" s="320"/>
      <c r="AD14" s="322"/>
      <c r="AE14" s="339"/>
      <c r="AF14" s="320"/>
      <c r="AG14" s="357"/>
      <c r="AH14" s="339"/>
      <c r="AI14" s="320"/>
      <c r="AJ14" s="322"/>
      <c r="AK14" s="317"/>
      <c r="AL14" s="320"/>
      <c r="AM14" s="322"/>
      <c r="AN14" s="339"/>
      <c r="AO14" s="320"/>
      <c r="AP14" s="322"/>
      <c r="AQ14" s="339"/>
      <c r="AR14" s="339"/>
      <c r="AS14" s="339"/>
      <c r="AT14" s="405"/>
      <c r="AZ14" s="368"/>
      <c r="BA14" s="368"/>
    </row>
    <row r="15" spans="1:54">
      <c r="A15" s="316"/>
      <c r="B15" s="320"/>
      <c r="C15" s="320"/>
      <c r="D15" s="331"/>
      <c r="E15" s="320"/>
      <c r="F15" s="320"/>
      <c r="G15" s="331"/>
      <c r="H15" s="320"/>
      <c r="I15" s="320"/>
      <c r="J15" s="329"/>
      <c r="K15" s="320"/>
      <c r="L15" s="320"/>
      <c r="M15" s="331"/>
      <c r="N15" s="320"/>
      <c r="O15" s="320"/>
      <c r="P15" s="331"/>
      <c r="Q15" s="320"/>
      <c r="R15" s="320"/>
      <c r="S15" s="331"/>
      <c r="T15" s="320"/>
      <c r="U15" s="320"/>
      <c r="V15" s="331"/>
      <c r="W15" s="320"/>
      <c r="X15" s="320"/>
      <c r="Y15" s="331"/>
      <c r="Z15" s="320"/>
      <c r="AA15" s="320"/>
      <c r="AB15" s="329"/>
      <c r="AC15" s="320"/>
      <c r="AD15" s="320"/>
      <c r="AE15" s="331"/>
      <c r="AF15" s="320"/>
      <c r="AG15" s="357"/>
      <c r="AH15" s="331"/>
      <c r="AI15" s="320"/>
      <c r="AJ15" s="320"/>
      <c r="AK15" s="331"/>
      <c r="AL15" s="320"/>
      <c r="AM15" s="320"/>
      <c r="AN15" s="331"/>
      <c r="AO15" s="320"/>
      <c r="AP15" s="320"/>
      <c r="AQ15" s="329"/>
      <c r="AR15" s="329"/>
      <c r="AS15" s="329"/>
      <c r="AT15" s="406"/>
      <c r="AV15" s="310">
        <v>14</v>
      </c>
      <c r="AW15" s="310">
        <v>14</v>
      </c>
      <c r="AX15" s="310">
        <v>13</v>
      </c>
      <c r="AY15" s="310">
        <v>12</v>
      </c>
      <c r="AZ15" s="369">
        <v>3.2103999999999999</v>
      </c>
      <c r="BA15" s="369">
        <v>3.2103999999999999</v>
      </c>
      <c r="BB15" s="350"/>
    </row>
    <row r="16" spans="1:54">
      <c r="A16" s="316"/>
      <c r="B16" s="504" t="s">
        <v>64</v>
      </c>
      <c r="C16" s="504"/>
      <c r="D16" s="331"/>
      <c r="E16" s="507" t="s">
        <v>67</v>
      </c>
      <c r="F16" s="507"/>
      <c r="G16" s="361"/>
      <c r="H16" s="547" t="s">
        <v>69</v>
      </c>
      <c r="I16" s="507"/>
      <c r="J16" s="329"/>
      <c r="K16" s="512" t="s">
        <v>71</v>
      </c>
      <c r="L16" s="507"/>
      <c r="M16" s="331"/>
      <c r="N16" s="512" t="s">
        <v>72</v>
      </c>
      <c r="O16" s="507"/>
      <c r="P16" s="331"/>
      <c r="Q16" s="548" t="s">
        <v>73</v>
      </c>
      <c r="R16" s="549"/>
      <c r="S16" s="331"/>
      <c r="T16" s="506" t="s">
        <v>74</v>
      </c>
      <c r="U16" s="507"/>
      <c r="V16" s="331"/>
      <c r="W16" s="509" t="s">
        <v>75</v>
      </c>
      <c r="X16" s="504"/>
      <c r="Y16" s="331"/>
      <c r="Z16" s="506" t="s">
        <v>77</v>
      </c>
      <c r="AA16" s="507"/>
      <c r="AB16" s="331"/>
      <c r="AC16" s="512" t="s">
        <v>78</v>
      </c>
      <c r="AD16" s="507"/>
      <c r="AE16" s="331"/>
      <c r="AF16" s="512" t="s">
        <v>79</v>
      </c>
      <c r="AG16" s="507"/>
      <c r="AH16" s="331"/>
      <c r="AI16" s="512" t="s">
        <v>80</v>
      </c>
      <c r="AJ16" s="507"/>
      <c r="AK16" s="331"/>
      <c r="AL16" s="512" t="s">
        <v>82</v>
      </c>
      <c r="AM16" s="507"/>
      <c r="AN16" s="331"/>
      <c r="AO16" s="512" t="s">
        <v>83</v>
      </c>
      <c r="AP16" s="507"/>
      <c r="AQ16" s="329"/>
      <c r="AR16" s="329"/>
      <c r="AS16" s="329"/>
      <c r="AT16" s="406"/>
      <c r="AZ16" s="368"/>
      <c r="BA16" s="368"/>
    </row>
    <row r="17" spans="1:54">
      <c r="A17" s="316"/>
      <c r="B17" s="504" t="s">
        <v>65</v>
      </c>
      <c r="C17" s="504"/>
      <c r="D17" s="329"/>
      <c r="E17" s="504" t="s">
        <v>51</v>
      </c>
      <c r="F17" s="504"/>
      <c r="G17" s="329"/>
      <c r="H17" s="504" t="s">
        <v>70</v>
      </c>
      <c r="I17" s="504"/>
      <c r="J17" s="329"/>
      <c r="K17" s="504" t="s">
        <v>56</v>
      </c>
      <c r="L17" s="504"/>
      <c r="M17" s="329"/>
      <c r="N17" s="546" t="s">
        <v>37</v>
      </c>
      <c r="O17" s="504"/>
      <c r="P17" s="329"/>
      <c r="Q17" s="546" t="s">
        <v>56</v>
      </c>
      <c r="R17" s="504"/>
      <c r="S17" s="329"/>
      <c r="T17" s="510" t="s">
        <v>37</v>
      </c>
      <c r="U17" s="510"/>
      <c r="V17" s="329"/>
      <c r="W17" s="504" t="s">
        <v>76</v>
      </c>
      <c r="X17" s="504"/>
      <c r="Y17" s="329"/>
      <c r="Z17" s="510" t="s">
        <v>70</v>
      </c>
      <c r="AA17" s="510"/>
      <c r="AB17" s="329"/>
      <c r="AC17" s="504" t="s">
        <v>70</v>
      </c>
      <c r="AD17" s="504"/>
      <c r="AE17" s="329"/>
      <c r="AF17" s="504" t="s">
        <v>70</v>
      </c>
      <c r="AG17" s="504"/>
      <c r="AH17" s="329"/>
      <c r="AI17" s="504" t="s">
        <v>81</v>
      </c>
      <c r="AJ17" s="504"/>
      <c r="AK17" s="329"/>
      <c r="AL17" s="504" t="s">
        <v>81</v>
      </c>
      <c r="AM17" s="504"/>
      <c r="AN17" s="329"/>
      <c r="AO17" s="504" t="s">
        <v>76</v>
      </c>
      <c r="AP17" s="504"/>
      <c r="AT17" s="403"/>
      <c r="AZ17" s="368"/>
      <c r="BA17" s="368"/>
    </row>
    <row r="18" spans="1:54">
      <c r="B18" s="328"/>
      <c r="C18" s="328"/>
      <c r="D18" s="365">
        <v>174.2</v>
      </c>
      <c r="E18" s="366"/>
      <c r="F18" s="366"/>
      <c r="G18" s="365">
        <v>229.7</v>
      </c>
      <c r="H18" s="366"/>
      <c r="I18" s="366"/>
      <c r="J18" s="365">
        <v>391</v>
      </c>
      <c r="K18" s="366"/>
      <c r="L18" s="366"/>
      <c r="M18" s="365">
        <v>328</v>
      </c>
      <c r="N18" s="366"/>
      <c r="O18" s="366"/>
      <c r="P18" s="365">
        <v>333</v>
      </c>
      <c r="Q18" s="366"/>
      <c r="R18" s="366"/>
      <c r="S18" s="365">
        <v>350</v>
      </c>
      <c r="T18" s="366"/>
      <c r="U18" s="366"/>
      <c r="V18" s="365">
        <v>331</v>
      </c>
      <c r="W18" s="366"/>
      <c r="X18" s="366"/>
      <c r="Y18" s="365">
        <v>349</v>
      </c>
      <c r="Z18" s="366"/>
      <c r="AA18" s="366"/>
      <c r="AB18" s="365">
        <v>360</v>
      </c>
      <c r="AC18" s="366"/>
      <c r="AD18" s="366"/>
      <c r="AE18" s="365">
        <v>460</v>
      </c>
      <c r="AF18" s="366"/>
      <c r="AG18" s="366"/>
      <c r="AH18" s="365">
        <v>230</v>
      </c>
      <c r="AI18" s="366"/>
      <c r="AJ18" s="366"/>
      <c r="AK18" s="365">
        <v>371.5</v>
      </c>
      <c r="AL18" s="366"/>
      <c r="AM18" s="366"/>
      <c r="AN18" s="365">
        <v>332.5</v>
      </c>
      <c r="AO18" s="366"/>
      <c r="AP18" s="366"/>
      <c r="AQ18" s="365">
        <v>424.4</v>
      </c>
      <c r="AT18" s="403">
        <f>SUM(D18:AQ18)</f>
        <v>4664.2999999999993</v>
      </c>
      <c r="AZ18" s="366"/>
      <c r="BA18" s="366"/>
    </row>
    <row r="19" spans="1:54">
      <c r="A19" s="316"/>
      <c r="B19" s="354" t="s">
        <v>540</v>
      </c>
      <c r="C19" s="354"/>
      <c r="D19" s="353"/>
      <c r="E19" s="354" t="s">
        <v>540</v>
      </c>
      <c r="F19" s="356"/>
      <c r="G19" s="353"/>
      <c r="H19" s="354" t="s">
        <v>540</v>
      </c>
      <c r="I19" s="356"/>
      <c r="J19" s="353"/>
      <c r="K19" s="354" t="s">
        <v>540</v>
      </c>
      <c r="L19" s="356"/>
      <c r="M19" s="353"/>
      <c r="N19" s="354" t="s">
        <v>540</v>
      </c>
      <c r="O19" s="354"/>
      <c r="P19" s="353"/>
      <c r="Q19" s="354" t="s">
        <v>540</v>
      </c>
      <c r="R19" s="354"/>
      <c r="S19" s="353"/>
      <c r="T19" s="354" t="s">
        <v>540</v>
      </c>
      <c r="U19" s="354"/>
      <c r="V19" s="353"/>
      <c r="W19" s="354" t="s">
        <v>540</v>
      </c>
      <c r="X19" s="354"/>
      <c r="Y19" s="353"/>
      <c r="Z19" s="354" t="s">
        <v>540</v>
      </c>
      <c r="AA19" s="354"/>
      <c r="AB19" s="348"/>
      <c r="AC19" s="346" t="s">
        <v>540</v>
      </c>
      <c r="AD19" s="346"/>
      <c r="AE19" s="348"/>
      <c r="AF19" s="346" t="s">
        <v>540</v>
      </c>
      <c r="AG19" s="346"/>
      <c r="AH19" s="353"/>
      <c r="AI19" s="354" t="s">
        <v>540</v>
      </c>
      <c r="AJ19" s="354"/>
      <c r="AK19" s="353"/>
      <c r="AL19" s="354" t="s">
        <v>540</v>
      </c>
      <c r="AM19" s="354"/>
      <c r="AN19" s="353"/>
      <c r="AO19" s="354" t="s">
        <v>540</v>
      </c>
      <c r="AP19" s="353"/>
      <c r="AT19" s="403"/>
      <c r="AZ19" s="368"/>
      <c r="BA19" s="368"/>
    </row>
    <row r="20" spans="1:54">
      <c r="A20" s="316"/>
      <c r="AT20" s="403"/>
      <c r="AZ20" s="368"/>
      <c r="BA20" s="368"/>
    </row>
    <row r="21" spans="1:54">
      <c r="A21" s="316"/>
      <c r="AT21" s="403"/>
      <c r="AZ21" s="368"/>
      <c r="BA21" s="368"/>
    </row>
    <row r="22" spans="1:54">
      <c r="A22" s="316"/>
      <c r="B22" s="550"/>
      <c r="C22" s="503"/>
      <c r="E22" s="501"/>
      <c r="F22" s="501"/>
      <c r="H22" s="551"/>
      <c r="I22" s="501"/>
      <c r="K22" s="501"/>
      <c r="L22" s="501"/>
      <c r="N22" s="501"/>
      <c r="O22" s="501"/>
      <c r="Q22" s="551"/>
      <c r="R22" s="501"/>
      <c r="T22" s="551"/>
      <c r="U22" s="501"/>
      <c r="W22" s="551"/>
      <c r="X22" s="501"/>
      <c r="Z22" s="551"/>
      <c r="AA22" s="501"/>
      <c r="AC22" s="551"/>
      <c r="AD22" s="501"/>
      <c r="AF22" s="551"/>
      <c r="AG22" s="501"/>
      <c r="AI22" s="551"/>
      <c r="AJ22" s="501"/>
      <c r="AL22" s="551"/>
      <c r="AM22" s="501"/>
      <c r="AO22" s="551"/>
      <c r="AP22" s="501"/>
      <c r="AT22" s="403"/>
      <c r="AZ22" s="368"/>
      <c r="BA22" s="368"/>
    </row>
    <row r="23" spans="1:54">
      <c r="A23" s="316"/>
      <c r="B23" s="320"/>
      <c r="C23" s="322"/>
      <c r="D23" s="339"/>
      <c r="E23" s="320"/>
      <c r="F23" s="322"/>
      <c r="G23" s="339"/>
      <c r="H23" s="320"/>
      <c r="I23" s="322"/>
      <c r="J23" s="339"/>
      <c r="K23" s="320"/>
      <c r="L23" s="322"/>
      <c r="M23" s="339"/>
      <c r="N23" s="320"/>
      <c r="O23" s="322"/>
      <c r="P23" s="339"/>
      <c r="Q23" s="320"/>
      <c r="R23" s="322"/>
      <c r="S23" s="339"/>
      <c r="T23" s="320"/>
      <c r="U23" s="322"/>
      <c r="V23" s="339"/>
      <c r="W23" s="320"/>
      <c r="X23" s="322"/>
      <c r="Y23" s="339"/>
      <c r="Z23" s="320"/>
      <c r="AA23" s="322"/>
      <c r="AB23" s="339"/>
      <c r="AC23" s="320"/>
      <c r="AD23" s="322"/>
      <c r="AE23" s="339"/>
      <c r="AF23" s="320"/>
      <c r="AG23" s="322"/>
      <c r="AH23" s="339"/>
      <c r="AI23" s="320"/>
      <c r="AJ23" s="322"/>
      <c r="AK23" s="339"/>
      <c r="AL23" s="320"/>
      <c r="AM23" s="322"/>
      <c r="AN23" s="339"/>
      <c r="AO23" s="320"/>
      <c r="AP23" s="322"/>
      <c r="AQ23" s="339"/>
      <c r="AR23" s="339"/>
      <c r="AS23" s="339"/>
      <c r="AT23" s="405"/>
      <c r="AZ23" s="368"/>
      <c r="BA23" s="368"/>
    </row>
    <row r="24" spans="1:54">
      <c r="A24" s="316"/>
      <c r="B24" s="320"/>
      <c r="C24" s="320"/>
      <c r="D24" s="329"/>
      <c r="E24" s="320"/>
      <c r="F24" s="320"/>
      <c r="G24" s="329"/>
      <c r="H24" s="320"/>
      <c r="I24" s="320"/>
      <c r="J24" s="331"/>
      <c r="K24" s="320"/>
      <c r="L24" s="320"/>
      <c r="M24" s="331"/>
      <c r="N24" s="320"/>
      <c r="O24" s="320"/>
      <c r="P24" s="331"/>
      <c r="Q24" s="320"/>
      <c r="R24" s="320"/>
      <c r="S24" s="331"/>
      <c r="T24" s="320"/>
      <c r="U24" s="320"/>
      <c r="V24" s="331"/>
      <c r="W24" s="320"/>
      <c r="X24" s="320"/>
      <c r="Y24" s="329"/>
      <c r="Z24" s="320"/>
      <c r="AA24" s="320"/>
      <c r="AB24" s="331"/>
      <c r="AC24" s="320"/>
      <c r="AD24" s="320"/>
      <c r="AE24" s="331"/>
      <c r="AF24" s="320"/>
      <c r="AG24" s="320"/>
      <c r="AH24" s="331"/>
      <c r="AI24" s="320"/>
      <c r="AJ24" s="320"/>
      <c r="AK24" s="331"/>
      <c r="AL24" s="320"/>
      <c r="AM24" s="320"/>
      <c r="AN24" s="331"/>
      <c r="AO24" s="320"/>
      <c r="AP24" s="320"/>
      <c r="AQ24" s="331"/>
      <c r="AR24" s="331"/>
      <c r="AS24" s="331"/>
      <c r="AT24" s="407"/>
      <c r="AV24" s="310">
        <v>14</v>
      </c>
      <c r="AW24" s="310">
        <v>14</v>
      </c>
      <c r="AX24" s="310">
        <v>14</v>
      </c>
      <c r="AY24" s="310">
        <v>11</v>
      </c>
      <c r="AZ24" s="369">
        <v>3.0861000000000001</v>
      </c>
      <c r="BA24" s="369">
        <v>3.0861000000000001</v>
      </c>
      <c r="BB24" s="350"/>
    </row>
    <row r="25" spans="1:54">
      <c r="A25" s="316"/>
      <c r="B25" s="509" t="s">
        <v>84</v>
      </c>
      <c r="C25" s="504"/>
      <c r="D25" s="329"/>
      <c r="E25" s="512" t="s">
        <v>86</v>
      </c>
      <c r="F25" s="507"/>
      <c r="G25" s="329"/>
      <c r="H25" s="547" t="s">
        <v>87</v>
      </c>
      <c r="I25" s="507"/>
      <c r="J25" s="331"/>
      <c r="K25" s="512" t="s">
        <v>88</v>
      </c>
      <c r="L25" s="507"/>
      <c r="M25" s="331"/>
      <c r="N25" s="512" t="s">
        <v>90</v>
      </c>
      <c r="O25" s="507"/>
      <c r="P25" s="331"/>
      <c r="Q25" s="548" t="s">
        <v>91</v>
      </c>
      <c r="R25" s="549"/>
      <c r="S25" s="331"/>
      <c r="T25" s="506" t="s">
        <v>93</v>
      </c>
      <c r="U25" s="507"/>
      <c r="V25" s="331"/>
      <c r="W25" s="509" t="s">
        <v>94</v>
      </c>
      <c r="X25" s="504"/>
      <c r="Y25" s="331"/>
      <c r="Z25" s="509" t="s">
        <v>95</v>
      </c>
      <c r="AA25" s="504"/>
      <c r="AB25" s="331"/>
      <c r="AC25" s="553" t="s">
        <v>96</v>
      </c>
      <c r="AD25" s="553"/>
      <c r="AE25" s="331"/>
      <c r="AF25" s="553" t="s">
        <v>98</v>
      </c>
      <c r="AG25" s="553"/>
      <c r="AH25" s="329"/>
      <c r="AI25" s="553" t="s">
        <v>99</v>
      </c>
      <c r="AJ25" s="553"/>
      <c r="AK25" s="359"/>
      <c r="AL25" s="553" t="s">
        <v>100</v>
      </c>
      <c r="AM25" s="553"/>
      <c r="AN25" s="329"/>
      <c r="AO25" s="553" t="s">
        <v>102</v>
      </c>
      <c r="AP25" s="553"/>
      <c r="AT25" s="403"/>
      <c r="AZ25" s="368"/>
      <c r="BA25" s="368"/>
    </row>
    <row r="26" spans="1:54">
      <c r="A26" s="316"/>
      <c r="B26" s="504" t="s">
        <v>85</v>
      </c>
      <c r="C26" s="504"/>
      <c r="D26" s="329"/>
      <c r="E26" s="504" t="s">
        <v>56</v>
      </c>
      <c r="F26" s="504"/>
      <c r="G26" s="329"/>
      <c r="H26" s="504" t="s">
        <v>42</v>
      </c>
      <c r="I26" s="504"/>
      <c r="J26" s="329"/>
      <c r="K26" s="504" t="s">
        <v>89</v>
      </c>
      <c r="L26" s="504"/>
      <c r="M26" s="329"/>
      <c r="N26" s="546" t="s">
        <v>76</v>
      </c>
      <c r="O26" s="504"/>
      <c r="P26" s="329"/>
      <c r="Q26" s="546" t="s">
        <v>76</v>
      </c>
      <c r="R26" s="504"/>
      <c r="S26" s="329"/>
      <c r="T26" s="546" t="s">
        <v>81</v>
      </c>
      <c r="U26" s="504"/>
      <c r="V26" s="329"/>
      <c r="W26" s="504" t="s">
        <v>89</v>
      </c>
      <c r="X26" s="504"/>
      <c r="Y26" s="329"/>
      <c r="Z26" s="504" t="s">
        <v>56</v>
      </c>
      <c r="AA26" s="504"/>
      <c r="AB26" s="329"/>
      <c r="AC26" s="505" t="s">
        <v>37</v>
      </c>
      <c r="AD26" s="505"/>
      <c r="AE26" s="360"/>
      <c r="AF26" s="552" t="s">
        <v>39</v>
      </c>
      <c r="AG26" s="552"/>
      <c r="AH26" s="360"/>
      <c r="AI26" s="552" t="s">
        <v>76</v>
      </c>
      <c r="AJ26" s="552"/>
      <c r="AK26" s="360"/>
      <c r="AL26" s="552" t="s">
        <v>76</v>
      </c>
      <c r="AM26" s="552"/>
      <c r="AN26" s="360"/>
      <c r="AO26" s="552" t="s">
        <v>89</v>
      </c>
      <c r="AP26" s="552"/>
      <c r="AT26" s="403"/>
      <c r="AZ26" s="368"/>
      <c r="BA26" s="368"/>
    </row>
    <row r="27" spans="1:54">
      <c r="B27" s="328"/>
      <c r="C27" s="328"/>
      <c r="D27" s="365">
        <v>326.7</v>
      </c>
      <c r="E27" s="366"/>
      <c r="F27" s="366"/>
      <c r="G27" s="365">
        <v>291.89999999999998</v>
      </c>
      <c r="H27" s="366"/>
      <c r="I27" s="366"/>
      <c r="J27" s="365">
        <v>292</v>
      </c>
      <c r="K27" s="366"/>
      <c r="L27" s="366"/>
      <c r="M27" s="365">
        <v>415</v>
      </c>
      <c r="N27" s="366"/>
      <c r="O27" s="366"/>
      <c r="P27" s="365">
        <v>237</v>
      </c>
      <c r="Q27" s="366"/>
      <c r="R27" s="366"/>
      <c r="S27" s="365">
        <v>188.5</v>
      </c>
      <c r="T27" s="366"/>
      <c r="U27" s="366"/>
      <c r="V27" s="365">
        <v>383</v>
      </c>
      <c r="W27" s="366"/>
      <c r="X27" s="366"/>
      <c r="Y27" s="365">
        <v>311</v>
      </c>
      <c r="Z27" s="366"/>
      <c r="AA27" s="366"/>
      <c r="AB27" s="365">
        <v>350</v>
      </c>
      <c r="AC27" s="366"/>
      <c r="AD27" s="366"/>
      <c r="AE27" s="365">
        <v>291</v>
      </c>
      <c r="AF27" s="366"/>
      <c r="AG27" s="366"/>
      <c r="AH27" s="365">
        <v>342</v>
      </c>
      <c r="AI27" s="366"/>
      <c r="AJ27" s="366"/>
      <c r="AK27" s="365">
        <v>264</v>
      </c>
      <c r="AL27" s="366"/>
      <c r="AM27" s="366"/>
      <c r="AN27" s="365">
        <v>282.7</v>
      </c>
      <c r="AO27" s="366"/>
      <c r="AP27" s="366"/>
      <c r="AQ27" s="365">
        <v>462.1</v>
      </c>
      <c r="AT27" s="403">
        <f>SUM(D27:AQ27)</f>
        <v>4436.8999999999996</v>
      </c>
      <c r="AZ27" s="366"/>
      <c r="BA27" s="366"/>
    </row>
    <row r="28" spans="1:54">
      <c r="A28" s="316"/>
      <c r="B28" s="354" t="s">
        <v>540</v>
      </c>
      <c r="C28" s="354"/>
      <c r="D28" s="353"/>
      <c r="E28" s="354" t="s">
        <v>540</v>
      </c>
      <c r="F28" s="356"/>
      <c r="G28" s="353"/>
      <c r="H28" s="354" t="s">
        <v>540</v>
      </c>
      <c r="I28" s="356"/>
      <c r="J28" s="353"/>
      <c r="K28" s="354" t="s">
        <v>540</v>
      </c>
      <c r="L28" s="356"/>
      <c r="M28" s="353"/>
      <c r="N28" s="354" t="s">
        <v>540</v>
      </c>
      <c r="O28" s="354"/>
      <c r="P28" s="353"/>
      <c r="Q28" s="354" t="s">
        <v>540</v>
      </c>
      <c r="R28" s="354"/>
      <c r="S28" s="353"/>
      <c r="T28" s="354" t="s">
        <v>540</v>
      </c>
      <c r="U28" s="354"/>
      <c r="V28" s="353"/>
      <c r="W28" s="354" t="s">
        <v>540</v>
      </c>
      <c r="X28" s="354"/>
      <c r="Y28" s="353"/>
      <c r="Z28" s="354" t="s">
        <v>540</v>
      </c>
      <c r="AA28" s="354"/>
      <c r="AB28" s="353"/>
      <c r="AC28" s="354" t="s">
        <v>540</v>
      </c>
      <c r="AD28" s="354"/>
      <c r="AE28" s="353"/>
      <c r="AF28" s="354" t="s">
        <v>540</v>
      </c>
      <c r="AG28" s="354"/>
      <c r="AH28" s="348"/>
      <c r="AI28" s="346" t="s">
        <v>540</v>
      </c>
      <c r="AJ28" s="346"/>
      <c r="AK28" s="348"/>
      <c r="AL28" s="346" t="s">
        <v>540</v>
      </c>
      <c r="AM28" s="346"/>
      <c r="AN28" s="348"/>
      <c r="AO28" s="346" t="s">
        <v>540</v>
      </c>
      <c r="AP28" s="348"/>
      <c r="AQ28" s="347"/>
      <c r="AT28" s="403"/>
      <c r="AZ28" s="368"/>
      <c r="BA28" s="368"/>
    </row>
    <row r="29" spans="1:54">
      <c r="A29" s="316"/>
      <c r="AT29" s="403"/>
      <c r="AZ29" s="368"/>
      <c r="BA29" s="368"/>
    </row>
    <row r="30" spans="1:54">
      <c r="A30" s="316"/>
      <c r="AT30" s="403"/>
      <c r="AZ30" s="368"/>
      <c r="BA30" s="368"/>
    </row>
    <row r="31" spans="1:54">
      <c r="A31" s="316"/>
      <c r="B31" s="550"/>
      <c r="C31" s="503"/>
      <c r="E31" s="501"/>
      <c r="F31" s="501"/>
      <c r="H31" s="501"/>
      <c r="I31" s="501"/>
      <c r="K31" s="501"/>
      <c r="L31" s="501"/>
      <c r="N31" s="501"/>
      <c r="O31" s="501"/>
      <c r="Q31" s="501"/>
      <c r="R31" s="501"/>
      <c r="T31" s="501"/>
      <c r="U31" s="501"/>
      <c r="W31" s="501"/>
      <c r="X31" s="501"/>
      <c r="Z31" s="501"/>
      <c r="AA31" s="501"/>
      <c r="AC31" s="501"/>
      <c r="AD31" s="501"/>
      <c r="AF31" s="501"/>
      <c r="AG31" s="501"/>
      <c r="AI31" s="501"/>
      <c r="AJ31" s="501"/>
      <c r="AL31" s="501"/>
      <c r="AM31" s="501"/>
      <c r="AO31" s="501"/>
      <c r="AP31" s="501"/>
      <c r="AR31" s="501"/>
      <c r="AS31" s="501"/>
      <c r="AT31" s="403"/>
      <c r="AZ31" s="368"/>
      <c r="BA31" s="368"/>
    </row>
    <row r="32" spans="1:54">
      <c r="A32" s="316"/>
      <c r="B32" s="320"/>
      <c r="C32" s="322"/>
      <c r="D32" s="339"/>
      <c r="E32" s="320"/>
      <c r="F32" s="322"/>
      <c r="G32" s="339"/>
      <c r="H32" s="320"/>
      <c r="I32" s="322"/>
      <c r="J32" s="339"/>
      <c r="K32" s="320"/>
      <c r="L32" s="322"/>
      <c r="M32" s="339"/>
      <c r="N32" s="320"/>
      <c r="O32" s="322"/>
      <c r="P32" s="339"/>
      <c r="Q32" s="320"/>
      <c r="R32" s="322"/>
      <c r="S32" s="339"/>
      <c r="T32" s="320"/>
      <c r="U32" s="322"/>
      <c r="V32" s="339"/>
      <c r="W32" s="320"/>
      <c r="X32" s="322"/>
      <c r="Y32" s="339"/>
      <c r="Z32" s="320"/>
      <c r="AA32" s="322"/>
      <c r="AB32" s="339"/>
      <c r="AC32" s="320"/>
      <c r="AD32" s="322"/>
      <c r="AE32" s="339"/>
      <c r="AF32" s="320"/>
      <c r="AG32" s="322"/>
      <c r="AH32" s="339"/>
      <c r="AI32" s="320"/>
      <c r="AJ32" s="322"/>
      <c r="AK32" s="339"/>
      <c r="AL32" s="320"/>
      <c r="AM32" s="322"/>
      <c r="AN32" s="339"/>
      <c r="AO32" s="320"/>
      <c r="AP32" s="322"/>
      <c r="AQ32" s="339"/>
      <c r="AR32" s="320"/>
      <c r="AS32" s="322"/>
      <c r="AT32" s="405"/>
      <c r="AZ32" s="368"/>
      <c r="BA32" s="368"/>
    </row>
    <row r="33" spans="1:54">
      <c r="A33" s="316"/>
      <c r="B33" s="320"/>
      <c r="C33" s="320"/>
      <c r="D33" s="331"/>
      <c r="E33" s="320"/>
      <c r="F33" s="320"/>
      <c r="G33" s="331"/>
      <c r="H33" s="320"/>
      <c r="I33" s="320"/>
      <c r="J33" s="331"/>
      <c r="K33" s="320"/>
      <c r="L33" s="320"/>
      <c r="M33" s="331"/>
      <c r="N33" s="320"/>
      <c r="O33" s="320"/>
      <c r="P33" s="331"/>
      <c r="Q33" s="320"/>
      <c r="R33" s="320"/>
      <c r="S33" s="331"/>
      <c r="T33" s="320"/>
      <c r="U33" s="320"/>
      <c r="V33" s="331"/>
      <c r="W33" s="320"/>
      <c r="X33" s="320"/>
      <c r="Y33" s="329"/>
      <c r="Z33" s="320"/>
      <c r="AA33" s="320"/>
      <c r="AB33" s="331"/>
      <c r="AC33" s="320"/>
      <c r="AD33" s="320"/>
      <c r="AE33" s="331"/>
      <c r="AF33" s="320"/>
      <c r="AG33" s="320"/>
      <c r="AH33" s="329"/>
      <c r="AI33" s="320"/>
      <c r="AJ33" s="320"/>
      <c r="AK33" s="331"/>
      <c r="AL33" s="320"/>
      <c r="AM33" s="320"/>
      <c r="AN33" s="329"/>
      <c r="AO33" s="320"/>
      <c r="AP33" s="320"/>
      <c r="AQ33" s="331"/>
      <c r="AR33" s="320"/>
      <c r="AS33" s="320"/>
      <c r="AT33" s="407"/>
      <c r="AV33" s="310">
        <v>15</v>
      </c>
      <c r="AW33" s="310">
        <v>15</v>
      </c>
      <c r="AX33" s="310">
        <v>15</v>
      </c>
      <c r="AY33" s="310">
        <v>11</v>
      </c>
      <c r="AZ33" s="369">
        <v>2.5594000000000001</v>
      </c>
      <c r="BA33" s="369">
        <v>2.5594000000000001</v>
      </c>
      <c r="BB33" s="350"/>
    </row>
    <row r="34" spans="1:54">
      <c r="A34" s="316"/>
      <c r="B34" s="509" t="s">
        <v>104</v>
      </c>
      <c r="C34" s="504"/>
      <c r="D34" s="331"/>
      <c r="E34" s="512" t="s">
        <v>106</v>
      </c>
      <c r="F34" s="507"/>
      <c r="G34" s="331"/>
      <c r="H34" s="512" t="s">
        <v>107</v>
      </c>
      <c r="I34" s="507"/>
      <c r="J34" s="331"/>
      <c r="K34" s="512" t="s">
        <v>108</v>
      </c>
      <c r="L34" s="507"/>
      <c r="M34" s="331"/>
      <c r="N34" s="512" t="s">
        <v>109</v>
      </c>
      <c r="O34" s="507"/>
      <c r="P34" s="331"/>
      <c r="Q34" s="512" t="s">
        <v>111</v>
      </c>
      <c r="R34" s="507"/>
      <c r="S34" s="331"/>
      <c r="T34" s="512" t="s">
        <v>113</v>
      </c>
      <c r="U34" s="507"/>
      <c r="V34" s="331"/>
      <c r="W34" s="512" t="s">
        <v>115</v>
      </c>
      <c r="X34" s="507"/>
      <c r="Y34" s="329"/>
      <c r="Z34" s="512" t="s">
        <v>117</v>
      </c>
      <c r="AA34" s="507"/>
      <c r="AB34" s="331"/>
      <c r="AC34" s="512" t="s">
        <v>118</v>
      </c>
      <c r="AD34" s="507"/>
      <c r="AE34" s="331"/>
      <c r="AF34" s="512" t="s">
        <v>120</v>
      </c>
      <c r="AG34" s="507"/>
      <c r="AH34" s="329"/>
      <c r="AI34" s="512" t="s">
        <v>122</v>
      </c>
      <c r="AJ34" s="507"/>
      <c r="AK34" s="331"/>
      <c r="AL34" s="512" t="s">
        <v>123</v>
      </c>
      <c r="AM34" s="507"/>
      <c r="AN34" s="329"/>
      <c r="AO34" s="512" t="s">
        <v>124</v>
      </c>
      <c r="AP34" s="507"/>
      <c r="AQ34" s="331"/>
      <c r="AR34" s="502" t="s">
        <v>574</v>
      </c>
      <c r="AS34" s="502"/>
      <c r="AT34" s="407"/>
      <c r="AZ34" s="368"/>
      <c r="BA34" s="368"/>
    </row>
    <row r="35" spans="1:54">
      <c r="A35" s="316"/>
      <c r="B35" s="504" t="s">
        <v>39</v>
      </c>
      <c r="C35" s="504"/>
      <c r="D35" s="329"/>
      <c r="E35" s="504" t="s">
        <v>70</v>
      </c>
      <c r="F35" s="504"/>
      <c r="G35" s="329"/>
      <c r="H35" s="504" t="s">
        <v>42</v>
      </c>
      <c r="I35" s="504"/>
      <c r="J35" s="329"/>
      <c r="K35" s="504" t="s">
        <v>42</v>
      </c>
      <c r="L35" s="504"/>
      <c r="M35" s="329"/>
      <c r="N35" s="504" t="s">
        <v>42</v>
      </c>
      <c r="O35" s="504"/>
      <c r="P35" s="329"/>
      <c r="Q35" s="504" t="s">
        <v>34</v>
      </c>
      <c r="R35" s="504"/>
      <c r="S35" s="329"/>
      <c r="T35" s="504" t="s">
        <v>34</v>
      </c>
      <c r="U35" s="504"/>
      <c r="V35" s="329"/>
      <c r="W35" s="504" t="s">
        <v>116</v>
      </c>
      <c r="X35" s="504"/>
      <c r="Y35" s="329"/>
      <c r="Z35" s="504" t="s">
        <v>42</v>
      </c>
      <c r="AA35" s="504"/>
      <c r="AB35" s="329"/>
      <c r="AC35" s="504" t="s">
        <v>42</v>
      </c>
      <c r="AD35" s="504"/>
      <c r="AE35" s="329"/>
      <c r="AF35" s="504" t="s">
        <v>34</v>
      </c>
      <c r="AG35" s="504"/>
      <c r="AH35" s="329"/>
      <c r="AI35" s="504" t="s">
        <v>34</v>
      </c>
      <c r="AJ35" s="504"/>
      <c r="AK35" s="329"/>
      <c r="AL35" s="504" t="s">
        <v>54</v>
      </c>
      <c r="AM35" s="504"/>
      <c r="AN35" s="329"/>
      <c r="AO35" s="504" t="s">
        <v>56</v>
      </c>
      <c r="AP35" s="504"/>
      <c r="AR35" s="304" t="s">
        <v>37</v>
      </c>
      <c r="AT35" s="403"/>
      <c r="AZ35" s="368"/>
      <c r="BA35" s="368"/>
    </row>
    <row r="36" spans="1:54">
      <c r="A36" s="316"/>
      <c r="B36" s="328"/>
      <c r="C36" s="328"/>
      <c r="D36" s="329">
        <v>318</v>
      </c>
      <c r="E36" s="328"/>
      <c r="F36" s="328"/>
      <c r="G36" s="329">
        <v>364</v>
      </c>
      <c r="H36" s="328"/>
      <c r="I36" s="328"/>
      <c r="J36" s="329">
        <v>279</v>
      </c>
      <c r="K36" s="328"/>
      <c r="L36" s="328"/>
      <c r="M36" s="329">
        <v>252</v>
      </c>
      <c r="N36" s="328"/>
      <c r="O36" s="328"/>
      <c r="P36" s="329">
        <v>257.10000000000002</v>
      </c>
      <c r="Q36" s="328"/>
      <c r="R36" s="328"/>
      <c r="S36" s="329">
        <v>170.7</v>
      </c>
      <c r="T36" s="328"/>
      <c r="U36" s="328"/>
      <c r="V36" s="329">
        <v>336.5</v>
      </c>
      <c r="W36" s="328"/>
      <c r="X36" s="328"/>
      <c r="Y36" s="329">
        <v>365</v>
      </c>
      <c r="Z36" s="328"/>
      <c r="AA36" s="328"/>
      <c r="AB36" s="329">
        <v>280</v>
      </c>
      <c r="AC36" s="328"/>
      <c r="AD36" s="328"/>
      <c r="AE36" s="329">
        <v>255.1</v>
      </c>
      <c r="AF36" s="328"/>
      <c r="AG36" s="328"/>
      <c r="AH36" s="329">
        <v>318.8</v>
      </c>
      <c r="AI36" s="328"/>
      <c r="AJ36" s="328"/>
      <c r="AK36" s="329">
        <v>311.60000000000002</v>
      </c>
      <c r="AL36" s="328"/>
      <c r="AM36" s="328"/>
      <c r="AN36" s="329">
        <v>124.5</v>
      </c>
      <c r="AO36" s="328"/>
      <c r="AP36" s="328"/>
      <c r="AQ36" s="304">
        <v>264.8</v>
      </c>
      <c r="AT36" s="403">
        <v>393</v>
      </c>
      <c r="AZ36" s="366"/>
      <c r="BA36" s="366"/>
    </row>
    <row r="37" spans="1:54">
      <c r="A37" s="316"/>
      <c r="B37" s="354" t="s">
        <v>540</v>
      </c>
      <c r="C37" s="354"/>
      <c r="D37" s="353"/>
      <c r="E37" s="354" t="s">
        <v>540</v>
      </c>
      <c r="F37" s="356"/>
      <c r="G37" s="353"/>
      <c r="H37" s="354" t="s">
        <v>540</v>
      </c>
      <c r="I37" s="356"/>
      <c r="J37" s="353"/>
      <c r="K37" s="354" t="s">
        <v>540</v>
      </c>
      <c r="L37" s="356"/>
      <c r="M37" s="353"/>
      <c r="N37" s="354" t="s">
        <v>540</v>
      </c>
      <c r="O37" s="354"/>
      <c r="P37" s="353"/>
      <c r="Q37" s="354" t="s">
        <v>540</v>
      </c>
      <c r="R37" s="354"/>
      <c r="S37" s="353"/>
      <c r="T37" s="354" t="s">
        <v>540</v>
      </c>
      <c r="U37" s="354"/>
      <c r="V37" s="353"/>
      <c r="W37" s="354" t="s">
        <v>540</v>
      </c>
      <c r="X37" s="354"/>
      <c r="Y37" s="353"/>
      <c r="Z37" s="354" t="s">
        <v>540</v>
      </c>
      <c r="AA37" s="354"/>
      <c r="AB37" s="353"/>
      <c r="AC37" s="354" t="s">
        <v>540</v>
      </c>
      <c r="AD37" s="354"/>
      <c r="AE37" s="353"/>
      <c r="AF37" s="354" t="s">
        <v>540</v>
      </c>
      <c r="AG37" s="354"/>
      <c r="AH37" s="353"/>
      <c r="AI37" s="354" t="s">
        <v>540</v>
      </c>
      <c r="AJ37" s="354"/>
      <c r="AK37" s="353"/>
      <c r="AL37" s="354" t="s">
        <v>540</v>
      </c>
      <c r="AM37" s="354"/>
      <c r="AN37" s="353"/>
      <c r="AO37" s="354" t="s">
        <v>540</v>
      </c>
      <c r="AP37" s="353"/>
      <c r="AQ37" s="353"/>
      <c r="AR37" s="354" t="s">
        <v>540</v>
      </c>
      <c r="AS37" s="353"/>
      <c r="AT37" s="408"/>
      <c r="AZ37" s="368"/>
      <c r="BA37" s="368"/>
    </row>
    <row r="38" spans="1:54">
      <c r="A38" s="316"/>
      <c r="AE38" s="303"/>
      <c r="AF38" s="304"/>
      <c r="AI38" s="304"/>
      <c r="AT38" s="409">
        <f>SUM(D36:AT36)</f>
        <v>4290.1000000000004</v>
      </c>
      <c r="AZ38" s="368"/>
      <c r="BA38" s="368"/>
    </row>
    <row r="39" spans="1:54">
      <c r="A39" s="316"/>
      <c r="AT39" s="403"/>
      <c r="AZ39" s="368"/>
      <c r="BA39" s="368"/>
    </row>
    <row r="40" spans="1:54">
      <c r="A40" s="316"/>
      <c r="B40" s="503"/>
      <c r="C40" s="503"/>
      <c r="E40" s="501"/>
      <c r="F40" s="501"/>
      <c r="H40" s="501"/>
      <c r="I40" s="501"/>
      <c r="K40" s="501"/>
      <c r="L40" s="501"/>
      <c r="N40" s="501"/>
      <c r="O40" s="501"/>
      <c r="Q40" s="501"/>
      <c r="R40" s="501"/>
      <c r="T40" s="501"/>
      <c r="U40" s="501"/>
      <c r="W40" s="501"/>
      <c r="X40" s="501"/>
      <c r="Z40" s="501"/>
      <c r="AA40" s="501"/>
      <c r="AC40" s="501"/>
      <c r="AD40" s="501"/>
      <c r="AF40" s="501"/>
      <c r="AG40" s="501"/>
      <c r="AI40" s="501"/>
      <c r="AJ40" s="501"/>
      <c r="AL40" s="501"/>
      <c r="AM40" s="501"/>
      <c r="AO40" s="501"/>
      <c r="AP40" s="501"/>
      <c r="AT40" s="403"/>
      <c r="AZ40" s="368"/>
      <c r="BA40" s="368"/>
    </row>
    <row r="41" spans="1:54">
      <c r="A41" s="316"/>
      <c r="B41" s="322"/>
      <c r="C41" s="322"/>
      <c r="D41" s="339"/>
      <c r="E41" s="320"/>
      <c r="F41" s="322"/>
      <c r="G41" s="339"/>
      <c r="H41" s="320"/>
      <c r="I41" s="322"/>
      <c r="J41" s="317"/>
      <c r="K41" s="320"/>
      <c r="L41" s="322"/>
      <c r="M41" s="339"/>
      <c r="N41" s="320"/>
      <c r="O41" s="322"/>
      <c r="P41" s="339"/>
      <c r="Q41" s="320"/>
      <c r="R41" s="357"/>
      <c r="S41" s="339"/>
      <c r="T41" s="320"/>
      <c r="U41" s="322"/>
      <c r="V41" s="339"/>
      <c r="W41" s="320"/>
      <c r="X41" s="322"/>
      <c r="Y41" s="339"/>
      <c r="Z41" s="320"/>
      <c r="AA41" s="322"/>
      <c r="AB41" s="339"/>
      <c r="AC41" s="320"/>
      <c r="AD41" s="322"/>
      <c r="AE41" s="339"/>
      <c r="AF41" s="320"/>
      <c r="AG41" s="322"/>
      <c r="AH41" s="339"/>
      <c r="AI41" s="320"/>
      <c r="AJ41" s="322"/>
      <c r="AK41" s="339"/>
      <c r="AL41" s="320"/>
      <c r="AM41" s="322"/>
      <c r="AN41" s="339"/>
      <c r="AO41" s="320"/>
      <c r="AP41" s="322"/>
      <c r="AQ41" s="339"/>
      <c r="AR41" s="339"/>
      <c r="AS41" s="339"/>
      <c r="AT41" s="405"/>
      <c r="AZ41" s="368"/>
      <c r="BA41" s="368"/>
    </row>
    <row r="42" spans="1:54">
      <c r="A42" s="316"/>
      <c r="B42" s="320"/>
      <c r="C42" s="320"/>
      <c r="D42" s="329"/>
      <c r="E42" s="320"/>
      <c r="F42" s="320"/>
      <c r="G42" s="331"/>
      <c r="H42" s="320"/>
      <c r="I42" s="320"/>
      <c r="J42" s="329"/>
      <c r="K42" s="320"/>
      <c r="L42" s="320"/>
      <c r="M42" s="331"/>
      <c r="N42" s="320"/>
      <c r="O42" s="320"/>
      <c r="P42" s="329"/>
      <c r="Q42" s="320"/>
      <c r="R42" s="320"/>
      <c r="S42" s="331"/>
      <c r="T42" s="320"/>
      <c r="U42" s="320"/>
      <c r="V42" s="329"/>
      <c r="W42" s="320"/>
      <c r="X42" s="320"/>
      <c r="Y42" s="329"/>
      <c r="Z42" s="320"/>
      <c r="AA42" s="320"/>
      <c r="AB42" s="329"/>
      <c r="AC42" s="320"/>
      <c r="AD42" s="320"/>
      <c r="AE42" s="329"/>
      <c r="AF42" s="320"/>
      <c r="AG42" s="320"/>
      <c r="AH42" s="329"/>
      <c r="AI42" s="320"/>
      <c r="AJ42" s="320"/>
      <c r="AK42" s="329"/>
      <c r="AL42" s="320"/>
      <c r="AM42" s="320"/>
      <c r="AO42" s="320"/>
      <c r="AP42" s="320"/>
      <c r="AQ42" s="329"/>
      <c r="AR42" s="329"/>
      <c r="AS42" s="329"/>
      <c r="AT42" s="406"/>
      <c r="AV42" s="310">
        <v>14</v>
      </c>
      <c r="AW42" s="310">
        <v>14</v>
      </c>
      <c r="AX42" s="310">
        <v>14</v>
      </c>
      <c r="AY42" s="310">
        <v>7</v>
      </c>
      <c r="AZ42" s="369">
        <v>2.2839</v>
      </c>
      <c r="BA42" s="369">
        <v>2.2839</v>
      </c>
      <c r="BB42" s="350"/>
    </row>
    <row r="43" spans="1:54">
      <c r="A43" s="316"/>
      <c r="B43" s="509" t="s">
        <v>125</v>
      </c>
      <c r="C43" s="504"/>
      <c r="D43" s="329"/>
      <c r="E43" s="512" t="s">
        <v>126</v>
      </c>
      <c r="F43" s="507"/>
      <c r="G43" s="329"/>
      <c r="H43" s="512" t="s">
        <v>127</v>
      </c>
      <c r="I43" s="507"/>
      <c r="J43" s="329"/>
      <c r="K43" s="512" t="s">
        <v>128</v>
      </c>
      <c r="L43" s="507"/>
      <c r="M43" s="329"/>
      <c r="N43" s="512" t="s">
        <v>130</v>
      </c>
      <c r="O43" s="507"/>
      <c r="P43" s="329"/>
      <c r="Q43" s="512" t="s">
        <v>131</v>
      </c>
      <c r="R43" s="507"/>
      <c r="S43" s="329"/>
      <c r="T43" s="512" t="s">
        <v>132</v>
      </c>
      <c r="U43" s="507"/>
      <c r="V43" s="329"/>
      <c r="W43" s="512" t="s">
        <v>133</v>
      </c>
      <c r="X43" s="507"/>
      <c r="Y43" s="329"/>
      <c r="Z43" s="512" t="s">
        <v>134</v>
      </c>
      <c r="AA43" s="507"/>
      <c r="AB43" s="329"/>
      <c r="AC43" s="512" t="s">
        <v>135</v>
      </c>
      <c r="AD43" s="507"/>
      <c r="AE43" s="329"/>
      <c r="AF43" s="512" t="s">
        <v>136</v>
      </c>
      <c r="AG43" s="507"/>
      <c r="AH43" s="329"/>
      <c r="AI43" s="512" t="s">
        <v>137</v>
      </c>
      <c r="AJ43" s="507"/>
      <c r="AK43" s="359"/>
      <c r="AL43" s="512" t="s">
        <v>138</v>
      </c>
      <c r="AM43" s="507"/>
      <c r="AN43" s="329"/>
      <c r="AO43" s="512" t="s">
        <v>139</v>
      </c>
      <c r="AP43" s="507"/>
      <c r="AT43" s="403"/>
      <c r="AZ43" s="368"/>
      <c r="BA43" s="368"/>
    </row>
    <row r="44" spans="1:54">
      <c r="A44" s="316"/>
      <c r="B44" s="504" t="s">
        <v>76</v>
      </c>
      <c r="C44" s="504"/>
      <c r="D44" s="329"/>
      <c r="E44" s="504" t="s">
        <v>89</v>
      </c>
      <c r="F44" s="504"/>
      <c r="G44" s="329"/>
      <c r="H44" s="504" t="s">
        <v>76</v>
      </c>
      <c r="I44" s="504"/>
      <c r="J44" s="329"/>
      <c r="K44" s="504" t="s">
        <v>76</v>
      </c>
      <c r="L44" s="504"/>
      <c r="M44" s="329"/>
      <c r="N44" s="504" t="s">
        <v>39</v>
      </c>
      <c r="O44" s="504"/>
      <c r="P44" s="329"/>
      <c r="Q44" s="504" t="s">
        <v>89</v>
      </c>
      <c r="R44" s="504"/>
      <c r="S44" s="329"/>
      <c r="T44" s="504" t="s">
        <v>70</v>
      </c>
      <c r="U44" s="504"/>
      <c r="V44" s="329"/>
      <c r="W44" s="504" t="s">
        <v>37</v>
      </c>
      <c r="X44" s="504"/>
      <c r="Y44" s="329"/>
      <c r="Z44" s="504" t="s">
        <v>42</v>
      </c>
      <c r="AA44" s="504"/>
      <c r="AB44" s="329"/>
      <c r="AC44" s="504" t="s">
        <v>70</v>
      </c>
      <c r="AD44" s="504"/>
      <c r="AE44" s="329"/>
      <c r="AF44" s="504" t="s">
        <v>70</v>
      </c>
      <c r="AG44" s="504"/>
      <c r="AH44" s="329"/>
      <c r="AI44" s="504" t="s">
        <v>89</v>
      </c>
      <c r="AJ44" s="504"/>
      <c r="AK44" s="329"/>
      <c r="AL44" s="504" t="s">
        <v>70</v>
      </c>
      <c r="AM44" s="504"/>
      <c r="AN44" s="329"/>
      <c r="AO44" s="504" t="s">
        <v>42</v>
      </c>
      <c r="AP44" s="504"/>
      <c r="AT44" s="403"/>
      <c r="AZ44" s="368"/>
      <c r="BA44" s="368"/>
    </row>
    <row r="45" spans="1:54">
      <c r="A45" s="316"/>
      <c r="B45" s="328"/>
      <c r="C45" s="328"/>
      <c r="D45" s="329">
        <v>459</v>
      </c>
      <c r="E45" s="328"/>
      <c r="F45" s="328"/>
      <c r="G45" s="329">
        <v>195</v>
      </c>
      <c r="H45" s="328"/>
      <c r="I45" s="328"/>
      <c r="J45" s="329">
        <v>295</v>
      </c>
      <c r="K45" s="328"/>
      <c r="L45" s="328"/>
      <c r="M45" s="329">
        <v>380.2</v>
      </c>
      <c r="N45" s="328"/>
      <c r="O45" s="328"/>
      <c r="P45" s="329">
        <v>428</v>
      </c>
      <c r="Q45" s="328"/>
      <c r="R45" s="328"/>
      <c r="S45" s="329">
        <v>419</v>
      </c>
      <c r="T45" s="328"/>
      <c r="U45" s="328"/>
      <c r="V45" s="329">
        <v>345</v>
      </c>
      <c r="W45" s="328"/>
      <c r="X45" s="328"/>
      <c r="Y45" s="329">
        <v>296</v>
      </c>
      <c r="Z45" s="328"/>
      <c r="AA45" s="328"/>
      <c r="AB45" s="329">
        <v>259</v>
      </c>
      <c r="AC45" s="328"/>
      <c r="AD45" s="328"/>
      <c r="AE45" s="329">
        <v>343.9</v>
      </c>
      <c r="AF45" s="328"/>
      <c r="AG45" s="328"/>
      <c r="AH45" s="329">
        <v>499.1</v>
      </c>
      <c r="AI45" s="328"/>
      <c r="AJ45" s="328"/>
      <c r="AK45" s="329">
        <v>434</v>
      </c>
      <c r="AL45" s="328"/>
      <c r="AM45" s="328"/>
      <c r="AN45" s="329">
        <v>295</v>
      </c>
      <c r="AO45" s="328"/>
      <c r="AP45" s="328"/>
      <c r="AQ45" s="304">
        <v>326</v>
      </c>
      <c r="AT45" s="403"/>
      <c r="AZ45" s="366"/>
      <c r="BA45" s="366"/>
    </row>
    <row r="46" spans="1:54">
      <c r="A46" s="316"/>
      <c r="B46" s="346" t="s">
        <v>540</v>
      </c>
      <c r="C46" s="346"/>
      <c r="D46" s="348"/>
      <c r="E46" s="346" t="s">
        <v>540</v>
      </c>
      <c r="F46" s="352"/>
      <c r="G46" s="348"/>
      <c r="H46" s="346" t="s">
        <v>540</v>
      </c>
      <c r="I46" s="346"/>
      <c r="J46" s="348"/>
      <c r="K46" s="346" t="s">
        <v>540</v>
      </c>
      <c r="L46" s="346"/>
      <c r="M46" s="348"/>
      <c r="N46" s="346" t="s">
        <v>540</v>
      </c>
      <c r="O46" s="346"/>
      <c r="P46" s="348"/>
      <c r="Q46" s="346" t="s">
        <v>575</v>
      </c>
      <c r="R46" s="346"/>
      <c r="S46" s="348"/>
      <c r="T46" s="394" t="s">
        <v>575</v>
      </c>
      <c r="U46" s="394"/>
      <c r="V46" s="393"/>
      <c r="W46" s="394" t="s">
        <v>575</v>
      </c>
      <c r="X46" s="394"/>
      <c r="Y46" s="348"/>
      <c r="Z46" s="346" t="s">
        <v>575</v>
      </c>
      <c r="AA46" s="346"/>
      <c r="AB46" s="348"/>
      <c r="AC46" s="346" t="s">
        <v>575</v>
      </c>
      <c r="AD46" s="346"/>
      <c r="AE46" s="348"/>
      <c r="AF46" s="346" t="s">
        <v>575</v>
      </c>
      <c r="AG46" s="346"/>
      <c r="AH46" s="348"/>
      <c r="AI46" s="346" t="s">
        <v>575</v>
      </c>
      <c r="AJ46" s="346"/>
      <c r="AK46" s="348"/>
      <c r="AL46" s="346" t="s">
        <v>575</v>
      </c>
      <c r="AM46" s="346"/>
      <c r="AN46" s="348"/>
      <c r="AO46" s="346" t="s">
        <v>575</v>
      </c>
      <c r="AP46" s="346"/>
      <c r="AQ46" s="347"/>
      <c r="AT46" s="403"/>
      <c r="AZ46" s="368"/>
      <c r="BA46" s="368"/>
    </row>
    <row r="47" spans="1:54">
      <c r="A47" s="316"/>
      <c r="W47" s="333"/>
      <c r="Z47" s="333"/>
      <c r="AC47" s="333"/>
      <c r="AL47" s="333"/>
      <c r="AT47" s="409">
        <f>SUM(D45:AQ45)</f>
        <v>4974.2</v>
      </c>
      <c r="AZ47" s="368"/>
      <c r="BA47" s="368"/>
    </row>
    <row r="48" spans="1:54">
      <c r="A48" s="316"/>
      <c r="AK48" s="303"/>
      <c r="AT48" s="403"/>
      <c r="AZ48" s="368"/>
      <c r="BA48" s="368"/>
    </row>
    <row r="49" spans="1:54">
      <c r="A49" s="316"/>
      <c r="B49" s="503"/>
      <c r="C49" s="503"/>
      <c r="E49" s="501"/>
      <c r="F49" s="501"/>
      <c r="H49" s="501"/>
      <c r="I49" s="501"/>
      <c r="K49" s="501"/>
      <c r="L49" s="501"/>
      <c r="N49" s="501"/>
      <c r="O49" s="501"/>
      <c r="Q49" s="501"/>
      <c r="R49" s="501"/>
      <c r="T49" s="501"/>
      <c r="U49" s="501"/>
      <c r="W49" s="501"/>
      <c r="X49" s="501"/>
      <c r="Z49" s="501"/>
      <c r="AA49" s="501"/>
      <c r="AC49" s="501"/>
      <c r="AD49" s="501"/>
      <c r="AF49" s="501"/>
      <c r="AG49" s="501"/>
      <c r="AI49" s="501"/>
      <c r="AJ49" s="501"/>
      <c r="AL49" s="501"/>
      <c r="AM49" s="501"/>
      <c r="AO49" s="501"/>
      <c r="AP49" s="501"/>
      <c r="AT49" s="403"/>
      <c r="AZ49" s="368"/>
      <c r="BA49" s="368"/>
    </row>
    <row r="50" spans="1:54">
      <c r="A50" s="316"/>
      <c r="B50" s="320"/>
      <c r="C50" s="357"/>
      <c r="D50" s="339"/>
      <c r="E50" s="320"/>
      <c r="F50" s="357"/>
      <c r="G50" s="339"/>
      <c r="H50" s="320"/>
      <c r="I50" s="357"/>
      <c r="J50" s="339"/>
      <c r="K50" s="320"/>
      <c r="L50" s="357"/>
      <c r="M50" s="339"/>
      <c r="N50" s="320"/>
      <c r="O50" s="357"/>
      <c r="P50" s="339"/>
      <c r="Q50" s="320"/>
      <c r="R50" s="357"/>
      <c r="S50" s="339"/>
      <c r="T50" s="320"/>
      <c r="U50" s="357"/>
      <c r="V50" s="339"/>
      <c r="W50" s="320"/>
      <c r="X50" s="357"/>
      <c r="Y50" s="339"/>
      <c r="Z50" s="320"/>
      <c r="AA50" s="322"/>
      <c r="AB50" s="339"/>
      <c r="AC50" s="320"/>
      <c r="AD50" s="322"/>
      <c r="AE50" s="339"/>
      <c r="AF50" s="320"/>
      <c r="AG50" s="320"/>
      <c r="AH50" s="339"/>
      <c r="AI50" s="322"/>
      <c r="AJ50" s="322"/>
      <c r="AK50" s="339"/>
      <c r="AL50" s="322"/>
      <c r="AM50" s="322"/>
      <c r="AN50" s="339"/>
      <c r="AO50" s="322"/>
      <c r="AP50" s="322"/>
      <c r="AQ50" s="339"/>
      <c r="AR50" s="339"/>
      <c r="AS50" s="339"/>
      <c r="AT50" s="405"/>
      <c r="AZ50" s="368"/>
      <c r="BA50" s="368"/>
    </row>
    <row r="51" spans="1:54">
      <c r="A51" s="316"/>
      <c r="B51" s="320"/>
      <c r="C51" s="320"/>
      <c r="D51" s="331"/>
      <c r="E51" s="320"/>
      <c r="F51" s="320"/>
      <c r="G51" s="331"/>
      <c r="H51" s="320"/>
      <c r="I51" s="320"/>
      <c r="J51" s="339"/>
      <c r="K51" s="320"/>
      <c r="L51" s="357"/>
      <c r="M51" s="331"/>
      <c r="N51" s="320"/>
      <c r="O51" s="320"/>
      <c r="P51" s="331"/>
      <c r="Q51" s="320"/>
      <c r="R51" s="320"/>
      <c r="S51" s="331"/>
      <c r="T51" s="320"/>
      <c r="U51" s="320"/>
      <c r="V51" s="331"/>
      <c r="W51" s="320"/>
      <c r="X51" s="320"/>
      <c r="Y51" s="331"/>
      <c r="Z51" s="320"/>
      <c r="AA51" s="320"/>
      <c r="AB51" s="331"/>
      <c r="AC51" s="320"/>
      <c r="AD51" s="320"/>
      <c r="AE51" s="331"/>
      <c r="AF51" s="320"/>
      <c r="AG51" s="320"/>
      <c r="AH51" s="331"/>
      <c r="AI51" s="320"/>
      <c r="AJ51" s="320"/>
      <c r="AK51" s="331"/>
      <c r="AL51" s="322"/>
      <c r="AM51" s="322"/>
      <c r="AN51" s="331"/>
      <c r="AO51" s="322"/>
      <c r="AP51" s="322"/>
      <c r="AQ51" s="331"/>
      <c r="AR51" s="331"/>
      <c r="AS51" s="331"/>
      <c r="AT51" s="407"/>
      <c r="AV51" s="310">
        <v>14</v>
      </c>
      <c r="AW51" s="310">
        <v>14</v>
      </c>
      <c r="AX51" s="310">
        <v>14</v>
      </c>
      <c r="AY51" s="310">
        <v>13</v>
      </c>
      <c r="AZ51" s="369">
        <v>4.5814000000000004</v>
      </c>
      <c r="BA51" s="369">
        <v>4.5814000000000004</v>
      </c>
      <c r="BB51" s="350"/>
    </row>
    <row r="52" spans="1:54">
      <c r="A52" s="316"/>
      <c r="B52" s="509" t="s">
        <v>140</v>
      </c>
      <c r="C52" s="504"/>
      <c r="D52" s="329"/>
      <c r="E52" s="512" t="s">
        <v>141</v>
      </c>
      <c r="F52" s="507"/>
      <c r="G52" s="329"/>
      <c r="H52" s="547" t="s">
        <v>142</v>
      </c>
      <c r="I52" s="507"/>
      <c r="J52" s="331"/>
      <c r="K52" s="512" t="s">
        <v>144</v>
      </c>
      <c r="L52" s="507"/>
      <c r="M52" s="349"/>
      <c r="N52" s="512" t="s">
        <v>145</v>
      </c>
      <c r="O52" s="507"/>
      <c r="P52" s="329"/>
      <c r="Q52" s="548" t="s">
        <v>146</v>
      </c>
      <c r="R52" s="549"/>
      <c r="S52" s="329"/>
      <c r="T52" s="506" t="s">
        <v>147</v>
      </c>
      <c r="U52" s="507"/>
      <c r="V52" s="329"/>
      <c r="W52" s="509" t="s">
        <v>148</v>
      </c>
      <c r="X52" s="504"/>
      <c r="Y52" s="329"/>
      <c r="Z52" s="509" t="s">
        <v>149</v>
      </c>
      <c r="AA52" s="504"/>
      <c r="AB52" s="329"/>
      <c r="AC52" s="512" t="s">
        <v>150</v>
      </c>
      <c r="AD52" s="507"/>
      <c r="AE52" s="329"/>
      <c r="AF52" s="512" t="s">
        <v>151</v>
      </c>
      <c r="AG52" s="507"/>
      <c r="AH52" s="359"/>
      <c r="AI52" s="512" t="s">
        <v>152</v>
      </c>
      <c r="AJ52" s="507"/>
      <c r="AK52" s="359"/>
      <c r="AL52" s="512" t="s">
        <v>153</v>
      </c>
      <c r="AM52" s="507"/>
      <c r="AN52" s="329"/>
      <c r="AO52" s="512" t="s">
        <v>155</v>
      </c>
      <c r="AP52" s="507"/>
      <c r="AT52" s="403"/>
      <c r="AZ52" s="368"/>
      <c r="BA52" s="368"/>
    </row>
    <row r="53" spans="1:54">
      <c r="A53" s="316"/>
      <c r="B53" s="504" t="s">
        <v>56</v>
      </c>
      <c r="C53" s="504"/>
      <c r="D53" s="329"/>
      <c r="E53" s="504" t="s">
        <v>89</v>
      </c>
      <c r="F53" s="504"/>
      <c r="G53" s="329"/>
      <c r="H53" s="504" t="s">
        <v>76</v>
      </c>
      <c r="I53" s="504"/>
      <c r="J53" s="329"/>
      <c r="K53" s="504" t="s">
        <v>116</v>
      </c>
      <c r="L53" s="504"/>
      <c r="M53" s="329"/>
      <c r="N53" s="504" t="s">
        <v>42</v>
      </c>
      <c r="O53" s="504"/>
      <c r="P53" s="329"/>
      <c r="Q53" s="546" t="s">
        <v>37</v>
      </c>
      <c r="R53" s="546"/>
      <c r="S53" s="329"/>
      <c r="T53" s="546" t="s">
        <v>42</v>
      </c>
      <c r="U53" s="546"/>
      <c r="V53" s="329"/>
      <c r="W53" s="504" t="s">
        <v>76</v>
      </c>
      <c r="X53" s="504"/>
      <c r="Y53" s="329"/>
      <c r="Z53" s="504" t="s">
        <v>81</v>
      </c>
      <c r="AA53" s="504"/>
      <c r="AB53" s="329"/>
      <c r="AC53" s="504" t="s">
        <v>85</v>
      </c>
      <c r="AD53" s="504"/>
      <c r="AE53" s="329"/>
      <c r="AF53" s="504" t="s">
        <v>42</v>
      </c>
      <c r="AG53" s="504"/>
      <c r="AH53" s="329"/>
      <c r="AI53" s="504" t="s">
        <v>42</v>
      </c>
      <c r="AJ53" s="504"/>
      <c r="AK53" s="329"/>
      <c r="AL53" s="504" t="s">
        <v>37</v>
      </c>
      <c r="AM53" s="504"/>
      <c r="AN53" s="329"/>
      <c r="AO53" s="504" t="s">
        <v>34</v>
      </c>
      <c r="AP53" s="504"/>
      <c r="AT53" s="403"/>
      <c r="AZ53" s="368"/>
      <c r="BA53" s="368"/>
    </row>
    <row r="54" spans="1:54">
      <c r="A54" s="316"/>
      <c r="B54" s="328"/>
      <c r="C54" s="328"/>
      <c r="D54" s="329">
        <v>298</v>
      </c>
      <c r="E54" s="328"/>
      <c r="F54" s="328"/>
      <c r="G54" s="329">
        <v>489</v>
      </c>
      <c r="H54" s="328"/>
      <c r="I54" s="328"/>
      <c r="J54" s="329">
        <v>382.5</v>
      </c>
      <c r="K54" s="328"/>
      <c r="L54" s="328"/>
      <c r="M54" s="329">
        <v>372.4</v>
      </c>
      <c r="N54" s="328"/>
      <c r="O54" s="328"/>
      <c r="P54" s="329">
        <v>350</v>
      </c>
      <c r="Q54" s="364"/>
      <c r="R54" s="364"/>
      <c r="S54" s="329">
        <v>303.60000000000002</v>
      </c>
      <c r="T54" s="364"/>
      <c r="U54" s="364"/>
      <c r="V54" s="329">
        <v>224.3</v>
      </c>
      <c r="W54" s="328"/>
      <c r="X54" s="328"/>
      <c r="Y54" s="329">
        <v>246.8</v>
      </c>
      <c r="Z54" s="328"/>
      <c r="AA54" s="328"/>
      <c r="AB54" s="329">
        <v>418.2</v>
      </c>
      <c r="AC54" s="328"/>
      <c r="AD54" s="328"/>
      <c r="AE54" s="329">
        <v>298.7</v>
      </c>
      <c r="AF54" s="328"/>
      <c r="AG54" s="328"/>
      <c r="AH54" s="329">
        <v>358.7</v>
      </c>
      <c r="AI54" s="328"/>
      <c r="AJ54" s="328"/>
      <c r="AK54" s="329">
        <v>366.1</v>
      </c>
      <c r="AL54" s="328"/>
      <c r="AM54" s="328"/>
      <c r="AN54" s="329">
        <v>255.6</v>
      </c>
      <c r="AO54" s="328"/>
      <c r="AP54" s="328"/>
      <c r="AQ54" s="304">
        <v>217.5</v>
      </c>
      <c r="AT54" s="403">
        <f>SUM(D54:AQ54)</f>
        <v>4581.4000000000005</v>
      </c>
      <c r="AZ54" s="366"/>
      <c r="BA54" s="366"/>
    </row>
    <row r="55" spans="1:54">
      <c r="A55" s="316"/>
      <c r="B55" s="346" t="s">
        <v>575</v>
      </c>
      <c r="C55" s="346"/>
      <c r="D55" s="348"/>
      <c r="E55" s="346" t="s">
        <v>575</v>
      </c>
      <c r="F55" s="346"/>
      <c r="G55" s="348"/>
      <c r="H55" s="346" t="s">
        <v>575</v>
      </c>
      <c r="I55" s="352"/>
      <c r="J55" s="348"/>
      <c r="K55" s="346" t="s">
        <v>575</v>
      </c>
      <c r="L55" s="352"/>
      <c r="M55" s="348"/>
      <c r="N55" s="346" t="s">
        <v>575</v>
      </c>
      <c r="O55" s="346"/>
      <c r="P55" s="348"/>
      <c r="Q55" s="346" t="s">
        <v>575</v>
      </c>
      <c r="R55" s="346"/>
      <c r="S55" s="348"/>
      <c r="T55" s="346" t="s">
        <v>575</v>
      </c>
      <c r="U55" s="346"/>
      <c r="V55" s="348"/>
      <c r="W55" s="346" t="s">
        <v>575</v>
      </c>
      <c r="X55" s="346"/>
      <c r="Y55" s="348"/>
      <c r="Z55" s="346" t="s">
        <v>575</v>
      </c>
      <c r="AA55" s="346"/>
      <c r="AB55" s="348"/>
      <c r="AC55" s="346" t="s">
        <v>575</v>
      </c>
      <c r="AD55" s="346"/>
      <c r="AE55" s="348"/>
      <c r="AF55" s="346" t="s">
        <v>575</v>
      </c>
      <c r="AG55" s="346"/>
      <c r="AH55" s="393"/>
      <c r="AI55" s="394" t="s">
        <v>575</v>
      </c>
      <c r="AJ55" s="394"/>
      <c r="AK55" s="393"/>
      <c r="AL55" s="394" t="s">
        <v>575</v>
      </c>
      <c r="AM55" s="394"/>
      <c r="AN55" s="393"/>
      <c r="AO55" s="394" t="s">
        <v>575</v>
      </c>
      <c r="AP55" s="394"/>
      <c r="AT55" s="403"/>
      <c r="AZ55" s="368"/>
      <c r="BA55" s="368"/>
    </row>
    <row r="56" spans="1:54">
      <c r="A56" s="316"/>
      <c r="V56" s="303"/>
      <c r="AT56" s="403"/>
      <c r="AZ56" s="368"/>
      <c r="BA56" s="368"/>
    </row>
    <row r="57" spans="1:54">
      <c r="A57" s="316"/>
      <c r="AT57" s="403"/>
      <c r="AZ57" s="368"/>
      <c r="BA57" s="368"/>
    </row>
    <row r="58" spans="1:54">
      <c r="A58" s="316"/>
      <c r="B58" s="503"/>
      <c r="C58" s="503"/>
      <c r="E58" s="501"/>
      <c r="F58" s="501"/>
      <c r="H58" s="501"/>
      <c r="I58" s="501"/>
      <c r="K58" s="501"/>
      <c r="L58" s="501"/>
      <c r="N58" s="501"/>
      <c r="O58" s="501"/>
      <c r="Q58" s="501"/>
      <c r="R58" s="501"/>
      <c r="T58" s="501"/>
      <c r="U58" s="501"/>
      <c r="W58" s="501"/>
      <c r="X58" s="501"/>
      <c r="Z58" s="501"/>
      <c r="AA58" s="501"/>
      <c r="AC58" s="501"/>
      <c r="AD58" s="501"/>
      <c r="AF58" s="501"/>
      <c r="AG58" s="501"/>
      <c r="AI58" s="501"/>
      <c r="AJ58" s="501"/>
      <c r="AL58" s="501"/>
      <c r="AM58" s="501"/>
      <c r="AO58" s="501"/>
      <c r="AP58" s="501"/>
      <c r="AT58" s="403"/>
      <c r="AZ58" s="368"/>
      <c r="BA58" s="368"/>
    </row>
    <row r="59" spans="1:54">
      <c r="A59" s="316"/>
      <c r="B59" s="322"/>
      <c r="C59" s="322"/>
      <c r="D59" s="339"/>
      <c r="E59" s="320"/>
      <c r="F59" s="322"/>
      <c r="G59" s="339"/>
      <c r="H59" s="320"/>
      <c r="I59" s="322"/>
      <c r="J59" s="339"/>
      <c r="K59" s="320"/>
      <c r="L59" s="322"/>
      <c r="M59" s="339"/>
      <c r="N59" s="320"/>
      <c r="O59" s="322"/>
      <c r="P59" s="339"/>
      <c r="Q59" s="320"/>
      <c r="R59" s="322"/>
      <c r="S59" s="339"/>
      <c r="T59" s="320"/>
      <c r="U59" s="322"/>
      <c r="V59" s="339"/>
      <c r="W59" s="320"/>
      <c r="X59" s="322"/>
      <c r="Y59" s="339"/>
      <c r="Z59" s="320"/>
      <c r="AA59" s="322"/>
      <c r="AB59" s="339"/>
      <c r="AC59" s="320"/>
      <c r="AD59" s="322"/>
      <c r="AE59" s="339"/>
      <c r="AF59" s="320"/>
      <c r="AG59" s="322"/>
      <c r="AH59" s="339"/>
      <c r="AI59" s="320"/>
      <c r="AJ59" s="322"/>
      <c r="AK59" s="339"/>
      <c r="AL59" s="320"/>
      <c r="AM59" s="322"/>
      <c r="AN59" s="339"/>
      <c r="AO59" s="320"/>
      <c r="AP59" s="322"/>
      <c r="AQ59" s="339"/>
      <c r="AR59" s="339"/>
      <c r="AS59" s="339"/>
      <c r="AT59" s="405"/>
      <c r="AZ59" s="368"/>
      <c r="BA59" s="368"/>
    </row>
    <row r="60" spans="1:54">
      <c r="A60" s="316"/>
      <c r="B60" s="320"/>
      <c r="C60" s="320"/>
      <c r="D60" s="331"/>
      <c r="E60" s="320"/>
      <c r="F60" s="320"/>
      <c r="G60" s="331"/>
      <c r="H60" s="320"/>
      <c r="I60" s="320"/>
      <c r="J60" s="331"/>
      <c r="K60" s="320"/>
      <c r="L60" s="320"/>
      <c r="M60" s="331"/>
      <c r="N60" s="320"/>
      <c r="O60" s="320"/>
      <c r="P60" s="331"/>
      <c r="Q60" s="320"/>
      <c r="R60" s="320"/>
      <c r="S60" s="331"/>
      <c r="T60" s="320"/>
      <c r="U60" s="320"/>
      <c r="V60" s="331"/>
      <c r="W60" s="320"/>
      <c r="X60" s="320"/>
      <c r="Y60" s="331"/>
      <c r="Z60" s="320"/>
      <c r="AA60" s="320"/>
      <c r="AB60" s="331"/>
      <c r="AC60" s="320"/>
      <c r="AD60" s="320"/>
      <c r="AE60" s="331"/>
      <c r="AF60" s="320"/>
      <c r="AG60" s="320"/>
      <c r="AH60" s="331"/>
      <c r="AI60" s="320"/>
      <c r="AJ60" s="320"/>
      <c r="AK60" s="329"/>
      <c r="AL60" s="320"/>
      <c r="AM60" s="320"/>
      <c r="AN60" s="331"/>
      <c r="AO60" s="320"/>
      <c r="AP60" s="320"/>
      <c r="AQ60" s="331"/>
      <c r="AR60" s="331"/>
      <c r="AS60" s="331"/>
      <c r="AT60" s="407"/>
      <c r="AV60" s="310">
        <v>14</v>
      </c>
      <c r="AW60" s="310">
        <v>14</v>
      </c>
      <c r="AX60" s="310">
        <v>14</v>
      </c>
      <c r="AY60" s="310">
        <v>12</v>
      </c>
      <c r="AZ60" s="369">
        <f>SUM(D63:AQ63)/1000</f>
        <v>4.7963999999999993</v>
      </c>
      <c r="BA60" s="369">
        <f>AZ60</f>
        <v>4.7963999999999993</v>
      </c>
      <c r="BB60" s="350"/>
    </row>
    <row r="61" spans="1:54">
      <c r="A61" s="316"/>
      <c r="B61" s="509" t="s">
        <v>156</v>
      </c>
      <c r="C61" s="504"/>
      <c r="D61" s="331"/>
      <c r="E61" s="512" t="s">
        <v>157</v>
      </c>
      <c r="F61" s="507"/>
      <c r="G61" s="331"/>
      <c r="H61" s="512" t="s">
        <v>158</v>
      </c>
      <c r="I61" s="507"/>
      <c r="J61" s="331"/>
      <c r="K61" s="512" t="s">
        <v>159</v>
      </c>
      <c r="L61" s="507"/>
      <c r="M61" s="331"/>
      <c r="N61" s="507" t="s">
        <v>161</v>
      </c>
      <c r="O61" s="507"/>
      <c r="P61" s="331"/>
      <c r="Q61" s="512" t="s">
        <v>162</v>
      </c>
      <c r="R61" s="507"/>
      <c r="S61" s="331"/>
      <c r="T61" s="507" t="s">
        <v>164</v>
      </c>
      <c r="U61" s="507"/>
      <c r="V61" s="331"/>
      <c r="W61" s="507" t="s">
        <v>166</v>
      </c>
      <c r="X61" s="507"/>
      <c r="Y61" s="331"/>
      <c r="Z61" s="512" t="s">
        <v>167</v>
      </c>
      <c r="AA61" s="507"/>
      <c r="AB61" s="331"/>
      <c r="AC61" s="507" t="s">
        <v>169</v>
      </c>
      <c r="AD61" s="507"/>
      <c r="AE61" s="331"/>
      <c r="AF61" s="512" t="s">
        <v>170</v>
      </c>
      <c r="AG61" s="507"/>
      <c r="AH61" s="331"/>
      <c r="AI61" s="506" t="s">
        <v>171</v>
      </c>
      <c r="AJ61" s="507"/>
      <c r="AK61" s="329"/>
      <c r="AL61" s="506" t="s">
        <v>172</v>
      </c>
      <c r="AM61" s="507"/>
      <c r="AN61" s="331"/>
      <c r="AO61" s="506" t="s">
        <v>173</v>
      </c>
      <c r="AP61" s="507"/>
      <c r="AQ61" s="331"/>
      <c r="AR61" s="331"/>
      <c r="AS61" s="331"/>
      <c r="AT61" s="407"/>
      <c r="AZ61" s="368"/>
      <c r="BA61" s="368"/>
    </row>
    <row r="62" spans="1:54">
      <c r="A62" s="316"/>
      <c r="B62" s="504" t="s">
        <v>37</v>
      </c>
      <c r="C62" s="504"/>
      <c r="D62" s="329"/>
      <c r="E62" s="504" t="s">
        <v>85</v>
      </c>
      <c r="F62" s="504"/>
      <c r="G62" s="329"/>
      <c r="H62" s="504" t="s">
        <v>42</v>
      </c>
      <c r="I62" s="504"/>
      <c r="J62" s="329"/>
      <c r="K62" s="504" t="s">
        <v>37</v>
      </c>
      <c r="L62" s="504"/>
      <c r="M62" s="329"/>
      <c r="N62" s="504" t="s">
        <v>39</v>
      </c>
      <c r="O62" s="504"/>
      <c r="P62" s="329"/>
      <c r="Q62" s="504" t="s">
        <v>42</v>
      </c>
      <c r="R62" s="504"/>
      <c r="S62" s="329"/>
      <c r="T62" s="504" t="s">
        <v>34</v>
      </c>
      <c r="U62" s="504"/>
      <c r="V62" s="329"/>
      <c r="W62" s="504" t="s">
        <v>46</v>
      </c>
      <c r="X62" s="504"/>
      <c r="Y62" s="329"/>
      <c r="Z62" s="504" t="s">
        <v>37</v>
      </c>
      <c r="AA62" s="504"/>
      <c r="AB62" s="329"/>
      <c r="AC62" s="504" t="s">
        <v>46</v>
      </c>
      <c r="AD62" s="504"/>
      <c r="AE62" s="329"/>
      <c r="AF62" s="504" t="s">
        <v>76</v>
      </c>
      <c r="AG62" s="504"/>
      <c r="AH62" s="329"/>
      <c r="AI62" s="510" t="s">
        <v>56</v>
      </c>
      <c r="AJ62" s="504"/>
      <c r="AK62" s="329"/>
      <c r="AL62" s="510" t="s">
        <v>76</v>
      </c>
      <c r="AM62" s="504"/>
      <c r="AN62" s="329"/>
      <c r="AO62" s="510" t="s">
        <v>56</v>
      </c>
      <c r="AP62" s="504"/>
      <c r="AT62" s="403"/>
      <c r="AZ62" s="368"/>
      <c r="BA62" s="368"/>
    </row>
    <row r="63" spans="1:54">
      <c r="A63" s="316"/>
      <c r="B63" s="328"/>
      <c r="C63" s="328"/>
      <c r="D63" s="329">
        <v>371.6</v>
      </c>
      <c r="E63" s="328"/>
      <c r="F63" s="328"/>
      <c r="G63" s="329">
        <v>365.9</v>
      </c>
      <c r="H63" s="328"/>
      <c r="I63" s="328"/>
      <c r="J63" s="329">
        <v>345.8</v>
      </c>
      <c r="K63" s="328"/>
      <c r="L63" s="328"/>
      <c r="M63" s="329">
        <v>299.3</v>
      </c>
      <c r="N63" s="328"/>
      <c r="O63" s="328"/>
      <c r="P63" s="329">
        <v>296</v>
      </c>
      <c r="Q63" s="328"/>
      <c r="R63" s="328"/>
      <c r="S63" s="329">
        <v>229.9</v>
      </c>
      <c r="T63" s="328"/>
      <c r="U63" s="328"/>
      <c r="V63" s="329">
        <v>356.3</v>
      </c>
      <c r="W63" s="328"/>
      <c r="X63" s="328"/>
      <c r="Y63" s="329">
        <v>314</v>
      </c>
      <c r="Z63" s="328"/>
      <c r="AA63" s="328"/>
      <c r="AB63" s="329">
        <v>353.6</v>
      </c>
      <c r="AC63" s="328"/>
      <c r="AD63" s="328"/>
      <c r="AE63" s="329">
        <v>362</v>
      </c>
      <c r="AF63" s="328"/>
      <c r="AG63" s="328"/>
      <c r="AH63" s="329">
        <v>387</v>
      </c>
      <c r="AI63" s="342"/>
      <c r="AJ63" s="328"/>
      <c r="AK63" s="329">
        <v>365</v>
      </c>
      <c r="AL63" s="342"/>
      <c r="AM63" s="328"/>
      <c r="AN63" s="329">
        <v>419</v>
      </c>
      <c r="AO63" s="342"/>
      <c r="AP63" s="328"/>
      <c r="AQ63" s="304">
        <v>331</v>
      </c>
      <c r="AT63" s="403">
        <f>SUM(D63:AQ63)</f>
        <v>4796.3999999999996</v>
      </c>
      <c r="AZ63" s="366"/>
      <c r="BA63" s="366"/>
    </row>
    <row r="64" spans="1:54">
      <c r="A64" s="316"/>
      <c r="B64" s="394" t="s">
        <v>575</v>
      </c>
      <c r="C64" s="394"/>
      <c r="D64" s="393"/>
      <c r="E64" s="394" t="s">
        <v>575</v>
      </c>
      <c r="F64" s="394"/>
      <c r="G64" s="393"/>
      <c r="H64" s="394" t="s">
        <v>575</v>
      </c>
      <c r="I64" s="395"/>
      <c r="J64" s="393"/>
      <c r="K64" s="394" t="s">
        <v>575</v>
      </c>
      <c r="L64" s="395"/>
      <c r="M64" s="393"/>
      <c r="N64" s="394" t="s">
        <v>575</v>
      </c>
      <c r="O64" s="394"/>
      <c r="P64" s="393"/>
      <c r="Q64" s="354" t="s">
        <v>540</v>
      </c>
      <c r="R64" s="354"/>
      <c r="S64" s="353"/>
      <c r="T64" s="354" t="s">
        <v>540</v>
      </c>
      <c r="U64" s="354"/>
      <c r="V64" s="353"/>
      <c r="W64" s="354" t="s">
        <v>540</v>
      </c>
      <c r="X64" s="354"/>
      <c r="Y64" s="353"/>
      <c r="Z64" s="354" t="s">
        <v>540</v>
      </c>
      <c r="AA64" s="354"/>
      <c r="AB64" s="353"/>
      <c r="AC64" s="354" t="s">
        <v>540</v>
      </c>
      <c r="AD64" s="354"/>
      <c r="AE64" s="353"/>
      <c r="AF64" s="346" t="s">
        <v>540</v>
      </c>
      <c r="AG64" s="346"/>
      <c r="AH64" s="348"/>
      <c r="AI64" s="346" t="s">
        <v>540</v>
      </c>
      <c r="AJ64" s="346"/>
      <c r="AK64" s="348"/>
      <c r="AL64" s="346" t="s">
        <v>540</v>
      </c>
      <c r="AM64" s="346"/>
      <c r="AN64" s="348"/>
      <c r="AO64" s="346" t="s">
        <v>540</v>
      </c>
      <c r="AP64" s="346"/>
      <c r="AQ64" s="347"/>
      <c r="AT64" s="403"/>
      <c r="AZ64" s="368"/>
      <c r="BA64" s="368"/>
    </row>
    <row r="65" spans="1:54">
      <c r="A65" s="316"/>
      <c r="AT65" s="403"/>
      <c r="AZ65" s="368"/>
      <c r="BA65" s="368"/>
    </row>
    <row r="66" spans="1:54">
      <c r="A66" s="316"/>
      <c r="AT66" s="403"/>
      <c r="AZ66" s="368"/>
      <c r="BA66" s="368"/>
    </row>
    <row r="67" spans="1:54">
      <c r="A67" s="316"/>
      <c r="B67" s="503"/>
      <c r="C67" s="503"/>
      <c r="E67" s="501"/>
      <c r="F67" s="501"/>
      <c r="H67" s="501"/>
      <c r="I67" s="501"/>
      <c r="K67" s="501"/>
      <c r="L67" s="501"/>
      <c r="N67" s="501"/>
      <c r="O67" s="501"/>
      <c r="Q67" s="501"/>
      <c r="R67" s="501"/>
      <c r="T67" s="501"/>
      <c r="U67" s="501"/>
      <c r="W67" s="501"/>
      <c r="X67" s="501"/>
      <c r="Z67" s="501"/>
      <c r="AA67" s="501"/>
      <c r="AC67" s="501"/>
      <c r="AD67" s="501"/>
      <c r="AF67" s="501"/>
      <c r="AG67" s="501"/>
      <c r="AI67" s="501"/>
      <c r="AJ67" s="501"/>
      <c r="AL67" s="501"/>
      <c r="AM67" s="501"/>
      <c r="AO67" s="501"/>
      <c r="AP67" s="501"/>
      <c r="AT67" s="403"/>
      <c r="AZ67" s="368"/>
      <c r="BA67" s="368"/>
    </row>
    <row r="68" spans="1:54">
      <c r="A68" s="316"/>
      <c r="B68" s="320"/>
      <c r="C68" s="322"/>
      <c r="D68" s="339"/>
      <c r="E68" s="320"/>
      <c r="F68" s="322"/>
      <c r="G68" s="339"/>
      <c r="H68" s="320"/>
      <c r="I68" s="322"/>
      <c r="J68" s="339"/>
      <c r="K68" s="320"/>
      <c r="L68" s="322"/>
      <c r="M68" s="339"/>
      <c r="N68" s="320"/>
      <c r="O68" s="322"/>
      <c r="P68" s="339"/>
      <c r="Q68" s="320"/>
      <c r="R68" s="357"/>
      <c r="S68" s="339"/>
      <c r="T68" s="320"/>
      <c r="U68" s="357"/>
      <c r="V68" s="339"/>
      <c r="W68" s="320"/>
      <c r="X68" s="357"/>
      <c r="Y68" s="339"/>
      <c r="Z68" s="320"/>
      <c r="AA68" s="322"/>
      <c r="AB68" s="339"/>
      <c r="AC68" s="320"/>
      <c r="AD68" s="322"/>
      <c r="AE68" s="339"/>
      <c r="AF68" s="320"/>
      <c r="AG68" s="322"/>
      <c r="AH68" s="339"/>
      <c r="AI68" s="320"/>
      <c r="AJ68" s="322"/>
      <c r="AK68" s="339"/>
      <c r="AL68" s="320"/>
      <c r="AM68" s="357"/>
      <c r="AN68" s="339"/>
      <c r="AO68" s="320"/>
      <c r="AP68" s="357"/>
      <c r="AQ68" s="339"/>
      <c r="AR68" s="339"/>
      <c r="AS68" s="339"/>
      <c r="AT68" s="405"/>
      <c r="AZ68" s="368"/>
      <c r="BA68" s="368"/>
    </row>
    <row r="69" spans="1:54">
      <c r="A69" s="316"/>
      <c r="B69" s="320"/>
      <c r="C69" s="320"/>
      <c r="D69" s="331"/>
      <c r="E69" s="320"/>
      <c r="F69" s="320"/>
      <c r="G69" s="331"/>
      <c r="H69" s="320"/>
      <c r="I69" s="320"/>
      <c r="J69" s="331"/>
      <c r="K69" s="320"/>
      <c r="L69" s="320"/>
      <c r="M69" s="331"/>
      <c r="N69" s="320"/>
      <c r="O69" s="320"/>
      <c r="P69" s="331"/>
      <c r="Q69" s="320"/>
      <c r="R69" s="320"/>
      <c r="S69" s="331"/>
      <c r="T69" s="320"/>
      <c r="U69" s="320"/>
      <c r="V69" s="331"/>
      <c r="W69" s="320"/>
      <c r="X69" s="320"/>
      <c r="Y69" s="329"/>
      <c r="Z69" s="320"/>
      <c r="AA69" s="320"/>
      <c r="AB69" s="329"/>
      <c r="AC69" s="320"/>
      <c r="AD69" s="320"/>
      <c r="AE69" s="331"/>
      <c r="AF69" s="320"/>
      <c r="AG69" s="320"/>
      <c r="AH69" s="331"/>
      <c r="AI69" s="320"/>
      <c r="AJ69" s="320"/>
      <c r="AK69" s="331"/>
      <c r="AL69" s="320"/>
      <c r="AM69" s="320"/>
      <c r="AO69" s="320"/>
      <c r="AP69" s="320"/>
      <c r="AT69" s="403"/>
      <c r="AV69" s="310">
        <v>14</v>
      </c>
      <c r="AW69" s="310">
        <v>14</v>
      </c>
      <c r="AX69" s="310">
        <v>14</v>
      </c>
      <c r="AY69" s="310">
        <v>12</v>
      </c>
      <c r="AZ69" s="369">
        <f>SUM(D72:AQ72)/1000</f>
        <v>4.9181999999999997</v>
      </c>
      <c r="BA69" s="369">
        <f>AZ69</f>
        <v>4.9181999999999997</v>
      </c>
      <c r="BB69" s="350"/>
    </row>
    <row r="70" spans="1:54">
      <c r="A70" s="316"/>
      <c r="B70" s="545" t="s">
        <v>174</v>
      </c>
      <c r="C70" s="504"/>
      <c r="D70" s="331"/>
      <c r="E70" s="545" t="s">
        <v>175</v>
      </c>
      <c r="F70" s="504"/>
      <c r="G70" s="331"/>
      <c r="H70" s="506" t="s">
        <v>176</v>
      </c>
      <c r="I70" s="541"/>
      <c r="J70" s="331"/>
      <c r="K70" s="506" t="s">
        <v>177</v>
      </c>
      <c r="L70" s="541"/>
      <c r="M70" s="331"/>
      <c r="N70" s="512" t="s">
        <v>178</v>
      </c>
      <c r="O70" s="507"/>
      <c r="P70" s="331"/>
      <c r="Q70" s="507" t="s">
        <v>180</v>
      </c>
      <c r="R70" s="507"/>
      <c r="S70" s="331"/>
      <c r="T70" s="512" t="s">
        <v>181</v>
      </c>
      <c r="U70" s="507"/>
      <c r="V70" s="331"/>
      <c r="W70" s="506" t="s">
        <v>182</v>
      </c>
      <c r="X70" s="541"/>
      <c r="Y70" s="329"/>
      <c r="Z70" s="512" t="s">
        <v>183</v>
      </c>
      <c r="AA70" s="507"/>
      <c r="AB70" s="329"/>
      <c r="AC70" s="512" t="s">
        <v>184</v>
      </c>
      <c r="AD70" s="507"/>
      <c r="AE70" s="331"/>
      <c r="AF70" s="512" t="s">
        <v>185</v>
      </c>
      <c r="AG70" s="507"/>
      <c r="AH70" s="331"/>
      <c r="AI70" s="512" t="s">
        <v>186</v>
      </c>
      <c r="AJ70" s="507"/>
      <c r="AK70" s="331"/>
      <c r="AL70" s="512" t="s">
        <v>187</v>
      </c>
      <c r="AM70" s="507"/>
      <c r="AO70" s="544" t="s">
        <v>188</v>
      </c>
      <c r="AP70" s="535"/>
      <c r="AT70" s="403"/>
      <c r="AZ70" s="368"/>
      <c r="BA70" s="368"/>
    </row>
    <row r="71" spans="1:54">
      <c r="A71" s="316"/>
      <c r="B71" s="510" t="s">
        <v>42</v>
      </c>
      <c r="C71" s="504"/>
      <c r="D71" s="329"/>
      <c r="E71" s="510" t="s">
        <v>37</v>
      </c>
      <c r="F71" s="504"/>
      <c r="G71" s="329"/>
      <c r="H71" s="510" t="s">
        <v>42</v>
      </c>
      <c r="I71" s="510"/>
      <c r="J71" s="329"/>
      <c r="K71" s="510" t="s">
        <v>37</v>
      </c>
      <c r="L71" s="510"/>
      <c r="M71" s="329"/>
      <c r="N71" s="504" t="s">
        <v>42</v>
      </c>
      <c r="O71" s="504"/>
      <c r="P71" s="329"/>
      <c r="Q71" s="504" t="s">
        <v>34</v>
      </c>
      <c r="R71" s="504"/>
      <c r="S71" s="329"/>
      <c r="T71" s="504" t="s">
        <v>37</v>
      </c>
      <c r="U71" s="504"/>
      <c r="V71" s="329"/>
      <c r="W71" s="510" t="s">
        <v>42</v>
      </c>
      <c r="X71" s="510"/>
      <c r="Y71" s="329"/>
      <c r="Z71" s="504" t="s">
        <v>42</v>
      </c>
      <c r="AA71" s="504"/>
      <c r="AB71" s="329"/>
      <c r="AC71" s="504" t="s">
        <v>56</v>
      </c>
      <c r="AD71" s="504"/>
      <c r="AE71" s="331"/>
      <c r="AF71" s="504" t="s">
        <v>37</v>
      </c>
      <c r="AG71" s="504"/>
      <c r="AH71" s="331"/>
      <c r="AI71" s="504" t="s">
        <v>42</v>
      </c>
      <c r="AJ71" s="504"/>
      <c r="AL71" s="505" t="s">
        <v>37</v>
      </c>
      <c r="AM71" s="505"/>
      <c r="AN71" s="329"/>
      <c r="AO71" s="505" t="s">
        <v>42</v>
      </c>
      <c r="AP71" s="505"/>
      <c r="AQ71" s="333"/>
      <c r="AR71" s="333"/>
      <c r="AS71" s="333"/>
      <c r="AT71" s="410"/>
      <c r="AZ71" s="368"/>
      <c r="BA71" s="368"/>
    </row>
    <row r="72" spans="1:54">
      <c r="A72" s="316"/>
      <c r="B72" s="342"/>
      <c r="C72" s="328"/>
      <c r="D72" s="329">
        <v>390</v>
      </c>
      <c r="E72" s="342"/>
      <c r="F72" s="328"/>
      <c r="G72" s="329">
        <v>349</v>
      </c>
      <c r="H72" s="342"/>
      <c r="I72" s="342"/>
      <c r="J72" s="329">
        <v>324</v>
      </c>
      <c r="K72" s="342"/>
      <c r="L72" s="342"/>
      <c r="M72" s="329">
        <v>413</v>
      </c>
      <c r="N72" s="328"/>
      <c r="O72" s="328"/>
      <c r="P72" s="329">
        <v>310.2</v>
      </c>
      <c r="Q72" s="328"/>
      <c r="R72" s="328"/>
      <c r="S72" s="329">
        <v>379</v>
      </c>
      <c r="T72" s="328"/>
      <c r="U72" s="328"/>
      <c r="V72" s="329">
        <v>304</v>
      </c>
      <c r="W72" s="342"/>
      <c r="X72" s="342"/>
      <c r="Y72" s="329">
        <v>333</v>
      </c>
      <c r="Z72" s="328"/>
      <c r="AA72" s="328"/>
      <c r="AB72" s="329">
        <v>363</v>
      </c>
      <c r="AC72" s="328"/>
      <c r="AD72" s="328"/>
      <c r="AE72" s="331">
        <v>384</v>
      </c>
      <c r="AF72" s="328"/>
      <c r="AG72" s="328"/>
      <c r="AH72" s="331">
        <v>361</v>
      </c>
      <c r="AI72" s="328"/>
      <c r="AJ72" s="328"/>
      <c r="AK72" s="304">
        <v>311</v>
      </c>
      <c r="AL72" s="329"/>
      <c r="AM72" s="329"/>
      <c r="AN72" s="329">
        <v>381</v>
      </c>
      <c r="AO72" s="329"/>
      <c r="AP72" s="329"/>
      <c r="AQ72" s="333">
        <v>316</v>
      </c>
      <c r="AR72" s="333"/>
      <c r="AS72" s="333"/>
      <c r="AT72" s="410">
        <f>SUM(D72:AQ72)</f>
        <v>4918.2</v>
      </c>
      <c r="AZ72" s="366"/>
      <c r="BA72" s="366"/>
    </row>
    <row r="73" spans="1:54">
      <c r="A73" s="316"/>
      <c r="B73" s="346" t="s">
        <v>540</v>
      </c>
      <c r="C73" s="346"/>
      <c r="D73" s="348"/>
      <c r="E73" s="346" t="s">
        <v>540</v>
      </c>
      <c r="F73" s="352"/>
      <c r="G73" s="348"/>
      <c r="H73" s="354" t="s">
        <v>540</v>
      </c>
      <c r="I73" s="356"/>
      <c r="J73" s="353"/>
      <c r="K73" s="354" t="s">
        <v>540</v>
      </c>
      <c r="L73" s="356"/>
      <c r="M73" s="353"/>
      <c r="N73" s="354" t="s">
        <v>540</v>
      </c>
      <c r="O73" s="354"/>
      <c r="P73" s="353"/>
      <c r="Q73" s="354" t="s">
        <v>540</v>
      </c>
      <c r="R73" s="354"/>
      <c r="S73" s="353"/>
      <c r="T73" s="354" t="s">
        <v>540</v>
      </c>
      <c r="U73" s="354"/>
      <c r="V73" s="353"/>
      <c r="W73" s="354" t="s">
        <v>540</v>
      </c>
      <c r="X73" s="354"/>
      <c r="Y73" s="353"/>
      <c r="Z73" s="354" t="s">
        <v>540</v>
      </c>
      <c r="AA73" s="354"/>
      <c r="AB73" s="353"/>
      <c r="AC73" s="354" t="s">
        <v>540</v>
      </c>
      <c r="AD73" s="354"/>
      <c r="AE73" s="353"/>
      <c r="AF73" s="354" t="s">
        <v>540</v>
      </c>
      <c r="AG73" s="354"/>
      <c r="AH73" s="353"/>
      <c r="AI73" s="354" t="s">
        <v>540</v>
      </c>
      <c r="AJ73" s="354"/>
      <c r="AK73" s="353"/>
      <c r="AL73" s="354" t="s">
        <v>540</v>
      </c>
      <c r="AM73" s="354"/>
      <c r="AN73" s="353"/>
      <c r="AO73" s="354" t="s">
        <v>540</v>
      </c>
      <c r="AP73" s="353"/>
      <c r="AQ73" s="333"/>
      <c r="AR73" s="333"/>
      <c r="AS73" s="333"/>
      <c r="AT73" s="410"/>
      <c r="AZ73" s="368"/>
      <c r="BA73" s="368"/>
    </row>
    <row r="74" spans="1:54">
      <c r="A74" s="316"/>
      <c r="AT74" s="403"/>
      <c r="AZ74" s="368"/>
      <c r="BA74" s="368"/>
    </row>
    <row r="75" spans="1:54">
      <c r="A75" s="316"/>
      <c r="AT75" s="403"/>
      <c r="AZ75" s="368"/>
      <c r="BA75" s="368"/>
    </row>
    <row r="76" spans="1:54">
      <c r="A76" s="316"/>
      <c r="B76" s="503"/>
      <c r="C76" s="503"/>
      <c r="E76" s="501"/>
      <c r="F76" s="501"/>
      <c r="H76" s="501"/>
      <c r="I76" s="501"/>
      <c r="K76" s="501"/>
      <c r="L76" s="501"/>
      <c r="N76" s="501"/>
      <c r="O76" s="501"/>
      <c r="Q76" s="501"/>
      <c r="R76" s="501"/>
      <c r="T76" s="501"/>
      <c r="U76" s="501"/>
      <c r="W76" s="501"/>
      <c r="X76" s="501"/>
      <c r="Z76" s="501"/>
      <c r="AA76" s="501"/>
      <c r="AC76" s="501"/>
      <c r="AD76" s="501"/>
      <c r="AF76" s="501"/>
      <c r="AG76" s="501"/>
      <c r="AI76" s="501"/>
      <c r="AJ76" s="501"/>
      <c r="AL76" s="501"/>
      <c r="AM76" s="501"/>
      <c r="AO76" s="501"/>
      <c r="AP76" s="501"/>
      <c r="AT76" s="403"/>
      <c r="AZ76" s="368"/>
      <c r="BA76" s="368"/>
    </row>
    <row r="77" spans="1:54">
      <c r="A77" s="316"/>
      <c r="B77" s="320"/>
      <c r="C77" s="357"/>
      <c r="D77" s="339"/>
      <c r="E77" s="320"/>
      <c r="F77" s="357"/>
      <c r="G77" s="339"/>
      <c r="H77" s="320"/>
      <c r="I77" s="357"/>
      <c r="J77" s="317"/>
      <c r="K77" s="357"/>
      <c r="L77" s="357"/>
      <c r="M77" s="339"/>
      <c r="N77" s="357"/>
      <c r="O77" s="357"/>
      <c r="P77" s="317"/>
      <c r="Q77" s="357"/>
      <c r="R77" s="357"/>
      <c r="S77" s="339"/>
      <c r="T77" s="357"/>
      <c r="U77" s="357"/>
      <c r="V77" s="339"/>
      <c r="W77" s="320"/>
      <c r="X77" s="357"/>
      <c r="Y77" s="339"/>
      <c r="Z77" s="320"/>
      <c r="AA77" s="320"/>
      <c r="AB77" s="339"/>
      <c r="AC77" s="357"/>
      <c r="AD77" s="357"/>
      <c r="AE77" s="339"/>
      <c r="AF77" s="320"/>
      <c r="AG77" s="357"/>
      <c r="AH77" s="339"/>
      <c r="AI77" s="320"/>
      <c r="AJ77" s="357"/>
      <c r="AK77" s="339"/>
      <c r="AL77" s="320"/>
      <c r="AM77" s="357"/>
      <c r="AN77" s="339"/>
      <c r="AO77" s="320"/>
      <c r="AP77" s="357"/>
      <c r="AQ77" s="339"/>
      <c r="AR77" s="339"/>
      <c r="AS77" s="339"/>
      <c r="AT77" s="405"/>
      <c r="AZ77" s="368"/>
      <c r="BA77" s="368"/>
    </row>
    <row r="78" spans="1:54">
      <c r="A78" s="316"/>
      <c r="B78" s="357"/>
      <c r="C78" s="357"/>
      <c r="D78" s="331"/>
      <c r="E78" s="357"/>
      <c r="F78" s="357"/>
      <c r="G78" s="331"/>
      <c r="H78" s="357"/>
      <c r="I78" s="357"/>
      <c r="J78" s="329"/>
      <c r="K78" s="357"/>
      <c r="L78" s="357"/>
      <c r="M78" s="329"/>
      <c r="N78" s="357"/>
      <c r="O78" s="357"/>
      <c r="P78" s="331"/>
      <c r="Q78" s="357"/>
      <c r="R78" s="357"/>
      <c r="S78" s="331"/>
      <c r="T78" s="320"/>
      <c r="U78" s="320"/>
      <c r="V78" s="331"/>
      <c r="W78" s="320"/>
      <c r="X78" s="320"/>
      <c r="Y78" s="329"/>
      <c r="Z78" s="320"/>
      <c r="AA78" s="320"/>
      <c r="AB78" s="329"/>
      <c r="AC78" s="320"/>
      <c r="AD78" s="357"/>
      <c r="AE78" s="331"/>
      <c r="AF78" s="320"/>
      <c r="AG78" s="320"/>
      <c r="AH78" s="329"/>
      <c r="AI78" s="320"/>
      <c r="AJ78" s="320"/>
      <c r="AK78" s="331"/>
      <c r="AL78" s="320"/>
      <c r="AM78" s="320"/>
      <c r="AN78" s="331"/>
      <c r="AO78" s="320"/>
      <c r="AP78" s="320"/>
      <c r="AQ78" s="331"/>
      <c r="AR78" s="331"/>
      <c r="AS78" s="331"/>
      <c r="AT78" s="407"/>
      <c r="AV78" s="310">
        <v>14</v>
      </c>
      <c r="AW78" s="310">
        <v>14</v>
      </c>
      <c r="AX78" s="310">
        <v>14</v>
      </c>
      <c r="AY78" s="310">
        <v>14</v>
      </c>
      <c r="AZ78" s="369">
        <v>4.8324999999999996</v>
      </c>
      <c r="BA78" s="369">
        <v>4.8324999999999996</v>
      </c>
      <c r="BB78" s="350"/>
    </row>
    <row r="79" spans="1:54">
      <c r="A79" s="316"/>
      <c r="B79" s="512" t="s">
        <v>189</v>
      </c>
      <c r="C79" s="507"/>
      <c r="D79" s="331"/>
      <c r="E79" s="507" t="s">
        <v>191</v>
      </c>
      <c r="F79" s="507"/>
      <c r="G79" s="331"/>
      <c r="H79" s="512" t="s">
        <v>192</v>
      </c>
      <c r="I79" s="507"/>
      <c r="J79" s="329"/>
      <c r="K79" s="512" t="s">
        <v>193</v>
      </c>
      <c r="L79" s="507"/>
      <c r="M79" s="329"/>
      <c r="N79" s="512" t="s">
        <v>194</v>
      </c>
      <c r="O79" s="507"/>
      <c r="P79" s="331"/>
      <c r="Q79" s="507" t="s">
        <v>196</v>
      </c>
      <c r="R79" s="507"/>
      <c r="S79" s="331"/>
      <c r="T79" s="512" t="s">
        <v>197</v>
      </c>
      <c r="U79" s="507"/>
      <c r="V79" s="331"/>
      <c r="W79" s="512" t="s">
        <v>198</v>
      </c>
      <c r="X79" s="507"/>
      <c r="Y79" s="329"/>
      <c r="Z79" s="512" t="s">
        <v>199</v>
      </c>
      <c r="AA79" s="507"/>
      <c r="AB79" s="329"/>
      <c r="AC79" s="507" t="s">
        <v>201</v>
      </c>
      <c r="AD79" s="507"/>
      <c r="AE79" s="331"/>
      <c r="AF79" s="512" t="s">
        <v>202</v>
      </c>
      <c r="AG79" s="507"/>
      <c r="AH79" s="329"/>
      <c r="AI79" s="512" t="s">
        <v>203</v>
      </c>
      <c r="AJ79" s="507"/>
      <c r="AK79" s="331"/>
      <c r="AL79" s="512" t="s">
        <v>204</v>
      </c>
      <c r="AM79" s="507"/>
      <c r="AN79" s="331"/>
      <c r="AO79" s="512" t="s">
        <v>205</v>
      </c>
      <c r="AP79" s="507"/>
      <c r="AQ79" s="331"/>
      <c r="AR79" s="331"/>
      <c r="AS79" s="331"/>
      <c r="AT79" s="407"/>
      <c r="AZ79" s="368"/>
      <c r="BA79" s="368"/>
    </row>
    <row r="80" spans="1:54">
      <c r="A80" s="316"/>
      <c r="B80" s="504" t="s">
        <v>42</v>
      </c>
      <c r="C80" s="504"/>
      <c r="E80" s="504" t="s">
        <v>39</v>
      </c>
      <c r="F80" s="504"/>
      <c r="G80" s="329"/>
      <c r="H80" s="504" t="s">
        <v>37</v>
      </c>
      <c r="I80" s="504"/>
      <c r="J80" s="329"/>
      <c r="K80" s="504" t="s">
        <v>37</v>
      </c>
      <c r="L80" s="504"/>
      <c r="M80" s="329"/>
      <c r="N80" s="504" t="s">
        <v>37</v>
      </c>
      <c r="O80" s="504"/>
      <c r="P80" s="329"/>
      <c r="Q80" s="504" t="s">
        <v>46</v>
      </c>
      <c r="R80" s="504"/>
      <c r="S80" s="329"/>
      <c r="T80" s="504" t="s">
        <v>56</v>
      </c>
      <c r="U80" s="504"/>
      <c r="V80" s="329"/>
      <c r="W80" s="504" t="s">
        <v>37</v>
      </c>
      <c r="X80" s="504"/>
      <c r="Y80" s="329"/>
      <c r="Z80" s="504" t="s">
        <v>56</v>
      </c>
      <c r="AA80" s="504"/>
      <c r="AB80" s="329"/>
      <c r="AC80" s="504" t="s">
        <v>39</v>
      </c>
      <c r="AD80" s="504"/>
      <c r="AE80" s="329"/>
      <c r="AF80" s="504" t="s">
        <v>42</v>
      </c>
      <c r="AG80" s="504"/>
      <c r="AH80" s="329"/>
      <c r="AI80" s="504" t="s">
        <v>37</v>
      </c>
      <c r="AJ80" s="504"/>
      <c r="AK80" s="329"/>
      <c r="AL80" s="504" t="s">
        <v>42</v>
      </c>
      <c r="AM80" s="504"/>
      <c r="AN80" s="329"/>
      <c r="AO80" s="504" t="s">
        <v>42</v>
      </c>
      <c r="AP80" s="504"/>
      <c r="AT80" s="403"/>
      <c r="AZ80" s="368"/>
      <c r="BA80" s="368"/>
    </row>
    <row r="81" spans="1:54">
      <c r="A81" s="316"/>
      <c r="B81" s="328"/>
      <c r="C81" s="328"/>
      <c r="D81" s="304">
        <v>290.5</v>
      </c>
      <c r="E81" s="328"/>
      <c r="F81" s="328"/>
      <c r="G81" s="329">
        <v>306</v>
      </c>
      <c r="H81" s="328"/>
      <c r="I81" s="328"/>
      <c r="J81" s="329">
        <v>336</v>
      </c>
      <c r="K81" s="328"/>
      <c r="L81" s="328"/>
      <c r="M81" s="329">
        <v>337</v>
      </c>
      <c r="N81" s="328"/>
      <c r="O81" s="328"/>
      <c r="P81" s="329">
        <v>328.6</v>
      </c>
      <c r="Q81" s="328"/>
      <c r="R81" s="328"/>
      <c r="S81" s="329">
        <v>362</v>
      </c>
      <c r="T81" s="328"/>
      <c r="U81" s="328"/>
      <c r="V81" s="329">
        <v>364</v>
      </c>
      <c r="W81" s="328"/>
      <c r="X81" s="328"/>
      <c r="Y81" s="329">
        <v>388</v>
      </c>
      <c r="Z81" s="328"/>
      <c r="AA81" s="328"/>
      <c r="AB81" s="329">
        <v>322</v>
      </c>
      <c r="AC81" s="328"/>
      <c r="AD81" s="328"/>
      <c r="AE81" s="329">
        <v>365.5</v>
      </c>
      <c r="AF81" s="328"/>
      <c r="AG81" s="328"/>
      <c r="AH81" s="329">
        <v>374</v>
      </c>
      <c r="AI81" s="328"/>
      <c r="AJ81" s="328"/>
      <c r="AK81" s="329">
        <v>356.1</v>
      </c>
      <c r="AL81" s="328"/>
      <c r="AM81" s="328"/>
      <c r="AN81" s="329">
        <v>349.7</v>
      </c>
      <c r="AO81" s="328"/>
      <c r="AP81" s="328"/>
      <c r="AQ81" s="304">
        <v>353.1</v>
      </c>
      <c r="AT81" s="403">
        <f>SUM(D81:AQ81)</f>
        <v>4832.5</v>
      </c>
      <c r="AZ81" s="366"/>
      <c r="BA81" s="366"/>
    </row>
    <row r="82" spans="1:54">
      <c r="A82" s="316"/>
      <c r="B82" s="354" t="s">
        <v>540</v>
      </c>
      <c r="C82" s="354"/>
      <c r="D82" s="353"/>
      <c r="E82" s="354" t="s">
        <v>540</v>
      </c>
      <c r="F82" s="356"/>
      <c r="G82" s="353"/>
      <c r="H82" s="354" t="s">
        <v>540</v>
      </c>
      <c r="I82" s="356"/>
      <c r="J82" s="353"/>
      <c r="K82" s="354" t="s">
        <v>540</v>
      </c>
      <c r="L82" s="356"/>
      <c r="M82" s="353"/>
      <c r="N82" s="354" t="s">
        <v>540</v>
      </c>
      <c r="O82" s="354"/>
      <c r="P82" s="353"/>
      <c r="Q82" s="354" t="s">
        <v>540</v>
      </c>
      <c r="R82" s="354"/>
      <c r="S82" s="353"/>
      <c r="T82" s="354" t="s">
        <v>540</v>
      </c>
      <c r="U82" s="354"/>
      <c r="V82" s="353"/>
      <c r="W82" s="354" t="s">
        <v>540</v>
      </c>
      <c r="X82" s="354"/>
      <c r="Y82" s="353"/>
      <c r="Z82" s="354" t="s">
        <v>540</v>
      </c>
      <c r="AA82" s="354"/>
      <c r="AB82" s="353"/>
      <c r="AC82" s="354" t="s">
        <v>540</v>
      </c>
      <c r="AD82" s="354"/>
      <c r="AE82" s="353"/>
      <c r="AF82" s="354" t="s">
        <v>540</v>
      </c>
      <c r="AG82" s="354"/>
      <c r="AH82" s="353"/>
      <c r="AI82" s="354" t="s">
        <v>540</v>
      </c>
      <c r="AJ82" s="354"/>
      <c r="AK82" s="353"/>
      <c r="AL82" s="354" t="s">
        <v>540</v>
      </c>
      <c r="AM82" s="354"/>
      <c r="AN82" s="353"/>
      <c r="AO82" s="354" t="s">
        <v>540</v>
      </c>
      <c r="AP82" s="354"/>
      <c r="AT82" s="403"/>
      <c r="AZ82" s="368"/>
      <c r="BA82" s="368"/>
    </row>
    <row r="83" spans="1:54">
      <c r="A83" s="316"/>
      <c r="B83" s="304"/>
      <c r="AT83" s="403"/>
      <c r="AZ83" s="368"/>
      <c r="BA83" s="368"/>
    </row>
    <row r="84" spans="1:54">
      <c r="A84" s="316"/>
      <c r="H84" s="304"/>
      <c r="AT84" s="403"/>
      <c r="AZ84" s="368"/>
      <c r="BA84" s="368"/>
    </row>
    <row r="85" spans="1:54">
      <c r="A85" s="316"/>
      <c r="B85" s="503"/>
      <c r="C85" s="503"/>
      <c r="E85" s="501"/>
      <c r="F85" s="501"/>
      <c r="H85" s="501"/>
      <c r="I85" s="501"/>
      <c r="K85" s="542"/>
      <c r="L85" s="501"/>
      <c r="N85" s="542"/>
      <c r="O85" s="501"/>
      <c r="Q85" s="542"/>
      <c r="R85" s="501"/>
      <c r="T85" s="542"/>
      <c r="U85" s="501"/>
      <c r="W85" s="501"/>
      <c r="X85" s="501"/>
      <c r="Z85" s="501"/>
      <c r="AA85" s="501"/>
      <c r="AC85" s="501"/>
      <c r="AD85" s="501"/>
      <c r="AF85" s="501"/>
      <c r="AG85" s="501"/>
      <c r="AI85" s="501"/>
      <c r="AJ85" s="501"/>
      <c r="AL85" s="501"/>
      <c r="AM85" s="501"/>
      <c r="AO85" s="501"/>
      <c r="AP85" s="501"/>
      <c r="AT85" s="403"/>
      <c r="AZ85" s="368"/>
      <c r="BA85" s="368"/>
    </row>
    <row r="86" spans="1:54">
      <c r="A86" s="316"/>
      <c r="B86" s="357"/>
      <c r="C86" s="357"/>
      <c r="D86" s="339"/>
      <c r="E86" s="357"/>
      <c r="F86" s="357"/>
      <c r="G86" s="339"/>
      <c r="H86" s="357"/>
      <c r="I86" s="357"/>
      <c r="J86" s="339"/>
      <c r="K86" s="320"/>
      <c r="L86" s="322"/>
      <c r="M86" s="339"/>
      <c r="N86" s="357"/>
      <c r="O86" s="357"/>
      <c r="P86" s="339"/>
      <c r="Q86" s="320"/>
      <c r="R86" s="320"/>
      <c r="S86" s="339"/>
      <c r="T86" s="320"/>
      <c r="U86" s="322"/>
      <c r="V86" s="339"/>
      <c r="W86" s="320"/>
      <c r="X86" s="320"/>
      <c r="Y86" s="339"/>
      <c r="Z86" s="320"/>
      <c r="AA86" s="320"/>
      <c r="AB86" s="339"/>
      <c r="AC86" s="320"/>
      <c r="AD86" s="322"/>
      <c r="AE86" s="339"/>
      <c r="AF86" s="320"/>
      <c r="AG86" s="322"/>
      <c r="AH86" s="339"/>
      <c r="AI86" s="320"/>
      <c r="AJ86" s="322"/>
      <c r="AK86" s="339"/>
      <c r="AL86" s="320"/>
      <c r="AM86" s="322"/>
      <c r="AN86" s="339"/>
      <c r="AO86" s="320"/>
      <c r="AP86" s="357"/>
      <c r="AQ86" s="339"/>
      <c r="AR86" s="339"/>
      <c r="AS86" s="339"/>
      <c r="AT86" s="405"/>
      <c r="AZ86" s="368"/>
      <c r="BA86" s="368"/>
    </row>
    <row r="87" spans="1:54">
      <c r="A87" s="316"/>
      <c r="B87" s="357"/>
      <c r="C87" s="320"/>
      <c r="D87" s="331"/>
      <c r="E87" s="357"/>
      <c r="F87" s="320"/>
      <c r="G87" s="331"/>
      <c r="H87" s="357"/>
      <c r="I87" s="320"/>
      <c r="J87" s="329"/>
      <c r="K87" s="320"/>
      <c r="L87" s="320"/>
      <c r="M87" s="329"/>
      <c r="N87" s="357"/>
      <c r="O87" s="320"/>
      <c r="P87" s="331"/>
      <c r="Q87" s="320"/>
      <c r="R87" s="320"/>
      <c r="S87" s="329"/>
      <c r="T87" s="320"/>
      <c r="U87" s="320"/>
      <c r="V87" s="331"/>
      <c r="W87" s="320"/>
      <c r="X87" s="320"/>
      <c r="Y87" s="331"/>
      <c r="Z87" s="320"/>
      <c r="AA87" s="320"/>
      <c r="AB87" s="331"/>
      <c r="AC87" s="320"/>
      <c r="AD87" s="320"/>
      <c r="AE87" s="331"/>
      <c r="AF87" s="320"/>
      <c r="AG87" s="320"/>
      <c r="AH87" s="331"/>
      <c r="AI87" s="320"/>
      <c r="AJ87" s="320"/>
      <c r="AK87" s="331"/>
      <c r="AL87" s="320"/>
      <c r="AM87" s="320"/>
      <c r="AN87" s="329"/>
      <c r="AO87" s="320"/>
      <c r="AP87" s="320"/>
      <c r="AQ87" s="331"/>
      <c r="AR87" s="331"/>
      <c r="AS87" s="331"/>
      <c r="AT87" s="407"/>
      <c r="AV87" s="310">
        <v>14</v>
      </c>
      <c r="AW87" s="310">
        <v>14</v>
      </c>
      <c r="AX87" s="310">
        <v>14</v>
      </c>
      <c r="AY87" s="310">
        <v>14</v>
      </c>
      <c r="AZ87" s="369">
        <v>4.6802000000000001</v>
      </c>
      <c r="BA87" s="369">
        <v>4.6802000000000001</v>
      </c>
      <c r="BB87" s="350"/>
    </row>
    <row r="88" spans="1:54">
      <c r="A88" s="316"/>
      <c r="B88" s="509" t="s">
        <v>206</v>
      </c>
      <c r="C88" s="504"/>
      <c r="D88" s="331"/>
      <c r="E88" s="512" t="s">
        <v>207</v>
      </c>
      <c r="F88" s="507"/>
      <c r="G88" s="331"/>
      <c r="H88" s="512" t="s">
        <v>208</v>
      </c>
      <c r="I88" s="507"/>
      <c r="J88" s="329"/>
      <c r="K88" s="512" t="s">
        <v>209</v>
      </c>
      <c r="L88" s="507"/>
      <c r="M88" s="329"/>
      <c r="N88" s="512" t="s">
        <v>210</v>
      </c>
      <c r="O88" s="507"/>
      <c r="P88" s="331"/>
      <c r="Q88" s="512" t="s">
        <v>211</v>
      </c>
      <c r="R88" s="507"/>
      <c r="S88" s="329"/>
      <c r="T88" s="512" t="s">
        <v>212</v>
      </c>
      <c r="U88" s="507"/>
      <c r="V88" s="331"/>
      <c r="W88" s="507" t="s">
        <v>214</v>
      </c>
      <c r="X88" s="507"/>
      <c r="Y88" s="331"/>
      <c r="Z88" s="512" t="s">
        <v>215</v>
      </c>
      <c r="AA88" s="507"/>
      <c r="AB88" s="331"/>
      <c r="AC88" s="512" t="s">
        <v>216</v>
      </c>
      <c r="AD88" s="507"/>
      <c r="AE88" s="331"/>
      <c r="AF88" s="512" t="s">
        <v>217</v>
      </c>
      <c r="AG88" s="507"/>
      <c r="AH88" s="331"/>
      <c r="AI88" s="512" t="s">
        <v>218</v>
      </c>
      <c r="AJ88" s="507"/>
      <c r="AK88" s="331"/>
      <c r="AL88" s="512" t="s">
        <v>219</v>
      </c>
      <c r="AM88" s="507"/>
      <c r="AN88" s="329"/>
      <c r="AO88" s="507" t="s">
        <v>221</v>
      </c>
      <c r="AP88" s="507"/>
      <c r="AQ88" s="331"/>
      <c r="AR88" s="331"/>
      <c r="AS88" s="331"/>
      <c r="AT88" s="407"/>
      <c r="AZ88" s="368"/>
      <c r="BA88" s="368"/>
    </row>
    <row r="89" spans="1:54">
      <c r="A89" s="316"/>
      <c r="B89" s="504" t="s">
        <v>37</v>
      </c>
      <c r="C89" s="504"/>
      <c r="D89" s="329"/>
      <c r="E89" s="504" t="s">
        <v>37</v>
      </c>
      <c r="F89" s="504"/>
      <c r="G89" s="331"/>
      <c r="H89" s="504" t="s">
        <v>56</v>
      </c>
      <c r="I89" s="504"/>
      <c r="J89" s="329"/>
      <c r="K89" s="504" t="s">
        <v>37</v>
      </c>
      <c r="L89" s="504"/>
      <c r="M89" s="329"/>
      <c r="N89" s="504" t="s">
        <v>37</v>
      </c>
      <c r="O89" s="504"/>
      <c r="P89" s="358"/>
      <c r="Q89" s="504" t="s">
        <v>37</v>
      </c>
      <c r="R89" s="504"/>
      <c r="S89" s="329"/>
      <c r="T89" s="504" t="s">
        <v>37</v>
      </c>
      <c r="U89" s="504"/>
      <c r="V89" s="329"/>
      <c r="W89" s="504" t="s">
        <v>89</v>
      </c>
      <c r="X89" s="504"/>
      <c r="Y89" s="329"/>
      <c r="Z89" s="504" t="s">
        <v>42</v>
      </c>
      <c r="AA89" s="504"/>
      <c r="AB89" s="329"/>
      <c r="AC89" s="504" t="s">
        <v>37</v>
      </c>
      <c r="AD89" s="504"/>
      <c r="AE89" s="331"/>
      <c r="AF89" s="504" t="s">
        <v>37</v>
      </c>
      <c r="AG89" s="504"/>
      <c r="AH89" s="329"/>
      <c r="AI89" s="504" t="s">
        <v>42</v>
      </c>
      <c r="AJ89" s="504"/>
      <c r="AK89" s="329"/>
      <c r="AL89" s="504" t="s">
        <v>42</v>
      </c>
      <c r="AM89" s="504"/>
      <c r="AN89" s="329"/>
      <c r="AO89" s="504" t="s">
        <v>76</v>
      </c>
      <c r="AP89" s="504"/>
      <c r="AT89" s="403"/>
      <c r="AZ89" s="368"/>
      <c r="BA89" s="368"/>
    </row>
    <row r="90" spans="1:54">
      <c r="A90" s="316"/>
      <c r="B90" s="328"/>
      <c r="C90" s="328"/>
      <c r="D90" s="329">
        <v>374.2</v>
      </c>
      <c r="E90" s="328"/>
      <c r="F90" s="328"/>
      <c r="G90" s="331">
        <v>341.3</v>
      </c>
      <c r="H90" s="328"/>
      <c r="I90" s="328"/>
      <c r="J90" s="329">
        <v>348</v>
      </c>
      <c r="K90" s="328"/>
      <c r="L90" s="328"/>
      <c r="M90" s="329">
        <v>384</v>
      </c>
      <c r="N90" s="328"/>
      <c r="O90" s="328"/>
      <c r="P90" s="358">
        <v>269.7</v>
      </c>
      <c r="Q90" s="328"/>
      <c r="R90" s="328"/>
      <c r="S90" s="329">
        <v>394</v>
      </c>
      <c r="T90" s="328"/>
      <c r="U90" s="328"/>
      <c r="V90" s="329">
        <v>300.60000000000002</v>
      </c>
      <c r="W90" s="328"/>
      <c r="X90" s="328"/>
      <c r="Y90" s="329">
        <v>315.39999999999998</v>
      </c>
      <c r="Z90" s="328"/>
      <c r="AA90" s="328"/>
      <c r="AB90" s="329">
        <v>329.6</v>
      </c>
      <c r="AC90" s="328"/>
      <c r="AD90" s="328"/>
      <c r="AE90" s="331">
        <v>383</v>
      </c>
      <c r="AF90" s="328"/>
      <c r="AG90" s="328"/>
      <c r="AH90" s="329">
        <v>323.7</v>
      </c>
      <c r="AI90" s="328"/>
      <c r="AJ90" s="328"/>
      <c r="AK90" s="329">
        <v>328.8</v>
      </c>
      <c r="AL90" s="328"/>
      <c r="AM90" s="328"/>
      <c r="AN90" s="329">
        <v>266</v>
      </c>
      <c r="AO90" s="328"/>
      <c r="AP90" s="328"/>
      <c r="AQ90" s="304">
        <v>321.89999999999998</v>
      </c>
      <c r="AT90" s="403">
        <f>SUM(D90:AQ90)</f>
        <v>4680.1999999999989</v>
      </c>
      <c r="AZ90" s="366"/>
      <c r="BA90" s="366"/>
    </row>
    <row r="91" spans="1:54">
      <c r="A91" s="316"/>
      <c r="B91" s="354" t="s">
        <v>540</v>
      </c>
      <c r="C91" s="354"/>
      <c r="D91" s="353"/>
      <c r="E91" s="354" t="s">
        <v>540</v>
      </c>
      <c r="F91" s="356"/>
      <c r="G91" s="353"/>
      <c r="H91" s="354" t="s">
        <v>540</v>
      </c>
      <c r="I91" s="356"/>
      <c r="J91" s="353"/>
      <c r="K91" s="354" t="s">
        <v>540</v>
      </c>
      <c r="L91" s="356"/>
      <c r="M91" s="353"/>
      <c r="N91" s="354" t="s">
        <v>540</v>
      </c>
      <c r="O91" s="354"/>
      <c r="P91" s="353"/>
      <c r="Q91" s="354" t="s">
        <v>540</v>
      </c>
      <c r="R91" s="354"/>
      <c r="S91" s="353"/>
      <c r="T91" s="354" t="s">
        <v>540</v>
      </c>
      <c r="U91" s="354"/>
      <c r="V91" s="353"/>
      <c r="W91" s="354" t="s">
        <v>540</v>
      </c>
      <c r="X91" s="354"/>
      <c r="Y91" s="353"/>
      <c r="Z91" s="354" t="s">
        <v>540</v>
      </c>
      <c r="AA91" s="354"/>
      <c r="AB91" s="353"/>
      <c r="AC91" s="354" t="s">
        <v>540</v>
      </c>
      <c r="AD91" s="354"/>
      <c r="AE91" s="353"/>
      <c r="AF91" s="354" t="s">
        <v>540</v>
      </c>
      <c r="AG91" s="354"/>
      <c r="AH91" s="353"/>
      <c r="AI91" s="354" t="s">
        <v>540</v>
      </c>
      <c r="AJ91" s="354"/>
      <c r="AK91" s="353"/>
      <c r="AL91" s="354" t="s">
        <v>540</v>
      </c>
      <c r="AM91" s="354"/>
      <c r="AN91" s="353"/>
      <c r="AO91" s="354" t="s">
        <v>540</v>
      </c>
      <c r="AP91" s="354"/>
      <c r="AT91" s="403"/>
      <c r="AZ91" s="368"/>
      <c r="BA91" s="368"/>
    </row>
    <row r="92" spans="1:54">
      <c r="A92" s="316"/>
      <c r="AT92" s="403"/>
      <c r="AZ92" s="368"/>
      <c r="BA92" s="368"/>
    </row>
    <row r="93" spans="1:54">
      <c r="A93" s="316"/>
      <c r="M93" s="303"/>
      <c r="Y93" s="303"/>
      <c r="AT93" s="403"/>
      <c r="AZ93" s="368"/>
      <c r="BA93" s="368"/>
    </row>
    <row r="94" spans="1:54">
      <c r="A94" s="316"/>
      <c r="B94" s="503"/>
      <c r="C94" s="503"/>
      <c r="E94" s="501"/>
      <c r="F94" s="501"/>
      <c r="H94" s="501"/>
      <c r="I94" s="501"/>
      <c r="K94" s="501"/>
      <c r="L94" s="501"/>
      <c r="N94" s="501"/>
      <c r="O94" s="501"/>
      <c r="Q94" s="543"/>
      <c r="R94" s="501"/>
      <c r="T94" s="501"/>
      <c r="U94" s="501"/>
      <c r="W94" s="501"/>
      <c r="X94" s="501"/>
      <c r="Z94" s="501"/>
      <c r="AA94" s="501"/>
      <c r="AC94" s="501"/>
      <c r="AD94" s="501"/>
      <c r="AF94" s="501"/>
      <c r="AG94" s="501"/>
      <c r="AI94" s="501"/>
      <c r="AJ94" s="501"/>
      <c r="AL94" s="501"/>
      <c r="AM94" s="501"/>
      <c r="AO94" s="501"/>
      <c r="AP94" s="501"/>
      <c r="AT94" s="403"/>
      <c r="AZ94" s="368"/>
      <c r="BA94" s="368"/>
    </row>
    <row r="95" spans="1:54">
      <c r="A95" s="316"/>
      <c r="B95" s="357"/>
      <c r="C95" s="357"/>
      <c r="D95" s="339"/>
      <c r="E95" s="357"/>
      <c r="F95" s="357"/>
      <c r="G95" s="339"/>
      <c r="H95" s="357"/>
      <c r="I95" s="357"/>
      <c r="J95" s="339"/>
      <c r="K95" s="320"/>
      <c r="L95" s="357"/>
      <c r="M95" s="339"/>
      <c r="N95" s="320"/>
      <c r="O95" s="357"/>
      <c r="P95" s="339"/>
      <c r="Q95" s="320"/>
      <c r="R95" s="357"/>
      <c r="S95" s="339"/>
      <c r="T95" s="320"/>
      <c r="U95" s="357"/>
      <c r="V95" s="317"/>
      <c r="W95" s="320"/>
      <c r="X95" s="357"/>
      <c r="Y95" s="339"/>
      <c r="Z95" s="320"/>
      <c r="AA95" s="357"/>
      <c r="AB95" s="339"/>
      <c r="AC95" s="320"/>
      <c r="AD95" s="322"/>
      <c r="AE95" s="339"/>
      <c r="AF95" s="320"/>
      <c r="AG95" s="322"/>
      <c r="AH95" s="339"/>
      <c r="AI95" s="320"/>
      <c r="AJ95" s="322"/>
      <c r="AK95" s="339"/>
      <c r="AL95" s="320"/>
      <c r="AM95" s="322"/>
      <c r="AN95" s="339"/>
      <c r="AO95" s="320"/>
      <c r="AP95" s="322"/>
      <c r="AQ95" s="339"/>
      <c r="AR95" s="339"/>
      <c r="AS95" s="339"/>
      <c r="AT95" s="405"/>
      <c r="AZ95" s="368"/>
      <c r="BA95" s="368"/>
    </row>
    <row r="96" spans="1:54">
      <c r="A96" s="316"/>
      <c r="B96" s="320"/>
      <c r="C96" s="357"/>
      <c r="D96" s="331"/>
      <c r="E96" s="320"/>
      <c r="F96" s="357"/>
      <c r="G96" s="331"/>
      <c r="H96" s="320"/>
      <c r="I96" s="357"/>
      <c r="J96" s="331"/>
      <c r="K96" s="320"/>
      <c r="L96" s="320"/>
      <c r="M96" s="331"/>
      <c r="N96" s="320"/>
      <c r="O96" s="320"/>
      <c r="P96" s="331"/>
      <c r="Q96" s="320"/>
      <c r="R96" s="320"/>
      <c r="S96" s="331"/>
      <c r="T96" s="320"/>
      <c r="U96" s="320"/>
      <c r="V96" s="331"/>
      <c r="W96" s="320"/>
      <c r="X96" s="320"/>
      <c r="Y96" s="331"/>
      <c r="Z96" s="320"/>
      <c r="AA96" s="320"/>
      <c r="AB96" s="331"/>
      <c r="AC96" s="320"/>
      <c r="AD96" s="322"/>
      <c r="AE96" s="331"/>
      <c r="AF96" s="320"/>
      <c r="AG96" s="320"/>
      <c r="AH96" s="331"/>
      <c r="AI96" s="320"/>
      <c r="AJ96" s="320"/>
      <c r="AK96" s="331"/>
      <c r="AL96" s="320"/>
      <c r="AM96" s="320"/>
      <c r="AN96" s="331"/>
      <c r="AO96" s="320"/>
      <c r="AP96" s="320"/>
      <c r="AQ96" s="331"/>
      <c r="AR96" s="331"/>
      <c r="AS96" s="331"/>
      <c r="AT96" s="407"/>
      <c r="AV96" s="310">
        <v>14</v>
      </c>
      <c r="AW96" s="310">
        <v>14</v>
      </c>
      <c r="AX96" s="310">
        <v>14</v>
      </c>
      <c r="AY96" s="310">
        <v>13</v>
      </c>
      <c r="AZ96" s="369">
        <v>4.7541000000000002</v>
      </c>
      <c r="BA96" s="369">
        <v>4.7541000000000002</v>
      </c>
      <c r="BB96" s="350"/>
    </row>
    <row r="97" spans="1:54">
      <c r="A97" s="316"/>
      <c r="B97" s="509" t="s">
        <v>222</v>
      </c>
      <c r="C97" s="504"/>
      <c r="D97" s="331"/>
      <c r="E97" s="512" t="s">
        <v>223</v>
      </c>
      <c r="F97" s="507"/>
      <c r="G97" s="331"/>
      <c r="H97" s="512" t="s">
        <v>224</v>
      </c>
      <c r="I97" s="507"/>
      <c r="J97" s="331"/>
      <c r="K97" s="512" t="s">
        <v>225</v>
      </c>
      <c r="L97" s="507"/>
      <c r="M97" s="331"/>
      <c r="N97" s="512" t="s">
        <v>226</v>
      </c>
      <c r="O97" s="507"/>
      <c r="P97" s="331"/>
      <c r="Q97" s="512" t="s">
        <v>227</v>
      </c>
      <c r="R97" s="507"/>
      <c r="S97" s="331"/>
      <c r="T97" s="512" t="s">
        <v>228</v>
      </c>
      <c r="U97" s="507"/>
      <c r="V97" s="331"/>
      <c r="W97" s="512" t="s">
        <v>229</v>
      </c>
      <c r="X97" s="507"/>
      <c r="Y97" s="331"/>
      <c r="Z97" s="507" t="s">
        <v>231</v>
      </c>
      <c r="AA97" s="507"/>
      <c r="AB97" s="331"/>
      <c r="AC97" s="512" t="s">
        <v>232</v>
      </c>
      <c r="AD97" s="507"/>
      <c r="AE97" s="331"/>
      <c r="AF97" s="512" t="s">
        <v>233</v>
      </c>
      <c r="AG97" s="507"/>
      <c r="AH97" s="331"/>
      <c r="AI97" s="512" t="s">
        <v>234</v>
      </c>
      <c r="AJ97" s="507"/>
      <c r="AK97" s="331"/>
      <c r="AL97" s="512" t="s">
        <v>235</v>
      </c>
      <c r="AM97" s="507"/>
      <c r="AN97" s="331"/>
      <c r="AO97" s="512" t="s">
        <v>236</v>
      </c>
      <c r="AP97" s="507"/>
      <c r="AQ97" s="331"/>
      <c r="AR97" s="331"/>
      <c r="AS97" s="331"/>
      <c r="AT97" s="407"/>
      <c r="AZ97" s="368"/>
      <c r="BA97" s="368"/>
    </row>
    <row r="98" spans="1:54">
      <c r="A98" s="316"/>
      <c r="B98" s="504" t="s">
        <v>42</v>
      </c>
      <c r="C98" s="504"/>
      <c r="D98" s="329"/>
      <c r="E98" s="504" t="s">
        <v>37</v>
      </c>
      <c r="F98" s="504"/>
      <c r="G98" s="329"/>
      <c r="H98" s="504" t="s">
        <v>42</v>
      </c>
      <c r="I98" s="504"/>
      <c r="J98" s="329"/>
      <c r="K98" s="504" t="s">
        <v>42</v>
      </c>
      <c r="L98" s="504"/>
      <c r="M98" s="331"/>
      <c r="N98" s="504" t="s">
        <v>42</v>
      </c>
      <c r="O98" s="504"/>
      <c r="P98" s="329"/>
      <c r="Q98" s="504" t="s">
        <v>37</v>
      </c>
      <c r="R98" s="504"/>
      <c r="S98" s="329"/>
      <c r="T98" s="504" t="s">
        <v>37</v>
      </c>
      <c r="U98" s="504"/>
      <c r="V98" s="329"/>
      <c r="W98" s="504" t="s">
        <v>37</v>
      </c>
      <c r="X98" s="504"/>
      <c r="Y98" s="329"/>
      <c r="Z98" s="504" t="s">
        <v>76</v>
      </c>
      <c r="AA98" s="504"/>
      <c r="AB98" s="329"/>
      <c r="AC98" s="504" t="s">
        <v>37</v>
      </c>
      <c r="AD98" s="504"/>
      <c r="AE98" s="329"/>
      <c r="AF98" s="504" t="s">
        <v>37</v>
      </c>
      <c r="AG98" s="504"/>
      <c r="AH98" s="329"/>
      <c r="AI98" s="504" t="s">
        <v>37</v>
      </c>
      <c r="AJ98" s="504"/>
      <c r="AK98" s="329"/>
      <c r="AL98" s="504" t="s">
        <v>42</v>
      </c>
      <c r="AM98" s="504"/>
      <c r="AN98" s="329"/>
      <c r="AO98" s="504" t="s">
        <v>37</v>
      </c>
      <c r="AP98" s="504"/>
      <c r="AT98" s="403"/>
      <c r="AZ98" s="368"/>
      <c r="BA98" s="368"/>
    </row>
    <row r="99" spans="1:54">
      <c r="A99" s="316"/>
      <c r="B99" s="328"/>
      <c r="C99" s="328"/>
      <c r="D99" s="329">
        <v>352.1</v>
      </c>
      <c r="E99" s="328"/>
      <c r="F99" s="328"/>
      <c r="G99" s="329">
        <v>347.3</v>
      </c>
      <c r="H99" s="328"/>
      <c r="I99" s="328"/>
      <c r="J99" s="329">
        <v>339.4</v>
      </c>
      <c r="K99" s="328"/>
      <c r="L99" s="328"/>
      <c r="M99" s="331">
        <v>330.9</v>
      </c>
      <c r="N99" s="328"/>
      <c r="O99" s="328"/>
      <c r="P99" s="329">
        <v>280</v>
      </c>
      <c r="Q99" s="328"/>
      <c r="R99" s="328"/>
      <c r="S99" s="329">
        <v>369.5</v>
      </c>
      <c r="T99" s="328"/>
      <c r="U99" s="328"/>
      <c r="V99" s="329">
        <v>360.6</v>
      </c>
      <c r="W99" s="328"/>
      <c r="X99" s="328"/>
      <c r="Y99" s="329">
        <v>293</v>
      </c>
      <c r="Z99" s="328"/>
      <c r="AA99" s="328"/>
      <c r="AB99" s="329">
        <v>345.9</v>
      </c>
      <c r="AC99" s="328"/>
      <c r="AD99" s="328"/>
      <c r="AE99" s="329">
        <v>310.89999999999998</v>
      </c>
      <c r="AF99" s="328"/>
      <c r="AG99" s="328"/>
      <c r="AH99" s="329">
        <v>380</v>
      </c>
      <c r="AI99" s="328"/>
      <c r="AJ99" s="328"/>
      <c r="AK99" s="329">
        <v>358.2</v>
      </c>
      <c r="AL99" s="328"/>
      <c r="AM99" s="328"/>
      <c r="AN99" s="329">
        <v>311.10000000000002</v>
      </c>
      <c r="AO99" s="328"/>
      <c r="AP99" s="328"/>
      <c r="AQ99" s="304">
        <v>375.2</v>
      </c>
      <c r="AT99" s="403">
        <f>SUM(D99:AQ99)</f>
        <v>4754.1000000000004</v>
      </c>
      <c r="AZ99" s="366"/>
      <c r="BA99" s="366"/>
    </row>
    <row r="100" spans="1:54">
      <c r="A100" s="316"/>
      <c r="B100" s="354" t="s">
        <v>540</v>
      </c>
      <c r="C100" s="354"/>
      <c r="D100" s="353"/>
      <c r="E100" s="354" t="s">
        <v>540</v>
      </c>
      <c r="F100" s="356"/>
      <c r="G100" s="353"/>
      <c r="H100" s="354" t="s">
        <v>540</v>
      </c>
      <c r="I100" s="356"/>
      <c r="J100" s="353"/>
      <c r="K100" s="354" t="s">
        <v>540</v>
      </c>
      <c r="L100" s="356"/>
      <c r="M100" s="353"/>
      <c r="N100" s="354" t="s">
        <v>540</v>
      </c>
      <c r="O100" s="354"/>
      <c r="P100" s="353"/>
      <c r="Q100" s="354" t="s">
        <v>540</v>
      </c>
      <c r="R100" s="354"/>
      <c r="S100" s="353"/>
      <c r="T100" s="354" t="s">
        <v>540</v>
      </c>
      <c r="U100" s="354"/>
      <c r="V100" s="353"/>
      <c r="W100" s="354" t="s">
        <v>540</v>
      </c>
      <c r="X100" s="354"/>
      <c r="Y100" s="353"/>
      <c r="Z100" s="354" t="s">
        <v>540</v>
      </c>
      <c r="AA100" s="354"/>
      <c r="AB100" s="353"/>
      <c r="AC100" s="354" t="s">
        <v>540</v>
      </c>
      <c r="AD100" s="354"/>
      <c r="AE100" s="353"/>
      <c r="AF100" s="354" t="s">
        <v>540</v>
      </c>
      <c r="AG100" s="354"/>
      <c r="AH100" s="353"/>
      <c r="AI100" s="354" t="s">
        <v>540</v>
      </c>
      <c r="AJ100" s="354"/>
      <c r="AK100" s="353"/>
      <c r="AL100" s="354" t="s">
        <v>540</v>
      </c>
      <c r="AM100" s="354"/>
      <c r="AN100" s="353"/>
      <c r="AO100" s="354" t="s">
        <v>540</v>
      </c>
      <c r="AP100" s="354"/>
      <c r="AT100" s="403"/>
      <c r="AZ100" s="368"/>
      <c r="BA100" s="368"/>
    </row>
    <row r="101" spans="1:54">
      <c r="A101" s="316"/>
      <c r="AT101" s="403"/>
      <c r="AZ101" s="368"/>
      <c r="BA101" s="368"/>
    </row>
    <row r="102" spans="1:54">
      <c r="A102" s="316"/>
      <c r="AT102" s="403"/>
      <c r="AZ102" s="368"/>
      <c r="BA102" s="368"/>
    </row>
    <row r="103" spans="1:54">
      <c r="A103" s="316"/>
      <c r="B103" s="501"/>
      <c r="C103" s="501"/>
      <c r="E103" s="501"/>
      <c r="F103" s="501"/>
      <c r="H103" s="501"/>
      <c r="I103" s="501"/>
      <c r="K103" s="501"/>
      <c r="L103" s="501"/>
      <c r="N103" s="501"/>
      <c r="O103" s="501"/>
      <c r="Q103" s="501"/>
      <c r="R103" s="501"/>
      <c r="T103" s="501"/>
      <c r="U103" s="501"/>
      <c r="W103" s="501"/>
      <c r="X103" s="501"/>
      <c r="Z103" s="501"/>
      <c r="AA103" s="501"/>
      <c r="AC103" s="501"/>
      <c r="AD103" s="501"/>
      <c r="AF103" s="501"/>
      <c r="AG103" s="501"/>
      <c r="AI103" s="501"/>
      <c r="AJ103" s="501"/>
      <c r="AL103" s="501"/>
      <c r="AM103" s="501"/>
      <c r="AN103" s="339"/>
      <c r="AO103" s="501"/>
      <c r="AP103" s="501"/>
      <c r="AT103" s="403"/>
      <c r="AZ103" s="368"/>
      <c r="BA103" s="368"/>
    </row>
    <row r="104" spans="1:54">
      <c r="A104" s="316"/>
      <c r="B104" s="322"/>
      <c r="C104" s="322"/>
      <c r="D104" s="339"/>
      <c r="E104" s="320"/>
      <c r="F104" s="322"/>
      <c r="G104" s="339"/>
      <c r="H104" s="320"/>
      <c r="I104" s="322"/>
      <c r="J104" s="339"/>
      <c r="K104" s="320"/>
      <c r="L104" s="322"/>
      <c r="M104" s="339"/>
      <c r="N104" s="320"/>
      <c r="O104" s="322"/>
      <c r="P104" s="339"/>
      <c r="Q104" s="320"/>
      <c r="R104" s="322"/>
      <c r="S104" s="339"/>
      <c r="T104" s="320"/>
      <c r="U104" s="322"/>
      <c r="V104" s="339"/>
      <c r="W104" s="320"/>
      <c r="X104" s="322"/>
      <c r="Y104" s="339"/>
      <c r="Z104" s="320"/>
      <c r="AA104" s="322"/>
      <c r="AB104" s="339"/>
      <c r="AC104" s="320"/>
      <c r="AD104" s="357"/>
      <c r="AE104" s="339"/>
      <c r="AF104" s="320"/>
      <c r="AG104" s="322"/>
      <c r="AH104" s="339"/>
      <c r="AI104" s="320"/>
      <c r="AJ104" s="322"/>
      <c r="AK104" s="339"/>
      <c r="AL104" s="320"/>
      <c r="AM104" s="322"/>
      <c r="AO104" s="320"/>
      <c r="AP104" s="322"/>
      <c r="AQ104" s="339"/>
      <c r="AR104" s="339"/>
      <c r="AS104" s="339"/>
      <c r="AT104" s="405"/>
      <c r="AZ104" s="368"/>
      <c r="BA104" s="368"/>
    </row>
    <row r="105" spans="1:54">
      <c r="A105" s="316"/>
      <c r="B105" s="351"/>
      <c r="C105" s="351"/>
      <c r="D105" s="331"/>
      <c r="E105" s="351"/>
      <c r="F105" s="351"/>
      <c r="G105" s="329"/>
      <c r="H105" s="351"/>
      <c r="I105" s="351"/>
      <c r="J105" s="331"/>
      <c r="K105" s="351"/>
      <c r="L105" s="351"/>
      <c r="M105" s="331"/>
      <c r="N105" s="351"/>
      <c r="O105" s="351"/>
      <c r="P105" s="331"/>
      <c r="Q105" s="351"/>
      <c r="R105" s="351"/>
      <c r="S105" s="329"/>
      <c r="T105" s="351"/>
      <c r="U105" s="351"/>
      <c r="V105" s="331"/>
      <c r="W105" s="351"/>
      <c r="X105" s="351"/>
      <c r="Y105" s="331"/>
      <c r="Z105" s="351"/>
      <c r="AA105" s="351"/>
      <c r="AB105" s="331"/>
      <c r="AC105" s="320"/>
      <c r="AD105" s="320"/>
      <c r="AE105" s="331"/>
      <c r="AF105" s="351"/>
      <c r="AG105" s="322"/>
      <c r="AH105" s="331"/>
      <c r="AI105" s="351"/>
      <c r="AJ105" s="322"/>
      <c r="AK105" s="331"/>
      <c r="AL105" s="351"/>
      <c r="AM105" s="322"/>
      <c r="AN105" s="331"/>
      <c r="AO105" s="351"/>
      <c r="AP105" s="322"/>
      <c r="AQ105" s="331"/>
      <c r="AR105" s="331"/>
      <c r="AS105" s="331"/>
      <c r="AT105" s="407"/>
      <c r="AV105" s="310">
        <v>14</v>
      </c>
      <c r="AW105" s="310">
        <v>14</v>
      </c>
      <c r="AX105" s="310">
        <v>14</v>
      </c>
      <c r="AY105" s="310">
        <v>14</v>
      </c>
      <c r="AZ105" s="369">
        <v>4.7088000000000001</v>
      </c>
      <c r="BA105" s="369">
        <v>4.7088000000000001</v>
      </c>
      <c r="BB105" s="350"/>
    </row>
    <row r="106" spans="1:54">
      <c r="A106" s="316"/>
      <c r="B106" s="512" t="s">
        <v>237</v>
      </c>
      <c r="C106" s="507"/>
      <c r="D106" s="331"/>
      <c r="E106" s="512" t="s">
        <v>238</v>
      </c>
      <c r="F106" s="507"/>
      <c r="G106" s="329"/>
      <c r="H106" s="512" t="s">
        <v>239</v>
      </c>
      <c r="I106" s="507"/>
      <c r="J106" s="331"/>
      <c r="K106" s="512" t="s">
        <v>240</v>
      </c>
      <c r="L106" s="507"/>
      <c r="M106" s="331"/>
      <c r="N106" s="512" t="s">
        <v>241</v>
      </c>
      <c r="O106" s="507"/>
      <c r="P106" s="331"/>
      <c r="Q106" s="512" t="s">
        <v>242</v>
      </c>
      <c r="R106" s="507"/>
      <c r="S106" s="329"/>
      <c r="T106" s="512" t="s">
        <v>243</v>
      </c>
      <c r="U106" s="507"/>
      <c r="V106" s="331"/>
      <c r="W106" s="507" t="s">
        <v>244</v>
      </c>
      <c r="X106" s="507"/>
      <c r="Y106" s="331"/>
      <c r="Z106" s="507" t="s">
        <v>246</v>
      </c>
      <c r="AA106" s="507"/>
      <c r="AB106" s="331"/>
      <c r="AC106" s="512" t="s">
        <v>247</v>
      </c>
      <c r="AD106" s="507"/>
      <c r="AE106" s="331"/>
      <c r="AF106" s="512" t="s">
        <v>248</v>
      </c>
      <c r="AG106" s="507"/>
      <c r="AH106" s="331"/>
      <c r="AI106" s="507" t="s">
        <v>250</v>
      </c>
      <c r="AJ106" s="507"/>
      <c r="AK106" s="331" t="s">
        <v>0</v>
      </c>
      <c r="AL106" s="512" t="s">
        <v>251</v>
      </c>
      <c r="AM106" s="507"/>
      <c r="AN106" s="331" t="s">
        <v>0</v>
      </c>
      <c r="AO106" s="512" t="s">
        <v>252</v>
      </c>
      <c r="AP106" s="507"/>
      <c r="AQ106" s="331" t="s">
        <v>0</v>
      </c>
      <c r="AR106" s="331"/>
      <c r="AS106" s="331"/>
      <c r="AT106" s="407"/>
      <c r="AZ106" s="368"/>
      <c r="BA106" s="368"/>
    </row>
    <row r="107" spans="1:54">
      <c r="A107" s="316"/>
      <c r="B107" s="504" t="s">
        <v>37</v>
      </c>
      <c r="C107" s="504"/>
      <c r="D107" s="329"/>
      <c r="E107" s="504" t="s">
        <v>37</v>
      </c>
      <c r="F107" s="504"/>
      <c r="G107" s="329"/>
      <c r="H107" s="504" t="s">
        <v>37</v>
      </c>
      <c r="I107" s="504"/>
      <c r="J107" s="329"/>
      <c r="K107" s="504" t="s">
        <v>42</v>
      </c>
      <c r="L107" s="504"/>
      <c r="M107" s="329"/>
      <c r="N107" s="504" t="s">
        <v>37</v>
      </c>
      <c r="O107" s="504"/>
      <c r="P107" s="329"/>
      <c r="Q107" s="504" t="s">
        <v>42</v>
      </c>
      <c r="R107" s="504"/>
      <c r="S107" s="329"/>
      <c r="T107" s="504" t="s">
        <v>37</v>
      </c>
      <c r="U107" s="504"/>
      <c r="V107" s="329"/>
      <c r="W107" s="504" t="s">
        <v>37</v>
      </c>
      <c r="X107" s="504"/>
      <c r="Y107" s="329"/>
      <c r="Z107" s="504" t="s">
        <v>46</v>
      </c>
      <c r="AA107" s="504"/>
      <c r="AB107" s="329"/>
      <c r="AC107" s="504" t="s">
        <v>37</v>
      </c>
      <c r="AD107" s="504"/>
      <c r="AE107" s="329"/>
      <c r="AF107" s="504" t="s">
        <v>37</v>
      </c>
      <c r="AG107" s="504"/>
      <c r="AH107" s="329"/>
      <c r="AI107" s="504" t="s">
        <v>39</v>
      </c>
      <c r="AJ107" s="504"/>
      <c r="AK107" s="329"/>
      <c r="AL107" s="504" t="s">
        <v>42</v>
      </c>
      <c r="AM107" s="504"/>
      <c r="AN107" s="329"/>
      <c r="AO107" s="504" t="s">
        <v>42</v>
      </c>
      <c r="AP107" s="504"/>
      <c r="AQ107" s="329"/>
      <c r="AR107" s="329"/>
      <c r="AS107" s="329"/>
      <c r="AT107" s="406"/>
      <c r="AZ107" s="368"/>
      <c r="BA107" s="368"/>
    </row>
    <row r="108" spans="1:54">
      <c r="A108" s="316"/>
      <c r="B108" s="328"/>
      <c r="C108" s="328"/>
      <c r="D108" s="329">
        <v>369.1</v>
      </c>
      <c r="E108" s="328"/>
      <c r="F108" s="328"/>
      <c r="G108" s="329">
        <v>371</v>
      </c>
      <c r="H108" s="328"/>
      <c r="I108" s="328"/>
      <c r="J108" s="329">
        <v>356.5</v>
      </c>
      <c r="K108" s="328"/>
      <c r="L108" s="328"/>
      <c r="M108" s="329">
        <v>363.3</v>
      </c>
      <c r="N108" s="328"/>
      <c r="O108" s="328"/>
      <c r="P108" s="329">
        <v>370.3</v>
      </c>
      <c r="Q108" s="328"/>
      <c r="R108" s="328"/>
      <c r="S108" s="329">
        <v>330</v>
      </c>
      <c r="T108" s="328"/>
      <c r="U108" s="328"/>
      <c r="V108" s="329">
        <v>390.1</v>
      </c>
      <c r="W108" s="328"/>
      <c r="X108" s="328"/>
      <c r="Y108" s="329">
        <v>343.4</v>
      </c>
      <c r="Z108" s="328"/>
      <c r="AA108" s="328"/>
      <c r="AB108" s="329">
        <v>326.5</v>
      </c>
      <c r="AC108" s="328"/>
      <c r="AD108" s="328"/>
      <c r="AE108" s="329">
        <v>302.5</v>
      </c>
      <c r="AF108" s="328"/>
      <c r="AG108" s="328"/>
      <c r="AH108" s="329">
        <v>318.2</v>
      </c>
      <c r="AI108" s="328"/>
      <c r="AJ108" s="328"/>
      <c r="AK108" s="329">
        <v>315.5</v>
      </c>
      <c r="AL108" s="328"/>
      <c r="AM108" s="328"/>
      <c r="AN108" s="329">
        <v>249.3</v>
      </c>
      <c r="AO108" s="328"/>
      <c r="AP108" s="328"/>
      <c r="AQ108" s="329">
        <v>303.10000000000002</v>
      </c>
      <c r="AR108" s="329"/>
      <c r="AS108" s="329"/>
      <c r="AT108" s="406">
        <f>SUM(B108:AQ108)</f>
        <v>4708.8</v>
      </c>
      <c r="AZ108" s="366"/>
      <c r="BA108" s="366"/>
    </row>
    <row r="109" spans="1:54">
      <c r="A109" s="316"/>
      <c r="B109" s="354" t="s">
        <v>540</v>
      </c>
      <c r="C109" s="354"/>
      <c r="D109" s="353"/>
      <c r="E109" s="354" t="s">
        <v>540</v>
      </c>
      <c r="F109" s="356"/>
      <c r="G109" s="353"/>
      <c r="H109" s="354" t="s">
        <v>540</v>
      </c>
      <c r="I109" s="356"/>
      <c r="J109" s="353"/>
      <c r="K109" s="354" t="s">
        <v>540</v>
      </c>
      <c r="L109" s="356"/>
      <c r="M109" s="353"/>
      <c r="N109" s="354" t="s">
        <v>540</v>
      </c>
      <c r="O109" s="354"/>
      <c r="P109" s="353"/>
      <c r="Q109" s="354" t="s">
        <v>540</v>
      </c>
      <c r="R109" s="354"/>
      <c r="S109" s="353"/>
      <c r="T109" s="354" t="s">
        <v>540</v>
      </c>
      <c r="U109" s="354"/>
      <c r="V109" s="353"/>
      <c r="W109" s="354" t="s">
        <v>540</v>
      </c>
      <c r="X109" s="354"/>
      <c r="Y109" s="353"/>
      <c r="Z109" s="354" t="s">
        <v>540</v>
      </c>
      <c r="AA109" s="354"/>
      <c r="AB109" s="353"/>
      <c r="AC109" s="354" t="s">
        <v>540</v>
      </c>
      <c r="AD109" s="354"/>
      <c r="AE109" s="353"/>
      <c r="AF109" s="354" t="s">
        <v>540</v>
      </c>
      <c r="AG109" s="354"/>
      <c r="AH109" s="353"/>
      <c r="AI109" s="354" t="s">
        <v>540</v>
      </c>
      <c r="AJ109" s="354"/>
      <c r="AK109" s="353"/>
      <c r="AL109" s="354" t="s">
        <v>540</v>
      </c>
      <c r="AM109" s="354"/>
      <c r="AN109" s="353"/>
      <c r="AO109" s="354" t="s">
        <v>540</v>
      </c>
      <c r="AP109" s="354"/>
      <c r="AQ109" s="329"/>
      <c r="AR109" s="329"/>
      <c r="AS109" s="329"/>
      <c r="AT109" s="406"/>
      <c r="AZ109" s="368"/>
      <c r="BA109" s="368"/>
    </row>
    <row r="110" spans="1:54">
      <c r="A110" s="316"/>
      <c r="B110" s="333"/>
      <c r="C110" s="333"/>
      <c r="D110" s="329"/>
      <c r="E110" s="333"/>
      <c r="F110" s="333"/>
      <c r="G110" s="329"/>
      <c r="H110" s="333"/>
      <c r="I110" s="333"/>
      <c r="J110" s="329"/>
      <c r="K110" s="333"/>
      <c r="L110" s="333"/>
      <c r="M110" s="329"/>
      <c r="N110" s="333"/>
      <c r="O110" s="333"/>
      <c r="P110" s="329"/>
      <c r="Q110" s="333"/>
      <c r="R110" s="333"/>
      <c r="S110" s="329"/>
      <c r="T110" s="333"/>
      <c r="U110" s="333"/>
      <c r="V110" s="329"/>
      <c r="W110" s="333"/>
      <c r="X110" s="333"/>
      <c r="Y110" s="329"/>
      <c r="Z110" s="333"/>
      <c r="AA110" s="333"/>
      <c r="AB110" s="329"/>
      <c r="AC110" s="333"/>
      <c r="AD110" s="333"/>
      <c r="AE110" s="329"/>
      <c r="AF110" s="333"/>
      <c r="AG110" s="333"/>
      <c r="AH110" s="329"/>
      <c r="AI110" s="333"/>
      <c r="AJ110" s="333"/>
      <c r="AK110" s="329"/>
      <c r="AL110" s="333"/>
      <c r="AM110" s="333"/>
      <c r="AN110" s="329"/>
      <c r="AO110" s="333"/>
      <c r="AP110" s="333"/>
      <c r="AQ110" s="329"/>
      <c r="AR110" s="329"/>
      <c r="AS110" s="329"/>
      <c r="AT110" s="406"/>
      <c r="AZ110" s="368"/>
      <c r="BA110" s="368"/>
    </row>
    <row r="111" spans="1:54">
      <c r="A111" s="316"/>
      <c r="B111" s="333"/>
      <c r="C111" s="333"/>
      <c r="D111" s="329"/>
      <c r="E111" s="333"/>
      <c r="F111" s="333"/>
      <c r="G111" s="329"/>
      <c r="H111" s="333"/>
      <c r="I111" s="333"/>
      <c r="J111" s="329"/>
      <c r="K111" s="333"/>
      <c r="L111" s="333"/>
      <c r="M111" s="329"/>
      <c r="N111" s="333"/>
      <c r="O111" s="333"/>
      <c r="P111" s="329"/>
      <c r="Q111" s="333"/>
      <c r="R111" s="333"/>
      <c r="S111" s="329"/>
      <c r="T111" s="333"/>
      <c r="U111" s="333"/>
      <c r="V111" s="329"/>
      <c r="W111" s="333"/>
      <c r="X111" s="333"/>
      <c r="Y111" s="329"/>
      <c r="Z111" s="333"/>
      <c r="AA111" s="333"/>
      <c r="AB111" s="329"/>
      <c r="AC111" s="333"/>
      <c r="AD111" s="333"/>
      <c r="AE111" s="329"/>
      <c r="AF111" s="333"/>
      <c r="AG111" s="333"/>
      <c r="AH111" s="329"/>
      <c r="AI111" s="333"/>
      <c r="AJ111" s="333"/>
      <c r="AK111" s="329"/>
      <c r="AL111" s="333"/>
      <c r="AM111" s="333"/>
      <c r="AN111" s="329"/>
      <c r="AO111" s="333"/>
      <c r="AP111" s="333"/>
      <c r="AQ111" s="329"/>
      <c r="AR111" s="329"/>
      <c r="AS111" s="329"/>
      <c r="AT111" s="406"/>
      <c r="AZ111" s="368"/>
      <c r="BA111" s="368"/>
    </row>
    <row r="112" spans="1:54">
      <c r="A112" s="316"/>
      <c r="B112" s="508"/>
      <c r="C112" s="508"/>
      <c r="D112" s="329"/>
      <c r="E112" s="508"/>
      <c r="F112" s="508"/>
      <c r="G112" s="329"/>
      <c r="H112" s="508"/>
      <c r="I112" s="508"/>
      <c r="J112" s="329"/>
      <c r="K112" s="508"/>
      <c r="L112" s="508"/>
      <c r="M112" s="329"/>
      <c r="N112" s="508"/>
      <c r="O112" s="508"/>
      <c r="P112" s="329"/>
      <c r="Q112" s="508"/>
      <c r="R112" s="508"/>
      <c r="S112" s="329"/>
      <c r="T112" s="508"/>
      <c r="U112" s="508"/>
      <c r="V112" s="329"/>
      <c r="W112" s="508"/>
      <c r="X112" s="508"/>
      <c r="Y112" s="329"/>
      <c r="Z112" s="508"/>
      <c r="AA112" s="508"/>
      <c r="AB112" s="329"/>
      <c r="AC112" s="508"/>
      <c r="AD112" s="508"/>
      <c r="AE112" s="329"/>
      <c r="AF112" s="508"/>
      <c r="AG112" s="508"/>
      <c r="AH112" s="329"/>
      <c r="AI112" s="508"/>
      <c r="AJ112" s="508"/>
      <c r="AK112" s="329"/>
      <c r="AL112" s="508"/>
      <c r="AM112" s="508"/>
      <c r="AN112" s="329"/>
      <c r="AO112" s="508"/>
      <c r="AP112" s="508"/>
      <c r="AQ112" s="329"/>
      <c r="AR112" s="329"/>
      <c r="AS112" s="329"/>
      <c r="AT112" s="406"/>
      <c r="AZ112" s="368"/>
      <c r="BA112" s="368"/>
    </row>
    <row r="113" spans="1:54">
      <c r="A113" s="316"/>
      <c r="B113" s="320"/>
      <c r="C113" s="322"/>
      <c r="D113" s="331"/>
      <c r="E113" s="320"/>
      <c r="F113" s="322"/>
      <c r="G113" s="331"/>
      <c r="H113" s="320"/>
      <c r="I113" s="322"/>
      <c r="J113" s="331"/>
      <c r="K113" s="320"/>
      <c r="L113" s="322"/>
      <c r="M113" s="331"/>
      <c r="N113" s="351"/>
      <c r="O113" s="335"/>
      <c r="P113" s="331"/>
      <c r="Q113" s="320"/>
      <c r="R113" s="322"/>
      <c r="S113" s="331"/>
      <c r="T113" s="351"/>
      <c r="U113" s="355"/>
      <c r="V113" s="331"/>
      <c r="W113" s="351"/>
      <c r="X113" s="355"/>
      <c r="Y113" s="331"/>
      <c r="Z113" s="351"/>
      <c r="AA113" s="355"/>
      <c r="AB113" s="331"/>
      <c r="AC113" s="351"/>
      <c r="AD113" s="355"/>
      <c r="AE113" s="331"/>
      <c r="AF113" s="351"/>
      <c r="AG113" s="335"/>
      <c r="AH113" s="331"/>
      <c r="AI113" s="351"/>
      <c r="AJ113" s="335"/>
      <c r="AK113" s="331"/>
      <c r="AL113" s="320"/>
      <c r="AM113" s="322"/>
      <c r="AN113" s="331"/>
      <c r="AO113" s="320"/>
      <c r="AP113" s="322"/>
      <c r="AQ113" s="331"/>
      <c r="AR113" s="331"/>
      <c r="AS113" s="331"/>
      <c r="AT113" s="407"/>
      <c r="AZ113" s="368"/>
      <c r="BA113" s="368"/>
    </row>
    <row r="114" spans="1:54">
      <c r="A114" s="316"/>
      <c r="B114" s="351"/>
      <c r="C114" s="322"/>
      <c r="D114" s="331"/>
      <c r="E114" s="351"/>
      <c r="F114" s="351"/>
      <c r="G114" s="331"/>
      <c r="H114" s="351"/>
      <c r="I114" s="351"/>
      <c r="J114" s="331"/>
      <c r="K114" s="351"/>
      <c r="L114" s="351"/>
      <c r="M114" s="329"/>
      <c r="N114" s="320"/>
      <c r="O114" s="351"/>
      <c r="P114" s="329"/>
      <c r="Q114" s="351"/>
      <c r="R114" s="351"/>
      <c r="S114" s="329"/>
      <c r="T114" s="351"/>
      <c r="U114" s="351"/>
      <c r="V114" s="329"/>
      <c r="W114" s="351"/>
      <c r="X114" s="351"/>
      <c r="Y114" s="329"/>
      <c r="Z114" s="351"/>
      <c r="AA114" s="351"/>
      <c r="AB114" s="331"/>
      <c r="AC114" s="351"/>
      <c r="AD114" s="351"/>
      <c r="AE114" s="329"/>
      <c r="AF114" s="351"/>
      <c r="AG114" s="351"/>
      <c r="AH114" s="331"/>
      <c r="AI114" s="351"/>
      <c r="AJ114" s="351"/>
      <c r="AK114" s="331"/>
      <c r="AL114" s="351"/>
      <c r="AM114" s="351"/>
      <c r="AN114" s="331"/>
      <c r="AO114" s="351"/>
      <c r="AP114" s="351"/>
      <c r="AQ114" s="331"/>
      <c r="AR114" s="331"/>
      <c r="AS114" s="331"/>
      <c r="AT114" s="407"/>
      <c r="AV114" s="310">
        <v>14</v>
      </c>
      <c r="AW114" s="310">
        <v>14</v>
      </c>
      <c r="AX114" s="310">
        <v>14</v>
      </c>
      <c r="AY114" s="310">
        <v>13</v>
      </c>
      <c r="AZ114" s="369">
        <f>(SUM(D117:AQ117))/1000</f>
        <v>3.2596999999999996</v>
      </c>
      <c r="BA114" s="369">
        <f>AZ114</f>
        <v>3.2596999999999996</v>
      </c>
      <c r="BB114" s="350"/>
    </row>
    <row r="115" spans="1:54">
      <c r="A115" s="316"/>
      <c r="B115" s="512" t="s">
        <v>253</v>
      </c>
      <c r="C115" s="507"/>
      <c r="D115" s="331" t="s">
        <v>0</v>
      </c>
      <c r="E115" s="512" t="s">
        <v>254</v>
      </c>
      <c r="F115" s="507"/>
      <c r="G115" s="331" t="s">
        <v>0</v>
      </c>
      <c r="H115" s="512" t="s">
        <v>255</v>
      </c>
      <c r="I115" s="507"/>
      <c r="J115" s="331" t="s">
        <v>0</v>
      </c>
      <c r="K115" s="541" t="s">
        <v>257</v>
      </c>
      <c r="L115" s="541"/>
      <c r="M115" s="331" t="s">
        <v>0</v>
      </c>
      <c r="N115" s="541" t="s">
        <v>259</v>
      </c>
      <c r="O115" s="541"/>
      <c r="P115" s="331" t="s">
        <v>0</v>
      </c>
      <c r="Q115" s="507" t="s">
        <v>262</v>
      </c>
      <c r="R115" s="507"/>
      <c r="S115" s="331" t="s">
        <v>0</v>
      </c>
      <c r="T115" s="507" t="s">
        <v>264</v>
      </c>
      <c r="U115" s="507"/>
      <c r="V115" s="331" t="s">
        <v>0</v>
      </c>
      <c r="W115" s="507" t="s">
        <v>266</v>
      </c>
      <c r="X115" s="507"/>
      <c r="Y115" s="329" t="s">
        <v>0</v>
      </c>
      <c r="Z115" s="512" t="s">
        <v>267</v>
      </c>
      <c r="AA115" s="507"/>
      <c r="AB115" s="329" t="s">
        <v>0</v>
      </c>
      <c r="AC115" s="512" t="s">
        <v>269</v>
      </c>
      <c r="AD115" s="507"/>
      <c r="AE115" s="331" t="s">
        <v>0</v>
      </c>
      <c r="AF115" s="507" t="s">
        <v>271</v>
      </c>
      <c r="AG115" s="507"/>
      <c r="AH115" s="329" t="s">
        <v>0</v>
      </c>
      <c r="AI115" s="512" t="s">
        <v>273</v>
      </c>
      <c r="AJ115" s="507"/>
      <c r="AK115" s="329" t="s">
        <v>0</v>
      </c>
      <c r="AL115" s="512" t="s">
        <v>274</v>
      </c>
      <c r="AM115" s="507"/>
      <c r="AN115" s="329" t="s">
        <v>0</v>
      </c>
      <c r="AO115" s="512" t="s">
        <v>275</v>
      </c>
      <c r="AP115" s="507"/>
      <c r="AQ115" s="329" t="s">
        <v>0</v>
      </c>
      <c r="AR115" s="329"/>
      <c r="AS115" s="329"/>
      <c r="AT115" s="406"/>
      <c r="AZ115" s="368"/>
      <c r="BA115" s="368"/>
    </row>
    <row r="116" spans="1:54">
      <c r="A116" s="316"/>
      <c r="B116" s="504" t="s">
        <v>42</v>
      </c>
      <c r="C116" s="504"/>
      <c r="D116" s="329"/>
      <c r="E116" s="504" t="s">
        <v>37</v>
      </c>
      <c r="F116" s="504"/>
      <c r="G116" s="329"/>
      <c r="H116" s="504" t="s">
        <v>42</v>
      </c>
      <c r="I116" s="504"/>
      <c r="J116" s="329"/>
      <c r="K116" s="510" t="s">
        <v>54</v>
      </c>
      <c r="L116" s="510"/>
      <c r="M116" s="329"/>
      <c r="N116" s="510" t="s">
        <v>260</v>
      </c>
      <c r="O116" s="510"/>
      <c r="P116" s="329"/>
      <c r="Q116" s="504" t="s">
        <v>260</v>
      </c>
      <c r="R116" s="504"/>
      <c r="S116" s="329"/>
      <c r="T116" s="504" t="s">
        <v>260</v>
      </c>
      <c r="U116" s="504"/>
      <c r="V116" s="329"/>
      <c r="W116" s="504" t="s">
        <v>34</v>
      </c>
      <c r="X116" s="504"/>
      <c r="Y116" s="329"/>
      <c r="Z116" s="504" t="s">
        <v>635</v>
      </c>
      <c r="AA116" s="504"/>
      <c r="AB116" s="329"/>
      <c r="AC116" s="504" t="s">
        <v>635</v>
      </c>
      <c r="AD116" s="504"/>
      <c r="AE116" s="329"/>
      <c r="AF116" s="504" t="s">
        <v>51</v>
      </c>
      <c r="AG116" s="504"/>
      <c r="AH116" s="329"/>
      <c r="AI116" s="504" t="s">
        <v>65</v>
      </c>
      <c r="AJ116" s="504"/>
      <c r="AK116" s="329"/>
      <c r="AL116" s="504" t="s">
        <v>42</v>
      </c>
      <c r="AM116" s="504"/>
      <c r="AN116" s="329"/>
      <c r="AO116" s="504" t="s">
        <v>56</v>
      </c>
      <c r="AP116" s="504"/>
      <c r="AQ116" s="329"/>
      <c r="AR116" s="329"/>
      <c r="AS116" s="329"/>
      <c r="AT116" s="406"/>
      <c r="AZ116" s="368"/>
      <c r="BA116" s="368"/>
    </row>
    <row r="117" spans="1:54">
      <c r="A117" s="316"/>
      <c r="B117" s="328"/>
      <c r="C117" s="328"/>
      <c r="D117" s="329">
        <v>354.9</v>
      </c>
      <c r="E117" s="328"/>
      <c r="F117" s="328"/>
      <c r="G117" s="329">
        <v>320.2</v>
      </c>
      <c r="H117" s="328"/>
      <c r="I117" s="328"/>
      <c r="J117" s="329">
        <v>383.9</v>
      </c>
      <c r="K117" s="342"/>
      <c r="L117" s="342"/>
      <c r="M117" s="329">
        <v>190.5</v>
      </c>
      <c r="N117" s="342"/>
      <c r="O117" s="342"/>
      <c r="P117" s="329">
        <v>178.3</v>
      </c>
      <c r="Q117" s="328"/>
      <c r="R117" s="328"/>
      <c r="S117" s="329">
        <v>148.4</v>
      </c>
      <c r="T117" s="328"/>
      <c r="U117" s="328"/>
      <c r="V117" s="329">
        <v>61.2</v>
      </c>
      <c r="W117" s="328"/>
      <c r="X117" s="328"/>
      <c r="Y117" s="329">
        <v>42.3</v>
      </c>
      <c r="Z117" s="328"/>
      <c r="AA117" s="328"/>
      <c r="AB117" s="329">
        <v>54.6</v>
      </c>
      <c r="AC117" s="328"/>
      <c r="AD117" s="328"/>
      <c r="AE117" s="329">
        <v>41.9</v>
      </c>
      <c r="AF117" s="328"/>
      <c r="AG117" s="328"/>
      <c r="AH117" s="329">
        <v>344.5</v>
      </c>
      <c r="AI117" s="328"/>
      <c r="AJ117" s="328"/>
      <c r="AK117" s="329">
        <v>393</v>
      </c>
      <c r="AL117" s="328"/>
      <c r="AM117" s="328"/>
      <c r="AN117" s="329">
        <v>359</v>
      </c>
      <c r="AO117" s="328"/>
      <c r="AP117" s="328"/>
      <c r="AQ117" s="329">
        <v>387</v>
      </c>
      <c r="AR117" s="329"/>
      <c r="AS117" s="329"/>
      <c r="AT117" s="406">
        <f>SUM(B117:AQ117)</f>
        <v>3259.7</v>
      </c>
      <c r="AZ117" s="366"/>
      <c r="BA117" s="366"/>
    </row>
    <row r="118" spans="1:54">
      <c r="A118" s="316"/>
      <c r="B118" s="354" t="s">
        <v>540</v>
      </c>
      <c r="C118" s="354"/>
      <c r="D118" s="353"/>
      <c r="E118" s="394" t="s">
        <v>575</v>
      </c>
      <c r="F118" s="394"/>
      <c r="G118" s="393"/>
      <c r="H118" s="394" t="s">
        <v>575</v>
      </c>
      <c r="I118" s="394"/>
      <c r="J118" s="393"/>
      <c r="K118" s="394" t="s">
        <v>575</v>
      </c>
      <c r="L118" s="395"/>
      <c r="M118" s="393"/>
      <c r="N118" s="394" t="s">
        <v>575</v>
      </c>
      <c r="O118" s="395"/>
      <c r="P118" s="393"/>
      <c r="Q118" s="394" t="s">
        <v>575</v>
      </c>
      <c r="R118" s="394"/>
      <c r="S118" s="393"/>
      <c r="T118" s="394" t="s">
        <v>575</v>
      </c>
      <c r="U118" s="394"/>
      <c r="V118" s="393"/>
      <c r="W118" s="394" t="s">
        <v>575</v>
      </c>
      <c r="X118" s="394"/>
      <c r="Y118" s="393"/>
      <c r="Z118" s="394" t="s">
        <v>575</v>
      </c>
      <c r="AA118" s="394"/>
      <c r="AB118" s="393"/>
      <c r="AC118" s="394" t="s">
        <v>575</v>
      </c>
      <c r="AD118" s="394"/>
      <c r="AE118" s="393"/>
      <c r="AF118" s="394" t="s">
        <v>575</v>
      </c>
      <c r="AG118" s="394"/>
      <c r="AH118" s="393"/>
      <c r="AI118" s="394" t="s">
        <v>575</v>
      </c>
      <c r="AJ118" s="394"/>
      <c r="AK118" s="393"/>
      <c r="AL118" s="394" t="s">
        <v>575</v>
      </c>
      <c r="AM118" s="394"/>
      <c r="AN118" s="393"/>
      <c r="AO118" s="394" t="s">
        <v>575</v>
      </c>
      <c r="AP118" s="394"/>
      <c r="AQ118" s="329"/>
      <c r="AR118" s="329"/>
      <c r="AS118" s="329"/>
      <c r="AT118" s="406"/>
      <c r="AZ118" s="368"/>
      <c r="BA118" s="368"/>
    </row>
    <row r="119" spans="1:54">
      <c r="A119" s="316"/>
      <c r="B119" s="333"/>
      <c r="C119" s="333"/>
      <c r="D119" s="329"/>
      <c r="E119" s="333"/>
      <c r="F119" s="333"/>
      <c r="G119" s="329"/>
      <c r="H119" s="333"/>
      <c r="I119" s="333"/>
      <c r="J119" s="329"/>
      <c r="K119" s="333"/>
      <c r="L119" s="333"/>
      <c r="M119" s="329"/>
      <c r="N119" s="333"/>
      <c r="O119" s="333"/>
      <c r="P119" s="329"/>
      <c r="Q119" s="333"/>
      <c r="R119" s="333"/>
      <c r="S119" s="329"/>
      <c r="T119" s="333"/>
      <c r="U119" s="333"/>
      <c r="V119" s="329"/>
      <c r="W119" s="333"/>
      <c r="X119" s="333"/>
      <c r="Y119" s="329"/>
      <c r="Z119" s="333"/>
      <c r="AA119" s="333"/>
      <c r="AB119" s="329"/>
      <c r="AC119" s="333"/>
      <c r="AD119" s="333"/>
      <c r="AE119" s="329"/>
      <c r="AF119" s="333"/>
      <c r="AG119" s="333"/>
      <c r="AI119" s="333"/>
      <c r="AT119" s="403"/>
      <c r="AZ119" s="368"/>
      <c r="BA119" s="368"/>
    </row>
    <row r="120" spans="1:54">
      <c r="A120" s="316"/>
      <c r="B120" s="333"/>
      <c r="C120" s="333"/>
      <c r="D120" s="329"/>
      <c r="E120" s="333"/>
      <c r="F120" s="333"/>
      <c r="G120" s="329"/>
      <c r="H120" s="333"/>
      <c r="I120" s="333"/>
      <c r="J120" s="329"/>
      <c r="K120" s="333"/>
      <c r="L120" s="333"/>
      <c r="M120" s="329"/>
      <c r="N120" s="333"/>
      <c r="O120" s="333"/>
      <c r="P120" s="329"/>
      <c r="Q120" s="333"/>
      <c r="R120" s="333"/>
      <c r="S120" s="329"/>
      <c r="T120" s="333"/>
      <c r="U120" s="333"/>
      <c r="V120" s="329"/>
      <c r="W120" s="333"/>
      <c r="X120" s="333"/>
      <c r="Y120" s="329"/>
      <c r="Z120" s="333"/>
      <c r="AA120" s="333"/>
      <c r="AC120" s="333"/>
      <c r="AD120" s="333"/>
      <c r="AE120" s="329"/>
      <c r="AF120" s="333"/>
      <c r="AG120" s="333"/>
      <c r="AT120" s="403"/>
      <c r="AZ120" s="368"/>
      <c r="BA120" s="368"/>
    </row>
    <row r="121" spans="1:54">
      <c r="A121" s="316"/>
      <c r="B121" s="504"/>
      <c r="C121" s="504"/>
      <c r="D121" s="329"/>
      <c r="E121" s="508"/>
      <c r="F121" s="508"/>
      <c r="G121" s="329"/>
      <c r="H121" s="508"/>
      <c r="I121" s="508"/>
      <c r="J121" s="329"/>
      <c r="K121" s="508"/>
      <c r="L121" s="508"/>
      <c r="M121" s="329"/>
      <c r="N121" s="508"/>
      <c r="O121" s="508"/>
      <c r="P121" s="329"/>
      <c r="Q121" s="508"/>
      <c r="R121" s="508"/>
      <c r="S121" s="329"/>
      <c r="T121" s="508"/>
      <c r="U121" s="508"/>
      <c r="V121" s="329"/>
      <c r="W121" s="508"/>
      <c r="X121" s="508"/>
      <c r="Y121" s="329"/>
      <c r="Z121" s="504"/>
      <c r="AA121" s="504"/>
      <c r="AB121" s="329"/>
      <c r="AC121" s="504"/>
      <c r="AD121" s="504"/>
      <c r="AE121" s="505"/>
      <c r="AF121" s="505"/>
      <c r="AG121" s="505"/>
      <c r="AH121" s="505"/>
      <c r="AI121" s="503"/>
      <c r="AJ121" s="503"/>
      <c r="AL121" s="503"/>
      <c r="AM121" s="503"/>
      <c r="AO121" s="503"/>
      <c r="AP121" s="503"/>
      <c r="AT121" s="403"/>
      <c r="AZ121" s="368"/>
      <c r="BA121" s="368"/>
    </row>
    <row r="122" spans="1:54">
      <c r="A122" s="316"/>
      <c r="B122" s="320"/>
      <c r="C122" s="322"/>
      <c r="D122" s="331"/>
      <c r="E122" s="320"/>
      <c r="F122" s="322"/>
      <c r="G122" s="331"/>
      <c r="H122" s="320"/>
      <c r="I122" s="322"/>
      <c r="J122" s="331"/>
      <c r="K122" s="320"/>
      <c r="L122" s="322"/>
      <c r="M122" s="331"/>
      <c r="N122" s="320"/>
      <c r="O122" s="322"/>
      <c r="P122" s="331"/>
      <c r="Q122" s="320"/>
      <c r="R122" s="322"/>
      <c r="S122" s="331"/>
      <c r="T122" s="320"/>
      <c r="U122" s="322"/>
      <c r="V122" s="331"/>
      <c r="W122" s="320"/>
      <c r="X122" s="322"/>
      <c r="Y122" s="331"/>
      <c r="Z122" s="320"/>
      <c r="AA122" s="322"/>
      <c r="AB122" s="333"/>
      <c r="AC122" s="320"/>
      <c r="AD122" s="322"/>
      <c r="AE122" s="331"/>
      <c r="AF122" s="320"/>
      <c r="AG122" s="322"/>
      <c r="AH122" s="339"/>
      <c r="AI122" s="320"/>
      <c r="AJ122" s="322"/>
      <c r="AK122" s="339"/>
      <c r="AL122" s="320"/>
      <c r="AM122" s="322"/>
      <c r="AN122" s="339"/>
      <c r="AO122" s="320"/>
      <c r="AP122" s="322"/>
      <c r="AQ122" s="339"/>
      <c r="AR122" s="339"/>
      <c r="AS122" s="339"/>
      <c r="AT122" s="405"/>
      <c r="AZ122" s="368"/>
      <c r="BA122" s="368"/>
    </row>
    <row r="123" spans="1:54">
      <c r="A123" s="316"/>
      <c r="B123" s="351"/>
      <c r="C123" s="351"/>
      <c r="D123" s="331"/>
      <c r="E123" s="351"/>
      <c r="F123" s="351"/>
      <c r="G123" s="331"/>
      <c r="H123" s="351"/>
      <c r="I123" s="351"/>
      <c r="J123" s="331"/>
      <c r="K123" s="351"/>
      <c r="L123" s="351"/>
      <c r="M123" s="331"/>
      <c r="N123" s="351"/>
      <c r="O123" s="351"/>
      <c r="P123" s="331"/>
      <c r="Q123" s="351"/>
      <c r="R123" s="351"/>
      <c r="S123" s="331"/>
      <c r="T123" s="351"/>
      <c r="U123" s="351"/>
      <c r="V123" s="331"/>
      <c r="W123" s="351"/>
      <c r="X123" s="351"/>
      <c r="Y123" s="329"/>
      <c r="Z123" s="351"/>
      <c r="AA123" s="351"/>
      <c r="AB123" s="349"/>
      <c r="AC123" s="351"/>
      <c r="AD123" s="351"/>
      <c r="AE123" s="329"/>
      <c r="AF123" s="351"/>
      <c r="AG123" s="351"/>
      <c r="AH123" s="339"/>
      <c r="AI123" s="351"/>
      <c r="AJ123" s="351"/>
      <c r="AL123" s="351"/>
      <c r="AM123" s="351"/>
      <c r="AO123" s="351"/>
      <c r="AP123" s="351"/>
      <c r="AQ123" s="339"/>
      <c r="AR123" s="339"/>
      <c r="AS123" s="339"/>
      <c r="AT123" s="405"/>
      <c r="AV123" s="310">
        <v>14</v>
      </c>
      <c r="AW123" s="310">
        <v>14</v>
      </c>
      <c r="AX123" s="310">
        <v>14</v>
      </c>
      <c r="AY123" s="310">
        <v>10</v>
      </c>
      <c r="AZ123" s="369">
        <v>3.0545</v>
      </c>
      <c r="BA123" s="369">
        <v>3.0545</v>
      </c>
      <c r="BB123" s="350"/>
    </row>
    <row r="124" spans="1:54">
      <c r="A124" s="316"/>
      <c r="B124" s="509" t="s">
        <v>276</v>
      </c>
      <c r="C124" s="504"/>
      <c r="D124" s="331"/>
      <c r="E124" s="512" t="s">
        <v>277</v>
      </c>
      <c r="F124" s="507"/>
      <c r="G124" s="331"/>
      <c r="H124" s="507" t="s">
        <v>279</v>
      </c>
      <c r="I124" s="507"/>
      <c r="J124" s="331"/>
      <c r="K124" s="512" t="s">
        <v>280</v>
      </c>
      <c r="L124" s="507"/>
      <c r="M124" s="331"/>
      <c r="N124" s="512" t="s">
        <v>281</v>
      </c>
      <c r="O124" s="507"/>
      <c r="P124" s="331"/>
      <c r="Q124" s="512" t="s">
        <v>282</v>
      </c>
      <c r="R124" s="507"/>
      <c r="S124" s="331"/>
      <c r="T124" s="506" t="s">
        <v>283</v>
      </c>
      <c r="U124" s="507"/>
      <c r="V124" s="331"/>
      <c r="W124" s="506" t="s">
        <v>284</v>
      </c>
      <c r="X124" s="507"/>
      <c r="Y124" s="329"/>
      <c r="Z124" s="509" t="s">
        <v>285</v>
      </c>
      <c r="AA124" s="504"/>
      <c r="AB124" s="349"/>
      <c r="AC124" s="509" t="s">
        <v>675</v>
      </c>
      <c r="AD124" s="509"/>
      <c r="AE124" s="329"/>
      <c r="AF124" s="509" t="s">
        <v>288</v>
      </c>
      <c r="AG124" s="504"/>
      <c r="AH124" s="339"/>
      <c r="AI124" s="511" t="s">
        <v>290</v>
      </c>
      <c r="AJ124" s="503"/>
      <c r="AL124" s="503" t="s">
        <v>291</v>
      </c>
      <c r="AM124" s="503"/>
      <c r="AO124" s="503" t="s">
        <v>292</v>
      </c>
      <c r="AP124" s="503"/>
      <c r="AQ124" s="339"/>
      <c r="AR124" s="339"/>
      <c r="AS124" s="339"/>
      <c r="AT124" s="405"/>
      <c r="AZ124" s="368"/>
      <c r="BA124" s="368"/>
    </row>
    <row r="125" spans="1:54">
      <c r="A125" s="316"/>
      <c r="B125" s="504" t="s">
        <v>56</v>
      </c>
      <c r="C125" s="504"/>
      <c r="D125" s="329"/>
      <c r="E125" s="504" t="s">
        <v>37</v>
      </c>
      <c r="F125" s="504"/>
      <c r="G125" s="329"/>
      <c r="H125" s="504" t="s">
        <v>76</v>
      </c>
      <c r="I125" s="504"/>
      <c r="J125" s="329"/>
      <c r="K125" s="504" t="s">
        <v>42</v>
      </c>
      <c r="L125" s="504"/>
      <c r="M125" s="329"/>
      <c r="N125" s="504" t="s">
        <v>42</v>
      </c>
      <c r="O125" s="504"/>
      <c r="P125" s="329"/>
      <c r="Q125" s="504" t="s">
        <v>42</v>
      </c>
      <c r="R125" s="504"/>
      <c r="S125" s="329"/>
      <c r="T125" s="504" t="s">
        <v>42</v>
      </c>
      <c r="U125" s="504"/>
      <c r="V125" s="329"/>
      <c r="W125" s="510" t="s">
        <v>42</v>
      </c>
      <c r="X125" s="504"/>
      <c r="Y125" s="329"/>
      <c r="Z125" s="504" t="s">
        <v>42</v>
      </c>
      <c r="AA125" s="504"/>
      <c r="AB125" s="329"/>
      <c r="AC125" s="504" t="s">
        <v>76</v>
      </c>
      <c r="AD125" s="504"/>
      <c r="AE125" s="329"/>
      <c r="AF125" s="504" t="s">
        <v>56</v>
      </c>
      <c r="AG125" s="504"/>
      <c r="AI125" s="511" t="s">
        <v>39</v>
      </c>
      <c r="AJ125" s="503"/>
      <c r="AL125" s="503" t="s">
        <v>42</v>
      </c>
      <c r="AM125" s="503"/>
      <c r="AO125" s="503" t="s">
        <v>42</v>
      </c>
      <c r="AP125" s="503"/>
      <c r="AT125" s="403"/>
      <c r="AZ125" s="368"/>
      <c r="BA125" s="368"/>
    </row>
    <row r="126" spans="1:54">
      <c r="B126" s="328"/>
      <c r="C126" s="328"/>
      <c r="D126" s="329">
        <v>346</v>
      </c>
      <c r="E126" s="328"/>
      <c r="F126" s="328"/>
      <c r="G126" s="329">
        <v>375.6</v>
      </c>
      <c r="H126" s="328"/>
      <c r="I126" s="328"/>
      <c r="J126" s="329">
        <v>341.7</v>
      </c>
      <c r="K126" s="328"/>
      <c r="L126" s="328"/>
      <c r="M126" s="329">
        <v>321.5</v>
      </c>
      <c r="N126" s="328"/>
      <c r="O126" s="328"/>
      <c r="P126" s="329">
        <v>312.39999999999998</v>
      </c>
      <c r="Q126" s="328"/>
      <c r="R126" s="328"/>
      <c r="S126" s="329">
        <v>358.4</v>
      </c>
      <c r="T126" s="328"/>
      <c r="U126" s="328"/>
      <c r="V126" s="329">
        <v>319.2</v>
      </c>
      <c r="W126" s="342"/>
      <c r="X126" s="328"/>
      <c r="Y126" s="329">
        <v>342.4</v>
      </c>
      <c r="Z126" s="328"/>
      <c r="AA126" s="328"/>
      <c r="AB126" s="329">
        <v>337.3</v>
      </c>
      <c r="AC126" s="328"/>
      <c r="AD126" s="328"/>
      <c r="AE126" s="329">
        <v>371.8</v>
      </c>
      <c r="AF126" s="328"/>
      <c r="AG126" s="328"/>
      <c r="AH126" s="304">
        <v>371.5</v>
      </c>
      <c r="AI126" s="341"/>
      <c r="AJ126" s="313"/>
      <c r="AK126" s="304">
        <v>303</v>
      </c>
      <c r="AL126" s="313"/>
      <c r="AM126" s="313"/>
      <c r="AN126" s="304">
        <v>303</v>
      </c>
      <c r="AO126" s="313"/>
      <c r="AP126" s="313"/>
      <c r="AQ126" s="304">
        <v>280</v>
      </c>
      <c r="AT126" s="403">
        <f>SUM(B126:AQ126)</f>
        <v>4683.8</v>
      </c>
      <c r="AZ126" s="366"/>
      <c r="BA126" s="366"/>
    </row>
    <row r="127" spans="1:54">
      <c r="B127" s="394" t="s">
        <v>575</v>
      </c>
      <c r="C127" s="394"/>
      <c r="D127" s="393"/>
      <c r="E127" s="394" t="s">
        <v>575</v>
      </c>
      <c r="F127" s="394"/>
      <c r="G127" s="393"/>
      <c r="H127" s="394" t="s">
        <v>575</v>
      </c>
      <c r="I127" s="394"/>
      <c r="J127" s="393"/>
      <c r="K127" s="394" t="s">
        <v>575</v>
      </c>
      <c r="L127" s="394"/>
      <c r="M127" s="393"/>
      <c r="N127" s="394" t="s">
        <v>575</v>
      </c>
      <c r="O127" s="394"/>
      <c r="P127" s="393"/>
      <c r="Q127" s="394" t="s">
        <v>575</v>
      </c>
      <c r="R127" s="394"/>
      <c r="S127" s="393"/>
      <c r="T127" s="394" t="s">
        <v>575</v>
      </c>
      <c r="U127" s="394"/>
      <c r="V127" s="393"/>
      <c r="W127" s="394" t="s">
        <v>575</v>
      </c>
      <c r="X127" s="394"/>
      <c r="Y127" s="393"/>
      <c r="Z127" s="394" t="s">
        <v>575</v>
      </c>
      <c r="AA127" s="394"/>
      <c r="AB127" s="393"/>
      <c r="AC127" s="394" t="s">
        <v>575</v>
      </c>
      <c r="AD127" s="394"/>
      <c r="AE127" s="393"/>
      <c r="AF127" s="394" t="s">
        <v>575</v>
      </c>
      <c r="AG127" s="394"/>
      <c r="AH127" s="396"/>
      <c r="AI127" s="394" t="s">
        <v>575</v>
      </c>
      <c r="AJ127" s="397"/>
      <c r="AK127" s="396"/>
      <c r="AL127" s="394" t="s">
        <v>575</v>
      </c>
      <c r="AM127" s="397"/>
      <c r="AN127" s="396"/>
      <c r="AO127" s="394" t="s">
        <v>575</v>
      </c>
      <c r="AP127" s="397"/>
      <c r="AT127" s="403"/>
      <c r="AZ127" s="368"/>
      <c r="BA127" s="368"/>
    </row>
    <row r="128" spans="1:54">
      <c r="B128" s="333"/>
      <c r="C128" s="333"/>
      <c r="D128" s="329"/>
      <c r="E128" s="333"/>
      <c r="F128" s="333"/>
      <c r="G128" s="329"/>
      <c r="H128" s="333"/>
      <c r="I128" s="333"/>
      <c r="J128" s="329"/>
      <c r="K128" s="333"/>
      <c r="L128" s="333"/>
      <c r="M128" s="329"/>
      <c r="N128" s="333"/>
      <c r="O128" s="333"/>
      <c r="P128" s="329"/>
      <c r="Q128" s="333"/>
      <c r="R128" s="333"/>
      <c r="S128" s="329"/>
      <c r="T128" s="333"/>
      <c r="U128" s="333"/>
      <c r="V128" s="329"/>
      <c r="W128" s="333"/>
      <c r="X128" s="333"/>
      <c r="Y128" s="329"/>
      <c r="Z128" s="333"/>
      <c r="AA128" s="333"/>
      <c r="AB128" s="329"/>
      <c r="AC128" s="333"/>
      <c r="AD128" s="333"/>
      <c r="AE128" s="329"/>
      <c r="AF128" s="333"/>
      <c r="AG128" s="333"/>
      <c r="AH128" s="329"/>
      <c r="AT128" s="403"/>
      <c r="AZ128" s="368"/>
      <c r="BA128" s="368"/>
    </row>
    <row r="129" spans="2:54">
      <c r="B129" s="333"/>
      <c r="C129" s="333"/>
      <c r="D129" s="329"/>
      <c r="E129" s="333"/>
      <c r="F129" s="333"/>
      <c r="G129" s="329"/>
      <c r="H129" s="333"/>
      <c r="I129" s="333"/>
      <c r="J129" s="329"/>
      <c r="K129" s="333"/>
      <c r="L129" s="333"/>
      <c r="M129" s="329"/>
      <c r="N129" s="333"/>
      <c r="O129" s="333"/>
      <c r="P129" s="329"/>
      <c r="Q129" s="333"/>
      <c r="R129" s="333"/>
      <c r="S129" s="329"/>
      <c r="T129" s="333"/>
      <c r="U129" s="333"/>
      <c r="V129" s="329"/>
      <c r="W129" s="333"/>
      <c r="X129" s="333"/>
      <c r="Y129" s="329"/>
      <c r="Z129" s="333"/>
      <c r="AA129" s="333"/>
      <c r="AC129" s="333"/>
      <c r="AD129" s="333"/>
      <c r="AE129" s="329"/>
      <c r="AF129" s="333"/>
      <c r="AG129" s="333"/>
      <c r="AT129" s="403"/>
      <c r="AZ129" s="368"/>
      <c r="BA129" s="368"/>
    </row>
    <row r="130" spans="2:54">
      <c r="B130" s="504"/>
      <c r="C130" s="504"/>
      <c r="D130" s="329"/>
      <c r="E130" s="504"/>
      <c r="F130" s="504"/>
      <c r="G130" s="329"/>
      <c r="H130" s="504"/>
      <c r="I130" s="504"/>
      <c r="J130" s="329"/>
      <c r="K130" s="504"/>
      <c r="L130" s="504"/>
      <c r="M130" s="329"/>
      <c r="N130" s="504"/>
      <c r="O130" s="504"/>
      <c r="P130" s="329"/>
      <c r="Q130" s="504"/>
      <c r="R130" s="504"/>
      <c r="S130" s="329"/>
      <c r="T130" s="504"/>
      <c r="U130" s="504"/>
      <c r="V130" s="329"/>
      <c r="W130" s="504"/>
      <c r="X130" s="504"/>
      <c r="Y130" s="329"/>
      <c r="Z130" s="504"/>
      <c r="AA130" s="504"/>
      <c r="AB130" s="329"/>
      <c r="AC130" s="504"/>
      <c r="AD130" s="504"/>
      <c r="AE130" s="505"/>
      <c r="AF130" s="505"/>
      <c r="AG130" s="505"/>
      <c r="AH130" s="505"/>
      <c r="AI130" s="503"/>
      <c r="AJ130" s="503"/>
      <c r="AL130" s="503"/>
      <c r="AM130" s="503"/>
      <c r="AO130" s="503"/>
      <c r="AP130" s="503"/>
      <c r="AT130" s="403"/>
      <c r="AZ130" s="368"/>
      <c r="BA130" s="368"/>
    </row>
    <row r="131" spans="2:54">
      <c r="B131" s="336"/>
      <c r="C131" s="336"/>
      <c r="D131" s="331"/>
      <c r="E131" s="400"/>
      <c r="F131" s="336"/>
      <c r="G131" s="333"/>
      <c r="H131" s="400"/>
      <c r="I131" s="336"/>
      <c r="J131" s="331"/>
      <c r="K131" s="400"/>
      <c r="L131" s="336"/>
      <c r="M131" s="331"/>
      <c r="N131" s="333"/>
      <c r="O131" s="333"/>
      <c r="P131" s="331"/>
      <c r="Q131" s="334"/>
      <c r="R131" s="333"/>
      <c r="S131" s="331"/>
      <c r="T131" s="333"/>
      <c r="U131" s="333"/>
      <c r="V131" s="331"/>
      <c r="W131" s="333"/>
      <c r="X131" s="333"/>
      <c r="Y131" s="331"/>
      <c r="Z131" s="333"/>
      <c r="AA131" s="333"/>
      <c r="AB131" s="333"/>
      <c r="AC131" s="333"/>
      <c r="AD131" s="333"/>
      <c r="AE131" s="331"/>
      <c r="AF131" s="333"/>
      <c r="AG131" s="333"/>
      <c r="AH131" s="339"/>
      <c r="AI131" s="333"/>
      <c r="AJ131" s="333"/>
      <c r="AK131" s="339"/>
      <c r="AL131" s="333"/>
      <c r="AM131" s="333"/>
      <c r="AN131" s="339"/>
      <c r="AO131" s="333"/>
      <c r="AP131" s="333"/>
      <c r="AQ131" s="339"/>
      <c r="AR131" s="339"/>
      <c r="AS131" s="339"/>
      <c r="AT131" s="405"/>
      <c r="AZ131" s="368"/>
      <c r="BA131" s="368"/>
    </row>
    <row r="132" spans="2:54">
      <c r="B132" s="336"/>
      <c r="C132" s="336"/>
      <c r="D132" s="331"/>
      <c r="E132" s="400"/>
      <c r="F132" s="336"/>
      <c r="G132" s="333"/>
      <c r="H132" s="400"/>
      <c r="I132" s="336"/>
      <c r="J132" s="331"/>
      <c r="K132" s="400"/>
      <c r="L132" s="336"/>
      <c r="M132" s="331"/>
      <c r="N132" s="345"/>
      <c r="O132" s="344"/>
      <c r="P132" s="331"/>
      <c r="Q132" s="345"/>
      <c r="R132" s="344"/>
      <c r="S132" s="331"/>
      <c r="T132" s="345"/>
      <c r="U132" s="344"/>
      <c r="V132" s="331"/>
      <c r="W132" s="334"/>
      <c r="X132" s="333"/>
      <c r="Y132" s="329"/>
      <c r="Z132" s="334"/>
      <c r="AA132" s="333"/>
      <c r="AB132" s="333"/>
      <c r="AC132" s="334"/>
      <c r="AD132" s="333"/>
      <c r="AE132" s="329"/>
      <c r="AF132" s="334"/>
      <c r="AG132" s="333"/>
      <c r="AI132" s="334"/>
      <c r="AJ132" s="333"/>
      <c r="AL132" s="334"/>
      <c r="AM132" s="333"/>
      <c r="AO132" s="334"/>
      <c r="AP132" s="333"/>
      <c r="AT132" s="403"/>
      <c r="AV132" s="310"/>
      <c r="AW132" s="310"/>
      <c r="AX132" s="310"/>
      <c r="AY132" s="310"/>
      <c r="AZ132" s="370"/>
      <c r="BA132" s="370"/>
    </row>
    <row r="133" spans="2:54">
      <c r="B133" s="507" t="s">
        <v>294</v>
      </c>
      <c r="C133" s="507"/>
      <c r="D133" s="331"/>
      <c r="E133" s="539" t="s">
        <v>709</v>
      </c>
      <c r="F133" s="539"/>
      <c r="G133" s="401"/>
      <c r="H133" s="539" t="s">
        <v>295</v>
      </c>
      <c r="I133" s="539"/>
      <c r="J133" s="331"/>
      <c r="K133" s="540" t="s">
        <v>710</v>
      </c>
      <c r="L133" s="540"/>
      <c r="M133" s="331"/>
      <c r="N133" s="345"/>
      <c r="O133" s="344"/>
      <c r="P133" s="331"/>
      <c r="Q133" s="345"/>
      <c r="R133" s="344"/>
      <c r="S133" s="331"/>
      <c r="T133" s="345"/>
      <c r="U133" s="344"/>
      <c r="V133" s="331"/>
      <c r="W133" s="334"/>
      <c r="X133" s="333"/>
      <c r="Y133" s="329"/>
      <c r="Z133" s="334"/>
      <c r="AA133" s="333"/>
      <c r="AB133" s="333"/>
      <c r="AC133" s="334"/>
      <c r="AD133" s="333"/>
      <c r="AE133" s="329"/>
      <c r="AF133" s="334"/>
      <c r="AG133" s="333"/>
      <c r="AI133" s="334"/>
      <c r="AJ133" s="333"/>
      <c r="AL133" s="334"/>
      <c r="AM133" s="333"/>
      <c r="AO133" s="334"/>
      <c r="AP133" s="333"/>
      <c r="AT133" s="403"/>
      <c r="AV133" s="304"/>
      <c r="AW133" s="304"/>
      <c r="AX133" s="304"/>
      <c r="AY133" s="304"/>
      <c r="AZ133" s="304"/>
    </row>
    <row r="134" spans="2:54">
      <c r="B134" s="504" t="s">
        <v>81</v>
      </c>
      <c r="C134" s="504"/>
      <c r="D134" s="331"/>
      <c r="E134" s="500" t="s">
        <v>260</v>
      </c>
      <c r="F134" s="500"/>
      <c r="G134" s="333"/>
      <c r="H134" s="500" t="s">
        <v>260</v>
      </c>
      <c r="I134" s="500"/>
      <c r="J134" s="331"/>
      <c r="K134" s="500" t="s">
        <v>260</v>
      </c>
      <c r="L134" s="500"/>
      <c r="M134" s="331"/>
      <c r="N134" s="345"/>
      <c r="O134" s="344"/>
      <c r="P134" s="331"/>
      <c r="Q134" s="345"/>
      <c r="R134" s="344"/>
      <c r="S134" s="331"/>
      <c r="T134" s="345"/>
      <c r="U134" s="344"/>
      <c r="V134" s="331"/>
      <c r="W134" s="334"/>
      <c r="X134" s="333"/>
      <c r="Y134" s="329"/>
      <c r="Z134" s="334"/>
      <c r="AA134" s="333"/>
      <c r="AB134" s="333"/>
      <c r="AC134" s="334"/>
      <c r="AD134" s="333"/>
      <c r="AE134" s="329"/>
      <c r="AF134" s="334"/>
      <c r="AG134" s="333"/>
      <c r="AI134" s="334"/>
      <c r="AJ134" s="333"/>
      <c r="AL134" s="334"/>
      <c r="AM134" s="333"/>
      <c r="AO134" s="334"/>
      <c r="AP134" s="333"/>
      <c r="AT134" s="403"/>
      <c r="AV134" s="304"/>
      <c r="AW134" s="304"/>
      <c r="AX134" s="304"/>
      <c r="AY134" s="304"/>
      <c r="AZ134" s="304"/>
    </row>
    <row r="135" spans="2:54">
      <c r="B135" s="328"/>
      <c r="C135" s="328"/>
      <c r="D135" s="329">
        <v>373.16</v>
      </c>
      <c r="E135" s="328"/>
      <c r="F135" s="328">
        <v>159.04</v>
      </c>
      <c r="G135" s="329"/>
      <c r="H135" s="328">
        <v>236.01</v>
      </c>
      <c r="I135" s="328"/>
      <c r="J135" s="329">
        <v>49.95</v>
      </c>
      <c r="K135" s="328"/>
      <c r="L135" s="328"/>
      <c r="M135" s="329"/>
      <c r="N135" s="345"/>
      <c r="O135" s="344"/>
      <c r="P135" s="331"/>
      <c r="Q135" s="345"/>
      <c r="R135" s="344"/>
      <c r="S135" s="331"/>
      <c r="T135" s="345"/>
      <c r="U135" s="344"/>
      <c r="V135" s="331"/>
      <c r="W135" s="334"/>
      <c r="X135" s="333"/>
      <c r="Y135" s="329"/>
      <c r="Z135" s="334"/>
      <c r="AA135" s="333"/>
      <c r="AB135" s="333"/>
      <c r="AC135" s="334"/>
      <c r="AD135" s="333"/>
      <c r="AE135" s="329"/>
      <c r="AF135" s="334"/>
      <c r="AG135" s="333"/>
      <c r="AI135" s="334"/>
      <c r="AJ135" s="333"/>
      <c r="AL135" s="334"/>
      <c r="AM135" s="333"/>
      <c r="AO135" s="334"/>
      <c r="AP135" s="333"/>
      <c r="AT135" s="403">
        <f>SUM(B135:L135)</f>
        <v>818.16000000000008</v>
      </c>
      <c r="AV135" s="304"/>
      <c r="AW135" s="304"/>
      <c r="AX135" s="304"/>
      <c r="AY135" s="304"/>
      <c r="AZ135" s="304"/>
    </row>
    <row r="136" spans="2:54" ht="16" thickBot="1">
      <c r="B136" s="398" t="s">
        <v>575</v>
      </c>
      <c r="C136" s="398"/>
      <c r="D136" s="399"/>
      <c r="E136" s="398" t="s">
        <v>575</v>
      </c>
      <c r="F136" s="411"/>
      <c r="G136" s="399"/>
      <c r="H136" s="398" t="s">
        <v>575</v>
      </c>
      <c r="I136" s="398"/>
      <c r="J136" s="399"/>
      <c r="K136" s="398" t="s">
        <v>575</v>
      </c>
      <c r="L136" s="411"/>
      <c r="M136" s="329"/>
      <c r="N136" s="340"/>
      <c r="O136" s="340"/>
      <c r="P136" s="343"/>
      <c r="Q136" s="340"/>
      <c r="R136" s="340"/>
      <c r="S136" s="343"/>
      <c r="T136" s="340"/>
      <c r="U136" s="340"/>
      <c r="V136" s="343"/>
      <c r="W136" s="342"/>
      <c r="X136" s="328"/>
      <c r="Y136" s="329"/>
      <c r="Z136" s="328"/>
      <c r="AA136" s="328"/>
      <c r="AB136" s="329"/>
      <c r="AC136" s="328"/>
      <c r="AD136" s="328"/>
      <c r="AE136" s="329"/>
      <c r="AF136" s="328"/>
      <c r="AG136" s="328"/>
      <c r="AI136" s="341"/>
      <c r="AJ136" s="313"/>
      <c r="AL136" s="313"/>
      <c r="AM136" s="313"/>
      <c r="AO136" s="313"/>
      <c r="AP136" s="313"/>
      <c r="AT136" s="402">
        <f>SUM(AT3:AT135)/1000</f>
        <v>65.03246</v>
      </c>
    </row>
    <row r="137" spans="2:54" ht="15" customHeight="1" thickBot="1">
      <c r="B137" s="518" t="s">
        <v>638</v>
      </c>
      <c r="C137" s="519"/>
      <c r="D137" s="516"/>
      <c r="E137" s="516"/>
      <c r="F137" s="516"/>
      <c r="G137" s="516"/>
      <c r="H137" s="516"/>
      <c r="I137" s="516"/>
      <c r="J137" s="516"/>
      <c r="K137" s="516"/>
      <c r="L137" s="517"/>
      <c r="M137" s="326"/>
      <c r="N137" s="515" t="s">
        <v>639</v>
      </c>
      <c r="O137" s="516"/>
      <c r="P137" s="516"/>
      <c r="Q137" s="516"/>
      <c r="R137" s="516"/>
      <c r="S137" s="516"/>
      <c r="T137" s="516"/>
      <c r="U137" s="516"/>
      <c r="V137" s="517"/>
      <c r="W137" s="608" t="s">
        <v>676</v>
      </c>
      <c r="X137" s="609"/>
      <c r="Y137" s="609"/>
      <c r="Z137" s="609"/>
      <c r="AA137" s="609"/>
      <c r="AB137" s="609"/>
      <c r="AC137" s="609"/>
      <c r="AD137" s="609"/>
      <c r="AE137" s="609"/>
      <c r="AF137" s="609"/>
      <c r="AG137" s="609"/>
      <c r="AH137" s="609"/>
      <c r="AI137" s="609"/>
      <c r="AJ137" s="609"/>
      <c r="AK137" s="609"/>
      <c r="AL137" s="609"/>
      <c r="AM137" s="609"/>
      <c r="AN137" s="554"/>
      <c r="AO137" s="554"/>
      <c r="AP137" s="554"/>
      <c r="AQ137" s="555"/>
      <c r="AR137" s="555"/>
      <c r="AS137" s="555"/>
      <c r="AT137" s="556"/>
      <c r="AV137" s="310">
        <f t="shared" ref="AV137:BA137" si="0">AV6+AV15+AV24+AV33+AV42+AV51+AV60+AV69+AV78+AV87+AV96+AV105+AV114+AV123+AV132</f>
        <v>196</v>
      </c>
      <c r="AW137" s="310">
        <f t="shared" si="0"/>
        <v>196</v>
      </c>
      <c r="AX137" s="310">
        <f t="shared" si="0"/>
        <v>195</v>
      </c>
      <c r="AY137" s="310">
        <f t="shared" si="0"/>
        <v>168</v>
      </c>
      <c r="AZ137" s="310">
        <f t="shared" si="0"/>
        <v>54.053300000000007</v>
      </c>
      <c r="BA137" s="310">
        <f t="shared" si="0"/>
        <v>54.053300000000007</v>
      </c>
      <c r="BB137" s="310">
        <v>39</v>
      </c>
    </row>
    <row r="138" spans="2:54" ht="15" customHeight="1">
      <c r="B138" s="316"/>
      <c r="O138" s="325"/>
      <c r="P138" s="324"/>
      <c r="V138" s="309"/>
      <c r="W138" s="610"/>
      <c r="X138" s="611"/>
      <c r="Y138" s="611"/>
      <c r="Z138" s="611"/>
      <c r="AA138" s="611"/>
      <c r="AB138" s="611"/>
      <c r="AC138" s="611"/>
      <c r="AD138" s="611"/>
      <c r="AE138" s="611"/>
      <c r="AF138" s="611"/>
      <c r="AG138" s="611"/>
      <c r="AH138" s="611"/>
      <c r="AI138" s="611"/>
      <c r="AJ138" s="611"/>
      <c r="AK138" s="611"/>
      <c r="AL138" s="611"/>
      <c r="AM138" s="611"/>
      <c r="AN138" s="557"/>
      <c r="AO138" s="557"/>
      <c r="AP138" s="557"/>
      <c r="AQ138" s="558"/>
      <c r="AR138" s="558"/>
      <c r="AS138" s="558"/>
      <c r="AT138" s="559"/>
    </row>
    <row r="139" spans="2:54">
      <c r="B139" s="522" t="s">
        <v>475</v>
      </c>
      <c r="C139" s="523"/>
      <c r="D139" s="524"/>
      <c r="F139" s="585" t="s">
        <v>641</v>
      </c>
      <c r="G139" s="585"/>
      <c r="I139" s="586" t="s">
        <v>642</v>
      </c>
      <c r="J139" s="586"/>
      <c r="N139" s="588" t="s">
        <v>643</v>
      </c>
      <c r="O139" s="588"/>
      <c r="P139" s="525"/>
      <c r="R139" s="596" t="s">
        <v>644</v>
      </c>
      <c r="S139" s="597"/>
      <c r="T139" s="602"/>
      <c r="U139" s="603"/>
      <c r="V139" s="309"/>
      <c r="W139" s="572" t="s">
        <v>2</v>
      </c>
      <c r="X139" s="573"/>
      <c r="Y139" s="574" t="s">
        <v>356</v>
      </c>
      <c r="Z139" s="574"/>
      <c r="AA139" s="574"/>
      <c r="AB139" s="574"/>
      <c r="AC139" s="574" t="s">
        <v>645</v>
      </c>
      <c r="AD139" s="574"/>
      <c r="AE139" s="574" t="s">
        <v>646</v>
      </c>
      <c r="AF139" s="574"/>
      <c r="AG139" s="574"/>
      <c r="AH139" s="574" t="s">
        <v>32</v>
      </c>
      <c r="AI139" s="574"/>
      <c r="AJ139" s="574"/>
      <c r="AK139" s="574" t="s">
        <v>372</v>
      </c>
      <c r="AL139" s="574"/>
      <c r="AM139" s="574"/>
      <c r="AN139" s="574" t="s">
        <v>15</v>
      </c>
      <c r="AO139" s="574"/>
      <c r="AP139" s="574"/>
      <c r="AQ139" s="578"/>
      <c r="AR139" s="578"/>
      <c r="AS139" s="578"/>
      <c r="AT139" s="579"/>
    </row>
    <row r="140" spans="2:54">
      <c r="B140" s="316"/>
      <c r="N140" s="588"/>
      <c r="O140" s="588"/>
      <c r="P140" s="525"/>
      <c r="R140" s="598"/>
      <c r="S140" s="599"/>
      <c r="T140" s="604"/>
      <c r="U140" s="605"/>
      <c r="V140" s="309"/>
      <c r="W140" s="575">
        <v>1</v>
      </c>
      <c r="X140" s="576"/>
      <c r="Y140" s="577" t="s">
        <v>376</v>
      </c>
      <c r="Z140" s="577"/>
      <c r="AA140" s="577"/>
      <c r="AB140" s="577"/>
      <c r="AC140" s="568" t="s">
        <v>377</v>
      </c>
      <c r="AD140" s="568"/>
      <c r="AE140" s="571">
        <v>65.03</v>
      </c>
      <c r="AF140" s="568"/>
      <c r="AG140" s="568"/>
      <c r="AH140" s="571">
        <v>65.03</v>
      </c>
      <c r="AI140" s="568"/>
      <c r="AJ140" s="568"/>
      <c r="AK140" s="571">
        <f>AE140-AH140</f>
        <v>0</v>
      </c>
      <c r="AL140" s="571"/>
      <c r="AM140" s="571"/>
      <c r="AN140" s="568"/>
      <c r="AO140" s="568"/>
      <c r="AP140" s="568"/>
      <c r="AQ140" s="569"/>
      <c r="AR140" s="569"/>
      <c r="AS140" s="569"/>
      <c r="AT140" s="570"/>
    </row>
    <row r="141" spans="2:54">
      <c r="B141" s="526" t="s">
        <v>473</v>
      </c>
      <c r="C141" s="527"/>
      <c r="D141" s="528"/>
      <c r="N141" s="588" t="s">
        <v>647</v>
      </c>
      <c r="O141" s="588"/>
      <c r="P141" s="525"/>
      <c r="R141" s="598"/>
      <c r="S141" s="599"/>
      <c r="T141" s="604"/>
      <c r="U141" s="605"/>
      <c r="V141" s="309"/>
      <c r="W141" s="575">
        <v>2</v>
      </c>
      <c r="X141" s="576"/>
      <c r="Y141" s="577" t="s">
        <v>378</v>
      </c>
      <c r="Z141" s="577"/>
      <c r="AA141" s="577"/>
      <c r="AB141" s="577"/>
      <c r="AC141" s="568" t="s">
        <v>377</v>
      </c>
      <c r="AD141" s="568"/>
      <c r="AE141" s="571">
        <v>65.03</v>
      </c>
      <c r="AF141" s="568"/>
      <c r="AG141" s="568"/>
      <c r="AH141" s="571">
        <v>65.03</v>
      </c>
      <c r="AI141" s="568"/>
      <c r="AJ141" s="568"/>
      <c r="AK141" s="571">
        <f t="shared" ref="AK141:AK148" si="1">AE141-AH141</f>
        <v>0</v>
      </c>
      <c r="AL141" s="571"/>
      <c r="AM141" s="571"/>
      <c r="AN141" s="568"/>
      <c r="AO141" s="568"/>
      <c r="AP141" s="568"/>
      <c r="AQ141" s="569"/>
      <c r="AR141" s="569"/>
      <c r="AS141" s="569"/>
      <c r="AT141" s="570"/>
    </row>
    <row r="142" spans="2:54">
      <c r="B142" s="316"/>
      <c r="F142" s="304"/>
      <c r="G142" s="303"/>
      <c r="N142" s="588"/>
      <c r="O142" s="588"/>
      <c r="P142" s="525"/>
      <c r="R142" s="600"/>
      <c r="S142" s="601"/>
      <c r="T142" s="606"/>
      <c r="U142" s="607"/>
      <c r="V142" s="309"/>
      <c r="W142" s="575">
        <v>3</v>
      </c>
      <c r="X142" s="576"/>
      <c r="Y142" s="577" t="s">
        <v>379</v>
      </c>
      <c r="Z142" s="577"/>
      <c r="AA142" s="577"/>
      <c r="AB142" s="577"/>
      <c r="AC142" s="568" t="s">
        <v>648</v>
      </c>
      <c r="AD142" s="568"/>
      <c r="AE142" s="568">
        <v>201</v>
      </c>
      <c r="AF142" s="568"/>
      <c r="AG142" s="568"/>
      <c r="AH142" s="568">
        <f>+AV137</f>
        <v>196</v>
      </c>
      <c r="AI142" s="568"/>
      <c r="AJ142" s="568"/>
      <c r="AK142" s="571">
        <f t="shared" si="1"/>
        <v>5</v>
      </c>
      <c r="AL142" s="571"/>
      <c r="AM142" s="571"/>
      <c r="AN142" s="568"/>
      <c r="AO142" s="568"/>
      <c r="AP142" s="568"/>
      <c r="AQ142" s="569"/>
      <c r="AR142" s="569"/>
      <c r="AS142" s="569"/>
      <c r="AT142" s="570"/>
    </row>
    <row r="143" spans="2:54">
      <c r="B143" s="316"/>
      <c r="E143" s="501"/>
      <c r="F143" s="501"/>
      <c r="H143" s="551"/>
      <c r="I143" s="551"/>
      <c r="K143" s="501"/>
      <c r="L143" s="501"/>
      <c r="N143" s="588" t="s">
        <v>649</v>
      </c>
      <c r="O143" s="588"/>
      <c r="P143" s="525"/>
      <c r="R143" s="596" t="s">
        <v>453</v>
      </c>
      <c r="S143" s="597"/>
      <c r="T143" s="602"/>
      <c r="U143" s="603"/>
      <c r="V143" s="309"/>
      <c r="W143" s="575">
        <v>4</v>
      </c>
      <c r="X143" s="576"/>
      <c r="Y143" s="577" t="s">
        <v>381</v>
      </c>
      <c r="Z143" s="577"/>
      <c r="AA143" s="577"/>
      <c r="AB143" s="577"/>
      <c r="AC143" s="568" t="s">
        <v>648</v>
      </c>
      <c r="AD143" s="568"/>
      <c r="AE143" s="568">
        <v>201</v>
      </c>
      <c r="AF143" s="568"/>
      <c r="AG143" s="568"/>
      <c r="AH143" s="568">
        <f>AW137</f>
        <v>196</v>
      </c>
      <c r="AI143" s="568"/>
      <c r="AJ143" s="568"/>
      <c r="AK143" s="571">
        <f t="shared" si="1"/>
        <v>5</v>
      </c>
      <c r="AL143" s="571"/>
      <c r="AM143" s="571"/>
      <c r="AN143" s="568"/>
      <c r="AO143" s="568"/>
      <c r="AP143" s="568"/>
      <c r="AQ143" s="569"/>
      <c r="AR143" s="569"/>
      <c r="AS143" s="569"/>
      <c r="AT143" s="570"/>
    </row>
    <row r="144" spans="2:54">
      <c r="B144" s="315"/>
      <c r="C144" s="314"/>
      <c r="D144" s="323"/>
      <c r="E144" s="320"/>
      <c r="F144" s="322"/>
      <c r="G144" s="311"/>
      <c r="H144" s="318"/>
      <c r="I144" s="318"/>
      <c r="J144" s="321"/>
      <c r="K144" s="319"/>
      <c r="L144" s="318"/>
      <c r="M144" s="311"/>
      <c r="N144" s="588"/>
      <c r="O144" s="588"/>
      <c r="P144" s="525"/>
      <c r="R144" s="598"/>
      <c r="S144" s="599"/>
      <c r="T144" s="604"/>
      <c r="U144" s="605"/>
      <c r="V144" s="309"/>
      <c r="W144" s="575">
        <v>5</v>
      </c>
      <c r="X144" s="576"/>
      <c r="Y144" s="577" t="s">
        <v>473</v>
      </c>
      <c r="Z144" s="577"/>
      <c r="AA144" s="577"/>
      <c r="AB144" s="577"/>
      <c r="AC144" s="568" t="s">
        <v>648</v>
      </c>
      <c r="AD144" s="568"/>
      <c r="AE144" s="568">
        <v>201</v>
      </c>
      <c r="AF144" s="568"/>
      <c r="AG144" s="568"/>
      <c r="AH144" s="571">
        <f>AX137</f>
        <v>195</v>
      </c>
      <c r="AI144" s="568"/>
      <c r="AJ144" s="568"/>
      <c r="AK144" s="571">
        <f t="shared" si="1"/>
        <v>6</v>
      </c>
      <c r="AL144" s="571"/>
      <c r="AM144" s="571"/>
      <c r="AN144" s="568"/>
      <c r="AO144" s="568"/>
      <c r="AP144" s="568"/>
      <c r="AQ144" s="569"/>
      <c r="AR144" s="569"/>
      <c r="AS144" s="569"/>
      <c r="AT144" s="570"/>
    </row>
    <row r="145" spans="2:46">
      <c r="B145" s="529" t="s">
        <v>379</v>
      </c>
      <c r="C145" s="530"/>
      <c r="D145" s="531"/>
      <c r="E145" s="320"/>
      <c r="F145" s="320"/>
      <c r="G145" s="311"/>
      <c r="H145" s="318"/>
      <c r="I145" s="318"/>
      <c r="K145" s="319"/>
      <c r="L145" s="318"/>
      <c r="M145" s="311"/>
      <c r="N145" s="588" t="s">
        <v>650</v>
      </c>
      <c r="O145" s="588"/>
      <c r="P145" s="525"/>
      <c r="R145" s="598"/>
      <c r="S145" s="599"/>
      <c r="T145" s="604"/>
      <c r="U145" s="605"/>
      <c r="V145" s="309"/>
      <c r="W145" s="575">
        <v>6</v>
      </c>
      <c r="X145" s="576"/>
      <c r="Y145" s="577" t="s">
        <v>651</v>
      </c>
      <c r="Z145" s="577"/>
      <c r="AA145" s="577"/>
      <c r="AB145" s="577"/>
      <c r="AC145" s="568" t="s">
        <v>648</v>
      </c>
      <c r="AD145" s="568"/>
      <c r="AE145" s="568">
        <v>201</v>
      </c>
      <c r="AF145" s="568"/>
      <c r="AG145" s="568"/>
      <c r="AH145" s="571">
        <f>AY137</f>
        <v>168</v>
      </c>
      <c r="AI145" s="568"/>
      <c r="AJ145" s="568"/>
      <c r="AK145" s="571">
        <f t="shared" si="1"/>
        <v>33</v>
      </c>
      <c r="AL145" s="571"/>
      <c r="AM145" s="571"/>
      <c r="AN145" s="568"/>
      <c r="AO145" s="568"/>
      <c r="AP145" s="568"/>
      <c r="AQ145" s="569"/>
      <c r="AR145" s="569"/>
      <c r="AS145" s="569"/>
      <c r="AT145" s="570"/>
    </row>
    <row r="146" spans="2:46">
      <c r="B146" s="315" t="s">
        <v>652</v>
      </c>
      <c r="C146" s="314"/>
      <c r="E146" s="535" t="s">
        <v>38</v>
      </c>
      <c r="F146" s="535"/>
      <c r="G146" s="317">
        <v>293</v>
      </c>
      <c r="H146" s="536" t="s">
        <v>41</v>
      </c>
      <c r="I146" s="535"/>
      <c r="J146" s="312">
        <v>391</v>
      </c>
      <c r="K146" s="537" t="s">
        <v>45</v>
      </c>
      <c r="L146" s="538"/>
      <c r="M146" s="311"/>
      <c r="N146" s="588"/>
      <c r="O146" s="588"/>
      <c r="P146" s="525"/>
      <c r="R146" s="600"/>
      <c r="S146" s="601"/>
      <c r="T146" s="606"/>
      <c r="U146" s="607"/>
      <c r="V146" s="309"/>
      <c r="W146" s="575">
        <v>7</v>
      </c>
      <c r="X146" s="576"/>
      <c r="Y146" s="577" t="s">
        <v>653</v>
      </c>
      <c r="Z146" s="577"/>
      <c r="AA146" s="577"/>
      <c r="AB146" s="577"/>
      <c r="AC146" s="568" t="s">
        <v>377</v>
      </c>
      <c r="AD146" s="568"/>
      <c r="AE146" s="571">
        <v>65.03</v>
      </c>
      <c r="AF146" s="568"/>
      <c r="AG146" s="568"/>
      <c r="AH146" s="571">
        <f>AZ137</f>
        <v>54.053300000000007</v>
      </c>
      <c r="AI146" s="571"/>
      <c r="AJ146" s="571"/>
      <c r="AK146" s="571">
        <f t="shared" si="1"/>
        <v>10.976699999999994</v>
      </c>
      <c r="AL146" s="571"/>
      <c r="AM146" s="571"/>
      <c r="AN146" s="577"/>
      <c r="AO146" s="577"/>
      <c r="AP146" s="577"/>
      <c r="AQ146" s="583"/>
      <c r="AR146" s="583"/>
      <c r="AS146" s="583"/>
      <c r="AT146" s="584"/>
    </row>
    <row r="147" spans="2:46">
      <c r="B147" s="315" t="s">
        <v>400</v>
      </c>
      <c r="C147" s="314"/>
      <c r="E147" s="503" t="s">
        <v>39</v>
      </c>
      <c r="F147" s="503"/>
      <c r="H147" s="503" t="s">
        <v>37</v>
      </c>
      <c r="I147" s="503"/>
      <c r="J147" s="312"/>
      <c r="K147" s="533" t="s">
        <v>46</v>
      </c>
      <c r="L147" s="534"/>
      <c r="M147" s="311"/>
      <c r="N147" s="588" t="s">
        <v>677</v>
      </c>
      <c r="O147" s="588"/>
      <c r="P147" s="525"/>
      <c r="R147" s="513" t="s">
        <v>678</v>
      </c>
      <c r="S147" s="513"/>
      <c r="T147" s="520"/>
      <c r="U147" s="520"/>
      <c r="V147" s="309"/>
      <c r="W147" s="575">
        <v>8</v>
      </c>
      <c r="X147" s="576"/>
      <c r="Y147" s="577" t="s">
        <v>679</v>
      </c>
      <c r="Z147" s="577"/>
      <c r="AA147" s="577"/>
      <c r="AB147" s="577"/>
      <c r="AC147" s="568" t="s">
        <v>377</v>
      </c>
      <c r="AD147" s="568"/>
      <c r="AE147" s="571">
        <v>65.03</v>
      </c>
      <c r="AF147" s="568"/>
      <c r="AG147" s="568"/>
      <c r="AH147" s="571">
        <f>BA137</f>
        <v>54.053300000000007</v>
      </c>
      <c r="AI147" s="568"/>
      <c r="AJ147" s="568"/>
      <c r="AK147" s="571">
        <f t="shared" si="1"/>
        <v>10.976699999999994</v>
      </c>
      <c r="AL147" s="571"/>
      <c r="AM147" s="571"/>
      <c r="AN147" s="568"/>
      <c r="AO147" s="568"/>
      <c r="AP147" s="568"/>
      <c r="AQ147" s="569"/>
      <c r="AR147" s="569"/>
      <c r="AS147" s="569"/>
      <c r="AT147" s="570"/>
    </row>
    <row r="148" spans="2:46" ht="15" thickBot="1">
      <c r="B148" s="308"/>
      <c r="C148" s="307"/>
      <c r="D148" s="306"/>
      <c r="E148" s="307"/>
      <c r="F148" s="532" t="s">
        <v>381</v>
      </c>
      <c r="G148" s="532"/>
      <c r="H148" s="307"/>
      <c r="I148" s="307"/>
      <c r="J148" s="587" t="s">
        <v>656</v>
      </c>
      <c r="K148" s="587"/>
      <c r="L148" s="587"/>
      <c r="M148" s="306"/>
      <c r="N148" s="589"/>
      <c r="O148" s="589"/>
      <c r="P148" s="595"/>
      <c r="Q148" s="306"/>
      <c r="R148" s="514"/>
      <c r="S148" s="514"/>
      <c r="T148" s="521"/>
      <c r="U148" s="521"/>
      <c r="V148" s="305"/>
      <c r="W148" s="591">
        <v>9</v>
      </c>
      <c r="X148" s="592"/>
      <c r="Y148" s="593" t="s">
        <v>390</v>
      </c>
      <c r="Z148" s="593"/>
      <c r="AA148" s="593"/>
      <c r="AB148" s="593"/>
      <c r="AC148" s="580" t="s">
        <v>377</v>
      </c>
      <c r="AD148" s="580"/>
      <c r="AE148" s="571">
        <v>65.03</v>
      </c>
      <c r="AF148" s="568"/>
      <c r="AG148" s="568"/>
      <c r="AH148" s="594">
        <f>BB137</f>
        <v>39</v>
      </c>
      <c r="AI148" s="580"/>
      <c r="AJ148" s="580"/>
      <c r="AK148" s="571">
        <f t="shared" si="1"/>
        <v>26.03</v>
      </c>
      <c r="AL148" s="571"/>
      <c r="AM148" s="571"/>
      <c r="AN148" s="580"/>
      <c r="AO148" s="580"/>
      <c r="AP148" s="580"/>
      <c r="AQ148" s="581"/>
      <c r="AR148" s="581"/>
      <c r="AS148" s="581"/>
      <c r="AT148" s="582"/>
    </row>
    <row r="151" spans="2:46">
      <c r="AH151" s="590"/>
      <c r="AI151" s="590"/>
    </row>
    <row r="153" spans="2:46">
      <c r="AH153" s="339"/>
    </row>
    <row r="155" spans="2:46">
      <c r="AH155" s="503"/>
      <c r="AI155" s="503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T148"/>
    <mergeCell ref="AK146:AM146"/>
    <mergeCell ref="AN146:AT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T142"/>
    <mergeCell ref="W143:X143"/>
    <mergeCell ref="Y143:AB143"/>
    <mergeCell ref="AN145:AT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T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T147"/>
    <mergeCell ref="W144:X144"/>
    <mergeCell ref="Y144:AB144"/>
    <mergeCell ref="AC144:AD144"/>
    <mergeCell ref="AE144:AG144"/>
    <mergeCell ref="AH144:AJ144"/>
    <mergeCell ref="AK144:AM144"/>
    <mergeCell ref="AN144:AT144"/>
    <mergeCell ref="AK139:AM139"/>
    <mergeCell ref="AN139:AT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T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T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T1"/>
    <mergeCell ref="AV1:AZ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AZ2:BA2"/>
    <mergeCell ref="AK2:AM2"/>
    <mergeCell ref="AN2:AP2"/>
    <mergeCell ref="AI4:AJ4"/>
    <mergeCell ref="AL4:AM4"/>
    <mergeCell ref="AO4:AP4"/>
    <mergeCell ref="B8:C8"/>
    <mergeCell ref="AN137:AT137"/>
    <mergeCell ref="AN138:AT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S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AZ2 AV2:AX3 AY3:AZ3">
    <cfRule type="containsText" dxfId="31" priority="1393" operator="containsText" text="Str">
      <formula>NOT(ISERROR(SEARCH("Str",AV2)))</formula>
    </cfRule>
    <cfRule type="containsText" dxfId="30" priority="1394" operator="containsText" text="Ere">
      <formula>NOT(ISERROR(SEARCH("Ere",AV2)))</formula>
    </cfRule>
    <cfRule type="containsText" dxfId="29" priority="1395" operator="containsText" text="Ear">
      <formula>NOT(ISERROR(SEARCH("Ear",AV2)))</formula>
    </cfRule>
    <cfRule type="containsText" dxfId="28" priority="1396" operator="containsText" text="fnd">
      <formula>NOT(ISERROR(SEARCH("fnd",AV2)))</formula>
    </cfRule>
  </conditionalFormatting>
  <printOptions horizontalCentered="1" verticalCentered="1"/>
  <pageMargins left="0" right="0" top="0" bottom="0" header="0.31496062992126" footer="0.31496062992126"/>
  <pageSetup paperSize="8" scale="80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dimension ref="A1:BG41"/>
  <sheetViews>
    <sheetView view="pageBreakPreview" zoomScale="70" zoomScaleNormal="70" zoomScaleSheetLayoutView="70" workbookViewId="0">
      <pane ySplit="2" topLeftCell="A3" activePane="bottomLeft" state="frozen"/>
      <selection sqref="A1:H1"/>
      <selection pane="bottomLeft" activeCell="AT17" sqref="AT17"/>
    </sheetView>
  </sheetViews>
  <sheetFormatPr defaultRowHeight="14.5"/>
  <cols>
    <col min="1" max="1" width="1.453125" style="304" customWidth="1"/>
    <col min="2" max="3" width="4" style="304" customWidth="1"/>
    <col min="4" max="4" width="6.26953125" style="304" customWidth="1"/>
    <col min="5" max="6" width="4" style="304" customWidth="1"/>
    <col min="7" max="7" width="6.26953125" style="304" customWidth="1"/>
    <col min="8" max="9" width="4" style="304" customWidth="1"/>
    <col min="10" max="10" width="6.26953125" style="304" customWidth="1"/>
    <col min="11" max="12" width="4" style="304" customWidth="1"/>
    <col min="13" max="13" width="6.26953125" style="304" customWidth="1"/>
    <col min="14" max="15" width="4" style="304" customWidth="1"/>
    <col min="16" max="16" width="6.26953125" style="304" customWidth="1"/>
    <col min="17" max="18" width="4" style="304" customWidth="1"/>
    <col min="19" max="19" width="6.26953125" style="304" customWidth="1"/>
    <col min="20" max="21" width="4" style="304" customWidth="1"/>
    <col min="22" max="22" width="6.26953125" style="304" customWidth="1"/>
    <col min="23" max="24" width="4" style="304" customWidth="1"/>
    <col min="25" max="25" width="6.26953125" style="304" customWidth="1"/>
    <col min="26" max="27" width="4" style="304" customWidth="1"/>
    <col min="28" max="28" width="6.26953125" style="304" customWidth="1"/>
    <col min="29" max="30" width="4" style="304" customWidth="1"/>
    <col min="31" max="31" width="6.26953125" style="304" customWidth="1"/>
    <col min="32" max="33" width="4" style="304" customWidth="1"/>
    <col min="34" max="34" width="6.26953125" style="304" customWidth="1"/>
    <col min="35" max="36" width="4" style="304" customWidth="1"/>
    <col min="37" max="37" width="6.26953125" style="304" customWidth="1"/>
    <col min="38" max="39" width="4" style="304" customWidth="1"/>
    <col min="40" max="40" width="6.26953125" style="304" customWidth="1"/>
    <col min="41" max="41" width="4" style="304" customWidth="1"/>
    <col min="42" max="42" width="3.453125" style="304" customWidth="1"/>
    <col min="43" max="43" width="6.26953125" style="304" customWidth="1"/>
    <col min="44" max="44" width="6" style="304" customWidth="1"/>
    <col min="45" max="45" width="6.1796875" style="304" customWidth="1"/>
    <col min="46" max="46" width="6" style="304" customWidth="1"/>
    <col min="47" max="48" width="5.7265625" style="304" customWidth="1"/>
    <col min="49" max="49" width="7.1796875" style="304" customWidth="1"/>
    <col min="50" max="16384" width="8.7265625" style="304"/>
  </cols>
  <sheetData>
    <row r="1" spans="1:59" ht="15.75" customHeight="1" thickBot="1">
      <c r="A1" s="656" t="str">
        <f>+[1]Summary!A2</f>
        <v>Name of the Line: 220KV DC AL59 line from Neemuch - Chanderiya + 132KV DC ACSS Line from Chanderiya to Hindustan Zinc</v>
      </c>
      <c r="B1" s="657"/>
      <c r="C1" s="657"/>
      <c r="D1" s="657"/>
      <c r="E1" s="657"/>
      <c r="F1" s="657"/>
      <c r="G1" s="657"/>
      <c r="H1" s="657"/>
      <c r="I1" s="657"/>
      <c r="J1" s="657"/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7"/>
      <c r="W1" s="657"/>
      <c r="X1" s="657"/>
      <c r="Y1" s="657"/>
      <c r="Z1" s="657"/>
      <c r="AA1" s="657"/>
      <c r="AB1" s="657"/>
      <c r="AC1" s="657"/>
      <c r="AD1" s="657"/>
      <c r="AE1" s="657"/>
      <c r="AF1" s="657"/>
      <c r="AG1" s="657"/>
      <c r="AH1" s="657"/>
      <c r="AI1" s="657"/>
      <c r="AJ1" s="657"/>
      <c r="AK1" s="657"/>
      <c r="AL1" s="657"/>
      <c r="AM1" s="657"/>
      <c r="AN1" s="657"/>
      <c r="AO1" s="657"/>
      <c r="AP1" s="657"/>
      <c r="AQ1" s="658"/>
      <c r="AS1" s="563">
        <f>Summary!R5</f>
        <v>46030</v>
      </c>
      <c r="AT1" s="563"/>
      <c r="AU1" s="563"/>
      <c r="AV1" s="563"/>
      <c r="AW1" s="563"/>
    </row>
    <row r="2" spans="1:59" ht="18.5">
      <c r="A2" s="414"/>
      <c r="B2" s="326"/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659" t="s">
        <v>628</v>
      </c>
      <c r="R2" s="659"/>
      <c r="S2" s="659"/>
      <c r="T2" s="659"/>
      <c r="U2" s="659"/>
      <c r="V2" s="659"/>
      <c r="W2" s="659"/>
      <c r="X2" s="659"/>
      <c r="Y2" s="659"/>
      <c r="Z2" s="659"/>
      <c r="AA2" s="659"/>
      <c r="AB2" s="326"/>
      <c r="AC2" s="326"/>
      <c r="AD2" s="326"/>
      <c r="AE2" s="326"/>
      <c r="AF2" s="326"/>
      <c r="AG2" s="326"/>
      <c r="AH2" s="326"/>
      <c r="AI2" s="326"/>
      <c r="AJ2" s="326"/>
      <c r="AK2" s="660" t="s">
        <v>26</v>
      </c>
      <c r="AL2" s="660"/>
      <c r="AM2" s="660"/>
      <c r="AN2" s="661">
        <f>AS1</f>
        <v>46030</v>
      </c>
      <c r="AO2" s="661"/>
      <c r="AP2" s="661"/>
      <c r="AQ2" s="662"/>
      <c r="AS2" s="415" t="s">
        <v>629</v>
      </c>
      <c r="AT2" s="415" t="s">
        <v>630</v>
      </c>
      <c r="AU2" s="415" t="s">
        <v>631</v>
      </c>
      <c r="AV2" s="338" t="s">
        <v>632</v>
      </c>
      <c r="AW2" s="416" t="s">
        <v>633</v>
      </c>
    </row>
    <row r="3" spans="1:59">
      <c r="A3" s="417"/>
      <c r="B3" s="329"/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29"/>
      <c r="AC3" s="329"/>
      <c r="AD3" s="329"/>
      <c r="AE3" s="329"/>
      <c r="AF3" s="329"/>
      <c r="AG3" s="329"/>
      <c r="AQ3" s="327"/>
    </row>
    <row r="4" spans="1:59">
      <c r="A4" s="417"/>
      <c r="M4" s="329"/>
      <c r="AQ4" s="327"/>
    </row>
    <row r="5" spans="1:59">
      <c r="A5" s="418"/>
      <c r="B5" s="616" t="s">
        <v>715</v>
      </c>
      <c r="C5" s="616"/>
      <c r="D5" s="616"/>
      <c r="E5" s="505"/>
      <c r="F5" s="505"/>
      <c r="G5" s="329"/>
      <c r="H5" s="652"/>
      <c r="I5" s="652"/>
      <c r="J5" s="329"/>
      <c r="K5" s="652"/>
      <c r="L5" s="652"/>
      <c r="M5" s="329"/>
      <c r="N5" s="652"/>
      <c r="O5" s="652"/>
      <c r="P5" s="329"/>
      <c r="Q5" s="652"/>
      <c r="R5" s="652"/>
      <c r="S5" s="329"/>
      <c r="T5" s="652"/>
      <c r="U5" s="652"/>
      <c r="V5" s="329"/>
      <c r="W5" s="652"/>
      <c r="X5" s="652"/>
      <c r="Y5" s="329"/>
      <c r="Z5" s="505"/>
      <c r="AA5" s="505"/>
      <c r="AB5" s="329"/>
      <c r="AC5" s="652"/>
      <c r="AD5" s="652"/>
      <c r="AE5" s="329"/>
      <c r="AF5" s="652"/>
      <c r="AG5" s="652"/>
      <c r="AH5" s="329"/>
      <c r="AI5" s="652"/>
      <c r="AJ5" s="652"/>
      <c r="AK5" s="329"/>
      <c r="AL5" s="652"/>
      <c r="AM5" s="652"/>
      <c r="AN5" s="329"/>
      <c r="AO5" s="652"/>
      <c r="AP5" s="652"/>
      <c r="AQ5" s="330"/>
    </row>
    <row r="6" spans="1:59" ht="15.75" customHeight="1">
      <c r="A6" s="418"/>
      <c r="B6" s="616"/>
      <c r="C6" s="616"/>
      <c r="D6" s="616"/>
      <c r="E6" s="588" t="s">
        <v>303</v>
      </c>
      <c r="F6" s="588"/>
      <c r="G6" s="331"/>
      <c r="H6" s="390"/>
      <c r="I6" s="390"/>
      <c r="J6" s="331"/>
      <c r="K6" s="390"/>
      <c r="L6" s="390"/>
      <c r="M6" s="331"/>
      <c r="N6" s="390"/>
      <c r="O6" s="390"/>
      <c r="P6" s="331"/>
      <c r="Q6" s="390"/>
      <c r="R6" s="390"/>
      <c r="S6" s="331"/>
      <c r="T6" s="390"/>
      <c r="U6" s="390"/>
      <c r="V6" s="331"/>
      <c r="W6" s="390"/>
      <c r="X6" s="390"/>
      <c r="Y6" s="331"/>
      <c r="Z6" s="390"/>
      <c r="AA6" s="390"/>
      <c r="AB6" s="331"/>
      <c r="AC6" s="390"/>
      <c r="AD6" s="390"/>
      <c r="AE6" s="331"/>
      <c r="AF6" s="390"/>
      <c r="AG6" s="390"/>
      <c r="AH6" s="331"/>
      <c r="AI6" s="390"/>
      <c r="AJ6" s="390"/>
      <c r="AK6" s="331"/>
      <c r="AL6" s="390"/>
      <c r="AM6" s="390"/>
      <c r="AN6" s="331"/>
      <c r="AO6" s="390"/>
      <c r="AP6" s="390"/>
      <c r="AQ6" s="332"/>
    </row>
    <row r="7" spans="1:59">
      <c r="A7" s="418"/>
      <c r="B7" s="616"/>
      <c r="C7" s="616"/>
      <c r="D7" s="616"/>
      <c r="E7" s="588"/>
      <c r="F7" s="588"/>
      <c r="G7" s="331"/>
      <c r="H7" s="390"/>
      <c r="I7" s="390"/>
      <c r="J7" s="331"/>
      <c r="K7" s="390"/>
      <c r="L7" s="390"/>
      <c r="M7" s="331"/>
      <c r="N7" s="390"/>
      <c r="O7" s="390"/>
      <c r="P7" s="331"/>
      <c r="Q7" s="390"/>
      <c r="R7" s="390"/>
      <c r="S7" s="331"/>
      <c r="T7" s="390"/>
      <c r="U7" s="390"/>
      <c r="V7" s="331"/>
      <c r="W7" s="390"/>
      <c r="X7" s="390"/>
      <c r="Y7" s="331"/>
      <c r="Z7" s="390"/>
      <c r="AA7" s="390"/>
      <c r="AB7" s="331"/>
      <c r="AC7" s="390"/>
      <c r="AD7" s="390"/>
      <c r="AE7" s="331"/>
      <c r="AF7" s="390"/>
      <c r="AG7" s="390"/>
      <c r="AH7" s="331"/>
      <c r="AI7" s="390"/>
      <c r="AJ7" s="390"/>
      <c r="AK7" s="331"/>
      <c r="AL7" s="390"/>
      <c r="AM7" s="390"/>
      <c r="AN7" s="331"/>
      <c r="AO7" s="390"/>
      <c r="AP7" s="390"/>
      <c r="AQ7" s="330"/>
      <c r="AS7" s="310"/>
      <c r="AT7" s="310"/>
      <c r="AU7" s="310"/>
      <c r="AV7" s="310"/>
      <c r="AW7" s="310"/>
    </row>
    <row r="8" spans="1:59" s="329" customFormat="1">
      <c r="A8" s="418"/>
      <c r="B8" s="505"/>
      <c r="C8" s="505"/>
      <c r="D8" s="331"/>
      <c r="E8" s="505" t="s">
        <v>634</v>
      </c>
      <c r="F8" s="505"/>
      <c r="G8" s="331">
        <v>26</v>
      </c>
      <c r="H8" s="552" t="s">
        <v>38</v>
      </c>
      <c r="I8" s="552"/>
      <c r="J8" s="413">
        <v>230.15</v>
      </c>
      <c r="K8" s="505" t="s">
        <v>64</v>
      </c>
      <c r="L8" s="505"/>
      <c r="M8" s="413">
        <v>234.56</v>
      </c>
      <c r="N8" s="655" t="s">
        <v>344</v>
      </c>
      <c r="O8" s="655"/>
      <c r="P8" s="413">
        <v>249.04</v>
      </c>
      <c r="Q8" s="505" t="s">
        <v>67</v>
      </c>
      <c r="R8" s="505"/>
      <c r="S8" s="413">
        <v>256</v>
      </c>
      <c r="T8" s="552" t="s">
        <v>310</v>
      </c>
      <c r="U8" s="552"/>
      <c r="V8" s="413">
        <v>226.52</v>
      </c>
      <c r="W8" s="505" t="s">
        <v>69</v>
      </c>
      <c r="X8" s="505"/>
      <c r="Y8" s="413">
        <v>43.62</v>
      </c>
      <c r="Z8" s="655" t="s">
        <v>71</v>
      </c>
      <c r="AA8" s="552"/>
      <c r="AB8" s="413">
        <v>52</v>
      </c>
      <c r="AC8" s="655" t="s">
        <v>72</v>
      </c>
      <c r="AD8" s="552"/>
      <c r="AE8" s="413">
        <v>47.06</v>
      </c>
      <c r="AF8" s="655" t="s">
        <v>93</v>
      </c>
      <c r="AG8" s="505"/>
      <c r="AH8" s="413">
        <v>286.44</v>
      </c>
      <c r="AI8" s="552" t="s">
        <v>104</v>
      </c>
      <c r="AJ8" s="505"/>
      <c r="AK8" s="413">
        <v>317</v>
      </c>
      <c r="AL8" s="655" t="s">
        <v>711</v>
      </c>
      <c r="AM8" s="505"/>
      <c r="AN8" s="413">
        <v>328</v>
      </c>
      <c r="AO8" s="552" t="s">
        <v>712</v>
      </c>
      <c r="AP8" s="505"/>
      <c r="AQ8" s="432">
        <v>297</v>
      </c>
    </row>
    <row r="9" spans="1:59">
      <c r="A9" s="418"/>
      <c r="B9" s="505"/>
      <c r="C9" s="505"/>
      <c r="D9" s="329"/>
      <c r="E9" s="505" t="s">
        <v>34</v>
      </c>
      <c r="F9" s="505"/>
      <c r="G9" s="329"/>
      <c r="H9" s="505" t="s">
        <v>34</v>
      </c>
      <c r="I9" s="505"/>
      <c r="J9" s="329"/>
      <c r="K9" s="505" t="s">
        <v>34</v>
      </c>
      <c r="L9" s="505"/>
      <c r="M9" s="329"/>
      <c r="N9" s="505" t="s">
        <v>62</v>
      </c>
      <c r="O9" s="505"/>
      <c r="P9" s="329"/>
      <c r="Q9" s="505" t="s">
        <v>34</v>
      </c>
      <c r="R9" s="505"/>
      <c r="S9" s="329"/>
      <c r="T9" s="505" t="s">
        <v>37</v>
      </c>
      <c r="U9" s="505"/>
      <c r="V9" s="329"/>
      <c r="W9" s="505" t="s">
        <v>34</v>
      </c>
      <c r="X9" s="505"/>
      <c r="Y9" s="329"/>
      <c r="Z9" s="505" t="s">
        <v>635</v>
      </c>
      <c r="AA9" s="505"/>
      <c r="AB9" s="329"/>
      <c r="AC9" s="505" t="s">
        <v>635</v>
      </c>
      <c r="AD9" s="505"/>
      <c r="AE9" s="329"/>
      <c r="AF9" s="505" t="s">
        <v>34</v>
      </c>
      <c r="AG9" s="505"/>
      <c r="AH9" s="329"/>
      <c r="AI9" s="505" t="s">
        <v>51</v>
      </c>
      <c r="AJ9" s="505"/>
      <c r="AK9" s="329"/>
      <c r="AL9" s="505" t="s">
        <v>56</v>
      </c>
      <c r="AM9" s="505"/>
      <c r="AN9" s="329"/>
      <c r="AO9" s="505" t="s">
        <v>56</v>
      </c>
      <c r="AP9" s="505"/>
      <c r="AQ9" s="330"/>
    </row>
    <row r="10" spans="1:59">
      <c r="A10" s="418"/>
      <c r="B10" s="329"/>
      <c r="C10" s="329"/>
      <c r="E10" s="412"/>
      <c r="G10" s="412"/>
      <c r="I10" s="412"/>
      <c r="K10" s="412"/>
      <c r="M10" s="412"/>
      <c r="O10" s="412"/>
      <c r="Q10" s="412"/>
      <c r="S10" s="412"/>
      <c r="U10" s="412"/>
      <c r="W10" s="412"/>
      <c r="Y10" s="412"/>
      <c r="AA10" s="412"/>
      <c r="AC10" s="412"/>
      <c r="AE10" s="412"/>
      <c r="AG10" s="412"/>
      <c r="AI10" s="412"/>
      <c r="AK10" s="412"/>
      <c r="AM10" s="412"/>
      <c r="AO10" s="412"/>
      <c r="AQ10" s="433"/>
      <c r="AS10" s="412"/>
      <c r="AU10" s="412"/>
      <c r="AW10" s="412"/>
      <c r="AY10" s="412"/>
      <c r="BA10" s="412"/>
      <c r="BC10" s="412"/>
      <c r="BE10" s="412"/>
      <c r="BG10" s="412"/>
    </row>
    <row r="11" spans="1:59">
      <c r="A11" s="418"/>
      <c r="B11" s="329"/>
      <c r="C11" s="329"/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29"/>
      <c r="U11" s="329"/>
      <c r="V11" s="329"/>
      <c r="W11" s="329"/>
      <c r="X11" s="329"/>
      <c r="Y11" s="329"/>
      <c r="Z11" s="329"/>
      <c r="AA11" s="329"/>
      <c r="AC11" s="329"/>
      <c r="AD11" s="329"/>
      <c r="AF11" s="329"/>
      <c r="AG11" s="329"/>
      <c r="AH11" s="329"/>
      <c r="AI11" s="329"/>
      <c r="AJ11" s="329"/>
      <c r="AK11" s="329"/>
      <c r="AL11" s="329"/>
      <c r="AM11" s="329"/>
      <c r="AN11" s="329"/>
      <c r="AO11" s="329"/>
      <c r="AP11" s="329"/>
      <c r="AQ11" s="330"/>
    </row>
    <row r="12" spans="1:59">
      <c r="A12" s="418"/>
      <c r="B12" s="652"/>
      <c r="C12" s="652"/>
      <c r="D12" s="329"/>
      <c r="E12" s="652"/>
      <c r="F12" s="652"/>
      <c r="G12" s="329"/>
      <c r="H12" s="652"/>
      <c r="I12" s="652"/>
      <c r="J12" s="329"/>
      <c r="K12" s="652"/>
      <c r="L12" s="652"/>
      <c r="M12" s="329"/>
      <c r="N12" s="652"/>
      <c r="O12" s="652"/>
      <c r="P12" s="329"/>
      <c r="Q12" s="652"/>
      <c r="R12" s="652"/>
      <c r="S12" s="329"/>
      <c r="T12" s="652"/>
      <c r="U12" s="652"/>
      <c r="V12" s="329"/>
      <c r="W12" s="652"/>
      <c r="X12" s="652"/>
      <c r="Y12" s="329"/>
      <c r="Z12" s="652"/>
      <c r="AA12" s="652"/>
      <c r="AB12" s="329"/>
      <c r="AC12" s="505"/>
      <c r="AD12" s="505"/>
      <c r="AE12" s="329"/>
      <c r="AF12" s="652"/>
      <c r="AG12" s="652"/>
      <c r="AH12" s="329"/>
      <c r="AI12" s="652"/>
      <c r="AJ12" s="652"/>
      <c r="AK12" s="329"/>
      <c r="AL12" s="652"/>
      <c r="AM12" s="652"/>
      <c r="AN12" s="329"/>
      <c r="AO12" s="652"/>
      <c r="AP12" s="652"/>
      <c r="AQ12" s="330"/>
    </row>
    <row r="13" spans="1:59">
      <c r="A13" s="418"/>
      <c r="B13" s="390"/>
      <c r="C13" s="390"/>
      <c r="D13" s="331"/>
      <c r="E13" s="390"/>
      <c r="F13" s="390"/>
      <c r="G13" s="331"/>
      <c r="H13" s="390"/>
      <c r="I13" s="390"/>
      <c r="J13" s="331"/>
      <c r="K13" s="390"/>
      <c r="L13" s="390"/>
      <c r="M13" s="331"/>
      <c r="N13" s="390"/>
      <c r="O13" s="390"/>
      <c r="P13" s="331"/>
      <c r="Q13" s="419"/>
      <c r="R13" s="419"/>
      <c r="S13" s="331"/>
      <c r="T13" s="419"/>
      <c r="U13" s="419"/>
      <c r="V13" s="331"/>
      <c r="W13" s="419"/>
      <c r="X13" s="419"/>
      <c r="Y13" s="331"/>
      <c r="Z13" s="390"/>
      <c r="AA13" s="390"/>
      <c r="AB13" s="331"/>
      <c r="AC13" s="419"/>
      <c r="AD13" s="419"/>
      <c r="AE13" s="331"/>
      <c r="AF13" s="390"/>
      <c r="AG13" s="390"/>
      <c r="AH13" s="331"/>
      <c r="AI13" s="390"/>
      <c r="AJ13" s="390"/>
      <c r="AK13" s="331"/>
      <c r="AL13" s="419"/>
      <c r="AM13" s="419"/>
      <c r="AN13" s="331"/>
      <c r="AO13" s="390"/>
      <c r="AP13" s="390"/>
      <c r="AQ13" s="332"/>
    </row>
    <row r="14" spans="1:59">
      <c r="A14" s="418"/>
      <c r="B14" s="390"/>
      <c r="C14" s="390"/>
      <c r="D14" s="329"/>
      <c r="E14" s="390"/>
      <c r="F14" s="390"/>
      <c r="G14" s="331"/>
      <c r="H14" s="390"/>
      <c r="I14" s="390"/>
      <c r="J14" s="331"/>
      <c r="K14" s="390"/>
      <c r="L14" s="390"/>
      <c r="M14" s="329"/>
      <c r="N14" s="390"/>
      <c r="O14" s="390"/>
      <c r="P14" s="331"/>
      <c r="Q14" s="419"/>
      <c r="R14" s="419"/>
      <c r="S14" s="331"/>
      <c r="T14" s="419"/>
      <c r="U14" s="419"/>
      <c r="V14" s="331"/>
      <c r="W14" s="431"/>
      <c r="X14" s="431"/>
      <c r="Y14" s="331"/>
      <c r="Z14" s="390"/>
      <c r="AA14" s="390"/>
      <c r="AB14" s="331"/>
      <c r="AC14" s="419"/>
      <c r="AD14" s="419"/>
      <c r="AE14" s="331"/>
      <c r="AF14" s="390"/>
      <c r="AG14" s="390"/>
      <c r="AH14" s="331"/>
      <c r="AI14" s="390"/>
      <c r="AJ14" s="390"/>
      <c r="AK14" s="329"/>
      <c r="AL14" s="419"/>
      <c r="AM14" s="419"/>
      <c r="AN14" s="331"/>
      <c r="AO14" s="390"/>
      <c r="AP14" s="390"/>
      <c r="AQ14" s="330"/>
      <c r="AS14" s="310">
        <v>5</v>
      </c>
      <c r="AT14" s="310">
        <v>5</v>
      </c>
      <c r="AU14" s="310">
        <v>3</v>
      </c>
      <c r="AV14" s="310"/>
      <c r="AW14" s="310"/>
    </row>
    <row r="15" spans="1:59" s="329" customFormat="1">
      <c r="A15" s="418"/>
      <c r="B15" s="552" t="s">
        <v>713</v>
      </c>
      <c r="C15" s="505"/>
      <c r="D15" s="413">
        <v>251</v>
      </c>
      <c r="E15" s="552" t="s">
        <v>714</v>
      </c>
      <c r="F15" s="505"/>
      <c r="G15" s="413">
        <v>308.23</v>
      </c>
      <c r="H15" s="552" t="s">
        <v>106</v>
      </c>
      <c r="I15" s="505"/>
      <c r="J15" s="413">
        <v>278.12</v>
      </c>
      <c r="K15" s="654" t="s">
        <v>111</v>
      </c>
      <c r="L15" s="505"/>
      <c r="M15" s="413">
        <v>385.96</v>
      </c>
      <c r="N15" s="552" t="s">
        <v>320</v>
      </c>
      <c r="O15" s="505"/>
      <c r="P15" s="413">
        <v>259.92</v>
      </c>
      <c r="Q15" s="505" t="s">
        <v>322</v>
      </c>
      <c r="R15" s="505"/>
      <c r="S15" s="413">
        <v>215.13</v>
      </c>
      <c r="T15" s="329" t="s">
        <v>324</v>
      </c>
      <c r="V15" s="413">
        <v>316.14999999999998</v>
      </c>
      <c r="W15" s="552" t="s">
        <v>326</v>
      </c>
      <c r="X15" s="552"/>
      <c r="Y15" s="413">
        <v>274</v>
      </c>
      <c r="Z15" s="552" t="s">
        <v>328</v>
      </c>
      <c r="AA15" s="552"/>
      <c r="AB15" s="413">
        <v>293.27999999999997</v>
      </c>
      <c r="AC15" s="505" t="s">
        <v>329</v>
      </c>
      <c r="AD15" s="505"/>
      <c r="AE15" s="413">
        <v>48.42</v>
      </c>
      <c r="AF15" s="552" t="s">
        <v>167</v>
      </c>
      <c r="AG15" s="552"/>
      <c r="AH15" s="413">
        <v>58.24</v>
      </c>
      <c r="AI15" s="552" t="s">
        <v>331</v>
      </c>
      <c r="AJ15" s="552"/>
      <c r="AK15" s="413">
        <v>70.13</v>
      </c>
      <c r="AL15" s="505" t="s">
        <v>332</v>
      </c>
      <c r="AM15" s="505"/>
      <c r="AN15" s="413">
        <v>220.7</v>
      </c>
      <c r="AO15" s="505" t="s">
        <v>334</v>
      </c>
      <c r="AP15" s="505"/>
      <c r="AQ15" s="432">
        <v>262.95</v>
      </c>
    </row>
    <row r="16" spans="1:59">
      <c r="A16" s="418"/>
      <c r="B16" s="505" t="s">
        <v>37</v>
      </c>
      <c r="C16" s="505"/>
      <c r="D16" s="329"/>
      <c r="E16" s="505" t="s">
        <v>42</v>
      </c>
      <c r="F16" s="505"/>
      <c r="G16" s="329"/>
      <c r="H16" s="505" t="s">
        <v>34</v>
      </c>
      <c r="I16" s="505"/>
      <c r="J16" s="329"/>
      <c r="K16" s="505" t="s">
        <v>51</v>
      </c>
      <c r="L16" s="505"/>
      <c r="M16" s="329"/>
      <c r="N16" s="505" t="s">
        <v>51</v>
      </c>
      <c r="O16" s="505"/>
      <c r="P16" s="329"/>
      <c r="Q16" s="505" t="s">
        <v>62</v>
      </c>
      <c r="R16" s="505"/>
      <c r="S16" s="329"/>
      <c r="T16" s="505" t="s">
        <v>62</v>
      </c>
      <c r="U16" s="505"/>
      <c r="V16" s="329"/>
      <c r="W16" s="505" t="s">
        <v>34</v>
      </c>
      <c r="X16" s="505"/>
      <c r="Y16" s="329"/>
      <c r="Z16" s="505" t="s">
        <v>37</v>
      </c>
      <c r="AA16" s="505"/>
      <c r="AB16" s="329"/>
      <c r="AC16" s="505" t="s">
        <v>34</v>
      </c>
      <c r="AD16" s="505"/>
      <c r="AE16" s="329"/>
      <c r="AF16" s="505" t="s">
        <v>635</v>
      </c>
      <c r="AG16" s="505"/>
      <c r="AH16" s="329"/>
      <c r="AI16" s="505" t="s">
        <v>635</v>
      </c>
      <c r="AJ16" s="505"/>
      <c r="AK16" s="329"/>
      <c r="AL16" s="505" t="s">
        <v>62</v>
      </c>
      <c r="AM16" s="505"/>
      <c r="AN16" s="329"/>
      <c r="AO16" s="505" t="s">
        <v>51</v>
      </c>
      <c r="AP16" s="505"/>
      <c r="AQ16" s="330"/>
    </row>
    <row r="17" spans="1:49">
      <c r="A17" s="418"/>
      <c r="B17" s="329"/>
      <c r="C17" s="329"/>
      <c r="D17" s="329"/>
      <c r="E17" s="329"/>
      <c r="F17" s="329"/>
      <c r="G17" s="329"/>
      <c r="H17" s="329"/>
      <c r="I17" s="329"/>
      <c r="J17" s="329"/>
      <c r="K17" s="329"/>
      <c r="L17" s="329"/>
      <c r="M17" s="329"/>
      <c r="N17" s="329"/>
      <c r="O17" s="329"/>
      <c r="P17" s="329"/>
      <c r="Q17" s="329"/>
      <c r="R17" s="329"/>
      <c r="S17" s="329"/>
      <c r="T17" s="329"/>
      <c r="U17" s="329"/>
      <c r="V17" s="329"/>
      <c r="W17" s="329"/>
      <c r="X17" s="329" t="s">
        <v>636</v>
      </c>
      <c r="Y17" s="329"/>
      <c r="Z17" s="329" t="s">
        <v>636</v>
      </c>
      <c r="AA17" s="329"/>
      <c r="AB17" s="329"/>
      <c r="AC17" s="329"/>
      <c r="AD17" s="329"/>
      <c r="AE17" s="329"/>
      <c r="AF17" s="329"/>
      <c r="AG17" s="329"/>
      <c r="AH17" s="329"/>
      <c r="AI17" s="329"/>
      <c r="AJ17" s="329"/>
      <c r="AK17" s="329"/>
      <c r="AL17" s="329"/>
      <c r="AM17" s="329"/>
      <c r="AN17" s="329"/>
      <c r="AO17" s="329"/>
      <c r="AP17" s="329"/>
      <c r="AQ17" s="330"/>
    </row>
    <row r="18" spans="1:49">
      <c r="A18" s="418"/>
      <c r="B18" s="329"/>
      <c r="C18" s="329"/>
      <c r="D18" s="329"/>
      <c r="E18" s="329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29"/>
      <c r="Q18" s="329"/>
      <c r="R18" s="329"/>
      <c r="S18" s="329"/>
      <c r="T18" s="329"/>
      <c r="U18" s="329"/>
      <c r="V18" s="329"/>
      <c r="W18" s="329"/>
      <c r="X18" s="329"/>
      <c r="Y18" s="329"/>
      <c r="Z18" s="329"/>
      <c r="AA18" s="329"/>
      <c r="AB18" s="329"/>
      <c r="AC18" s="329"/>
      <c r="AD18" s="329"/>
      <c r="AE18" s="329"/>
      <c r="AF18" s="329"/>
      <c r="AG18" s="329"/>
      <c r="AI18" s="329"/>
      <c r="AJ18" s="329"/>
      <c r="AK18" s="329"/>
      <c r="AL18" s="329"/>
      <c r="AM18" s="329"/>
      <c r="AN18" s="329"/>
      <c r="AO18" s="329"/>
      <c r="AP18" s="329"/>
      <c r="AQ18" s="330"/>
    </row>
    <row r="19" spans="1:49" ht="15" thickBot="1">
      <c r="A19" s="418"/>
      <c r="B19" s="652"/>
      <c r="C19" s="652"/>
      <c r="D19" s="329"/>
      <c r="E19" s="652"/>
      <c r="F19" s="652"/>
      <c r="G19" s="329"/>
      <c r="H19" s="652"/>
      <c r="I19" s="652"/>
      <c r="J19" s="329"/>
      <c r="K19" s="652"/>
      <c r="L19" s="652"/>
      <c r="M19" s="329"/>
      <c r="N19" s="652"/>
      <c r="O19" s="652"/>
      <c r="P19" s="329"/>
      <c r="Q19" s="652"/>
      <c r="R19" s="652"/>
      <c r="S19" s="329"/>
      <c r="T19" s="652"/>
      <c r="U19" s="652"/>
      <c r="V19" s="329"/>
      <c r="W19" s="652"/>
      <c r="X19" s="652"/>
      <c r="Y19" s="329"/>
      <c r="Z19" s="505"/>
      <c r="AA19" s="505"/>
      <c r="AB19" s="329"/>
      <c r="AC19" s="505"/>
      <c r="AD19" s="505"/>
      <c r="AE19" s="329"/>
      <c r="AF19" s="505"/>
      <c r="AG19" s="505"/>
      <c r="AH19" s="329"/>
      <c r="AI19" s="505"/>
      <c r="AJ19" s="505"/>
      <c r="AK19" s="329"/>
      <c r="AL19" s="505"/>
      <c r="AM19" s="505"/>
      <c r="AN19" s="329"/>
      <c r="AO19" s="505"/>
      <c r="AP19" s="505"/>
      <c r="AQ19" s="330"/>
    </row>
    <row r="20" spans="1:49">
      <c r="A20" s="418"/>
      <c r="B20" s="419"/>
      <c r="C20" s="419"/>
      <c r="D20" s="331"/>
      <c r="E20" s="420"/>
      <c r="F20" s="420"/>
      <c r="G20" s="331"/>
      <c r="H20" s="419"/>
      <c r="I20" s="419"/>
      <c r="J20" s="331"/>
      <c r="K20" s="420"/>
      <c r="L20" s="420"/>
      <c r="M20" s="331"/>
      <c r="N20" s="419"/>
      <c r="O20" s="419"/>
      <c r="P20" s="331"/>
      <c r="Q20" s="419"/>
      <c r="R20" s="419"/>
      <c r="S20" s="331"/>
      <c r="T20" s="419"/>
      <c r="U20" s="419"/>
      <c r="V20" s="331"/>
      <c r="W20" s="419"/>
      <c r="X20" s="419"/>
      <c r="Y20" s="331"/>
      <c r="Z20" s="612" t="s">
        <v>635</v>
      </c>
      <c r="AA20" s="613"/>
      <c r="AB20" s="331"/>
      <c r="AC20" s="329"/>
      <c r="AD20" s="329"/>
      <c r="AE20" s="331"/>
      <c r="AF20" s="329"/>
      <c r="AG20" s="329"/>
      <c r="AH20" s="331"/>
      <c r="AI20" s="329"/>
      <c r="AJ20" s="329"/>
      <c r="AK20" s="331"/>
      <c r="AL20" s="329"/>
      <c r="AM20" s="329"/>
      <c r="AN20" s="331"/>
      <c r="AO20" s="329"/>
      <c r="AP20" s="329"/>
      <c r="AQ20" s="332"/>
    </row>
    <row r="21" spans="1:49" ht="15" thickBot="1">
      <c r="A21" s="418"/>
      <c r="B21" s="419"/>
      <c r="C21" s="419"/>
      <c r="D21" s="331"/>
      <c r="E21" s="420"/>
      <c r="F21" s="420"/>
      <c r="G21" s="331"/>
      <c r="H21" s="419"/>
      <c r="I21" s="419"/>
      <c r="J21" s="331"/>
      <c r="K21" s="420"/>
      <c r="L21" s="420"/>
      <c r="M21" s="331"/>
      <c r="N21" s="419"/>
      <c r="O21" s="419"/>
      <c r="P21" s="329"/>
      <c r="Q21" s="419"/>
      <c r="R21" s="419"/>
      <c r="S21" s="329"/>
      <c r="T21" s="419"/>
      <c r="U21" s="419"/>
      <c r="V21" s="331"/>
      <c r="W21" s="419"/>
      <c r="X21" s="419"/>
      <c r="Y21" s="331"/>
      <c r="Z21" s="614"/>
      <c r="AA21" s="615"/>
      <c r="AB21" s="331"/>
      <c r="AC21" s="329"/>
      <c r="AD21" s="329"/>
      <c r="AE21" s="331"/>
      <c r="AF21" s="329"/>
      <c r="AG21" s="329"/>
      <c r="AH21" s="329"/>
      <c r="AI21" s="329"/>
      <c r="AJ21" s="329"/>
      <c r="AK21" s="331"/>
      <c r="AL21" s="329"/>
      <c r="AM21" s="329"/>
      <c r="AN21" s="331"/>
      <c r="AO21" s="434"/>
      <c r="AP21" s="329"/>
      <c r="AQ21" s="332"/>
      <c r="AS21" s="310">
        <v>8</v>
      </c>
      <c r="AT21" s="310">
        <v>8</v>
      </c>
      <c r="AU21" s="310">
        <v>8</v>
      </c>
      <c r="AV21" s="310"/>
      <c r="AW21" s="310"/>
    </row>
    <row r="22" spans="1:49" s="329" customFormat="1">
      <c r="A22" s="418"/>
      <c r="B22" s="653" t="s">
        <v>181</v>
      </c>
      <c r="C22" s="653"/>
      <c r="D22" s="413">
        <v>251.57</v>
      </c>
      <c r="E22" s="553" t="s">
        <v>182</v>
      </c>
      <c r="F22" s="553"/>
      <c r="G22" s="413">
        <v>271.76</v>
      </c>
      <c r="H22" s="553" t="s">
        <v>183</v>
      </c>
      <c r="I22" s="553"/>
      <c r="J22" s="413">
        <v>261.04000000000002</v>
      </c>
      <c r="K22" s="553" t="s">
        <v>336</v>
      </c>
      <c r="L22" s="553"/>
      <c r="M22" s="413">
        <v>37.42</v>
      </c>
      <c r="N22" s="553" t="s">
        <v>192</v>
      </c>
      <c r="O22" s="553"/>
      <c r="P22" s="421">
        <v>71</v>
      </c>
      <c r="Q22" s="553" t="s">
        <v>193</v>
      </c>
      <c r="R22" s="553"/>
      <c r="S22" s="421">
        <v>37.520000000000003</v>
      </c>
      <c r="T22" s="651" t="s">
        <v>338</v>
      </c>
      <c r="U22" s="651"/>
      <c r="V22" s="421">
        <v>165.14699999999999</v>
      </c>
      <c r="W22" s="505" t="s">
        <v>340</v>
      </c>
      <c r="X22" s="505"/>
      <c r="Y22" s="422">
        <v>39.999000000000002</v>
      </c>
      <c r="AC22" s="505"/>
      <c r="AD22" s="505"/>
      <c r="AF22" s="505"/>
      <c r="AG22" s="505"/>
      <c r="AI22" s="505"/>
      <c r="AJ22" s="505"/>
      <c r="AL22" s="505"/>
      <c r="AM22" s="505"/>
      <c r="AO22" s="505"/>
      <c r="AP22" s="505"/>
      <c r="AQ22" s="330"/>
    </row>
    <row r="23" spans="1:49">
      <c r="A23" s="418"/>
      <c r="B23" s="505" t="s">
        <v>42</v>
      </c>
      <c r="C23" s="505"/>
      <c r="D23" s="329"/>
      <c r="E23" s="505" t="s">
        <v>42</v>
      </c>
      <c r="F23" s="505"/>
      <c r="G23" s="329"/>
      <c r="H23" s="329" t="s">
        <v>42</v>
      </c>
      <c r="I23" s="329"/>
      <c r="J23" s="329"/>
      <c r="K23" s="505" t="s">
        <v>34</v>
      </c>
      <c r="L23" s="505"/>
      <c r="M23" s="329"/>
      <c r="N23" s="505" t="s">
        <v>635</v>
      </c>
      <c r="O23" s="505"/>
      <c r="P23" s="329"/>
      <c r="Q23" s="505" t="s">
        <v>635</v>
      </c>
      <c r="R23" s="505"/>
      <c r="S23" s="329"/>
      <c r="T23" s="505" t="s">
        <v>34</v>
      </c>
      <c r="U23" s="505"/>
      <c r="V23" s="329"/>
      <c r="W23" s="505" t="s">
        <v>637</v>
      </c>
      <c r="X23" s="505"/>
      <c r="Y23" s="329"/>
      <c r="Z23" s="505"/>
      <c r="AA23" s="505"/>
      <c r="AB23" s="329"/>
      <c r="AC23" s="505"/>
      <c r="AD23" s="505"/>
      <c r="AE23" s="329"/>
      <c r="AF23" s="505"/>
      <c r="AG23" s="505"/>
      <c r="AH23" s="329"/>
      <c r="AI23" s="505"/>
      <c r="AJ23" s="505"/>
      <c r="AK23" s="329"/>
      <c r="AL23" s="505"/>
      <c r="AM23" s="505"/>
      <c r="AN23" s="329"/>
      <c r="AO23" s="505"/>
      <c r="AP23" s="505"/>
      <c r="AQ23" s="330"/>
    </row>
    <row r="24" spans="1:49">
      <c r="A24" s="418"/>
      <c r="B24" s="329"/>
      <c r="C24" s="329"/>
      <c r="D24" s="329"/>
      <c r="E24" s="329"/>
      <c r="F24" s="329"/>
      <c r="G24" s="329"/>
      <c r="H24" s="329"/>
      <c r="I24" s="329"/>
      <c r="K24" s="412"/>
      <c r="M24" s="412"/>
      <c r="O24" s="423"/>
      <c r="Q24" s="423"/>
      <c r="S24" s="423"/>
      <c r="U24" s="329"/>
      <c r="W24" s="329"/>
      <c r="X24" s="329"/>
      <c r="Y24" s="329"/>
      <c r="Z24" s="329"/>
      <c r="AA24" s="329"/>
      <c r="AB24" s="329"/>
      <c r="AC24" s="329"/>
      <c r="AD24" s="329"/>
      <c r="AE24" s="329"/>
      <c r="AF24" s="329"/>
      <c r="AG24" s="329"/>
      <c r="AH24" s="329"/>
      <c r="AI24" s="329"/>
      <c r="AJ24" s="329"/>
      <c r="AK24" s="329"/>
      <c r="AL24" s="329"/>
      <c r="AM24" s="329"/>
      <c r="AN24" s="329"/>
      <c r="AO24" s="329"/>
      <c r="AP24" s="329"/>
      <c r="AQ24" s="330"/>
    </row>
    <row r="25" spans="1:49" ht="15" thickBot="1">
      <c r="A25" s="429"/>
      <c r="B25" s="647"/>
      <c r="C25" s="647"/>
      <c r="D25" s="343"/>
      <c r="E25" s="647"/>
      <c r="F25" s="647"/>
      <c r="G25" s="343"/>
      <c r="H25" s="647"/>
      <c r="I25" s="647"/>
      <c r="J25" s="343"/>
      <c r="K25" s="647"/>
      <c r="L25" s="647"/>
      <c r="M25" s="343"/>
      <c r="N25" s="647"/>
      <c r="O25" s="647"/>
      <c r="P25" s="343"/>
      <c r="Q25" s="647"/>
      <c r="R25" s="647"/>
      <c r="S25" s="306"/>
      <c r="T25" s="306"/>
      <c r="U25" s="306"/>
      <c r="V25" s="306"/>
      <c r="W25" s="306"/>
      <c r="X25" s="306"/>
      <c r="Y25" s="306"/>
      <c r="Z25" s="306"/>
      <c r="AA25" s="306"/>
      <c r="AB25" s="306"/>
      <c r="AC25" s="306"/>
      <c r="AD25" s="306"/>
      <c r="AE25" s="306"/>
      <c r="AF25" s="306"/>
      <c r="AG25" s="306"/>
      <c r="AH25" s="306"/>
      <c r="AI25" s="306"/>
      <c r="AJ25" s="306"/>
      <c r="AK25" s="306"/>
      <c r="AL25" s="306"/>
      <c r="AM25" s="306"/>
      <c r="AN25" s="306"/>
      <c r="AO25" s="306"/>
      <c r="AP25" s="306"/>
      <c r="AQ25" s="430"/>
      <c r="AS25" s="310">
        <f>+AS7+AS14+AS21</f>
        <v>13</v>
      </c>
      <c r="AT25" s="310">
        <f>+AT7+AT14+AT21</f>
        <v>13</v>
      </c>
      <c r="AU25" s="310">
        <f>+AU7+AU14+AU21</f>
        <v>11</v>
      </c>
      <c r="AV25" s="310">
        <f>+AV7+AV14+AV21</f>
        <v>0</v>
      </c>
      <c r="AW25" s="310">
        <f>+AW7+AW14+AW21</f>
        <v>0</v>
      </c>
    </row>
    <row r="26" spans="1:49" ht="15.75" customHeight="1" thickBot="1">
      <c r="A26" s="417"/>
      <c r="B26" s="614" t="s">
        <v>638</v>
      </c>
      <c r="C26" s="647"/>
      <c r="D26" s="647"/>
      <c r="E26" s="647"/>
      <c r="F26" s="647"/>
      <c r="G26" s="647"/>
      <c r="H26" s="647"/>
      <c r="I26" s="647"/>
      <c r="J26" s="647"/>
      <c r="K26" s="647"/>
      <c r="L26" s="615"/>
      <c r="N26" s="614" t="s">
        <v>639</v>
      </c>
      <c r="O26" s="647"/>
      <c r="P26" s="647"/>
      <c r="Q26" s="647"/>
      <c r="R26" s="647"/>
      <c r="S26" s="647"/>
      <c r="T26" s="647"/>
      <c r="U26" s="647"/>
      <c r="V26" s="615"/>
      <c r="W26" s="635" t="s">
        <v>640</v>
      </c>
      <c r="X26" s="636"/>
      <c r="Y26" s="636"/>
      <c r="Z26" s="636"/>
      <c r="AA26" s="636"/>
      <c r="AB26" s="636"/>
      <c r="AC26" s="636"/>
      <c r="AD26" s="636"/>
      <c r="AE26" s="636"/>
      <c r="AF26" s="636"/>
      <c r="AG26" s="636"/>
      <c r="AH26" s="636"/>
      <c r="AI26" s="636"/>
      <c r="AJ26" s="636"/>
      <c r="AK26" s="636"/>
      <c r="AL26" s="636"/>
      <c r="AM26" s="636"/>
      <c r="AN26" s="639" t="s">
        <v>354</v>
      </c>
      <c r="AO26" s="639"/>
      <c r="AP26" s="639"/>
      <c r="AQ26" s="640"/>
    </row>
    <row r="27" spans="1:49" ht="15" customHeight="1">
      <c r="A27" s="417"/>
      <c r="B27" s="417"/>
      <c r="O27" s="424"/>
      <c r="V27" s="327"/>
      <c r="W27" s="637"/>
      <c r="X27" s="638"/>
      <c r="Y27" s="638"/>
      <c r="Z27" s="638"/>
      <c r="AA27" s="638"/>
      <c r="AB27" s="638"/>
      <c r="AC27" s="638"/>
      <c r="AD27" s="638"/>
      <c r="AE27" s="638"/>
      <c r="AF27" s="638"/>
      <c r="AG27" s="638"/>
      <c r="AH27" s="638"/>
      <c r="AI27" s="638"/>
      <c r="AJ27" s="638"/>
      <c r="AK27" s="638"/>
      <c r="AL27" s="638"/>
      <c r="AM27" s="638"/>
      <c r="AN27" s="641">
        <v>46028</v>
      </c>
      <c r="AO27" s="641"/>
      <c r="AP27" s="641"/>
      <c r="AQ27" s="642"/>
    </row>
    <row r="28" spans="1:49">
      <c r="A28" s="417"/>
      <c r="B28" s="648" t="s">
        <v>475</v>
      </c>
      <c r="C28" s="649"/>
      <c r="D28" s="650"/>
      <c r="F28" s="586" t="s">
        <v>641</v>
      </c>
      <c r="G28" s="586"/>
      <c r="I28" s="586" t="s">
        <v>642</v>
      </c>
      <c r="J28" s="586"/>
      <c r="N28" s="588" t="s">
        <v>643</v>
      </c>
      <c r="O28" s="588"/>
      <c r="P28" s="525"/>
      <c r="R28" s="596" t="s">
        <v>644</v>
      </c>
      <c r="S28" s="597"/>
      <c r="T28" s="596"/>
      <c r="U28" s="597"/>
      <c r="V28" s="327"/>
      <c r="W28" s="643" t="s">
        <v>2</v>
      </c>
      <c r="X28" s="574"/>
      <c r="Y28" s="574" t="s">
        <v>356</v>
      </c>
      <c r="Z28" s="574"/>
      <c r="AA28" s="574"/>
      <c r="AB28" s="574"/>
      <c r="AC28" s="574" t="s">
        <v>645</v>
      </c>
      <c r="AD28" s="574"/>
      <c r="AE28" s="574" t="s">
        <v>646</v>
      </c>
      <c r="AF28" s="574"/>
      <c r="AG28" s="574"/>
      <c r="AH28" s="574" t="s">
        <v>32</v>
      </c>
      <c r="AI28" s="574"/>
      <c r="AJ28" s="574"/>
      <c r="AK28" s="574" t="s">
        <v>372</v>
      </c>
      <c r="AL28" s="574"/>
      <c r="AM28" s="574"/>
      <c r="AN28" s="574" t="s">
        <v>15</v>
      </c>
      <c r="AO28" s="574"/>
      <c r="AP28" s="574"/>
      <c r="AQ28" s="579"/>
    </row>
    <row r="29" spans="1:49">
      <c r="A29" s="417"/>
      <c r="B29" s="417"/>
      <c r="N29" s="588"/>
      <c r="O29" s="588"/>
      <c r="P29" s="525"/>
      <c r="R29" s="598"/>
      <c r="S29" s="599"/>
      <c r="T29" s="598"/>
      <c r="U29" s="599"/>
      <c r="V29" s="327"/>
      <c r="W29" s="621">
        <v>1</v>
      </c>
      <c r="X29" s="568"/>
      <c r="Y29" s="568" t="s">
        <v>376</v>
      </c>
      <c r="Z29" s="568"/>
      <c r="AA29" s="568"/>
      <c r="AB29" s="568"/>
      <c r="AC29" s="568" t="s">
        <v>377</v>
      </c>
      <c r="AD29" s="568"/>
      <c r="AE29" s="571">
        <v>7</v>
      </c>
      <c r="AF29" s="568"/>
      <c r="AG29" s="568"/>
      <c r="AH29" s="571">
        <f>+[1]Summary!M22</f>
        <v>7</v>
      </c>
      <c r="AI29" s="568"/>
      <c r="AJ29" s="568"/>
      <c r="AK29" s="568">
        <f t="shared" ref="AK29:AK37" si="0">AE29-AH29</f>
        <v>0</v>
      </c>
      <c r="AL29" s="568"/>
      <c r="AM29" s="568"/>
      <c r="AN29" s="568"/>
      <c r="AO29" s="568"/>
      <c r="AP29" s="568"/>
      <c r="AQ29" s="570"/>
    </row>
    <row r="30" spans="1:49">
      <c r="A30" s="417"/>
      <c r="B30" s="622" t="s">
        <v>473</v>
      </c>
      <c r="C30" s="623"/>
      <c r="D30" s="624"/>
      <c r="N30" s="588" t="s">
        <v>647</v>
      </c>
      <c r="O30" s="588"/>
      <c r="P30" s="525"/>
      <c r="R30" s="598"/>
      <c r="S30" s="599"/>
      <c r="T30" s="598"/>
      <c r="U30" s="599"/>
      <c r="V30" s="327"/>
      <c r="W30" s="621">
        <v>2</v>
      </c>
      <c r="X30" s="568"/>
      <c r="Y30" s="568" t="s">
        <v>378</v>
      </c>
      <c r="Z30" s="568"/>
      <c r="AA30" s="568"/>
      <c r="AB30" s="568"/>
      <c r="AC30" s="568" t="s">
        <v>377</v>
      </c>
      <c r="AD30" s="568"/>
      <c r="AE30" s="571">
        <v>7</v>
      </c>
      <c r="AF30" s="568"/>
      <c r="AG30" s="568"/>
      <c r="AH30" s="571">
        <v>7</v>
      </c>
      <c r="AI30" s="568"/>
      <c r="AJ30" s="568"/>
      <c r="AK30" s="568">
        <f t="shared" si="0"/>
        <v>0</v>
      </c>
      <c r="AL30" s="568"/>
      <c r="AM30" s="568"/>
      <c r="AN30" s="568"/>
      <c r="AO30" s="568"/>
      <c r="AP30" s="568"/>
      <c r="AQ30" s="570"/>
    </row>
    <row r="31" spans="1:49">
      <c r="A31" s="417"/>
      <c r="B31" s="417"/>
      <c r="N31" s="588"/>
      <c r="O31" s="588"/>
      <c r="P31" s="525"/>
      <c r="R31" s="600"/>
      <c r="S31" s="601"/>
      <c r="T31" s="600"/>
      <c r="U31" s="601"/>
      <c r="V31" s="327"/>
      <c r="W31" s="621">
        <v>3</v>
      </c>
      <c r="X31" s="568"/>
      <c r="Y31" s="568" t="s">
        <v>379</v>
      </c>
      <c r="Z31" s="568"/>
      <c r="AA31" s="568"/>
      <c r="AB31" s="568"/>
      <c r="AC31" s="568" t="s">
        <v>648</v>
      </c>
      <c r="AD31" s="568"/>
      <c r="AE31" s="568">
        <v>35</v>
      </c>
      <c r="AF31" s="568"/>
      <c r="AG31" s="568"/>
      <c r="AH31" s="568">
        <f>+AS25</f>
        <v>13</v>
      </c>
      <c r="AI31" s="568"/>
      <c r="AJ31" s="568"/>
      <c r="AK31" s="568">
        <f t="shared" si="0"/>
        <v>22</v>
      </c>
      <c r="AL31" s="568"/>
      <c r="AM31" s="568"/>
      <c r="AN31" s="568"/>
      <c r="AO31" s="568"/>
      <c r="AP31" s="568"/>
      <c r="AQ31" s="570"/>
    </row>
    <row r="32" spans="1:49">
      <c r="A32" s="417"/>
      <c r="B32" s="417"/>
      <c r="E32" s="626"/>
      <c r="F32" s="626"/>
      <c r="H32" s="625"/>
      <c r="I32" s="625"/>
      <c r="K32" s="626"/>
      <c r="L32" s="626"/>
      <c r="N32" s="588" t="s">
        <v>649</v>
      </c>
      <c r="O32" s="588"/>
      <c r="P32" s="525"/>
      <c r="R32" s="596" t="s">
        <v>453</v>
      </c>
      <c r="S32" s="597"/>
      <c r="T32" s="596"/>
      <c r="U32" s="597"/>
      <c r="V32" s="327"/>
      <c r="W32" s="621">
        <v>4</v>
      </c>
      <c r="X32" s="568"/>
      <c r="Y32" s="568" t="s">
        <v>381</v>
      </c>
      <c r="Z32" s="568"/>
      <c r="AA32" s="568"/>
      <c r="AB32" s="568"/>
      <c r="AC32" s="568" t="s">
        <v>648</v>
      </c>
      <c r="AD32" s="568"/>
      <c r="AE32" s="568">
        <v>35</v>
      </c>
      <c r="AF32" s="568"/>
      <c r="AG32" s="568"/>
      <c r="AH32" s="568">
        <f>+AT25</f>
        <v>13</v>
      </c>
      <c r="AI32" s="568"/>
      <c r="AJ32" s="568"/>
      <c r="AK32" s="568">
        <f t="shared" si="0"/>
        <v>22</v>
      </c>
      <c r="AL32" s="568"/>
      <c r="AM32" s="568"/>
      <c r="AN32" s="568"/>
      <c r="AO32" s="568"/>
      <c r="AP32" s="568"/>
      <c r="AQ32" s="570"/>
    </row>
    <row r="33" spans="1:43">
      <c r="A33" s="417"/>
      <c r="B33" s="425"/>
      <c r="C33" s="426"/>
      <c r="D33" s="427"/>
      <c r="E33" s="428"/>
      <c r="F33" s="322"/>
      <c r="G33" s="311"/>
      <c r="H33" s="310"/>
      <c r="I33" s="310"/>
      <c r="J33" s="311"/>
      <c r="K33" s="415"/>
      <c r="L33" s="310"/>
      <c r="M33" s="311"/>
      <c r="N33" s="588"/>
      <c r="O33" s="588"/>
      <c r="P33" s="525"/>
      <c r="R33" s="598"/>
      <c r="S33" s="599"/>
      <c r="T33" s="598"/>
      <c r="U33" s="599"/>
      <c r="V33" s="327"/>
      <c r="W33" s="621">
        <v>5</v>
      </c>
      <c r="X33" s="568"/>
      <c r="Y33" s="568" t="s">
        <v>473</v>
      </c>
      <c r="Z33" s="568"/>
      <c r="AA33" s="568"/>
      <c r="AB33" s="568"/>
      <c r="AC33" s="568" t="s">
        <v>648</v>
      </c>
      <c r="AD33" s="568"/>
      <c r="AE33" s="568">
        <v>35</v>
      </c>
      <c r="AF33" s="568"/>
      <c r="AG33" s="568"/>
      <c r="AH33" s="568">
        <f>+AU25</f>
        <v>11</v>
      </c>
      <c r="AI33" s="568"/>
      <c r="AJ33" s="568"/>
      <c r="AK33" s="568">
        <f t="shared" si="0"/>
        <v>24</v>
      </c>
      <c r="AL33" s="568"/>
      <c r="AM33" s="568"/>
      <c r="AN33" s="568"/>
      <c r="AO33" s="568"/>
      <c r="AP33" s="568"/>
      <c r="AQ33" s="570"/>
    </row>
    <row r="34" spans="1:43">
      <c r="A34" s="417"/>
      <c r="B34" s="644" t="s">
        <v>379</v>
      </c>
      <c r="C34" s="645"/>
      <c r="D34" s="646"/>
      <c r="E34" s="428"/>
      <c r="F34" s="428"/>
      <c r="G34" s="311"/>
      <c r="H34" s="310"/>
      <c r="I34" s="310"/>
      <c r="K34" s="415"/>
      <c r="L34" s="310"/>
      <c r="M34" s="311"/>
      <c r="N34" s="588" t="s">
        <v>650</v>
      </c>
      <c r="O34" s="588"/>
      <c r="P34" s="525"/>
      <c r="R34" s="598"/>
      <c r="S34" s="599"/>
      <c r="T34" s="598"/>
      <c r="U34" s="599"/>
      <c r="V34" s="327"/>
      <c r="W34" s="621">
        <v>6</v>
      </c>
      <c r="X34" s="568"/>
      <c r="Y34" s="568" t="s">
        <v>651</v>
      </c>
      <c r="Z34" s="568"/>
      <c r="AA34" s="568"/>
      <c r="AB34" s="568"/>
      <c r="AC34" s="568" t="s">
        <v>648</v>
      </c>
      <c r="AD34" s="568"/>
      <c r="AE34" s="568">
        <v>35</v>
      </c>
      <c r="AF34" s="568"/>
      <c r="AG34" s="568"/>
      <c r="AH34" s="568">
        <f>+AV25</f>
        <v>0</v>
      </c>
      <c r="AI34" s="568"/>
      <c r="AJ34" s="568"/>
      <c r="AK34" s="568">
        <f t="shared" si="0"/>
        <v>35</v>
      </c>
      <c r="AL34" s="568"/>
      <c r="AM34" s="568"/>
      <c r="AN34" s="569"/>
      <c r="AO34" s="628"/>
      <c r="AP34" s="628"/>
      <c r="AQ34" s="629"/>
    </row>
    <row r="35" spans="1:43">
      <c r="A35" s="417"/>
      <c r="B35" s="425" t="s">
        <v>652</v>
      </c>
      <c r="C35" s="426"/>
      <c r="E35" s="631" t="s">
        <v>38</v>
      </c>
      <c r="F35" s="631"/>
      <c r="G35" s="339">
        <v>293</v>
      </c>
      <c r="H35" s="632" t="s">
        <v>41</v>
      </c>
      <c r="I35" s="631"/>
      <c r="J35" s="312">
        <v>391</v>
      </c>
      <c r="K35" s="633" t="s">
        <v>45</v>
      </c>
      <c r="L35" s="634"/>
      <c r="M35" s="311"/>
      <c r="N35" s="588"/>
      <c r="O35" s="588"/>
      <c r="P35" s="525"/>
      <c r="R35" s="600"/>
      <c r="S35" s="601"/>
      <c r="T35" s="600"/>
      <c r="U35" s="601"/>
      <c r="V35" s="327"/>
      <c r="W35" s="621">
        <v>7</v>
      </c>
      <c r="X35" s="568"/>
      <c r="Y35" s="568" t="s">
        <v>653</v>
      </c>
      <c r="Z35" s="568"/>
      <c r="AA35" s="568"/>
      <c r="AB35" s="568"/>
      <c r="AC35" s="568" t="s">
        <v>377</v>
      </c>
      <c r="AD35" s="568"/>
      <c r="AE35" s="571">
        <v>7</v>
      </c>
      <c r="AF35" s="568"/>
      <c r="AG35" s="568"/>
      <c r="AH35" s="630">
        <f>+AW25</f>
        <v>0</v>
      </c>
      <c r="AI35" s="630"/>
      <c r="AJ35" s="630"/>
      <c r="AK35" s="571">
        <f t="shared" si="0"/>
        <v>7</v>
      </c>
      <c r="AL35" s="571"/>
      <c r="AM35" s="571"/>
      <c r="AN35" s="568"/>
      <c r="AO35" s="568"/>
      <c r="AP35" s="568"/>
      <c r="AQ35" s="570"/>
    </row>
    <row r="36" spans="1:43">
      <c r="A36" s="417"/>
      <c r="B36" s="425" t="s">
        <v>400</v>
      </c>
      <c r="C36" s="426"/>
      <c r="E36" s="618" t="s">
        <v>39</v>
      </c>
      <c r="F36" s="618"/>
      <c r="H36" s="618" t="s">
        <v>37</v>
      </c>
      <c r="I36" s="618"/>
      <c r="J36" s="312"/>
      <c r="K36" s="619" t="s">
        <v>46</v>
      </c>
      <c r="L36" s="620"/>
      <c r="M36" s="311"/>
      <c r="N36" s="588" t="s">
        <v>654</v>
      </c>
      <c r="O36" s="588"/>
      <c r="P36" s="525"/>
      <c r="R36" s="513" t="s">
        <v>439</v>
      </c>
      <c r="S36" s="513"/>
      <c r="T36" s="525"/>
      <c r="U36" s="525"/>
      <c r="V36" s="327"/>
      <c r="W36" s="621">
        <v>8</v>
      </c>
      <c r="X36" s="568"/>
      <c r="Y36" s="568" t="s">
        <v>655</v>
      </c>
      <c r="Z36" s="568"/>
      <c r="AA36" s="568"/>
      <c r="AB36" s="568"/>
      <c r="AC36" s="568" t="s">
        <v>377</v>
      </c>
      <c r="AD36" s="568"/>
      <c r="AE36" s="571">
        <v>7</v>
      </c>
      <c r="AF36" s="568"/>
      <c r="AG36" s="568"/>
      <c r="AH36" s="571">
        <f>+[1]Summary!M30</f>
        <v>0</v>
      </c>
      <c r="AI36" s="568"/>
      <c r="AJ36" s="568"/>
      <c r="AK36" s="568">
        <f t="shared" si="0"/>
        <v>7</v>
      </c>
      <c r="AL36" s="568"/>
      <c r="AM36" s="568"/>
      <c r="AN36" s="568"/>
      <c r="AO36" s="568"/>
      <c r="AP36" s="568"/>
      <c r="AQ36" s="570"/>
    </row>
    <row r="37" spans="1:43" ht="15" thickBot="1">
      <c r="A37" s="429"/>
      <c r="B37" s="429"/>
      <c r="C37" s="306"/>
      <c r="D37" s="306"/>
      <c r="E37" s="306"/>
      <c r="F37" s="587" t="s">
        <v>381</v>
      </c>
      <c r="G37" s="587"/>
      <c r="H37" s="306"/>
      <c r="I37" s="306"/>
      <c r="J37" s="587" t="s">
        <v>656</v>
      </c>
      <c r="K37" s="587"/>
      <c r="L37" s="587"/>
      <c r="M37" s="306"/>
      <c r="N37" s="589"/>
      <c r="O37" s="589"/>
      <c r="P37" s="595"/>
      <c r="Q37" s="306"/>
      <c r="R37" s="514"/>
      <c r="S37" s="514"/>
      <c r="T37" s="595"/>
      <c r="U37" s="595"/>
      <c r="V37" s="430"/>
      <c r="W37" s="617">
        <v>9</v>
      </c>
      <c r="X37" s="580"/>
      <c r="Y37" s="580" t="s">
        <v>390</v>
      </c>
      <c r="Z37" s="580"/>
      <c r="AA37" s="580"/>
      <c r="AB37" s="580"/>
      <c r="AC37" s="580" t="s">
        <v>377</v>
      </c>
      <c r="AD37" s="580"/>
      <c r="AE37" s="571">
        <v>7</v>
      </c>
      <c r="AF37" s="568"/>
      <c r="AG37" s="568"/>
      <c r="AH37" s="594">
        <f>+[1]Summary!M31</f>
        <v>0</v>
      </c>
      <c r="AI37" s="580"/>
      <c r="AJ37" s="580"/>
      <c r="AK37" s="580">
        <f t="shared" si="0"/>
        <v>7</v>
      </c>
      <c r="AL37" s="580"/>
      <c r="AM37" s="580"/>
      <c r="AN37" s="580"/>
      <c r="AO37" s="580"/>
      <c r="AP37" s="580"/>
      <c r="AQ37" s="582"/>
    </row>
    <row r="41" spans="1:43">
      <c r="AH41" s="627"/>
      <c r="AI41" s="627"/>
    </row>
  </sheetData>
  <mergeCells count="244"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A1:AQ1"/>
    <mergeCell ref="AS1:AW1"/>
    <mergeCell ref="Q2:AA2"/>
    <mergeCell ref="AK2:AM2"/>
    <mergeCell ref="E5:F5"/>
    <mergeCell ref="H5:I5"/>
    <mergeCell ref="K5:L5"/>
    <mergeCell ref="N5:O5"/>
    <mergeCell ref="AI5:AJ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</mergeCells>
  <conditionalFormatting sqref="E33">
    <cfRule type="containsText" dxfId="27" priority="5" operator="containsText" text="Str">
      <formula>NOT(ISERROR(SEARCH("Str",E33)))</formula>
    </cfRule>
    <cfRule type="containsText" dxfId="26" priority="6" operator="containsText" text="Ere">
      <formula>NOT(ISERROR(SEARCH("Ere",E33)))</formula>
    </cfRule>
    <cfRule type="containsText" dxfId="25" priority="7" operator="containsText" text="Ear">
      <formula>NOT(ISERROR(SEARCH("Ear",E33)))</formula>
    </cfRule>
    <cfRule type="containsText" dxfId="24" priority="8" operator="containsText" text="fnd">
      <formula>NOT(ISERROR(SEARCH("fnd",E33)))</formula>
    </cfRule>
  </conditionalFormatting>
  <conditionalFormatting sqref="E34:F34">
    <cfRule type="containsText" dxfId="23" priority="9" operator="containsText" text="Str">
      <formula>NOT(ISERROR(SEARCH("Str",E34)))</formula>
    </cfRule>
    <cfRule type="containsText" dxfId="22" priority="10" operator="containsText" text="Ere">
      <formula>NOT(ISERROR(SEARCH("Ere",E34)))</formula>
    </cfRule>
    <cfRule type="containsText" dxfId="21" priority="11" operator="containsText" text="Ear">
      <formula>NOT(ISERROR(SEARCH("Ear",E34)))</formula>
    </cfRule>
    <cfRule type="containsText" dxfId="20" priority="12" operator="containsText" text="fnd">
      <formula>NOT(ISERROR(SEARCH("fnd",E34)))</formula>
    </cfRule>
  </conditionalFormatting>
  <conditionalFormatting sqref="K33:K34">
    <cfRule type="containsText" dxfId="19" priority="13" operator="containsText" text="Str">
      <formula>NOT(ISERROR(SEARCH("Str",K33)))</formula>
    </cfRule>
    <cfRule type="containsText" dxfId="18" priority="14" operator="containsText" text="Ere">
      <formula>NOT(ISERROR(SEARCH("Ere",K33)))</formula>
    </cfRule>
    <cfRule type="containsText" dxfId="17" priority="15" operator="containsText" text="Ear">
      <formula>NOT(ISERROR(SEARCH("Ear",K33)))</formula>
    </cfRule>
    <cfRule type="containsText" dxfId="16" priority="16" operator="containsText" text="fnd">
      <formula>NOT(ISERROR(SEARCH("fnd",K33)))</formula>
    </cfRule>
  </conditionalFormatting>
  <conditionalFormatting sqref="O27">
    <cfRule type="containsText" dxfId="15" priority="1" operator="containsText" text="Str">
      <formula>NOT(ISERROR(SEARCH("Str",O27)))</formula>
    </cfRule>
    <cfRule type="containsText" dxfId="14" priority="2" operator="containsText" text="Ere">
      <formula>NOT(ISERROR(SEARCH("Ere",O27)))</formula>
    </cfRule>
    <cfRule type="containsText" dxfId="13" priority="3" operator="containsText" text="Ear">
      <formula>NOT(ISERROR(SEARCH("Ear",O27)))</formula>
    </cfRule>
    <cfRule type="containsText" dxfId="12" priority="4" operator="containsText" text="fnd">
      <formula>NOT(ISERROR(SEARCH("fnd",O27)))</formula>
    </cfRule>
  </conditionalFormatting>
  <conditionalFormatting sqref="W14:X14">
    <cfRule type="containsText" dxfId="11" priority="17" operator="containsText" text="Str">
      <formula>NOT(ISERROR(SEARCH("Str",W14)))</formula>
    </cfRule>
    <cfRule type="containsText" dxfId="10" priority="18" operator="containsText" text="Ere">
      <formula>NOT(ISERROR(SEARCH("Ere",W14)))</formula>
    </cfRule>
    <cfRule type="containsText" dxfId="9" priority="19" operator="containsText" text="Ear">
      <formula>NOT(ISERROR(SEARCH("Ear",W14)))</formula>
    </cfRule>
    <cfRule type="containsText" dxfId="8" priority="20" operator="containsText" text="fnd">
      <formula>NOT(ISERROR(SEARCH("fnd",W14)))</formula>
    </cfRule>
  </conditionalFormatting>
  <conditionalFormatting sqref="AO21">
    <cfRule type="containsText" dxfId="7" priority="21" operator="containsText" text="Str">
      <formula>NOT(ISERROR(SEARCH("Str",AO21)))</formula>
    </cfRule>
    <cfRule type="containsText" dxfId="6" priority="22" operator="containsText" text="Ere">
      <formula>NOT(ISERROR(SEARCH("Ere",AO21)))</formula>
    </cfRule>
    <cfRule type="containsText" dxfId="5" priority="23" operator="containsText" text="Ear">
      <formula>NOT(ISERROR(SEARCH("Ear",AO21)))</formula>
    </cfRule>
    <cfRule type="containsText" dxfId="4" priority="24" operator="containsText" text="fnd">
      <formula>NOT(ISERROR(SEARCH("fnd",AO21)))</formula>
    </cfRule>
  </conditionalFormatting>
  <conditionalFormatting sqref="AS2:AU2 AW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5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13" workbookViewId="0">
      <selection sqref="A1:H1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667" t="str">
        <f>+Summary!A2</f>
        <v>Name of the Line: 220KV DC AL59 line from Neemuch - Chanderiya + 132KV DC ACSS Line from Chanderiya to Hindustan Zinc</v>
      </c>
      <c r="B1" s="668"/>
      <c r="C1" s="668"/>
      <c r="D1" s="668"/>
      <c r="E1" s="668"/>
      <c r="F1" s="668"/>
      <c r="G1" s="668"/>
      <c r="H1" s="669"/>
    </row>
    <row r="2" spans="1:8" ht="14.25" customHeight="1">
      <c r="A2" s="670" t="s">
        <v>657</v>
      </c>
      <c r="B2" s="671"/>
      <c r="C2" s="671"/>
      <c r="D2" s="671"/>
      <c r="E2" s="671"/>
      <c r="F2" s="671"/>
      <c r="G2" s="672"/>
      <c r="H2" s="249">
        <f>+Summary!R5</f>
        <v>46030</v>
      </c>
    </row>
    <row r="3" spans="1:8" ht="14.25" customHeight="1">
      <c r="A3" s="250" t="s">
        <v>2</v>
      </c>
      <c r="B3" s="9" t="s">
        <v>658</v>
      </c>
      <c r="C3" s="9" t="s">
        <v>357</v>
      </c>
      <c r="D3" s="9" t="s">
        <v>659</v>
      </c>
      <c r="E3" s="9" t="s">
        <v>660</v>
      </c>
      <c r="F3" s="9" t="s">
        <v>661</v>
      </c>
      <c r="G3" s="9" t="s">
        <v>372</v>
      </c>
      <c r="H3" s="251" t="s">
        <v>15</v>
      </c>
    </row>
    <row r="4" spans="1:8" ht="14.25" customHeight="1">
      <c r="A4" s="252">
        <v>1</v>
      </c>
      <c r="B4" s="229" t="s">
        <v>662</v>
      </c>
      <c r="C4" s="5" t="s">
        <v>380</v>
      </c>
      <c r="D4" s="5">
        <v>198</v>
      </c>
      <c r="E4" s="5">
        <v>198</v>
      </c>
      <c r="F4" s="5">
        <v>198</v>
      </c>
      <c r="G4" s="5">
        <f>+D4-F4</f>
        <v>0</v>
      </c>
      <c r="H4" s="666"/>
    </row>
    <row r="5" spans="1:8" ht="14.25" customHeight="1">
      <c r="A5" s="252"/>
      <c r="B5" s="5" t="s">
        <v>663</v>
      </c>
      <c r="C5" s="5" t="s">
        <v>380</v>
      </c>
      <c r="D5" s="15"/>
      <c r="E5" s="15">
        <v>117</v>
      </c>
      <c r="F5" s="15">
        <v>117</v>
      </c>
      <c r="G5" s="15"/>
      <c r="H5" s="664"/>
    </row>
    <row r="6" spans="1:8" ht="14.25" customHeight="1">
      <c r="A6" s="252"/>
      <c r="B6" s="5" t="s">
        <v>664</v>
      </c>
      <c r="C6" s="5" t="s">
        <v>380</v>
      </c>
      <c r="D6" s="15"/>
      <c r="E6" s="15">
        <v>38</v>
      </c>
      <c r="F6" s="15">
        <v>38</v>
      </c>
      <c r="G6" s="15"/>
      <c r="H6" s="664"/>
    </row>
    <row r="7" spans="1:8" ht="14.25" customHeight="1">
      <c r="A7" s="252"/>
      <c r="B7" s="5" t="s">
        <v>665</v>
      </c>
      <c r="C7" s="5" t="s">
        <v>380</v>
      </c>
      <c r="D7" s="15"/>
      <c r="E7" s="15">
        <v>20</v>
      </c>
      <c r="F7" s="15">
        <v>20</v>
      </c>
      <c r="G7" s="15"/>
      <c r="H7" s="664"/>
    </row>
    <row r="8" spans="1:8" ht="14.25" customHeight="1">
      <c r="A8" s="252"/>
      <c r="B8" s="5" t="s">
        <v>666</v>
      </c>
      <c r="C8" s="5" t="s">
        <v>380</v>
      </c>
      <c r="D8" s="15"/>
      <c r="E8" s="15">
        <v>18</v>
      </c>
      <c r="F8" s="15">
        <v>18</v>
      </c>
      <c r="G8" s="15"/>
      <c r="H8" s="664"/>
    </row>
    <row r="9" spans="1:8" ht="14.25" customHeight="1">
      <c r="A9" s="252"/>
      <c r="B9" s="5" t="s">
        <v>260</v>
      </c>
      <c r="C9" s="5" t="s">
        <v>380</v>
      </c>
      <c r="D9" s="15"/>
      <c r="E9" s="15">
        <v>3</v>
      </c>
      <c r="F9" s="15">
        <v>3</v>
      </c>
      <c r="G9" s="15"/>
      <c r="H9" s="664"/>
    </row>
    <row r="10" spans="1:8" ht="14.25" customHeight="1">
      <c r="A10" s="252"/>
      <c r="B10" s="5" t="s">
        <v>667</v>
      </c>
      <c r="C10" s="5" t="s">
        <v>380</v>
      </c>
      <c r="D10" s="15"/>
      <c r="E10" s="15">
        <v>2</v>
      </c>
      <c r="F10" s="15">
        <v>0</v>
      </c>
      <c r="G10" s="15"/>
      <c r="H10" s="665"/>
    </row>
    <row r="11" spans="1:8" ht="14.25" customHeight="1">
      <c r="A11" s="252">
        <v>2</v>
      </c>
      <c r="B11" s="229" t="s">
        <v>668</v>
      </c>
      <c r="C11" s="5" t="s">
        <v>380</v>
      </c>
      <c r="D11" s="5">
        <v>198</v>
      </c>
      <c r="E11" s="5">
        <v>198</v>
      </c>
      <c r="F11" s="5">
        <v>194</v>
      </c>
      <c r="G11" s="5">
        <f>+D11-F11</f>
        <v>4</v>
      </c>
      <c r="H11" s="666"/>
    </row>
    <row r="12" spans="1:8" ht="14.25" customHeight="1">
      <c r="A12" s="252"/>
      <c r="B12" s="5" t="s">
        <v>663</v>
      </c>
      <c r="C12" s="5" t="s">
        <v>380</v>
      </c>
      <c r="D12" s="15"/>
      <c r="E12" s="15">
        <v>117</v>
      </c>
      <c r="F12" s="15">
        <v>117</v>
      </c>
      <c r="G12" s="15"/>
      <c r="H12" s="664"/>
    </row>
    <row r="13" spans="1:8" ht="14.25" customHeight="1">
      <c r="A13" s="252"/>
      <c r="B13" s="5" t="s">
        <v>664</v>
      </c>
      <c r="C13" s="5" t="s">
        <v>380</v>
      </c>
      <c r="D13" s="15"/>
      <c r="E13" s="15">
        <v>38</v>
      </c>
      <c r="F13" s="15">
        <v>38</v>
      </c>
      <c r="G13" s="15"/>
      <c r="H13" s="664"/>
    </row>
    <row r="14" spans="1:8" ht="14.25" customHeight="1">
      <c r="A14" s="252"/>
      <c r="B14" s="5" t="s">
        <v>665</v>
      </c>
      <c r="C14" s="5" t="s">
        <v>380</v>
      </c>
      <c r="D14" s="15"/>
      <c r="E14" s="15">
        <v>20</v>
      </c>
      <c r="F14" s="15">
        <v>19</v>
      </c>
      <c r="G14" s="15"/>
      <c r="H14" s="664"/>
    </row>
    <row r="15" spans="1:8" ht="14.25" customHeight="1">
      <c r="A15" s="253"/>
      <c r="B15" s="5" t="s">
        <v>666</v>
      </c>
      <c r="C15" s="5" t="s">
        <v>380</v>
      </c>
      <c r="D15" s="15"/>
      <c r="E15" s="15">
        <v>18</v>
      </c>
      <c r="F15" s="15">
        <v>18</v>
      </c>
      <c r="G15" s="15"/>
      <c r="H15" s="665"/>
    </row>
    <row r="16" spans="1:8" ht="14.25" customHeight="1">
      <c r="A16" s="253"/>
      <c r="B16" s="5" t="s">
        <v>260</v>
      </c>
      <c r="C16" s="5" t="s">
        <v>380</v>
      </c>
      <c r="D16" s="15"/>
      <c r="E16" s="15">
        <v>3</v>
      </c>
      <c r="F16" s="15">
        <v>2</v>
      </c>
      <c r="G16" s="15"/>
    </row>
    <row r="17" spans="1:8" ht="14.25" customHeight="1">
      <c r="A17" s="253"/>
      <c r="B17" s="5" t="s">
        <v>667</v>
      </c>
      <c r="C17" s="5" t="s">
        <v>380</v>
      </c>
      <c r="D17" s="15"/>
      <c r="E17" s="15">
        <v>2</v>
      </c>
      <c r="F17" s="15">
        <v>2</v>
      </c>
      <c r="G17" s="15"/>
      <c r="H17" s="254"/>
    </row>
    <row r="18" spans="1:8" ht="14.25" customHeight="1">
      <c r="A18" s="252">
        <v>3</v>
      </c>
      <c r="B18" s="229" t="s">
        <v>669</v>
      </c>
      <c r="C18" s="5" t="s">
        <v>670</v>
      </c>
      <c r="D18" s="255">
        <v>1</v>
      </c>
      <c r="E18" s="255"/>
      <c r="F18" s="255">
        <v>1</v>
      </c>
      <c r="G18" s="255">
        <f t="shared" ref="G18:G20" si="0">+D18-F18</f>
        <v>0</v>
      </c>
      <c r="H18" s="256"/>
    </row>
    <row r="19" spans="1:8" ht="14.25" customHeight="1">
      <c r="A19" s="257">
        <v>4</v>
      </c>
      <c r="B19" s="229" t="s">
        <v>671</v>
      </c>
      <c r="C19" s="5" t="s">
        <v>670</v>
      </c>
      <c r="D19" s="255">
        <v>1</v>
      </c>
      <c r="E19" s="255"/>
      <c r="F19" s="255">
        <v>1</v>
      </c>
      <c r="G19" s="255">
        <f t="shared" si="0"/>
        <v>0</v>
      </c>
      <c r="H19" s="256"/>
    </row>
    <row r="20" spans="1:8" ht="14.25" customHeight="1">
      <c r="A20" s="258">
        <v>5</v>
      </c>
      <c r="B20" s="259" t="s">
        <v>390</v>
      </c>
      <c r="C20" s="260" t="s">
        <v>670</v>
      </c>
      <c r="D20" s="261">
        <v>1</v>
      </c>
      <c r="E20" s="261"/>
      <c r="F20" s="261">
        <v>1</v>
      </c>
      <c r="G20" s="261">
        <f t="shared" si="0"/>
        <v>0</v>
      </c>
      <c r="H20" s="262"/>
    </row>
    <row r="21" spans="1:8" ht="14.25" customHeight="1"/>
    <row r="22" spans="1:8" ht="14.25" customHeight="1">
      <c r="A22" s="670" t="s">
        <v>672</v>
      </c>
      <c r="B22" s="671"/>
      <c r="C22" s="671"/>
      <c r="D22" s="671"/>
      <c r="E22" s="671"/>
      <c r="F22" s="671"/>
      <c r="G22" s="672"/>
      <c r="H22" s="249">
        <f>+Summary!R5</f>
        <v>46030</v>
      </c>
    </row>
    <row r="23" spans="1:8" ht="14.25" customHeight="1">
      <c r="A23" s="250" t="s">
        <v>2</v>
      </c>
      <c r="B23" s="9" t="s">
        <v>658</v>
      </c>
      <c r="C23" s="9" t="s">
        <v>357</v>
      </c>
      <c r="D23" s="9" t="s">
        <v>659</v>
      </c>
      <c r="E23" s="9" t="s">
        <v>660</v>
      </c>
      <c r="F23" s="9" t="s">
        <v>661</v>
      </c>
      <c r="G23" s="9" t="s">
        <v>372</v>
      </c>
      <c r="H23" s="251" t="s">
        <v>15</v>
      </c>
    </row>
    <row r="24" spans="1:8" ht="14.25" customHeight="1">
      <c r="A24" s="252">
        <v>1</v>
      </c>
      <c r="B24" s="229" t="s">
        <v>662</v>
      </c>
      <c r="C24" s="5" t="s">
        <v>380</v>
      </c>
      <c r="D24" s="5">
        <v>35</v>
      </c>
      <c r="E24" s="5">
        <v>35</v>
      </c>
      <c r="F24" s="5">
        <v>34</v>
      </c>
      <c r="G24" s="5">
        <f>+D24-F24</f>
        <v>1</v>
      </c>
      <c r="H24" s="663"/>
    </row>
    <row r="25" spans="1:8" ht="14.25" customHeight="1">
      <c r="A25" s="252"/>
      <c r="B25" s="5" t="s">
        <v>663</v>
      </c>
      <c r="C25" s="5" t="s">
        <v>380</v>
      </c>
      <c r="D25" s="15"/>
      <c r="E25" s="15">
        <v>9</v>
      </c>
      <c r="F25" s="15">
        <v>9</v>
      </c>
      <c r="G25" s="15"/>
      <c r="H25" s="664"/>
    </row>
    <row r="26" spans="1:8" ht="14.25" customHeight="1">
      <c r="A26" s="252"/>
      <c r="B26" s="5" t="s">
        <v>666</v>
      </c>
      <c r="C26" s="5" t="s">
        <v>380</v>
      </c>
      <c r="D26" s="15"/>
      <c r="E26" s="15">
        <v>19</v>
      </c>
      <c r="F26" s="15">
        <v>19</v>
      </c>
      <c r="G26" s="15"/>
      <c r="H26" s="665"/>
    </row>
    <row r="27" spans="1:8" ht="14.25" customHeight="1">
      <c r="A27" s="252"/>
      <c r="B27" s="5" t="s">
        <v>635</v>
      </c>
      <c r="C27" s="5" t="s">
        <v>380</v>
      </c>
      <c r="D27" s="15"/>
      <c r="E27" s="15">
        <v>6</v>
      </c>
      <c r="F27" s="15">
        <v>6</v>
      </c>
      <c r="G27" s="15"/>
      <c r="H27" s="263"/>
    </row>
    <row r="28" spans="1:8" ht="14.25" customHeight="1">
      <c r="A28" s="252"/>
      <c r="B28" s="5" t="s">
        <v>673</v>
      </c>
      <c r="C28" s="5" t="s">
        <v>380</v>
      </c>
      <c r="D28" s="15"/>
      <c r="E28" s="15">
        <v>1</v>
      </c>
      <c r="F28" s="15"/>
      <c r="G28" s="15"/>
      <c r="H28" s="263"/>
    </row>
    <row r="29" spans="1:8" ht="14.25" customHeight="1">
      <c r="A29" s="252">
        <v>2</v>
      </c>
      <c r="B29" s="229" t="s">
        <v>668</v>
      </c>
      <c r="C29" s="5" t="s">
        <v>380</v>
      </c>
      <c r="D29" s="5">
        <v>35</v>
      </c>
      <c r="E29" s="5">
        <v>35</v>
      </c>
      <c r="F29" s="5">
        <f>SUM(F30:F33)</f>
        <v>34</v>
      </c>
      <c r="G29" s="5">
        <f>+D29-F29</f>
        <v>1</v>
      </c>
      <c r="H29" s="666"/>
    </row>
    <row r="30" spans="1:8" ht="14.25" customHeight="1">
      <c r="A30" s="252"/>
      <c r="B30" s="5" t="s">
        <v>18</v>
      </c>
      <c r="C30" s="5" t="s">
        <v>380</v>
      </c>
      <c r="D30" s="15"/>
      <c r="E30" s="15">
        <v>9</v>
      </c>
      <c r="F30" s="15">
        <v>9</v>
      </c>
      <c r="G30" s="15"/>
      <c r="H30" s="664"/>
    </row>
    <row r="31" spans="1:8" ht="14.25" customHeight="1">
      <c r="A31" s="253"/>
      <c r="B31" s="5" t="s">
        <v>21</v>
      </c>
      <c r="C31" s="5" t="s">
        <v>380</v>
      </c>
      <c r="D31" s="15"/>
      <c r="E31" s="15">
        <v>19</v>
      </c>
      <c r="F31" s="15">
        <v>19</v>
      </c>
      <c r="G31" s="15"/>
      <c r="H31" s="665"/>
    </row>
    <row r="32" spans="1:8" ht="14.25" customHeight="1">
      <c r="A32" s="253"/>
      <c r="B32" s="5" t="s">
        <v>635</v>
      </c>
      <c r="C32" s="5" t="s">
        <v>380</v>
      </c>
      <c r="D32" s="15"/>
      <c r="E32" s="15">
        <v>6</v>
      </c>
      <c r="F32" s="15">
        <v>6</v>
      </c>
      <c r="G32" s="15"/>
      <c r="H32" s="256"/>
    </row>
    <row r="33" spans="1:8" ht="14.25" customHeight="1">
      <c r="A33" s="253"/>
      <c r="B33" s="5" t="s">
        <v>673</v>
      </c>
      <c r="C33" s="5" t="s">
        <v>380</v>
      </c>
      <c r="D33" s="15"/>
      <c r="E33" s="15">
        <v>1</v>
      </c>
      <c r="F33" s="15"/>
      <c r="G33" s="15"/>
      <c r="H33" s="264"/>
    </row>
    <row r="34" spans="1:8" ht="14.25" customHeight="1">
      <c r="A34" s="252">
        <v>3</v>
      </c>
      <c r="B34" s="229" t="s">
        <v>669</v>
      </c>
      <c r="C34" s="5" t="s">
        <v>670</v>
      </c>
      <c r="D34" s="255">
        <v>1</v>
      </c>
      <c r="E34" s="255"/>
      <c r="F34" s="255">
        <v>1</v>
      </c>
      <c r="G34" s="255">
        <f t="shared" ref="G34:G36" si="1">+D34-F34</f>
        <v>0</v>
      </c>
      <c r="H34" s="256"/>
    </row>
    <row r="35" spans="1:8" ht="14.25" customHeight="1">
      <c r="A35" s="257">
        <v>4</v>
      </c>
      <c r="B35" s="229" t="s">
        <v>671</v>
      </c>
      <c r="C35" s="5" t="s">
        <v>670</v>
      </c>
      <c r="D35" s="255">
        <v>1</v>
      </c>
      <c r="E35" s="255"/>
      <c r="F35" s="5"/>
      <c r="G35" s="255">
        <f t="shared" si="1"/>
        <v>1</v>
      </c>
      <c r="H35" s="256"/>
    </row>
    <row r="36" spans="1:8" ht="14.25" customHeight="1">
      <c r="A36" s="258">
        <v>5</v>
      </c>
      <c r="B36" s="259" t="s">
        <v>390</v>
      </c>
      <c r="C36" s="260" t="s">
        <v>670</v>
      </c>
      <c r="D36" s="261">
        <v>1</v>
      </c>
      <c r="E36" s="261"/>
      <c r="F36" s="261">
        <v>1</v>
      </c>
      <c r="G36" s="261">
        <f t="shared" si="1"/>
        <v>0</v>
      </c>
      <c r="H36" s="262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A15" workbookViewId="0">
      <selection activeCell="K22" sqref="K22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customWidth="1"/>
    <col min="17" max="26" width="9.08984375" customWidth="1"/>
  </cols>
  <sheetData>
    <row r="1" spans="1:18" ht="20.25" customHeight="1">
      <c r="A1" s="673" t="str">
        <f>+Summary!A5</f>
        <v>Progress of 220kV Line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265" t="s">
        <v>680</v>
      </c>
      <c r="P1" s="266">
        <f>+Summary!R5</f>
        <v>46030</v>
      </c>
      <c r="Q1" s="267"/>
      <c r="R1" s="267" t="s">
        <v>0</v>
      </c>
    </row>
    <row r="2" spans="1:18" ht="29.25" customHeight="1">
      <c r="A2" s="679" t="s">
        <v>355</v>
      </c>
      <c r="B2" s="681" t="s">
        <v>681</v>
      </c>
      <c r="C2" s="681" t="s">
        <v>357</v>
      </c>
      <c r="D2" s="682" t="s">
        <v>682</v>
      </c>
      <c r="E2" s="674" t="s">
        <v>683</v>
      </c>
      <c r="F2" s="672"/>
      <c r="G2" s="674" t="str">
        <f>+Summary!I6</f>
        <v>Progress of Current Month (Jan'26)</v>
      </c>
      <c r="H2" s="671"/>
      <c r="I2" s="672"/>
      <c r="J2" s="674" t="s">
        <v>361</v>
      </c>
      <c r="K2" s="671"/>
      <c r="L2" s="672"/>
      <c r="M2" s="674" t="str">
        <f>+Summary!O6</f>
        <v>Resources Status</v>
      </c>
      <c r="N2" s="671"/>
      <c r="O2" s="672"/>
      <c r="P2" s="675" t="s">
        <v>15</v>
      </c>
      <c r="Q2" s="267"/>
      <c r="R2" s="267"/>
    </row>
    <row r="3" spans="1:18" ht="12.75" customHeight="1">
      <c r="A3" s="680"/>
      <c r="B3" s="451"/>
      <c r="C3" s="451"/>
      <c r="D3" s="451"/>
      <c r="E3" s="268" t="s">
        <v>684</v>
      </c>
      <c r="F3" s="268" t="s">
        <v>685</v>
      </c>
      <c r="G3" s="268" t="s">
        <v>686</v>
      </c>
      <c r="H3" s="268" t="s">
        <v>687</v>
      </c>
      <c r="I3" s="268" t="s">
        <v>688</v>
      </c>
      <c r="J3" s="268" t="s">
        <v>686</v>
      </c>
      <c r="K3" s="268" t="s">
        <v>32</v>
      </c>
      <c r="L3" s="268" t="s">
        <v>372</v>
      </c>
      <c r="M3" s="269" t="str">
        <f>+Summary!O7</f>
        <v>Targeted Gang</v>
      </c>
      <c r="N3" s="269" t="str">
        <f>+Summary!P7</f>
        <v>Available Gang</v>
      </c>
      <c r="O3" s="269" t="str">
        <f>+Summary!Q7</f>
        <v>Shortfall
Gang</v>
      </c>
      <c r="P3" s="665"/>
      <c r="Q3" s="267"/>
      <c r="R3" s="267"/>
    </row>
    <row r="4" spans="1:18" ht="12.75" customHeight="1">
      <c r="A4" s="270">
        <v>1</v>
      </c>
      <c r="B4" s="271" t="s">
        <v>376</v>
      </c>
      <c r="C4" s="272" t="s">
        <v>689</v>
      </c>
      <c r="D4" s="273">
        <f>+Summary!D8</f>
        <v>64</v>
      </c>
      <c r="E4" s="273">
        <f>+Summary!G8</f>
        <v>69.180000000000007</v>
      </c>
      <c r="F4" s="273">
        <v>64.177999999999997</v>
      </c>
      <c r="G4" s="274">
        <f>+Summary!I8</f>
        <v>0</v>
      </c>
      <c r="H4" s="275">
        <f>+Summary!J8</f>
        <v>0</v>
      </c>
      <c r="I4" s="274" t="s">
        <v>417</v>
      </c>
      <c r="J4" s="274">
        <f>+Summary!L8</f>
        <v>69.180000000000007</v>
      </c>
      <c r="K4" s="274">
        <v>64.177999999999997</v>
      </c>
      <c r="L4" s="274">
        <f>+Summary!N8</f>
        <v>-0.17799999999999727</v>
      </c>
      <c r="M4" s="276" t="s">
        <v>417</v>
      </c>
      <c r="N4" s="276" t="s">
        <v>417</v>
      </c>
      <c r="O4" s="276">
        <f>+Summary!Q8</f>
        <v>0</v>
      </c>
      <c r="P4" s="277"/>
      <c r="Q4" s="267"/>
      <c r="R4" s="267"/>
    </row>
    <row r="5" spans="1:18" ht="32.25" customHeight="1">
      <c r="A5" s="270">
        <v>2</v>
      </c>
      <c r="B5" s="271" t="s">
        <v>378</v>
      </c>
      <c r="C5" s="272" t="s">
        <v>689</v>
      </c>
      <c r="D5" s="273">
        <f>+Summary!D9</f>
        <v>64</v>
      </c>
      <c r="E5" s="273">
        <f>+Summary!G9</f>
        <v>69.180000000000007</v>
      </c>
      <c r="F5" s="273">
        <v>62.39</v>
      </c>
      <c r="G5" s="273">
        <f>+Summary!I9</f>
        <v>0</v>
      </c>
      <c r="H5" s="275">
        <f>+Summary!J9</f>
        <v>0</v>
      </c>
      <c r="I5" s="273">
        <v>0</v>
      </c>
      <c r="J5" s="274">
        <f>+Summary!L9</f>
        <v>69.180000000000007</v>
      </c>
      <c r="K5" s="273">
        <f t="shared" ref="K5:K7" si="0">+F5+I5</f>
        <v>62.39</v>
      </c>
      <c r="L5" s="273">
        <f>+Summary!N9</f>
        <v>-0.17799999999999727</v>
      </c>
      <c r="M5" s="276">
        <f>+Summary!O9</f>
        <v>0</v>
      </c>
      <c r="N5" s="276">
        <f>+Summary!P9</f>
        <v>0</v>
      </c>
      <c r="O5" s="276">
        <f>+Summary!Q9</f>
        <v>0</v>
      </c>
      <c r="P5" s="277">
        <f>+Summary!R9</f>
        <v>0</v>
      </c>
      <c r="Q5" s="267"/>
      <c r="R5" s="267"/>
    </row>
    <row r="6" spans="1:18" ht="12.75" customHeight="1">
      <c r="A6" s="270">
        <v>3</v>
      </c>
      <c r="B6" s="278" t="s">
        <v>379</v>
      </c>
      <c r="C6" s="272" t="s">
        <v>648</v>
      </c>
      <c r="D6" s="279">
        <f>+Summary!D10</f>
        <v>201</v>
      </c>
      <c r="E6" s="279">
        <f>+Summary!G10</f>
        <v>184</v>
      </c>
      <c r="F6" s="273">
        <f>+Summary!H10</f>
        <v>196</v>
      </c>
      <c r="G6" s="273">
        <f>+Summary!I10</f>
        <v>1</v>
      </c>
      <c r="H6" s="275">
        <f>+Summary!J10</f>
        <v>0</v>
      </c>
      <c r="I6" s="273">
        <f>+Summary!K10</f>
        <v>0</v>
      </c>
      <c r="J6" s="274">
        <f>+Summary!L10</f>
        <v>184</v>
      </c>
      <c r="K6" s="273">
        <f t="shared" si="0"/>
        <v>196</v>
      </c>
      <c r="L6" s="273">
        <f>+Summary!N10</f>
        <v>5</v>
      </c>
      <c r="M6" s="683">
        <f>Summary!O10</f>
        <v>0</v>
      </c>
      <c r="N6" s="683">
        <f>Summary!P10</f>
        <v>0</v>
      </c>
      <c r="O6" s="683">
        <f>Summary!Q10</f>
        <v>0</v>
      </c>
      <c r="P6" s="677" t="str">
        <f>+Summary!R10</f>
        <v>NH approval Pending for 1C/0
Route Approval pending at Neemuch bay</v>
      </c>
      <c r="Q6" s="267"/>
      <c r="R6" s="267"/>
    </row>
    <row r="7" spans="1:18" ht="12.75" customHeight="1">
      <c r="A7" s="270">
        <v>4</v>
      </c>
      <c r="B7" s="278" t="s">
        <v>381</v>
      </c>
      <c r="C7" s="272" t="s">
        <v>648</v>
      </c>
      <c r="D7" s="279">
        <f>+Summary!D11</f>
        <v>201</v>
      </c>
      <c r="E7" s="279">
        <f>+Summary!G11</f>
        <v>184</v>
      </c>
      <c r="F7" s="273">
        <f>+Summary!H11</f>
        <v>196</v>
      </c>
      <c r="G7" s="273">
        <f>+Summary!I11</f>
        <v>1</v>
      </c>
      <c r="H7" s="275">
        <f>+Summary!J11</f>
        <v>0</v>
      </c>
      <c r="I7" s="273">
        <f>+Summary!K11</f>
        <v>0</v>
      </c>
      <c r="J7" s="274">
        <f>+Summary!L11</f>
        <v>184</v>
      </c>
      <c r="K7" s="273">
        <f t="shared" si="0"/>
        <v>196</v>
      </c>
      <c r="L7" s="273">
        <f>+Summary!N11</f>
        <v>5</v>
      </c>
      <c r="M7" s="451"/>
      <c r="N7" s="451"/>
      <c r="O7" s="451"/>
      <c r="P7" s="665"/>
      <c r="Q7" s="267"/>
      <c r="R7" s="280"/>
    </row>
    <row r="8" spans="1:18" ht="12.75" customHeight="1">
      <c r="A8" s="270">
        <v>5</v>
      </c>
      <c r="B8" s="278" t="s">
        <v>382</v>
      </c>
      <c r="C8" s="272" t="s">
        <v>648</v>
      </c>
      <c r="D8" s="279">
        <f>+Summary!D12</f>
        <v>201</v>
      </c>
      <c r="E8" s="273">
        <f>Summary!G12</f>
        <v>184</v>
      </c>
      <c r="F8" s="273">
        <f>Summary!H12</f>
        <v>195</v>
      </c>
      <c r="G8" s="274">
        <f>Summary!I12</f>
        <v>2</v>
      </c>
      <c r="H8" s="275">
        <f>+Summary!J12</f>
        <v>0</v>
      </c>
      <c r="I8" s="274">
        <f>Summary!K12</f>
        <v>0</v>
      </c>
      <c r="J8" s="274">
        <f>+Summary!L12</f>
        <v>184</v>
      </c>
      <c r="K8" s="274">
        <f>+Summary!M12</f>
        <v>195</v>
      </c>
      <c r="L8" s="274">
        <f>+Summary!N12</f>
        <v>6</v>
      </c>
      <c r="M8" s="272">
        <f>+Summary!O12</f>
        <v>0</v>
      </c>
      <c r="N8" s="272">
        <f>+Summary!P12</f>
        <v>0</v>
      </c>
      <c r="O8" s="272">
        <f>+Summary!Q12</f>
        <v>0</v>
      </c>
      <c r="P8" s="281">
        <f>+Summary!R12</f>
        <v>0</v>
      </c>
      <c r="Q8" s="267"/>
      <c r="R8" s="267"/>
    </row>
    <row r="9" spans="1:18" ht="12.75" customHeight="1">
      <c r="A9" s="270">
        <v>6</v>
      </c>
      <c r="B9" s="278" t="s">
        <v>475</v>
      </c>
      <c r="C9" s="272" t="s">
        <v>648</v>
      </c>
      <c r="D9" s="279">
        <f>Summary!D13</f>
        <v>201</v>
      </c>
      <c r="E9" s="273">
        <f>Summary!G13</f>
        <v>184</v>
      </c>
      <c r="F9" s="273">
        <f>Summary!H13</f>
        <v>167</v>
      </c>
      <c r="G9" s="274">
        <f>Summary!I13</f>
        <v>26</v>
      </c>
      <c r="H9" s="275">
        <f>+Summary!J13</f>
        <v>0</v>
      </c>
      <c r="I9" s="274">
        <f>+Summary!K13</f>
        <v>0</v>
      </c>
      <c r="J9" s="274">
        <f>+Summary!L13</f>
        <v>184</v>
      </c>
      <c r="K9" s="274">
        <f>+Summary!M13</f>
        <v>167</v>
      </c>
      <c r="L9" s="274">
        <f>+Summary!N13</f>
        <v>34</v>
      </c>
      <c r="M9" s="272">
        <f>+Summary!O13</f>
        <v>1</v>
      </c>
      <c r="N9" s="272">
        <f>+Summary!P13</f>
        <v>0</v>
      </c>
      <c r="O9" s="272">
        <f>+Summary!Q13</f>
        <v>1</v>
      </c>
      <c r="P9" s="282">
        <f>+Summary!R13</f>
        <v>0</v>
      </c>
      <c r="Q9" s="267"/>
      <c r="R9" s="267"/>
    </row>
    <row r="10" spans="1:18" ht="12.75" customHeight="1">
      <c r="A10" s="270">
        <v>7</v>
      </c>
      <c r="B10" s="278" t="s">
        <v>384</v>
      </c>
      <c r="C10" s="272"/>
      <c r="D10" s="273"/>
      <c r="E10" s="273"/>
      <c r="F10" s="273"/>
      <c r="G10" s="273"/>
      <c r="H10" s="273"/>
      <c r="I10" s="273"/>
      <c r="J10" s="273"/>
      <c r="K10" s="273"/>
      <c r="L10" s="273"/>
      <c r="M10" s="272"/>
      <c r="N10" s="272"/>
      <c r="O10" s="272"/>
      <c r="P10" s="282">
        <f>+Summary!R14</f>
        <v>0</v>
      </c>
      <c r="Q10" s="267"/>
      <c r="R10" s="267"/>
    </row>
    <row r="11" spans="1:18" ht="12.75" customHeight="1">
      <c r="A11" s="270" t="s">
        <v>385</v>
      </c>
      <c r="B11" s="283" t="s">
        <v>386</v>
      </c>
      <c r="C11" s="272" t="s">
        <v>690</v>
      </c>
      <c r="D11" s="273">
        <f>+Summary!D14</f>
        <v>0</v>
      </c>
      <c r="E11" s="273">
        <f>+Summary!G15</f>
        <v>64</v>
      </c>
      <c r="F11" s="273">
        <f>+Summary!H15</f>
        <v>54.1</v>
      </c>
      <c r="G11" s="273">
        <f>+Summary!I15</f>
        <v>10</v>
      </c>
      <c r="H11" s="275">
        <f>+Summary!J15</f>
        <v>0</v>
      </c>
      <c r="I11" s="273">
        <f>+Summary!K15</f>
        <v>1.1127999999992255E-2</v>
      </c>
      <c r="J11" s="273">
        <f t="shared" ref="J11:J12" si="1">J10</f>
        <v>0</v>
      </c>
      <c r="K11" s="273">
        <f>+Summary!M15</f>
        <v>54.111127999999994</v>
      </c>
      <c r="L11" s="273">
        <f>+Summary!N15</f>
        <v>9.8888720000000063</v>
      </c>
      <c r="M11" s="276">
        <f>+Summary!O15</f>
        <v>2</v>
      </c>
      <c r="N11" s="276">
        <f>+Summary!P15</f>
        <v>1</v>
      </c>
      <c r="O11" s="276">
        <f>+Summary!Q15</f>
        <v>1</v>
      </c>
      <c r="P11" s="282">
        <f>+Summary!R15</f>
        <v>0</v>
      </c>
      <c r="Q11" s="267"/>
      <c r="R11" s="267"/>
    </row>
    <row r="12" spans="1:18" ht="12.75" customHeight="1">
      <c r="A12" s="270" t="s">
        <v>387</v>
      </c>
      <c r="B12" s="283" t="s">
        <v>388</v>
      </c>
      <c r="C12" s="272" t="s">
        <v>690</v>
      </c>
      <c r="D12" s="273">
        <f>+Summary!D16</f>
        <v>64</v>
      </c>
      <c r="E12" s="273">
        <f>+Summary!G16</f>
        <v>64</v>
      </c>
      <c r="F12" s="273">
        <f>+Summary!H16</f>
        <v>54.1</v>
      </c>
      <c r="G12" s="273">
        <f>+Summary!I16</f>
        <v>10</v>
      </c>
      <c r="H12" s="275">
        <f>+Summary!J16</f>
        <v>0</v>
      </c>
      <c r="I12" s="273">
        <f>+Summary!K16</f>
        <v>1.1127999999992255E-2</v>
      </c>
      <c r="J12" s="273">
        <f t="shared" si="1"/>
        <v>0</v>
      </c>
      <c r="K12" s="273">
        <f>+Summary!M16</f>
        <v>54.111127999999994</v>
      </c>
      <c r="L12" s="273">
        <f>+Summary!N16</f>
        <v>9.8888720000000063</v>
      </c>
      <c r="M12" s="276">
        <f>+Summary!O16</f>
        <v>0</v>
      </c>
      <c r="N12" s="276">
        <f>+Summary!P16</f>
        <v>0</v>
      </c>
      <c r="O12" s="276">
        <f>+Summary!Q16</f>
        <v>0</v>
      </c>
      <c r="P12" s="282">
        <f>+Summary!R16</f>
        <v>0</v>
      </c>
      <c r="Q12" s="267"/>
      <c r="R12" s="267"/>
    </row>
    <row r="13" spans="1:18" ht="12.75" customHeight="1">
      <c r="A13" s="284" t="s">
        <v>389</v>
      </c>
      <c r="B13" s="285" t="s">
        <v>390</v>
      </c>
      <c r="C13" s="286" t="s">
        <v>690</v>
      </c>
      <c r="D13" s="287">
        <f>Summary!D17</f>
        <v>64</v>
      </c>
      <c r="E13" s="287">
        <f>+Summary!G17</f>
        <v>64</v>
      </c>
      <c r="F13" s="287">
        <f>+Summary!H17</f>
        <v>39.299999999999997</v>
      </c>
      <c r="G13" s="287">
        <f>+Summary!I17</f>
        <v>15</v>
      </c>
      <c r="H13" s="287">
        <f>+Summary!J17</f>
        <v>0</v>
      </c>
      <c r="I13" s="287">
        <f>+Summary!K17</f>
        <v>1.0409999999936304E-3</v>
      </c>
      <c r="J13" s="287">
        <f>+Summary!L17</f>
        <v>64</v>
      </c>
      <c r="K13" s="287">
        <f>+Summary!M17</f>
        <v>39.301040999999991</v>
      </c>
      <c r="L13" s="287">
        <f>+Summary!N17</f>
        <v>24.698959000000009</v>
      </c>
      <c r="M13" s="287">
        <f>+Summary!O17</f>
        <v>1</v>
      </c>
      <c r="N13" s="287">
        <f>+Summary!P17</f>
        <v>0</v>
      </c>
      <c r="O13" s="287">
        <f>+Summary!Q17</f>
        <v>1</v>
      </c>
      <c r="P13" s="288">
        <f>+Summary!R17</f>
        <v>0</v>
      </c>
      <c r="Q13" s="267"/>
      <c r="R13" s="267"/>
    </row>
    <row r="14" spans="1:18" ht="12.75" customHeight="1">
      <c r="A14" s="267"/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</row>
    <row r="15" spans="1:18" ht="12.75" customHeight="1">
      <c r="A15" s="673" t="str">
        <f>+Summary!A19</f>
        <v>Progress of 132kV Line</v>
      </c>
      <c r="B15" s="668"/>
      <c r="C15" s="668"/>
      <c r="D15" s="668"/>
      <c r="E15" s="668"/>
      <c r="F15" s="668"/>
      <c r="G15" s="668"/>
      <c r="H15" s="668"/>
      <c r="I15" s="668"/>
      <c r="J15" s="668"/>
      <c r="K15" s="668"/>
      <c r="L15" s="668"/>
      <c r="M15" s="668"/>
      <c r="N15" s="668"/>
      <c r="O15" s="265" t="s">
        <v>680</v>
      </c>
      <c r="P15" s="266">
        <f>+Summary!R19</f>
        <v>46030</v>
      </c>
      <c r="Q15" s="267"/>
      <c r="R15" s="267"/>
    </row>
    <row r="16" spans="1:18" ht="28.5" customHeight="1">
      <c r="A16" s="679" t="s">
        <v>355</v>
      </c>
      <c r="B16" s="681" t="s">
        <v>681</v>
      </c>
      <c r="C16" s="681" t="s">
        <v>357</v>
      </c>
      <c r="D16" s="682" t="s">
        <v>682</v>
      </c>
      <c r="E16" s="674" t="s">
        <v>683</v>
      </c>
      <c r="F16" s="672"/>
      <c r="G16" s="674" t="str">
        <f>+Summary!I20</f>
        <v>Progress of Current Month (Jan'26)</v>
      </c>
      <c r="H16" s="671"/>
      <c r="I16" s="672"/>
      <c r="J16" s="674" t="s">
        <v>361</v>
      </c>
      <c r="K16" s="671"/>
      <c r="L16" s="672"/>
      <c r="M16" s="674" t="str">
        <f>+Summary!O20</f>
        <v>Resources Status</v>
      </c>
      <c r="N16" s="671"/>
      <c r="O16" s="672"/>
      <c r="P16" s="675" t="s">
        <v>15</v>
      </c>
      <c r="Q16" s="267"/>
      <c r="R16" s="267"/>
    </row>
    <row r="17" spans="1:16" ht="12.75" customHeight="1">
      <c r="A17" s="680"/>
      <c r="B17" s="451"/>
      <c r="C17" s="451"/>
      <c r="D17" s="451"/>
      <c r="E17" s="268" t="s">
        <v>684</v>
      </c>
      <c r="F17" s="268" t="s">
        <v>685</v>
      </c>
      <c r="G17" s="268" t="s">
        <v>686</v>
      </c>
      <c r="H17" s="268" t="s">
        <v>687</v>
      </c>
      <c r="I17" s="268" t="s">
        <v>688</v>
      </c>
      <c r="J17" s="268" t="s">
        <v>686</v>
      </c>
      <c r="K17" s="268" t="s">
        <v>32</v>
      </c>
      <c r="L17" s="268" t="s">
        <v>372</v>
      </c>
      <c r="M17" s="269" t="str">
        <f>+Summary!O21</f>
        <v>Targeted Gang</v>
      </c>
      <c r="N17" s="269" t="str">
        <f>+Summary!P21</f>
        <v>Available Gang</v>
      </c>
      <c r="O17" s="269" t="str">
        <f>+Summary!Q21</f>
        <v>Shortfall
Gang</v>
      </c>
      <c r="P17" s="665"/>
    </row>
    <row r="18" spans="1:16" ht="12.75" customHeight="1">
      <c r="A18" s="270">
        <v>1</v>
      </c>
      <c r="B18" s="271" t="s">
        <v>376</v>
      </c>
      <c r="C18" s="272" t="s">
        <v>689</v>
      </c>
      <c r="D18" s="273">
        <f>+Summary!D22</f>
        <v>8.18</v>
      </c>
      <c r="E18" s="273">
        <f>+Summary!G22</f>
        <v>9</v>
      </c>
      <c r="F18" s="273">
        <f>+Summary!H22</f>
        <v>8.18</v>
      </c>
      <c r="G18" s="273">
        <f>+Summary!I22</f>
        <v>0</v>
      </c>
      <c r="H18" s="275">
        <f>+Summary!J22</f>
        <v>0</v>
      </c>
      <c r="I18" s="289">
        <f>+Summary!K22</f>
        <v>0</v>
      </c>
      <c r="J18" s="274">
        <f>+Summary!L22</f>
        <v>9</v>
      </c>
      <c r="K18" s="274">
        <f>+Summary!M22</f>
        <v>8.18</v>
      </c>
      <c r="L18" s="274">
        <f>+Summary!N22</f>
        <v>0</v>
      </c>
      <c r="M18" s="276">
        <f>+Summary!O22</f>
        <v>0</v>
      </c>
      <c r="N18" s="276">
        <f>+Summary!P22</f>
        <v>0</v>
      </c>
      <c r="O18" s="276">
        <f>+Summary!Q22</f>
        <v>0</v>
      </c>
      <c r="P18" s="290" t="str">
        <f>+Summary!R22</f>
        <v>Detailed survey completed at site.</v>
      </c>
    </row>
    <row r="19" spans="1:16" ht="12.75" customHeight="1">
      <c r="A19" s="270">
        <v>2</v>
      </c>
      <c r="B19" s="271" t="s">
        <v>378</v>
      </c>
      <c r="C19" s="272" t="s">
        <v>689</v>
      </c>
      <c r="D19" s="273">
        <f>+Summary!D23</f>
        <v>8.18</v>
      </c>
      <c r="E19" s="273">
        <f>+Summary!G23</f>
        <v>9</v>
      </c>
      <c r="F19" s="273">
        <f>+Summary!H23</f>
        <v>8.18</v>
      </c>
      <c r="G19" s="273">
        <f>+Summary!I23</f>
        <v>0</v>
      </c>
      <c r="H19" s="275">
        <f>+Summary!J23</f>
        <v>0</v>
      </c>
      <c r="I19" s="291">
        <f>+Summary!K23</f>
        <v>0</v>
      </c>
      <c r="J19" s="274">
        <f>+Summary!L23</f>
        <v>9</v>
      </c>
      <c r="K19" s="273">
        <f t="shared" ref="K19:K21" si="2">+F19+I19</f>
        <v>8.18</v>
      </c>
      <c r="L19" s="273">
        <f>+Summary!N23</f>
        <v>0</v>
      </c>
      <c r="M19" s="276">
        <f>+Summary!O23</f>
        <v>0</v>
      </c>
      <c r="N19" s="276">
        <f>+Summary!P23</f>
        <v>0</v>
      </c>
      <c r="O19" s="276">
        <f>+Summary!Q23</f>
        <v>0</v>
      </c>
      <c r="P19" s="292">
        <f>+Summary!R23</f>
        <v>0</v>
      </c>
    </row>
    <row r="20" spans="1:16" ht="23.25" customHeight="1">
      <c r="A20" s="270">
        <v>3</v>
      </c>
      <c r="B20" s="278" t="s">
        <v>379</v>
      </c>
      <c r="C20" s="272" t="s">
        <v>648</v>
      </c>
      <c r="D20" s="279">
        <f>+Summary!D24</f>
        <v>35</v>
      </c>
      <c r="E20" s="279">
        <f>+Summary!G24</f>
        <v>34</v>
      </c>
      <c r="F20" s="273">
        <f>+Summary!H24</f>
        <v>13</v>
      </c>
      <c r="G20" s="273">
        <f>+Summary!I24</f>
        <v>9</v>
      </c>
      <c r="H20" s="275">
        <f>+Summary!J24</f>
        <v>0</v>
      </c>
      <c r="I20" s="293">
        <f>+Summary!K24</f>
        <v>0</v>
      </c>
      <c r="J20" s="274">
        <f>+Summary!L24</f>
        <v>35</v>
      </c>
      <c r="K20" s="273">
        <f t="shared" si="2"/>
        <v>13</v>
      </c>
      <c r="L20" s="273">
        <f>+Summary!N24</f>
        <v>22</v>
      </c>
      <c r="M20" s="676">
        <f>Summary!O24</f>
        <v>2</v>
      </c>
      <c r="N20" s="676">
        <f>Summary!P24</f>
        <v>2</v>
      </c>
      <c r="O20" s="676">
        <f>Summary!Q24</f>
        <v>0</v>
      </c>
      <c r="P20" s="677" t="str">
        <f>+Summary!R24</f>
        <v>12/1 Excavation U/P
13/1 Prop setting ,PCC U/P
13/2 RCC U/P</v>
      </c>
    </row>
    <row r="21" spans="1:16" ht="31.5" customHeight="1">
      <c r="A21" s="270">
        <v>4</v>
      </c>
      <c r="B21" s="278" t="s">
        <v>381</v>
      </c>
      <c r="C21" s="272" t="s">
        <v>648</v>
      </c>
      <c r="D21" s="279">
        <f>+Summary!D25</f>
        <v>35</v>
      </c>
      <c r="E21" s="279">
        <f>+Summary!G25</f>
        <v>34</v>
      </c>
      <c r="F21" s="273">
        <f>+Summary!H25</f>
        <v>10</v>
      </c>
      <c r="G21" s="273">
        <f>+Summary!I25</f>
        <v>9</v>
      </c>
      <c r="H21" s="275">
        <f>+Summary!J25</f>
        <v>3</v>
      </c>
      <c r="I21" s="293">
        <f>+Summary!K25</f>
        <v>3</v>
      </c>
      <c r="J21" s="274">
        <f>+Summary!L25</f>
        <v>35</v>
      </c>
      <c r="K21" s="273">
        <f t="shared" si="2"/>
        <v>13</v>
      </c>
      <c r="L21" s="273">
        <f>+Summary!N25</f>
        <v>22</v>
      </c>
      <c r="M21" s="451"/>
      <c r="N21" s="451"/>
      <c r="O21" s="451"/>
      <c r="P21" s="678"/>
    </row>
    <row r="22" spans="1:16" ht="12.75" customHeight="1">
      <c r="A22" s="270">
        <v>5</v>
      </c>
      <c r="B22" s="278" t="s">
        <v>382</v>
      </c>
      <c r="C22" s="272" t="s">
        <v>648</v>
      </c>
      <c r="D22" s="279">
        <f>+Summary!D26</f>
        <v>35</v>
      </c>
      <c r="E22" s="273">
        <f>Summary!G26</f>
        <v>34</v>
      </c>
      <c r="F22" s="273">
        <f>Summary!H26</f>
        <v>8</v>
      </c>
      <c r="G22" s="273">
        <f>Summary!I26</f>
        <v>8</v>
      </c>
      <c r="H22" s="275">
        <f>Summary!J26</f>
        <v>1</v>
      </c>
      <c r="I22" s="273">
        <f>Summary!K26</f>
        <v>3</v>
      </c>
      <c r="J22" s="274">
        <f>+Summary!L26</f>
        <v>35</v>
      </c>
      <c r="K22" s="274">
        <f>+Summary!M26</f>
        <v>11</v>
      </c>
      <c r="L22" s="274">
        <f>+Summary!N26</f>
        <v>24</v>
      </c>
      <c r="M22" s="272">
        <f>+Summary!O26</f>
        <v>1</v>
      </c>
      <c r="N22" s="272">
        <f>+Summary!P26</f>
        <v>1</v>
      </c>
      <c r="O22" s="272">
        <f>+Summary!Q26</f>
        <v>0</v>
      </c>
      <c r="P22" s="389" t="s">
        <v>718</v>
      </c>
    </row>
    <row r="23" spans="1:16" ht="12.75" customHeight="1">
      <c r="A23" s="270">
        <v>6</v>
      </c>
      <c r="B23" s="278" t="s">
        <v>475</v>
      </c>
      <c r="C23" s="272" t="s">
        <v>648</v>
      </c>
      <c r="D23" s="279">
        <f>Summary!D27</f>
        <v>35</v>
      </c>
      <c r="E23" s="273">
        <f>Summary!G27</f>
        <v>34</v>
      </c>
      <c r="F23" s="273">
        <f>Summary!H27</f>
        <v>0</v>
      </c>
      <c r="G23" s="273">
        <f>Summary!I27</f>
        <v>5</v>
      </c>
      <c r="H23" s="275">
        <f>+Summary!J27</f>
        <v>0</v>
      </c>
      <c r="I23" s="273">
        <f>+Summary!K27</f>
        <v>0</v>
      </c>
      <c r="J23" s="274">
        <f>+Summary!L27</f>
        <v>35</v>
      </c>
      <c r="K23" s="274">
        <f>+Summary!M27</f>
        <v>0</v>
      </c>
      <c r="L23" s="274">
        <f>+Summary!N27</f>
        <v>35</v>
      </c>
      <c r="M23" s="272">
        <f>+Summary!O27</f>
        <v>0</v>
      </c>
      <c r="N23" s="272">
        <f>+Summary!P27</f>
        <v>0</v>
      </c>
      <c r="O23" s="272">
        <f>+Summary!Q27</f>
        <v>0</v>
      </c>
      <c r="P23" s="292">
        <f>+Summary!R27</f>
        <v>0</v>
      </c>
    </row>
    <row r="24" spans="1:16" ht="12.75" customHeight="1">
      <c r="A24" s="270">
        <v>7</v>
      </c>
      <c r="B24" s="278" t="s">
        <v>384</v>
      </c>
      <c r="C24" s="272"/>
      <c r="D24" s="273"/>
      <c r="E24" s="273"/>
      <c r="F24" s="273"/>
      <c r="G24" s="273"/>
      <c r="H24" s="273"/>
      <c r="I24" s="273"/>
      <c r="J24" s="273"/>
      <c r="K24" s="273"/>
      <c r="L24" s="273"/>
      <c r="M24" s="272"/>
      <c r="N24" s="272"/>
      <c r="O24" s="272"/>
      <c r="P24" s="292">
        <f>+Summary!R28</f>
        <v>0</v>
      </c>
    </row>
    <row r="25" spans="1:16" ht="12.75" customHeight="1">
      <c r="A25" s="270" t="s">
        <v>385</v>
      </c>
      <c r="B25" s="283" t="s">
        <v>386</v>
      </c>
      <c r="C25" s="272" t="s">
        <v>690</v>
      </c>
      <c r="D25" s="273">
        <f>+Summary!D28</f>
        <v>0</v>
      </c>
      <c r="E25" s="273">
        <f>+Summary!G29</f>
        <v>0</v>
      </c>
      <c r="F25" s="273">
        <f>+Summary!H29</f>
        <v>0</v>
      </c>
      <c r="G25" s="273">
        <f>+Summary!I29</f>
        <v>0</v>
      </c>
      <c r="H25" s="275">
        <f>+Summary!J29</f>
        <v>0</v>
      </c>
      <c r="I25" s="273">
        <f>+Summary!K29</f>
        <v>0</v>
      </c>
      <c r="J25" s="273">
        <f t="shared" ref="J25:J26" si="3">J24</f>
        <v>0</v>
      </c>
      <c r="K25" s="273">
        <f>+Summary!M29</f>
        <v>0</v>
      </c>
      <c r="L25" s="273">
        <f>+Summary!N29</f>
        <v>9</v>
      </c>
      <c r="M25" s="272">
        <f>+Summary!O29</f>
        <v>0</v>
      </c>
      <c r="N25" s="272">
        <f>+Summary!P29</f>
        <v>0</v>
      </c>
      <c r="O25" s="272">
        <f>+Summary!Q29</f>
        <v>0</v>
      </c>
      <c r="P25" s="292">
        <f>+Summary!R29</f>
        <v>0</v>
      </c>
    </row>
    <row r="26" spans="1:16" ht="12.75" customHeight="1">
      <c r="A26" s="270" t="s">
        <v>387</v>
      </c>
      <c r="B26" s="283" t="s">
        <v>388</v>
      </c>
      <c r="C26" s="272" t="s">
        <v>690</v>
      </c>
      <c r="D26" s="273">
        <f>+Summary!D30</f>
        <v>9</v>
      </c>
      <c r="E26" s="273">
        <f>+Summary!G30</f>
        <v>0</v>
      </c>
      <c r="F26" s="273">
        <f>+Summary!H30</f>
        <v>0</v>
      </c>
      <c r="G26" s="273">
        <f>+Summary!I30</f>
        <v>0</v>
      </c>
      <c r="H26" s="275">
        <f>+Summary!J30</f>
        <v>0</v>
      </c>
      <c r="I26" s="273">
        <f>+Summary!K30</f>
        <v>0</v>
      </c>
      <c r="J26" s="273">
        <f t="shared" si="3"/>
        <v>0</v>
      </c>
      <c r="K26" s="273">
        <f>+Summary!M30</f>
        <v>0</v>
      </c>
      <c r="L26" s="273">
        <f>+Summary!N30</f>
        <v>9</v>
      </c>
      <c r="M26" s="272">
        <f>+Summary!O30</f>
        <v>0</v>
      </c>
      <c r="N26" s="272">
        <f>+Summary!P30</f>
        <v>0</v>
      </c>
      <c r="O26" s="272">
        <f>+Summary!Q30</f>
        <v>0</v>
      </c>
      <c r="P26" s="292">
        <f>+Summary!R30</f>
        <v>0</v>
      </c>
    </row>
    <row r="27" spans="1:16" ht="12.75" customHeight="1">
      <c r="A27" s="284" t="s">
        <v>389</v>
      </c>
      <c r="B27" s="285" t="s">
        <v>390</v>
      </c>
      <c r="C27" s="286" t="s">
        <v>690</v>
      </c>
      <c r="D27" s="287">
        <f>Summary!D31</f>
        <v>9</v>
      </c>
      <c r="E27" s="287">
        <f>+Summary!G31</f>
        <v>0</v>
      </c>
      <c r="F27" s="287">
        <f>+Summary!H31</f>
        <v>0</v>
      </c>
      <c r="G27" s="287">
        <f>+Summary!I31</f>
        <v>0</v>
      </c>
      <c r="H27" s="294">
        <f>+Summary!J31</f>
        <v>0</v>
      </c>
      <c r="I27" s="287">
        <f>+Summary!K31</f>
        <v>0</v>
      </c>
      <c r="J27" s="287">
        <f>+Summary!L31</f>
        <v>0</v>
      </c>
      <c r="K27" s="287">
        <f>+Summary!M31</f>
        <v>0</v>
      </c>
      <c r="L27" s="287">
        <f>+Summary!N31</f>
        <v>9</v>
      </c>
      <c r="M27" s="287">
        <f>+Summary!O31</f>
        <v>0</v>
      </c>
      <c r="N27" s="287">
        <f>+Summary!P31</f>
        <v>0</v>
      </c>
      <c r="O27" s="287">
        <f>+Summary!Q31</f>
        <v>0</v>
      </c>
      <c r="P27" s="288">
        <f>+Summary!R31</f>
        <v>0</v>
      </c>
    </row>
  </sheetData>
  <mergeCells count="28"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Erection Compiled</vt:lpstr>
      <vt:lpstr>Stringing-220kV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Bharat Kaushik</cp:lastModifiedBy>
  <cp:lastPrinted>2026-01-07T07:33:23Z</cp:lastPrinted>
  <dcterms:created xsi:type="dcterms:W3CDTF">2024-04-23T13:04:27Z</dcterms:created>
  <dcterms:modified xsi:type="dcterms:W3CDTF">2026-01-13T11:14:18Z</dcterms:modified>
</cp:coreProperties>
</file>