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81" documentId="13_ncr:1_{9398C5D3-5744-440A-973B-2601208E0DBB}" xr6:coauthVersionLast="47" xr6:coauthVersionMax="47" xr10:uidLastSave="{81312A44-27BE-4E25-B179-3C54E1224616}"/>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Stringing!$A$5:$N$36</definedName>
    <definedName name="_xlnm._FilterDatabase" localSheetId="14" hidden="1">'Stringing associated works'!$A$4:$Z$983</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D482" i="50"/>
  <c r="E365" i="63"/>
  <c r="A365" i="63"/>
  <c r="A484" i="61"/>
  <c r="A483" i="61"/>
  <c r="J408" i="63" l="1"/>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46" i="63" l="1"/>
  <c r="E99" i="88" s="1"/>
  <c r="C301" i="64"/>
  <c r="A237" i="63"/>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C295" i="64"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66" i="63" l="1"/>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8" i="48"/>
  <c r="G38" i="48" l="1"/>
  <c r="J38" i="48"/>
  <c r="J41" i="48" l="1"/>
  <c r="G41" i="48"/>
  <c r="I11" i="29" s="1"/>
  <c r="G40"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<sst xmlns="http://schemas.openxmlformats.org/spreadsheetml/2006/main" count="12226" uniqueCount="1756">
  <si>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</si>
  <si>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</si>
  <si>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</si>
  <si>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</si>
  <si>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</si>
  <si>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</si>
  <si>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</si>
  <si>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</si>
  <si>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</si>
  <si>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</si>
  <si>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</si>
  <si>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</si>
  <si>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</si>
  <si>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</si>
  <si>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</si>
  <si>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</si>
  <si>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</si>
  <si>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</si>
  <si>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</si>
  <si>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</si>
  <si>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</si>
  <si>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</si>
  <si>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</si>
  <si>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</si>
  <si>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</si>
  <si>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</si>
  <si>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</si>
  <si>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</si>
  <si>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</si>
  <si>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</si>
  <si>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</si>
  <si>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</si>
  <si>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</si>
  <si>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</si>
  <si>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</si>
  <si>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</si>
  <si>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</si>
  <si>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</si>
  <si>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</si>
  <si>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</si>
  <si>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</si>
  <si>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</si>
  <si>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</si>
  <si>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</si>
  <si>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</si>
  <si>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</si>
  <si>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</si>
  <si>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</si>
  <si>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</si>
  <si>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</si>
  <si>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</si>
  <si>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</si>
  <si>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</si>
  <si>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</si>
  <si>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</si>
  <si>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</si>
  <si>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</si>
  <si>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</si>
  <si>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</si>
  <si>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</si>
  <si>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</si>
  <si>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</si>
  <si>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</si>
  <si>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</si>
  <si>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</si>
  <si>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</si>
  <si>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</si>
  <si>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</si>
  <si>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</si>
  <si>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</si>
  <si>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</si>
  <si>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</si>
  <si>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</si>
  <si>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</si>
  <si>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</si>
  <si>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</si>
  <si>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</si>
  <si>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</si>
  <si>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</si>
  <si>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</si>
  <si>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</si>
  <si>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</si>
  <si>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</si>
  <si>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</si>
  <si>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</si>
  <si>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</si>
  <si>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</si>
  <si>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</si>
  <si>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</si>
  <si>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</si>
  <si>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</si>
  <si>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</si>
  <si>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</si>
  <si>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</si>
  <si>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</si>
  <si>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</si>
  <si>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</si>
  <si>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</si>
  <si>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</si>
  <si>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</si>
  <si>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</si>
  <si>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</si>
  <si>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</si>
  <si>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</si>
  <si>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</si>
  <si>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</si>
  <si>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</si>
  <si>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</si>
  <si>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</si>
  <si>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</si>
  <si>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</si>
  <si>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</si>
  <si>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</si>
  <si>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</si>
  <si>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</si>
  <si>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</si>
  <si>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</si>
  <si>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</si>
  <si>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</si>
  <si>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</si>
  <si>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</si>
  <si>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</si>
  <si>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</si>
  <si>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</si>
  <si>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</si>
  <si>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</si>
  <si>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</si>
  <si>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</si>
  <si>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</si>
  <si>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</si>
  <si>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</si>
  <si>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</si>
  <si>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</si>
  <si>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</si>
  <si>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</si>
  <si>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</si>
  <si>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</si>
  <si>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</si>
  <si>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</si>
  <si>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</si>
  <si>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</si>
  <si>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</si>
  <si>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</si>
  <si>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</si>
  <si>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</si>
  <si>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</si>
  <si>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</si>
  <si>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</si>
  <si>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</si>
  <si>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</si>
  <si>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</si>
  <si>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</si>
  <si>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</si>
  <si>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</si>
  <si>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</si>
  <si>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</si>
  <si>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</si>
  <si>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</si>
  <si>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</si>
  <si>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</si>
  <si>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</si>
  <si>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</si>
  <si>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</si>
  <si>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</si>
  <si>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</si>
  <si>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</si>
  <si>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</si>
  <si>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</si>
  <si>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</si>
  <si>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</si>
  <si>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</si>
  <si>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</si>
  <si>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</si>
  <si>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</si>
  <si>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</si>
  <si>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</si>
  <si>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</si>
  <si>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</si>
  <si>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</si>
  <si>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</si>
  <si>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</si>
  <si>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</si>
  <si>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</si>
  <si>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</si>
  <si>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</si>
  <si>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</si>
  <si>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</si>
  <si>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</si>
  <si>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</si>
  <si>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</si>
  <si>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</si>
  <si>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</si>
  <si>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</si>
  <si>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</si>
  <si>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</si>
  <si>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</si>
  <si>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</si>
  <si>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</si>
  <si>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</si>
  <si>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</si>
  <si>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</si>
  <si>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</si>
  <si>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</si>
  <si>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</si>
  <si>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</si>
  <si>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</si>
  <si>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</si>
  <si>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</si>
  <si>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</si>
  <si>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</si>
  <si>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</si>
  <si>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</si>
  <si>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</si>
  <si>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</si>
  <si>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</si>
  <si>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</si>
  <si>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</si>
  <si>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</si>
  <si>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</si>
  <si>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</si>
  <si>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</si>
  <si>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</si>
  <si>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</si>
  <si>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</si>
  <si>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</si>
  <si>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</si>
  <si>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</si>
  <si>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</si>
  <si>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</si>
  <si>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</si>
  <si>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</si>
  <si>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</si>
  <si>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</si>
  <si>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</si>
  <si>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</si>
  <si>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</si>
  <si>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</si>
  <si>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</si>
  <si>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</si>
  <si>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</si>
  <si>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</si>
  <si>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</si>
  <si>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</si>
  <si>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</si>
  <si>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</si>
  <si>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</si>
  <si>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</si>
  <si>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</si>
  <si>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</si>
  <si>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</si>
  <si>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</si>
  <si>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</si>
  <si>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</si>
  <si>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</si>
  <si>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</si>
  <si>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</si>
  <si>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</si>
  <si>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</si>
  <si>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</si>
  <si>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</si>
  <si>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</si>
  <si>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</si>
  <si>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</si>
  <si>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</si>
  <si>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</si>
  <si>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</si>
  <si>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</si>
  <si>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</si>
  <si>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</si>
  <si>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</si>
  <si>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</si>
  <si>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</si>
  <si>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</si>
  <si>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</si>
  <si>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</si>
  <si>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</si>
  <si>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</si>
  <si>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</si>
  <si>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</si>
  <si>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</si>
  <si>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</si>
  <si>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</si>
  <si>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</si>
  <si>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</si>
  <si>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</si>
  <si>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</si>
  <si>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</si>
  <si>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</si>
  <si>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</si>
  <si>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</si>
  <si>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</si>
  <si>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</si>
  <si>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</si>
  <si>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</si>
  <si>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</si>
  <si>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</si>
  <si>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</si>
  <si>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</si>
  <si>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</si>
  <si>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</si>
  <si>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</si>
  <si>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</si>
  <si>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</si>
  <si>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</si>
  <si>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</si>
  <si>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</si>
  <si>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</si>
  <si>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</si>
  <si>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</si>
  <si>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</si>
  <si>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</si>
  <si>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</si>
  <si>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</si>
  <si>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</si>
  <si>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</si>
  <si>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</si>
  <si>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</si>
  <si>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</si>
  <si>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</si>
  <si>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</si>
  <si>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</si>
  <si>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</si>
  <si>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</si>
  <si>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</si>
  <si>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</si>
  <si>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</si>
  <si>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</si>
  <si>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</si>
  <si>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</si>
  <si>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</si>
  <si>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</si>
  <si>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</si>
  <si>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</si>
  <si>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</si>
  <si>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</si>
  <si>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</si>
  <si>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</si>
  <si>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</si>
  <si>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</si>
  <si>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</si>
  <si>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</si>
  <si>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</si>
  <si>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</si>
  <si>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</si>
  <si>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</si>
  <si>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</si>
  <si>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</si>
  <si>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</si>
  <si>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</si>
  <si>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</si>
  <si>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</si>
  <si>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</si>
  <si>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</si>
  <si>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</si>
  <si>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</si>
  <si>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</si>
  <si>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</si>
  <si>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</si>
  <si>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</si>
  <si>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</si>
  <si>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</si>
  <si>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</si>
  <si>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</si>
  <si>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</si>
  <si>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</si>
  <si>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</si>
  <si>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</si>
  <si>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</si>
  <si>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</si>
  <si>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</si>
  <si>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</si>
  <si>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</si>
  <si>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</si>
  <si>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</si>
  <si>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</si>
  <si>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</si>
  <si>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</si>
  <si>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</si>
  <si>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</si>
  <si>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</si>
  <si>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</si>
  <si>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</si>
  <si>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</si>
  <si>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</si>
  <si>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</si>
  <si>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</si>
  <si>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</si>
  <si>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</si>
  <si>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</si>
  <si>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</si>
  <si>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</si>
  <si>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</si>
  <si>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</si>
  <si>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</si>
  <si>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</si>
  <si>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</si>
  <si>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</si>
  <si>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</si>
  <si>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</si>
  <si>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</si>
  <si>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</si>
  <si>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</si>
  <si>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</si>
  <si>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</si>
  <si>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</si>
  <si>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</si>
  <si>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</si>
  <si>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</si>
  <si>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</si>
  <si>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</si>
  <si>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</si>
  <si>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</si>
  <si>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</si>
  <si>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</si>
  <si>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</si>
  <si>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</si>
  <si>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</si>
  <si>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</si>
  <si>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</si>
  <si>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</si>
  <si>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</si>
  <si>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</si>
  <si>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</si>
  <si>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</si>
  <si>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</si>
  <si>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</si>
  <si>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</si>
  <si>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</si>
  <si>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</si>
  <si>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</si>
  <si>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</si>
  <si>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</si>
  <si>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</si>
  <si>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</si>
  <si>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</si>
  <si>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</si>
  <si>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</si>
  <si>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</si>
  <si>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</si>
  <si>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</si>
  <si>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</si>
  <si>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</si>
  <si>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</si>
  <si>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</si>
  <si>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</si>
  <si>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</si>
  <si>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</si>
  <si>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</si>
  <si>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</si>
  <si>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</si>
  <si>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</si>
  <si>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</si>
  <si>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</si>
  <si>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</si>
  <si>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</si>
  <si>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</si>
  <si>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</si>
  <si>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</si>
  <si>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</si>
  <si>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</si>
  <si>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</si>
  <si>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</si>
  <si>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</si>
  <si>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</si>
  <si>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</si>
  <si>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</si>
  <si>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</si>
  <si>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</si>
  <si>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</si>
  <si>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</si>
  <si>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</si>
  <si>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</si>
  <si>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</si>
  <si>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</si>
  <si>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</si>
  <si>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</si>
  <si>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</si>
  <si>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</si>
  <si>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</si>
  <si>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</si>
  <si>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</si>
  <si>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</si>
  <si>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</si>
  <si>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</si>
  <si>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</si>
  <si>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</si>
  <si>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</si>
  <si>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</si>
  <si>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</si>
  <si>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</si>
  <si>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</si>
  <si>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</si>
  <si>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</si>
  <si>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</si>
  <si>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</si>
  <si>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</si>
  <si>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</si>
  <si>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</si>
  <si>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</si>
  <si>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</si>
  <si>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</si>
  <si>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</si>
  <si>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</si>
  <si>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</si>
  <si>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</si>
  <si>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</si>
  <si>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</si>
  <si>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</si>
  <si>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</si>
  <si>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</si>
  <si>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</si>
  <si>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</si>
  <si>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</si>
  <si>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</si>
  <si>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</si>
  <si>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</si>
  <si>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</si>
  <si>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</si>
  <si>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</si>
  <si>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</si>
  <si>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</si>
  <si>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</si>
  <si>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</si>
  <si>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</si>
  <si>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</si>
  <si>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</si>
  <si>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</si>
  <si>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</si>
  <si>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</si>
  <si>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</si>
  <si>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</si>
  <si>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</si>
  <si>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</si>
  <si>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</si>
  <si>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</si>
  <si>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</si>
  <si>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</si>
  <si>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</si>
  <si>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</si>
  <si>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</si>
  <si>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</si>
  <si>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</si>
  <si>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</si>
  <si>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</si>
  <si>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</si>
  <si>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</si>
  <si>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</si>
  <si>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</si>
  <si>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</si>
  <si>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</si>
  <si>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</si>
  <si>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</si>
  <si>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</si>
  <si>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</si>
  <si>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</si>
  <si>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</si>
  <si>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</si>
  <si>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</si>
  <si>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</si>
  <si>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</si>
  <si>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</si>
  <si>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</si>
  <si>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</si>
  <si>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</si>
  <si>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</si>
  <si>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</si>
  <si>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</si>
  <si>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</si>
  <si>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</si>
  <si>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</si>
  <si>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</si>
  <si>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</si>
  <si>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</si>
  <si>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</si>
  <si>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</si>
  <si>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</si>
  <si>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</si>
  <si>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</si>
  <si>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</si>
  <si>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</si>
  <si>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</si>
  <si>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</si>
  <si>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</si>
  <si>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</si>
  <si>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</si>
  <si>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</si>
  <si>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</si>
  <si>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</si>
  <si>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</si>
  <si>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</si>
  <si>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</si>
  <si>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</si>
  <si>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</si>
  <si>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</si>
  <si>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</si>
  <si>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</si>
  <si>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</si>
  <si>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</si>
  <si>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</si>
  <si>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</si>
  <si>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</si>
  <si>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</si>
  <si>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</si>
  <si>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</si>
  <si>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</si>
  <si>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</si>
  <si>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</si>
  <si>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</si>
  <si>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</si>
  <si>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</si>
  <si>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</si>
  <si>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</si>
  <si>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</si>
  <si>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</si>
  <si>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</si>
  <si>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</si>
  <si>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</si>
  <si>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</si>
  <si>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</si>
  <si>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</si>
  <si>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</si>
  <si>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</si>
  <si>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</si>
  <si>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</si>
  <si>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</si>
  <si>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</si>
  <si>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</si>
  <si>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</si>
  <si>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</si>
  <si>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</si>
  <si>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</si>
  <si>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</si>
  <si>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</si>
  <si>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</si>
  <si>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</si>
  <si>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</si>
  <si>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</si>
  <si>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</si>
  <si>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</si>
  <si>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</si>
  <si>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</si>
  <si>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</si>
  <si>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</si>
  <si>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</si>
  <si>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</si>
  <si>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</si>
  <si>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</si>
  <si>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</si>
  <si>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</si>
  <si>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</si>
  <si>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</si>
  <si>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</si>
  <si>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</si>
  <si>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</si>
  <si>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</si>
  <si>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</si>
  <si>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</si>
  <si>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</si>
  <si>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</si>
  <si>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</si>
  <si>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</si>
  <si>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</si>
  <si>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</si>
  <si>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</si>
  <si>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</si>
  <si>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</si>
  <si>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</si>
  <si>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</si>
  <si>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</si>
  <si>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</si>
  <si>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</si>
  <si>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</si>
  <si>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</si>
  <si>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</si>
  <si>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</si>
  <si>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</si>
  <si>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</si>
  <si>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</si>
  <si>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</si>
  <si>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</si>
  <si>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</si>
  <si>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</si>
  <si>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</si>
  <si>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</si>
  <si>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</si>
  <si>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</si>
  <si>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</si>
  <si>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</si>
  <si>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</si>
  <si>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</si>
  <si>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</si>
  <si>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</si>
  <si>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</si>
  <si>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</si>
  <si>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</si>
  <si>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</si>
  <si>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</si>
  <si>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</si>
  <si>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</si>
  <si>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</si>
  <si>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</si>
  <si>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</si>
  <si>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</si>
  <si>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</si>
  <si>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</si>
  <si>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</si>
  <si>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</si>
  <si>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</si>
  <si>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</si>
  <si>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</si>
  <si>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</si>
  <si>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</si>
  <si>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</si>
  <si>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</si>
  <si>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</si>
  <si>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</si>
  <si>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</si>
  <si>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</si>
  <si>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</si>
  <si>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</si>
  <si>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</si>
  <si>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</si>
  <si>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</si>
  <si>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</si>
  <si>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</si>
  <si>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</si>
  <si>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</si>
  <si>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</si>
  <si>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</si>
  <si>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</si>
  <si>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</si>
  <si>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</si>
  <si>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</si>
  <si>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</si>
  <si>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</si>
  <si>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</si>
  <si>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</si>
  <si>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</si>
  <si>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</si>
  <si>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</si>
  <si>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</si>
  <si>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</si>
  <si>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</si>
  <si>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</si>
  <si>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</si>
  <si>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</si>
  <si>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</si>
  <si>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</si>
  <si>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</si>
  <si>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</si>
  <si>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</si>
  <si>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</si>
  <si>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</si>
  <si>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</si>
  <si>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</si>
  <si>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</si>
  <si>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</si>
  <si>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</si>
  <si>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</si>
  <si>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</si>
  <si>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</si>
  <si>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</si>
  <si>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</si>
  <si>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</si>
  <si>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</si>
  <si>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</si>
  <si>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</si>
  <si>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</si>
  <si>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</si>
  <si>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</si>
  <si>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</si>
  <si>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</si>
  <si>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</si>
  <si>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</si>
  <si>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</si>
  <si>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</si>
  <si>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</si>
  <si>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</si>
  <si>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</si>
  <si>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</si>
  <si>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</si>
  <si>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</si>
  <si>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</si>
  <si>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</si>
  <si>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</si>
  <si>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</si>
  <si>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</si>
  <si>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</si>
  <si>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</si>
  <si>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</si>
  <si>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</si>
  <si>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</si>
  <si>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</si>
  <si>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</si>
  <si>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</si>
  <si>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</si>
  <si>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</si>
  <si>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</si>
  <si>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</si>
  <si>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</si>
  <si>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</si>
  <si>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</si>
  <si>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</si>
  <si>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</si>
  <si>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</si>
  <si>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</si>
  <si>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</si>
  <si>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</si>
  <si>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</si>
  <si>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</si>
  <si>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</si>
  <si>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</si>
  <si>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</si>
  <si>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</si>
  <si>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</si>
  <si>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</si>
  <si>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</si>
  <si>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</si>
  <si>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</si>
  <si>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</si>
  <si>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</si>
  <si>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</si>
  <si>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</si>
  <si>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</si>
  <si>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</si>
  <si>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</si>
  <si>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</si>
  <si>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</si>
  <si>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</si>
  <si>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</si>
  <si>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</si>
  <si>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</si>
  <si>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</si>
  <si>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</si>
  <si>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</si>
  <si>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</si>
  <si>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</si>
  <si>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</si>
  <si>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</si>
  <si>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</si>
  <si>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</si>
  <si>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</si>
  <si>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</si>
  <si>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</si>
  <si>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</si>
  <si>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</si>
  <si>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</si>
  <si>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</si>
  <si>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</si>
  <si>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</si>
  <si>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</si>
  <si>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</si>
  <si>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</si>
  <si>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</si>
  <si>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</si>
  <si>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</si>
  <si>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</si>
  <si>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</si>
  <si>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</si>
  <si>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</si>
  <si>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</si>
  <si>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</si>
  <si>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</si>
  <si>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</si>
  <si>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</si>
  <si>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</si>
  <si>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</si>
  <si>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</si>
  <si>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</si>
  <si>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</si>
  <si>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</si>
  <si>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</si>
  <si>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</si>
  <si>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</si>
  <si>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</si>
  <si>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</si>
  <si>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</si>
  <si>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</si>
  <si>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</si>
  <si>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</si>
  <si>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</si>
  <si>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</si>
  <si>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</si>
  <si>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</si>
  <si>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</si>
  <si>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</si>
  <si>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</si>
  <si>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</si>
  <si>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</si>
  <si>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</si>
  <si>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</si>
  <si>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</si>
  <si>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</si>
  <si>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</si>
  <si>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</si>
  <si>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</si>
  <si>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</si>
  <si>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</si>
  <si>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</si>
  <si>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</si>
  <si>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</si>
  <si>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</si>
  <si>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</si>
  <si>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</si>
  <si>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</si>
  <si>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</si>
  <si>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</si>
  <si>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</si>
  <si>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</si>
  <si>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</si>
  <si>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</si>
  <si>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</si>
  <si>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</si>
  <si>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</si>
  <si>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</si>
  <si>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</si>
  <si>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</si>
  <si>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</si>
  <si>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</si>
  <si>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</si>
  <si>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</si>
  <si>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</si>
  <si>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</si>
  <si>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</si>
  <si>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</si>
  <si>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</si>
  <si>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</si>
  <si>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</si>
  <si>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</si>
  <si>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</si>
  <si>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</si>
  <si>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</si>
  <si>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</si>
  <si>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</si>
  <si>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</si>
  <si>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</si>
  <si>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</si>
  <si>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</si>
  <si>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</si>
  <si>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</si>
  <si>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</si>
  <si>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</si>
  <si>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</si>
  <si>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</si>
  <si>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</si>
  <si>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</si>
  <si>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</si>
  <si>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</si>
  <si>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</si>
  <si>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</si>
  <si>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</si>
  <si>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</si>
  <si>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</si>
  <si>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</si>
  <si>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</si>
  <si>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</si>
  <si>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</si>
  <si>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</si>
  <si>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</si>
  <si>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</si>
  <si>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</si>
  <si>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</si>
  <si>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</si>
  <si>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</si>
  <si>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</si>
  <si>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</si>
  <si>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</si>
  <si>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</si>
  <si>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</si>
  <si>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</si>
  <si>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</si>
  <si>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</si>
  <si>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</si>
  <si>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</si>
  <si>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</si>
  <si>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</si>
  <si>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</si>
  <si>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</si>
  <si>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</si>
  <si>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</si>
  <si>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</si>
  <si>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</si>
  <si>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</si>
  <si>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</si>
  <si>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</si>
  <si>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</si>
  <si>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</si>
  <si>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</si>
  <si>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</si>
  <si>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</si>
  <si>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</si>
  <si>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</si>
  <si>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</si>
  <si>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</si>
  <si>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</si>
  <si>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</si>
  <si>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</si>
  <si>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</si>
  <si>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</si>
  <si>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</si>
  <si>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</si>
  <si>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</si>
  <si>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</si>
  <si>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</si>
  <si>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</si>
  <si>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</si>
  <si>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</si>
  <si>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</si>
  <si>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</si>
  <si>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</si>
  <si>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</si>
  <si>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</si>
  <si>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</si>
  <si>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</si>
  <si>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</si>
  <si>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</si>
  <si>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</si>
  <si>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</si>
  <si>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</si>
  <si>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</si>
  <si>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</si>
  <si>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</si>
  <si>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</si>
  <si>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</si>
  <si>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</si>
  <si>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</si>
  <si>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</si>
  <si>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</si>
  <si>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</si>
  <si>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</si>
  <si>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</si>
  <si>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</si>
  <si>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</si>
  <si>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</si>
  <si>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</si>
  <si>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</si>
  <si>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</si>
  <si>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</si>
  <si>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</si>
  <si>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</si>
  <si>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</si>
  <si>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</si>
  <si>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</si>
  <si>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</si>
  <si>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</si>
  <si>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</si>
  <si>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</si>
  <si>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</si>
  <si>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</si>
  <si>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</si>
  <si>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</si>
  <si>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</si>
  <si>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</si>
  <si>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</si>
  <si>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</si>
  <si>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</si>
  <si>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</si>
  <si>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</si>
  <si>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</si>
  <si>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</si>
  <si>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</si>
  <si>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</si>
  <si>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</si>
  <si>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</si>
  <si>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</si>
  <si>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</si>
  <si>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</si>
  <si>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</si>
  <si>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</si>
  <si>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</si>
  <si>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</si>
  <si>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</si>
  <si>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</si>
  <si>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</si>
  <si>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</si>
  <si>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</si>
  <si>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</si>
  <si>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</si>
  <si>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</si>
  <si>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</si>
  <si>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</si>
  <si>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</si>
  <si>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</si>
  <si>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</si>
  <si>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</si>
  <si>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</si>
  <si>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</si>
  <si>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</si>
  <si>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</si>
  <si>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</si>
  <si>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</si>
  <si>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</si>
  <si>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</si>
  <si>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</si>
  <si>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</si>
  <si>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</si>
  <si>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</si>
  <si>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</si>
  <si>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</si>
  <si>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</si>
  <si>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</si>
  <si>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</si>
  <si>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</si>
  <si>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</si>
  <si>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</si>
  <si>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</si>
  <si>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</si>
  <si>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</si>
  <si>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</si>
  <si>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</si>
  <si>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</si>
  <si>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</si>
  <si>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</si>
  <si>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</si>
  <si>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</si>
  <si>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</si>
  <si>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</si>
  <si>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</si>
  <si>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</si>
  <si>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</si>
  <si>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</si>
  <si>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</si>
  <si>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</si>
  <si>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</si>
  <si>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</si>
  <si>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</si>
  <si>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</si>
  <si>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</si>
  <si>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</si>
  <si>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</si>
  <si>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</si>
  <si>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</si>
  <si>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</si>
  <si>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</si>
  <si>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</si>
  <si>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</si>
  <si>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</si>
  <si>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</si>
  <si>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</si>
  <si>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</si>
  <si>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</si>
  <si>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</si>
  <si>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</si>
  <si>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</si>
  <si>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</si>
  <si>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</si>
  <si>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</si>
  <si>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</si>
  <si>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</si>
  <si>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</si>
  <si>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</si>
  <si>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</si>
  <si>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</si>
  <si>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</si>
  <si>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</si>
  <si>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</si>
  <si>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</si>
  <si>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</si>
  <si>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</si>
  <si>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</si>
  <si>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</si>
  <si>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</si>
  <si>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</si>
  <si>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</si>
  <si>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</si>
  <si>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</si>
  <si>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</si>
  <si>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</si>
  <si>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</si>
  <si>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</si>
  <si>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</si>
  <si>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</si>
  <si>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</si>
  <si>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</si>
  <si>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</si>
  <si>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</si>
  <si>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</si>
  <si>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</si>
  <si>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</si>
  <si>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</si>
  <si>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</si>
  <si>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</si>
  <si>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</si>
  <si>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</si>
  <si>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</si>
  <si>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</si>
  <si>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</si>
  <si>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</si>
  <si>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</si>
  <si>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</si>
  <si>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</si>
  <si>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</si>
  <si>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</si>
  <si>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</si>
  <si>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</si>
  <si>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</si>
  <si>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</si>
  <si>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</si>
  <si>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</si>
  <si>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</si>
  <si>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</si>
  <si>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</si>
  <si>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</si>
  <si>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</si>
  <si>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</si>
  <si>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</si>
  <si>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</si>
  <si>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</si>
  <si>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</si>
  <si>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</si>
  <si>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</si>
  <si>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</si>
  <si>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</si>
  <si>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</si>
  <si>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</si>
  <si>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</si>
  <si>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</si>
  <si>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</si>
  <si>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</si>
  <si>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</si>
  <si>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</si>
  <si>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</si>
  <si>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</si>
  <si>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</si>
  <si>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</si>
  <si>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</si>
  <si>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</si>
  <si>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</si>
  <si>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</si>
  <si>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</si>
  <si>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</si>
  <si>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</si>
  <si>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</si>
  <si>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</si>
  <si>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</si>
  <si>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</si>
  <si>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</si>
  <si>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</si>
  <si>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</si>
  <si>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</si>
  <si>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</si>
  <si>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</si>
  <si>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</si>
  <si>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</si>
  <si>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</si>
  <si>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</si>
  <si>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</si>
  <si>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</si>
  <si>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</si>
  <si>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</si>
  <si>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</si>
  <si>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</si>
  <si>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</si>
  <si>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</si>
  <si>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</si>
  <si>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</si>
  <si>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</si>
  <si>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</si>
  <si>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</si>
  <si>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</si>
  <si>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</si>
  <si>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</si>
  <si>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</si>
  <si>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</si>
  <si>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</si>
  <si>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</si>
  <si>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</si>
  <si>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</si>
  <si>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</si>
  <si>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</si>
  <si>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</si>
  <si>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</si>
  <si>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</si>
  <si>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</si>
  <si>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</si>
  <si>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</si>
  <si>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</si>
  <si>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</si>
  <si>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</si>
  <si>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</si>
  <si>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</si>
  <si>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</si>
  <si>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</si>
  <si>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</si>
  <si>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</si>
  <si>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</si>
  <si>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</si>
  <si>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</si>
  <si>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</si>
  <si>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</si>
  <si>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</si>
  <si>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</si>
  <si>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</si>
  <si>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</si>
  <si>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</si>
  <si>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</si>
  <si>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</si>
  <si>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</si>
  <si>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</si>
  <si>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</si>
  <si>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</si>
  <si>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</si>
  <si>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</si>
  <si>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</si>
  <si>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</si>
  <si>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</si>
  <si>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</si>
  <si>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</si>
  <si>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</si>
  <si>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</si>
  <si>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</si>
  <si>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</si>
  <si>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</si>
  <si>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</si>
  <si>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</si>
  <si>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</si>
  <si>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</si>
  <si>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</si>
  <si>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</si>
  <si>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</si>
  <si>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</si>
  <si>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</si>
  <si>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</si>
  <si>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</si>
  <si>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</si>
  <si>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</si>
  <si>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</si>
  <si>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</si>
  <si>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</si>
  <si>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</si>
  <si>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</si>
  <si>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</si>
  <si>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</si>
  <si>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</si>
  <si>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</si>
  <si>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</si>
  <si>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</si>
  <si>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</si>
  <si>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</si>
  <si>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</si>
  <si>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</si>
  <si>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</si>
  <si>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</si>
  <si>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</si>
  <si>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</si>
  <si>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</si>
  <si>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</si>
  <si>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</si>
  <si>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</si>
  <si>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</si>
  <si>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</si>
  <si>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</si>
  <si>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</si>
  <si>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</si>
  <si>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</si>
  <si>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</si>
  <si>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</si>
  <si>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</si>
  <si>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</si>
  <si>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</si>
  <si>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</si>
  <si>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</si>
  <si>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</si>
  <si>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</si>
  <si>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</si>
  <si>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</si>
  <si>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</si>
  <si>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</si>
  <si>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</si>
  <si>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</si>
  <si>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</si>
  <si>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</si>
  <si>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</si>
  <si>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</si>
  <si>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</si>
  <si>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</si>
  <si>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</si>
  <si>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</si>
  <si>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</si>
  <si>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</si>
  <si>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</si>
  <si>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</si>
  <si>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</si>
  <si>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</si>
  <si>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</si>
  <si>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</si>
  <si>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</si>
  <si>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</si>
  <si>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</si>
  <si>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</si>
  <si>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</si>
  <si>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</si>
  <si>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</si>
  <si>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</si>
  <si>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</si>
  <si>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</si>
  <si>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</si>
  <si>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</si>
  <si>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</si>
  <si>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</si>
  <si>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</si>
  <si>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</si>
  <si>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</si>
  <si>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</si>
  <si>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</si>
  <si>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</si>
  <si>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</si>
  <si>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</si>
  <si>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</si>
  <si>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</si>
  <si>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</si>
  <si>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</si>
  <si>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</si>
  <si>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</si>
  <si>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</si>
  <si>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</si>
  <si>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</si>
  <si>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</si>
  <si>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</si>
  <si>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</si>
  <si>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</si>
  <si>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</si>
  <si>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</si>
  <si>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</si>
  <si>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</si>
  <si>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</si>
  <si>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</si>
  <si>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</si>
  <si>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</si>
  <si>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</si>
  <si>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</si>
  <si>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</si>
  <si>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</si>
  <si>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</si>
  <si>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</si>
  <si>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</si>
  <si>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</si>
  <si>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</si>
  <si>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</si>
  <si>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</si>
  <si>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</si>
  <si>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</si>
  <si>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</si>
  <si>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</si>
  <si>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</si>
  <si>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</si>
  <si>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</si>
  <si>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</si>
  <si>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</si>
  <si>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</si>
  <si>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</si>
  <si>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</si>
  <si>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</si>
  <si>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</si>
  <si>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</si>
  <si>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</si>
  <si>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</si>
  <si>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</si>
  <si>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</si>
  <si>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</si>
  <si>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</si>
  <si>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</si>
  <si>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</si>
  <si>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</si>
  <si>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</si>
  <si>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</si>
  <si>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</si>
  <si>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</si>
  <si>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</si>
  <si>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</si>
  <si>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</si>
  <si>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</si>
  <si>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</si>
  <si>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</si>
  <si>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</si>
  <si>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</si>
  <si>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</si>
  <si>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</si>
  <si>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</si>
  <si>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</si>
  <si>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</si>
  <si>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</si>
  <si>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</si>
  <si>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</si>
  <si>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</si>
  <si>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</si>
  <si>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</si>
  <si>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</si>
  <si>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</si>
  <si>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</si>
  <si>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</si>
  <si>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</si>
  <si>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</si>
  <si>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</si>
  <si>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</si>
  <si>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</si>
  <si>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</si>
  <si>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</si>
  <si>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</si>
  <si>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</si>
  <si>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</si>
  <si>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</si>
  <si>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</si>
  <si>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</si>
  <si>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</si>
  <si>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</si>
  <si>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</si>
  <si>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</si>
  <si>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</si>
  <si>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</si>
  <si>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</si>
  <si>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</si>
  <si>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</si>
  <si>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</si>
  <si>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</si>
  <si>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</si>
  <si>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</si>
  <si>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</si>
  <si>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</si>
  <si>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</si>
  <si>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</si>
  <si>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</si>
  <si>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</si>
  <si>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</si>
  <si>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</si>
  <si>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</si>
  <si>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</si>
  <si>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</si>
  <si>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</si>
  <si>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</si>
  <si>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</si>
  <si>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</si>
  <si>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</si>
  <si>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</si>
  <si>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</si>
  <si>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</si>
  <si>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</si>
  <si>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</si>
  <si>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</si>
  <si>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</si>
  <si>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</si>
  <si>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</si>
  <si>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</si>
  <si>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</si>
  <si>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</si>
  <si>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</si>
  <si>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</si>
  <si>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</si>
  <si>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</si>
  <si>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</si>
  <si>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</si>
  <si>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</si>
  <si>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</si>
  <si>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</si>
  <si>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</si>
  <si>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</si>
  <si>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</si>
  <si>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</si>
  <si>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</si>
  <si>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</si>
  <si>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</si>
  <si>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</si>
  <si>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</si>
  <si>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</si>
  <si>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</si>
  <si>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</si>
  <si>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</si>
  <si>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</si>
  <si>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</si>
  <si>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</si>
  <si>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</si>
  <si>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</si>
  <si>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</si>
  <si>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</si>
  <si>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</si>
  <si>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</si>
  <si>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</si>
  <si>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</si>
  <si>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</si>
  <si>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</si>
  <si>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</si>
  <si>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</si>
  <si>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</si>
  <si>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</si>
  <si>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</si>
  <si>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</si>
  <si>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</si>
  <si>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</si>
  <si>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</si>
  <si>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</si>
  <si>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</si>
  <si>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</si>
  <si>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</si>
  <si>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</si>
  <si>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</si>
  <si>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</si>
  <si>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</si>
  <si>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</si>
  <si>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</si>
  <si>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</si>
  <si>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</si>
  <si>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</si>
  <si>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</si>
  <si>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</si>
  <si>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</si>
  <si>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</si>
  <si>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</si>
  <si>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</si>
  <si>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</si>
  <si>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</si>
  <si>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</si>
  <si>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</si>
  <si>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</si>
  <si>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</si>
  <si>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</si>
  <si>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</si>
  <si>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</si>
  <si>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</si>
  <si>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</si>
  <si>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</si>
  <si>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</si>
  <si>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</si>
  <si>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</si>
  <si>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</si>
  <si>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</si>
  <si>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</si>
  <si>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</si>
  <si>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</si>
  <si>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</si>
  <si>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</si>
  <si>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</si>
  <si>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</si>
  <si>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</si>
  <si>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</si>
  <si>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</si>
  <si>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</si>
  <si>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</si>
  <si>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</si>
  <si>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</si>
  <si>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</si>
  <si>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</si>
  <si>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</si>
  <si>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</si>
  <si>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</si>
  <si>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</si>
  <si>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</si>
  <si>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</si>
  <si>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</si>
  <si>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</si>
  <si>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</si>
  <si>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</si>
  <si>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</si>
  <si>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</si>
  <si>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</si>
  <si>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</si>
  <si>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</si>
  <si>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</si>
  <si>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</si>
  <si>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</si>
  <si>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</si>
  <si>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</si>
  <si>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</si>
  <si>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</si>
  <si>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</si>
  <si>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</si>
  <si>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</si>
  <si>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</si>
  <si>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</si>
  <si>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</si>
  <si>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</si>
  <si>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</si>
  <si>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</si>
  <si>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</si>
  <si>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</si>
  <si>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</si>
  <si>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</si>
  <si>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</si>
  <si>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</si>
  <si>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</si>
  <si>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</si>
  <si>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</si>
  <si>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</si>
  <si>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</si>
  <si>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</si>
  <si>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</si>
  <si>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</si>
  <si>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</si>
  <si>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</si>
  <si>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</si>
  <si>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</si>
  <si>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</si>
  <si>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</si>
  <si>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</si>
  <si>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</si>
  <si>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</si>
  <si>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</si>
  <si>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</si>
  <si>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</si>
  <si>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</si>
  <si>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</si>
  <si>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</si>
  <si>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</si>
  <si>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</si>
  <si>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</si>
  <si>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</si>
  <si>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</si>
  <si>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</si>
  <si>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</si>
  <si>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</si>
  <si>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</si>
  <si>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</si>
  <si>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</si>
  <si>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</si>
  <si>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</si>
  <si>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</si>
  <si>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</si>
  <si>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</si>
  <si>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</si>
  <si>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</si>
  <si>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</si>
  <si>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</si>
  <si>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</si>
  <si>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</si>
  <si>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</si>
  <si>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</si>
  <si>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</si>
  <si>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</si>
  <si>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</si>
  <si>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</si>
  <si>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</si>
  <si>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</si>
  <si>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</si>
  <si>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</si>
  <si>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</si>
  <si>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</si>
  <si>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</si>
  <si>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</si>
  <si>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</si>
  <si>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</si>
  <si>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</si>
  <si>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</si>
  <si>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</si>
  <si>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</si>
  <si>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r>
      <rPr>
        <b/>
        <i/>
        <sz val="11"/>
        <rFont val="Calibri"/>
        <family val="2"/>
        <scheme val="minor"/>
      </rPr>
      <t>WIP- 21/9, 26/4</t>
    </r>
    <r>
      <rPr>
        <i/>
        <sz val="11"/>
        <rFont val="Calibri"/>
        <family val="2"/>
        <scheme val="minor"/>
      </rPr>
      <t xml:space="preserve">
Today Completed - </t>
    </r>
  </si>
  <si>
    <t>Final Sag not done due to ROW in backstay at 10/12</t>
  </si>
  <si>
    <t>10/12-10/20</t>
  </si>
  <si>
    <t>ROW, Gang Idle</t>
  </si>
  <si>
    <t>Teams is idle due to ROW &amp; other reasons Etc:- 
1. Sheetal Singh:- Gang idle at 21/9 due to ROW Since initials.</t>
  </si>
  <si>
    <t>JSR onstruction</t>
  </si>
  <si>
    <t>Excavation WIP 1.5 Mtrs in All phase. Slow progress due to Hard Rock.</t>
  </si>
  <si>
    <t>Gang-1:- 10/2 WIP.</t>
  </si>
  <si>
    <t>Paying out not done due to unavailability of Platina in AP55-56</t>
  </si>
  <si>
    <t>55/0-56/0</t>
  </si>
  <si>
    <t>AP10/12-11:- WIP.</t>
  </si>
  <si>
    <t>AP55-56:- WIP.
AP46-47:- WIP</t>
  </si>
  <si>
    <t>F/Sag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</si>
</sst>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6">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5">
    <dxf>
      <fill>
        <patternFill>
          <bgColor rgb="FFFFFF00"/>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4" dataDxfId="272" headerRowBorderDxfId="273" tableBorderDxfId="271" headerRowCellStyle="Normal 17" dataCellStyle="Normal 17">
  <autoFilter ref="A16:I37" xr:uid="{45A527FB-BC36-47A3-864A-1D13F9109642}"/>
  <tableColumns count="9">
    <tableColumn id="1" xr3:uid="{5EF04D29-04E7-42F3-8E00-D0138C037C1F}" name="S.No" dataDxfId="270" dataCellStyle="Normal 17"/>
    <tableColumn id="2" xr3:uid="{8DFF9BD7-4C4B-408B-B2DE-4922D82954E9}" name="Nature of Hindrance" dataDxfId="269" dataCellStyle="Normal 17"/>
    <tableColumn id="3" xr3:uid="{FD3947B4-4495-4827-9080-EE5220C65E96}" name="Loc/Sec." dataDxfId="268" dataCellStyle="Normal 17"/>
    <tableColumn id="4" xr3:uid="{59361E80-9B9D-41CF-B629-AD22A6ED7D54}" name="Affected Activity" dataDxfId="267" dataCellStyle="Normal 17"/>
    <tableColumn id="5" xr3:uid="{9F49E125-C8D3-450B-93A6-10EBD9EEB135}" name="Affected Gang Name" dataDxfId="266" dataCellStyle="Normal 17"/>
    <tableColumn id="6" xr3:uid="{3D8797EA-1F52-4BD6-ABC6-3A98C3054DE8}" name="Date  of 1st attempt" dataDxfId="265" dataCellStyle="Normal 17"/>
    <tableColumn id="7" xr3:uid="{ABD98433-912F-4D6F-A7A7-335BD30B1C83}" name="Date of removal (Last attempt)" dataDxfId="264" dataCellStyle="Normal 17"/>
    <tableColumn id="8" xr3:uid="{546EEA6C-AF84-4ED7-96FF-5D6E54506397}" name="Period of hindrance " dataDxfId="263" dataCellStyle="Normal 17"/>
    <tableColumn id="9" xr3:uid="{3955C54A-203E-419C-A140-3082EDE46046}" name="Remarks" dataDxfId="262"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1" dataDxfId="259" headerRowBorderDxfId="260" tableBorderDxfId="258" headerRowCellStyle="Normal 17">
  <autoFilter ref="A40:I251" xr:uid="{037BCE91-ED58-485D-80FA-F16A7A0FFCF3}"/>
  <tableColumns count="9">
    <tableColumn id="1" xr3:uid="{1508F9ED-3FA2-4831-BCF3-6BA27689BD22}" name="S.No" dataDxfId="257" dataCellStyle="Normal 17"/>
    <tableColumn id="2" xr3:uid="{28A6B015-ADB2-43F0-8282-20A133F5C094}" name="Nature of Hindrance" dataDxfId="256" dataCellStyle="Normal 17"/>
    <tableColumn id="3" xr3:uid="{2640D47A-E7C1-4878-A180-4CE4E2C5325D}" name="Loc/Sec." dataDxfId="255" dataCellStyle="Normal 17"/>
    <tableColumn id="4" xr3:uid="{C4DEEC84-A6CA-49D9-A7FA-104BFAEACCB6}" name="Affected Activity" dataDxfId="254" dataCellStyle="Normal 17"/>
    <tableColumn id="5" xr3:uid="{2ACFA27C-5413-495E-AE6C-67A9E8DDC586}" name="Affected Gang Name" dataDxfId="253" dataCellStyle="Normal 17"/>
    <tableColumn id="6" xr3:uid="{D9B92505-81FE-416B-B588-3165A7F28B0A}" name="Date  of occurrence" dataDxfId="252" dataCellStyle="Normal 17"/>
    <tableColumn id="7" xr3:uid="{F7AAAC0E-329B-4B4E-960D-97E1C87D23D2}" name="Date of removal " dataDxfId="251" dataCellStyle="Normal 17"/>
    <tableColumn id="8" xr3:uid="{25F9BC4C-B9C7-45E4-9C91-AD97AF3A2A76}" name="Period of hindrance " dataDxfId="250" dataCellStyle="Normal 17"/>
    <tableColumn id="9" xr3:uid="{57EC84C7-2ABF-4417-AF20-2C5EA9757A5C}" name="Remarks" dataDxfId="249"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8" dataDxfId="246" headerRowBorderDxfId="247" tableBorderDxfId="245" headerRowCellStyle="Normal 17" dataCellStyle="Normal 17">
  <autoFilter ref="A256:I343" xr:uid="{67A3B3FB-54AA-46D4-926E-93D51A2FE21B}"/>
  <tableColumns count="9">
    <tableColumn id="1" xr3:uid="{B9BCC3B4-FC85-4DB4-B06A-DC3D9234001A}" name="S.No" dataDxfId="244" dataCellStyle="Normal 17"/>
    <tableColumn id="2" xr3:uid="{52802530-5F5A-4035-BF5B-DEC505542414}" name="Nature of Hindrance" dataDxfId="243" dataCellStyle="Normal 17"/>
    <tableColumn id="3" xr3:uid="{F69B7A02-8FFA-44E5-BBE1-70D583A52457}" name="Loc/Sec." dataDxfId="242" dataCellStyle="Normal 17"/>
    <tableColumn id="4" xr3:uid="{33D325EC-80C6-4738-8CC8-E6BD1EFEA4D1}" name="Affected Activity" dataDxfId="241" dataCellStyle="Normal 17"/>
    <tableColumn id="5" xr3:uid="{37F7CB4E-7859-499D-8246-61970305CBC3}" name="Affected Gang Name" dataDxfId="240" dataCellStyle="Normal 17"/>
    <tableColumn id="6" xr3:uid="{DBDD4829-60EE-4F5A-8155-B0730C3F9376}" name="Date  of occurrence" dataDxfId="239" dataCellStyle="Normal 17"/>
    <tableColumn id="7" xr3:uid="{D4FE71C3-C03B-4BF4-85E7-07E83846E1AD}" name="Date of removal " dataDxfId="238" dataCellStyle="Normal 17"/>
    <tableColumn id="8" xr3:uid="{52BF2E2E-0F91-4FBD-A62B-D1393C59F797}" name="Period of hindrance " dataDxfId="237" dataCellStyle="Normal 17"/>
    <tableColumn id="9" xr3:uid="{017A1E86-5E75-4702-AA88-83959E8C02E6}" name="Remarks" dataDxfId="236"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5" dataDxfId="233" headerRowBorderDxfId="234" tableBorderDxfId="232" headerRowCellStyle="Normal 17" dataCellStyle="Normal 17">
  <autoFilter ref="A347:I351" xr:uid="{50ABCB76-42F5-4CDD-9778-A72702C2505F}"/>
  <tableColumns count="9">
    <tableColumn id="1" xr3:uid="{4B74923D-A9E0-48AC-8BD9-FCD57005E646}" name="S.No" dataDxfId="231" dataCellStyle="Normal 17"/>
    <tableColumn id="2" xr3:uid="{777330F3-7F26-4E08-AE46-AA363668F505}" name="Nature of Hindrance" dataDxfId="230" dataCellStyle="Normal 17"/>
    <tableColumn id="3" xr3:uid="{C6C88B81-8B3E-4A02-9978-F59C4A1FDD8B}" name="Loc/Sec." dataDxfId="229" dataCellStyle="Normal 17"/>
    <tableColumn id="4" xr3:uid="{72B4501A-C077-4CD4-AFF3-A9C0715732ED}" name="Affected Activity" dataDxfId="228" dataCellStyle="Normal 17"/>
    <tableColumn id="5" xr3:uid="{6CB16CA2-8E4D-4E79-B1FA-A8422E72F11F}" name="Affected Gang Name" dataDxfId="227" dataCellStyle="Normal 17"/>
    <tableColumn id="6" xr3:uid="{1F619724-9D75-4D14-84D9-E5F9B6318025}" name="Date  of occurrence" dataDxfId="226" dataCellStyle="Normal 17"/>
    <tableColumn id="7" xr3:uid="{77A9F23F-9185-4F8C-A7BC-5B55A13E19EC}" name="Date of removal " dataDxfId="225" dataCellStyle="Normal 17"/>
    <tableColumn id="8" xr3:uid="{945F663D-8F92-45DE-B62E-466CB747D8A9}" name="Period of hindrance " dataDxfId="224" dataCellStyle="Normal 17"/>
    <tableColumn id="9" xr3:uid="{28829685-4EE5-4AF1-821C-E84BABCBAA2E}" name="Remarks" dataDxfId="223"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8" activePane="bottomRight" state="frozen"/>
      <selection activeCell="E37" sqref="E37"/>
      <selection pane="topRight" activeCell="E37" sqref="E37"/>
      <selection pane="bottomLeft" activeCell="E37" sqref="E37"/>
      <selection pane="bottomRight" activeCell="M12" sqref="M12"/>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21" t="e" vm="1">
        <v>#VALUE!</v>
      </c>
      <c r="B1" s="205" t="s">
        <v>146</v>
      </c>
      <c r="C1" s="204" t="s">
        <v>1229</v>
      </c>
      <c r="D1" s="97" t="s">
        <v>0</v>
      </c>
      <c r="E1" s="829">
        <f ca="1">+TODAY()</f>
        <v>46058</v>
      </c>
      <c r="F1" s="830"/>
      <c r="G1" s="98" t="s">
        <v>142</v>
      </c>
      <c r="H1" s="824" t="s">
        <v>352</v>
      </c>
      <c r="I1" s="824"/>
      <c r="J1" s="98" t="s">
        <v>1350</v>
      </c>
      <c r="K1" s="99" t="s">
        <v>1271</v>
      </c>
      <c r="L1" s="98" t="s">
        <v>21</v>
      </c>
      <c r="M1" s="818" t="s">
        <v>1194</v>
      </c>
      <c r="N1" s="820"/>
      <c r="Q1" s="457" t="s">
        <v>1245</v>
      </c>
    </row>
    <row r="2" spans="1:17" ht="30" customHeight="1" x14ac:dyDescent="0.25">
      <c r="A2" s="822"/>
      <c r="B2" s="96" t="s">
        <v>112</v>
      </c>
      <c r="C2" s="826" t="s">
        <v>1293</v>
      </c>
      <c r="D2" s="827"/>
      <c r="E2" s="827"/>
      <c r="F2" s="828"/>
      <c r="G2" s="98" t="s">
        <v>18</v>
      </c>
      <c r="H2" s="818" t="s">
        <v>1437</v>
      </c>
      <c r="I2" s="819"/>
      <c r="J2" s="819"/>
      <c r="K2" s="820"/>
      <c r="L2" s="98" t="s">
        <v>1</v>
      </c>
      <c r="M2" s="818" t="s">
        <v>147</v>
      </c>
      <c r="N2" s="820"/>
      <c r="Q2" s="458" t="s">
        <v>1231</v>
      </c>
    </row>
    <row r="3" spans="1:17" ht="30" x14ac:dyDescent="0.25">
      <c r="A3" s="823"/>
      <c r="B3" s="96" t="s">
        <v>1227</v>
      </c>
      <c r="C3" s="826" t="s">
        <v>1292</v>
      </c>
      <c r="D3" s="827"/>
      <c r="E3" s="827"/>
      <c r="F3" s="828"/>
      <c r="G3" s="98" t="s">
        <v>347</v>
      </c>
      <c r="H3" s="831">
        <v>45266</v>
      </c>
      <c r="I3" s="831"/>
      <c r="J3" s="98" t="s">
        <v>5</v>
      </c>
      <c r="K3" s="471">
        <v>46081</v>
      </c>
      <c r="L3" s="96" t="s">
        <v>17</v>
      </c>
      <c r="M3" s="832" t="s">
        <v>664</v>
      </c>
      <c r="N3" s="832"/>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1</v>
      </c>
      <c r="J6" s="111">
        <f t="shared" si="1"/>
        <v>481</v>
      </c>
      <c r="K6" s="111">
        <f t="shared" si="2"/>
        <v>4</v>
      </c>
      <c r="L6" s="111">
        <v>1</v>
      </c>
      <c r="M6" s="709" t="s">
        <v>1750</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c r="I8" s="111">
        <v>2</v>
      </c>
      <c r="J8" s="111">
        <f t="shared" si="1"/>
        <v>459</v>
      </c>
      <c r="K8" s="111">
        <f t="shared" si="2"/>
        <v>26</v>
      </c>
      <c r="L8" s="111">
        <v>2</v>
      </c>
      <c r="M8" s="643" t="s">
        <v>1743</v>
      </c>
      <c r="N8" s="717" t="s">
        <v>1747</v>
      </c>
      <c r="O8" s="651">
        <f t="shared" si="3"/>
        <v>94.639175257731949</v>
      </c>
      <c r="Q8" s="459" t="s">
        <v>1237</v>
      </c>
    </row>
    <row r="9" spans="1:17" s="7" customFormat="1" ht="30" x14ac:dyDescent="0.25">
      <c r="A9" s="111">
        <v>5</v>
      </c>
      <c r="B9" s="480" t="s">
        <v>225</v>
      </c>
      <c r="C9" s="111">
        <v>485</v>
      </c>
      <c r="D9" s="111">
        <v>295</v>
      </c>
      <c r="E9" s="111">
        <f t="shared" si="0"/>
        <v>190</v>
      </c>
      <c r="F9" s="111">
        <v>36</v>
      </c>
      <c r="G9" s="111">
        <v>4</v>
      </c>
      <c r="H9" s="111">
        <v>8</v>
      </c>
      <c r="I9" s="111"/>
      <c r="J9" s="111">
        <f t="shared" si="1"/>
        <v>303</v>
      </c>
      <c r="K9" s="111">
        <f t="shared" si="2"/>
        <v>182</v>
      </c>
      <c r="L9" s="111">
        <v>2</v>
      </c>
      <c r="M9" s="103"/>
      <c r="N9" s="101"/>
      <c r="O9" s="651">
        <f t="shared" si="3"/>
        <v>62.47422680412371</v>
      </c>
      <c r="Q9" s="459" t="s">
        <v>1238</v>
      </c>
    </row>
    <row r="10" spans="1:17" s="7" customFormat="1" ht="30" x14ac:dyDescent="0.25">
      <c r="A10" s="111">
        <v>6</v>
      </c>
      <c r="B10" s="480" t="s">
        <v>341</v>
      </c>
      <c r="C10" s="111">
        <f>C5</f>
        <v>191.37299999999999</v>
      </c>
      <c r="D10" s="111">
        <v>81.249799999999993</v>
      </c>
      <c r="E10" s="537">
        <f>C10-D10-33.766</f>
        <v>76.357200000000006</v>
      </c>
      <c r="F10" s="760">
        <v>23</v>
      </c>
      <c r="G10" s="537"/>
      <c r="H10" s="537"/>
      <c r="I10" s="537">
        <f>Stringing!G40</f>
        <v>4.0414600000000007</v>
      </c>
      <c r="J10" s="537">
        <f t="shared" si="1"/>
        <v>81.249799999999993</v>
      </c>
      <c r="K10" s="111">
        <f>+E10-H10</f>
        <v>76.357200000000006</v>
      </c>
      <c r="L10" s="833">
        <v>3</v>
      </c>
      <c r="M10" s="480" t="s">
        <v>1754</v>
      </c>
      <c r="N10" s="535"/>
      <c r="O10" s="651">
        <f t="shared" si="3"/>
        <v>42.456250359246077</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c r="I11" s="537">
        <f>Stringing!G41</f>
        <v>4.9500000000000028</v>
      </c>
      <c r="J11" s="537">
        <f t="shared" si="1"/>
        <v>76.556700000000006</v>
      </c>
      <c r="K11" s="111">
        <f t="shared" ref="K11:K12" si="4">+E11-H11</f>
        <v>81.050299999999993</v>
      </c>
      <c r="L11" s="834"/>
      <c r="M11" s="480" t="s">
        <v>1753</v>
      </c>
      <c r="N11" s="101"/>
      <c r="O11" s="651">
        <f t="shared" si="3"/>
        <v>40.003919048141597</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v>4.4770000000000003</v>
      </c>
      <c r="H12" s="621">
        <v>4.4770000000000003</v>
      </c>
      <c r="I12" s="621"/>
      <c r="J12" s="512">
        <f t="shared" si="1"/>
        <v>68.544000000000011</v>
      </c>
      <c r="K12" s="111">
        <f t="shared" si="4"/>
        <v>89.062999999999988</v>
      </c>
      <c r="L12" s="112">
        <v>1</v>
      </c>
      <c r="M12" s="620"/>
      <c r="N12" s="104"/>
      <c r="O12" s="651">
        <f t="shared" si="3"/>
        <v>35.816964775595309</v>
      </c>
      <c r="Q12" s="459" t="s">
        <v>1241</v>
      </c>
    </row>
    <row r="13" spans="1:17" x14ac:dyDescent="0.25">
      <c r="A13" s="825"/>
      <c r="B13" s="825"/>
      <c r="C13" s="825"/>
      <c r="D13" s="825"/>
      <c r="E13" s="825"/>
      <c r="F13" s="825"/>
      <c r="G13" s="825"/>
      <c r="H13" s="825"/>
      <c r="I13" s="825"/>
      <c r="J13" s="825"/>
      <c r="K13" s="825"/>
      <c r="L13" s="825"/>
      <c r="M13" s="825"/>
      <c r="N13" s="825"/>
      <c r="Q13" s="459" t="s">
        <v>1242</v>
      </c>
    </row>
    <row r="14" spans="1:17" x14ac:dyDescent="0.25">
      <c r="A14" s="814" t="s">
        <v>1222</v>
      </c>
      <c r="B14" s="814"/>
      <c r="C14" s="814"/>
      <c r="D14" s="814"/>
      <c r="E14" s="814"/>
      <c r="F14" s="814"/>
      <c r="G14" s="814"/>
      <c r="H14" s="5"/>
      <c r="I14" s="666"/>
      <c r="J14" s="5"/>
      <c r="K14" s="5"/>
      <c r="L14" s="5"/>
      <c r="M14" s="5"/>
      <c r="N14" s="5"/>
      <c r="Q14" s="459" t="s">
        <v>1243</v>
      </c>
    </row>
    <row r="15" spans="1:17" x14ac:dyDescent="0.25">
      <c r="A15" s="815"/>
      <c r="B15" s="816"/>
      <c r="C15" s="816"/>
      <c r="D15" s="816"/>
      <c r="E15" s="816"/>
      <c r="F15" s="816"/>
      <c r="G15" s="817"/>
      <c r="H15" s="5"/>
      <c r="I15" s="5"/>
      <c r="J15" s="5"/>
      <c r="K15" s="606"/>
      <c r="L15" s="5"/>
      <c r="M15" s="666"/>
      <c r="N15" s="5"/>
      <c r="Q15" s="459" t="s">
        <v>1244</v>
      </c>
    </row>
    <row r="16" spans="1:17" x14ac:dyDescent="0.25">
      <c r="A16" s="812" t="s">
        <v>1224</v>
      </c>
      <c r="B16" s="812"/>
      <c r="C16" s="812"/>
      <c r="D16" s="812"/>
      <c r="E16" s="812"/>
      <c r="F16" s="812"/>
      <c r="G16" s="812"/>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1</v>
      </c>
      <c r="D18" s="193">
        <f>'Page Chart'!Q4</f>
        <v>0</v>
      </c>
      <c r="E18" s="195">
        <f>A18-B18-C18-D18</f>
        <v>3</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12" t="s">
        <v>1225</v>
      </c>
      <c r="B20" s="812"/>
      <c r="C20" s="812"/>
      <c r="D20" s="812"/>
      <c r="E20" s="812"/>
      <c r="F20" s="812"/>
      <c r="G20" s="812"/>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0</v>
      </c>
      <c r="C22" s="195">
        <f>I8</f>
        <v>2</v>
      </c>
      <c r="D22" s="195">
        <f>'Page Chart'!V4+'Page Chart'!X4-F22</f>
        <v>0</v>
      </c>
      <c r="E22" s="195">
        <f>'Page Chart'!W4</f>
        <v>20</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3" t="s">
        <v>1226</v>
      </c>
      <c r="B24" s="813"/>
      <c r="C24" s="813"/>
      <c r="D24" s="813"/>
      <c r="E24" s="813"/>
      <c r="F24" s="813"/>
      <c r="G24" s="813"/>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76.357200000000006</v>
      </c>
      <c r="B26" s="4">
        <f>H10</f>
        <v>0</v>
      </c>
      <c r="C26" s="199">
        <f>I10</f>
        <v>4.0414600000000007</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1683</v>
      </c>
      <c r="B1" s="786" t="s">
        <v>1684</v>
      </c>
      <c r="C1" s="786" t="s">
        <v>1685</v>
      </c>
      <c r="D1" s="786" t="s">
        <v>1686</v>
      </c>
      <c r="E1" s="786" t="s">
        <v>1687</v>
      </c>
      <c r="F1" s="786" t="s">
        <v>1</v>
      </c>
      <c r="G1" s="786" t="s">
        <v>1688</v>
      </c>
      <c r="H1" s="786" t="s">
        <v>21</v>
      </c>
      <c r="I1" s="786" t="s">
        <v>1689</v>
      </c>
      <c r="J1" s="786" t="s">
        <v>1275</v>
      </c>
      <c r="K1" s="786" t="s">
        <v>1690</v>
      </c>
    </row>
    <row r="2" spans="1:14" x14ac:dyDescent="0.25">
      <c r="A2" s="787" t="s">
        <v>1691</v>
      </c>
      <c r="B2" s="787" t="s">
        <v>1692</v>
      </c>
      <c r="C2" s="787" t="s">
        <v>1693</v>
      </c>
      <c r="D2" s="788">
        <v>45266</v>
      </c>
      <c r="E2" s="788">
        <v>45960</v>
      </c>
      <c r="F2" s="787" t="s">
        <v>1694</v>
      </c>
      <c r="G2" s="787" t="s">
        <v>1695</v>
      </c>
      <c r="H2" s="787" t="s">
        <v>1696</v>
      </c>
      <c r="I2" s="787" t="s">
        <v>1697</v>
      </c>
      <c r="J2" s="787" t="s">
        <v>1698</v>
      </c>
      <c r="K2" s="787" t="s">
        <v>1699</v>
      </c>
    </row>
    <row r="3" spans="1:14" x14ac:dyDescent="0.25">
      <c r="A3" s="787"/>
      <c r="B3" s="787"/>
      <c r="C3" s="787"/>
      <c r="D3" s="787"/>
      <c r="E3" s="787"/>
      <c r="F3" s="787"/>
      <c r="G3" s="787"/>
      <c r="H3" s="787"/>
      <c r="I3" s="791" t="s">
        <v>1740</v>
      </c>
      <c r="J3" t="s">
        <v>1700</v>
      </c>
      <c r="K3" s="787" t="s">
        <v>1701</v>
      </c>
    </row>
    <row r="4" spans="1:14" x14ac:dyDescent="0.25">
      <c r="A4" s="787"/>
      <c r="B4" s="787"/>
      <c r="C4" s="787"/>
      <c r="D4" s="787"/>
      <c r="E4" s="788"/>
      <c r="F4" s="787"/>
      <c r="G4" s="787"/>
      <c r="H4" s="787"/>
      <c r="I4" s="787"/>
      <c r="J4" s="787" t="s">
        <v>1274</v>
      </c>
      <c r="K4" s="787" t="s">
        <v>1702</v>
      </c>
    </row>
    <row r="5" spans="1:14" x14ac:dyDescent="0.25">
      <c r="A5" s="787"/>
      <c r="B5" s="787"/>
      <c r="C5" s="787"/>
      <c r="D5" s="787"/>
      <c r="E5" s="787"/>
      <c r="F5" s="787"/>
      <c r="G5" s="787"/>
      <c r="H5" s="787"/>
      <c r="I5" s="787"/>
      <c r="J5" s="787" t="s">
        <v>1703</v>
      </c>
      <c r="K5" s="787" t="s">
        <v>1704</v>
      </c>
    </row>
    <row r="6" spans="1:14" x14ac:dyDescent="0.25">
      <c r="A6" s="787"/>
      <c r="B6" s="787"/>
      <c r="C6" s="787"/>
      <c r="D6" s="787"/>
      <c r="E6" s="787"/>
      <c r="F6" s="787"/>
      <c r="G6" s="787"/>
      <c r="H6" s="787"/>
      <c r="I6" s="787"/>
      <c r="J6" s="787" t="s">
        <v>1281</v>
      </c>
      <c r="K6" s="787" t="s">
        <v>1705</v>
      </c>
    </row>
    <row r="7" spans="1:14" x14ac:dyDescent="0.25">
      <c r="A7" s="787"/>
      <c r="B7" s="788"/>
      <c r="C7" s="787"/>
      <c r="D7" s="787"/>
      <c r="E7" s="787"/>
      <c r="F7" s="787"/>
      <c r="G7" s="787"/>
      <c r="H7" s="787"/>
      <c r="I7" s="787"/>
      <c r="J7" s="787" t="s">
        <v>1519</v>
      </c>
      <c r="K7" s="787" t="s">
        <v>1706</v>
      </c>
    </row>
    <row r="8" spans="1:14" x14ac:dyDescent="0.25">
      <c r="A8" s="787"/>
      <c r="B8" s="787"/>
      <c r="C8" s="787"/>
      <c r="D8" s="787"/>
      <c r="E8" s="787"/>
      <c r="F8" s="787"/>
      <c r="G8" s="787"/>
      <c r="H8" s="787"/>
      <c r="I8" s="787"/>
      <c r="J8" s="787"/>
      <c r="K8" s="787" t="s">
        <v>1707</v>
      </c>
      <c r="N8" s="641"/>
    </row>
    <row r="9" spans="1:14" x14ac:dyDescent="0.25">
      <c r="A9" s="787"/>
      <c r="B9" s="787"/>
      <c r="C9" s="787"/>
      <c r="D9" s="787"/>
      <c r="E9" s="787"/>
      <c r="F9" s="787"/>
      <c r="G9" s="787"/>
      <c r="H9" s="787"/>
      <c r="I9" s="787"/>
      <c r="J9" s="787"/>
      <c r="K9" s="787" t="s">
        <v>1708</v>
      </c>
    </row>
    <row r="10" spans="1:14" x14ac:dyDescent="0.25">
      <c r="A10" s="787"/>
      <c r="B10" s="787"/>
      <c r="C10" s="787"/>
      <c r="D10" s="787"/>
      <c r="E10" s="787"/>
      <c r="F10" s="787"/>
      <c r="G10" s="787"/>
      <c r="H10" s="787"/>
      <c r="I10" s="787"/>
      <c r="J10" s="787"/>
      <c r="K10" s="787" t="s">
        <v>1709</v>
      </c>
    </row>
    <row r="11" spans="1:14" x14ac:dyDescent="0.25">
      <c r="A11" s="787"/>
      <c r="B11" s="787"/>
      <c r="C11" s="787"/>
      <c r="D11" s="787"/>
      <c r="E11" s="787"/>
      <c r="F11" s="787"/>
      <c r="G11" s="787"/>
      <c r="H11" s="787"/>
      <c r="I11" s="787"/>
      <c r="J11" s="787"/>
      <c r="K11" s="787" t="s">
        <v>1710</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1711</v>
      </c>
    </row>
    <row r="14" spans="1:14" x14ac:dyDescent="0.25">
      <c r="A14" s="608"/>
      <c r="B14" s="608"/>
      <c r="C14" s="608"/>
      <c r="D14" s="608"/>
      <c r="E14" s="608"/>
      <c r="F14" s="608"/>
      <c r="G14" s="608"/>
      <c r="H14" s="608"/>
      <c r="I14" s="608"/>
      <c r="J14" s="608"/>
      <c r="K14" s="608" t="s">
        <v>1712</v>
      </c>
    </row>
    <row r="15" spans="1:14" x14ac:dyDescent="0.25">
      <c r="A15" s="608"/>
      <c r="B15" s="608"/>
      <c r="C15" s="608"/>
      <c r="D15" s="608"/>
      <c r="E15" s="608"/>
      <c r="F15" s="608"/>
      <c r="G15" s="608"/>
      <c r="H15" s="608"/>
      <c r="I15" s="608"/>
      <c r="J15" s="608"/>
      <c r="K15" s="608" t="s">
        <v>1713</v>
      </c>
    </row>
    <row r="16" spans="1:14" x14ac:dyDescent="0.25">
      <c r="A16" s="608"/>
      <c r="B16" s="608"/>
      <c r="C16" s="608"/>
      <c r="D16" s="608"/>
      <c r="E16" s="608"/>
      <c r="F16" s="608"/>
      <c r="G16" s="608"/>
      <c r="H16" s="608"/>
      <c r="I16" s="608"/>
      <c r="J16" s="608"/>
      <c r="K16" s="608" t="s">
        <v>1714</v>
      </c>
    </row>
    <row r="17" spans="1:11" x14ac:dyDescent="0.25">
      <c r="A17" s="608"/>
      <c r="B17" s="608"/>
      <c r="C17" s="608"/>
      <c r="D17" s="608"/>
      <c r="E17" s="608"/>
      <c r="F17" s="608"/>
      <c r="G17" s="608"/>
      <c r="H17" s="608"/>
      <c r="I17" s="608"/>
      <c r="J17" s="608"/>
      <c r="K17" s="608" t="s">
        <v>1715</v>
      </c>
    </row>
    <row r="18" spans="1:11" x14ac:dyDescent="0.25">
      <c r="A18" s="608"/>
      <c r="B18" s="608"/>
      <c r="C18" s="608"/>
      <c r="D18" s="608"/>
      <c r="E18" s="608"/>
      <c r="F18" s="608"/>
      <c r="G18" s="608"/>
      <c r="H18" s="608"/>
      <c r="I18" s="608"/>
      <c r="J18" s="608"/>
      <c r="K18" s="608" t="s">
        <v>1716</v>
      </c>
    </row>
    <row r="19" spans="1:11" x14ac:dyDescent="0.25">
      <c r="A19" s="608"/>
      <c r="B19" s="608"/>
      <c r="C19" s="608"/>
      <c r="D19" s="608"/>
      <c r="E19" s="608"/>
      <c r="F19" s="608"/>
      <c r="G19" s="608"/>
      <c r="H19" s="608"/>
      <c r="I19" s="608"/>
      <c r="J19" s="608"/>
      <c r="K19" s="608" t="s">
        <v>1717</v>
      </c>
    </row>
    <row r="20" spans="1:11" x14ac:dyDescent="0.25">
      <c r="A20" s="608"/>
      <c r="B20" s="608"/>
      <c r="C20" s="608"/>
      <c r="D20" s="608"/>
      <c r="E20" s="608"/>
      <c r="F20" s="608"/>
      <c r="G20" s="608"/>
      <c r="H20" s="608"/>
      <c r="I20" s="608"/>
      <c r="J20" s="608"/>
      <c r="K20" s="608" t="s">
        <v>1718</v>
      </c>
    </row>
    <row r="21" spans="1:11" x14ac:dyDescent="0.25">
      <c r="A21" s="608"/>
      <c r="B21" s="608"/>
      <c r="C21" s="608"/>
      <c r="D21" s="608"/>
      <c r="E21" s="608"/>
      <c r="F21" s="608"/>
      <c r="G21" s="608"/>
      <c r="H21" s="608"/>
      <c r="I21" s="608"/>
      <c r="J21" s="608"/>
      <c r="K21" s="608" t="s">
        <v>1719</v>
      </c>
    </row>
    <row r="22" spans="1:11" x14ac:dyDescent="0.25">
      <c r="A22" s="608"/>
      <c r="B22" s="608"/>
      <c r="C22" s="608"/>
      <c r="D22" s="608"/>
      <c r="E22" s="608"/>
      <c r="F22" s="608"/>
      <c r="G22" s="608"/>
      <c r="H22" s="608"/>
      <c r="I22" s="608"/>
      <c r="J22" s="608"/>
      <c r="K22" s="608" t="s">
        <v>1720</v>
      </c>
    </row>
    <row r="23" spans="1:11" x14ac:dyDescent="0.25">
      <c r="A23" s="608"/>
      <c r="B23" s="608"/>
      <c r="C23" s="608"/>
      <c r="D23" s="608"/>
      <c r="E23" s="608"/>
      <c r="F23" s="608"/>
      <c r="G23" s="608"/>
      <c r="H23" s="608"/>
      <c r="I23" s="608"/>
      <c r="J23" s="608"/>
      <c r="K23" s="608" t="s">
        <v>1721</v>
      </c>
    </row>
    <row r="24" spans="1:11" x14ac:dyDescent="0.25">
      <c r="A24" s="608"/>
      <c r="B24" s="608"/>
      <c r="C24" s="608"/>
      <c r="D24" s="608"/>
      <c r="E24" s="608"/>
      <c r="F24" s="608"/>
      <c r="G24" s="608"/>
      <c r="H24" s="608"/>
      <c r="I24" s="608"/>
      <c r="J24" s="608"/>
      <c r="K24" s="608" t="s">
        <v>1722</v>
      </c>
    </row>
    <row r="25" spans="1:11" x14ac:dyDescent="0.25">
      <c r="A25" s="608"/>
      <c r="B25" s="608"/>
      <c r="C25" s="608"/>
      <c r="D25" s="608"/>
      <c r="E25" s="608"/>
      <c r="F25" s="608"/>
      <c r="G25" s="608"/>
      <c r="H25" s="608"/>
      <c r="I25" s="608"/>
      <c r="J25" s="608"/>
      <c r="K25" s="608" t="s">
        <v>1723</v>
      </c>
    </row>
    <row r="26" spans="1:11" x14ac:dyDescent="0.25">
      <c r="A26" s="608"/>
      <c r="B26" s="608"/>
      <c r="C26" s="608"/>
      <c r="D26" s="608"/>
      <c r="E26" s="608"/>
      <c r="F26" s="608"/>
      <c r="G26" s="608"/>
      <c r="H26" s="608"/>
      <c r="I26" s="608"/>
      <c r="J26" s="608"/>
      <c r="K26" s="608" t="s">
        <v>1724</v>
      </c>
    </row>
    <row r="27" spans="1:11" x14ac:dyDescent="0.25">
      <c r="A27" s="608"/>
      <c r="B27" s="608"/>
      <c r="C27" s="608"/>
      <c r="D27" s="608"/>
      <c r="E27" s="608"/>
      <c r="F27" s="608"/>
      <c r="G27" s="608"/>
      <c r="H27" s="608"/>
      <c r="I27" s="608"/>
      <c r="J27" s="608"/>
      <c r="K27" s="608" t="s">
        <v>1725</v>
      </c>
    </row>
    <row r="28" spans="1:11" x14ac:dyDescent="0.25">
      <c r="A28" s="608"/>
      <c r="B28" s="608"/>
      <c r="C28" s="608"/>
      <c r="D28" s="608"/>
      <c r="E28" s="608"/>
      <c r="F28" s="608"/>
      <c r="G28" s="608"/>
      <c r="H28" s="608"/>
      <c r="I28" s="608"/>
      <c r="J28" s="608"/>
      <c r="K28" s="608" t="s">
        <v>1726</v>
      </c>
    </row>
    <row r="29" spans="1:11" x14ac:dyDescent="0.25">
      <c r="A29" s="608"/>
      <c r="B29" s="608"/>
      <c r="C29" s="608"/>
      <c r="D29" s="608"/>
      <c r="E29" s="608"/>
      <c r="F29" s="608"/>
      <c r="G29" s="608"/>
      <c r="H29" s="608"/>
      <c r="I29" s="608"/>
      <c r="J29" s="608"/>
      <c r="K29" s="608" t="s">
        <v>1727</v>
      </c>
    </row>
    <row r="30" spans="1:11" x14ac:dyDescent="0.25">
      <c r="A30" s="608"/>
      <c r="B30" s="608"/>
      <c r="C30" s="608"/>
      <c r="D30" s="608"/>
      <c r="E30" s="608"/>
      <c r="F30" s="608"/>
      <c r="G30" s="608"/>
      <c r="H30" s="608"/>
      <c r="I30" s="608"/>
      <c r="J30" s="608"/>
      <c r="K30" s="608" t="s">
        <v>1728</v>
      </c>
    </row>
    <row r="31" spans="1:11" x14ac:dyDescent="0.25">
      <c r="A31" s="608"/>
      <c r="B31" s="608"/>
      <c r="C31" s="608"/>
      <c r="D31" s="608"/>
      <c r="E31" s="608"/>
      <c r="F31" s="608"/>
      <c r="G31" s="608"/>
      <c r="H31" s="608"/>
      <c r="I31" s="608"/>
      <c r="J31" s="608"/>
      <c r="K31" s="608" t="s">
        <v>1729</v>
      </c>
    </row>
    <row r="32" spans="1:11" x14ac:dyDescent="0.25">
      <c r="A32" s="608"/>
      <c r="B32" s="608"/>
      <c r="C32" s="608"/>
      <c r="D32" s="608"/>
      <c r="E32" s="608"/>
      <c r="F32" s="608"/>
      <c r="G32" s="608"/>
      <c r="H32" s="608"/>
      <c r="I32" s="608"/>
      <c r="J32" s="608"/>
      <c r="K32" s="608" t="s">
        <v>1730</v>
      </c>
    </row>
    <row r="33" spans="1:11" x14ac:dyDescent="0.25">
      <c r="A33" s="608"/>
      <c r="B33" s="608"/>
      <c r="C33" s="608"/>
      <c r="D33" s="608"/>
      <c r="E33" s="608"/>
      <c r="F33" s="608"/>
      <c r="G33" s="608"/>
      <c r="H33" s="608"/>
      <c r="I33" s="608"/>
      <c r="J33" s="608"/>
      <c r="K33" s="608" t="s">
        <v>1731</v>
      </c>
    </row>
    <row r="34" spans="1:11" x14ac:dyDescent="0.25">
      <c r="A34" s="608"/>
      <c r="B34" s="608"/>
      <c r="C34" s="608"/>
      <c r="D34" s="608"/>
      <c r="E34" s="608"/>
      <c r="F34" s="608"/>
      <c r="G34" s="608"/>
      <c r="H34" s="608"/>
      <c r="I34" s="608"/>
      <c r="J34" s="608"/>
      <c r="K34" s="608" t="s">
        <v>1732</v>
      </c>
    </row>
    <row r="35" spans="1:11" x14ac:dyDescent="0.25">
      <c r="A35" s="608"/>
      <c r="B35" s="608"/>
      <c r="C35" s="608"/>
      <c r="D35" s="608"/>
      <c r="E35" s="608"/>
      <c r="F35" s="608"/>
      <c r="G35" s="608"/>
      <c r="H35" s="608"/>
      <c r="I35" s="608"/>
      <c r="J35" s="608"/>
      <c r="K35" s="608" t="s">
        <v>1733</v>
      </c>
    </row>
    <row r="36" spans="1:11" x14ac:dyDescent="0.25">
      <c r="A36" s="608"/>
      <c r="B36" s="608"/>
      <c r="C36" s="608"/>
      <c r="D36" s="608"/>
      <c r="E36" s="608"/>
      <c r="F36" s="608"/>
      <c r="G36" s="608"/>
      <c r="H36" s="608"/>
      <c r="I36" s="608"/>
      <c r="J36" s="608"/>
      <c r="K36" s="608" t="s">
        <v>1734</v>
      </c>
    </row>
    <row r="37" spans="1:11" x14ac:dyDescent="0.25">
      <c r="A37" s="608"/>
      <c r="B37" s="608"/>
      <c r="C37" s="608"/>
      <c r="D37" s="608"/>
      <c r="E37" s="608"/>
      <c r="F37" s="608"/>
      <c r="G37" s="608"/>
      <c r="H37" s="608"/>
      <c r="I37" s="608"/>
      <c r="J37" s="608"/>
      <c r="K37" s="608" t="s">
        <v>1735</v>
      </c>
    </row>
    <row r="38" spans="1:11" x14ac:dyDescent="0.25">
      <c r="A38" s="608"/>
      <c r="B38" s="608"/>
      <c r="C38" s="608"/>
      <c r="D38" s="608"/>
      <c r="E38" s="608"/>
      <c r="F38" s="608"/>
      <c r="G38" s="608"/>
      <c r="H38" s="608"/>
      <c r="I38" s="608"/>
      <c r="J38" s="608"/>
      <c r="K38" s="608" t="s">
        <v>1736</v>
      </c>
    </row>
    <row r="39" spans="1:11" x14ac:dyDescent="0.25">
      <c r="A39" s="608"/>
      <c r="B39" s="608"/>
      <c r="C39" s="608"/>
      <c r="D39" s="608"/>
      <c r="E39" s="608"/>
      <c r="F39" s="608"/>
      <c r="G39" s="608"/>
      <c r="H39" s="608"/>
      <c r="I39" s="608"/>
      <c r="J39" s="608"/>
      <c r="K39" s="789" t="s">
        <v>1737</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5" t="s">
        <v>349</v>
      </c>
      <c r="B2" s="835"/>
      <c r="C2" s="835"/>
      <c r="D2" s="835"/>
      <c r="E2" s="835"/>
      <c r="F2" s="835"/>
      <c r="G2" s="835"/>
      <c r="H2" s="835"/>
      <c r="I2" s="835"/>
      <c r="J2" s="835"/>
      <c r="K2" s="835"/>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6" t="s">
        <v>1215</v>
      </c>
      <c r="B4" s="836"/>
      <c r="C4" s="836"/>
      <c r="D4" s="836"/>
      <c r="E4" s="836"/>
      <c r="F4" s="836"/>
      <c r="G4" s="836"/>
      <c r="H4" s="836"/>
      <c r="I4" s="836"/>
      <c r="J4" s="836"/>
      <c r="K4" s="836"/>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7" t="s">
        <v>1284</v>
      </c>
      <c r="B14" s="837" t="s">
        <v>1216</v>
      </c>
      <c r="C14" s="837"/>
      <c r="D14" s="837"/>
      <c r="E14" s="837"/>
      <c r="F14" s="837"/>
      <c r="G14" s="837"/>
      <c r="H14" s="837"/>
      <c r="I14" s="837"/>
      <c r="J14" s="837"/>
      <c r="K14" s="837"/>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7" t="s">
        <v>1285</v>
      </c>
      <c r="B18" s="837" t="s">
        <v>1216</v>
      </c>
      <c r="C18" s="837"/>
      <c r="D18" s="837"/>
      <c r="E18" s="837"/>
      <c r="F18" s="837"/>
      <c r="G18" s="837"/>
      <c r="H18" s="837"/>
      <c r="I18" s="837"/>
      <c r="J18" s="837"/>
      <c r="K18" s="837"/>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2" priority="11" operator="equal">
      <formula>"Hold"</formula>
    </cfRule>
    <cfRule type="cellIs" dxfId="221" priority="12" operator="equal">
      <formula>"Approved"</formula>
    </cfRule>
  </conditionalFormatting>
  <conditionalFormatting sqref="F1">
    <cfRule type="cellIs" dxfId="220" priority="9" operator="equal">
      <formula>"Hold"</formula>
    </cfRule>
    <cfRule type="cellIs" dxfId="219" priority="10" operator="equal">
      <formula>"Approved"</formula>
    </cfRule>
  </conditionalFormatting>
  <conditionalFormatting sqref="F15:G17">
    <cfRule type="cellIs" dxfId="218" priority="1" operator="equal">
      <formula>"Hold"</formula>
    </cfRule>
    <cfRule type="cellIs" dxfId="217" priority="2" operator="equal">
      <formula>"Approved"</formula>
    </cfRule>
  </conditionalFormatting>
  <conditionalFormatting sqref="G10:G13">
    <cfRule type="cellIs" dxfId="216" priority="7" operator="equal">
      <formula>"Hold"</formula>
    </cfRule>
    <cfRule type="cellIs" dxfId="215"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47" t="s">
        <v>929</v>
      </c>
      <c r="C1" s="847"/>
      <c r="D1" s="847"/>
      <c r="E1" s="847"/>
      <c r="F1" s="847"/>
      <c r="G1" s="847"/>
      <c r="H1" s="847"/>
      <c r="I1" s="847"/>
      <c r="J1" s="847"/>
      <c r="K1" s="847"/>
      <c r="L1" s="847"/>
      <c r="M1" s="847"/>
      <c r="N1" s="847"/>
      <c r="O1" s="847"/>
      <c r="P1" s="847"/>
      <c r="Q1" s="847"/>
      <c r="R1" s="847"/>
      <c r="S1" s="847"/>
      <c r="T1" s="847"/>
      <c r="U1" s="847"/>
      <c r="V1" s="847"/>
      <c r="W1" s="847"/>
      <c r="X1" s="847"/>
      <c r="Y1" s="847"/>
      <c r="Z1" s="847"/>
      <c r="AA1" s="847"/>
      <c r="AB1" s="847"/>
      <c r="AC1" s="847"/>
      <c r="AD1" s="847"/>
      <c r="AE1" s="847"/>
      <c r="AF1" s="847"/>
      <c r="AG1" s="847"/>
      <c r="AH1" s="847"/>
      <c r="AI1" s="847"/>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39" t="s">
        <v>1162</v>
      </c>
      <c r="C7" s="839"/>
      <c r="D7" s="839"/>
      <c r="E7" s="839"/>
      <c r="F7" s="839"/>
      <c r="G7" s="466" t="s">
        <v>1289</v>
      </c>
      <c r="H7" s="839" t="s">
        <v>1423</v>
      </c>
      <c r="I7" s="839"/>
      <c r="J7" s="839"/>
      <c r="K7" s="839"/>
      <c r="L7" s="839"/>
      <c r="M7" s="839"/>
      <c r="N7" s="839"/>
      <c r="O7" s="839"/>
      <c r="P7" s="839"/>
      <c r="Q7" s="839"/>
      <c r="R7" s="839"/>
      <c r="S7" s="839"/>
      <c r="T7" s="839"/>
      <c r="U7" s="839"/>
      <c r="V7" s="839"/>
      <c r="W7" s="839"/>
      <c r="X7" s="845" t="s">
        <v>1422</v>
      </c>
      <c r="Y7" s="846"/>
      <c r="Z7" s="846"/>
      <c r="AA7" s="846"/>
      <c r="AB7" s="846"/>
      <c r="AC7" s="846"/>
      <c r="AD7" s="846"/>
      <c r="AE7" s="858" t="s">
        <v>1651</v>
      </c>
      <c r="AF7" s="859"/>
      <c r="AG7" s="859"/>
      <c r="AH7" s="859"/>
      <c r="AI7" s="839" t="s">
        <v>9</v>
      </c>
    </row>
    <row r="8" spans="1:35" s="213" customFormat="1" ht="42" customHeight="1" x14ac:dyDescent="0.25">
      <c r="B8" s="840" t="s">
        <v>303</v>
      </c>
      <c r="C8" s="840" t="s">
        <v>37</v>
      </c>
      <c r="D8" s="843" t="s">
        <v>932</v>
      </c>
      <c r="E8" s="840" t="s">
        <v>402</v>
      </c>
      <c r="F8" s="843" t="s">
        <v>933</v>
      </c>
      <c r="G8" s="215">
        <v>45200</v>
      </c>
      <c r="H8" s="215">
        <v>45261</v>
      </c>
      <c r="I8" s="215">
        <v>45292</v>
      </c>
      <c r="J8" s="215">
        <v>45323</v>
      </c>
      <c r="K8" s="215">
        <v>45352</v>
      </c>
      <c r="L8" s="215">
        <v>45383</v>
      </c>
      <c r="M8" s="215">
        <v>45413</v>
      </c>
      <c r="N8" s="773" t="s">
        <v>1680</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39"/>
    </row>
    <row r="9" spans="1:35" x14ac:dyDescent="0.25">
      <c r="B9" s="841"/>
      <c r="C9" s="842"/>
      <c r="D9" s="842"/>
      <c r="E9" s="842"/>
      <c r="F9" s="844"/>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39"/>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9"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50"/>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50"/>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51"/>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9"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50"/>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50"/>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51"/>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54"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55"/>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54"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6"/>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55"/>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52"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53"/>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54"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55"/>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54"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6"/>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55"/>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54"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55"/>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52"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7"/>
      <c r="C63" s="513" t="s">
        <v>951</v>
      </c>
      <c r="D63" s="514"/>
      <c r="E63" s="514"/>
      <c r="F63" s="515"/>
      <c r="G63" s="515"/>
      <c r="H63" s="516"/>
      <c r="I63" s="515"/>
      <c r="J63" s="516">
        <f>+COUNTIF('Erection Compiled'!$B$7:$B$650,'L2 Schedule'!J8)</f>
        <v>22</v>
      </c>
      <c r="K63" s="516">
        <f>+COUNTIF('Erection Compiled'!$B$7:$B$650,'L2 Schedule'!K8)</f>
        <v>20</v>
      </c>
      <c r="L63" s="516">
        <f>+COUNTIF('Erection Compiled'!$B$7:$B$650,'L2 Schedule'!L8)</f>
        <v>19</v>
      </c>
      <c r="M63" s="516">
        <f>+COUNTIF('Erection Compiled'!$B$7:$B$650,'L2 Schedule'!M8)</f>
        <v>14</v>
      </c>
      <c r="N63" s="516">
        <f>+COUNTIF('Erection Compiled'!$B$7:$B$650,'L2 Schedule'!N8)</f>
        <v>0</v>
      </c>
      <c r="O63" s="516">
        <f>+COUNTIF('Erection Compiled'!$B$7:$B$650,'L2 Schedule'!O8)</f>
        <v>2</v>
      </c>
      <c r="P63" s="516">
        <f>+COUNTIF('Erection Compiled'!$B$7:$B$650,'L2 Schedule'!P8)</f>
        <v>3</v>
      </c>
      <c r="Q63" s="516">
        <f>+COUNTIF('Erection Compiled'!$B$7:$B$650,'L2 Schedule'!Q8)</f>
        <v>16</v>
      </c>
      <c r="R63" s="516">
        <f>+COUNTIF('Erection Compiled'!$B$7:$B$650,'L2 Schedule'!R8)</f>
        <v>30</v>
      </c>
      <c r="S63" s="516">
        <f>+COUNTIF('Erection Compiled'!$B$7:$B$650,'L2 Schedule'!S8)</f>
        <v>30</v>
      </c>
      <c r="T63" s="516">
        <f>+COUNTIF('Erection Compiled'!$B$7:$B$650,'L2 Schedule'!T8)</f>
        <v>11</v>
      </c>
      <c r="U63" s="516">
        <f>+COUNTIF('Erection Compiled'!$B$7:$B$650,'L2 Schedule'!U8)</f>
        <v>16</v>
      </c>
      <c r="V63" s="516">
        <f>+COUNTIF('Erection Compiled'!$B$7:$B$650,'L2 Schedule'!V8)</f>
        <v>14</v>
      </c>
      <c r="W63" s="516">
        <f>+COUNTIF('Erection Compiled'!$B$7:$B$650,'L2 Schedule'!W8)</f>
        <v>13</v>
      </c>
      <c r="X63" s="516">
        <f>+COUNTIF('Erection Compiled'!$B$7:$B$650,'L2 Schedule'!X8)</f>
        <v>7</v>
      </c>
      <c r="Y63" s="516">
        <f>+COUNTIF('Erection Compiled'!$B$7:$B$650,'L2 Schedule'!Y8)</f>
        <v>2</v>
      </c>
      <c r="Z63" s="516">
        <f>+COUNTIF('Erection Compiled'!$B$7:$B$650,'L2 Schedule'!Z8)</f>
        <v>6</v>
      </c>
      <c r="AA63" s="516">
        <f>+COUNTIF('Erection Compiled'!$B$7:$B$650,'L2 Schedule'!AA8)</f>
        <v>23</v>
      </c>
      <c r="AB63" s="516">
        <f>+COUNTIF('Erection Compiled'!$B$7:$B$650,'L2 Schedule'!AB8)</f>
        <v>52</v>
      </c>
      <c r="AC63" s="516">
        <f>+COUNTIF('Erection Compiled'!$B$7:$B$650,'L2 Schedule'!AC8)</f>
        <v>47</v>
      </c>
      <c r="AD63" s="516">
        <f>+COUNTIF('Erection Compiled'!$B$7:$B$650,'L2 Schedule'!AD8)</f>
        <v>25</v>
      </c>
      <c r="AE63" s="516">
        <f>+COUNTIF('Erection Compiled'!$B$7:$B$650,'L2 Schedule'!AE8)</f>
        <v>33</v>
      </c>
      <c r="AF63" s="516">
        <f>+COUNTIF('Erection Compiled'!$B$7:$B$650,'L2 Schedule'!AF8)</f>
        <v>40</v>
      </c>
      <c r="AG63" s="516">
        <f>+COUNTIF('Erection Compiled'!$B$7:$B$650,'L2 Schedule'!AG8)</f>
        <v>11</v>
      </c>
      <c r="AH63" s="516">
        <f>+COUNTIF('Erection Compiled'!$B$7:$B$650,'L2 Schedule'!AH8)</f>
        <v>0</v>
      </c>
      <c r="AI63" s="758">
        <f t="shared" si="6"/>
        <v>456</v>
      </c>
    </row>
    <row r="64" spans="1:35" s="520" customFormat="1" x14ac:dyDescent="0.25">
      <c r="A64" s="246"/>
      <c r="B64" s="857"/>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Compiled'!$B$7:$B$529,'L2 Schedule'!AC8,'Erection Compiled'!$J$7:$J$529)</f>
        <v>2430.3868390000002</v>
      </c>
      <c r="AD64" s="682">
        <f>+SUMIF('Erection Compiled'!$B$7:$B$529,'L2 Schedule'!AD8,'Erection Compiled'!$J$7:$J$529)</f>
        <v>1309.1608760000004</v>
      </c>
      <c r="AE64" s="682">
        <f>+SUMIF('Erection Compiled'!$B$7:$B$529,'L2 Schedule'!AE8,'Erection Compiled'!$J$7:$J$529)</f>
        <v>1672.8394840000001</v>
      </c>
      <c r="AF64" s="682">
        <f>+SUMIF('Erection Compiled'!$B$7:$B$529,'L2 Schedule'!AF8,'Erection Compiled'!$J$7:$J$529)</f>
        <v>1833.4810000000004</v>
      </c>
      <c r="AG64" s="682">
        <f>+SUMIF('Erection Compiled'!$B$7:$B$529,'L2 Schedule'!AG8,'Erection Compiled'!$J$7:$J$529)</f>
        <v>489.26818099999997</v>
      </c>
      <c r="AH64" s="682">
        <f>+SUMIF('Erection Compiled'!$B$7:$B$529,'L2 Schedule'!AH8,'Erection Compiled'!$J$7:$J$529)</f>
        <v>0</v>
      </c>
      <c r="AI64" s="758">
        <f>+SUM(G64:AH64)</f>
        <v>20739.308971000002</v>
      </c>
    </row>
    <row r="65" spans="1:35" s="520" customFormat="1" x14ac:dyDescent="0.25">
      <c r="A65" s="246"/>
      <c r="B65" s="853"/>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456</v>
      </c>
      <c r="AI65" s="758">
        <f t="shared" ref="AI65:AI74" si="18">+SUM(G65:AH65)</f>
        <v>5257</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54"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6"/>
      <c r="C68" s="513" t="s">
        <v>951</v>
      </c>
      <c r="D68" s="514"/>
      <c r="E68" s="514"/>
      <c r="F68" s="515"/>
      <c r="G68" s="515"/>
      <c r="H68" s="516"/>
      <c r="I68" s="516"/>
      <c r="J68" s="516"/>
      <c r="K68" s="517"/>
      <c r="L68" s="517">
        <f>+SUMIF(Stringing!$N$6:$N$110,'L2 Schedule'!L8,Stringing!$J$6:$J$110)</f>
        <v>0</v>
      </c>
      <c r="M68" s="517">
        <f>+SUMIF(Stringing!$N$6:$N$110,'L2 Schedule'!M8,Stringing!$J$6:$J$110)</f>
        <v>0</v>
      </c>
      <c r="N68" s="517">
        <f>+SUMIF(Stringing!$N$6:$N$110,'L2 Schedule'!N8,Stringing!$J$6:$J$110)</f>
        <v>0</v>
      </c>
      <c r="O68" s="517">
        <f>+SUMIF(Stringing!$N$6:$N$110,'L2 Schedule'!O8,Stringing!$J$6:$J$110)</f>
        <v>0</v>
      </c>
      <c r="P68" s="517">
        <f>+SUMIF(Stringing!$N$6:$N$110,'L2 Schedule'!P8,Stringing!$J$6:$J$110)</f>
        <v>0</v>
      </c>
      <c r="Q68" s="517">
        <f>+SUMIF(Stringing!$N$6:$N$110,'L2 Schedule'!Q8,Stringing!$J$6:$J$110)</f>
        <v>4.8769999999999998</v>
      </c>
      <c r="R68" s="517">
        <f>+SUMIF(Stringing!$N$6:$N$110,'L2 Schedule'!R8,Stringing!$J$6:$J$110)</f>
        <v>9.4310000000000009</v>
      </c>
      <c r="S68" s="517">
        <f>+SUMIF(Stringing!$N$6:$N$110,'L2 Schedule'!S8,Stringing!$J$6:$J$110)</f>
        <v>8.6289999999999996</v>
      </c>
      <c r="T68" s="517">
        <f>+SUMIF(Stringing!$N$6:$N$110,'L2 Schedule'!T8,Stringing!$J$6:$J$110)</f>
        <v>0</v>
      </c>
      <c r="U68" s="517">
        <f>+SUMIF(Stringing!$N$6:$N$110,'L2 Schedule'!U8,Stringing!$J$6:$J$110)</f>
        <v>7.1150000000000002</v>
      </c>
      <c r="V68" s="517">
        <f>+SUMIF(Stringing!$N$6:$N$110,'L2 Schedule'!V8,Stringing!$J$6:$J$110)</f>
        <v>0</v>
      </c>
      <c r="W68" s="517">
        <f>+SUMIF(Stringing!$N$6:$N$110,'L2 Schedule'!W8,Stringing!$J$6:$J$110)</f>
        <v>9.18</v>
      </c>
      <c r="X68" s="517">
        <f>+SUMIF(Stringing!$N$6:$N$110,'L2 Schedule'!X8,Stringing!$J$6:$J$110)</f>
        <v>1.0489999999999999</v>
      </c>
      <c r="Y68" s="517">
        <f>+SUMIF(Stringing!$N$6:$N$110,'L2 Schedule'!Y8,Stringing!$J$6:$J$110)</f>
        <v>3.2269999999999999</v>
      </c>
      <c r="Z68" s="517">
        <f>+SUMIF(Stringing!$N$6:$N$110,'L2 Schedule'!Z8,Stringing!$J$6:$J$110)</f>
        <v>0</v>
      </c>
      <c r="AA68" s="517">
        <f>+SUMIF(Stringing!$N$6:$N$110,'L2 Schedule'!AA8,Stringing!$J$6:$J$110)</f>
        <v>0</v>
      </c>
      <c r="AB68" s="517">
        <f>+SUMIF(Stringing!$N$6:$N$110,'L2 Schedule'!AB8,Stringing!$J$6:$J$110)</f>
        <v>0</v>
      </c>
      <c r="AC68" s="517">
        <f>+SUMIF(Stringing!$N$6:$N$110,'L2 Schedule'!AC8,Stringing!$J$6:$J$110)</f>
        <v>3.7879999999999998</v>
      </c>
      <c r="AD68" s="517">
        <f>+SUMIF(Stringing!$N$6:$N$110,'L2 Schedule'!AD8,Stringing!$J$6:$J$110)</f>
        <v>0</v>
      </c>
      <c r="AE68" s="517">
        <f>+SUMIF(Stringing!$N$6:$N$110,'L2 Schedule'!AE8,Stringing!$J$6:$J$110)</f>
        <v>8.9489999999999998</v>
      </c>
      <c r="AF68" s="517">
        <f>+SUMIF(Stringing!$N$6:$N$110,'L2 Schedule'!AF8,Stringing!$J$6:$J$110)</f>
        <v>6.1340800000000009</v>
      </c>
      <c r="AG68" s="517">
        <f>+SUMIF(Stringing!$N$6:$N$110,'L2 Schedule'!AG8,Stringing!$J$6:$J$110)</f>
        <v>14.151199999999999</v>
      </c>
      <c r="AH68" s="517">
        <f>+SUMIF(Stringing!$N$6:$N$110,'L2 Schedule'!AH8,Stringing!$J$6:$J$110)</f>
        <v>0</v>
      </c>
      <c r="AI68" s="758">
        <f t="shared" si="18"/>
        <v>76.530279999999991</v>
      </c>
    </row>
    <row r="69" spans="1:35" s="520" customFormat="1" x14ac:dyDescent="0.25">
      <c r="A69" s="246"/>
      <c r="B69" s="855"/>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76.530279999999991</v>
      </c>
      <c r="AI69" s="758">
        <f t="shared" si="18"/>
        <v>744.98463999999967</v>
      </c>
    </row>
    <row r="70" spans="1:35" s="520" customFormat="1" x14ac:dyDescent="0.25">
      <c r="A70" s="246"/>
      <c r="B70" s="854"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6"/>
      <c r="C71" s="513" t="s">
        <v>951</v>
      </c>
      <c r="D71" s="514"/>
      <c r="E71" s="514"/>
      <c r="F71" s="515"/>
      <c r="G71" s="515"/>
      <c r="H71" s="516"/>
      <c r="I71" s="516"/>
      <c r="J71" s="516"/>
      <c r="K71" s="517"/>
      <c r="L71" s="517"/>
      <c r="M71" s="515"/>
      <c r="N71" s="518"/>
      <c r="O71" s="515">
        <f>+SUMIF(OPGW!$N$6:$N$100,'L2 Schedule'!O8,OPGW!$J$6:$J$100)</f>
        <v>0</v>
      </c>
      <c r="P71" s="515">
        <f>+SUMIF(OPGW!$N$6:$N$100,'L2 Schedule'!P8,OPGW!$J$6:$J$100)</f>
        <v>0</v>
      </c>
      <c r="Q71" s="517">
        <f>+SUMIF(OPGW!$N$6:$N$100,'L2 Schedule'!Q8,OPGW!$J$6:$J$100)</f>
        <v>0</v>
      </c>
      <c r="R71" s="517">
        <f>+SUMIF(OPGW!$N$6:$N$100,'L2 Schedule'!R8,OPGW!$J$6:$J$100)</f>
        <v>0</v>
      </c>
      <c r="S71" s="517">
        <f>+SUMIF(OPGW!$N$6:$N$100,'L2 Schedule'!S8,OPGW!$J$6:$J$100)</f>
        <v>0</v>
      </c>
      <c r="T71" s="517">
        <f>+SUMIF(OPGW!$N$6:$N$100,'L2 Schedule'!T8,OPGW!$J$6:$J$100)</f>
        <v>0</v>
      </c>
      <c r="U71" s="517">
        <f>+SUMIF(OPGW!$N$6:$N$100,'L2 Schedule'!U8,OPGW!$J$6:$J$100)</f>
        <v>0</v>
      </c>
      <c r="V71" s="517">
        <f>+SUMIF(OPGW!$N$6:$N$100,'L2 Schedule'!V8,OPGW!$J$6:$J$100)</f>
        <v>21.423000000000002</v>
      </c>
      <c r="W71" s="517">
        <f>+SUMIF(OPGW!$N$6:$N$100,'L2 Schedule'!W8,OPGW!$J$6:$J$100)</f>
        <v>8.6289999999999996</v>
      </c>
      <c r="X71" s="517">
        <f>+SUMIF(OPGW!$N$6:$N$100,'L2 Schedule'!X8,OPGW!$J$6:$J$100)</f>
        <v>0</v>
      </c>
      <c r="Y71" s="517">
        <f>+SUMIF(OPGW!$N$6:$N$100,'L2 Schedule'!Y8,OPGW!$J$6:$J$100)</f>
        <v>0</v>
      </c>
      <c r="Z71" s="517">
        <f>+SUMIF(OPGW!$N$6:$N$100,'L2 Schedule'!Z8,OPGW!$J$6:$J$100)</f>
        <v>0</v>
      </c>
      <c r="AA71" s="517">
        <f>+SUMIF(OPGW!$N$6:$N$100,'L2 Schedule'!AA8,OPGW!$J$6:$J$100)</f>
        <v>5.4930000000000003</v>
      </c>
      <c r="AB71" s="517">
        <f>+SUMIF(OPGW!$N$6:$N$100,'L2 Schedule'!AB8,OPGW!$J$6:$J$100)</f>
        <v>4.0579999999999998</v>
      </c>
      <c r="AC71" s="517">
        <f>+SUMIF(OPGW!$N$6:$N$100,'L2 Schedule'!AC8,OPGW!$J$6:$J$100)</f>
        <v>0</v>
      </c>
      <c r="AD71" s="517">
        <f>+SUMIF(OPGW!$N$6:$N$100,'L2 Schedule'!AD8,OPGW!$J$6:$J$100)</f>
        <v>0</v>
      </c>
      <c r="AE71" s="517">
        <f>+SUMIF(OPGW!$N$6:$N$100,'L2 Schedule'!AE8,OPGW!$J$6:$J$100)</f>
        <v>0</v>
      </c>
      <c r="AF71" s="517">
        <f>+SUMIF(OPGW!$N$6:$N$100,'L2 Schedule'!AF8,OPGW!$J$6:$J$100)</f>
        <v>14.057</v>
      </c>
      <c r="AG71" s="517">
        <f>+SUMIF(OPGW!$N$6:$N$100,'L2 Schedule'!AG8,OPGW!$J$6:$J$100)</f>
        <v>10.6128</v>
      </c>
      <c r="AH71" s="517">
        <f>+SUMIF(OPGW!$N$6:$N$100,'L2 Schedule'!AH8,OPGW!$J$6:$J$100)</f>
        <v>4.4770000000000003</v>
      </c>
      <c r="AI71" s="758">
        <f t="shared" si="18"/>
        <v>68.749800000000008</v>
      </c>
    </row>
    <row r="72" spans="1:35" s="520" customFormat="1" x14ac:dyDescent="0.25">
      <c r="A72" s="246"/>
      <c r="B72" s="855"/>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68.749800000000008</v>
      </c>
      <c r="AI72" s="758">
        <f t="shared" si="18"/>
        <v>522.27060000000006</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8"/>
      <c r="C78" s="848"/>
      <c r="D78" s="848"/>
      <c r="E78" s="848"/>
      <c r="F78" s="848"/>
      <c r="G78" s="848"/>
      <c r="H78" s="848"/>
      <c r="I78" s="848"/>
      <c r="J78" s="848"/>
      <c r="K78" s="848"/>
      <c r="L78" s="848"/>
      <c r="M78" s="848"/>
      <c r="N78" s="848"/>
      <c r="O78" s="848"/>
      <c r="P78" s="848"/>
      <c r="Q78" s="848"/>
      <c r="R78" s="848"/>
      <c r="S78" s="848"/>
      <c r="T78" s="848"/>
    </row>
    <row r="79" spans="1:35" ht="12.75" customHeight="1" x14ac:dyDescent="0.25">
      <c r="A79" s="211">
        <v>1</v>
      </c>
      <c r="B79" s="838" t="s">
        <v>1005</v>
      </c>
      <c r="C79" s="838"/>
      <c r="D79" s="838"/>
      <c r="E79" s="838"/>
      <c r="F79" s="838"/>
      <c r="G79" s="838"/>
      <c r="H79" s="838"/>
      <c r="I79" s="838"/>
      <c r="J79" s="838"/>
      <c r="K79" s="838"/>
      <c r="L79" s="838"/>
      <c r="M79" s="838"/>
      <c r="N79" s="838"/>
      <c r="O79" s="838"/>
      <c r="P79" s="838"/>
      <c r="Q79" s="838"/>
      <c r="R79" s="838"/>
      <c r="S79" s="838"/>
      <c r="T79" s="838"/>
      <c r="U79" s="838"/>
      <c r="V79" s="838"/>
      <c r="W79" s="838"/>
      <c r="X79" s="838"/>
      <c r="Y79" s="838"/>
      <c r="Z79" s="838"/>
      <c r="AA79" s="838"/>
      <c r="AB79" s="838"/>
      <c r="AC79" s="838"/>
      <c r="AD79" s="838"/>
      <c r="AE79" s="838"/>
      <c r="AF79" s="838"/>
      <c r="AG79" s="838"/>
      <c r="AH79" s="838"/>
      <c r="AI79" s="838"/>
    </row>
  </sheetData>
  <mergeCells count="24">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I79"/>
    <mergeCell ref="AI7:AI9"/>
    <mergeCell ref="B8:B9"/>
    <mergeCell ref="C8:C9"/>
    <mergeCell ref="D8:D9"/>
    <mergeCell ref="E8:E9"/>
    <mergeCell ref="F8:F9"/>
    <mergeCell ref="X7:AD7"/>
  </mergeCells>
  <conditionalFormatting sqref="F44:AH74">
    <cfRule type="cellIs" dxfId="214"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58" activePane="bottomLeft" state="frozen"/>
      <selection activeCell="N8" sqref="N8"/>
      <selection pane="bottomLeft" activeCell="C361" sqref="C361"/>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2" t="s">
        <v>1611</v>
      </c>
      <c r="B2" s="862"/>
      <c r="C2" s="862"/>
      <c r="D2" s="862"/>
      <c r="E2" s="862"/>
      <c r="F2" s="862"/>
      <c r="G2" s="862"/>
      <c r="H2" s="862"/>
      <c r="I2" s="862"/>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1" t="s">
        <v>19</v>
      </c>
      <c r="B12" s="861"/>
      <c r="C12" s="282">
        <f>SUM(C7:C11)</f>
        <v>330</v>
      </c>
      <c r="D12" s="281">
        <f>+SUM(D7:D11)</f>
        <v>25</v>
      </c>
      <c r="E12" s="282">
        <f>+SUM(E7:E11)</f>
        <v>305</v>
      </c>
    </row>
    <row r="15" spans="1:14" x14ac:dyDescent="0.2">
      <c r="A15" s="863" t="s">
        <v>984</v>
      </c>
      <c r="B15" s="863"/>
      <c r="C15" s="863"/>
      <c r="D15" s="863"/>
      <c r="E15" s="863"/>
      <c r="F15" s="863"/>
      <c r="G15" s="863"/>
      <c r="H15" s="863"/>
      <c r="I15" s="863"/>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0" t="s">
        <v>10</v>
      </c>
      <c r="B39" s="860"/>
      <c r="C39" s="860"/>
      <c r="D39" s="860"/>
      <c r="E39" s="860"/>
      <c r="F39" s="860"/>
      <c r="G39" s="860"/>
      <c r="H39" s="860"/>
      <c r="I39" s="860"/>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1208</v>
      </c>
      <c r="C42" s="286" t="s">
        <v>795</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1209</v>
      </c>
      <c r="C71" s="278" t="s">
        <v>767</v>
      </c>
      <c r="D71" s="278" t="s">
        <v>10</v>
      </c>
      <c r="E71" s="280"/>
      <c r="F71" s="287">
        <v>45302</v>
      </c>
      <c r="G71" s="287">
        <v>45306</v>
      </c>
      <c r="H71" s="291">
        <f t="shared" si="2"/>
        <v>5</v>
      </c>
      <c r="I71" s="289"/>
    </row>
    <row r="72" spans="1:9" x14ac:dyDescent="0.25">
      <c r="A72" s="278">
        <v>32</v>
      </c>
      <c r="B72" s="285" t="s">
        <v>1209</v>
      </c>
      <c r="C72" s="278" t="s">
        <v>768</v>
      </c>
      <c r="D72" s="278" t="s">
        <v>10</v>
      </c>
      <c r="E72" s="280"/>
      <c r="F72" s="287">
        <v>45302</v>
      </c>
      <c r="G72" s="287">
        <v>45306</v>
      </c>
      <c r="H72" s="291">
        <f t="shared" si="2"/>
        <v>5</v>
      </c>
      <c r="I72" s="289"/>
    </row>
    <row r="73" spans="1:9" x14ac:dyDescent="0.25">
      <c r="A73" s="278">
        <v>33</v>
      </c>
      <c r="B73" s="285" t="s">
        <v>1209</v>
      </c>
      <c r="C73" s="278" t="s">
        <v>771</v>
      </c>
      <c r="D73" s="278" t="s">
        <v>10</v>
      </c>
      <c r="E73" s="280"/>
      <c r="F73" s="287">
        <v>45302</v>
      </c>
      <c r="G73" s="287">
        <v>45304</v>
      </c>
      <c r="H73" s="291">
        <f t="shared" si="2"/>
        <v>3</v>
      </c>
      <c r="I73" s="289"/>
    </row>
    <row r="74" spans="1:9" x14ac:dyDescent="0.25">
      <c r="A74" s="278">
        <v>34</v>
      </c>
      <c r="B74" s="285" t="s">
        <v>1209</v>
      </c>
      <c r="C74" s="278" t="s">
        <v>772</v>
      </c>
      <c r="D74" s="278" t="s">
        <v>10</v>
      </c>
      <c r="E74" s="280"/>
      <c r="F74" s="287">
        <v>45302</v>
      </c>
      <c r="G74" s="287">
        <v>45304</v>
      </c>
      <c r="H74" s="291">
        <f t="shared" si="2"/>
        <v>3</v>
      </c>
      <c r="I74" s="289"/>
    </row>
    <row r="75" spans="1:9" x14ac:dyDescent="0.25">
      <c r="A75" s="278">
        <v>35</v>
      </c>
      <c r="B75" s="285" t="s">
        <v>1209</v>
      </c>
      <c r="C75" s="278" t="s">
        <v>779</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1210</v>
      </c>
      <c r="C78" s="286" t="s">
        <v>819</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663</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1613</v>
      </c>
    </row>
    <row r="105" spans="1:9" ht="153" x14ac:dyDescent="0.25">
      <c r="A105" s="278">
        <v>65</v>
      </c>
      <c r="B105" s="285" t="s">
        <v>386</v>
      </c>
      <c r="C105" s="278" t="s">
        <v>50</v>
      </c>
      <c r="D105" s="278" t="s">
        <v>10</v>
      </c>
      <c r="E105" s="280"/>
      <c r="F105" s="287">
        <v>45340</v>
      </c>
      <c r="G105" s="287">
        <v>45968</v>
      </c>
      <c r="H105" s="291">
        <f t="shared" si="2"/>
        <v>629</v>
      </c>
      <c r="I105" s="289" t="s">
        <v>1622</v>
      </c>
    </row>
    <row r="106" spans="1:9"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x14ac:dyDescent="0.25">
      <c r="A107" s="278">
        <v>67</v>
      </c>
      <c r="B107" s="285" t="s">
        <v>1210</v>
      </c>
      <c r="C107" s="278" t="s">
        <v>783</v>
      </c>
      <c r="D107" s="278" t="s">
        <v>10</v>
      </c>
      <c r="E107" s="280"/>
      <c r="F107" s="287">
        <v>45341</v>
      </c>
      <c r="G107" s="287">
        <v>45351</v>
      </c>
      <c r="H107" s="291">
        <f t="shared" si="3"/>
        <v>11</v>
      </c>
      <c r="I107" s="289"/>
    </row>
    <row r="108" spans="1:9" x14ac:dyDescent="0.25">
      <c r="A108" s="278">
        <v>68</v>
      </c>
      <c r="B108" s="285" t="s">
        <v>1209</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1209</v>
      </c>
      <c r="C114" s="278" t="s">
        <v>730</v>
      </c>
      <c r="D114" s="278" t="s">
        <v>10</v>
      </c>
      <c r="E114" s="280"/>
      <c r="F114" s="287">
        <v>45357</v>
      </c>
      <c r="G114" s="287">
        <v>45436</v>
      </c>
      <c r="H114" s="291">
        <f t="shared" si="3"/>
        <v>80</v>
      </c>
      <c r="I114" s="289"/>
    </row>
    <row r="115" spans="1:9" x14ac:dyDescent="0.25">
      <c r="A115" s="278">
        <v>75</v>
      </c>
      <c r="B115" s="285" t="s">
        <v>1209</v>
      </c>
      <c r="C115" s="278" t="s">
        <v>731</v>
      </c>
      <c r="D115" s="278" t="s">
        <v>10</v>
      </c>
      <c r="E115" s="280"/>
      <c r="F115" s="287">
        <v>45357</v>
      </c>
      <c r="G115" s="287">
        <v>45386</v>
      </c>
      <c r="H115" s="291">
        <f t="shared" si="3"/>
        <v>30</v>
      </c>
      <c r="I115" s="289"/>
    </row>
    <row r="116" spans="1:9" x14ac:dyDescent="0.25">
      <c r="A116" s="278">
        <v>76</v>
      </c>
      <c r="B116" s="285" t="s">
        <v>1209</v>
      </c>
      <c r="C116" s="278" t="s">
        <v>732</v>
      </c>
      <c r="D116" s="278" t="s">
        <v>10</v>
      </c>
      <c r="E116" s="280"/>
      <c r="F116" s="287">
        <v>45357</v>
      </c>
      <c r="G116" s="287">
        <v>45386</v>
      </c>
      <c r="H116" s="291">
        <f t="shared" si="3"/>
        <v>30</v>
      </c>
      <c r="I116" s="289"/>
    </row>
    <row r="117" spans="1:9" x14ac:dyDescent="0.25">
      <c r="A117" s="278">
        <v>77</v>
      </c>
      <c r="B117" s="285" t="s">
        <v>1209</v>
      </c>
      <c r="C117" s="278" t="s">
        <v>733</v>
      </c>
      <c r="D117" s="278" t="s">
        <v>10</v>
      </c>
      <c r="E117" s="280"/>
      <c r="F117" s="287">
        <v>45357</v>
      </c>
      <c r="G117" s="287">
        <v>45436</v>
      </c>
      <c r="H117" s="291">
        <f t="shared" si="3"/>
        <v>80</v>
      </c>
      <c r="I117" s="289"/>
    </row>
    <row r="118" spans="1:9" x14ac:dyDescent="0.25">
      <c r="A118" s="278">
        <v>78</v>
      </c>
      <c r="B118" s="285" t="s">
        <v>1209</v>
      </c>
      <c r="C118" s="278" t="s">
        <v>734</v>
      </c>
      <c r="D118" s="278" t="s">
        <v>10</v>
      </c>
      <c r="E118" s="280"/>
      <c r="F118" s="287">
        <v>45357</v>
      </c>
      <c r="G118" s="287">
        <v>45436</v>
      </c>
      <c r="H118" s="291">
        <f t="shared" si="3"/>
        <v>80</v>
      </c>
      <c r="I118" s="289"/>
    </row>
    <row r="119" spans="1:9"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1209</v>
      </c>
      <c r="C138" s="278" t="s">
        <v>219</v>
      </c>
      <c r="D138" s="278" t="s">
        <v>10</v>
      </c>
      <c r="E138" s="280"/>
      <c r="F138" s="287">
        <v>45575</v>
      </c>
      <c r="G138" s="287">
        <v>45607</v>
      </c>
      <c r="H138" s="291">
        <f t="shared" si="3"/>
        <v>33</v>
      </c>
      <c r="I138" s="292"/>
    </row>
    <row r="139" spans="1:9" x14ac:dyDescent="0.25">
      <c r="A139" s="278">
        <v>99</v>
      </c>
      <c r="B139" s="285" t="s">
        <v>1209</v>
      </c>
      <c r="C139" s="278" t="s">
        <v>220</v>
      </c>
      <c r="D139" s="278" t="s">
        <v>10</v>
      </c>
      <c r="E139" s="280"/>
      <c r="F139" s="287">
        <v>45575</v>
      </c>
      <c r="G139" s="287">
        <v>45607</v>
      </c>
      <c r="H139" s="291">
        <f t="shared" si="3"/>
        <v>33</v>
      </c>
      <c r="I139" s="292"/>
    </row>
    <row r="140" spans="1:9" x14ac:dyDescent="0.25">
      <c r="A140" s="278">
        <v>100</v>
      </c>
      <c r="B140" s="285" t="s">
        <v>1209</v>
      </c>
      <c r="C140" s="278" t="s">
        <v>829</v>
      </c>
      <c r="D140" s="278" t="s">
        <v>10</v>
      </c>
      <c r="E140" s="280"/>
      <c r="F140" s="287">
        <v>45575</v>
      </c>
      <c r="G140" s="287">
        <v>45679</v>
      </c>
      <c r="H140" s="291">
        <f t="shared" si="3"/>
        <v>105</v>
      </c>
      <c r="I140" s="292"/>
    </row>
    <row r="141" spans="1:9" x14ac:dyDescent="0.25">
      <c r="A141" s="278">
        <v>101</v>
      </c>
      <c r="B141" s="285" t="s">
        <v>1209</v>
      </c>
      <c r="C141" s="278" t="s">
        <v>103</v>
      </c>
      <c r="D141" s="278" t="s">
        <v>10</v>
      </c>
      <c r="E141" s="280"/>
      <c r="F141" s="287">
        <v>45575</v>
      </c>
      <c r="G141" s="287">
        <v>45670</v>
      </c>
      <c r="H141" s="291">
        <f t="shared" si="3"/>
        <v>96</v>
      </c>
      <c r="I141" s="292"/>
    </row>
    <row r="142" spans="1:9" x14ac:dyDescent="0.25">
      <c r="A142" s="278">
        <v>102</v>
      </c>
      <c r="B142" s="285" t="s">
        <v>1209</v>
      </c>
      <c r="C142" s="278" t="s">
        <v>739</v>
      </c>
      <c r="D142" s="278" t="s">
        <v>10</v>
      </c>
      <c r="E142" s="280"/>
      <c r="F142" s="287">
        <v>45575</v>
      </c>
      <c r="G142" s="287">
        <v>45670</v>
      </c>
      <c r="H142" s="291">
        <f t="shared" si="3"/>
        <v>96</v>
      </c>
      <c r="I142" s="292"/>
    </row>
    <row r="143" spans="1:9" x14ac:dyDescent="0.25">
      <c r="A143" s="278">
        <v>103</v>
      </c>
      <c r="B143" s="285" t="s">
        <v>1209</v>
      </c>
      <c r="C143" s="278" t="s">
        <v>740</v>
      </c>
      <c r="D143" s="278" t="s">
        <v>10</v>
      </c>
      <c r="E143" s="280"/>
      <c r="F143" s="287">
        <v>45575</v>
      </c>
      <c r="G143" s="287">
        <v>45670</v>
      </c>
      <c r="H143" s="291">
        <f t="shared" si="3"/>
        <v>96</v>
      </c>
      <c r="I143" s="292"/>
    </row>
    <row r="144" spans="1:9" x14ac:dyDescent="0.25">
      <c r="A144" s="278">
        <v>104</v>
      </c>
      <c r="B144" s="285" t="s">
        <v>1209</v>
      </c>
      <c r="C144" s="278" t="s">
        <v>741</v>
      </c>
      <c r="D144" s="278" t="s">
        <v>10</v>
      </c>
      <c r="E144" s="280"/>
      <c r="F144" s="287">
        <v>45575</v>
      </c>
      <c r="G144" s="287">
        <v>45670</v>
      </c>
      <c r="H144" s="291">
        <f t="shared" si="3"/>
        <v>96</v>
      </c>
      <c r="I144" s="292"/>
    </row>
    <row r="145" spans="1:9" x14ac:dyDescent="0.25">
      <c r="A145" s="278">
        <v>105</v>
      </c>
      <c r="B145" s="285" t="s">
        <v>1209</v>
      </c>
      <c r="C145" s="278" t="s">
        <v>845</v>
      </c>
      <c r="D145" s="278" t="s">
        <v>10</v>
      </c>
      <c r="E145" s="280"/>
      <c r="F145" s="287">
        <v>45575</v>
      </c>
      <c r="G145" s="287">
        <v>45641</v>
      </c>
      <c r="H145" s="291">
        <f t="shared" si="3"/>
        <v>67</v>
      </c>
      <c r="I145" s="292"/>
    </row>
    <row r="146" spans="1:9" x14ac:dyDescent="0.25">
      <c r="A146" s="278">
        <v>106</v>
      </c>
      <c r="B146" s="285" t="s">
        <v>1209</v>
      </c>
      <c r="C146" s="278" t="s">
        <v>846</v>
      </c>
      <c r="D146" s="278" t="s">
        <v>10</v>
      </c>
      <c r="E146" s="280"/>
      <c r="F146" s="287">
        <v>45575</v>
      </c>
      <c r="G146" s="287">
        <v>45641</v>
      </c>
      <c r="H146" s="291">
        <f t="shared" si="3"/>
        <v>67</v>
      </c>
      <c r="I146" s="292"/>
    </row>
    <row r="147" spans="1:9" x14ac:dyDescent="0.25">
      <c r="A147" s="278">
        <v>107</v>
      </c>
      <c r="B147" s="285" t="s">
        <v>1209</v>
      </c>
      <c r="C147" s="278" t="s">
        <v>847</v>
      </c>
      <c r="D147" s="278" t="s">
        <v>10</v>
      </c>
      <c r="E147" s="280"/>
      <c r="F147" s="287">
        <v>45575</v>
      </c>
      <c r="G147" s="287">
        <v>45641</v>
      </c>
      <c r="H147" s="291">
        <f t="shared" si="3"/>
        <v>67</v>
      </c>
      <c r="I147" s="292"/>
    </row>
    <row r="148" spans="1:9" x14ac:dyDescent="0.25">
      <c r="A148" s="278">
        <v>108</v>
      </c>
      <c r="B148" s="285" t="s">
        <v>1209</v>
      </c>
      <c r="C148" s="278" t="s">
        <v>848</v>
      </c>
      <c r="D148" s="278" t="s">
        <v>10</v>
      </c>
      <c r="E148" s="280"/>
      <c r="F148" s="287">
        <v>45575</v>
      </c>
      <c r="G148" s="287">
        <v>45641</v>
      </c>
      <c r="H148" s="291">
        <f t="shared" si="3"/>
        <v>67</v>
      </c>
      <c r="I148" s="292"/>
    </row>
    <row r="149" spans="1:9" x14ac:dyDescent="0.25">
      <c r="A149" s="278">
        <v>109</v>
      </c>
      <c r="B149" s="285" t="s">
        <v>1209</v>
      </c>
      <c r="C149" s="278" t="s">
        <v>849</v>
      </c>
      <c r="D149" s="278" t="s">
        <v>10</v>
      </c>
      <c r="E149" s="280"/>
      <c r="F149" s="287">
        <v>45575</v>
      </c>
      <c r="G149" s="287">
        <v>45641</v>
      </c>
      <c r="H149" s="291">
        <f t="shared" si="3"/>
        <v>67</v>
      </c>
      <c r="I149" s="292"/>
    </row>
    <row r="150" spans="1:9" x14ac:dyDescent="0.25">
      <c r="A150" s="278">
        <v>110</v>
      </c>
      <c r="B150" s="285" t="s">
        <v>1209</v>
      </c>
      <c r="C150" s="278" t="s">
        <v>852</v>
      </c>
      <c r="D150" s="278" t="s">
        <v>10</v>
      </c>
      <c r="E150" s="280"/>
      <c r="F150" s="287">
        <v>45575</v>
      </c>
      <c r="G150" s="287">
        <v>45641</v>
      </c>
      <c r="H150" s="291">
        <f t="shared" si="3"/>
        <v>67</v>
      </c>
      <c r="I150" s="292"/>
    </row>
    <row r="151" spans="1:9" x14ac:dyDescent="0.25">
      <c r="A151" s="278">
        <v>111</v>
      </c>
      <c r="B151" s="285" t="s">
        <v>1209</v>
      </c>
      <c r="C151" s="278" t="s">
        <v>853</v>
      </c>
      <c r="D151" s="278" t="s">
        <v>10</v>
      </c>
      <c r="E151" s="280"/>
      <c r="F151" s="287">
        <v>45575</v>
      </c>
      <c r="G151" s="287">
        <v>45641</v>
      </c>
      <c r="H151" s="291">
        <f t="shared" si="3"/>
        <v>67</v>
      </c>
      <c r="I151" s="292"/>
    </row>
    <row r="152" spans="1:9" x14ac:dyDescent="0.25">
      <c r="A152" s="278">
        <v>112</v>
      </c>
      <c r="B152" s="285" t="s">
        <v>1209</v>
      </c>
      <c r="C152" s="278" t="s">
        <v>854</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645</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1626</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623</v>
      </c>
      <c r="C157" s="278" t="s">
        <v>178</v>
      </c>
      <c r="D157" s="278" t="s">
        <v>10</v>
      </c>
      <c r="E157" s="280"/>
      <c r="F157" s="287">
        <v>45613</v>
      </c>
      <c r="G157" s="287">
        <v>45627</v>
      </c>
      <c r="H157" s="291">
        <f t="shared" si="3"/>
        <v>15</v>
      </c>
      <c r="I157" s="292" t="s">
        <v>550</v>
      </c>
    </row>
    <row r="158" spans="1:9" ht="25.5" x14ac:dyDescent="0.25">
      <c r="A158" s="278">
        <v>118</v>
      </c>
      <c r="B158" s="285" t="s">
        <v>625</v>
      </c>
      <c r="C158" s="278" t="s">
        <v>53</v>
      </c>
      <c r="D158" s="278" t="s">
        <v>10</v>
      </c>
      <c r="E158" s="280" t="s">
        <v>582</v>
      </c>
      <c r="F158" s="287">
        <v>45614</v>
      </c>
      <c r="G158" s="287">
        <v>45616</v>
      </c>
      <c r="H158" s="291">
        <f t="shared" si="3"/>
        <v>3</v>
      </c>
      <c r="I158" s="292" t="s">
        <v>550</v>
      </c>
    </row>
    <row r="159" spans="1:9" ht="38.25" x14ac:dyDescent="0.25">
      <c r="A159" s="278">
        <v>119</v>
      </c>
      <c r="B159" s="285" t="s">
        <v>623</v>
      </c>
      <c r="C159" s="278" t="s">
        <v>636</v>
      </c>
      <c r="D159" s="278" t="s">
        <v>10</v>
      </c>
      <c r="E159" s="280" t="s">
        <v>637</v>
      </c>
      <c r="F159" s="287">
        <v>45614</v>
      </c>
      <c r="G159" s="287">
        <v>45616</v>
      </c>
      <c r="H159" s="291">
        <f t="shared" si="3"/>
        <v>3</v>
      </c>
      <c r="I159" s="292" t="s">
        <v>550</v>
      </c>
    </row>
    <row r="160" spans="1:9" ht="51" x14ac:dyDescent="0.25">
      <c r="A160" s="278">
        <v>120</v>
      </c>
      <c r="B160" s="285" t="s">
        <v>644</v>
      </c>
      <c r="C160" s="278" t="s">
        <v>530</v>
      </c>
      <c r="D160" s="278" t="s">
        <v>10</v>
      </c>
      <c r="E160" s="280" t="s">
        <v>585</v>
      </c>
      <c r="F160" s="287">
        <v>45635</v>
      </c>
      <c r="G160" s="287">
        <v>45910</v>
      </c>
      <c r="H160" s="291">
        <f t="shared" si="3"/>
        <v>276</v>
      </c>
      <c r="I160" s="292" t="s">
        <v>1580</v>
      </c>
    </row>
    <row r="161" spans="1:9" ht="38.25" x14ac:dyDescent="0.25">
      <c r="A161" s="278">
        <v>121</v>
      </c>
      <c r="B161" s="285" t="s">
        <v>649</v>
      </c>
      <c r="C161" s="278" t="s">
        <v>42</v>
      </c>
      <c r="D161" s="278" t="s">
        <v>10</v>
      </c>
      <c r="E161" s="280" t="s">
        <v>641</v>
      </c>
      <c r="F161" s="287">
        <v>45637</v>
      </c>
      <c r="G161" s="287">
        <v>45645</v>
      </c>
      <c r="H161" s="291">
        <f t="shared" si="3"/>
        <v>9</v>
      </c>
      <c r="I161" s="292" t="s">
        <v>550</v>
      </c>
    </row>
    <row r="162" spans="1:9" ht="25.5" x14ac:dyDescent="0.25">
      <c r="A162" s="278">
        <v>122</v>
      </c>
      <c r="B162" s="285" t="s">
        <v>644</v>
      </c>
      <c r="C162" s="286" t="s">
        <v>213</v>
      </c>
      <c r="D162" s="278" t="s">
        <v>10</v>
      </c>
      <c r="E162" s="280" t="s">
        <v>624</v>
      </c>
      <c r="F162" s="287">
        <v>45656</v>
      </c>
      <c r="G162" s="287">
        <v>45656</v>
      </c>
      <c r="H162" s="291">
        <f t="shared" si="3"/>
        <v>1</v>
      </c>
      <c r="I162" s="292" t="s">
        <v>550</v>
      </c>
    </row>
    <row r="163" spans="1:9" x14ac:dyDescent="0.25">
      <c r="A163" s="278">
        <v>123</v>
      </c>
      <c r="B163" s="285" t="s">
        <v>657</v>
      </c>
      <c r="C163" s="286" t="s">
        <v>445</v>
      </c>
      <c r="D163" s="278" t="s">
        <v>10</v>
      </c>
      <c r="E163" s="280"/>
      <c r="F163" s="287">
        <v>45628</v>
      </c>
      <c r="G163" s="287">
        <v>45711</v>
      </c>
      <c r="H163" s="291">
        <f t="shared" si="3"/>
        <v>84</v>
      </c>
      <c r="I163" s="292" t="s">
        <v>658</v>
      </c>
    </row>
    <row r="164" spans="1:9" x14ac:dyDescent="0.25">
      <c r="A164" s="278">
        <v>124</v>
      </c>
      <c r="B164" s="285" t="s">
        <v>657</v>
      </c>
      <c r="C164" s="286" t="s">
        <v>627</v>
      </c>
      <c r="D164" s="278" t="s">
        <v>10</v>
      </c>
      <c r="E164" s="280"/>
      <c r="F164" s="287">
        <v>45628</v>
      </c>
      <c r="G164" s="287">
        <v>45669</v>
      </c>
      <c r="H164" s="291">
        <f t="shared" si="3"/>
        <v>42</v>
      </c>
      <c r="I164" s="292" t="s">
        <v>658</v>
      </c>
    </row>
    <row r="165" spans="1:9" x14ac:dyDescent="0.25">
      <c r="A165" s="278">
        <v>125</v>
      </c>
      <c r="B165" s="285" t="s">
        <v>657</v>
      </c>
      <c r="C165" s="286" t="s">
        <v>628</v>
      </c>
      <c r="D165" s="278" t="s">
        <v>10</v>
      </c>
      <c r="E165" s="280"/>
      <c r="F165" s="287">
        <v>45628</v>
      </c>
      <c r="G165" s="287">
        <v>45670</v>
      </c>
      <c r="H165" s="291">
        <f t="shared" si="3"/>
        <v>43</v>
      </c>
      <c r="I165" s="292" t="s">
        <v>658</v>
      </c>
    </row>
    <row r="166" spans="1:9" x14ac:dyDescent="0.25">
      <c r="A166" s="278">
        <v>126</v>
      </c>
      <c r="B166" s="285" t="s">
        <v>657</v>
      </c>
      <c r="C166" s="286" t="s">
        <v>629</v>
      </c>
      <c r="D166" s="278" t="s">
        <v>10</v>
      </c>
      <c r="E166" s="280"/>
      <c r="F166" s="287">
        <v>45628</v>
      </c>
      <c r="G166" s="287">
        <v>45678</v>
      </c>
      <c r="H166" s="291">
        <f t="shared" si="3"/>
        <v>51</v>
      </c>
      <c r="I166" s="292" t="s">
        <v>658</v>
      </c>
    </row>
    <row r="167" spans="1:9" x14ac:dyDescent="0.25">
      <c r="A167" s="278">
        <v>127</v>
      </c>
      <c r="B167" s="285" t="s">
        <v>657</v>
      </c>
      <c r="C167" s="286" t="s">
        <v>630</v>
      </c>
      <c r="D167" s="278" t="s">
        <v>10</v>
      </c>
      <c r="E167" s="280"/>
      <c r="F167" s="287">
        <v>45628</v>
      </c>
      <c r="G167" s="287">
        <v>45673</v>
      </c>
      <c r="H167" s="291">
        <f t="shared" si="3"/>
        <v>46</v>
      </c>
      <c r="I167" s="292" t="s">
        <v>658</v>
      </c>
    </row>
    <row r="168" spans="1:9" ht="25.5" x14ac:dyDescent="0.25">
      <c r="A168" s="278">
        <v>128</v>
      </c>
      <c r="B168" s="285" t="s">
        <v>657</v>
      </c>
      <c r="C168" s="286" t="s">
        <v>631</v>
      </c>
      <c r="D168" s="278" t="s">
        <v>10</v>
      </c>
      <c r="E168" s="280"/>
      <c r="F168" s="287">
        <v>45628</v>
      </c>
      <c r="G168" s="287">
        <v>45672</v>
      </c>
      <c r="H168" s="291">
        <f t="shared" si="3"/>
        <v>45</v>
      </c>
      <c r="I168" s="292" t="s">
        <v>662</v>
      </c>
    </row>
    <row r="169" spans="1:9" x14ac:dyDescent="0.25">
      <c r="A169" s="278">
        <v>129</v>
      </c>
      <c r="B169" s="285" t="s">
        <v>657</v>
      </c>
      <c r="C169" s="286" t="s">
        <v>632</v>
      </c>
      <c r="D169" s="278" t="s">
        <v>10</v>
      </c>
      <c r="E169" s="280"/>
      <c r="F169" s="287">
        <v>45628</v>
      </c>
      <c r="G169" s="287">
        <v>45679</v>
      </c>
      <c r="H169" s="291">
        <f t="shared" si="3"/>
        <v>52</v>
      </c>
      <c r="I169" s="292" t="s">
        <v>658</v>
      </c>
    </row>
    <row r="170" spans="1:9"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x14ac:dyDescent="0.25">
      <c r="A171" s="278">
        <v>131</v>
      </c>
      <c r="B171" s="285" t="s">
        <v>657</v>
      </c>
      <c r="C171" s="286" t="s">
        <v>634</v>
      </c>
      <c r="D171" s="278" t="s">
        <v>10</v>
      </c>
      <c r="E171" s="280"/>
      <c r="F171" s="287">
        <v>45628</v>
      </c>
      <c r="G171" s="287">
        <v>45714</v>
      </c>
      <c r="H171" s="291">
        <f t="shared" si="4"/>
        <v>87</v>
      </c>
      <c r="I171" s="292" t="s">
        <v>658</v>
      </c>
    </row>
    <row r="172" spans="1:9" x14ac:dyDescent="0.25">
      <c r="A172" s="278">
        <v>132</v>
      </c>
      <c r="B172" s="285" t="s">
        <v>657</v>
      </c>
      <c r="C172" s="286" t="s">
        <v>635</v>
      </c>
      <c r="D172" s="278" t="s">
        <v>10</v>
      </c>
      <c r="E172" s="280"/>
      <c r="F172" s="287">
        <v>45628</v>
      </c>
      <c r="G172" s="287">
        <v>45779</v>
      </c>
      <c r="H172" s="291">
        <f t="shared" si="4"/>
        <v>152</v>
      </c>
      <c r="I172" s="292" t="s">
        <v>658</v>
      </c>
    </row>
    <row r="173" spans="1:9" x14ac:dyDescent="0.25">
      <c r="A173" s="278">
        <v>133</v>
      </c>
      <c r="B173" s="285" t="s">
        <v>657</v>
      </c>
      <c r="C173" s="286" t="s">
        <v>446</v>
      </c>
      <c r="D173" s="278" t="s">
        <v>10</v>
      </c>
      <c r="E173" s="280"/>
      <c r="F173" s="287">
        <v>45628</v>
      </c>
      <c r="G173" s="287">
        <v>45671</v>
      </c>
      <c r="H173" s="291">
        <f t="shared" si="4"/>
        <v>44</v>
      </c>
      <c r="I173" s="292" t="s">
        <v>658</v>
      </c>
    </row>
    <row r="174" spans="1:9" x14ac:dyDescent="0.25">
      <c r="A174" s="278">
        <v>134</v>
      </c>
      <c r="B174" s="285" t="s">
        <v>657</v>
      </c>
      <c r="C174" s="286" t="s">
        <v>447</v>
      </c>
      <c r="D174" s="278" t="s">
        <v>10</v>
      </c>
      <c r="E174" s="280"/>
      <c r="F174" s="287">
        <v>45629</v>
      </c>
      <c r="G174" s="287">
        <v>45728</v>
      </c>
      <c r="H174" s="291">
        <f t="shared" si="4"/>
        <v>100</v>
      </c>
      <c r="I174" s="292" t="s">
        <v>658</v>
      </c>
    </row>
    <row r="175" spans="1:9" ht="38.25" x14ac:dyDescent="0.25">
      <c r="A175" s="278">
        <v>135</v>
      </c>
      <c r="B175" s="285" t="s">
        <v>657</v>
      </c>
      <c r="C175" s="286" t="s">
        <v>453</v>
      </c>
      <c r="D175" s="278" t="s">
        <v>10</v>
      </c>
      <c r="E175" s="280"/>
      <c r="F175" s="287">
        <v>45629</v>
      </c>
      <c r="G175" s="287">
        <v>45813</v>
      </c>
      <c r="H175" s="291">
        <f t="shared" si="4"/>
        <v>185</v>
      </c>
      <c r="I175" s="292" t="s">
        <v>1391</v>
      </c>
    </row>
    <row r="176" spans="1:9" x14ac:dyDescent="0.25">
      <c r="A176" s="278">
        <v>136</v>
      </c>
      <c r="B176" s="285" t="s">
        <v>657</v>
      </c>
      <c r="C176" s="286" t="s">
        <v>454</v>
      </c>
      <c r="D176" s="278" t="s">
        <v>10</v>
      </c>
      <c r="E176" s="280"/>
      <c r="F176" s="287">
        <v>45629</v>
      </c>
      <c r="G176" s="287">
        <v>45692</v>
      </c>
      <c r="H176" s="291">
        <f t="shared" si="4"/>
        <v>64</v>
      </c>
      <c r="I176" s="292" t="s">
        <v>658</v>
      </c>
    </row>
    <row r="177" spans="1:9" ht="25.5" x14ac:dyDescent="0.25">
      <c r="A177" s="278">
        <v>137</v>
      </c>
      <c r="B177" s="285" t="s">
        <v>657</v>
      </c>
      <c r="C177" s="286" t="s">
        <v>455</v>
      </c>
      <c r="D177" s="278" t="s">
        <v>10</v>
      </c>
      <c r="E177" s="280"/>
      <c r="F177" s="287">
        <v>45629</v>
      </c>
      <c r="G177" s="287">
        <v>45811</v>
      </c>
      <c r="H177" s="291">
        <f t="shared" si="4"/>
        <v>183</v>
      </c>
      <c r="I177" s="292" t="s">
        <v>1395</v>
      </c>
    </row>
    <row r="178" spans="1:9" x14ac:dyDescent="0.25">
      <c r="A178" s="278">
        <v>138</v>
      </c>
      <c r="B178" s="285" t="s">
        <v>657</v>
      </c>
      <c r="C178" s="286" t="s">
        <v>38</v>
      </c>
      <c r="D178" s="278" t="s">
        <v>10</v>
      </c>
      <c r="E178" s="280"/>
      <c r="F178" s="287">
        <v>45629</v>
      </c>
      <c r="G178" s="287">
        <v>45759</v>
      </c>
      <c r="H178" s="291">
        <f t="shared" si="4"/>
        <v>131</v>
      </c>
      <c r="I178" s="292" t="s">
        <v>658</v>
      </c>
    </row>
    <row r="179" spans="1:9" x14ac:dyDescent="0.25">
      <c r="A179" s="278">
        <v>139</v>
      </c>
      <c r="B179" s="285" t="s">
        <v>657</v>
      </c>
      <c r="C179" s="286" t="s">
        <v>39</v>
      </c>
      <c r="D179" s="278" t="s">
        <v>10</v>
      </c>
      <c r="E179" s="280"/>
      <c r="F179" s="287">
        <v>45644</v>
      </c>
      <c r="G179" s="287">
        <v>45706</v>
      </c>
      <c r="H179" s="291">
        <f t="shared" si="4"/>
        <v>63</v>
      </c>
      <c r="I179" s="292" t="s">
        <v>658</v>
      </c>
    </row>
    <row r="180" spans="1:9" x14ac:dyDescent="0.25">
      <c r="A180" s="278">
        <v>140</v>
      </c>
      <c r="B180" s="285" t="s">
        <v>657</v>
      </c>
      <c r="C180" s="286" t="s">
        <v>456</v>
      </c>
      <c r="D180" s="278" t="s">
        <v>10</v>
      </c>
      <c r="E180" s="280"/>
      <c r="F180" s="287">
        <v>45644</v>
      </c>
      <c r="G180" s="287">
        <v>45775</v>
      </c>
      <c r="H180" s="291">
        <f t="shared" si="4"/>
        <v>132</v>
      </c>
      <c r="I180" s="292" t="s">
        <v>658</v>
      </c>
    </row>
    <row r="181" spans="1:9" x14ac:dyDescent="0.25">
      <c r="A181" s="278">
        <v>141</v>
      </c>
      <c r="B181" s="285" t="s">
        <v>657</v>
      </c>
      <c r="C181" s="286" t="s">
        <v>457</v>
      </c>
      <c r="D181" s="278" t="s">
        <v>10</v>
      </c>
      <c r="E181" s="280"/>
      <c r="F181" s="287">
        <v>45644</v>
      </c>
      <c r="G181" s="287">
        <v>45831</v>
      </c>
      <c r="H181" s="291">
        <f t="shared" si="4"/>
        <v>188</v>
      </c>
      <c r="I181" s="292" t="s">
        <v>658</v>
      </c>
    </row>
    <row r="182" spans="1:9" x14ac:dyDescent="0.25">
      <c r="A182" s="278">
        <v>142</v>
      </c>
      <c r="B182" s="285" t="s">
        <v>657</v>
      </c>
      <c r="C182" s="286" t="s">
        <v>458</v>
      </c>
      <c r="D182" s="278" t="s">
        <v>10</v>
      </c>
      <c r="E182" s="280"/>
      <c r="F182" s="287">
        <v>45644</v>
      </c>
      <c r="G182" s="287">
        <v>45790</v>
      </c>
      <c r="H182" s="291">
        <f t="shared" si="4"/>
        <v>147</v>
      </c>
      <c r="I182" s="292" t="s">
        <v>658</v>
      </c>
    </row>
    <row r="183" spans="1:9" x14ac:dyDescent="0.25">
      <c r="A183" s="278">
        <v>143</v>
      </c>
      <c r="B183" s="285" t="s">
        <v>657</v>
      </c>
      <c r="C183" s="286" t="s">
        <v>459</v>
      </c>
      <c r="D183" s="278" t="s">
        <v>10</v>
      </c>
      <c r="E183" s="280"/>
      <c r="F183" s="287">
        <v>45644</v>
      </c>
      <c r="G183" s="287">
        <v>45833</v>
      </c>
      <c r="H183" s="291">
        <f t="shared" si="4"/>
        <v>190</v>
      </c>
      <c r="I183" s="292" t="s">
        <v>658</v>
      </c>
    </row>
    <row r="184" spans="1:9" x14ac:dyDescent="0.25">
      <c r="A184" s="278">
        <v>144</v>
      </c>
      <c r="B184" s="285" t="s">
        <v>657</v>
      </c>
      <c r="C184" s="286" t="s">
        <v>40</v>
      </c>
      <c r="D184" s="278" t="s">
        <v>10</v>
      </c>
      <c r="E184" s="280"/>
      <c r="F184" s="287">
        <v>45644</v>
      </c>
      <c r="G184" s="287">
        <v>45886</v>
      </c>
      <c r="H184" s="291">
        <f t="shared" si="4"/>
        <v>243</v>
      </c>
      <c r="I184" s="292" t="s">
        <v>658</v>
      </c>
    </row>
    <row r="185" spans="1:9" x14ac:dyDescent="0.25">
      <c r="A185" s="278">
        <v>145</v>
      </c>
      <c r="B185" s="285" t="s">
        <v>657</v>
      </c>
      <c r="C185" s="286" t="s">
        <v>41</v>
      </c>
      <c r="D185" s="278" t="s">
        <v>10</v>
      </c>
      <c r="E185" s="280"/>
      <c r="F185" s="287">
        <v>45644</v>
      </c>
      <c r="G185" s="287">
        <v>45864</v>
      </c>
      <c r="H185" s="291">
        <f t="shared" si="4"/>
        <v>221</v>
      </c>
      <c r="I185" s="292" t="s">
        <v>658</v>
      </c>
    </row>
    <row r="186" spans="1:9" x14ac:dyDescent="0.25">
      <c r="A186" s="278">
        <v>146</v>
      </c>
      <c r="B186" s="285" t="s">
        <v>657</v>
      </c>
      <c r="C186" s="286" t="s">
        <v>43</v>
      </c>
      <c r="D186" s="278" t="s">
        <v>10</v>
      </c>
      <c r="E186" s="280"/>
      <c r="F186" s="287">
        <v>45644</v>
      </c>
      <c r="G186" s="287">
        <v>45912</v>
      </c>
      <c r="H186" s="291">
        <f t="shared" si="4"/>
        <v>269</v>
      </c>
      <c r="I186" s="292" t="s">
        <v>658</v>
      </c>
    </row>
    <row r="187" spans="1:9" x14ac:dyDescent="0.25">
      <c r="A187" s="278">
        <v>147</v>
      </c>
      <c r="B187" s="285" t="s">
        <v>657</v>
      </c>
      <c r="C187" s="286" t="s">
        <v>44</v>
      </c>
      <c r="D187" s="278" t="s">
        <v>10</v>
      </c>
      <c r="E187" s="280"/>
      <c r="F187" s="287">
        <v>45633</v>
      </c>
      <c r="G187" s="287">
        <v>45847</v>
      </c>
      <c r="H187" s="291">
        <f t="shared" si="4"/>
        <v>215</v>
      </c>
      <c r="I187" s="292" t="s">
        <v>658</v>
      </c>
    </row>
    <row r="188" spans="1:9" x14ac:dyDescent="0.25">
      <c r="A188" s="278">
        <v>148</v>
      </c>
      <c r="B188" s="285" t="s">
        <v>657</v>
      </c>
      <c r="C188" s="286" t="s">
        <v>150</v>
      </c>
      <c r="D188" s="278" t="s">
        <v>10</v>
      </c>
      <c r="E188" s="280"/>
      <c r="F188" s="287">
        <v>45633</v>
      </c>
      <c r="G188" s="287">
        <v>45844</v>
      </c>
      <c r="H188" s="291">
        <f t="shared" si="4"/>
        <v>212</v>
      </c>
      <c r="I188" s="292" t="s">
        <v>658</v>
      </c>
    </row>
    <row r="189" spans="1:9" ht="25.5" x14ac:dyDescent="0.25">
      <c r="A189" s="278">
        <v>149</v>
      </c>
      <c r="B189" s="285" t="s">
        <v>657</v>
      </c>
      <c r="C189" s="286" t="s">
        <v>461</v>
      </c>
      <c r="D189" s="278" t="s">
        <v>10</v>
      </c>
      <c r="E189" s="280"/>
      <c r="F189" s="287">
        <v>45633</v>
      </c>
      <c r="G189" s="287">
        <v>45823</v>
      </c>
      <c r="H189" s="291">
        <f t="shared" si="4"/>
        <v>191</v>
      </c>
      <c r="I189" s="292" t="s">
        <v>1382</v>
      </c>
    </row>
    <row r="190" spans="1:9" ht="25.5" x14ac:dyDescent="0.25">
      <c r="A190" s="278">
        <v>150</v>
      </c>
      <c r="B190" s="285" t="s">
        <v>657</v>
      </c>
      <c r="C190" s="286" t="s">
        <v>462</v>
      </c>
      <c r="D190" s="278" t="s">
        <v>10</v>
      </c>
      <c r="E190" s="280"/>
      <c r="F190" s="287">
        <v>45633</v>
      </c>
      <c r="G190" s="287">
        <v>45939</v>
      </c>
      <c r="H190" s="291">
        <f t="shared" si="4"/>
        <v>307</v>
      </c>
      <c r="I190" s="292" t="s">
        <v>1382</v>
      </c>
    </row>
    <row r="191" spans="1:9" ht="25.5" x14ac:dyDescent="0.25">
      <c r="A191" s="278">
        <v>151</v>
      </c>
      <c r="B191" s="285" t="s">
        <v>657</v>
      </c>
      <c r="C191" s="286" t="s">
        <v>463</v>
      </c>
      <c r="D191" s="278" t="s">
        <v>10</v>
      </c>
      <c r="E191" s="280"/>
      <c r="F191" s="287">
        <v>45633</v>
      </c>
      <c r="G191" s="287">
        <v>45860</v>
      </c>
      <c r="H191" s="291">
        <f t="shared" si="4"/>
        <v>228</v>
      </c>
      <c r="I191" s="292" t="s">
        <v>1382</v>
      </c>
    </row>
    <row r="192" spans="1:9" ht="25.5"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x14ac:dyDescent="0.25">
      <c r="A194" s="278">
        <v>154</v>
      </c>
      <c r="B194" s="285" t="s">
        <v>657</v>
      </c>
      <c r="C194" s="286" t="s">
        <v>155</v>
      </c>
      <c r="D194" s="278" t="s">
        <v>10</v>
      </c>
      <c r="E194" s="280"/>
      <c r="F194" s="287">
        <v>45633</v>
      </c>
      <c r="G194" s="287">
        <v>45789</v>
      </c>
      <c r="H194" s="291">
        <f t="shared" si="4"/>
        <v>157</v>
      </c>
      <c r="I194" s="292" t="s">
        <v>658</v>
      </c>
    </row>
    <row r="195" spans="1:9" x14ac:dyDescent="0.25">
      <c r="A195" s="278">
        <v>155</v>
      </c>
      <c r="B195" s="285" t="s">
        <v>657</v>
      </c>
      <c r="C195" s="286" t="s">
        <v>466</v>
      </c>
      <c r="D195" s="278" t="s">
        <v>10</v>
      </c>
      <c r="E195" s="280"/>
      <c r="F195" s="287">
        <v>45633</v>
      </c>
      <c r="G195" s="287">
        <v>45789</v>
      </c>
      <c r="H195" s="291">
        <f t="shared" si="4"/>
        <v>157</v>
      </c>
      <c r="I195" s="292" t="s">
        <v>658</v>
      </c>
    </row>
    <row r="196" spans="1:9" x14ac:dyDescent="0.25">
      <c r="A196" s="278">
        <v>156</v>
      </c>
      <c r="B196" s="285" t="s">
        <v>657</v>
      </c>
      <c r="C196" s="286" t="s">
        <v>45</v>
      </c>
      <c r="D196" s="278" t="s">
        <v>10</v>
      </c>
      <c r="E196" s="280"/>
      <c r="F196" s="287">
        <v>45633</v>
      </c>
      <c r="G196" s="287">
        <v>45844</v>
      </c>
      <c r="H196" s="291">
        <f t="shared" si="4"/>
        <v>212</v>
      </c>
      <c r="I196" s="292" t="s">
        <v>658</v>
      </c>
    </row>
    <row r="197" spans="1:9" x14ac:dyDescent="0.25">
      <c r="A197" s="278">
        <v>157</v>
      </c>
      <c r="B197" s="285" t="s">
        <v>657</v>
      </c>
      <c r="C197" s="286" t="s">
        <v>46</v>
      </c>
      <c r="D197" s="278" t="s">
        <v>10</v>
      </c>
      <c r="E197" s="280"/>
      <c r="F197" s="287">
        <v>45633</v>
      </c>
      <c r="G197" s="287">
        <v>45791</v>
      </c>
      <c r="H197" s="291">
        <f t="shared" si="4"/>
        <v>159</v>
      </c>
      <c r="I197" s="292" t="s">
        <v>658</v>
      </c>
    </row>
    <row r="198" spans="1:9"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x14ac:dyDescent="0.25">
      <c r="A200" s="278">
        <v>160</v>
      </c>
      <c r="B200" s="285" t="s">
        <v>657</v>
      </c>
      <c r="C200" s="286" t="s">
        <v>159</v>
      </c>
      <c r="D200" s="278" t="s">
        <v>10</v>
      </c>
      <c r="E200" s="280"/>
      <c r="F200" s="287">
        <v>45633</v>
      </c>
      <c r="G200" s="287">
        <v>45851</v>
      </c>
      <c r="H200" s="291">
        <f t="shared" si="4"/>
        <v>219</v>
      </c>
      <c r="I200" s="292" t="s">
        <v>1447</v>
      </c>
    </row>
    <row r="201" spans="1:9" x14ac:dyDescent="0.25">
      <c r="A201" s="278">
        <v>161</v>
      </c>
      <c r="B201" s="285" t="s">
        <v>657</v>
      </c>
      <c r="C201" s="286" t="s">
        <v>470</v>
      </c>
      <c r="D201" s="278" t="s">
        <v>10</v>
      </c>
      <c r="E201" s="280"/>
      <c r="F201" s="287">
        <v>45633</v>
      </c>
      <c r="G201" s="287">
        <v>45914</v>
      </c>
      <c r="H201" s="291">
        <f t="shared" si="4"/>
        <v>282</v>
      </c>
      <c r="I201" s="292" t="s">
        <v>658</v>
      </c>
    </row>
    <row r="202" spans="1:9" x14ac:dyDescent="0.25">
      <c r="A202" s="278">
        <v>162</v>
      </c>
      <c r="B202" s="285" t="s">
        <v>657</v>
      </c>
      <c r="C202" s="286" t="s">
        <v>471</v>
      </c>
      <c r="D202" s="278" t="s">
        <v>10</v>
      </c>
      <c r="E202" s="280"/>
      <c r="F202" s="287">
        <v>45633</v>
      </c>
      <c r="G202" s="287">
        <v>45906</v>
      </c>
      <c r="H202" s="291">
        <f t="shared" si="4"/>
        <v>274</v>
      </c>
      <c r="I202" s="292" t="s">
        <v>658</v>
      </c>
    </row>
    <row r="203" spans="1:9" ht="38.25" x14ac:dyDescent="0.25">
      <c r="A203" s="278">
        <v>163</v>
      </c>
      <c r="B203" s="285" t="s">
        <v>657</v>
      </c>
      <c r="C203" s="286" t="s">
        <v>474</v>
      </c>
      <c r="D203" s="278" t="s">
        <v>10</v>
      </c>
      <c r="E203" s="280"/>
      <c r="F203" s="287">
        <v>45633</v>
      </c>
      <c r="G203" s="287">
        <v>45997</v>
      </c>
      <c r="H203" s="291">
        <f t="shared" si="4"/>
        <v>365</v>
      </c>
      <c r="I203" s="292" t="s">
        <v>1642</v>
      </c>
    </row>
    <row r="204" spans="1:9" x14ac:dyDescent="0.25">
      <c r="A204" s="278">
        <v>164</v>
      </c>
      <c r="B204" s="285" t="s">
        <v>657</v>
      </c>
      <c r="C204" s="286" t="s">
        <v>475</v>
      </c>
      <c r="D204" s="278" t="s">
        <v>10</v>
      </c>
      <c r="E204" s="280"/>
      <c r="F204" s="287">
        <v>45633</v>
      </c>
      <c r="G204" s="287">
        <v>45929</v>
      </c>
      <c r="H204" s="291">
        <f t="shared" si="4"/>
        <v>297</v>
      </c>
      <c r="I204" s="292" t="s">
        <v>658</v>
      </c>
    </row>
    <row r="205" spans="1:9" x14ac:dyDescent="0.25">
      <c r="A205" s="278">
        <v>165</v>
      </c>
      <c r="B205" s="285" t="s">
        <v>657</v>
      </c>
      <c r="C205" s="286" t="s">
        <v>476</v>
      </c>
      <c r="D205" s="278" t="s">
        <v>10</v>
      </c>
      <c r="E205" s="280"/>
      <c r="F205" s="287">
        <v>45633</v>
      </c>
      <c r="G205" s="287">
        <v>45906</v>
      </c>
      <c r="H205" s="291">
        <f t="shared" si="4"/>
        <v>274</v>
      </c>
      <c r="I205" s="292" t="s">
        <v>658</v>
      </c>
    </row>
    <row r="206" spans="1:9" x14ac:dyDescent="0.25">
      <c r="A206" s="278">
        <v>166</v>
      </c>
      <c r="B206" s="285" t="s">
        <v>657</v>
      </c>
      <c r="C206" s="286" t="s">
        <v>477</v>
      </c>
      <c r="D206" s="278" t="s">
        <v>10</v>
      </c>
      <c r="E206" s="280"/>
      <c r="F206" s="287">
        <v>45633</v>
      </c>
      <c r="G206" s="287">
        <v>45871</v>
      </c>
      <c r="H206" s="291">
        <f t="shared" si="4"/>
        <v>239</v>
      </c>
      <c r="I206" s="292" t="s">
        <v>658</v>
      </c>
    </row>
    <row r="207" spans="1:9" x14ac:dyDescent="0.25">
      <c r="A207" s="278">
        <v>167</v>
      </c>
      <c r="B207" s="285" t="s">
        <v>657</v>
      </c>
      <c r="C207" s="286" t="s">
        <v>478</v>
      </c>
      <c r="D207" s="278" t="s">
        <v>10</v>
      </c>
      <c r="E207" s="280"/>
      <c r="F207" s="287">
        <v>45633</v>
      </c>
      <c r="G207" s="287">
        <v>45885</v>
      </c>
      <c r="H207" s="291">
        <f t="shared" si="4"/>
        <v>253</v>
      </c>
      <c r="I207" s="292" t="s">
        <v>658</v>
      </c>
    </row>
    <row r="208" spans="1:9" x14ac:dyDescent="0.25">
      <c r="A208" s="278">
        <v>168</v>
      </c>
      <c r="B208" s="285" t="s">
        <v>657</v>
      </c>
      <c r="C208" s="286" t="s">
        <v>479</v>
      </c>
      <c r="D208" s="278" t="s">
        <v>10</v>
      </c>
      <c r="E208" s="280"/>
      <c r="F208" s="287">
        <v>45633</v>
      </c>
      <c r="G208" s="287">
        <v>45915</v>
      </c>
      <c r="H208" s="291">
        <f t="shared" si="4"/>
        <v>283</v>
      </c>
      <c r="I208" s="292" t="s">
        <v>658</v>
      </c>
    </row>
    <row r="209" spans="1:9" x14ac:dyDescent="0.25">
      <c r="A209" s="278">
        <v>169</v>
      </c>
      <c r="B209" s="285" t="s">
        <v>657</v>
      </c>
      <c r="C209" s="286" t="s">
        <v>480</v>
      </c>
      <c r="D209" s="278" t="s">
        <v>10</v>
      </c>
      <c r="E209" s="280"/>
      <c r="F209" s="287">
        <v>45633</v>
      </c>
      <c r="G209" s="287">
        <v>45814</v>
      </c>
      <c r="H209" s="291">
        <f t="shared" si="4"/>
        <v>182</v>
      </c>
      <c r="I209" s="292" t="s">
        <v>658</v>
      </c>
    </row>
    <row r="210" spans="1:9" ht="25.5" x14ac:dyDescent="0.25">
      <c r="A210" s="278">
        <v>170</v>
      </c>
      <c r="B210" s="285" t="s">
        <v>657</v>
      </c>
      <c r="C210" s="286" t="s">
        <v>518</v>
      </c>
      <c r="D210" s="278" t="s">
        <v>10</v>
      </c>
      <c r="E210" s="280"/>
      <c r="F210" s="287">
        <v>45633</v>
      </c>
      <c r="G210" s="287">
        <v>45934</v>
      </c>
      <c r="H210" s="291">
        <f t="shared" si="4"/>
        <v>302</v>
      </c>
      <c r="I210" s="292" t="s">
        <v>1598</v>
      </c>
    </row>
    <row r="211" spans="1:9" x14ac:dyDescent="0.25">
      <c r="A211" s="278">
        <v>171</v>
      </c>
      <c r="B211" s="285" t="s">
        <v>657</v>
      </c>
      <c r="C211" s="286" t="s">
        <v>519</v>
      </c>
      <c r="D211" s="278" t="s">
        <v>10</v>
      </c>
      <c r="E211" s="280"/>
      <c r="F211" s="287">
        <v>45633</v>
      </c>
      <c r="G211" s="287">
        <v>45809</v>
      </c>
      <c r="H211" s="291">
        <f t="shared" si="4"/>
        <v>177</v>
      </c>
      <c r="I211" s="292" t="s">
        <v>658</v>
      </c>
    </row>
    <row r="212" spans="1:9" x14ac:dyDescent="0.25">
      <c r="A212" s="278">
        <v>172</v>
      </c>
      <c r="B212" s="285" t="s">
        <v>657</v>
      </c>
      <c r="C212" s="286" t="s">
        <v>31</v>
      </c>
      <c r="D212" s="278" t="s">
        <v>10</v>
      </c>
      <c r="E212" s="280"/>
      <c r="F212" s="287">
        <v>45643</v>
      </c>
      <c r="G212" s="287">
        <v>45842</v>
      </c>
      <c r="H212" s="291">
        <f t="shared" si="4"/>
        <v>200</v>
      </c>
      <c r="I212" s="292" t="s">
        <v>658</v>
      </c>
    </row>
    <row r="213" spans="1:9" ht="51" x14ac:dyDescent="0.25">
      <c r="A213" s="278">
        <v>173</v>
      </c>
      <c r="B213" s="285" t="s">
        <v>657</v>
      </c>
      <c r="C213" s="286" t="s">
        <v>520</v>
      </c>
      <c r="D213" s="278" t="s">
        <v>10</v>
      </c>
      <c r="E213" s="280"/>
      <c r="F213" s="287">
        <v>45643</v>
      </c>
      <c r="G213" s="287">
        <v>45904</v>
      </c>
      <c r="H213" s="291">
        <f t="shared" si="4"/>
        <v>262</v>
      </c>
      <c r="I213" s="292" t="s">
        <v>1541</v>
      </c>
    </row>
    <row r="214" spans="1:9" x14ac:dyDescent="0.25">
      <c r="A214" s="278">
        <v>174</v>
      </c>
      <c r="B214" s="285" t="s">
        <v>657</v>
      </c>
      <c r="C214" s="286" t="s">
        <v>521</v>
      </c>
      <c r="D214" s="278" t="s">
        <v>10</v>
      </c>
      <c r="E214" s="280"/>
      <c r="F214" s="287">
        <v>45643</v>
      </c>
      <c r="G214" s="287">
        <v>45858</v>
      </c>
      <c r="H214" s="291">
        <f t="shared" si="4"/>
        <v>216</v>
      </c>
      <c r="I214" s="292" t="s">
        <v>658</v>
      </c>
    </row>
    <row r="215" spans="1:9" x14ac:dyDescent="0.25">
      <c r="A215" s="278">
        <v>175</v>
      </c>
      <c r="B215" s="285" t="s">
        <v>657</v>
      </c>
      <c r="C215" s="286" t="s">
        <v>522</v>
      </c>
      <c r="D215" s="278" t="s">
        <v>10</v>
      </c>
      <c r="E215" s="280"/>
      <c r="F215" s="287">
        <v>45643</v>
      </c>
      <c r="G215" s="287">
        <v>45861</v>
      </c>
      <c r="H215" s="291">
        <f t="shared" si="4"/>
        <v>219</v>
      </c>
      <c r="I215" s="292" t="s">
        <v>658</v>
      </c>
    </row>
    <row r="216" spans="1:9"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x14ac:dyDescent="0.25">
      <c r="A218" s="278">
        <v>178</v>
      </c>
      <c r="B218" s="285" t="s">
        <v>657</v>
      </c>
      <c r="C218" s="286" t="s">
        <v>524</v>
      </c>
      <c r="D218" s="278" t="s">
        <v>10</v>
      </c>
      <c r="E218" s="280"/>
      <c r="F218" s="287">
        <v>45643</v>
      </c>
      <c r="G218" s="287">
        <v>45863</v>
      </c>
      <c r="H218" s="291">
        <f t="shared" si="4"/>
        <v>221</v>
      </c>
      <c r="I218" s="292" t="s">
        <v>1450</v>
      </c>
    </row>
    <row r="219" spans="1:9" ht="25.5" x14ac:dyDescent="0.25">
      <c r="A219" s="278">
        <v>179</v>
      </c>
      <c r="B219" s="285" t="s">
        <v>657</v>
      </c>
      <c r="C219" s="286" t="s">
        <v>525</v>
      </c>
      <c r="D219" s="278" t="s">
        <v>10</v>
      </c>
      <c r="E219" s="280"/>
      <c r="F219" s="287">
        <v>45643</v>
      </c>
      <c r="G219" s="287">
        <v>45829</v>
      </c>
      <c r="H219" s="291">
        <f t="shared" si="4"/>
        <v>187</v>
      </c>
      <c r="I219" s="292" t="s">
        <v>1385</v>
      </c>
    </row>
    <row r="220" spans="1:9" x14ac:dyDescent="0.25">
      <c r="A220" s="278">
        <v>180</v>
      </c>
      <c r="B220" s="285" t="s">
        <v>657</v>
      </c>
      <c r="C220" s="286" t="s">
        <v>526</v>
      </c>
      <c r="D220" s="278" t="s">
        <v>10</v>
      </c>
      <c r="E220" s="280"/>
      <c r="F220" s="287">
        <v>45643</v>
      </c>
      <c r="G220" s="287">
        <v>45818</v>
      </c>
      <c r="H220" s="291">
        <f t="shared" si="4"/>
        <v>176</v>
      </c>
      <c r="I220" s="292" t="s">
        <v>658</v>
      </c>
    </row>
    <row r="221" spans="1:9" ht="25.5" x14ac:dyDescent="0.25">
      <c r="A221" s="278">
        <v>181</v>
      </c>
      <c r="B221" s="285" t="s">
        <v>657</v>
      </c>
      <c r="C221" s="286" t="s">
        <v>527</v>
      </c>
      <c r="D221" s="278" t="s">
        <v>10</v>
      </c>
      <c r="E221" s="280"/>
      <c r="F221" s="287">
        <v>45643</v>
      </c>
      <c r="G221" s="287">
        <v>45806</v>
      </c>
      <c r="H221" s="291">
        <f t="shared" si="4"/>
        <v>164</v>
      </c>
      <c r="I221" s="292" t="s">
        <v>1352</v>
      </c>
    </row>
    <row r="222" spans="1:9" ht="63.75" x14ac:dyDescent="0.25">
      <c r="A222" s="278">
        <v>182</v>
      </c>
      <c r="B222" s="285" t="s">
        <v>657</v>
      </c>
      <c r="C222" s="286" t="s">
        <v>528</v>
      </c>
      <c r="D222" s="278" t="s">
        <v>10</v>
      </c>
      <c r="E222" s="280"/>
      <c r="F222" s="287">
        <v>45643</v>
      </c>
      <c r="G222" s="287">
        <v>45956</v>
      </c>
      <c r="H222" s="291">
        <f t="shared" si="4"/>
        <v>314</v>
      </c>
      <c r="I222" s="292" t="s">
        <v>1612</v>
      </c>
    </row>
    <row r="223" spans="1:9" x14ac:dyDescent="0.25">
      <c r="A223" s="278">
        <v>183</v>
      </c>
      <c r="B223" s="285" t="s">
        <v>657</v>
      </c>
      <c r="C223" s="286" t="s">
        <v>529</v>
      </c>
      <c r="D223" s="278" t="s">
        <v>10</v>
      </c>
      <c r="E223" s="280"/>
      <c r="F223" s="287">
        <v>45643</v>
      </c>
      <c r="G223" s="287">
        <v>45784</v>
      </c>
      <c r="H223" s="291">
        <f t="shared" si="4"/>
        <v>142</v>
      </c>
      <c r="I223" s="292" t="s">
        <v>658</v>
      </c>
    </row>
    <row r="224" spans="1:9" ht="63.75" x14ac:dyDescent="0.25">
      <c r="A224" s="278">
        <v>184</v>
      </c>
      <c r="B224" s="285" t="s">
        <v>657</v>
      </c>
      <c r="C224" s="286" t="s">
        <v>175</v>
      </c>
      <c r="D224" s="278" t="s">
        <v>10</v>
      </c>
      <c r="E224" s="280"/>
      <c r="F224" s="287">
        <v>45643</v>
      </c>
      <c r="G224" s="287">
        <v>45933</v>
      </c>
      <c r="H224" s="291">
        <f t="shared" si="4"/>
        <v>291</v>
      </c>
      <c r="I224" s="292" t="s">
        <v>1597</v>
      </c>
    </row>
    <row r="225" spans="1:9" x14ac:dyDescent="0.25">
      <c r="A225" s="278">
        <v>185</v>
      </c>
      <c r="B225" s="285" t="s">
        <v>657</v>
      </c>
      <c r="C225" s="286" t="s">
        <v>57</v>
      </c>
      <c r="D225" s="278" t="s">
        <v>10</v>
      </c>
      <c r="E225" s="280"/>
      <c r="F225" s="287">
        <v>45643</v>
      </c>
      <c r="G225" s="287">
        <v>45868</v>
      </c>
      <c r="H225" s="291">
        <f t="shared" si="4"/>
        <v>226</v>
      </c>
      <c r="I225" s="292" t="s">
        <v>658</v>
      </c>
    </row>
    <row r="226" spans="1:9" x14ac:dyDescent="0.25">
      <c r="A226" s="278">
        <v>186</v>
      </c>
      <c r="B226" s="285" t="s">
        <v>657</v>
      </c>
      <c r="C226" s="286" t="s">
        <v>33</v>
      </c>
      <c r="D226" s="278" t="s">
        <v>10</v>
      </c>
      <c r="E226" s="280"/>
      <c r="F226" s="287">
        <v>45639</v>
      </c>
      <c r="G226" s="287">
        <v>45858</v>
      </c>
      <c r="H226" s="291">
        <f t="shared" si="4"/>
        <v>220</v>
      </c>
      <c r="I226" s="292" t="s">
        <v>658</v>
      </c>
    </row>
    <row r="227" spans="1:9" x14ac:dyDescent="0.25">
      <c r="A227" s="278">
        <v>187</v>
      </c>
      <c r="B227" s="285" t="s">
        <v>657</v>
      </c>
      <c r="C227" s="286" t="s">
        <v>36</v>
      </c>
      <c r="D227" s="278" t="s">
        <v>10</v>
      </c>
      <c r="E227" s="280"/>
      <c r="F227" s="287">
        <v>45639</v>
      </c>
      <c r="G227" s="287">
        <v>45849</v>
      </c>
      <c r="H227" s="291">
        <f t="shared" si="4"/>
        <v>211</v>
      </c>
      <c r="I227" s="292" t="s">
        <v>658</v>
      </c>
    </row>
    <row r="228" spans="1:9" x14ac:dyDescent="0.25">
      <c r="A228" s="278">
        <v>188</v>
      </c>
      <c r="B228" s="285" t="s">
        <v>657</v>
      </c>
      <c r="C228" s="286" t="s">
        <v>58</v>
      </c>
      <c r="D228" s="278" t="s">
        <v>10</v>
      </c>
      <c r="E228" s="280"/>
      <c r="F228" s="287">
        <v>45639</v>
      </c>
      <c r="G228" s="287">
        <v>45870</v>
      </c>
      <c r="H228" s="291">
        <f t="shared" si="4"/>
        <v>232</v>
      </c>
      <c r="I228" s="292" t="s">
        <v>658</v>
      </c>
    </row>
    <row r="229" spans="1:9" x14ac:dyDescent="0.25">
      <c r="A229" s="278">
        <v>189</v>
      </c>
      <c r="B229" s="285" t="s">
        <v>657</v>
      </c>
      <c r="C229" s="286" t="s">
        <v>63</v>
      </c>
      <c r="D229" s="278" t="s">
        <v>10</v>
      </c>
      <c r="E229" s="280"/>
      <c r="F229" s="287">
        <v>45639</v>
      </c>
      <c r="G229" s="287">
        <v>45783</v>
      </c>
      <c r="H229" s="291">
        <f t="shared" si="4"/>
        <v>145</v>
      </c>
      <c r="I229" s="292" t="s">
        <v>658</v>
      </c>
    </row>
    <row r="230" spans="1:9" x14ac:dyDescent="0.25">
      <c r="A230" s="278">
        <v>190</v>
      </c>
      <c r="B230" s="285" t="s">
        <v>657</v>
      </c>
      <c r="C230" s="286" t="s">
        <v>64</v>
      </c>
      <c r="D230" s="278" t="s">
        <v>10</v>
      </c>
      <c r="E230" s="280"/>
      <c r="F230" s="287">
        <v>45639</v>
      </c>
      <c r="G230" s="287">
        <v>45779</v>
      </c>
      <c r="H230" s="291">
        <f t="shared" si="4"/>
        <v>141</v>
      </c>
      <c r="I230" s="292" t="s">
        <v>658</v>
      </c>
    </row>
    <row r="231" spans="1:9" x14ac:dyDescent="0.25">
      <c r="A231" s="278">
        <v>191</v>
      </c>
      <c r="B231" s="285" t="s">
        <v>657</v>
      </c>
      <c r="C231" s="286" t="s">
        <v>65</v>
      </c>
      <c r="D231" s="278" t="s">
        <v>10</v>
      </c>
      <c r="E231" s="280"/>
      <c r="F231" s="287">
        <v>45639</v>
      </c>
      <c r="G231" s="287">
        <v>45763</v>
      </c>
      <c r="H231" s="291">
        <f t="shared" si="4"/>
        <v>125</v>
      </c>
      <c r="I231" s="292" t="s">
        <v>658</v>
      </c>
    </row>
    <row r="232" spans="1:9" x14ac:dyDescent="0.25">
      <c r="A232" s="278">
        <v>192</v>
      </c>
      <c r="B232" s="285" t="s">
        <v>657</v>
      </c>
      <c r="C232" s="286" t="s">
        <v>66</v>
      </c>
      <c r="D232" s="278" t="s">
        <v>10</v>
      </c>
      <c r="E232" s="280"/>
      <c r="F232" s="287">
        <v>45639</v>
      </c>
      <c r="G232" s="287">
        <v>45758</v>
      </c>
      <c r="H232" s="291">
        <f t="shared" si="4"/>
        <v>120</v>
      </c>
      <c r="I232" s="292" t="s">
        <v>658</v>
      </c>
    </row>
    <row r="233" spans="1:9" x14ac:dyDescent="0.25">
      <c r="A233" s="278">
        <v>193</v>
      </c>
      <c r="B233" s="285" t="s">
        <v>657</v>
      </c>
      <c r="C233" s="286" t="s">
        <v>67</v>
      </c>
      <c r="D233" s="278" t="s">
        <v>10</v>
      </c>
      <c r="E233" s="280"/>
      <c r="F233" s="287">
        <v>45639</v>
      </c>
      <c r="G233" s="287">
        <v>45789</v>
      </c>
      <c r="H233" s="291">
        <f t="shared" si="4"/>
        <v>151</v>
      </c>
      <c r="I233" s="292" t="s">
        <v>658</v>
      </c>
    </row>
    <row r="234" spans="1:9"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x14ac:dyDescent="0.25">
      <c r="A235" s="278">
        <v>195</v>
      </c>
      <c r="B235" s="285" t="s">
        <v>657</v>
      </c>
      <c r="C235" s="286" t="s">
        <v>534</v>
      </c>
      <c r="D235" s="278" t="s">
        <v>10</v>
      </c>
      <c r="E235" s="280"/>
      <c r="F235" s="287">
        <v>45639</v>
      </c>
      <c r="G235" s="287">
        <v>45836</v>
      </c>
      <c r="H235" s="291">
        <f t="shared" si="5"/>
        <v>198</v>
      </c>
      <c r="I235" s="292" t="s">
        <v>658</v>
      </c>
    </row>
    <row r="236" spans="1:9" x14ac:dyDescent="0.25">
      <c r="A236" s="278">
        <v>196</v>
      </c>
      <c r="B236" s="285" t="s">
        <v>657</v>
      </c>
      <c r="C236" s="286" t="s">
        <v>651</v>
      </c>
      <c r="D236" s="278" t="s">
        <v>10</v>
      </c>
      <c r="E236" s="280"/>
      <c r="F236" s="287">
        <v>45639</v>
      </c>
      <c r="G236" s="287">
        <v>45765</v>
      </c>
      <c r="H236" s="291">
        <f t="shared" si="5"/>
        <v>127</v>
      </c>
      <c r="I236" s="292" t="s">
        <v>658</v>
      </c>
    </row>
    <row r="237" spans="1:9" x14ac:dyDescent="0.25">
      <c r="A237" s="278">
        <v>197</v>
      </c>
      <c r="B237" s="285" t="s">
        <v>657</v>
      </c>
      <c r="C237" s="286" t="s">
        <v>535</v>
      </c>
      <c r="D237" s="278" t="s">
        <v>10</v>
      </c>
      <c r="E237" s="280"/>
      <c r="F237" s="287">
        <v>45639</v>
      </c>
      <c r="G237" s="287">
        <v>45762</v>
      </c>
      <c r="H237" s="291">
        <f t="shared" si="5"/>
        <v>124</v>
      </c>
      <c r="I237" s="292" t="s">
        <v>658</v>
      </c>
    </row>
    <row r="238" spans="1:9" x14ac:dyDescent="0.25">
      <c r="A238" s="278">
        <v>198</v>
      </c>
      <c r="B238" s="285" t="s">
        <v>657</v>
      </c>
      <c r="C238" s="286" t="s">
        <v>536</v>
      </c>
      <c r="D238" s="278" t="s">
        <v>10</v>
      </c>
      <c r="E238" s="280"/>
      <c r="F238" s="287">
        <v>45639</v>
      </c>
      <c r="G238" s="287">
        <v>45768</v>
      </c>
      <c r="H238" s="291">
        <f t="shared" si="5"/>
        <v>130</v>
      </c>
      <c r="I238" s="292" t="s">
        <v>658</v>
      </c>
    </row>
    <row r="239" spans="1:9" x14ac:dyDescent="0.25">
      <c r="A239" s="278">
        <v>199</v>
      </c>
      <c r="B239" s="285" t="s">
        <v>657</v>
      </c>
      <c r="C239" s="286" t="s">
        <v>537</v>
      </c>
      <c r="D239" s="278" t="s">
        <v>10</v>
      </c>
      <c r="E239" s="280"/>
      <c r="F239" s="287">
        <v>45641</v>
      </c>
      <c r="G239" s="287">
        <v>45763</v>
      </c>
      <c r="H239" s="291">
        <f t="shared" si="5"/>
        <v>123</v>
      </c>
      <c r="I239" s="292" t="s">
        <v>658</v>
      </c>
    </row>
    <row r="240" spans="1:9" x14ac:dyDescent="0.25">
      <c r="A240" s="278">
        <v>200</v>
      </c>
      <c r="B240" s="285" t="s">
        <v>657</v>
      </c>
      <c r="C240" s="286" t="s">
        <v>538</v>
      </c>
      <c r="D240" s="278" t="s">
        <v>10</v>
      </c>
      <c r="E240" s="280"/>
      <c r="F240" s="287">
        <v>45641</v>
      </c>
      <c r="G240" s="287">
        <v>45789</v>
      </c>
      <c r="H240" s="291">
        <f t="shared" si="5"/>
        <v>149</v>
      </c>
      <c r="I240" s="292" t="s">
        <v>658</v>
      </c>
    </row>
    <row r="241" spans="1:9" x14ac:dyDescent="0.25">
      <c r="A241" s="278">
        <v>201</v>
      </c>
      <c r="B241" s="285" t="s">
        <v>657</v>
      </c>
      <c r="C241" s="286" t="s">
        <v>539</v>
      </c>
      <c r="D241" s="278" t="s">
        <v>10</v>
      </c>
      <c r="E241" s="280"/>
      <c r="F241" s="287">
        <v>45641</v>
      </c>
      <c r="G241" s="287">
        <v>45752</v>
      </c>
      <c r="H241" s="291">
        <f t="shared" si="5"/>
        <v>112</v>
      </c>
      <c r="I241" s="292" t="s">
        <v>658</v>
      </c>
    </row>
    <row r="242" spans="1:9" x14ac:dyDescent="0.25">
      <c r="A242" s="278">
        <v>202</v>
      </c>
      <c r="B242" s="285" t="s">
        <v>657</v>
      </c>
      <c r="C242" s="286" t="s">
        <v>540</v>
      </c>
      <c r="D242" s="278" t="s">
        <v>10</v>
      </c>
      <c r="E242" s="280"/>
      <c r="F242" s="287">
        <v>45641</v>
      </c>
      <c r="G242" s="287">
        <v>45758</v>
      </c>
      <c r="H242" s="291">
        <f t="shared" si="5"/>
        <v>118</v>
      </c>
      <c r="I242" s="292" t="s">
        <v>658</v>
      </c>
    </row>
    <row r="243" spans="1:9" x14ac:dyDescent="0.25">
      <c r="A243" s="278">
        <v>203</v>
      </c>
      <c r="B243" s="285" t="s">
        <v>657</v>
      </c>
      <c r="C243" s="286" t="s">
        <v>541</v>
      </c>
      <c r="D243" s="278" t="s">
        <v>10</v>
      </c>
      <c r="E243" s="280"/>
      <c r="F243" s="287">
        <v>45641</v>
      </c>
      <c r="G243" s="287">
        <v>45775</v>
      </c>
      <c r="H243" s="291">
        <f t="shared" si="5"/>
        <v>135</v>
      </c>
      <c r="I243" s="292" t="s">
        <v>1298</v>
      </c>
    </row>
    <row r="244" spans="1:9" ht="25.5" x14ac:dyDescent="0.25">
      <c r="A244" s="278">
        <v>204</v>
      </c>
      <c r="B244" s="285" t="s">
        <v>657</v>
      </c>
      <c r="C244" s="286" t="s">
        <v>542</v>
      </c>
      <c r="D244" s="278" t="s">
        <v>10</v>
      </c>
      <c r="E244" s="280"/>
      <c r="F244" s="287">
        <v>45641</v>
      </c>
      <c r="G244" s="287">
        <v>45775</v>
      </c>
      <c r="H244" s="291">
        <f t="shared" si="5"/>
        <v>135</v>
      </c>
      <c r="I244" s="292" t="s">
        <v>1297</v>
      </c>
    </row>
    <row r="245" spans="1:9" x14ac:dyDescent="0.25">
      <c r="A245" s="278">
        <v>205</v>
      </c>
      <c r="B245" s="285" t="s">
        <v>657</v>
      </c>
      <c r="C245" s="286" t="s">
        <v>552</v>
      </c>
      <c r="D245" s="278" t="s">
        <v>10</v>
      </c>
      <c r="E245" s="280"/>
      <c r="F245" s="287">
        <v>45641</v>
      </c>
      <c r="G245" s="287">
        <v>45779</v>
      </c>
      <c r="H245" s="291">
        <f t="shared" si="5"/>
        <v>139</v>
      </c>
      <c r="I245" s="292" t="s">
        <v>658</v>
      </c>
    </row>
    <row r="246" spans="1:9" x14ac:dyDescent="0.25">
      <c r="A246" s="278">
        <v>206</v>
      </c>
      <c r="B246" s="285" t="s">
        <v>657</v>
      </c>
      <c r="C246" s="286" t="s">
        <v>554</v>
      </c>
      <c r="D246" s="278" t="s">
        <v>10</v>
      </c>
      <c r="E246" s="280"/>
      <c r="F246" s="287">
        <v>45641</v>
      </c>
      <c r="G246" s="287">
        <v>45795</v>
      </c>
      <c r="H246" s="291">
        <f t="shared" si="5"/>
        <v>155</v>
      </c>
      <c r="I246" s="292" t="s">
        <v>658</v>
      </c>
    </row>
    <row r="247" spans="1:9" x14ac:dyDescent="0.25">
      <c r="A247" s="278">
        <v>207</v>
      </c>
      <c r="B247" s="285" t="s">
        <v>657</v>
      </c>
      <c r="C247" s="286" t="s">
        <v>555</v>
      </c>
      <c r="D247" s="278" t="s">
        <v>10</v>
      </c>
      <c r="E247" s="280"/>
      <c r="F247" s="287">
        <v>45641</v>
      </c>
      <c r="G247" s="287">
        <v>45767</v>
      </c>
      <c r="H247" s="291">
        <f t="shared" si="5"/>
        <v>127</v>
      </c>
      <c r="I247" s="292" t="s">
        <v>658</v>
      </c>
    </row>
    <row r="248" spans="1:9" x14ac:dyDescent="0.25">
      <c r="A248" s="278">
        <v>208</v>
      </c>
      <c r="B248" s="285" t="s">
        <v>657</v>
      </c>
      <c r="C248" s="286" t="s">
        <v>556</v>
      </c>
      <c r="D248" s="278" t="s">
        <v>10</v>
      </c>
      <c r="E248" s="280"/>
      <c r="F248" s="287">
        <v>45641</v>
      </c>
      <c r="G248" s="287">
        <v>45798</v>
      </c>
      <c r="H248" s="291">
        <f t="shared" si="5"/>
        <v>158</v>
      </c>
      <c r="I248" s="292" t="s">
        <v>658</v>
      </c>
    </row>
    <row r="249" spans="1:9" x14ac:dyDescent="0.25">
      <c r="A249" s="278">
        <v>209</v>
      </c>
      <c r="B249" s="285" t="s">
        <v>657</v>
      </c>
      <c r="C249" s="286" t="s">
        <v>562</v>
      </c>
      <c r="D249" s="278" t="s">
        <v>10</v>
      </c>
      <c r="E249" s="280"/>
      <c r="F249" s="287">
        <v>45641</v>
      </c>
      <c r="G249" s="287">
        <v>45793</v>
      </c>
      <c r="H249" s="291">
        <f t="shared" si="5"/>
        <v>153</v>
      </c>
      <c r="I249" s="292" t="s">
        <v>658</v>
      </c>
    </row>
    <row r="250" spans="1:9" x14ac:dyDescent="0.25">
      <c r="A250" s="278">
        <v>210</v>
      </c>
      <c r="B250" s="285" t="s">
        <v>657</v>
      </c>
      <c r="C250" s="286" t="s">
        <v>574</v>
      </c>
      <c r="D250" s="278" t="s">
        <v>10</v>
      </c>
      <c r="E250" s="280"/>
      <c r="F250" s="287">
        <v>45641</v>
      </c>
      <c r="G250" s="287">
        <v>45704</v>
      </c>
      <c r="H250" s="291">
        <f t="shared" si="5"/>
        <v>64</v>
      </c>
      <c r="I250" s="292" t="s">
        <v>658</v>
      </c>
    </row>
    <row r="255" spans="1:9" x14ac:dyDescent="0.25">
      <c r="A255" s="860" t="s">
        <v>126</v>
      </c>
      <c r="B255" s="860"/>
      <c r="C255" s="860"/>
      <c r="D255" s="860"/>
      <c r="E255" s="860"/>
      <c r="F255" s="860"/>
      <c r="G255" s="860"/>
      <c r="H255" s="860"/>
      <c r="I255" s="860"/>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1739</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0" t="s">
        <v>266</v>
      </c>
      <c r="B346" s="860"/>
      <c r="C346" s="860"/>
      <c r="D346" s="860"/>
      <c r="E346" s="860"/>
      <c r="F346" s="860"/>
      <c r="G346" s="860"/>
      <c r="H346" s="860"/>
      <c r="I346" s="860"/>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0" t="s">
        <v>344</v>
      </c>
      <c r="B352" s="860"/>
      <c r="C352" s="860"/>
      <c r="D352" s="860"/>
      <c r="E352" s="860"/>
      <c r="F352" s="860"/>
      <c r="G352" s="860"/>
      <c r="H352" s="860"/>
      <c r="I352" s="860"/>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1677</v>
      </c>
    </row>
    <row r="359" spans="1:9" ht="38.25" x14ac:dyDescent="0.25">
      <c r="A359" s="278">
        <v>6</v>
      </c>
      <c r="B359" s="285" t="s">
        <v>1671</v>
      </c>
      <c r="C359" s="278" t="s">
        <v>1672</v>
      </c>
      <c r="D359" s="280" t="s">
        <v>344</v>
      </c>
      <c r="E359" s="280" t="s">
        <v>1624</v>
      </c>
      <c r="F359" s="300">
        <v>45979</v>
      </c>
      <c r="G359" s="300">
        <v>46034</v>
      </c>
      <c r="H359" s="291">
        <f t="shared" si="9"/>
        <v>56</v>
      </c>
      <c r="I359" s="289" t="s">
        <v>1678</v>
      </c>
    </row>
    <row r="360" spans="1:9" ht="38.25" x14ac:dyDescent="0.25">
      <c r="A360" s="278">
        <v>7</v>
      </c>
      <c r="B360" s="285" t="s">
        <v>1388</v>
      </c>
      <c r="C360" s="1004" t="s">
        <v>854</v>
      </c>
      <c r="D360" s="280" t="s">
        <v>344</v>
      </c>
      <c r="E360" s="280" t="s">
        <v>1660</v>
      </c>
      <c r="F360" s="300">
        <v>45667</v>
      </c>
      <c r="G360" s="300">
        <v>45964</v>
      </c>
      <c r="H360" s="291">
        <f t="shared" si="9"/>
        <v>298</v>
      </c>
      <c r="I360" s="289" t="s">
        <v>1673</v>
      </c>
    </row>
    <row r="361" spans="1:9" ht="38.25" x14ac:dyDescent="0.25">
      <c r="A361" s="278">
        <v>8</v>
      </c>
      <c r="B361" s="285" t="s">
        <v>1674</v>
      </c>
      <c r="C361" s="280" t="s">
        <v>1675</v>
      </c>
      <c r="D361" s="280" t="s">
        <v>344</v>
      </c>
      <c r="E361" s="280" t="s">
        <v>1620</v>
      </c>
      <c r="F361" s="300">
        <v>46023</v>
      </c>
      <c r="G361" s="300"/>
      <c r="H361" s="291" t="str">
        <f t="shared" si="9"/>
        <v>Awaited</v>
      </c>
      <c r="I361" s="289" t="s">
        <v>1676</v>
      </c>
    </row>
    <row r="362" spans="1:9" ht="25.5" x14ac:dyDescent="0.25">
      <c r="A362" s="278">
        <v>9</v>
      </c>
      <c r="B362" s="285" t="s">
        <v>1744</v>
      </c>
      <c r="C362" s="280" t="s">
        <v>1745</v>
      </c>
      <c r="D362" s="280" t="s">
        <v>344</v>
      </c>
      <c r="E362" s="280" t="s">
        <v>1660</v>
      </c>
      <c r="F362" s="300">
        <v>46045</v>
      </c>
      <c r="G362" s="300">
        <v>46057</v>
      </c>
      <c r="H362" s="291">
        <f t="shared" si="9"/>
        <v>13</v>
      </c>
      <c r="I362" s="289" t="s">
        <v>1676</v>
      </c>
    </row>
    <row r="363" spans="1:9" ht="38.25" x14ac:dyDescent="0.25">
      <c r="A363" s="278">
        <v>10</v>
      </c>
      <c r="B363" s="285" t="s">
        <v>1751</v>
      </c>
      <c r="C363" s="280" t="s">
        <v>1752</v>
      </c>
      <c r="D363" s="280" t="s">
        <v>344</v>
      </c>
      <c r="E363" s="280" t="s">
        <v>1620</v>
      </c>
      <c r="F363" s="300">
        <v>46054</v>
      </c>
      <c r="G363" s="300"/>
      <c r="H363" s="291" t="str">
        <f t="shared" si="9"/>
        <v>Awaited</v>
      </c>
      <c r="I363" s="289" t="s">
        <v>1676</v>
      </c>
    </row>
  </sheetData>
  <mergeCells count="7">
    <mergeCell ref="A352:I352"/>
    <mergeCell ref="A346:I346"/>
    <mergeCell ref="A12:B12"/>
    <mergeCell ref="A2:I2"/>
    <mergeCell ref="A15:I15"/>
    <mergeCell ref="A39:I39"/>
    <mergeCell ref="A255:I255"/>
  </mergeCells>
  <conditionalFormatting sqref="C6:C12">
    <cfRule type="duplicateValues" dxfId="213" priority="8"/>
    <cfRule type="duplicateValues" dxfId="212" priority="9"/>
  </conditionalFormatting>
  <conditionalFormatting sqref="C16:C36">
    <cfRule type="duplicateValues" dxfId="211" priority="28"/>
    <cfRule type="duplicateValues" dxfId="210" priority="29"/>
  </conditionalFormatting>
  <conditionalFormatting sqref="C40:C110">
    <cfRule type="duplicateValues" dxfId="209" priority="26"/>
  </conditionalFormatting>
  <conditionalFormatting sqref="C40:C250">
    <cfRule type="duplicateValues" dxfId="208" priority="25"/>
  </conditionalFormatting>
  <conditionalFormatting sqref="C111:C159">
    <cfRule type="duplicateValues" dxfId="207" priority="23"/>
  </conditionalFormatting>
  <conditionalFormatting sqref="C160:C250">
    <cfRule type="duplicateValues" dxfId="206" priority="20"/>
  </conditionalFormatting>
  <conditionalFormatting sqref="C256">
    <cfRule type="duplicateValues" dxfId="205" priority="17"/>
  </conditionalFormatting>
  <conditionalFormatting sqref="C256:C265 C267:C345">
    <cfRule type="duplicateValues" dxfId="204" priority="11086"/>
  </conditionalFormatting>
  <conditionalFormatting sqref="C257:C265">
    <cfRule type="duplicateValues" dxfId="203" priority="16"/>
  </conditionalFormatting>
  <conditionalFormatting sqref="C266">
    <cfRule type="duplicateValues" dxfId="202" priority="14"/>
  </conditionalFormatting>
  <conditionalFormatting sqref="C267:C345">
    <cfRule type="duplicateValues" dxfId="201" priority="11089"/>
  </conditionalFormatting>
  <conditionalFormatting sqref="C347:C349">
    <cfRule type="duplicateValues" dxfId="200" priority="13"/>
  </conditionalFormatting>
  <conditionalFormatting sqref="C347:C350">
    <cfRule type="duplicateValues" dxfId="199" priority="12"/>
  </conditionalFormatting>
  <conditionalFormatting sqref="C350">
    <cfRule type="duplicateValues" dxfId="198" priority="10"/>
  </conditionalFormatting>
  <conditionalFormatting sqref="C351 C37:C38 C2 C5 C251:C254 C13:C14 C364:C1048576">
    <cfRule type="duplicateValues" dxfId="197" priority="10772"/>
  </conditionalFormatting>
  <conditionalFormatting sqref="C351 C37:C38 C2:C5 C251:C254 C13:C14 C364:C1048576">
    <cfRule type="duplicateValues" dxfId="196" priority="10769"/>
  </conditionalFormatting>
  <conditionalFormatting sqref="C353:C354">
    <cfRule type="duplicateValues" dxfId="195" priority="6"/>
    <cfRule type="duplicateValues" dxfId="194" priority="7"/>
  </conditionalFormatting>
  <conditionalFormatting sqref="C355:C363">
    <cfRule type="duplicateValues" dxfId="193" priority="2"/>
    <cfRule type="duplicateValues" dxfId="192" priority="4"/>
  </conditionalFormatting>
  <conditionalFormatting sqref="G19:G29 G32:G36 G257:G345">
    <cfRule type="cellIs" dxfId="191" priority="27" operator="lessThan">
      <formula>1</formula>
    </cfRule>
  </conditionalFormatting>
  <conditionalFormatting sqref="G41:G75 F76:G109 G110:G120">
    <cfRule type="cellIs" dxfId="190" priority="24" operator="lessThan">
      <formula>1</formula>
    </cfRule>
  </conditionalFormatting>
  <conditionalFormatting sqref="G122:G250">
    <cfRule type="cellIs" dxfId="189" priority="22" operator="lessThan">
      <formula>1</formula>
    </cfRule>
  </conditionalFormatting>
  <conditionalFormatting sqref="G348:G350">
    <cfRule type="cellIs" dxfId="188" priority="11" operator="lessThan">
      <formula>1</formula>
    </cfRule>
  </conditionalFormatting>
  <conditionalFormatting sqref="G354:G358 G361:G363">
    <cfRule type="cellIs" dxfId="187" priority="3" operator="lessThan">
      <formula>1</formula>
    </cfRule>
  </conditionalFormatting>
  <conditionalFormatting sqref="H158">
    <cfRule type="cellIs" dxfId="186" priority="21" operator="lessThan">
      <formula>1</formula>
    </cfRule>
  </conditionalFormatting>
  <conditionalFormatting sqref="G359:G360">
    <cfRule type="cellIs" dxfId="0" priority="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359" activePane="bottomRight" state="frozen"/>
      <selection activeCell="N8" sqref="N8"/>
      <selection pane="topRight" activeCell="N8" sqref="N8"/>
      <selection pane="bottomLeft" activeCell="N8" sqref="N8"/>
      <selection pane="bottomRight" activeCell="I360" sqref="I360"/>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6" t="s">
        <v>1380</v>
      </c>
      <c r="N1" s="866"/>
      <c r="O1" s="866"/>
      <c r="P1" s="866"/>
      <c r="Q1" s="866"/>
      <c r="R1" s="866"/>
      <c r="S1" s="866"/>
      <c r="T1" s="866"/>
      <c r="U1" s="866"/>
      <c r="V1" s="866"/>
      <c r="W1" s="866"/>
      <c r="X1" s="866"/>
      <c r="Y1" s="866"/>
      <c r="Z1" s="866"/>
      <c r="AA1" s="866"/>
      <c r="AB1" s="866"/>
      <c r="AC1" s="866"/>
      <c r="AD1" s="866"/>
      <c r="AE1" s="866"/>
      <c r="AF1" s="866"/>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7" t="s">
        <v>1197</v>
      </c>
      <c r="B2" s="867"/>
      <c r="C2" s="867"/>
      <c r="D2" s="867"/>
      <c r="E2" s="867"/>
      <c r="F2" s="867"/>
      <c r="G2" s="867"/>
      <c r="H2" s="867"/>
      <c r="I2" s="868" t="s">
        <v>1661</v>
      </c>
      <c r="J2" s="868"/>
      <c r="K2" s="868"/>
      <c r="L2" s="667"/>
      <c r="M2" s="865" t="s">
        <v>10</v>
      </c>
      <c r="N2" s="865"/>
      <c r="O2" s="865"/>
      <c r="P2" s="865"/>
      <c r="Q2" s="865"/>
      <c r="R2" s="865"/>
      <c r="S2" s="865" t="s">
        <v>126</v>
      </c>
      <c r="T2" s="865"/>
      <c r="U2" s="865"/>
      <c r="V2" s="865"/>
      <c r="W2" s="865"/>
      <c r="X2" s="865"/>
      <c r="Y2" s="865"/>
      <c r="Z2" s="864" t="s">
        <v>344</v>
      </c>
      <c r="AA2" s="864"/>
      <c r="AB2" s="864"/>
      <c r="AC2" s="864"/>
      <c r="AD2" s="864"/>
      <c r="AE2" s="864"/>
      <c r="AF2" s="864"/>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0</v>
      </c>
      <c r="Q4" s="508">
        <f t="shared" si="0"/>
        <v>0</v>
      </c>
      <c r="R4" s="508">
        <f t="shared" si="0"/>
        <v>4</v>
      </c>
      <c r="S4" s="508">
        <f t="shared" si="0"/>
        <v>485</v>
      </c>
      <c r="T4" s="508">
        <f t="shared" si="0"/>
        <v>459</v>
      </c>
      <c r="U4" s="508">
        <f t="shared" si="0"/>
        <v>2</v>
      </c>
      <c r="V4" s="508">
        <f t="shared" si="0"/>
        <v>0</v>
      </c>
      <c r="W4" s="508">
        <f t="shared" si="0"/>
        <v>20</v>
      </c>
      <c r="X4" s="508">
        <f t="shared" si="0"/>
        <v>4</v>
      </c>
      <c r="Y4" s="413">
        <f>S4-T4</f>
        <v>26</v>
      </c>
      <c r="Z4" s="763">
        <f>+SUM(Z5:Z53)</f>
        <v>191.39264299999996</v>
      </c>
      <c r="AA4" s="763">
        <f t="shared" ref="AA4:AF4" si="1">+SUM(AA5:AA53)</f>
        <v>74.121770000000012</v>
      </c>
      <c r="AB4" s="763">
        <f t="shared" si="1"/>
        <v>10.255929999999999</v>
      </c>
      <c r="AC4" s="763">
        <f t="shared" si="1"/>
        <v>0</v>
      </c>
      <c r="AD4" s="763">
        <f t="shared" si="1"/>
        <v>0</v>
      </c>
      <c r="AE4" s="763">
        <f t="shared" si="1"/>
        <v>9.3850999999999996</v>
      </c>
      <c r="AF4" s="763">
        <f t="shared" si="1"/>
        <v>97.629843000000022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0</v>
      </c>
      <c r="Q7" s="505">
        <f t="shared" si="5"/>
        <v>0</v>
      </c>
      <c r="R7" s="505">
        <f t="shared" si="6"/>
        <v>1</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1.4911999999999999</v>
      </c>
      <c r="AF7" s="601">
        <f t="shared" si="20"/>
        <v>1.6390670000000001</v>
      </c>
      <c r="AG7"/>
    </row>
    <row r="8" spans="1:74" ht="15" x14ac:dyDescent="0.25">
      <c r="A8" s="413">
        <f>+SUBTOTAL(3,$B$4:B8)</f>
        <v>5</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1</v>
      </c>
      <c r="V12" s="505">
        <f t="shared" si="9"/>
        <v>0</v>
      </c>
      <c r="W12" s="505">
        <f t="shared" si="10"/>
        <v>11</v>
      </c>
      <c r="X12" s="505">
        <f t="shared" si="11"/>
        <v>1</v>
      </c>
      <c r="Y12" s="413">
        <f t="shared" si="12"/>
        <v>13</v>
      </c>
      <c r="Z12" s="763">
        <f t="shared" si="14"/>
        <v>11.512</v>
      </c>
      <c r="AA12" s="763">
        <f t="shared" si="15"/>
        <v>0</v>
      </c>
      <c r="AB12" s="763">
        <f t="shared" si="16"/>
        <v>0</v>
      </c>
      <c r="AC12" s="763">
        <f t="shared" si="17"/>
        <v>0</v>
      </c>
      <c r="AD12" s="763">
        <f t="shared" si="18"/>
        <v>0</v>
      </c>
      <c r="AE12" s="763">
        <f t="shared" si="19"/>
        <v>4.9011000000000005</v>
      </c>
      <c r="AF12" s="601">
        <f t="shared" si="20"/>
        <v>6.6109</v>
      </c>
      <c r="AG12"/>
    </row>
    <row r="13" spans="1:74" ht="15" x14ac:dyDescent="0.25">
      <c r="A13" s="413">
        <f>+SUBTOTAL(3,$B$4:B13)</f>
        <v>10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31</v>
      </c>
      <c r="U13" s="505">
        <f t="shared" si="8"/>
        <v>1</v>
      </c>
      <c r="V13" s="505">
        <f t="shared" si="9"/>
        <v>0</v>
      </c>
      <c r="W13" s="505">
        <f t="shared" si="10"/>
        <v>3</v>
      </c>
      <c r="X13" s="505">
        <f t="shared" si="11"/>
        <v>0</v>
      </c>
      <c r="Y13" s="413">
        <f t="shared" si="12"/>
        <v>4</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1302</v>
      </c>
      <c r="E43" s="465">
        <f>'Visual chart Edit'!I46</f>
        <v>414.4</v>
      </c>
      <c r="F43" s="413" t="s">
        <v>129</v>
      </c>
      <c r="G43" s="413" t="str">
        <f>'Visual chart Edit'!L46</f>
        <v/>
      </c>
      <c r="H43" s="416" t="s">
        <v>1664</v>
      </c>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x14ac:dyDescent="0.25">
      <c r="A84" s="413">
        <f>+SUBTOTAL(3,$B$4:B84)</f>
        <v>81</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x14ac:dyDescent="0.25">
      <c r="A91" s="413">
        <f>+SUBTOTAL(3,$B$4:B91)</f>
        <v>88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x14ac:dyDescent="0.25">
      <c r="A100" s="413">
        <f>+SUBTOTAL(3,$B$4:B100)</f>
        <v>97</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x14ac:dyDescent="0.25">
      <c r="A126" s="413">
        <f>+SUBTOTAL(3,$B$4:B126)</f>
        <v>123</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127</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x14ac:dyDescent="0.25">
      <c r="A131" s="413">
        <f>+SUBTOTAL(3,$B$4:B131)</f>
        <v>128</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132</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133</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134</v>
      </c>
      <c r="B137" s="413" t="str">
        <f>'Visual chart Edit'!B140</f>
        <v>21/9</v>
      </c>
      <c r="C137" s="413" t="str">
        <f>'Visual chart Edit'!C140</f>
        <v>DA+3</v>
      </c>
      <c r="D137" s="413" t="s">
        <v>1307</v>
      </c>
      <c r="E137" s="465">
        <f>'Visual chart Edit'!I140</f>
        <v>433.3</v>
      </c>
      <c r="F137" s="413" t="str">
        <f>'Visual chart Edit'!K140</f>
        <v>DFR</v>
      </c>
      <c r="G137" s="413" t="s">
        <v>124</v>
      </c>
      <c r="H137" s="416"/>
      <c r="I137" s="413"/>
      <c r="J137" s="413"/>
      <c r="K137" s="413"/>
    </row>
    <row r="138" spans="1:11" x14ac:dyDescent="0.25">
      <c r="A138" s="413">
        <f>+SUBTOTAL(3,$B$4:B138)</f>
        <v>135</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136</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137</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x14ac:dyDescent="0.25">
      <c r="A141" s="413">
        <f>+SUBTOTAL(3,$B$4:B141)</f>
        <v>138</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x14ac:dyDescent="0.25">
      <c r="A144" s="413">
        <f>+SUBTOTAL(3,$B$4:B144)</f>
        <v>141</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145</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146</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x14ac:dyDescent="0.25">
      <c r="A150" s="413">
        <f>+SUBTOTAL(3,$B$4:B150)</f>
        <v>147</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x14ac:dyDescent="0.25">
      <c r="A152" s="413">
        <f>+SUBTOTAL(3,$B$4:B152)</f>
        <v>149</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x14ac:dyDescent="0.25">
      <c r="A154" s="413">
        <f>+SUBTOTAL(3,$B$4:B154)</f>
        <v>151</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x14ac:dyDescent="0.25">
      <c r="A156" s="413">
        <f>+SUBTOTAL(3,$B$4:B156)</f>
        <v>153</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1308</v>
      </c>
      <c r="E164" s="465">
        <f>'Visual chart Edit'!I167</f>
        <v>422.6</v>
      </c>
      <c r="F164" s="413" t="str">
        <f>'Visual chart Edit'!K167</f>
        <v>Sandy</v>
      </c>
      <c r="G164" s="413" t="s">
        <v>124</v>
      </c>
      <c r="H164" s="416"/>
      <c r="I164" s="413"/>
      <c r="J164" s="413"/>
      <c r="K164" s="413"/>
      <c r="L164" s="479" t="s">
        <v>1581</v>
      </c>
    </row>
    <row r="165" spans="1:12" x14ac:dyDescent="0.25">
      <c r="A165" s="413">
        <f>+SUBTOTAL(3,$B$4:B165)</f>
        <v>162</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x14ac:dyDescent="0.25">
      <c r="A177" s="413">
        <f>+SUBTOTAL(3,$B$4:B177)</f>
        <v>174</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x14ac:dyDescent="0.25">
      <c r="A187" s="413">
        <f>+SUBTOTAL(3,$B$4:B187)</f>
        <v>184</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x14ac:dyDescent="0.25">
      <c r="A237" s="413">
        <f>+SUBTOTAL(3,$B$4:B237)</f>
        <v>234</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t="s">
        <v>419</v>
      </c>
      <c r="K361" s="413"/>
    </row>
    <row r="362" spans="1:11" x14ac:dyDescent="0.25">
      <c r="A362" s="413">
        <f>+SUBTOTAL(3,$B$4:B362)</f>
        <v>359</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17</v>
      </c>
    </row>
    <row r="494" spans="1:11" x14ac:dyDescent="0.25">
      <c r="D494" s="349" t="s">
        <v>16</v>
      </c>
      <c r="I494" s="266">
        <f>I492-I493</f>
        <v>246</v>
      </c>
      <c r="J494" s="266">
        <f t="shared" ref="J494:K494" si="32">J492-J493</f>
        <v>313</v>
      </c>
      <c r="K494" s="266">
        <f t="shared" si="32"/>
        <v>71</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5"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5" operator="equal">
      <formula>"ROW"</formula>
    </cfRule>
    <cfRule type="cellIs" dxfId="183" priority="17" operator="equal">
      <formula>"WIP"</formula>
    </cfRule>
    <cfRule type="cellIs" dxfId="182" priority="18" operator="equal">
      <formula>"Clear"</formula>
    </cfRule>
  </conditionalFormatting>
  <conditionalFormatting sqref="I1:K1048576">
    <cfRule type="cellIs" dxfId="181" priority="1" operator="equal">
      <formula>"C"</formula>
    </cfRule>
  </conditionalFormatting>
  <conditionalFormatting sqref="R2:R1048576 W3:W1048576">
    <cfRule type="cellIs" dxfId="180" priority="2" operator="greaterThan">
      <formula>0</formula>
    </cfRule>
  </conditionalFormatting>
  <conditionalFormatting sqref="S4:V53">
    <cfRule type="cellIs" dxfId="179" priority="9" operator="equal">
      <formula>"ROW"</formula>
    </cfRule>
    <cfRule type="cellIs" dxfId="178" priority="10" operator="equal">
      <formula>"WIP"</formula>
    </cfRule>
    <cfRule type="cellIs" dxfId="177" priority="11" operator="equal">
      <formula>"Clear"</formula>
    </cfRule>
  </conditionalFormatting>
  <conditionalFormatting sqref="U3:V3">
    <cfRule type="cellIs" dxfId="176" priority="3" operator="equal">
      <formula>"ROW"</formula>
    </cfRule>
    <cfRule type="cellIs" dxfId="175" priority="4" operator="equal">
      <formula>"WIP"</formula>
    </cfRule>
    <cfRule type="cellIs" dxfId="174"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69" t="s">
        <v>13</v>
      </c>
      <c r="B4" s="875" t="s">
        <v>1165</v>
      </c>
      <c r="C4" s="877" t="s">
        <v>13</v>
      </c>
      <c r="D4" s="877"/>
      <c r="E4" s="878" t="s">
        <v>1166</v>
      </c>
      <c r="F4" s="878" t="s">
        <v>1167</v>
      </c>
      <c r="G4" s="880" t="s">
        <v>984</v>
      </c>
      <c r="H4" s="881"/>
      <c r="I4" s="881"/>
      <c r="J4" s="881"/>
      <c r="K4" s="881"/>
      <c r="L4" s="882"/>
      <c r="M4" s="870" t="s">
        <v>19</v>
      </c>
      <c r="N4" s="872" t="s">
        <v>1168</v>
      </c>
      <c r="O4" s="872" t="s">
        <v>1169</v>
      </c>
    </row>
    <row r="5" spans="1:15" ht="38.25" x14ac:dyDescent="0.25">
      <c r="A5" s="869"/>
      <c r="B5" s="876"/>
      <c r="C5" s="694" t="s">
        <v>1170</v>
      </c>
      <c r="D5" s="694" t="s">
        <v>119</v>
      </c>
      <c r="E5" s="879"/>
      <c r="F5" s="879"/>
      <c r="G5" s="695" t="s">
        <v>1171</v>
      </c>
      <c r="H5" s="695" t="s">
        <v>1172</v>
      </c>
      <c r="I5" s="695" t="s">
        <v>1173</v>
      </c>
      <c r="J5" s="695" t="s">
        <v>1174</v>
      </c>
      <c r="K5" s="695" t="s">
        <v>9</v>
      </c>
      <c r="L5" s="695" t="s">
        <v>9</v>
      </c>
      <c r="M5" s="871"/>
      <c r="N5" s="873"/>
      <c r="O5" s="873"/>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4" t="s">
        <v>1189</v>
      </c>
      <c r="C95" s="874"/>
      <c r="D95" s="874"/>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86" activePane="bottomLeft" state="frozen"/>
      <selection activeCell="N8" sqref="N8"/>
      <selection pane="bottomLeft" activeCell="I499" sqref="I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1" t="s">
        <v>303</v>
      </c>
      <c r="B5" s="893" t="s">
        <v>1008</v>
      </c>
      <c r="C5" s="891" t="s">
        <v>115</v>
      </c>
      <c r="D5" s="891" t="s">
        <v>4</v>
      </c>
      <c r="E5" s="891" t="s">
        <v>135</v>
      </c>
      <c r="F5" s="887" t="s">
        <v>1397</v>
      </c>
      <c r="G5" s="889" t="s">
        <v>116</v>
      </c>
      <c r="H5" s="885" t="s">
        <v>137</v>
      </c>
      <c r="I5" s="883"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2"/>
      <c r="B6" s="894"/>
      <c r="C6" s="892"/>
      <c r="D6" s="892"/>
      <c r="E6" s="892"/>
      <c r="F6" s="888"/>
      <c r="G6" s="890"/>
      <c r="H6" s="886"/>
      <c r="I6" s="884"/>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7" t="s">
        <v>129</v>
      </c>
      <c r="F498" s="700"/>
      <c r="G498" s="701" t="s">
        <v>1640</v>
      </c>
      <c r="H498" s="697"/>
      <c r="I498" s="697" t="s">
        <v>660</v>
      </c>
      <c r="J498" s="700"/>
      <c r="K498" s="700"/>
    </row>
    <row r="499" spans="1:11" s="538" customFormat="1" x14ac:dyDescent="0.2">
      <c r="A499" s="699"/>
      <c r="B499" s="699"/>
      <c r="C499" s="698" t="s">
        <v>468</v>
      </c>
      <c r="D499" s="699" t="str">
        <f>+VLOOKUP(C499,'Visual chart Edit'!$B$7:$C$491,2,FALSE)</f>
        <v>DA+0</v>
      </c>
      <c r="E499" s="699" t="s">
        <v>124</v>
      </c>
      <c r="F499" s="699"/>
      <c r="G499" s="1005">
        <v>46055</v>
      </c>
      <c r="H499" s="699" t="s">
        <v>1748</v>
      </c>
      <c r="I499" s="699" t="s">
        <v>660</v>
      </c>
      <c r="J499" s="700" t="s">
        <v>1749</v>
      </c>
      <c r="K499" s="699"/>
    </row>
    <row r="503" spans="1:11" x14ac:dyDescent="0.2">
      <c r="G503" s="341" t="s">
        <v>1738</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5" t="s">
        <v>121</v>
      </c>
      <c r="B5" s="895"/>
      <c r="C5" s="895"/>
      <c r="D5" s="895"/>
      <c r="E5" s="895"/>
      <c r="F5" s="895"/>
      <c r="G5" s="895"/>
      <c r="H5" s="895"/>
      <c r="I5" s="895"/>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0" t="s">
        <v>1353</v>
      </c>
      <c r="B1" s="900" t="s">
        <v>1354</v>
      </c>
      <c r="C1" s="900" t="s">
        <v>1355</v>
      </c>
      <c r="D1" s="536" t="s">
        <v>1356</v>
      </c>
      <c r="E1" s="536" t="s">
        <v>1357</v>
      </c>
      <c r="F1" s="536" t="s">
        <v>1358</v>
      </c>
      <c r="G1" s="902" t="s">
        <v>1459</v>
      </c>
      <c r="H1" s="902"/>
      <c r="I1" s="902"/>
      <c r="J1" s="900" t="s">
        <v>1359</v>
      </c>
      <c r="BS1" s="481"/>
    </row>
    <row r="2" spans="1:71" x14ac:dyDescent="0.25">
      <c r="A2" s="901"/>
      <c r="B2" s="901"/>
      <c r="C2" s="901"/>
      <c r="D2" s="536" t="s">
        <v>1360</v>
      </c>
      <c r="E2" s="536" t="s">
        <v>1575</v>
      </c>
      <c r="F2" s="536" t="s">
        <v>1458</v>
      </c>
      <c r="G2" s="536" t="s">
        <v>1361</v>
      </c>
      <c r="H2" s="536" t="s">
        <v>124</v>
      </c>
      <c r="I2" s="536" t="s">
        <v>951</v>
      </c>
      <c r="J2" s="901"/>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898" t="s">
        <v>1543</v>
      </c>
      <c r="B7" s="899"/>
      <c r="C7" s="899"/>
      <c r="D7" s="899"/>
      <c r="E7" s="899"/>
      <c r="F7" s="899"/>
      <c r="G7" s="899"/>
      <c r="H7" s="899"/>
      <c r="I7" s="899"/>
      <c r="J7" s="899"/>
      <c r="K7" s="899"/>
      <c r="L7" s="899"/>
      <c r="M7" s="899"/>
      <c r="N7" s="899"/>
      <c r="O7" s="899"/>
      <c r="P7" s="899"/>
      <c r="Q7" s="899"/>
      <c r="R7" s="899"/>
      <c r="S7" s="899"/>
      <c r="T7" s="899"/>
      <c r="U7" s="899"/>
      <c r="V7" s="899"/>
      <c r="W7" s="899"/>
      <c r="X7" s="899"/>
      <c r="Y7" s="899"/>
      <c r="Z7" s="899"/>
      <c r="AA7" s="899"/>
      <c r="AB7" s="899"/>
      <c r="AC7" s="899"/>
      <c r="AD7" s="899"/>
      <c r="AE7" s="899"/>
      <c r="AF7" s="899"/>
      <c r="AG7" s="899"/>
      <c r="AH7" s="899"/>
      <c r="AI7" s="899"/>
      <c r="AJ7" s="899"/>
      <c r="AK7" s="899"/>
      <c r="AL7" s="899"/>
      <c r="AM7" s="899"/>
      <c r="AN7" s="899"/>
      <c r="AO7" s="899"/>
      <c r="AP7" s="899"/>
      <c r="AQ7" s="899"/>
      <c r="AR7" s="899"/>
      <c r="AS7" s="899"/>
      <c r="AT7" s="899"/>
      <c r="AU7" s="899"/>
      <c r="AV7" s="899"/>
      <c r="AW7" s="899"/>
      <c r="AX7" s="899"/>
      <c r="AY7" s="899"/>
      <c r="AZ7" s="899"/>
      <c r="BA7" s="899"/>
      <c r="BB7" s="899"/>
      <c r="BC7" s="899"/>
      <c r="BD7" s="899"/>
      <c r="BE7" s="899"/>
      <c r="BF7" s="899"/>
      <c r="BG7" s="899"/>
      <c r="BH7" s="899"/>
      <c r="BI7" s="899"/>
      <c r="BJ7" s="899"/>
      <c r="BK7" s="899"/>
      <c r="BL7" s="899"/>
      <c r="BM7" s="899"/>
      <c r="BN7" s="899"/>
      <c r="BO7" s="899"/>
      <c r="BP7" s="899"/>
      <c r="BQ7" s="899"/>
      <c r="BR7" s="899"/>
      <c r="BS7" s="899"/>
    </row>
    <row r="8" spans="1:71" ht="30.75" customHeight="1" x14ac:dyDescent="0.25">
      <c r="A8" s="896" t="s">
        <v>303</v>
      </c>
      <c r="B8" s="896" t="s">
        <v>1362</v>
      </c>
      <c r="C8" s="904" t="s">
        <v>124</v>
      </c>
      <c r="D8" s="905"/>
      <c r="E8" s="906"/>
      <c r="F8" s="907" t="s">
        <v>6</v>
      </c>
      <c r="G8" s="907" t="s">
        <v>1363</v>
      </c>
      <c r="H8" s="896" t="s">
        <v>1460</v>
      </c>
      <c r="I8" s="896" t="s">
        <v>1461</v>
      </c>
      <c r="J8" s="896" t="s">
        <v>1462</v>
      </c>
      <c r="K8" s="896" t="s">
        <v>1463</v>
      </c>
      <c r="L8" s="896" t="s">
        <v>1464</v>
      </c>
      <c r="M8" s="896" t="s">
        <v>1499</v>
      </c>
      <c r="N8" s="896" t="s">
        <v>1681</v>
      </c>
      <c r="O8" s="896" t="s">
        <v>1465</v>
      </c>
      <c r="P8" s="896" t="s">
        <v>1466</v>
      </c>
      <c r="Q8" s="896" t="s">
        <v>1467</v>
      </c>
      <c r="R8" s="896" t="s">
        <v>1468</v>
      </c>
      <c r="S8" s="896" t="s">
        <v>1469</v>
      </c>
      <c r="T8" s="896" t="s">
        <v>1470</v>
      </c>
      <c r="U8" s="896" t="s">
        <v>1471</v>
      </c>
      <c r="V8" s="896" t="s">
        <v>1472</v>
      </c>
      <c r="W8" s="896" t="s">
        <v>1473</v>
      </c>
      <c r="X8" s="896" t="s">
        <v>1474</v>
      </c>
      <c r="Y8" s="896" t="s">
        <v>1475</v>
      </c>
      <c r="Z8" s="896" t="s">
        <v>1476</v>
      </c>
      <c r="AA8" s="896" t="s">
        <v>1477</v>
      </c>
      <c r="AB8" s="896" t="s">
        <v>1478</v>
      </c>
      <c r="AC8" s="896" t="s">
        <v>1479</v>
      </c>
      <c r="AD8" s="896" t="s">
        <v>1480</v>
      </c>
      <c r="AE8" s="896" t="s">
        <v>1481</v>
      </c>
      <c r="AF8" s="896" t="s">
        <v>1482</v>
      </c>
      <c r="AG8" s="896" t="s">
        <v>1483</v>
      </c>
      <c r="AH8" s="896" t="s">
        <v>1484</v>
      </c>
      <c r="AI8" s="896" t="s">
        <v>1485</v>
      </c>
      <c r="AJ8" s="896" t="s">
        <v>1486</v>
      </c>
      <c r="AK8" s="896" t="s">
        <v>1487</v>
      </c>
      <c r="AL8" s="896" t="s">
        <v>1535</v>
      </c>
      <c r="AM8" s="896" t="s">
        <v>1544</v>
      </c>
      <c r="AN8" s="896" t="s">
        <v>1545</v>
      </c>
      <c r="AO8" s="896" t="s">
        <v>1546</v>
      </c>
      <c r="AP8" s="896" t="s">
        <v>1547</v>
      </c>
      <c r="AQ8" s="896" t="s">
        <v>1548</v>
      </c>
      <c r="AR8" s="896" t="s">
        <v>1549</v>
      </c>
      <c r="AS8" s="896" t="s">
        <v>1550</v>
      </c>
      <c r="AT8" s="896" t="s">
        <v>1574</v>
      </c>
      <c r="AU8" s="896" t="s">
        <v>1551</v>
      </c>
      <c r="AV8" s="896" t="s">
        <v>1552</v>
      </c>
      <c r="AW8" s="896" t="s">
        <v>1553</v>
      </c>
      <c r="AX8" s="896" t="s">
        <v>1554</v>
      </c>
      <c r="AY8" s="896" t="s">
        <v>1555</v>
      </c>
      <c r="AZ8" s="896" t="s">
        <v>1556</v>
      </c>
      <c r="BA8" s="896" t="s">
        <v>1557</v>
      </c>
      <c r="BB8" s="896" t="s">
        <v>1558</v>
      </c>
      <c r="BC8" s="896" t="s">
        <v>1559</v>
      </c>
      <c r="BD8" s="896" t="s">
        <v>1560</v>
      </c>
      <c r="BE8" s="896" t="s">
        <v>1561</v>
      </c>
      <c r="BF8" s="896" t="s">
        <v>1562</v>
      </c>
      <c r="BG8" s="896" t="s">
        <v>1563</v>
      </c>
      <c r="BH8" s="896" t="s">
        <v>1564</v>
      </c>
      <c r="BI8" s="896" t="s">
        <v>1565</v>
      </c>
      <c r="BJ8" s="896" t="s">
        <v>1566</v>
      </c>
      <c r="BK8" s="896" t="s">
        <v>1567</v>
      </c>
      <c r="BL8" s="896" t="s">
        <v>1568</v>
      </c>
      <c r="BM8" s="896" t="s">
        <v>1569</v>
      </c>
      <c r="BN8" s="896" t="s">
        <v>1570</v>
      </c>
      <c r="BO8" s="896" t="s">
        <v>1571</v>
      </c>
      <c r="BP8" s="896" t="s">
        <v>1572</v>
      </c>
      <c r="BQ8" s="896" t="s">
        <v>1573</v>
      </c>
      <c r="BR8" s="896" t="s">
        <v>1364</v>
      </c>
      <c r="BS8" s="896" t="s">
        <v>1171</v>
      </c>
    </row>
    <row r="9" spans="1:71" ht="25.5" x14ac:dyDescent="0.25">
      <c r="A9" s="897"/>
      <c r="B9" s="897"/>
      <c r="C9" s="484" t="s">
        <v>115</v>
      </c>
      <c r="D9" s="484" t="s">
        <v>134</v>
      </c>
      <c r="E9" s="484" t="s">
        <v>1365</v>
      </c>
      <c r="F9" s="908"/>
      <c r="G9" s="908"/>
      <c r="H9" s="897"/>
      <c r="I9" s="897"/>
      <c r="J9" s="897"/>
      <c r="K9" s="897"/>
      <c r="L9" s="897"/>
      <c r="M9" s="897"/>
      <c r="N9" s="897"/>
      <c r="O9" s="897"/>
      <c r="P9" s="897"/>
      <c r="Q9" s="897"/>
      <c r="R9" s="897"/>
      <c r="S9" s="897"/>
      <c r="T9" s="897"/>
      <c r="U9" s="897"/>
      <c r="V9" s="897"/>
      <c r="W9" s="897"/>
      <c r="X9" s="897"/>
      <c r="Y9" s="897"/>
      <c r="Z9" s="897"/>
      <c r="AA9" s="897"/>
      <c r="AB9" s="897"/>
      <c r="AC9" s="897"/>
      <c r="AD9" s="897"/>
      <c r="AE9" s="897"/>
      <c r="AF9" s="897"/>
      <c r="AG9" s="897"/>
      <c r="AH9" s="897"/>
      <c r="AI9" s="897"/>
      <c r="AJ9" s="897"/>
      <c r="AK9" s="897"/>
      <c r="AL9" s="897"/>
      <c r="AM9" s="897"/>
      <c r="AN9" s="897"/>
      <c r="AO9" s="897"/>
      <c r="AP9" s="897"/>
      <c r="AQ9" s="897"/>
      <c r="AR9" s="897"/>
      <c r="AS9" s="897"/>
      <c r="AT9" s="897"/>
      <c r="AU9" s="897"/>
      <c r="AV9" s="897"/>
      <c r="AW9" s="897"/>
      <c r="AX9" s="897"/>
      <c r="AY9" s="897"/>
      <c r="AZ9" s="897"/>
      <c r="BA9" s="897"/>
      <c r="BB9" s="897"/>
      <c r="BC9" s="897"/>
      <c r="BD9" s="897"/>
      <c r="BE9" s="897"/>
      <c r="BF9" s="897"/>
      <c r="BG9" s="897"/>
      <c r="BH9" s="897"/>
      <c r="BI9" s="897"/>
      <c r="BJ9" s="897"/>
      <c r="BK9" s="897"/>
      <c r="BL9" s="897"/>
      <c r="BM9" s="897"/>
      <c r="BN9" s="897"/>
      <c r="BO9" s="897"/>
      <c r="BP9" s="897"/>
      <c r="BQ9" s="897"/>
      <c r="BR9" s="897"/>
      <c r="BS9" s="897"/>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3" t="s">
        <v>19</v>
      </c>
      <c r="B119" s="903"/>
      <c r="C119" s="903"/>
      <c r="D119" s="903"/>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3" t="s">
        <v>1402</v>
      </c>
      <c r="B4" s="913" t="s">
        <v>1403</v>
      </c>
      <c r="C4" s="913" t="s">
        <v>138</v>
      </c>
      <c r="D4" s="913" t="s">
        <v>1404</v>
      </c>
      <c r="E4" s="913"/>
      <c r="F4" s="913"/>
      <c r="G4" s="913"/>
      <c r="H4" s="913"/>
      <c r="I4" s="913"/>
      <c r="J4" s="910" t="s">
        <v>1405</v>
      </c>
      <c r="K4" s="911"/>
      <c r="L4" s="911"/>
      <c r="M4" s="911"/>
      <c r="N4" s="911"/>
      <c r="O4" s="912"/>
    </row>
    <row r="5" spans="1:16" s="794" customFormat="1" ht="31.5" x14ac:dyDescent="0.25">
      <c r="A5" s="913"/>
      <c r="B5" s="913"/>
      <c r="C5" s="913"/>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09" t="s">
        <v>1411</v>
      </c>
      <c r="B16" s="909"/>
      <c r="C16" s="909"/>
      <c r="D16" s="909"/>
      <c r="E16" s="909"/>
      <c r="F16" s="803">
        <f>SUM(F6:F15)</f>
        <v>35</v>
      </c>
      <c r="G16" s="804">
        <f>SUM(G6:G15)</f>
        <v>172.60599999999999</v>
      </c>
      <c r="H16" s="804"/>
      <c r="I16" s="804"/>
      <c r="J16" s="803"/>
      <c r="K16" s="803"/>
      <c r="L16" s="803">
        <f>SUM(L6:L15)</f>
        <v>73</v>
      </c>
      <c r="M16" s="804">
        <f>SUM(M6:M15)</f>
        <v>227.35253599999999</v>
      </c>
      <c r="N16" s="804"/>
      <c r="O16" s="798"/>
    </row>
    <row r="17" spans="1:15" ht="15.75" x14ac:dyDescent="0.25">
      <c r="A17" s="909" t="s">
        <v>1412</v>
      </c>
      <c r="B17" s="909"/>
      <c r="C17" s="909"/>
      <c r="D17" s="909"/>
      <c r="E17" s="909"/>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5" activePane="bottomLeft" state="frozen"/>
      <selection activeCell="N8" sqref="N8"/>
      <selection pane="bottomLeft" activeCell="C455" sqref="C455:C465"/>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20851.822086999906</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1360.457913000093</v>
      </c>
      <c r="K3" s="734">
        <f>J3/46</f>
        <v>29.57517202174115</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5"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c r="B466" s="366"/>
      <c r="C466" s="367"/>
      <c r="D466" s="368"/>
      <c r="E466" s="368"/>
      <c r="F466" s="350"/>
      <c r="G466" s="350"/>
      <c r="H466" s="373"/>
      <c r="I466" s="381"/>
      <c r="J466" s="696"/>
      <c r="K466" s="373"/>
    </row>
    <row r="467" spans="1:13" s="646" customFormat="1" x14ac:dyDescent="0.2">
      <c r="A467" s="655"/>
      <c r="B467" s="656"/>
      <c r="C467" s="657"/>
      <c r="D467" s="658" t="s">
        <v>1195</v>
      </c>
      <c r="E467" s="658"/>
      <c r="F467" s="659" t="s">
        <v>6</v>
      </c>
      <c r="G467" s="659" t="s">
        <v>1171</v>
      </c>
      <c r="H467" s="660" t="s">
        <v>7</v>
      </c>
      <c r="I467" s="660"/>
      <c r="J467" s="660"/>
      <c r="K467" s="660" t="s">
        <v>1631</v>
      </c>
      <c r="L467" s="646" t="s">
        <v>1171</v>
      </c>
      <c r="M467" s="661" t="s">
        <v>1410</v>
      </c>
    </row>
    <row r="468" spans="1:13" s="743" customFormat="1" x14ac:dyDescent="0.2">
      <c r="A468" s="736"/>
      <c r="B468" s="737"/>
      <c r="C468" s="738"/>
      <c r="D468" s="744" t="s">
        <v>176</v>
      </c>
      <c r="E468" s="737"/>
      <c r="F468" s="739">
        <v>46051</v>
      </c>
      <c r="G468" s="737"/>
      <c r="H468" s="740" t="s">
        <v>1488</v>
      </c>
      <c r="I468" s="741"/>
      <c r="J468" s="741"/>
      <c r="K468" s="740" t="s">
        <v>1399</v>
      </c>
      <c r="L468" s="743" t="s">
        <v>1746</v>
      </c>
      <c r="M468" s="742">
        <v>29</v>
      </c>
    </row>
    <row r="469" spans="1:13" s="754" customFormat="1" x14ac:dyDescent="0.2">
      <c r="A469" s="747"/>
      <c r="B469" s="748"/>
      <c r="C469" s="749"/>
      <c r="D469" s="750" t="s">
        <v>61</v>
      </c>
      <c r="E469" s="748"/>
      <c r="F469" s="751">
        <v>46052</v>
      </c>
      <c r="G469" s="748"/>
      <c r="H469" s="752" t="s">
        <v>893</v>
      </c>
      <c r="I469" s="753"/>
      <c r="J469" s="753"/>
      <c r="K469" s="752" t="s">
        <v>1399</v>
      </c>
      <c r="L469" s="754" t="s">
        <v>124</v>
      </c>
      <c r="M469" s="755">
        <v>42</v>
      </c>
    </row>
    <row r="470" spans="1:13" x14ac:dyDescent="0.2">
      <c r="A470" s="384"/>
      <c r="B470" s="383"/>
      <c r="C470" s="380"/>
      <c r="D470" s="383"/>
      <c r="E470" s="383"/>
      <c r="F470" s="383"/>
      <c r="G470" s="383"/>
      <c r="H470" s="382"/>
      <c r="I470" s="385"/>
      <c r="J470" s="385"/>
      <c r="K470" s="382"/>
    </row>
    <row r="471" spans="1:13" x14ac:dyDescent="0.2">
      <c r="A471" s="384"/>
      <c r="B471" s="383"/>
      <c r="C471" s="380"/>
      <c r="D471" s="383"/>
      <c r="E471" s="383"/>
      <c r="F471" s="383"/>
      <c r="G471" s="383"/>
      <c r="H471" s="382"/>
      <c r="I471" s="385"/>
      <c r="J471" s="385"/>
      <c r="K471" s="382"/>
    </row>
    <row r="472" spans="1:13" x14ac:dyDescent="0.2">
      <c r="A472" s="384"/>
      <c r="B472" s="383"/>
      <c r="C472" s="380"/>
      <c r="D472" s="383"/>
      <c r="E472" s="383"/>
      <c r="F472" s="383"/>
      <c r="G472" s="383"/>
      <c r="H472" s="382"/>
      <c r="I472" s="385"/>
      <c r="J472" s="385"/>
      <c r="K472" s="382"/>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ht="13.5" thickBot="1" x14ac:dyDescent="0.25">
      <c r="A637" s="386"/>
      <c r="B637" s="387"/>
      <c r="C637" s="388"/>
      <c r="D637" s="389"/>
      <c r="E637" s="389"/>
      <c r="F637" s="389"/>
      <c r="G637" s="389"/>
      <c r="H637" s="390"/>
      <c r="I637" s="391"/>
      <c r="J637" s="391"/>
      <c r="K637" s="390"/>
    </row>
    <row r="638" spans="1:11" ht="13.5" thickTop="1" x14ac:dyDescent="0.2"/>
  </sheetData>
  <autoFilter ref="A4:U467" xr:uid="{B2F43F34-D5BF-47F4-AA9C-4A420D7D6691}"/>
  <conditionalFormatting sqref="C1:C1048576">
    <cfRule type="duplicateValues" dxfId="167" priority="3"/>
    <cfRule type="duplicateValues" dxfId="166" priority="4"/>
  </conditionalFormatting>
  <conditionalFormatting sqref="H468:H469">
    <cfRule type="duplicateValues" dxfId="165"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300" sqref="A300:A30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Compiled'!$C$7:$D$650,2,FALSE)</f>
        <v>DA+3</v>
      </c>
      <c r="D6" s="350">
        <v>45342</v>
      </c>
      <c r="E6" s="350">
        <v>45342</v>
      </c>
      <c r="F6" s="344" t="s">
        <v>1026</v>
      </c>
      <c r="G6" s="344" t="s">
        <v>1028</v>
      </c>
      <c r="H6" s="344" t="s">
        <v>1028</v>
      </c>
    </row>
    <row r="7" spans="1:14" x14ac:dyDescent="0.25">
      <c r="A7" s="344">
        <f>+SUBTOTAL(3,$E$6:$E7)</f>
        <v>2</v>
      </c>
      <c r="B7" s="346" t="s">
        <v>766</v>
      </c>
      <c r="C7" s="344" t="str">
        <f>+VLOOKUP(B7,'Erection Compiled'!$C$7:$D$650,2,FALSE)</f>
        <v>DA+6</v>
      </c>
      <c r="D7" s="350">
        <v>45344</v>
      </c>
      <c r="E7" s="350">
        <v>45344</v>
      </c>
      <c r="F7" s="344" t="s">
        <v>1026</v>
      </c>
      <c r="G7" s="344" t="s">
        <v>1028</v>
      </c>
      <c r="H7" s="344" t="s">
        <v>1028</v>
      </c>
    </row>
    <row r="8" spans="1:14" x14ac:dyDescent="0.25">
      <c r="A8" s="344">
        <f>+SUBTOTAL(3,$E$6:$E8)</f>
        <v>3</v>
      </c>
      <c r="B8" s="346" t="s">
        <v>794</v>
      </c>
      <c r="C8" s="344" t="str">
        <f>+VLOOKUP(B8,'Erection Compiled'!$C$7:$D$650,2,FALSE)</f>
        <v>DA+0</v>
      </c>
      <c r="D8" s="350">
        <v>45349</v>
      </c>
      <c r="E8" s="350">
        <v>45349</v>
      </c>
      <c r="F8" s="344" t="s">
        <v>1026</v>
      </c>
      <c r="G8" s="344" t="s">
        <v>1028</v>
      </c>
      <c r="H8" s="344" t="s">
        <v>1028</v>
      </c>
      <c r="N8" s="768"/>
    </row>
    <row r="9" spans="1:14" x14ac:dyDescent="0.25">
      <c r="A9" s="344">
        <f>+SUBTOTAL(3,$E$6:$E9)</f>
        <v>4</v>
      </c>
      <c r="B9" s="346" t="s">
        <v>806</v>
      </c>
      <c r="C9" s="344" t="str">
        <f>+VLOOKUP(B9,'Erection Compiled'!$C$7:$D$650,2,FALSE)</f>
        <v>DA+3</v>
      </c>
      <c r="D9" s="350">
        <v>45350</v>
      </c>
      <c r="E9" s="350">
        <v>45350</v>
      </c>
      <c r="F9" s="344" t="s">
        <v>1026</v>
      </c>
      <c r="G9" s="344" t="s">
        <v>1028</v>
      </c>
      <c r="H9" s="344" t="s">
        <v>1028</v>
      </c>
    </row>
    <row r="10" spans="1:14" x14ac:dyDescent="0.25">
      <c r="A10" s="344">
        <f>+SUBTOTAL(3,$E$6:$E10)</f>
        <v>5</v>
      </c>
      <c r="B10" s="346" t="s">
        <v>808</v>
      </c>
      <c r="C10" s="344" t="str">
        <f>+VLOOKUP(B10,'Erection Compiled'!$C$7:$D$650,2,FALSE)</f>
        <v>DA+3</v>
      </c>
      <c r="D10" s="350">
        <v>45352</v>
      </c>
      <c r="E10" s="350">
        <v>45353</v>
      </c>
      <c r="F10" s="344" t="s">
        <v>1026</v>
      </c>
      <c r="G10" s="344" t="s">
        <v>1028</v>
      </c>
      <c r="H10" s="344" t="s">
        <v>1028</v>
      </c>
    </row>
    <row r="11" spans="1:14" x14ac:dyDescent="0.25">
      <c r="A11" s="344">
        <f>+SUBTOTAL(3,$E$6:$E11)</f>
        <v>6</v>
      </c>
      <c r="B11" s="346" t="s">
        <v>792</v>
      </c>
      <c r="C11" s="344" t="str">
        <f>+VLOOKUP(B11,'Erection Compiled'!$C$7:$D$650,2,FALSE)</f>
        <v>DA+0</v>
      </c>
      <c r="D11" s="350">
        <v>45325</v>
      </c>
      <c r="E11" s="350">
        <v>45325</v>
      </c>
      <c r="F11" s="344" t="s">
        <v>1026</v>
      </c>
      <c r="G11" s="344" t="s">
        <v>1028</v>
      </c>
      <c r="H11" s="344" t="s">
        <v>1028</v>
      </c>
    </row>
    <row r="12" spans="1:14" x14ac:dyDescent="0.25">
      <c r="A12" s="344">
        <f>+SUBTOTAL(3,$E$6:$E12)</f>
        <v>7</v>
      </c>
      <c r="B12" s="346" t="s">
        <v>793</v>
      </c>
      <c r="C12" s="344" t="str">
        <f>+VLOOKUP(B12,'Erection Compiled'!$C$7:$D$650,2,FALSE)</f>
        <v>DA+3</v>
      </c>
      <c r="D12" s="350">
        <v>45355</v>
      </c>
      <c r="E12" s="350">
        <v>45355</v>
      </c>
      <c r="F12" s="344" t="s">
        <v>1026</v>
      </c>
      <c r="G12" s="344" t="s">
        <v>1028</v>
      </c>
      <c r="H12" s="344" t="s">
        <v>1028</v>
      </c>
    </row>
    <row r="13" spans="1:14" x14ac:dyDescent="0.25">
      <c r="A13" s="344">
        <f>+SUBTOTAL(3,$E$6:$E13)</f>
        <v>8</v>
      </c>
      <c r="B13" s="346" t="s">
        <v>764</v>
      </c>
      <c r="C13" s="344" t="str">
        <f>+VLOOKUP(B13,'Erection Compiled'!$C$7:$D$650,2,FALSE)</f>
        <v>DA+6</v>
      </c>
      <c r="D13" s="350">
        <v>45356</v>
      </c>
      <c r="E13" s="350">
        <v>45356</v>
      </c>
      <c r="F13" s="344" t="s">
        <v>1026</v>
      </c>
      <c r="G13" s="344" t="s">
        <v>1028</v>
      </c>
      <c r="H13" s="344" t="s">
        <v>1028</v>
      </c>
    </row>
    <row r="14" spans="1:14" x14ac:dyDescent="0.25">
      <c r="A14" s="344">
        <f>+SUBTOTAL(3,$E$6:$E14)</f>
        <v>9</v>
      </c>
      <c r="B14" s="346" t="s">
        <v>762</v>
      </c>
      <c r="C14" s="344" t="str">
        <f>+VLOOKUP(B14,'Erection Compiled'!$C$7:$D$650,2,FALSE)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Compiled'!$C$7:$D$650,2,FALSE)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Compiled'!$C$7:$D$650,2,FALSE)</f>
        <v>DA+3</v>
      </c>
      <c r="D16" s="350">
        <v>45360</v>
      </c>
      <c r="E16" s="350">
        <v>45360</v>
      </c>
      <c r="F16" s="344" t="s">
        <v>1026</v>
      </c>
      <c r="G16" s="344" t="s">
        <v>1028</v>
      </c>
      <c r="H16" s="344" t="s">
        <v>1028</v>
      </c>
    </row>
    <row r="17" spans="1:8" x14ac:dyDescent="0.25">
      <c r="A17" s="344">
        <f>+SUBTOTAL(3,$E$6:$E17)</f>
        <v>12</v>
      </c>
      <c r="B17" s="344" t="s">
        <v>791</v>
      </c>
      <c r="C17" s="344" t="str">
        <f>+VLOOKUP(B17,'Erection Compiled'!$C$7:$D$650,2,FALSE)</f>
        <v>DA+3</v>
      </c>
      <c r="D17" s="350">
        <v>45361</v>
      </c>
      <c r="E17" s="350">
        <v>45361</v>
      </c>
      <c r="F17" s="344" t="s">
        <v>1026</v>
      </c>
      <c r="G17" s="344" t="s">
        <v>1028</v>
      </c>
      <c r="H17" s="344" t="s">
        <v>1028</v>
      </c>
    </row>
    <row r="18" spans="1:8" x14ac:dyDescent="0.25">
      <c r="A18" s="344">
        <f>+SUBTOTAL(3,$E$6:$E18)</f>
        <v>13</v>
      </c>
      <c r="B18" s="344" t="s">
        <v>796</v>
      </c>
      <c r="C18" s="344" t="str">
        <f>+VLOOKUP(B18,'Erection Compiled'!$C$7:$D$650,2,FALSE)</f>
        <v>DA+3</v>
      </c>
      <c r="D18" s="350">
        <v>45362</v>
      </c>
      <c r="E18" s="350">
        <v>45362</v>
      </c>
      <c r="F18" s="344" t="s">
        <v>1026</v>
      </c>
      <c r="G18" s="344" t="s">
        <v>1028</v>
      </c>
      <c r="H18" s="344" t="s">
        <v>1028</v>
      </c>
    </row>
    <row r="19" spans="1:8" x14ac:dyDescent="0.25">
      <c r="A19" s="344">
        <f>+SUBTOTAL(3,$E$6:$E19)</f>
        <v>14</v>
      </c>
      <c r="B19" s="344" t="s">
        <v>810</v>
      </c>
      <c r="C19" s="344" t="str">
        <f>+VLOOKUP(B19,'Erection Compiled'!$C$7:$D$650,2,FALSE)</f>
        <v>DA+0</v>
      </c>
      <c r="D19" s="350">
        <v>45363</v>
      </c>
      <c r="E19" s="350">
        <v>45363</v>
      </c>
      <c r="F19" s="344" t="s">
        <v>1026</v>
      </c>
      <c r="G19" s="344" t="s">
        <v>1028</v>
      </c>
      <c r="H19" s="344" t="s">
        <v>1028</v>
      </c>
    </row>
    <row r="20" spans="1:8" x14ac:dyDescent="0.25">
      <c r="A20" s="344">
        <f>+SUBTOTAL(3,$E$6:$E20)</f>
        <v>15</v>
      </c>
      <c r="B20" s="344" t="s">
        <v>759</v>
      </c>
      <c r="C20" s="344" t="str">
        <f>+VLOOKUP(B20,'Erection Compiled'!$C$7:$D$650,2,FALSE)</f>
        <v>DA+3</v>
      </c>
      <c r="D20" s="350">
        <v>45363</v>
      </c>
      <c r="E20" s="350">
        <v>45363</v>
      </c>
      <c r="F20" s="344" t="s">
        <v>1027</v>
      </c>
      <c r="G20" s="344" t="s">
        <v>1028</v>
      </c>
      <c r="H20" s="344" t="s">
        <v>1028</v>
      </c>
    </row>
    <row r="21" spans="1:8" x14ac:dyDescent="0.25">
      <c r="A21" s="344">
        <f>+SUBTOTAL(3,$E$6:$E21)</f>
        <v>16</v>
      </c>
      <c r="B21" s="344" t="s">
        <v>813</v>
      </c>
      <c r="C21" s="344" t="str">
        <f>+VLOOKUP(B21,'Erection Compiled'!$C$7:$D$650,2,FALSE)</f>
        <v>DA+3</v>
      </c>
      <c r="D21" s="350">
        <v>45364</v>
      </c>
      <c r="E21" s="350">
        <v>45364</v>
      </c>
      <c r="F21" s="344" t="s">
        <v>1026</v>
      </c>
      <c r="G21" s="344" t="s">
        <v>1028</v>
      </c>
      <c r="H21" s="344" t="s">
        <v>1028</v>
      </c>
    </row>
    <row r="22" spans="1:8" x14ac:dyDescent="0.25">
      <c r="A22" s="344">
        <f>+SUBTOTAL(3,$E$6:$E22)</f>
        <v>17</v>
      </c>
      <c r="B22" s="344" t="s">
        <v>779</v>
      </c>
      <c r="C22" s="344" t="str">
        <f>+VLOOKUP(B22,'Erection Compiled'!$C$7:$D$650,2,FALSE)</f>
        <v>DA+3</v>
      </c>
      <c r="D22" s="350">
        <v>45366</v>
      </c>
      <c r="E22" s="350">
        <v>45366</v>
      </c>
      <c r="F22" s="344" t="s">
        <v>1027</v>
      </c>
      <c r="G22" s="344" t="s">
        <v>1028</v>
      </c>
      <c r="H22" s="344" t="s">
        <v>1028</v>
      </c>
    </row>
    <row r="23" spans="1:8" x14ac:dyDescent="0.25">
      <c r="A23" s="344">
        <f>+SUBTOTAL(3,$E$6:$E23)</f>
        <v>18</v>
      </c>
      <c r="B23" s="344" t="s">
        <v>797</v>
      </c>
      <c r="C23" s="344" t="str">
        <f>+VLOOKUP(B23,'Erection Compiled'!$C$7:$D$650,2,FALSE)</f>
        <v>DA+0</v>
      </c>
      <c r="D23" s="350">
        <v>45366</v>
      </c>
      <c r="E23" s="350">
        <v>45366</v>
      </c>
      <c r="F23" s="344" t="s">
        <v>1026</v>
      </c>
      <c r="G23" s="344" t="s">
        <v>1028</v>
      </c>
      <c r="H23" s="344" t="s">
        <v>1028</v>
      </c>
    </row>
    <row r="24" spans="1:8" x14ac:dyDescent="0.25">
      <c r="A24" s="344">
        <f>+SUBTOTAL(3,$E$6:$E24)</f>
        <v>19</v>
      </c>
      <c r="B24" s="344" t="s">
        <v>823</v>
      </c>
      <c r="C24" s="344" t="str">
        <f>+VLOOKUP(B24,'Erection Compiled'!$C$7:$D$650,2,FALSE)</f>
        <v>DA+0</v>
      </c>
      <c r="D24" s="350">
        <v>45367</v>
      </c>
      <c r="E24" s="350">
        <v>45367</v>
      </c>
      <c r="F24" s="344" t="s">
        <v>1026</v>
      </c>
      <c r="G24" s="344" t="s">
        <v>1028</v>
      </c>
      <c r="H24" s="344" t="s">
        <v>1028</v>
      </c>
    </row>
    <row r="25" spans="1:8" x14ac:dyDescent="0.25">
      <c r="A25" s="344">
        <f>+SUBTOTAL(3,$E$6:$E25)</f>
        <v>20</v>
      </c>
      <c r="B25" s="344" t="s">
        <v>774</v>
      </c>
      <c r="C25" s="344" t="str">
        <f>+VLOOKUP(B25,'Erection Compiled'!$C$7:$D$650,2,FALSE)</f>
        <v>DA+0</v>
      </c>
      <c r="D25" s="350">
        <v>45367</v>
      </c>
      <c r="E25" s="350">
        <v>45367</v>
      </c>
      <c r="F25" s="344" t="s">
        <v>1027</v>
      </c>
      <c r="G25" s="344" t="s">
        <v>1028</v>
      </c>
      <c r="H25" s="344" t="s">
        <v>1028</v>
      </c>
    </row>
    <row r="26" spans="1:8" x14ac:dyDescent="0.25">
      <c r="A26" s="344">
        <f>+SUBTOTAL(3,$E$6:$E26)</f>
        <v>21</v>
      </c>
      <c r="B26" s="344" t="s">
        <v>825</v>
      </c>
      <c r="C26" s="344" t="str">
        <f>+VLOOKUP(B26,'Erection Compiled'!$C$7:$D$650,2,FALSE)</f>
        <v>DA+0</v>
      </c>
      <c r="D26" s="350">
        <v>45368</v>
      </c>
      <c r="E26" s="350">
        <v>45368</v>
      </c>
      <c r="F26" s="344" t="s">
        <v>1026</v>
      </c>
      <c r="G26" s="344" t="s">
        <v>1028</v>
      </c>
      <c r="H26" s="344" t="s">
        <v>1028</v>
      </c>
    </row>
    <row r="27" spans="1:8" x14ac:dyDescent="0.25">
      <c r="A27" s="344">
        <f>+SUBTOTAL(3,$E$6:$E27)</f>
        <v>22</v>
      </c>
      <c r="B27" s="344" t="s">
        <v>814</v>
      </c>
      <c r="C27" s="344" t="str">
        <f>+VLOOKUP(B27,'Erection Compiled'!$C$7:$D$650,2,FALSE)</f>
        <v>DA+3</v>
      </c>
      <c r="D27" s="350">
        <v>45369</v>
      </c>
      <c r="E27" s="350">
        <v>45369</v>
      </c>
      <c r="F27" s="344" t="s">
        <v>1026</v>
      </c>
      <c r="G27" s="344" t="s">
        <v>1028</v>
      </c>
      <c r="H27" s="344" t="s">
        <v>1028</v>
      </c>
    </row>
    <row r="28" spans="1:8" x14ac:dyDescent="0.25">
      <c r="A28" s="344">
        <f>+SUBTOTAL(3,$E$6:$E28)</f>
        <v>23</v>
      </c>
      <c r="B28" s="344" t="s">
        <v>798</v>
      </c>
      <c r="C28" s="344" t="str">
        <f>+VLOOKUP(B28,'Erection Compiled'!$C$7:$D$650,2,FALSE)</f>
        <v>DA+3</v>
      </c>
      <c r="D28" s="350">
        <v>45370</v>
      </c>
      <c r="E28" s="350">
        <v>45370</v>
      </c>
      <c r="F28" s="344" t="s">
        <v>1026</v>
      </c>
      <c r="G28" s="344" t="s">
        <v>1028</v>
      </c>
      <c r="H28" s="344" t="s">
        <v>1028</v>
      </c>
    </row>
    <row r="29" spans="1:8" x14ac:dyDescent="0.25">
      <c r="A29" s="344">
        <f>+SUBTOTAL(3,$E$6:$E29)</f>
        <v>24</v>
      </c>
      <c r="B29" s="344" t="s">
        <v>776</v>
      </c>
      <c r="C29" s="344" t="str">
        <f>+VLOOKUP(B29,'Erection Compiled'!$C$7:$D$650,2,FALSE)</f>
        <v>DA+0</v>
      </c>
      <c r="D29" s="350">
        <v>45370</v>
      </c>
      <c r="E29" s="350">
        <v>45370</v>
      </c>
      <c r="F29" s="344" t="s">
        <v>1027</v>
      </c>
      <c r="G29" s="344" t="s">
        <v>1028</v>
      </c>
      <c r="H29" s="344" t="s">
        <v>1028</v>
      </c>
    </row>
    <row r="30" spans="1:8" x14ac:dyDescent="0.25">
      <c r="A30" s="344">
        <f>+SUBTOTAL(3,$E$6:$E30)</f>
        <v>25</v>
      </c>
      <c r="B30" s="344" t="s">
        <v>799</v>
      </c>
      <c r="C30" s="344" t="str">
        <f>+VLOOKUP(B30,'Erection Compiled'!$C$7:$D$650,2,FALSE)</f>
        <v>DA+0</v>
      </c>
      <c r="D30" s="350">
        <v>45372</v>
      </c>
      <c r="E30" s="350">
        <v>45372</v>
      </c>
      <c r="F30" s="344" t="s">
        <v>1026</v>
      </c>
      <c r="G30" s="344" t="s">
        <v>1028</v>
      </c>
      <c r="H30" s="344" t="s">
        <v>1028</v>
      </c>
    </row>
    <row r="31" spans="1:8" x14ac:dyDescent="0.25">
      <c r="A31" s="344">
        <f>+SUBTOTAL(3,$E$6:$E31)</f>
        <v>26</v>
      </c>
      <c r="B31" s="344" t="s">
        <v>824</v>
      </c>
      <c r="C31" s="344" t="str">
        <f>+VLOOKUP(B31,'Erection Compiled'!$C$7:$D$650,2,FALSE)</f>
        <v>DA+3</v>
      </c>
      <c r="D31" s="350">
        <v>45373</v>
      </c>
      <c r="E31" s="350">
        <v>45373</v>
      </c>
      <c r="F31" s="344" t="s">
        <v>1026</v>
      </c>
      <c r="G31" s="344" t="s">
        <v>1028</v>
      </c>
      <c r="H31" s="344" t="s">
        <v>1028</v>
      </c>
    </row>
    <row r="32" spans="1:8" x14ac:dyDescent="0.25">
      <c r="A32" s="344">
        <f>+SUBTOTAL(3,$E$6:$E32)</f>
        <v>27</v>
      </c>
      <c r="B32" s="344" t="s">
        <v>758</v>
      </c>
      <c r="C32" s="344" t="str">
        <f>+VLOOKUP(B32,'Erection Compiled'!$C$7:$D$650,2,FALSE)</f>
        <v>DA+3</v>
      </c>
      <c r="D32" s="350">
        <v>45373</v>
      </c>
      <c r="E32" s="350">
        <v>45373</v>
      </c>
      <c r="F32" s="344" t="s">
        <v>1027</v>
      </c>
      <c r="G32" s="344" t="s">
        <v>1028</v>
      </c>
      <c r="H32" s="344" t="s">
        <v>1028</v>
      </c>
    </row>
    <row r="33" spans="1:8" x14ac:dyDescent="0.25">
      <c r="A33" s="344">
        <f>+SUBTOTAL(3,$E$6:$E33)</f>
        <v>28</v>
      </c>
      <c r="B33" s="344" t="s">
        <v>778</v>
      </c>
      <c r="C33" s="344" t="str">
        <f>+VLOOKUP(B33,'Erection Compiled'!$C$7:$D$650,2,FALSE)</f>
        <v>DA+0</v>
      </c>
      <c r="D33" s="350">
        <v>45375</v>
      </c>
      <c r="E33" s="350">
        <v>45375</v>
      </c>
      <c r="F33" s="344" t="s">
        <v>1026</v>
      </c>
      <c r="G33" s="344" t="s">
        <v>1028</v>
      </c>
      <c r="H33" s="344" t="s">
        <v>1028</v>
      </c>
    </row>
    <row r="34" spans="1:8" x14ac:dyDescent="0.25">
      <c r="A34" s="344">
        <f>+SUBTOTAL(3,$E$6:$E34)</f>
        <v>29</v>
      </c>
      <c r="B34" s="344" t="s">
        <v>785</v>
      </c>
      <c r="C34" s="344" t="str">
        <f>+VLOOKUP(B34,'Erection Compiled'!$C$7:$D$650,2,FALSE)</f>
        <v>DA+3</v>
      </c>
      <c r="D34" s="350">
        <v>45379</v>
      </c>
      <c r="E34" s="350">
        <v>45379</v>
      </c>
      <c r="F34" s="344" t="s">
        <v>1026</v>
      </c>
      <c r="G34" s="344" t="s">
        <v>1028</v>
      </c>
      <c r="H34" s="344" t="s">
        <v>1028</v>
      </c>
    </row>
    <row r="35" spans="1:8" x14ac:dyDescent="0.25">
      <c r="A35" s="344">
        <f>+SUBTOTAL(3,$E$6:$E35)</f>
        <v>30</v>
      </c>
      <c r="B35" s="344" t="s">
        <v>826</v>
      </c>
      <c r="C35" s="344" t="str">
        <f>+VLOOKUP(B35,'Erection Compiled'!$C$7:$D$650,2,FALSE)</f>
        <v>DA+0</v>
      </c>
      <c r="D35" s="350">
        <v>45380</v>
      </c>
      <c r="E35" s="350">
        <v>45380</v>
      </c>
      <c r="F35" s="344" t="s">
        <v>1026</v>
      </c>
      <c r="G35" s="344" t="s">
        <v>1028</v>
      </c>
      <c r="H35" s="344" t="s">
        <v>1028</v>
      </c>
    </row>
    <row r="36" spans="1:8" x14ac:dyDescent="0.25">
      <c r="A36" s="344">
        <f>+SUBTOTAL(3,$E$6:$E36)</f>
        <v>31</v>
      </c>
      <c r="B36" s="344" t="s">
        <v>815</v>
      </c>
      <c r="C36" s="344" t="str">
        <f>+VLOOKUP(B36,'Erection Compiled'!$C$7:$D$650,2,FALSE)</f>
        <v>DA+0</v>
      </c>
      <c r="D36" s="350">
        <v>45383</v>
      </c>
      <c r="E36" s="350">
        <v>45383</v>
      </c>
      <c r="F36" s="344" t="s">
        <v>1026</v>
      </c>
      <c r="G36" s="344" t="s">
        <v>1028</v>
      </c>
      <c r="H36" s="344" t="s">
        <v>1028</v>
      </c>
    </row>
    <row r="37" spans="1:8" x14ac:dyDescent="0.25">
      <c r="A37" s="344">
        <f>+SUBTOTAL(3,$E$6:$E37)</f>
        <v>32</v>
      </c>
      <c r="B37" s="344" t="s">
        <v>786</v>
      </c>
      <c r="C37" s="344" t="str">
        <f>+VLOOKUP(B37,'Erection Compiled'!$C$7:$D$650,2,FALSE)</f>
        <v>DA+9</v>
      </c>
      <c r="D37" s="350">
        <v>45385</v>
      </c>
      <c r="E37" s="350">
        <v>45385</v>
      </c>
      <c r="F37" s="344" t="s">
        <v>1026</v>
      </c>
      <c r="G37" s="344" t="s">
        <v>1028</v>
      </c>
      <c r="H37" s="344" t="s">
        <v>1028</v>
      </c>
    </row>
    <row r="38" spans="1:8" x14ac:dyDescent="0.25">
      <c r="A38" s="344">
        <f>+SUBTOTAL(3,$E$6:$E38)</f>
        <v>33</v>
      </c>
      <c r="B38" s="344" t="s">
        <v>827</v>
      </c>
      <c r="C38" s="344" t="str">
        <f>+VLOOKUP(B38,'Erection Compiled'!$C$7:$D$650,2,FALSE)</f>
        <v>DA+0</v>
      </c>
      <c r="D38" s="350">
        <v>45386</v>
      </c>
      <c r="E38" s="350">
        <v>45386</v>
      </c>
      <c r="F38" s="344" t="s">
        <v>1026</v>
      </c>
      <c r="G38" s="344" t="s">
        <v>1028</v>
      </c>
      <c r="H38" s="344" t="s">
        <v>1028</v>
      </c>
    </row>
    <row r="39" spans="1:8" x14ac:dyDescent="0.25">
      <c r="A39" s="344">
        <f>+SUBTOTAL(3,$E$6:$E39)</f>
        <v>34</v>
      </c>
      <c r="B39" s="344" t="s">
        <v>816</v>
      </c>
      <c r="C39" s="344" t="str">
        <f>+VLOOKUP(B39,'Erection Compiled'!$C$7:$D$650,2,FALSE)</f>
        <v>DA+3</v>
      </c>
      <c r="D39" s="350">
        <v>45388</v>
      </c>
      <c r="E39" s="350">
        <v>45388</v>
      </c>
      <c r="F39" s="344" t="s">
        <v>1026</v>
      </c>
      <c r="G39" s="344" t="s">
        <v>1028</v>
      </c>
      <c r="H39" s="344" t="s">
        <v>1028</v>
      </c>
    </row>
    <row r="40" spans="1:8" x14ac:dyDescent="0.25">
      <c r="A40" s="344">
        <f>+SUBTOTAL(3,$E$6:$E40)</f>
        <v>35</v>
      </c>
      <c r="B40" s="344" t="s">
        <v>807</v>
      </c>
      <c r="C40" s="344" t="str">
        <f>+VLOOKUP(B40,'Erection Compiled'!$C$7:$D$650,2,FALSE)</f>
        <v>DA+3</v>
      </c>
      <c r="D40" s="350">
        <v>45403</v>
      </c>
      <c r="E40" s="350">
        <v>45404</v>
      </c>
      <c r="F40" s="344" t="s">
        <v>1026</v>
      </c>
      <c r="G40" s="344" t="s">
        <v>1028</v>
      </c>
      <c r="H40" s="344" t="s">
        <v>1028</v>
      </c>
    </row>
    <row r="41" spans="1:8" x14ac:dyDescent="0.25">
      <c r="A41" s="344">
        <f>+SUBTOTAL(3,$E$6:$E41)</f>
        <v>36</v>
      </c>
      <c r="B41" s="344" t="s">
        <v>818</v>
      </c>
      <c r="C41" s="344" t="str">
        <f>+VLOOKUP(B41,'Erection Compiled'!$C$7:$D$650,2,FALSE)</f>
        <v>DA+3</v>
      </c>
      <c r="D41" s="350">
        <v>45406</v>
      </c>
      <c r="E41" s="350">
        <v>45406</v>
      </c>
      <c r="F41" s="344" t="s">
        <v>1026</v>
      </c>
      <c r="G41" s="344" t="s">
        <v>1028</v>
      </c>
      <c r="H41" s="344" t="s">
        <v>1028</v>
      </c>
    </row>
    <row r="42" spans="1:8" x14ac:dyDescent="0.25">
      <c r="A42" s="344">
        <f>+SUBTOTAL(3,$E$6:$E42)</f>
        <v>37</v>
      </c>
      <c r="B42" s="344" t="s">
        <v>98</v>
      </c>
      <c r="C42" s="344" t="str">
        <f>+VLOOKUP(B42,'Erection Compiled'!$C$7:$D$650,2,FALSE)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Compiled'!$C$7:$D$650,2,FALSE)</f>
        <v>DA+0</v>
      </c>
      <c r="D43" s="350">
        <v>45409</v>
      </c>
      <c r="E43" s="350">
        <v>45409</v>
      </c>
      <c r="F43" s="344" t="s">
        <v>1026</v>
      </c>
      <c r="G43" s="344" t="s">
        <v>1028</v>
      </c>
      <c r="H43" s="344" t="s">
        <v>1028</v>
      </c>
    </row>
    <row r="44" spans="1:8" x14ac:dyDescent="0.25">
      <c r="A44" s="344">
        <f>+SUBTOTAL(3,$E$6:$E44)</f>
        <v>39</v>
      </c>
      <c r="B44" s="344" t="s">
        <v>830</v>
      </c>
      <c r="C44" s="344" t="str">
        <f>+VLOOKUP(B44,'Erection Compiled'!$C$7:$D$650,2,FALSE)</f>
        <v>DA+0</v>
      </c>
      <c r="D44" s="350">
        <v>45410</v>
      </c>
      <c r="E44" s="350">
        <v>45410</v>
      </c>
      <c r="F44" s="344" t="s">
        <v>1026</v>
      </c>
      <c r="G44" s="344" t="s">
        <v>1028</v>
      </c>
      <c r="H44" s="344" t="s">
        <v>1028</v>
      </c>
    </row>
    <row r="45" spans="1:8" x14ac:dyDescent="0.25">
      <c r="A45" s="344">
        <f>+SUBTOTAL(3,$E$6:$E45)</f>
        <v>40</v>
      </c>
      <c r="B45" s="344" t="s">
        <v>832</v>
      </c>
      <c r="C45" s="344" t="str">
        <f>+VLOOKUP(B45,'Erection Compiled'!$C$7:$D$650,2,FALSE)</f>
        <v>DA+0</v>
      </c>
      <c r="D45" s="350">
        <v>45411</v>
      </c>
      <c r="E45" s="350">
        <v>45411</v>
      </c>
      <c r="F45" s="344" t="s">
        <v>1026</v>
      </c>
      <c r="G45" s="344" t="s">
        <v>1028</v>
      </c>
      <c r="H45" s="344" t="s">
        <v>1028</v>
      </c>
    </row>
    <row r="46" spans="1:8" x14ac:dyDescent="0.25">
      <c r="A46" s="344">
        <f>+SUBTOTAL(3,$E$6:$E46)</f>
        <v>41</v>
      </c>
      <c r="B46" s="344" t="s">
        <v>781</v>
      </c>
      <c r="C46" s="344" t="str">
        <f>+VLOOKUP(B46,'Erection Compiled'!$C$7:$D$650,2,FALSE)</f>
        <v>DA+6</v>
      </c>
      <c r="D46" s="350">
        <v>45411</v>
      </c>
      <c r="E46" s="350">
        <v>45412</v>
      </c>
      <c r="F46" s="344" t="s">
        <v>1027</v>
      </c>
      <c r="G46" s="344" t="s">
        <v>1028</v>
      </c>
      <c r="H46" s="344" t="s">
        <v>1028</v>
      </c>
    </row>
    <row r="47" spans="1:8" x14ac:dyDescent="0.25">
      <c r="A47" s="344">
        <f>+SUBTOTAL(3,$E$6:$E47)</f>
        <v>42</v>
      </c>
      <c r="B47" s="344" t="s">
        <v>819</v>
      </c>
      <c r="C47" s="344" t="str">
        <f>+VLOOKUP(B47,'Erection Compiled'!$C$7:$D$650,2,FALSE)</f>
        <v>DA+3</v>
      </c>
      <c r="D47" s="350">
        <v>45417</v>
      </c>
      <c r="E47" s="350">
        <v>45417</v>
      </c>
      <c r="F47" s="344" t="s">
        <v>1026</v>
      </c>
      <c r="G47" s="344" t="s">
        <v>1028</v>
      </c>
      <c r="H47" s="344" t="s">
        <v>1028</v>
      </c>
    </row>
    <row r="48" spans="1:8" x14ac:dyDescent="0.25">
      <c r="A48" s="344">
        <f>+SUBTOTAL(3,$E$6:$E48)</f>
        <v>43</v>
      </c>
      <c r="B48" s="344" t="s">
        <v>831</v>
      </c>
      <c r="C48" s="344" t="str">
        <f>+VLOOKUP(B48,'Erection Compiled'!$C$7:$D$650,2,FALSE)</f>
        <v>DA+0</v>
      </c>
      <c r="D48" s="350">
        <v>45419</v>
      </c>
      <c r="E48" s="350">
        <v>45419</v>
      </c>
      <c r="F48" s="344" t="s">
        <v>1026</v>
      </c>
      <c r="G48" s="344" t="s">
        <v>1028</v>
      </c>
      <c r="H48" s="344" t="s">
        <v>1028</v>
      </c>
    </row>
    <row r="49" spans="1:8" x14ac:dyDescent="0.25">
      <c r="A49" s="344">
        <f>+SUBTOTAL(3,$E$6:$E49)</f>
        <v>44</v>
      </c>
      <c r="B49" s="344" t="s">
        <v>817</v>
      </c>
      <c r="C49" s="344" t="str">
        <f>+VLOOKUP(B49,'Erection Compiled'!$C$7:$D$650,2,FALSE)</f>
        <v>DA+3</v>
      </c>
      <c r="D49" s="350">
        <v>45421</v>
      </c>
      <c r="E49" s="350">
        <v>45421</v>
      </c>
      <c r="F49" s="344" t="s">
        <v>1026</v>
      </c>
      <c r="G49" s="344" t="s">
        <v>1028</v>
      </c>
      <c r="H49" s="344" t="s">
        <v>1028</v>
      </c>
    </row>
    <row r="50" spans="1:8" x14ac:dyDescent="0.25">
      <c r="A50" s="344">
        <f>+SUBTOTAL(3,$E$6:$E50)</f>
        <v>45</v>
      </c>
      <c r="B50" s="344" t="s">
        <v>822</v>
      </c>
      <c r="C50" s="344" t="str">
        <f>+VLOOKUP(B50,'Erection Compiled'!$C$7:$D$650,2,FALSE)</f>
        <v>DA+0</v>
      </c>
      <c r="D50" s="350">
        <v>45422</v>
      </c>
      <c r="E50" s="350">
        <v>45422</v>
      </c>
      <c r="F50" s="344" t="s">
        <v>1026</v>
      </c>
      <c r="G50" s="344" t="s">
        <v>1028</v>
      </c>
      <c r="H50" s="344" t="s">
        <v>1028</v>
      </c>
    </row>
    <row r="51" spans="1:8" x14ac:dyDescent="0.25">
      <c r="A51" s="344">
        <f>+SUBTOTAL(3,$E$6:$E51)</f>
        <v>46</v>
      </c>
      <c r="B51" s="344" t="s">
        <v>821</v>
      </c>
      <c r="C51" s="344" t="str">
        <f>+VLOOKUP(B51,'Erection Compiled'!$C$7:$D$650,2,FALSE)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Compiled'!$C$7:$D$650,2,FALSE)</f>
        <v>DA+6</v>
      </c>
      <c r="D52" s="350">
        <v>45422</v>
      </c>
      <c r="E52" s="350">
        <v>45422</v>
      </c>
      <c r="F52" s="344" t="s">
        <v>1027</v>
      </c>
      <c r="G52" s="344" t="s">
        <v>1028</v>
      </c>
      <c r="H52" s="344" t="s">
        <v>1028</v>
      </c>
    </row>
    <row r="53" spans="1:8" x14ac:dyDescent="0.25">
      <c r="A53" s="344">
        <f>+SUBTOTAL(3,$E$6:$E53)</f>
        <v>48</v>
      </c>
      <c r="B53" s="344" t="s">
        <v>777</v>
      </c>
      <c r="C53" s="344" t="str">
        <f>+VLOOKUP(B53,'Erection Compiled'!$C$7:$D$650,2,FALSE)</f>
        <v>DA+3</v>
      </c>
      <c r="D53" s="350">
        <v>45423</v>
      </c>
      <c r="E53" s="350">
        <v>45423</v>
      </c>
      <c r="F53" s="344" t="s">
        <v>1027</v>
      </c>
      <c r="G53" s="344" t="s">
        <v>1028</v>
      </c>
      <c r="H53" s="344" t="s">
        <v>1028</v>
      </c>
    </row>
    <row r="54" spans="1:8" x14ac:dyDescent="0.25">
      <c r="A54" s="344">
        <f>+SUBTOTAL(3,$E$6:$E54)</f>
        <v>49</v>
      </c>
      <c r="B54" s="344" t="s">
        <v>804</v>
      </c>
      <c r="C54" s="344" t="str">
        <f>+VLOOKUP(B54,'Erection Compiled'!$C$7:$D$650,2,FALSE)</f>
        <v>DA+0</v>
      </c>
      <c r="D54" s="350">
        <v>45426</v>
      </c>
      <c r="E54" s="350">
        <v>45426</v>
      </c>
      <c r="F54" s="344" t="s">
        <v>1026</v>
      </c>
      <c r="G54" s="344" t="s">
        <v>1028</v>
      </c>
      <c r="H54" s="344" t="s">
        <v>1028</v>
      </c>
    </row>
    <row r="55" spans="1:8" x14ac:dyDescent="0.25">
      <c r="A55" s="344">
        <f>+SUBTOTAL(3,$E$6:$E55)</f>
        <v>50</v>
      </c>
      <c r="B55" s="344" t="s">
        <v>803</v>
      </c>
      <c r="C55" s="344" t="str">
        <f>+VLOOKUP(B55,'Erection Compiled'!$C$7:$D$650,2,FALSE)</f>
        <v>DA+3</v>
      </c>
      <c r="D55" s="350">
        <v>45427</v>
      </c>
      <c r="E55" s="350">
        <v>45427</v>
      </c>
      <c r="F55" s="344" t="s">
        <v>1026</v>
      </c>
      <c r="G55" s="344" t="s">
        <v>1028</v>
      </c>
      <c r="H55" s="344" t="s">
        <v>1028</v>
      </c>
    </row>
    <row r="56" spans="1:8" x14ac:dyDescent="0.25">
      <c r="A56" s="344">
        <f>+SUBTOTAL(3,$E$6:$E56)</f>
        <v>51</v>
      </c>
      <c r="B56" s="344" t="s">
        <v>805</v>
      </c>
      <c r="C56" s="344" t="str">
        <f>+VLOOKUP(B56,'Erection Compiled'!$C$7:$D$650,2,FALSE)</f>
        <v>DA+3</v>
      </c>
      <c r="D56" s="350">
        <v>45428</v>
      </c>
      <c r="E56" s="350">
        <v>45428</v>
      </c>
      <c r="F56" s="344" t="s">
        <v>1026</v>
      </c>
      <c r="G56" s="344" t="s">
        <v>1028</v>
      </c>
      <c r="H56" s="344" t="s">
        <v>1028</v>
      </c>
    </row>
    <row r="57" spans="1:8" x14ac:dyDescent="0.25">
      <c r="A57" s="344">
        <f>+SUBTOTAL(3,$E$6:$E57)</f>
        <v>52</v>
      </c>
      <c r="B57" s="344" t="s">
        <v>782</v>
      </c>
      <c r="C57" s="344" t="str">
        <f>+VLOOKUP(B57,'Erection Compiled'!$C$7:$D$650,2,FALSE)</f>
        <v>DA+6</v>
      </c>
      <c r="D57" s="350">
        <v>45429</v>
      </c>
      <c r="E57" s="350">
        <v>45429</v>
      </c>
      <c r="F57" s="344" t="s">
        <v>1027</v>
      </c>
      <c r="G57" s="344" t="s">
        <v>1028</v>
      </c>
      <c r="H57" s="344" t="s">
        <v>1028</v>
      </c>
    </row>
    <row r="58" spans="1:8" x14ac:dyDescent="0.25">
      <c r="A58" s="344">
        <f>+SUBTOTAL(3,$E$6:$E58)</f>
        <v>53</v>
      </c>
      <c r="B58" s="344" t="s">
        <v>800</v>
      </c>
      <c r="C58" s="344" t="str">
        <f>+VLOOKUP(B58,'Erection Compiled'!$C$7:$D$650,2,FALSE)</f>
        <v>DA+3</v>
      </c>
      <c r="D58" s="350">
        <v>45431</v>
      </c>
      <c r="E58" s="350">
        <v>45431</v>
      </c>
      <c r="F58" s="344" t="s">
        <v>1026</v>
      </c>
      <c r="G58" s="344" t="s">
        <v>1028</v>
      </c>
      <c r="H58" s="344" t="s">
        <v>1028</v>
      </c>
    </row>
    <row r="59" spans="1:8" x14ac:dyDescent="0.25">
      <c r="A59" s="344">
        <f>+SUBTOTAL(3,$E$6:$E59)</f>
        <v>54</v>
      </c>
      <c r="B59" s="344" t="s">
        <v>783</v>
      </c>
      <c r="C59" s="344" t="str">
        <f>+VLOOKUP(B59,'Erection Compiled'!$C$7:$D$650,2,FALSE)</f>
        <v>DA+3</v>
      </c>
      <c r="D59" s="350">
        <v>45435</v>
      </c>
      <c r="E59" s="350">
        <v>45435</v>
      </c>
      <c r="F59" s="344" t="s">
        <v>1026</v>
      </c>
      <c r="G59" s="344" t="s">
        <v>1028</v>
      </c>
      <c r="H59" s="344" t="s">
        <v>1028</v>
      </c>
    </row>
    <row r="60" spans="1:8" x14ac:dyDescent="0.25">
      <c r="A60" s="344">
        <f>+SUBTOTAL(3,$E$6:$E60)</f>
        <v>55</v>
      </c>
      <c r="B60" s="344" t="s">
        <v>784</v>
      </c>
      <c r="C60" s="344" t="str">
        <f>+VLOOKUP(B60,'Erection Compiled'!$C$7:$D$650,2,FALSE)</f>
        <v>DA+3</v>
      </c>
      <c r="D60" s="350">
        <v>45437</v>
      </c>
      <c r="E60" s="350">
        <v>45437</v>
      </c>
      <c r="F60" s="344" t="s">
        <v>1026</v>
      </c>
      <c r="G60" s="344" t="s">
        <v>1028</v>
      </c>
      <c r="H60" s="344" t="s">
        <v>1028</v>
      </c>
    </row>
    <row r="61" spans="1:8" x14ac:dyDescent="0.25">
      <c r="A61" s="344">
        <f>+SUBTOTAL(3,$E$6:$E61)</f>
        <v>56</v>
      </c>
      <c r="B61" s="344" t="s">
        <v>811</v>
      </c>
      <c r="C61" s="344" t="str">
        <f>+VLOOKUP(B61,'Erection Compiled'!$C$7:$D$650,2,FALSE)</f>
        <v>DA+3</v>
      </c>
      <c r="D61" s="350">
        <v>45446</v>
      </c>
      <c r="E61" s="350">
        <v>45446</v>
      </c>
      <c r="F61" s="344" t="s">
        <v>1026</v>
      </c>
      <c r="G61" s="344" t="s">
        <v>1028</v>
      </c>
      <c r="H61" s="344" t="s">
        <v>1028</v>
      </c>
    </row>
    <row r="62" spans="1:8" x14ac:dyDescent="0.25">
      <c r="A62" s="344">
        <f>+SUBTOTAL(3,$E$6:$E62)</f>
        <v>57</v>
      </c>
      <c r="B62" s="344" t="s">
        <v>812</v>
      </c>
      <c r="C62" s="344" t="str">
        <f>+VLOOKUP(B62,'Erection Compiled'!$C$7:$D$650,2,FALSE)</f>
        <v>DA+0</v>
      </c>
      <c r="D62" s="350">
        <v>45449</v>
      </c>
      <c r="E62" s="350">
        <v>45449</v>
      </c>
      <c r="F62" s="344" t="s">
        <v>1026</v>
      </c>
      <c r="G62" s="344" t="s">
        <v>1028</v>
      </c>
      <c r="H62" s="344" t="s">
        <v>1028</v>
      </c>
    </row>
    <row r="63" spans="1:8" x14ac:dyDescent="0.25">
      <c r="A63" s="344">
        <f>+SUBTOTAL(3,$E$6:$E63)</f>
        <v>58</v>
      </c>
      <c r="B63" s="344" t="s">
        <v>809</v>
      </c>
      <c r="C63" s="344" t="str">
        <f>+VLOOKUP(B63,'Erection Compiled'!$C$7:$D$650,2,FALSE)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Compiled'!$C$7:$D$650,2,FALSE)</f>
        <v>DA+9</v>
      </c>
      <c r="D64" s="350">
        <v>45450</v>
      </c>
      <c r="E64" s="350">
        <v>45450</v>
      </c>
      <c r="F64" s="344" t="s">
        <v>1026</v>
      </c>
      <c r="G64" s="344" t="s">
        <v>1028</v>
      </c>
      <c r="H64" s="344" t="s">
        <v>1028</v>
      </c>
    </row>
    <row r="65" spans="1:8" x14ac:dyDescent="0.25">
      <c r="A65" s="344">
        <f>+SUBTOTAL(3,$E$6:$E65)</f>
        <v>60</v>
      </c>
      <c r="B65" s="344" t="s">
        <v>787</v>
      </c>
      <c r="C65" s="344" t="str">
        <f>+VLOOKUP(B65,'Erection Compiled'!$C$7:$D$650,2,FALSE)</f>
        <v>DA+6</v>
      </c>
      <c r="D65" s="350">
        <v>45451</v>
      </c>
      <c r="E65" s="350">
        <v>45451</v>
      </c>
      <c r="F65" s="344" t="s">
        <v>1027</v>
      </c>
      <c r="G65" s="344" t="s">
        <v>1028</v>
      </c>
      <c r="H65" s="344" t="s">
        <v>1028</v>
      </c>
    </row>
    <row r="66" spans="1:8" x14ac:dyDescent="0.25">
      <c r="A66" s="344">
        <f>+SUBTOTAL(3,$E$6:$E66)</f>
        <v>61</v>
      </c>
      <c r="B66" s="344" t="s">
        <v>802</v>
      </c>
      <c r="C66" s="344" t="str">
        <f>+VLOOKUP(B66,'Erection Compiled'!$C$7:$D$650,2,FALSE)</f>
        <v>DA+0</v>
      </c>
      <c r="D66" s="350">
        <v>45451</v>
      </c>
      <c r="E66" s="350">
        <v>45451</v>
      </c>
      <c r="F66" s="344" t="s">
        <v>1026</v>
      </c>
      <c r="G66" s="344" t="s">
        <v>1028</v>
      </c>
      <c r="H66" s="344" t="s">
        <v>1028</v>
      </c>
    </row>
    <row r="67" spans="1:8" x14ac:dyDescent="0.25">
      <c r="A67" s="344">
        <f>+SUBTOTAL(3,$E$6:$E67)</f>
        <v>62</v>
      </c>
      <c r="B67" s="344" t="s">
        <v>788</v>
      </c>
      <c r="C67" s="344" t="str">
        <f>+VLOOKUP(B67,'Erection Compiled'!$C$7:$D$650,2,FALSE)</f>
        <v>DA+0</v>
      </c>
      <c r="D67" s="350">
        <v>45452</v>
      </c>
      <c r="E67" s="350">
        <v>45452</v>
      </c>
      <c r="F67" s="344" t="s">
        <v>1027</v>
      </c>
      <c r="G67" s="344" t="s">
        <v>1028</v>
      </c>
      <c r="H67" s="344" t="s">
        <v>1028</v>
      </c>
    </row>
    <row r="68" spans="1:8" x14ac:dyDescent="0.25">
      <c r="A68" s="344">
        <f>+SUBTOTAL(3,$E$6:$E68)</f>
        <v>63</v>
      </c>
      <c r="B68" s="344" t="s">
        <v>801</v>
      </c>
      <c r="C68" s="344" t="str">
        <f>+VLOOKUP(B68,'Erection Compiled'!$C$7:$D$650,2,FALSE)</f>
        <v>DA+3</v>
      </c>
      <c r="D68" s="350">
        <v>45452</v>
      </c>
      <c r="E68" s="350">
        <v>45452</v>
      </c>
      <c r="F68" s="344" t="s">
        <v>1026</v>
      </c>
      <c r="G68" s="344" t="s">
        <v>1028</v>
      </c>
      <c r="H68" s="344" t="s">
        <v>1028</v>
      </c>
    </row>
    <row r="69" spans="1:8" x14ac:dyDescent="0.25">
      <c r="A69" s="344">
        <f>+SUBTOTAL(3,$E$6:$E69)</f>
        <v>64</v>
      </c>
      <c r="B69" s="344" t="s">
        <v>757</v>
      </c>
      <c r="C69" s="344" t="str">
        <f>+VLOOKUP(B69,'Erection Compiled'!$C$7:$D$650,2,FALSE)</f>
        <v>DA+3</v>
      </c>
      <c r="D69" s="350">
        <v>45453</v>
      </c>
      <c r="E69" s="350">
        <v>45453</v>
      </c>
      <c r="F69" s="344" t="s">
        <v>1027</v>
      </c>
      <c r="G69" s="344" t="s">
        <v>1028</v>
      </c>
      <c r="H69" s="344" t="s">
        <v>1028</v>
      </c>
    </row>
    <row r="70" spans="1:8" x14ac:dyDescent="0.25">
      <c r="A70" s="344">
        <f>+SUBTOTAL(3,$E$6:$E70)</f>
        <v>65</v>
      </c>
      <c r="B70" s="344" t="s">
        <v>100</v>
      </c>
      <c r="C70" s="344" t="str">
        <f>+VLOOKUP(B70,'Erection Compiled'!$C$7:$D$650,2,FALSE)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Compiled'!$C$7:$D$650,2,FALSE)</f>
        <v>DA+3</v>
      </c>
      <c r="D71" s="350">
        <v>45454</v>
      </c>
      <c r="E71" s="350">
        <v>45454</v>
      </c>
      <c r="F71" s="344" t="s">
        <v>1027</v>
      </c>
      <c r="G71" s="344" t="s">
        <v>1028</v>
      </c>
      <c r="H71" s="344" t="s">
        <v>1028</v>
      </c>
    </row>
    <row r="72" spans="1:8" x14ac:dyDescent="0.25">
      <c r="A72" s="344">
        <f>+SUBTOTAL(3,$E$6:$E72)</f>
        <v>67</v>
      </c>
      <c r="B72" s="344" t="s">
        <v>772</v>
      </c>
      <c r="C72" s="344" t="str">
        <f>+VLOOKUP(B72,'Erection Compiled'!$C$7:$D$650,2,FALSE)</f>
        <v>DA+3</v>
      </c>
      <c r="D72" s="350">
        <v>45456</v>
      </c>
      <c r="E72" s="350">
        <v>45456</v>
      </c>
      <c r="F72" s="344" t="s">
        <v>1027</v>
      </c>
      <c r="G72" s="344" t="s">
        <v>1028</v>
      </c>
      <c r="H72" s="344" t="s">
        <v>1028</v>
      </c>
    </row>
    <row r="73" spans="1:8" x14ac:dyDescent="0.25">
      <c r="A73" s="344">
        <f>+SUBTOTAL(3,$E$6:$E73)</f>
        <v>68</v>
      </c>
      <c r="B73" s="344" t="s">
        <v>771</v>
      </c>
      <c r="C73" s="344" t="str">
        <f>+VLOOKUP(B73,'Erection Compiled'!$C$7:$D$650,2,FALSE)</f>
        <v>DA+3</v>
      </c>
      <c r="D73" s="350">
        <v>45466</v>
      </c>
      <c r="E73" s="350">
        <v>45466</v>
      </c>
      <c r="F73" s="344" t="s">
        <v>1027</v>
      </c>
      <c r="G73" s="344" t="s">
        <v>1028</v>
      </c>
      <c r="H73" s="344" t="s">
        <v>1028</v>
      </c>
    </row>
    <row r="74" spans="1:8" x14ac:dyDescent="0.25">
      <c r="A74" s="344">
        <f>+SUBTOTAL(3,$E$6:$E74)</f>
        <v>69</v>
      </c>
      <c r="B74" s="344" t="s">
        <v>770</v>
      </c>
      <c r="C74" s="344" t="str">
        <f>+VLOOKUP(B74,'Erection Compiled'!$C$7:$D$650,2,FALSE)</f>
        <v>DA+3</v>
      </c>
      <c r="D74" s="350">
        <v>45468</v>
      </c>
      <c r="E74" s="350">
        <v>45468</v>
      </c>
      <c r="F74" s="344" t="s">
        <v>1027</v>
      </c>
      <c r="G74" s="344" t="s">
        <v>1028</v>
      </c>
      <c r="H74" s="344" t="s">
        <v>1028</v>
      </c>
    </row>
    <row r="75" spans="1:8" x14ac:dyDescent="0.25">
      <c r="A75" s="344">
        <f>+SUBTOTAL(3,$E$6:$E75)</f>
        <v>70</v>
      </c>
      <c r="B75" s="344" t="s">
        <v>769</v>
      </c>
      <c r="C75" s="344" t="str">
        <f>+VLOOKUP(B75,'Erection Compiled'!$C$7:$D$650,2,FALSE)</f>
        <v>DA+6</v>
      </c>
      <c r="D75" s="350">
        <v>45473</v>
      </c>
      <c r="E75" s="350">
        <v>45473</v>
      </c>
      <c r="F75" s="344" t="s">
        <v>1027</v>
      </c>
      <c r="G75" s="344" t="s">
        <v>1028</v>
      </c>
      <c r="H75" s="344" t="s">
        <v>1028</v>
      </c>
    </row>
    <row r="76" spans="1:8" x14ac:dyDescent="0.25">
      <c r="A76" s="344">
        <f>+SUBTOTAL(3,$E$6:$E76)</f>
        <v>71</v>
      </c>
      <c r="B76" s="344" t="s">
        <v>768</v>
      </c>
      <c r="C76" s="344" t="str">
        <f>+VLOOKUP(B76,'Erection Compiled'!$C$7:$D$650,2,FALSE)</f>
        <v>DA+9</v>
      </c>
      <c r="D76" s="350">
        <v>45474</v>
      </c>
      <c r="E76" s="350">
        <v>45474</v>
      </c>
      <c r="F76" s="344" t="s">
        <v>1026</v>
      </c>
      <c r="G76" s="344" t="s">
        <v>1028</v>
      </c>
      <c r="H76" s="344" t="s">
        <v>1028</v>
      </c>
    </row>
    <row r="77" spans="1:8" x14ac:dyDescent="0.25">
      <c r="A77" s="344">
        <f>+SUBTOTAL(3,$E$6:$E77)</f>
        <v>72</v>
      </c>
      <c r="B77" s="344" t="s">
        <v>767</v>
      </c>
      <c r="C77" s="344" t="str">
        <f>+VLOOKUP(B77,'Erection Compiled'!$C$7:$D$650,2,FALSE)</f>
        <v>DA+6</v>
      </c>
      <c r="D77" s="350">
        <v>45475</v>
      </c>
      <c r="E77" s="350">
        <v>45475</v>
      </c>
      <c r="F77" s="344" t="s">
        <v>1026</v>
      </c>
      <c r="G77" s="344" t="s">
        <v>1028</v>
      </c>
      <c r="H77" s="344" t="s">
        <v>1028</v>
      </c>
    </row>
    <row r="78" spans="1:8" x14ac:dyDescent="0.25">
      <c r="A78" s="344">
        <f>+SUBTOTAL(3,$E$6:$E78)</f>
        <v>73</v>
      </c>
      <c r="B78" s="344" t="s">
        <v>97</v>
      </c>
      <c r="C78" s="344" t="str">
        <f>+VLOOKUP(B78,'Erection Compiled'!$C$7:$D$650,2,FALSE)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Compiled'!$C$7:$D$650,2,FALSE)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Compiled'!$C$7:$D$650,2,FALSE)</f>
        <v>DA+0</v>
      </c>
      <c r="D80" s="350">
        <v>45527</v>
      </c>
      <c r="E80" s="350">
        <v>45527</v>
      </c>
      <c r="F80" s="344" t="s">
        <v>1026</v>
      </c>
      <c r="G80" s="344" t="s">
        <v>1028</v>
      </c>
      <c r="H80" s="344" t="s">
        <v>1028</v>
      </c>
    </row>
    <row r="81" spans="1:8" x14ac:dyDescent="0.25">
      <c r="A81" s="344">
        <f>+SUBTOTAL(3,$E$6:$E81)</f>
        <v>76</v>
      </c>
      <c r="B81" s="344" t="s">
        <v>743</v>
      </c>
      <c r="C81" s="344" t="str">
        <f>+VLOOKUP(B81,'Erection Compiled'!$C$7:$D$650,2,FALSE)</f>
        <v>DA+0</v>
      </c>
      <c r="D81" s="350">
        <v>45528</v>
      </c>
      <c r="E81" s="350">
        <v>45528</v>
      </c>
      <c r="F81" s="344" t="s">
        <v>1026</v>
      </c>
      <c r="G81" s="344" t="s">
        <v>1028</v>
      </c>
      <c r="H81" s="344" t="s">
        <v>1028</v>
      </c>
    </row>
    <row r="82" spans="1:8" x14ac:dyDescent="0.25">
      <c r="A82" s="344">
        <f>+SUBTOTAL(3,$E$6:$E82)</f>
        <v>77</v>
      </c>
      <c r="B82" s="344" t="s">
        <v>753</v>
      </c>
      <c r="C82" s="344" t="str">
        <f>+VLOOKUP(B82,'Erection Compiled'!$C$7:$D$650,2,FALSE)</f>
        <v>DA+3</v>
      </c>
      <c r="D82" s="350">
        <v>45531</v>
      </c>
      <c r="E82" s="350">
        <v>45531</v>
      </c>
      <c r="F82" s="344" t="s">
        <v>1026</v>
      </c>
      <c r="G82" s="344" t="s">
        <v>1028</v>
      </c>
      <c r="H82" s="344" t="s">
        <v>1028</v>
      </c>
    </row>
    <row r="83" spans="1:8" x14ac:dyDescent="0.25">
      <c r="A83" s="344">
        <f>+SUBTOTAL(3,$E$6:$E83)</f>
        <v>78</v>
      </c>
      <c r="B83" s="344" t="s">
        <v>750</v>
      </c>
      <c r="C83" s="344" t="str">
        <f>+VLOOKUP(B83,'Erection Compiled'!$C$7:$D$650,2,FALSE)</f>
        <v>DA+0</v>
      </c>
      <c r="D83" s="350">
        <v>45532</v>
      </c>
      <c r="E83" s="350">
        <v>45532</v>
      </c>
      <c r="F83" s="344" t="s">
        <v>1026</v>
      </c>
      <c r="G83" s="344" t="s">
        <v>1028</v>
      </c>
      <c r="H83" s="344" t="s">
        <v>1028</v>
      </c>
    </row>
    <row r="84" spans="1:8" x14ac:dyDescent="0.25">
      <c r="A84" s="344">
        <f>+SUBTOTAL(3,$E$6:$E84)</f>
        <v>79</v>
      </c>
      <c r="B84" s="344" t="s">
        <v>751</v>
      </c>
      <c r="C84" s="344" t="str">
        <f>+VLOOKUP(B84,'Erection Compiled'!$C$7:$D$650,2,FALSE)</f>
        <v>DA+0</v>
      </c>
      <c r="D84" s="350">
        <v>45534</v>
      </c>
      <c r="E84" s="350">
        <v>45534</v>
      </c>
      <c r="F84" s="344" t="s">
        <v>1026</v>
      </c>
      <c r="G84" s="344" t="s">
        <v>1028</v>
      </c>
      <c r="H84" s="344" t="s">
        <v>1028</v>
      </c>
    </row>
    <row r="85" spans="1:8" x14ac:dyDescent="0.25">
      <c r="A85" s="344">
        <f>+SUBTOTAL(3,$E$6:$E85)</f>
        <v>80</v>
      </c>
      <c r="B85" s="344" t="s">
        <v>752</v>
      </c>
      <c r="C85" s="344" t="str">
        <f>+VLOOKUP(B85,'Erection Compiled'!$C$7:$D$650,2,FALSE)</f>
        <v>DA+3</v>
      </c>
      <c r="D85" s="350">
        <v>45534</v>
      </c>
      <c r="E85" s="350">
        <v>45534</v>
      </c>
      <c r="F85" s="344" t="s">
        <v>1026</v>
      </c>
      <c r="G85" s="344" t="s">
        <v>1028</v>
      </c>
      <c r="H85" s="344" t="s">
        <v>1028</v>
      </c>
    </row>
    <row r="86" spans="1:8" x14ac:dyDescent="0.25">
      <c r="A86" s="344">
        <f>+SUBTOTAL(3,$E$6:$E86)</f>
        <v>81</v>
      </c>
      <c r="B86" s="344" t="s">
        <v>99</v>
      </c>
      <c r="C86" s="344" t="str">
        <f>+VLOOKUP(B86,'Erection Compiled'!$C$7:$D$650,2,FALSE)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Compiled'!$C$7:$D$650,2,FALSE)</f>
        <v>DA+3</v>
      </c>
      <c r="D87" s="350">
        <v>45558</v>
      </c>
      <c r="E87" s="350">
        <v>45559</v>
      </c>
      <c r="F87" s="344" t="s">
        <v>1026</v>
      </c>
      <c r="G87" s="344" t="s">
        <v>1028</v>
      </c>
      <c r="H87" s="344" t="s">
        <v>1028</v>
      </c>
    </row>
    <row r="88" spans="1:8" x14ac:dyDescent="0.25">
      <c r="A88" s="344">
        <f>+SUBTOTAL(3,$E$6:$E88)</f>
        <v>83</v>
      </c>
      <c r="B88" s="344" t="s">
        <v>795</v>
      </c>
      <c r="C88" s="344" t="str">
        <f>+VLOOKUP(B88,'Erection Compiled'!$C$7:$D$650,2,FALSE)</f>
        <v>DA+3</v>
      </c>
      <c r="D88" s="350">
        <v>45560</v>
      </c>
      <c r="E88" s="350">
        <v>45561</v>
      </c>
      <c r="F88" s="344" t="s">
        <v>1026</v>
      </c>
      <c r="G88" s="344" t="s">
        <v>1028</v>
      </c>
      <c r="H88" s="344" t="s">
        <v>1028</v>
      </c>
    </row>
    <row r="89" spans="1:8" x14ac:dyDescent="0.25">
      <c r="A89" s="344">
        <f>+SUBTOTAL(3,$E$6:$E89)</f>
        <v>84</v>
      </c>
      <c r="B89" s="344" t="s">
        <v>754</v>
      </c>
      <c r="C89" s="344" t="str">
        <f>+VLOOKUP(B89,'Erection Compiled'!$C$7:$D$650,2,FALSE)</f>
        <v>DA+3</v>
      </c>
      <c r="D89" s="350">
        <v>45570</v>
      </c>
      <c r="E89" s="350">
        <v>45571</v>
      </c>
      <c r="F89" s="344" t="s">
        <v>1026</v>
      </c>
      <c r="G89" s="344" t="s">
        <v>1028</v>
      </c>
      <c r="H89" s="344" t="s">
        <v>1028</v>
      </c>
    </row>
    <row r="90" spans="1:8" x14ac:dyDescent="0.25">
      <c r="A90" s="344">
        <f>+SUBTOTAL(3,$E$6:$E90)</f>
        <v>85</v>
      </c>
      <c r="B90" s="344" t="s">
        <v>708</v>
      </c>
      <c r="C90" s="344" t="str">
        <f>+VLOOKUP(B90,'Erection Compiled'!$C$7:$D$650,2,FALSE)</f>
        <v>DA+0</v>
      </c>
      <c r="D90" s="350">
        <v>45571</v>
      </c>
      <c r="E90" s="350">
        <v>45572</v>
      </c>
      <c r="F90" s="344" t="s">
        <v>1026</v>
      </c>
      <c r="G90" s="344" t="s">
        <v>1028</v>
      </c>
      <c r="H90" s="344" t="s">
        <v>1028</v>
      </c>
    </row>
    <row r="91" spans="1:8" x14ac:dyDescent="0.25">
      <c r="A91" s="344">
        <f>+SUBTOTAL(3,$E$6:$E91)</f>
        <v>86</v>
      </c>
      <c r="B91" s="344" t="s">
        <v>709</v>
      </c>
      <c r="C91" s="344" t="str">
        <f>+VLOOKUP(B91,'Erection Compiled'!$C$7:$D$650,2,FALSE)</f>
        <v>DA+0</v>
      </c>
      <c r="D91" s="350">
        <v>45574</v>
      </c>
      <c r="E91" s="350">
        <v>45574</v>
      </c>
      <c r="F91" s="344" t="s">
        <v>1026</v>
      </c>
      <c r="G91" s="344" t="s">
        <v>1028</v>
      </c>
      <c r="H91" s="344" t="s">
        <v>1028</v>
      </c>
    </row>
    <row r="92" spans="1:8" x14ac:dyDescent="0.25">
      <c r="A92" s="344">
        <f>+SUBTOTAL(3,$E$6:$E92)</f>
        <v>87</v>
      </c>
      <c r="B92" s="344" t="s">
        <v>92</v>
      </c>
      <c r="C92" s="344" t="str">
        <f>+VLOOKUP(B92,'Erection Compiled'!$C$7:$D$650,2,FALSE)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Compiled'!$C$7:$D$650,2,FALSE)</f>
        <v>DA+6</v>
      </c>
      <c r="D93" s="350">
        <v>45589</v>
      </c>
      <c r="E93" s="350">
        <v>45589</v>
      </c>
      <c r="F93" s="344" t="s">
        <v>1026</v>
      </c>
      <c r="G93" s="344" t="s">
        <v>1028</v>
      </c>
      <c r="H93" s="344" t="s">
        <v>1028</v>
      </c>
    </row>
    <row r="94" spans="1:8" x14ac:dyDescent="0.25">
      <c r="A94" s="344">
        <f>+SUBTOTAL(3,$E$6:$E94)</f>
        <v>89</v>
      </c>
      <c r="B94" s="344" t="s">
        <v>700</v>
      </c>
      <c r="C94" s="344" t="str">
        <f>+VLOOKUP(B94,'Erection Compiled'!$C$7:$D$650,2,FALSE)</f>
        <v>DA+6</v>
      </c>
      <c r="D94" s="350">
        <v>45590</v>
      </c>
      <c r="E94" s="350">
        <v>45590</v>
      </c>
      <c r="F94" s="344" t="s">
        <v>1026</v>
      </c>
      <c r="G94" s="344" t="s">
        <v>1028</v>
      </c>
      <c r="H94" s="344" t="s">
        <v>1028</v>
      </c>
    </row>
    <row r="95" spans="1:8" x14ac:dyDescent="0.25">
      <c r="A95" s="344">
        <f>+SUBTOTAL(3,$E$6:$E95)</f>
        <v>90</v>
      </c>
      <c r="B95" s="344" t="s">
        <v>711</v>
      </c>
      <c r="C95" s="344" t="str">
        <f>+VLOOKUP(B95,'Erection Compiled'!$C$7:$D$650,2,FALSE)</f>
        <v>DA+0</v>
      </c>
      <c r="D95" s="350">
        <v>45590</v>
      </c>
      <c r="E95" s="350">
        <v>45590</v>
      </c>
      <c r="F95" s="344" t="s">
        <v>1026</v>
      </c>
      <c r="G95" s="344" t="s">
        <v>1028</v>
      </c>
      <c r="H95" s="344" t="s">
        <v>1028</v>
      </c>
    </row>
    <row r="96" spans="1:8" x14ac:dyDescent="0.25">
      <c r="A96" s="344">
        <f>+SUBTOTAL(3,$E$6:$E96)</f>
        <v>91</v>
      </c>
      <c r="B96" s="346" t="s">
        <v>173</v>
      </c>
      <c r="C96" s="344" t="str">
        <f>+VLOOKUP(B96,'Erection Compiled'!$C$7:$D$650,2,FALSE)</f>
        <v>DA+3</v>
      </c>
      <c r="D96" s="350">
        <v>45591</v>
      </c>
      <c r="E96" s="350">
        <v>45591</v>
      </c>
      <c r="F96" s="344" t="s">
        <v>1029</v>
      </c>
      <c r="G96" s="344" t="s">
        <v>1028</v>
      </c>
      <c r="H96" s="344"/>
    </row>
    <row r="97" spans="1:8" x14ac:dyDescent="0.25">
      <c r="A97" s="344">
        <f>+SUBTOTAL(3,$E$6:$E97)</f>
        <v>92</v>
      </c>
      <c r="B97" s="346" t="s">
        <v>701</v>
      </c>
      <c r="C97" s="344" t="str">
        <f>+VLOOKUP(B97,'Erection Compiled'!$C$7:$D$650,2,FALSE)</f>
        <v>DA+9</v>
      </c>
      <c r="D97" s="350">
        <v>45593</v>
      </c>
      <c r="E97" s="350">
        <v>45593</v>
      </c>
      <c r="F97" s="344" t="s">
        <v>1026</v>
      </c>
      <c r="G97" s="344" t="s">
        <v>1028</v>
      </c>
      <c r="H97" s="344" t="s">
        <v>1028</v>
      </c>
    </row>
    <row r="98" spans="1:8" x14ac:dyDescent="0.25">
      <c r="A98" s="344">
        <f>+SUBTOTAL(3,$E$6:$E98)</f>
        <v>93</v>
      </c>
      <c r="B98" s="346" t="s">
        <v>820</v>
      </c>
      <c r="C98" s="344" t="str">
        <f>+VLOOKUP(B98,'Erection Compiled'!$C$7:$D$650,2,FALSE)</f>
        <v>DA+3</v>
      </c>
      <c r="D98" s="350">
        <v>45594</v>
      </c>
      <c r="E98" s="350">
        <v>45594</v>
      </c>
      <c r="F98" s="344" t="s">
        <v>1026</v>
      </c>
      <c r="G98" s="344" t="s">
        <v>1028</v>
      </c>
      <c r="H98" s="344" t="s">
        <v>1028</v>
      </c>
    </row>
    <row r="99" spans="1:8" x14ac:dyDescent="0.25">
      <c r="A99" s="344">
        <f>+SUBTOTAL(3,$E$6:$E99)</f>
        <v>94</v>
      </c>
      <c r="B99" s="346" t="s">
        <v>498</v>
      </c>
      <c r="C99" s="344" t="str">
        <f>+VLOOKUP(B99,'Erection Compiled'!$C$7:$D$650,2,FALSE)</f>
        <v>DA+3</v>
      </c>
      <c r="D99" s="350">
        <v>45591</v>
      </c>
      <c r="E99" s="350">
        <v>45594</v>
      </c>
      <c r="F99" s="344" t="s">
        <v>615</v>
      </c>
      <c r="G99" s="344" t="s">
        <v>1028</v>
      </c>
      <c r="H99" s="344"/>
    </row>
    <row r="100" spans="1:8" x14ac:dyDescent="0.25">
      <c r="A100" s="344">
        <f>+SUBTOTAL(3,$E$6:$E100)</f>
        <v>95</v>
      </c>
      <c r="B100" s="346" t="s">
        <v>174</v>
      </c>
      <c r="C100" s="344" t="str">
        <f>+VLOOKUP(B100,'Erection Compiled'!$C$7:$D$650,2,FALSE)</f>
        <v>DA+0</v>
      </c>
      <c r="D100" s="350">
        <v>45606</v>
      </c>
      <c r="E100" s="350">
        <v>45606</v>
      </c>
      <c r="F100" s="344" t="s">
        <v>615</v>
      </c>
      <c r="G100" s="344" t="s">
        <v>1028</v>
      </c>
      <c r="H100" s="344"/>
    </row>
    <row r="101" spans="1:8" x14ac:dyDescent="0.25">
      <c r="A101" s="344">
        <f>+SUBTOTAL(3,$E$6:$E101)</f>
        <v>96</v>
      </c>
      <c r="B101" s="344" t="s">
        <v>763</v>
      </c>
      <c r="C101" s="344" t="str">
        <f>+VLOOKUP(B101,'Erection Compiled'!$C$7:$D$650,2,FALSE)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Compiled'!$C$7:$D$650,2,FALSE)</f>
        <v>DA+0</v>
      </c>
      <c r="D102" s="350">
        <v>45608</v>
      </c>
      <c r="E102" s="350">
        <v>45608</v>
      </c>
      <c r="F102" s="344" t="s">
        <v>615</v>
      </c>
      <c r="G102" s="344" t="s">
        <v>1028</v>
      </c>
      <c r="H102" s="344"/>
    </row>
    <row r="103" spans="1:8" x14ac:dyDescent="0.25">
      <c r="A103" s="344">
        <f>+SUBTOTAL(3,$E$6:$E103)</f>
        <v>98</v>
      </c>
      <c r="B103" s="344" t="s">
        <v>706</v>
      </c>
      <c r="C103" s="344" t="str">
        <f>+VLOOKUP(B103,'Erection Compiled'!$C$7:$D$650,2,FALSE)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Compiled'!$C$7:$D$650,2,FALSE)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Compiled'!$C$7:$D$650,2,FALSE)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Compiled'!$C$7:$D$650,2,FALSE)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Compiled'!$C$7:$D$650,2,FALSE)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Compiled'!$C$7:$D$650,2,FALSE)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Compiled'!$C$7:$D$650,2,FALSE)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Compiled'!$C$7:$D$650,2,FALSE)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Compiled'!$C$7:$D$650,2,FALSE)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Compiled'!$C$7:$D$650,2,FALSE)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Compiled'!$C$7:$D$650,2,FALSE)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Compiled'!$C$7:$D$650,2,FALSE)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Compiled'!$C$7:$D$650,2,FALSE)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Compiled'!$C$7:$D$650,2,FALSE)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Compiled'!$C$7:$D$650,2,FALSE)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Compiled'!$C$7:$D$650,2,FALSE)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Compiled'!$C$7:$D$650,2,FALSE)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Compiled'!$C$7:$D$650,2,FALSE)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Compiled'!$C$7:$D$650,2,FALSE)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Compiled'!$C$7:$D$650,2,FALSE)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Compiled'!$C$7:$D$650,2,FALSE)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Compiled'!$C$7:$D$650,2,FALSE)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Compiled'!$C$7:$D$650,2,FALSE)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Compiled'!$C$7:$D$650,2,FALSE)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Compiled'!$C$7:$D$650,2,FALSE)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Compiled'!$C$7:$D$650,2,FALSE)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Compiled'!$C$7:$D$650,2,FALSE)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Compiled'!$C$7:$D$650,2,FALSE)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Compiled'!$C$7:$D$650,2,FALSE)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Compiled'!$C$7:$D$650,2,FALSE)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Compiled'!$C$7:$D$650,2,FALSE)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Compiled'!$C$7:$D$650,2,FALSE)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Compiled'!$C$7:$D$650,2,FALSE)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Compiled'!$C$7:$D$650,2,FALSE)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Compiled'!$C$7:$D$650,2,FALSE)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Compiled'!$C$7:$D$650,2,FALSE)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Compiled'!$C$7:$D$650,2,FALSE)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Compiled'!$C$7:$D$650,2,FALSE)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Compiled'!$C$7:$D$650,2,FALSE)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Compiled'!$C$7:$D$650,2,FALSE)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Compiled'!$C$7:$D$650,2,FALSE)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Compiled'!$C$7:$D$650,2,FALSE)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Compiled'!$C$7:$D$650,2,FALSE)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Compiled'!$C$7:$D$650,2,FALSE)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Compiled'!$C$7:$D$650,2,FALSE)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Compiled'!$C$7:$D$650,2,FALSE)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Compiled'!$C$7:$D$650,2,FALSE)</f>
        <v>DA+3</v>
      </c>
      <c r="D149" s="350">
        <v>45763</v>
      </c>
      <c r="E149" s="350">
        <v>45763</v>
      </c>
      <c r="F149" s="344" t="s">
        <v>1026</v>
      </c>
      <c r="G149" s="344" t="s">
        <v>1028</v>
      </c>
      <c r="H149" s="344"/>
    </row>
    <row r="150" spans="1:8" x14ac:dyDescent="0.25">
      <c r="A150" s="344">
        <f>+SUBTOTAL(3,$E$6:$E150)</f>
        <v>145</v>
      </c>
      <c r="B150" s="346" t="s">
        <v>688</v>
      </c>
      <c r="C150" s="344" t="str">
        <f>+VLOOKUP(B150,'Erection Compiled'!$C$7:$D$650,2,FALSE)</f>
        <v>DA+0</v>
      </c>
      <c r="D150" s="350">
        <v>45763</v>
      </c>
      <c r="E150" s="350">
        <v>45763</v>
      </c>
      <c r="F150" s="344" t="s">
        <v>1026</v>
      </c>
      <c r="G150" s="344" t="s">
        <v>1028</v>
      </c>
      <c r="H150" s="344"/>
    </row>
    <row r="151" spans="1:8" x14ac:dyDescent="0.25">
      <c r="A151" s="344">
        <f>+SUBTOTAL(3,$E$6:$E151)</f>
        <v>146</v>
      </c>
      <c r="B151" s="346" t="s">
        <v>95</v>
      </c>
      <c r="C151" s="344" t="str">
        <f>+VLOOKUP(B151,'Erection Compiled'!$C$7:$D$650,2,FALSE)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Compiled'!$C$7:$D$650,2,FALSE)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Compiled'!$C$7:$D$650,2,FALSE)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Compiled'!$C$7:$D$650,2,FALSE)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Compiled'!$C$7:$D$650,2,FALSE)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Compiled'!$C$7:$D$650,2,FALSE)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Compiled'!$C$7:$D$650,2,FALSE)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Compiled'!$C$7:$D$650,2,FALSE)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Compiled'!$C$7:$D$650,2,FALSE)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Compiled'!$C$7:$D$650,2,FALSE)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Compiled'!$C$7:$D$650,2,FALSE)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Compiled'!$C$7:$D$650,2,FALSE)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Compiled'!$C$7:$D$650,2,FALSE)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Compiled'!$C$7:$D$650,2,FALSE)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Compiled'!$C$7:$D$650,2,FALSE)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Compiled'!$C$7:$D$650,2,FALSE)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Compiled'!$C$7:$D$650,2,FALSE)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Compiled'!$C$7:$D$650,2,FALSE)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Compiled'!$C$7:$D$650,2,FALSE)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Compiled'!$C$7:$D$650,2,FALSE)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Compiled'!$C$7:$D$650,2,FALSE)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Compiled'!$C$7:$D$650,2,FALSE)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Compiled'!$C$7:$D$650,2,FALSE)</f>
        <v>DA+0</v>
      </c>
      <c r="D173" s="350">
        <v>45818</v>
      </c>
      <c r="E173" s="350">
        <v>45818</v>
      </c>
      <c r="F173" s="344" t="s">
        <v>1396</v>
      </c>
      <c r="G173" s="344" t="s">
        <v>1028</v>
      </c>
      <c r="H173" s="344"/>
    </row>
    <row r="174" spans="1:8" x14ac:dyDescent="0.25">
      <c r="A174" s="344">
        <f>+SUBTOTAL(3,$E$6:$E174)</f>
        <v>169</v>
      </c>
      <c r="B174" s="346" t="s">
        <v>503</v>
      </c>
      <c r="C174" s="344" t="str">
        <f>+VLOOKUP(B174,'Erection Compiled'!$C$7:$D$650,2,FALSE)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Compiled'!$C$7:$D$650,2,FALSE)</f>
        <v>DA+3</v>
      </c>
      <c r="D175" s="350">
        <v>45851</v>
      </c>
      <c r="E175" s="350">
        <v>45852</v>
      </c>
      <c r="F175" s="344" t="s">
        <v>1026</v>
      </c>
      <c r="G175" s="344" t="s">
        <v>1028</v>
      </c>
      <c r="H175" s="344"/>
    </row>
    <row r="176" spans="1:8" x14ac:dyDescent="0.25">
      <c r="A176" s="344">
        <f>+SUBTOTAL(3,$E$6:$E176)</f>
        <v>171</v>
      </c>
      <c r="B176" s="346" t="s">
        <v>727</v>
      </c>
      <c r="C176" s="344" t="str">
        <f>+VLOOKUP(B176,'Erection Compiled'!$C$7:$D$650,2,FALSE)</f>
        <v>DA+6</v>
      </c>
      <c r="D176" s="350">
        <v>45861</v>
      </c>
      <c r="E176" s="350">
        <v>45861</v>
      </c>
      <c r="F176" s="344" t="s">
        <v>1026</v>
      </c>
      <c r="G176" s="344" t="s">
        <v>1028</v>
      </c>
      <c r="H176" s="344"/>
    </row>
    <row r="177" spans="1:8" x14ac:dyDescent="0.25">
      <c r="A177" s="344">
        <f>+SUBTOTAL(3,$E$6:$E177)</f>
        <v>172</v>
      </c>
      <c r="B177" s="346" t="s">
        <v>853</v>
      </c>
      <c r="C177" s="344" t="str">
        <f>+VLOOKUP(B177,'Erection Compiled'!$C$7:$D$650,2,FALSE)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Compiled'!$C$7:$D$650,2,FALSE)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Compiled'!$C$7:$D$650,2,FALSE)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Compiled'!$C$7:$D$650,2,FALSE)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Compiled'!$C$7:$D$650,2,FALSE)</f>
        <v>DA+0</v>
      </c>
      <c r="D181" s="350">
        <v>45902</v>
      </c>
      <c r="E181" s="350">
        <v>45902</v>
      </c>
      <c r="F181" s="344" t="s">
        <v>1026</v>
      </c>
      <c r="G181" s="344" t="s">
        <v>1028</v>
      </c>
      <c r="H181" s="344"/>
    </row>
    <row r="182" spans="1:8" x14ac:dyDescent="0.25">
      <c r="A182" s="344">
        <f>+SUBTOTAL(3,$E$6:$E182)</f>
        <v>177</v>
      </c>
      <c r="B182" s="346" t="s">
        <v>749</v>
      </c>
      <c r="C182" s="344" t="str">
        <f>+VLOOKUP(B182,'Erection Compiled'!$C$7:$D$650,2,FALSE)</f>
        <v>DA+3</v>
      </c>
      <c r="D182" s="350">
        <v>45902</v>
      </c>
      <c r="E182" s="350">
        <v>45902</v>
      </c>
      <c r="F182" s="344" t="s">
        <v>1026</v>
      </c>
      <c r="G182" s="344" t="s">
        <v>1028</v>
      </c>
      <c r="H182" s="344"/>
    </row>
    <row r="183" spans="1:8" x14ac:dyDescent="0.25">
      <c r="A183" s="344">
        <f>+SUBTOTAL(3,$E$6:$E183)</f>
        <v>178</v>
      </c>
      <c r="B183" s="346" t="s">
        <v>740</v>
      </c>
      <c r="C183" s="344" t="str">
        <f>+VLOOKUP(B183,'Erection Compiled'!$C$7:$D$650,2,FALSE)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Compiled'!$C$7:$D$650,2,FALSE)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Compiled'!$C$7:$D$650,2,FALSE)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Compiled'!$C$7:$D$650,2,FALSE)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Compiled'!$C$7:$D$650,2,FALSE)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Compiled'!$C$7:$D$650,2,FALSE)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Compiled'!$C$7:$D$650,2,FALSE)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Compiled'!$C$7:$D$650,2,FALSE)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Compiled'!$C$7:$D$650,2,FALSE)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Compiled'!$C$7:$D$650,2,FALSE)</f>
        <v>DA+6</v>
      </c>
      <c r="D192" s="350">
        <v>45924</v>
      </c>
      <c r="E192" s="350">
        <v>45924</v>
      </c>
      <c r="F192" s="344" t="s">
        <v>1026</v>
      </c>
      <c r="G192" s="344" t="s">
        <v>1028</v>
      </c>
      <c r="H192" s="344"/>
    </row>
    <row r="193" spans="1:8" x14ac:dyDescent="0.25">
      <c r="A193" s="344">
        <f>+SUBTOTAL(3,$E$6:$E193)</f>
        <v>188</v>
      </c>
      <c r="B193" s="346" t="s">
        <v>841</v>
      </c>
      <c r="C193" s="344" t="str">
        <f>+VLOOKUP(B193,'Erection Compiled'!$C$7:$D$650,2,FALSE)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Compiled'!$C$7:$D$650,2,FALSE)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Compiled'!$C$7:$D$650,2,FALSE)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Compiled'!$C$7:$D$650,2,FALSE)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Compiled'!$C$7:$D$650,2,FALSE)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Compiled'!$C$7:$D$650,2,FALSE)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Compiled'!$C$7:$D$650,2,FALSE)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Compiled'!$C$7:$D$650,2,FALSE)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Compiled'!$C$7:$D$650,2,FALSE)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Compiled'!$C$7:$D$650,2,FALSE)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Compiled'!$C$7:$D$650,2,FALSE)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Compiled'!$C$7:$D$650,2,FALSE)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Compiled'!$C$7:$D$650,2,FALSE)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Compiled'!$C$7:$D$650,2,FALSE)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Compiled'!$C$7:$D$650,2,FALSE)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Compiled'!$C$7:$D$650,2,FALSE)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Compiled'!$C$7:$D$650,2,FALSE)</f>
        <v>DA+9</v>
      </c>
      <c r="D209" s="350">
        <v>45968</v>
      </c>
      <c r="E209" s="350">
        <v>45968</v>
      </c>
      <c r="F209" s="344" t="s">
        <v>1026</v>
      </c>
      <c r="G209" s="344" t="s">
        <v>1028</v>
      </c>
      <c r="H209" s="344"/>
    </row>
    <row r="210" spans="1:8" x14ac:dyDescent="0.25">
      <c r="A210" s="344">
        <f>+SUBTOTAL(3,$E$6:$E210)</f>
        <v>205</v>
      </c>
      <c r="B210" s="346" t="s">
        <v>714</v>
      </c>
      <c r="C210" s="344" t="str">
        <f>+VLOOKUP(B210,'Erection Compiled'!$C$7:$D$650,2,FALSE)</f>
        <v>DA+6</v>
      </c>
      <c r="D210" s="350">
        <v>45968</v>
      </c>
      <c r="E210" s="350">
        <v>45968</v>
      </c>
      <c r="F210" s="344" t="s">
        <v>1026</v>
      </c>
      <c r="G210" s="344" t="s">
        <v>1028</v>
      </c>
      <c r="H210" s="344"/>
    </row>
    <row r="211" spans="1:8" x14ac:dyDescent="0.25">
      <c r="A211" s="344">
        <f>+SUBTOTAL(3,$E$6:$E211)</f>
        <v>206</v>
      </c>
      <c r="B211" s="346" t="s">
        <v>715</v>
      </c>
      <c r="C211" s="344" t="str">
        <f>+VLOOKUP(B211,'Erection Compiled'!$C$7:$D$650,2,FALSE)</f>
        <v>DA+6</v>
      </c>
      <c r="D211" s="350">
        <v>45968</v>
      </c>
      <c r="E211" s="350">
        <v>45968</v>
      </c>
      <c r="F211" s="344" t="s">
        <v>1026</v>
      </c>
      <c r="G211" s="344" t="s">
        <v>1028</v>
      </c>
      <c r="H211" s="344"/>
    </row>
    <row r="212" spans="1:8" x14ac:dyDescent="0.25">
      <c r="A212" s="344">
        <f>+SUBTOTAL(3,$E$6:$E212)</f>
        <v>207</v>
      </c>
      <c r="B212" s="346" t="s">
        <v>539</v>
      </c>
      <c r="C212" s="344" t="str">
        <f>+VLOOKUP(B212,'Erection Compiled'!$C$7:$D$650,2,FALSE)</f>
        <v>DA+9</v>
      </c>
      <c r="D212" s="350">
        <v>45973</v>
      </c>
      <c r="E212" s="350">
        <v>45973</v>
      </c>
      <c r="F212" s="344" t="s">
        <v>1026</v>
      </c>
      <c r="G212" s="344" t="s">
        <v>1028</v>
      </c>
      <c r="H212" s="344"/>
    </row>
    <row r="213" spans="1:8" x14ac:dyDescent="0.25">
      <c r="A213" s="344">
        <f>+SUBTOTAL(3,$E$6:$E213)</f>
        <v>208</v>
      </c>
      <c r="B213" s="346" t="s">
        <v>541</v>
      </c>
      <c r="C213" s="344" t="str">
        <f>+VLOOKUP(B213,'Erection Compiled'!$C$7:$D$650,2,FALSE)</f>
        <v>DA+0</v>
      </c>
      <c r="D213" s="350">
        <v>45975</v>
      </c>
      <c r="E213" s="350">
        <v>45975</v>
      </c>
      <c r="F213" s="344" t="s">
        <v>1026</v>
      </c>
      <c r="G213" s="344" t="s">
        <v>1028</v>
      </c>
      <c r="H213" s="344"/>
    </row>
    <row r="214" spans="1:8" x14ac:dyDescent="0.25">
      <c r="A214" s="344">
        <f>+SUBTOTAL(3,$E$6:$E214)</f>
        <v>209</v>
      </c>
      <c r="B214" s="346" t="s">
        <v>542</v>
      </c>
      <c r="C214" s="344" t="str">
        <f>+VLOOKUP(B214,'Erection Compiled'!$C$7:$D$650,2,FALSE)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Compiled'!$C$7:$D$650,2,FALSE)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Compiled'!$C$7:$D$650,2,FALSE)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Compiled'!$C$7:$D$650,2,FALSE)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Compiled'!$C$7:$D$650,2,FALSE)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Compiled'!$C$7:$D$650,2,FALSE)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Compiled'!$C$7:$D$650,2,FALSE)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Compiled'!$C$7:$D$650,2,FALSE)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Compiled'!$C$7:$D$650,2,FALSE)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Compiled'!$C$7:$D$650,2,FALSE)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Compiled'!$C$7:$D$650,2,FALSE)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Compiled'!$C$7:$D$650,2,FALSE)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Compiled'!$C$7:$D$650,2,FALSE)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Compiled'!$C$7:$D$650,2,FALSE)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Compiled'!$C$7:$D$650,2,FALSE)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Compiled'!$C$7:$D$650,2,FALSE)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Compiled'!$C$7:$D$650,2,FALSE)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Compiled'!$C$7:$D$650,2,FALSE)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Compiled'!$C$7:$D$650,2,FALSE)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Compiled'!$C$7:$D$650,2,FALSE)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Compiled'!$C$7:$D$650,2,FALSE)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Compiled'!$C$7:$D$650,2,FALSE)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Compiled'!$C$7:$D$650,2,FALSE)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Compiled'!$C$7:$D$650,2,FALSE)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Compiled'!$C$7:$D$650,2,FALSE)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Compiled'!$C$7:$D$650,2,FALSE)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Compiled'!$C$7:$D$650,2,FALSE)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Compiled'!$C$7:$D$650,2,FALSE)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Compiled'!$C$7:$D$650,2,FALSE)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Compiled'!$C$7:$D$650,2,FALSE)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Compiled'!$C$7:$D$650,2,FALSE)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Compiled'!$C$7:$D$650,2,FALSE)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Compiled'!$C$7:$D$650,2,FALSE)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Compiled'!$C$7:$D$650,2,FALSE)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Compiled'!$C$7:$D$650,2,FALSE)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Compiled'!$C$7:$D$650,2,FALSE)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Compiled'!$C$7:$D$650,2,FALSE)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Compiled'!$C$7:$D$650,2,FALSE)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Compiled'!$C$7:$D$650,2,FALSE)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Compiled'!$C$7:$D$650,2,FALSE)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Compiled'!$C$7:$D$650,2,FALSE)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Compiled'!$C$7:$D$650,2,FALSE)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Compiled'!$C$7:$D$650,2,FALSE)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Compiled'!$C$7:$D$650,2,FALSE)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Compiled'!$C$7:$D$650,2,FALSE)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Compiled'!$C$7:$D$650,2,FALSE)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Compiled'!$C$7:$D$650,2,FALSE)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Compiled'!$C$7:$D$650,2,FALSE)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Compiled'!$C$7:$D$650,2,FALSE)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Compiled'!$C$7:$D$650,2,FALSE)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Compiled'!$C$7:$D$650,2,FALSE)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Compiled'!$C$7:$D$650,2,FALSE)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Compiled'!$C$7:$D$650,2,FALSE)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Compiled'!$C$7:$D$650,2,FALSE)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Compiled'!$C$7:$D$650,2,FALSE)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Compiled'!$C$7:$D$650,2,FALSE)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Compiled'!$C$7:$D$650,2,FALSE)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Compiled'!$C$7:$D$650,2,FALSE)</f>
        <v>DA+3</v>
      </c>
      <c r="D271" s="602">
        <v>46030</v>
      </c>
      <c r="E271" s="602">
        <v>46030</v>
      </c>
      <c r="F271" s="344" t="s">
        <v>1615</v>
      </c>
      <c r="G271" s="344" t="s">
        <v>1028</v>
      </c>
      <c r="H271" s="344"/>
    </row>
    <row r="272" spans="1:8" x14ac:dyDescent="0.25">
      <c r="A272" s="344">
        <f>+SUBTOTAL(3,$E$6:$E272)</f>
        <v>267</v>
      </c>
      <c r="B272" s="344" t="s">
        <v>455</v>
      </c>
      <c r="C272" s="344" t="str">
        <f>+VLOOKUP(B272,'Erection Compiled'!$C$7:$D$650,2,FALSE)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Compiled'!$C$7:$D$650,2,FALSE)</f>
        <v>DA+3</v>
      </c>
      <c r="D273" s="602">
        <v>46030</v>
      </c>
      <c r="E273" s="602">
        <v>46030</v>
      </c>
      <c r="F273" s="344" t="s">
        <v>1615</v>
      </c>
      <c r="G273" s="344" t="s">
        <v>1028</v>
      </c>
      <c r="H273" s="344"/>
    </row>
    <row r="274" spans="1:8" x14ac:dyDescent="0.25">
      <c r="A274" s="344">
        <f>+SUBTOTAL(3,$E$6:$E274)</f>
        <v>269</v>
      </c>
      <c r="B274" s="344" t="s">
        <v>167</v>
      </c>
      <c r="C274" s="344" t="str">
        <f>+VLOOKUP(B274,'Erection Compiled'!$C$7:$D$650,2,FALSE)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Compiled'!$C$7:$D$650,2,FALSE)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Compiled'!$C$7:$D$650,2,FALSE)</f>
        <v>DA+0</v>
      </c>
      <c r="D276" s="602">
        <v>46031</v>
      </c>
      <c r="E276" s="602">
        <v>46031</v>
      </c>
      <c r="F276" s="344" t="s">
        <v>1669</v>
      </c>
      <c r="G276" s="344" t="s">
        <v>1028</v>
      </c>
      <c r="H276" s="344"/>
    </row>
    <row r="277" spans="1:8" x14ac:dyDescent="0.25">
      <c r="A277" s="344">
        <f>+SUBTOTAL(3,$E$6:$E277)</f>
        <v>272</v>
      </c>
      <c r="B277" s="346" t="s">
        <v>205</v>
      </c>
      <c r="C277" s="344" t="str">
        <f>+VLOOKUP(B277,'Erection Compiled'!$C$7:$D$650,2,FALSE)</f>
        <v>DA+0</v>
      </c>
      <c r="D277" s="602">
        <v>46035</v>
      </c>
      <c r="E277" s="602">
        <v>46035</v>
      </c>
      <c r="F277" s="344" t="s">
        <v>1669</v>
      </c>
      <c r="G277" s="344" t="s">
        <v>1028</v>
      </c>
      <c r="H277" s="344"/>
    </row>
    <row r="278" spans="1:8" x14ac:dyDescent="0.25">
      <c r="A278" s="344">
        <f>+SUBTOTAL(3,$E$6:$E278)</f>
        <v>273</v>
      </c>
      <c r="B278" s="346" t="s">
        <v>185</v>
      </c>
      <c r="C278" s="344" t="str">
        <f>+VLOOKUP(B278,'Erection Compiled'!$C$7:$D$650,2,FALSE)</f>
        <v>DA+6</v>
      </c>
      <c r="D278" s="602">
        <v>46038</v>
      </c>
      <c r="E278" s="602">
        <v>46038</v>
      </c>
      <c r="F278" s="344" t="s">
        <v>1669</v>
      </c>
      <c r="G278" s="344" t="s">
        <v>1028</v>
      </c>
      <c r="H278" s="344"/>
    </row>
    <row r="279" spans="1:8" x14ac:dyDescent="0.25">
      <c r="A279" s="344">
        <f>+SUBTOTAL(3,$E$6:$E279)</f>
        <v>274</v>
      </c>
      <c r="B279" s="346" t="s">
        <v>84</v>
      </c>
      <c r="C279" s="344" t="str">
        <f>+VLOOKUP(B279,'Erection Compiled'!$C$7:$D$650,2,FALSE)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Compiled'!$C$7:$D$650,2,FALSE)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Compiled'!$C$7:$D$650,2,FALSE)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Compiled'!$C$7:$D$650,2,FALSE)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Compiled'!$C$7:$D$650,2,FALSE)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Compiled'!$C$7:$D$650,2,FALSE)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Compiled'!$C$7:$D$650,2,FALSE)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Compiled'!$C$7:$D$650,2,FALSE)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Compiled'!$C$7:$D$650,2,FALSE)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Compiled'!$C$7:$D$650,2,FALSE)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Compiled'!$C$7:$D$650,2,FALSE)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Compiled'!$C$7:$D$650,2,FALSE)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Compiled'!$C$7:$D$650,2,FALSE)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Compiled'!$C$7:$D$650,2,FALSE)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Compiled'!$C$7:$D$650,2,FALSE)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Compiled'!$C$7:$D$650,2,FALSE)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Compiled'!$C$7:$D$650,2,FALSE)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Compiled'!$C$7:$D$650,2,FALSE)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Compiled'!$C$7:$D$650,2,FALSE)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Compiled'!$C$7:$D$650,2,FALSE)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Compiled'!$C$7:$D$650,2,FALSE)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Compiled'!$C$7:$D$650,2,FALSE)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Compiled'!$C$7:$D$650,2,FALSE)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Compiled'!$C$7:$D$650,2,FALSE)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Compiled'!$C$7:$D$650,2,FALSE)</f>
        <v>DA+0</v>
      </c>
      <c r="D303" s="602">
        <v>46055</v>
      </c>
      <c r="E303" s="602">
        <v>46055</v>
      </c>
      <c r="F303" s="344" t="s">
        <v>1669</v>
      </c>
      <c r="G303" s="344" t="s">
        <v>1028</v>
      </c>
      <c r="H303" s="344"/>
    </row>
    <row r="304" spans="1:8" x14ac:dyDescent="0.25">
      <c r="A304" s="344">
        <f>+SUBTOTAL(3,$E$6:$E304)</f>
        <v>299</v>
      </c>
      <c r="B304" s="346" t="s">
        <v>179</v>
      </c>
      <c r="C304" s="344" t="str">
        <f>+VLOOKUP(B304,'Erection Compiled'!$C$7:$D$650,2,FALSE)</f>
        <v>DA+3</v>
      </c>
      <c r="D304" s="602">
        <v>46055</v>
      </c>
      <c r="E304" s="602">
        <v>46055</v>
      </c>
      <c r="F304" s="344" t="s">
        <v>1669</v>
      </c>
      <c r="G304" s="344" t="s">
        <v>1028</v>
      </c>
      <c r="H304" s="344"/>
    </row>
    <row r="305" spans="1:8" x14ac:dyDescent="0.25">
      <c r="A305" s="344"/>
      <c r="B305" s="346"/>
      <c r="C305" s="344"/>
      <c r="D305" s="602"/>
      <c r="E305" s="602"/>
      <c r="F305" s="344"/>
      <c r="G305" s="344"/>
      <c r="H305" s="344"/>
    </row>
    <row r="306" spans="1:8" x14ac:dyDescent="0.25">
      <c r="A306" s="344"/>
      <c r="B306" s="344"/>
      <c r="C306" s="344"/>
      <c r="D306" s="344"/>
      <c r="E306" s="344"/>
      <c r="F306" s="344"/>
      <c r="G306" s="344"/>
      <c r="H306" s="344"/>
    </row>
    <row r="307" spans="1:8" x14ac:dyDescent="0.25">
      <c r="A307" s="397"/>
      <c r="B307" s="397"/>
      <c r="C307" s="397"/>
      <c r="D307" s="397"/>
      <c r="E307" s="397"/>
      <c r="F307" s="397"/>
      <c r="G307" s="397"/>
      <c r="H307" s="397"/>
    </row>
  </sheetData>
  <autoFilter ref="F1:F307"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1"/>
  <sheetViews>
    <sheetView workbookViewId="0">
      <pane ySplit="5" topLeftCell="A24" activePane="bottomLeft" state="frozen"/>
      <selection activeCell="N9" sqref="N9"/>
      <selection pane="bottomLeft" activeCell="A37" sqref="A37"/>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7" t="s">
        <v>12</v>
      </c>
      <c r="B3" s="917"/>
      <c r="C3" s="917"/>
      <c r="D3" s="917"/>
      <c r="E3" s="917"/>
      <c r="F3" s="917"/>
      <c r="G3" s="917"/>
      <c r="H3" s="917"/>
      <c r="I3" s="917"/>
      <c r="J3" s="917"/>
      <c r="K3" s="917"/>
      <c r="L3" s="917"/>
      <c r="M3" s="917"/>
      <c r="N3" s="917"/>
    </row>
    <row r="4" spans="1:14" ht="15" customHeight="1" x14ac:dyDescent="0.25">
      <c r="A4" s="921" t="s">
        <v>22</v>
      </c>
      <c r="B4" s="921" t="s">
        <v>13</v>
      </c>
      <c r="C4" s="921"/>
      <c r="D4" s="921" t="s">
        <v>120</v>
      </c>
      <c r="E4" s="921" t="s">
        <v>7</v>
      </c>
      <c r="F4" s="921" t="s">
        <v>14</v>
      </c>
      <c r="G4" s="922" t="s">
        <v>1401</v>
      </c>
      <c r="H4" s="922"/>
      <c r="I4" s="922"/>
      <c r="J4" s="918" t="s">
        <v>11</v>
      </c>
      <c r="K4" s="919"/>
      <c r="L4" s="919"/>
      <c r="M4" s="919"/>
      <c r="N4" s="920"/>
    </row>
    <row r="5" spans="1:14" ht="25.5" x14ac:dyDescent="0.25">
      <c r="A5" s="921"/>
      <c r="B5" s="470" t="s">
        <v>118</v>
      </c>
      <c r="C5" s="469" t="s">
        <v>119</v>
      </c>
      <c r="D5" s="921"/>
      <c r="E5" s="921"/>
      <c r="F5" s="921"/>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784" customFormat="1" x14ac:dyDescent="0.25">
      <c r="A30" s="778">
        <v>24</v>
      </c>
      <c r="B30" s="779" t="s">
        <v>94</v>
      </c>
      <c r="C30" s="778" t="s">
        <v>95</v>
      </c>
      <c r="D30" s="778" t="s">
        <v>1035</v>
      </c>
      <c r="E30" s="780" t="s">
        <v>1621</v>
      </c>
      <c r="F30" s="781">
        <v>3.2869999999999999</v>
      </c>
      <c r="G30" s="607">
        <f t="shared" si="0"/>
        <v>3.2869999999999999</v>
      </c>
      <c r="H30" s="708">
        <v>46041</v>
      </c>
      <c r="I30" s="708">
        <v>46046</v>
      </c>
      <c r="J30" s="607">
        <f t="shared" si="2"/>
        <v>3.2869999999999999</v>
      </c>
      <c r="K30" s="708">
        <v>46051</v>
      </c>
      <c r="L30" s="708">
        <v>46053</v>
      </c>
      <c r="M30" s="670" t="s">
        <v>1636</v>
      </c>
      <c r="N30" s="404">
        <v>46023</v>
      </c>
      <c r="O30" s="783"/>
    </row>
    <row r="31" spans="1:15" s="784" customFormat="1" x14ac:dyDescent="0.25">
      <c r="A31" s="778">
        <v>25</v>
      </c>
      <c r="B31" s="779" t="s">
        <v>164</v>
      </c>
      <c r="C31" s="779" t="s">
        <v>476</v>
      </c>
      <c r="D31" s="778" t="s">
        <v>1035</v>
      </c>
      <c r="E31" s="780" t="s">
        <v>1660</v>
      </c>
      <c r="F31" s="781">
        <v>4.95</v>
      </c>
      <c r="G31" s="607">
        <f t="shared" si="0"/>
        <v>4.95</v>
      </c>
      <c r="H31" s="708">
        <v>46036</v>
      </c>
      <c r="I31" s="708">
        <v>46044</v>
      </c>
      <c r="J31" s="778"/>
      <c r="K31" s="708">
        <v>46058</v>
      </c>
      <c r="L31" s="708"/>
      <c r="M31" s="780" t="s">
        <v>1755</v>
      </c>
      <c r="N31" s="782"/>
      <c r="O31" s="783"/>
    </row>
    <row r="32" spans="1:15" s="784" customFormat="1" x14ac:dyDescent="0.25">
      <c r="A32" s="778">
        <v>26</v>
      </c>
      <c r="B32" s="779" t="s">
        <v>90</v>
      </c>
      <c r="C32" s="778" t="s">
        <v>691</v>
      </c>
      <c r="D32" s="778" t="s">
        <v>1035</v>
      </c>
      <c r="E32" s="780" t="s">
        <v>1679</v>
      </c>
      <c r="F32" s="781">
        <v>4.4770000000000003</v>
      </c>
      <c r="G32" s="607">
        <f t="shared" si="0"/>
        <v>4.4770000000000003</v>
      </c>
      <c r="H32" s="708">
        <v>46048</v>
      </c>
      <c r="I32" s="708">
        <v>46053</v>
      </c>
      <c r="J32" s="607">
        <f t="shared" si="2"/>
        <v>4.4770000000000003</v>
      </c>
      <c r="K32" s="708">
        <v>46050</v>
      </c>
      <c r="L32" s="708">
        <v>46053</v>
      </c>
      <c r="M32" s="670" t="s">
        <v>1636</v>
      </c>
      <c r="N32" s="404">
        <v>46023</v>
      </c>
      <c r="O32" s="783"/>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1682</v>
      </c>
      <c r="N33" s="782"/>
      <c r="O33" s="783"/>
    </row>
    <row r="34" spans="1:15" s="784" customFormat="1" x14ac:dyDescent="0.25">
      <c r="A34" s="778">
        <v>28</v>
      </c>
      <c r="B34" s="779" t="s">
        <v>691</v>
      </c>
      <c r="C34" s="778" t="s">
        <v>91</v>
      </c>
      <c r="D34" s="778" t="s">
        <v>1035</v>
      </c>
      <c r="E34" s="780" t="s">
        <v>1679</v>
      </c>
      <c r="F34" s="781">
        <v>0.83</v>
      </c>
      <c r="G34" s="714">
        <f t="shared" ref="G34:G35"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s="784" customFormat="1" x14ac:dyDescent="0.25">
      <c r="A36" s="778">
        <v>30</v>
      </c>
      <c r="B36" s="779" t="s">
        <v>679</v>
      </c>
      <c r="C36" s="779" t="s">
        <v>89</v>
      </c>
      <c r="D36" s="778" t="s">
        <v>1035</v>
      </c>
      <c r="E36" s="780" t="s">
        <v>1679</v>
      </c>
      <c r="F36" s="781">
        <v>0.70145999999999997</v>
      </c>
      <c r="G36" s="714"/>
      <c r="H36" s="708"/>
      <c r="I36" s="708"/>
      <c r="J36" s="714"/>
      <c r="K36" s="708"/>
      <c r="L36" s="708"/>
      <c r="M36" s="780" t="s">
        <v>1682</v>
      </c>
      <c r="N36" s="782"/>
      <c r="O36" s="783"/>
    </row>
    <row r="37" spans="1:15" x14ac:dyDescent="0.25">
      <c r="A37" s="405"/>
      <c r="B37" s="405"/>
      <c r="C37" s="405"/>
      <c r="D37" s="405"/>
      <c r="E37" s="405"/>
      <c r="F37" s="405"/>
      <c r="G37" s="405"/>
      <c r="H37" s="407"/>
      <c r="I37" s="407"/>
      <c r="J37" s="405"/>
      <c r="K37" s="405"/>
      <c r="L37" s="405"/>
      <c r="M37" s="405"/>
      <c r="N37" s="404"/>
    </row>
    <row r="38" spans="1:15" s="399" customFormat="1" x14ac:dyDescent="0.25">
      <c r="A38" s="914" t="s">
        <v>136</v>
      </c>
      <c r="B38" s="915"/>
      <c r="C38" s="915"/>
      <c r="D38" s="915"/>
      <c r="E38" s="916"/>
      <c r="F38" s="746">
        <f>+SUM(F6:F37)</f>
        <v>85.521740000000008</v>
      </c>
      <c r="G38" s="716">
        <f>+SUM(G6:G37)</f>
        <v>81.480280000000008</v>
      </c>
      <c r="H38" s="716"/>
      <c r="I38" s="716"/>
      <c r="J38" s="761">
        <f>+SUM(J6:J37)</f>
        <v>76.530280000000005</v>
      </c>
      <c r="K38" s="409"/>
      <c r="L38" s="409"/>
      <c r="M38" s="409"/>
      <c r="N38" s="409"/>
      <c r="O38" s="710"/>
    </row>
    <row r="39" spans="1:15" x14ac:dyDescent="0.25">
      <c r="J39" s="790"/>
    </row>
    <row r="40" spans="1:15" ht="17.25" x14ac:dyDescent="0.25">
      <c r="F40" s="398" t="s">
        <v>1638</v>
      </c>
      <c r="G40" s="472">
        <f>F38-G38</f>
        <v>4.0414600000000007</v>
      </c>
      <c r="J40" s="715"/>
    </row>
    <row r="41" spans="1:15" x14ac:dyDescent="0.25">
      <c r="F41" s="398" t="s">
        <v>1634</v>
      </c>
      <c r="G41" s="472">
        <f>G38-J38</f>
        <v>4.9500000000000028</v>
      </c>
      <c r="J41" s="398">
        <f>J38-J40</f>
        <v>76.530280000000005</v>
      </c>
    </row>
  </sheetData>
  <autoFilter ref="A5:N36" xr:uid="{7D901AC7-2B41-4C8E-919F-B6C2B68B5696}"/>
  <mergeCells count="9">
    <mergeCell ref="A38:E38"/>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3" t="s">
        <v>1036</v>
      </c>
      <c r="B2" s="923"/>
      <c r="C2" s="923"/>
      <c r="D2" s="923"/>
      <c r="E2" s="923"/>
      <c r="F2" s="923"/>
      <c r="G2" s="923"/>
      <c r="H2" s="923"/>
      <c r="I2" s="923"/>
      <c r="J2" s="923"/>
      <c r="K2" s="923"/>
      <c r="L2" s="923"/>
      <c r="M2" s="923"/>
      <c r="N2" s="923"/>
      <c r="O2" s="923"/>
      <c r="P2" s="923"/>
      <c r="Q2" s="923"/>
      <c r="R2" s="923"/>
      <c r="S2" s="923"/>
      <c r="T2" s="923"/>
      <c r="U2" s="923"/>
      <c r="V2" s="923"/>
      <c r="W2" s="923"/>
      <c r="X2" s="923"/>
      <c r="Y2" s="923"/>
      <c r="Z2" s="923"/>
      <c r="AA2" s="923"/>
    </row>
    <row r="3" spans="1:27" ht="15.75" customHeight="1" x14ac:dyDescent="0.25">
      <c r="A3" s="927" t="s">
        <v>1152</v>
      </c>
      <c r="B3" s="928"/>
      <c r="C3" s="928"/>
      <c r="D3" s="928"/>
      <c r="E3" s="928"/>
      <c r="F3" s="928"/>
      <c r="G3" s="928"/>
      <c r="H3" s="928"/>
      <c r="I3" s="929"/>
      <c r="J3" s="923" t="s">
        <v>1037</v>
      </c>
      <c r="K3" s="923"/>
      <c r="L3" s="927" t="s">
        <v>1038</v>
      </c>
      <c r="M3" s="928"/>
      <c r="N3" s="928"/>
      <c r="O3" s="929"/>
      <c r="P3" s="927" t="s">
        <v>1039</v>
      </c>
      <c r="Q3" s="928"/>
      <c r="R3" s="928"/>
      <c r="S3" s="928"/>
      <c r="T3" s="929"/>
      <c r="U3" s="927" t="s">
        <v>1040</v>
      </c>
      <c r="V3" s="928"/>
      <c r="W3" s="928"/>
      <c r="X3" s="928"/>
      <c r="Y3" s="928"/>
      <c r="Z3" s="929"/>
      <c r="AA3" s="924"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5"/>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6" t="s">
        <v>1150</v>
      </c>
      <c r="B980" s="926"/>
      <c r="C980" s="926"/>
      <c r="D980" s="926"/>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6" t="s">
        <v>1151</v>
      </c>
      <c r="B981" s="926"/>
      <c r="C981" s="926"/>
      <c r="D981" s="926"/>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1741</v>
      </c>
      <c r="E982" s="570">
        <f>202*36*100.75%</f>
        <v>7326.5400000000009</v>
      </c>
      <c r="H982" s="570">
        <f>H981/1000</f>
        <v>6992.6746499999999</v>
      </c>
      <c r="I982" s="570">
        <f>E982+H982</f>
        <v>14319.214650000002</v>
      </c>
    </row>
    <row r="983" spans="1:27" x14ac:dyDescent="0.25">
      <c r="D983" s="570" t="s">
        <v>1742</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46058</v>
      </c>
    </row>
    <row r="2" spans="1:42" s="349" customFormat="1" ht="12.75" customHeight="1" x14ac:dyDescent="0.25">
      <c r="A2" s="930" t="s">
        <v>303</v>
      </c>
      <c r="B2" s="930" t="s">
        <v>1362</v>
      </c>
      <c r="C2" s="932" t="s">
        <v>1368</v>
      </c>
      <c r="D2" s="933"/>
      <c r="E2" s="934"/>
      <c r="F2" s="932" t="s">
        <v>15</v>
      </c>
      <c r="G2" s="933"/>
      <c r="H2" s="933"/>
      <c r="I2" s="933"/>
      <c r="J2" s="933"/>
      <c r="K2" s="933"/>
      <c r="L2" s="933"/>
      <c r="M2" s="933"/>
      <c r="N2" s="933"/>
      <c r="O2" s="933"/>
      <c r="P2" s="933"/>
      <c r="Q2" s="933"/>
      <c r="R2" s="933"/>
      <c r="S2" s="933"/>
      <c r="T2" s="933"/>
      <c r="U2" s="933"/>
      <c r="V2" s="933"/>
      <c r="W2" s="933"/>
      <c r="X2" s="933"/>
      <c r="Y2" s="933"/>
      <c r="Z2" s="933"/>
      <c r="AA2" s="933"/>
      <c r="AB2" s="933"/>
      <c r="AC2" s="933"/>
      <c r="AD2" s="933"/>
      <c r="AE2" s="933"/>
      <c r="AF2" s="933"/>
      <c r="AG2" s="933"/>
      <c r="AH2" s="933"/>
      <c r="AI2" s="933"/>
      <c r="AJ2" s="933"/>
      <c r="AK2" s="930" t="s">
        <v>1371</v>
      </c>
      <c r="AL2" s="930" t="s">
        <v>1369</v>
      </c>
      <c r="AM2" s="937" t="s">
        <v>6</v>
      </c>
      <c r="AN2" s="930" t="s">
        <v>1363</v>
      </c>
      <c r="AO2" s="939" t="s">
        <v>1171</v>
      </c>
      <c r="AP2" s="930" t="s">
        <v>1370</v>
      </c>
    </row>
    <row r="3" spans="1:42" ht="53.25" x14ac:dyDescent="0.2">
      <c r="A3" s="931"/>
      <c r="B3" s="931"/>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1"/>
      <c r="AL3" s="931"/>
      <c r="AM3" s="938"/>
      <c r="AN3" s="931"/>
      <c r="AO3" s="940"/>
      <c r="AP3" s="931"/>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5"/>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6"/>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0" activePane="bottomLeft" state="frozen"/>
      <selection activeCell="N9" sqref="N9"/>
      <selection pane="bottomLeft" activeCell="N25" sqref="N2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3" t="s">
        <v>1153</v>
      </c>
      <c r="B3" s="943"/>
      <c r="C3" s="943"/>
      <c r="D3" s="943"/>
      <c r="E3" s="943"/>
      <c r="F3" s="943"/>
      <c r="G3" s="943"/>
      <c r="H3" s="943"/>
      <c r="I3" s="943"/>
      <c r="J3" s="943"/>
      <c r="K3" s="943"/>
      <c r="L3" s="943"/>
      <c r="M3" s="943"/>
      <c r="N3" s="943"/>
      <c r="O3" s="943"/>
      <c r="P3" s="943"/>
    </row>
    <row r="4" spans="1:16" x14ac:dyDescent="0.25">
      <c r="A4" s="943" t="s">
        <v>22</v>
      </c>
      <c r="B4" s="943" t="s">
        <v>13</v>
      </c>
      <c r="C4" s="943"/>
      <c r="D4" s="943" t="s">
        <v>7</v>
      </c>
      <c r="E4" s="943" t="s">
        <v>14</v>
      </c>
      <c r="F4" s="942" t="s">
        <v>1154</v>
      </c>
      <c r="G4" s="942"/>
      <c r="H4" s="942"/>
      <c r="I4" s="942"/>
      <c r="J4" s="943" t="s">
        <v>11</v>
      </c>
      <c r="K4" s="943"/>
      <c r="L4" s="943"/>
      <c r="M4" s="943"/>
      <c r="N4" s="944" t="s">
        <v>1161</v>
      </c>
      <c r="O4" s="944" t="s">
        <v>1155</v>
      </c>
      <c r="P4" s="944" t="s">
        <v>1156</v>
      </c>
    </row>
    <row r="5" spans="1:16" ht="25.5" x14ac:dyDescent="0.25">
      <c r="A5" s="943"/>
      <c r="B5" s="412" t="s">
        <v>118</v>
      </c>
      <c r="C5" s="411" t="s">
        <v>119</v>
      </c>
      <c r="D5" s="943"/>
      <c r="E5" s="943"/>
      <c r="F5" s="411" t="s">
        <v>14</v>
      </c>
      <c r="G5" s="411" t="s">
        <v>6</v>
      </c>
      <c r="H5" s="411" t="s">
        <v>5</v>
      </c>
      <c r="I5" s="411" t="s">
        <v>9</v>
      </c>
      <c r="J5" s="411" t="s">
        <v>14</v>
      </c>
      <c r="K5" s="411" t="s">
        <v>6</v>
      </c>
      <c r="L5" s="411" t="s">
        <v>5</v>
      </c>
      <c r="M5" s="411" t="s">
        <v>9</v>
      </c>
      <c r="N5" s="945"/>
      <c r="O5" s="945"/>
      <c r="P5" s="945"/>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4" si="0">E7</f>
        <v>3.778</v>
      </c>
      <c r="G7" s="415">
        <v>45700</v>
      </c>
      <c r="H7" s="415">
        <v>45701</v>
      </c>
      <c r="I7" s="415"/>
      <c r="J7" s="776">
        <f t="shared" ref="J7:J24"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v>19</v>
      </c>
      <c r="B24" s="413" t="s">
        <v>90</v>
      </c>
      <c r="C24" s="413" t="s">
        <v>691</v>
      </c>
      <c r="D24" s="414" t="s">
        <v>1158</v>
      </c>
      <c r="E24" s="422">
        <v>4.4770000000000003</v>
      </c>
      <c r="F24" s="422">
        <f t="shared" si="0"/>
        <v>4.4770000000000003</v>
      </c>
      <c r="G24" s="415">
        <v>46058</v>
      </c>
      <c r="H24" s="415">
        <v>46058</v>
      </c>
      <c r="I24" s="413"/>
      <c r="J24" s="413">
        <f t="shared" si="1"/>
        <v>4.4770000000000003</v>
      </c>
      <c r="K24" s="415">
        <v>46058</v>
      </c>
      <c r="L24" s="415">
        <v>46058</v>
      </c>
      <c r="M24" s="416" t="s">
        <v>1034</v>
      </c>
      <c r="N24" s="417">
        <v>46054</v>
      </c>
      <c r="O24" s="416"/>
      <c r="P24" s="416"/>
    </row>
    <row r="25" spans="1:16" x14ac:dyDescent="0.25">
      <c r="A25" s="413"/>
      <c r="B25" s="413"/>
      <c r="C25" s="413"/>
      <c r="D25" s="416"/>
      <c r="E25" s="422"/>
      <c r="F25" s="422"/>
      <c r="G25" s="415"/>
      <c r="H25" s="415"/>
      <c r="I25" s="413"/>
      <c r="J25" s="413"/>
      <c r="K25" s="416"/>
      <c r="L25" s="416"/>
      <c r="M25" s="416"/>
      <c r="N25" s="416"/>
      <c r="O25" s="416"/>
      <c r="P25" s="416"/>
    </row>
    <row r="26" spans="1:16" x14ac:dyDescent="0.25">
      <c r="A26" s="413"/>
      <c r="B26" s="413"/>
      <c r="C26" s="413"/>
      <c r="D26" s="416"/>
      <c r="E26" s="422"/>
      <c r="F26" s="422"/>
      <c r="G26" s="415"/>
      <c r="H26" s="415"/>
      <c r="I26" s="413"/>
      <c r="J26" s="413"/>
      <c r="K26" s="416"/>
      <c r="L26" s="416"/>
      <c r="M26" s="416"/>
      <c r="N26" s="416"/>
      <c r="O26" s="416"/>
      <c r="P26" s="416"/>
    </row>
    <row r="27" spans="1:16" x14ac:dyDescent="0.25">
      <c r="A27" s="413"/>
      <c r="B27" s="413"/>
      <c r="C27" s="413"/>
      <c r="D27" s="413"/>
      <c r="E27" s="413"/>
      <c r="F27" s="413"/>
      <c r="G27" s="415"/>
      <c r="H27" s="415"/>
      <c r="I27" s="415"/>
      <c r="J27" s="413"/>
      <c r="K27" s="413"/>
      <c r="L27" s="413"/>
      <c r="M27" s="413"/>
      <c r="N27" s="413"/>
      <c r="O27" s="416"/>
      <c r="P27" s="416"/>
    </row>
    <row r="28" spans="1:16" s="425" customFormat="1" x14ac:dyDescent="0.25">
      <c r="A28" s="941" t="s">
        <v>136</v>
      </c>
      <c r="B28" s="941"/>
      <c r="C28" s="941"/>
      <c r="D28" s="423"/>
      <c r="E28" s="423">
        <f>+SUM(E6:E27)</f>
        <v>68.749799999999993</v>
      </c>
      <c r="F28" s="423"/>
      <c r="G28" s="423"/>
      <c r="H28" s="423"/>
      <c r="I28" s="423"/>
      <c r="J28" s="423">
        <f>+SUM(J6:J27)</f>
        <v>68.749799999999993</v>
      </c>
      <c r="K28" s="423"/>
      <c r="L28" s="423"/>
      <c r="M28" s="423"/>
      <c r="N28" s="423"/>
      <c r="O28" s="424"/>
      <c r="P28" s="424"/>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8" zoomScale="84" zoomScaleNormal="90" workbookViewId="0">
      <selection activeCell="N167" sqref="N167:AH167"/>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3" t="s">
        <v>914</v>
      </c>
      <c r="D3" s="984"/>
      <c r="E3" s="984"/>
      <c r="F3" s="984"/>
      <c r="G3" s="984"/>
      <c r="H3" s="984"/>
      <c r="I3" s="984"/>
      <c r="J3" s="984"/>
      <c r="K3" s="984"/>
      <c r="L3" s="984"/>
      <c r="M3" s="984"/>
      <c r="N3" s="984"/>
      <c r="O3" s="984"/>
      <c r="P3" s="984"/>
      <c r="Q3" s="984"/>
      <c r="R3" s="985"/>
      <c r="S3" s="989" t="s">
        <v>400</v>
      </c>
      <c r="T3" s="990"/>
      <c r="U3" s="990"/>
      <c r="V3" s="990"/>
      <c r="W3" s="990"/>
      <c r="X3" s="990"/>
      <c r="Y3" s="990"/>
      <c r="Z3" s="991"/>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86">
        <f ca="1">+TODAY()</f>
        <v>46058</v>
      </c>
      <c r="J4" s="987"/>
      <c r="K4" s="987"/>
      <c r="L4" s="987"/>
      <c r="M4" s="987"/>
      <c r="N4" s="987"/>
      <c r="O4" s="987"/>
      <c r="P4" s="987"/>
      <c r="Q4" s="987"/>
      <c r="R4" s="988"/>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8" t="s">
        <v>303</v>
      </c>
      <c r="D5" s="960"/>
      <c r="E5" s="958" t="s">
        <v>37</v>
      </c>
      <c r="F5" s="959"/>
      <c r="G5" s="959"/>
      <c r="H5" s="960"/>
      <c r="I5" s="958" t="s">
        <v>402</v>
      </c>
      <c r="J5" s="960"/>
      <c r="K5" s="958" t="s">
        <v>403</v>
      </c>
      <c r="L5" s="960"/>
      <c r="M5" s="958" t="s">
        <v>404</v>
      </c>
      <c r="N5" s="959"/>
      <c r="O5" s="960"/>
      <c r="P5" s="958" t="s">
        <v>16</v>
      </c>
      <c r="Q5" s="960"/>
      <c r="R5" s="807" t="s">
        <v>124</v>
      </c>
      <c r="T5" s="13"/>
      <c r="U5" s="13"/>
      <c r="W5" s="958" t="s">
        <v>405</v>
      </c>
      <c r="X5" s="959"/>
      <c r="Y5" s="959"/>
      <c r="Z5" s="960"/>
      <c r="AC5" s="149"/>
      <c r="AD5" s="149"/>
      <c r="AE5" s="149"/>
      <c r="AF5" s="149"/>
      <c r="AG5" s="149"/>
      <c r="AH5" s="149"/>
      <c r="AI5" s="149"/>
      <c r="AJ5" s="149"/>
      <c r="AK5" s="149"/>
      <c r="AL5" s="149"/>
      <c r="AM5" s="149"/>
      <c r="AN5" s="149"/>
      <c r="AO5" s="149"/>
      <c r="AP5" s="149"/>
      <c r="AQ5" s="149"/>
      <c r="AR5" s="154"/>
      <c r="AS5" s="155"/>
      <c r="AT5" s="18"/>
      <c r="AV5" s="994" t="s">
        <v>406</v>
      </c>
      <c r="AW5" s="994"/>
      <c r="AX5" s="994"/>
      <c r="AY5" s="994"/>
      <c r="AZ5" s="994"/>
      <c r="BA5" s="994"/>
      <c r="BB5" s="994"/>
      <c r="BC5" s="994"/>
      <c r="BD5" s="994"/>
      <c r="BE5" s="994"/>
    </row>
    <row r="6" spans="1:63" s="15" customFormat="1" ht="15.75" customHeight="1" x14ac:dyDescent="0.25">
      <c r="A6" s="16"/>
      <c r="B6" s="17"/>
      <c r="C6" s="958">
        <v>1</v>
      </c>
      <c r="D6" s="960"/>
      <c r="E6" s="958" t="s">
        <v>10</v>
      </c>
      <c r="F6" s="959"/>
      <c r="G6" s="959"/>
      <c r="H6" s="960"/>
      <c r="I6" s="958" t="s">
        <v>407</v>
      </c>
      <c r="J6" s="960"/>
      <c r="K6" s="958">
        <v>485</v>
      </c>
      <c r="L6" s="960"/>
      <c r="M6" s="958">
        <f>BA18</f>
        <v>481</v>
      </c>
      <c r="N6" s="959"/>
      <c r="O6" s="960"/>
      <c r="P6" s="992">
        <f>K6-M6</f>
        <v>4</v>
      </c>
      <c r="Q6" s="993"/>
      <c r="R6" s="808">
        <f>BB18</f>
        <v>1</v>
      </c>
      <c r="U6" s="13"/>
      <c r="W6" s="958" t="s">
        <v>408</v>
      </c>
      <c r="X6" s="959"/>
      <c r="Y6" s="959"/>
      <c r="Z6" s="960"/>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58">
        <v>2</v>
      </c>
      <c r="D7" s="960"/>
      <c r="E7" s="992" t="s">
        <v>121</v>
      </c>
      <c r="F7" s="995"/>
      <c r="G7" s="995"/>
      <c r="H7" s="993"/>
      <c r="I7" s="958" t="s">
        <v>407</v>
      </c>
      <c r="J7" s="960"/>
      <c r="K7" s="992">
        <v>485</v>
      </c>
      <c r="L7" s="993"/>
      <c r="M7" s="958">
        <f>BC18</f>
        <v>481</v>
      </c>
      <c r="N7" s="959"/>
      <c r="O7" s="960"/>
      <c r="P7" s="992">
        <f t="shared" ref="P7:P11" si="0">K7-M7</f>
        <v>4</v>
      </c>
      <c r="Q7" s="993"/>
      <c r="R7" s="809">
        <v>0</v>
      </c>
      <c r="U7" s="20"/>
      <c r="W7" s="958" t="s">
        <v>409</v>
      </c>
      <c r="X7" s="959"/>
      <c r="Y7" s="959"/>
      <c r="Z7" s="96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8">
        <v>3</v>
      </c>
      <c r="D8" s="960"/>
      <c r="E8" s="958" t="s">
        <v>411</v>
      </c>
      <c r="F8" s="959"/>
      <c r="G8" s="959"/>
      <c r="H8" s="960"/>
      <c r="I8" s="958" t="s">
        <v>407</v>
      </c>
      <c r="J8" s="960"/>
      <c r="K8" s="958">
        <v>485</v>
      </c>
      <c r="L8" s="960"/>
      <c r="M8" s="958">
        <f>BD18</f>
        <v>459</v>
      </c>
      <c r="N8" s="959"/>
      <c r="O8" s="960"/>
      <c r="P8" s="992">
        <f>K8-M8</f>
        <v>26</v>
      </c>
      <c r="Q8" s="993"/>
      <c r="R8" s="809">
        <v>1</v>
      </c>
      <c r="U8" s="501"/>
      <c r="W8" s="958" t="s">
        <v>412</v>
      </c>
      <c r="X8" s="959"/>
      <c r="Y8" s="959"/>
      <c r="Z8" s="96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8">
        <v>4</v>
      </c>
      <c r="D9" s="960"/>
      <c r="E9" s="992" t="s">
        <v>1378</v>
      </c>
      <c r="F9" s="995"/>
      <c r="G9" s="995"/>
      <c r="H9" s="993"/>
      <c r="I9" s="958" t="s">
        <v>407</v>
      </c>
      <c r="J9" s="960"/>
      <c r="K9" s="992">
        <v>485</v>
      </c>
      <c r="L9" s="993"/>
      <c r="M9" s="958">
        <f>BE18</f>
        <v>299</v>
      </c>
      <c r="N9" s="959"/>
      <c r="O9" s="960"/>
      <c r="P9" s="992">
        <f>K9-M9</f>
        <v>186</v>
      </c>
      <c r="Q9" s="993"/>
      <c r="R9" s="809">
        <v>0</v>
      </c>
      <c r="U9" s="20"/>
      <c r="W9" s="958" t="s">
        <v>415</v>
      </c>
      <c r="X9" s="959"/>
      <c r="Y9" s="959"/>
      <c r="Z9" s="96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8">
        <v>5</v>
      </c>
      <c r="D10" s="960"/>
      <c r="E10" s="958" t="s">
        <v>413</v>
      </c>
      <c r="F10" s="959"/>
      <c r="G10" s="959"/>
      <c r="H10" s="960"/>
      <c r="I10" s="958" t="s">
        <v>414</v>
      </c>
      <c r="J10" s="960"/>
      <c r="K10" s="969">
        <v>191.36</v>
      </c>
      <c r="L10" s="970"/>
      <c r="M10" s="971">
        <f>(BK18/1000)+BJ18/1000</f>
        <v>81.749830000000003</v>
      </c>
      <c r="N10" s="972"/>
      <c r="O10" s="973"/>
      <c r="P10" s="974">
        <f t="shared" si="0"/>
        <v>109.61017000000001</v>
      </c>
      <c r="Q10" s="975"/>
      <c r="R10" s="810">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8">
        <v>6</v>
      </c>
      <c r="D11" s="960"/>
      <c r="E11" s="958" t="s">
        <v>417</v>
      </c>
      <c r="F11" s="959"/>
      <c r="G11" s="959"/>
      <c r="H11" s="960"/>
      <c r="I11" s="958" t="s">
        <v>414</v>
      </c>
      <c r="J11" s="960"/>
      <c r="K11" s="969">
        <v>191.36</v>
      </c>
      <c r="L11" s="970"/>
      <c r="M11" s="971">
        <f>BK18/1000</f>
        <v>76.538470000000004</v>
      </c>
      <c r="N11" s="972"/>
      <c r="O11" s="973"/>
      <c r="P11" s="974">
        <f t="shared" si="0"/>
        <v>114.82153000000001</v>
      </c>
      <c r="Q11" s="975"/>
      <c r="R11" s="811">
        <f>M10-M11</f>
        <v>5.2113599999999991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8" t="s">
        <v>908</v>
      </c>
      <c r="X12" s="959"/>
      <c r="Y12" s="959"/>
      <c r="Z12" s="96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4" t="s">
        <v>909</v>
      </c>
      <c r="X13" s="954"/>
      <c r="Y13" s="954"/>
      <c r="Z13" s="954"/>
      <c r="AA13" s="162"/>
      <c r="AB13" s="948"/>
      <c r="AC13" s="948"/>
      <c r="AD13" s="948"/>
      <c r="AE13" s="948"/>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58" t="s">
        <v>423</v>
      </c>
      <c r="X14" s="959"/>
      <c r="Y14" s="959"/>
      <c r="Z14" s="96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58" t="s">
        <v>424</v>
      </c>
      <c r="X15" s="959"/>
      <c r="Y15" s="959"/>
      <c r="Z15" s="96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8" t="s">
        <v>428</v>
      </c>
      <c r="X16" s="959"/>
      <c r="Y16" s="959"/>
      <c r="Z16" s="960"/>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58" t="s">
        <v>433</v>
      </c>
      <c r="X17" s="959"/>
      <c r="Y17" s="959"/>
      <c r="Z17" s="960"/>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4" t="s">
        <v>913</v>
      </c>
      <c r="X18" s="954"/>
      <c r="Y18" s="954"/>
      <c r="Z18" s="954"/>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1</v>
      </c>
      <c r="BC18" s="10">
        <f t="shared" si="1"/>
        <v>481</v>
      </c>
      <c r="BD18" s="10">
        <f t="shared" si="1"/>
        <v>459</v>
      </c>
      <c r="BE18" s="10">
        <f t="shared" si="1"/>
        <v>299</v>
      </c>
      <c r="BF18" s="10">
        <f t="shared" si="1"/>
        <v>0</v>
      </c>
      <c r="BG18" s="10">
        <f t="shared" si="1"/>
        <v>0</v>
      </c>
      <c r="BH18" s="10">
        <f t="shared" si="1"/>
        <v>191392.64300000004</v>
      </c>
      <c r="BI18" s="10">
        <f t="shared" si="1"/>
        <v>3318.21</v>
      </c>
      <c r="BJ18" s="10">
        <f t="shared" si="1"/>
        <v>5211.3599999999997</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17</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5">
        <f>+COUNTIF(D34:AT34,"E")</f>
        <v>18</v>
      </c>
      <c r="BE36" s="11">
        <f>+COUNTIF(D35:AT35,"Done")</f>
        <v>9</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910</v>
      </c>
      <c r="AL44" s="13" t="s">
        <v>910</v>
      </c>
      <c r="AN44" s="13" t="s">
        <v>910</v>
      </c>
      <c r="AP44" s="13" t="s">
        <v>910</v>
      </c>
      <c r="AR44" s="13" t="s">
        <v>910</v>
      </c>
      <c r="AT44" s="30"/>
      <c r="AV44" s="11"/>
      <c r="AW44" s="11"/>
      <c r="AX44" s="11"/>
      <c r="AY44" s="11"/>
      <c r="AZ44" s="11"/>
      <c r="BA44" s="11"/>
      <c r="BB44" s="11"/>
      <c r="BC44" s="11"/>
      <c r="BD44" s="135"/>
      <c r="BI44" s="13">
        <f>+SUMIF(D44:AT44,".",D47:AT47)</f>
        <v>0</v>
      </c>
      <c r="BJ44" s="13">
        <f>+SUMIF(D44:AT44,"..",D47:AT47)</f>
        <v>2033</v>
      </c>
      <c r="BK44" s="13">
        <f>+SUMIF(D44:AT44,",",D47:AT47)</f>
        <v>0</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8</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F55" s="13" t="s">
        <v>910</v>
      </c>
      <c r="H55" s="13" t="s">
        <v>910</v>
      </c>
      <c r="J55" s="13" t="s">
        <v>910</v>
      </c>
      <c r="L55" s="13" t="s">
        <v>910</v>
      </c>
      <c r="N55" s="13" t="s">
        <v>910</v>
      </c>
      <c r="P55" s="13" t="s">
        <v>910</v>
      </c>
      <c r="AT55" s="30"/>
      <c r="AV55" s="11"/>
      <c r="AW55" s="11"/>
      <c r="AX55" s="11"/>
      <c r="AY55" s="11"/>
      <c r="AZ55" s="11"/>
      <c r="BA55" s="11"/>
      <c r="BB55" s="11"/>
      <c r="BC55" s="11"/>
      <c r="BD55" s="135"/>
      <c r="BI55" s="13">
        <f>+SUMIF(D55:AT55,".",D58:AT58)</f>
        <v>0</v>
      </c>
      <c r="BJ55" s="13">
        <f>+SUMIF(D55:AT55,"..",D58:AT58)</f>
        <v>2476.9</v>
      </c>
      <c r="BK55" s="13">
        <f>+SUMIF(D55:AT55,",",D58:AT58)</f>
        <v>0</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3</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18</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H164" s="13" t="s">
        <v>910</v>
      </c>
      <c r="J164" s="13" t="s">
        <v>910</v>
      </c>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701.46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8" t="s">
        <v>138</v>
      </c>
      <c r="D285" s="978"/>
      <c r="E285" s="976" t="s">
        <v>921</v>
      </c>
      <c r="F285" s="976"/>
      <c r="G285" s="949" t="s">
        <v>920</v>
      </c>
      <c r="H285" s="980" t="s">
        <v>922</v>
      </c>
      <c r="I285" s="980"/>
      <c r="J285" s="980"/>
      <c r="K285" s="980"/>
      <c r="L285" s="980"/>
      <c r="M285" s="980"/>
      <c r="N285" s="980"/>
      <c r="O285" s="980"/>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9"/>
      <c r="D286" s="979"/>
      <c r="E286" s="977"/>
      <c r="F286" s="977"/>
      <c r="G286" s="950"/>
      <c r="H286" s="981" t="s">
        <v>437</v>
      </c>
      <c r="I286" s="981"/>
      <c r="J286" s="982" t="s">
        <v>435</v>
      </c>
      <c r="K286" s="982"/>
      <c r="L286" s="982"/>
      <c r="M286" s="982"/>
      <c r="N286" s="982"/>
      <c r="O286" s="982"/>
      <c r="P286" s="147"/>
      <c r="Q286" s="144"/>
      <c r="R286" s="143"/>
      <c r="S286" s="143"/>
      <c r="T286" s="143"/>
      <c r="U286" s="143"/>
      <c r="V286" s="147"/>
      <c r="W286" s="957" t="s">
        <v>927</v>
      </c>
      <c r="X286" s="957"/>
      <c r="Y286" s="957"/>
      <c r="Z286" s="957"/>
      <c r="AA286" s="957"/>
      <c r="AB286" s="957"/>
      <c r="AC286" s="957"/>
      <c r="AD286" s="957"/>
      <c r="AE286" s="957"/>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9"/>
      <c r="D287" s="979"/>
      <c r="E287" s="977"/>
      <c r="F287" s="977"/>
      <c r="G287" s="951"/>
      <c r="H287" s="148" t="s">
        <v>577</v>
      </c>
      <c r="I287" s="148" t="s">
        <v>16</v>
      </c>
      <c r="J287" s="148" t="s">
        <v>577</v>
      </c>
      <c r="K287" s="977" t="s">
        <v>918</v>
      </c>
      <c r="L287" s="977"/>
      <c r="M287" s="148" t="s">
        <v>16</v>
      </c>
      <c r="N287" s="977" t="s">
        <v>919</v>
      </c>
      <c r="O287" s="977"/>
      <c r="P287" s="145"/>
      <c r="R287" s="143"/>
      <c r="S287" s="145"/>
      <c r="T287" s="145"/>
      <c r="U287" s="145"/>
      <c r="V287" s="145"/>
      <c r="W287" s="956" t="s">
        <v>37</v>
      </c>
      <c r="X287" s="956"/>
      <c r="Y287" s="956"/>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46">
        <f>+COUNTIF('Visual chart Edit'!$C$6:$C$520,'Visual chart'!C288)</f>
        <v>150</v>
      </c>
      <c r="F288" s="947"/>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67">
        <f>G288*J288</f>
        <v>5475.638312000001</v>
      </c>
      <c r="L288" s="968"/>
      <c r="M288" s="94">
        <f t="shared" ref="M288:M316" si="3">E288-J288</f>
        <v>4</v>
      </c>
      <c r="N288" s="961">
        <f>+M288*G288</f>
        <v>150.01748800000001</v>
      </c>
      <c r="O288" s="961"/>
      <c r="P288" s="133"/>
      <c r="Q288" s="133"/>
      <c r="R288" s="133"/>
      <c r="S288" s="146"/>
      <c r="T288" s="133"/>
      <c r="U288" s="146"/>
      <c r="V288" s="133"/>
      <c r="W288" s="955" t="s">
        <v>10</v>
      </c>
      <c r="X288" s="955"/>
      <c r="Y288" s="955"/>
      <c r="Z288" s="172">
        <f>H317</f>
        <v>481</v>
      </c>
      <c r="AA288" s="172"/>
      <c r="AB288" s="172"/>
      <c r="AC288" s="172"/>
      <c r="AD288" s="172"/>
      <c r="AE288" s="172"/>
      <c r="AT288" s="30"/>
      <c r="BD288" s="510"/>
    </row>
    <row r="289" spans="1:56" s="13" customFormat="1" x14ac:dyDescent="0.25">
      <c r="A289" s="11"/>
      <c r="B289" s="56"/>
      <c r="C289" s="511" t="s">
        <v>20</v>
      </c>
      <c r="D289" s="25"/>
      <c r="E289" s="946">
        <f>+COUNTIF('Visual chart Edit'!$C$6:$C$520,'Visual chart'!C289)</f>
        <v>161</v>
      </c>
      <c r="F289" s="947"/>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67">
        <f t="shared" ref="K289:K316" si="4">G289*J289</f>
        <v>6021.3789299999989</v>
      </c>
      <c r="L289" s="968"/>
      <c r="M289" s="94">
        <f t="shared" si="3"/>
        <v>6</v>
      </c>
      <c r="N289" s="961">
        <f t="shared" ref="N289:N316" si="5">+M289*G289</f>
        <v>233.08563599999997</v>
      </c>
      <c r="O289" s="961"/>
      <c r="P289" s="133"/>
      <c r="Q289" s="133"/>
      <c r="R289" s="133"/>
      <c r="S289" s="146"/>
      <c r="T289" s="133"/>
      <c r="U289" s="146"/>
      <c r="V289" s="133"/>
      <c r="W289" s="955" t="s">
        <v>126</v>
      </c>
      <c r="X289" s="955"/>
      <c r="Y289" s="955"/>
      <c r="Z289" s="172">
        <f>J317</f>
        <v>459</v>
      </c>
      <c r="AA289" s="172"/>
      <c r="AB289" s="172"/>
      <c r="AC289" s="172"/>
      <c r="AD289" s="172"/>
      <c r="AE289" s="172"/>
      <c r="AT289" s="30"/>
      <c r="BD289" s="510"/>
    </row>
    <row r="290" spans="1:56" s="13" customFormat="1" x14ac:dyDescent="0.25">
      <c r="A290" s="11"/>
      <c r="B290" s="56"/>
      <c r="C290" s="511" t="s">
        <v>232</v>
      </c>
      <c r="D290" s="25"/>
      <c r="E290" s="946">
        <f>+COUNTIF('Visual chart Edit'!$C$6:$C$520,'Visual chart'!C290)</f>
        <v>48</v>
      </c>
      <c r="F290" s="947"/>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67">
        <f t="shared" si="4"/>
        <v>1861.9341480000003</v>
      </c>
      <c r="L290" s="968"/>
      <c r="M290" s="94">
        <f t="shared" si="3"/>
        <v>7</v>
      </c>
      <c r="N290" s="961">
        <f t="shared" si="5"/>
        <v>317.89119600000004</v>
      </c>
      <c r="O290" s="961"/>
      <c r="P290" s="133"/>
      <c r="Q290" s="133"/>
      <c r="R290" s="133"/>
      <c r="S290" s="146"/>
      <c r="T290" s="133"/>
      <c r="U290" s="146"/>
      <c r="V290" s="133"/>
      <c r="X290" s="23"/>
      <c r="AT290" s="30"/>
      <c r="BD290" s="510"/>
    </row>
    <row r="291" spans="1:56" s="13" customFormat="1" x14ac:dyDescent="0.25">
      <c r="A291" s="11"/>
      <c r="B291" s="56"/>
      <c r="C291" s="511" t="s">
        <v>233</v>
      </c>
      <c r="D291" s="25"/>
      <c r="E291" s="946">
        <f>+COUNTIF('Visual chart Edit'!$C$6:$C$520,'Visual chart'!C291)</f>
        <v>38</v>
      </c>
      <c r="F291" s="947"/>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67">
        <f t="shared" si="4"/>
        <v>1698.6366</v>
      </c>
      <c r="L291" s="968"/>
      <c r="M291" s="94">
        <f t="shared" si="3"/>
        <v>2</v>
      </c>
      <c r="N291" s="961">
        <f t="shared" si="5"/>
        <v>94.368700000000004</v>
      </c>
      <c r="O291" s="961"/>
      <c r="P291" s="133"/>
      <c r="Q291" s="133"/>
      <c r="R291" s="133"/>
      <c r="S291" s="146"/>
      <c r="T291" s="133"/>
      <c r="U291" s="146"/>
      <c r="V291" s="133"/>
      <c r="X291" s="23"/>
      <c r="AT291" s="30"/>
      <c r="BD291" s="510"/>
    </row>
    <row r="292" spans="1:56" s="13" customFormat="1" x14ac:dyDescent="0.25">
      <c r="A292" s="11"/>
      <c r="B292" s="56"/>
      <c r="C292" s="511" t="s">
        <v>242</v>
      </c>
      <c r="D292" s="25"/>
      <c r="E292" s="946">
        <f>+COUNTIF('Visual chart Edit'!$C$6:$C$520,'Visual chart'!C292)</f>
        <v>13</v>
      </c>
      <c r="F292" s="947"/>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67">
        <f t="shared" si="4"/>
        <v>633.56965100000002</v>
      </c>
      <c r="L292" s="968"/>
      <c r="M292" s="94">
        <f t="shared" si="3"/>
        <v>2</v>
      </c>
      <c r="N292" s="961">
        <f t="shared" si="5"/>
        <v>115.19448199999999</v>
      </c>
      <c r="O292" s="961"/>
      <c r="P292" s="133"/>
      <c r="Q292" s="133"/>
      <c r="R292" s="133"/>
      <c r="S292" s="146"/>
      <c r="T292" s="133"/>
      <c r="U292" s="146"/>
      <c r="V292" s="133"/>
      <c r="X292" s="23"/>
      <c r="AT292" s="30"/>
      <c r="BD292" s="510"/>
    </row>
    <row r="293" spans="1:56" s="13" customFormat="1" x14ac:dyDescent="0.25">
      <c r="A293" s="11"/>
      <c r="B293" s="56"/>
      <c r="C293" s="511" t="s">
        <v>243</v>
      </c>
      <c r="D293" s="25"/>
      <c r="E293" s="946">
        <f>+COUNTIF('Visual chart Edit'!$C$6:$C$520,'Visual chart'!C293)</f>
        <v>3</v>
      </c>
      <c r="F293" s="947"/>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67">
        <f t="shared" si="4"/>
        <v>180.29033100000001</v>
      </c>
      <c r="L293" s="968"/>
      <c r="M293" s="94">
        <f t="shared" si="3"/>
        <v>0</v>
      </c>
      <c r="N293" s="961">
        <f t="shared" si="5"/>
        <v>0</v>
      </c>
      <c r="O293" s="961"/>
      <c r="P293" s="133"/>
      <c r="Q293" s="133"/>
      <c r="R293" s="133"/>
      <c r="S293" s="146"/>
      <c r="T293" s="133"/>
      <c r="U293" s="146"/>
      <c r="V293" s="133"/>
      <c r="X293" s="23"/>
      <c r="AT293" s="30"/>
      <c r="BD293" s="510"/>
    </row>
    <row r="294" spans="1:56" s="13" customFormat="1" x14ac:dyDescent="0.25">
      <c r="A294" s="11"/>
      <c r="B294" s="56"/>
      <c r="C294" s="511" t="s">
        <v>246</v>
      </c>
      <c r="D294" s="25"/>
      <c r="E294" s="946">
        <f>+COUNTIF('Visual chart Edit'!$C$6:$C$520,'Visual chart'!C294)</f>
        <v>3</v>
      </c>
      <c r="F294" s="947"/>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67">
        <f t="shared" si="4"/>
        <v>203.62095299999999</v>
      </c>
      <c r="L294" s="968"/>
      <c r="M294" s="94">
        <f t="shared" si="3"/>
        <v>0</v>
      </c>
      <c r="N294" s="961">
        <f t="shared" si="5"/>
        <v>0</v>
      </c>
      <c r="O294" s="961"/>
      <c r="P294" s="133"/>
      <c r="Q294" s="133"/>
      <c r="R294" s="133"/>
      <c r="S294" s="146"/>
      <c r="T294" s="133"/>
      <c r="U294" s="146"/>
      <c r="V294" s="133"/>
      <c r="X294" s="23"/>
      <c r="AT294" s="30"/>
      <c r="BD294" s="510"/>
    </row>
    <row r="295" spans="1:56" s="13" customFormat="1" x14ac:dyDescent="0.25">
      <c r="A295" s="11"/>
      <c r="B295" s="56"/>
      <c r="C295" s="511" t="s">
        <v>240</v>
      </c>
      <c r="D295" s="25"/>
      <c r="E295" s="946">
        <f>+COUNTIF('Visual chart Edit'!$C$6:$C$520,'Visual chart'!C295)</f>
        <v>3</v>
      </c>
      <c r="F295" s="947"/>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67">
        <f t="shared" si="4"/>
        <v>212.10510899999997</v>
      </c>
      <c r="L295" s="968"/>
      <c r="M295" s="94">
        <f t="shared" si="3"/>
        <v>0</v>
      </c>
      <c r="N295" s="961">
        <f t="shared" si="5"/>
        <v>0</v>
      </c>
      <c r="O295" s="961"/>
      <c r="P295" s="133"/>
      <c r="Q295" s="133"/>
      <c r="R295" s="133"/>
      <c r="S295" s="146"/>
      <c r="T295" s="133"/>
      <c r="U295" s="146"/>
      <c r="V295" s="133"/>
      <c r="X295" s="23"/>
      <c r="AT295" s="30"/>
      <c r="BD295" s="510"/>
    </row>
    <row r="296" spans="1:56" s="13" customFormat="1" x14ac:dyDescent="0.25">
      <c r="A296" s="11"/>
      <c r="B296" s="56"/>
      <c r="C296" s="511" t="s">
        <v>245</v>
      </c>
      <c r="D296" s="25"/>
      <c r="E296" s="946">
        <f>+COUNTIF('Visual chart Edit'!$C$6:$C$520,'Visual chart'!C296)</f>
        <v>14</v>
      </c>
      <c r="F296" s="947"/>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67">
        <f t="shared" si="4"/>
        <v>806.36137399999996</v>
      </c>
      <c r="L296" s="968"/>
      <c r="M296" s="94">
        <f t="shared" si="3"/>
        <v>0</v>
      </c>
      <c r="N296" s="961">
        <f t="shared" si="5"/>
        <v>0</v>
      </c>
      <c r="O296" s="961"/>
      <c r="P296" s="133"/>
      <c r="Q296" s="133"/>
      <c r="R296" s="133"/>
      <c r="S296" s="146"/>
      <c r="T296" s="133"/>
      <c r="U296" s="146"/>
      <c r="V296" s="133"/>
      <c r="X296" s="23"/>
      <c r="AT296" s="30"/>
      <c r="BD296" s="510"/>
    </row>
    <row r="297" spans="1:56" s="13" customFormat="1" x14ac:dyDescent="0.25">
      <c r="A297" s="11"/>
      <c r="B297" s="56"/>
      <c r="C297" s="511" t="s">
        <v>249</v>
      </c>
      <c r="D297" s="25"/>
      <c r="E297" s="946">
        <f>+COUNTIF('Visual chart Edit'!$C$6:$C$520,'Visual chart'!C297)</f>
        <v>4</v>
      </c>
      <c r="F297" s="947"/>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67">
        <f t="shared" si="4"/>
        <v>180.29033100000001</v>
      </c>
      <c r="L297" s="968"/>
      <c r="M297" s="94">
        <f t="shared" si="3"/>
        <v>1</v>
      </c>
      <c r="N297" s="961">
        <f t="shared" si="5"/>
        <v>60.096777000000003</v>
      </c>
      <c r="O297" s="961"/>
      <c r="P297" s="133"/>
      <c r="Q297" s="133"/>
      <c r="R297" s="133"/>
      <c r="S297" s="146"/>
      <c r="T297" s="133"/>
      <c r="U297" s="146"/>
      <c r="V297" s="133"/>
      <c r="X297" s="23"/>
      <c r="AT297" s="30"/>
      <c r="BD297" s="510"/>
    </row>
    <row r="298" spans="1:56" s="13" customFormat="1" x14ac:dyDescent="0.25">
      <c r="A298" s="11"/>
      <c r="B298" s="56"/>
      <c r="C298" s="511" t="s">
        <v>234</v>
      </c>
      <c r="D298" s="25"/>
      <c r="E298" s="946">
        <f>+COUNTIF('Visual chart Edit'!$C$6:$C$520,'Visual chart'!C298)</f>
        <v>3</v>
      </c>
      <c r="F298" s="947"/>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67">
        <f t="shared" si="4"/>
        <v>203.62095299999999</v>
      </c>
      <c r="L298" s="968"/>
      <c r="M298" s="94">
        <f t="shared" si="3"/>
        <v>0</v>
      </c>
      <c r="N298" s="961">
        <f t="shared" si="5"/>
        <v>0</v>
      </c>
      <c r="O298" s="961"/>
      <c r="P298" s="133"/>
      <c r="Q298" s="133"/>
      <c r="R298" s="133"/>
      <c r="S298" s="146"/>
      <c r="T298" s="133"/>
      <c r="U298" s="146"/>
      <c r="V298" s="133"/>
      <c r="X298" s="23"/>
      <c r="AT298" s="30"/>
      <c r="BD298" s="510"/>
    </row>
    <row r="299" spans="1:56" s="13" customFormat="1" x14ac:dyDescent="0.25">
      <c r="A299" s="11"/>
      <c r="B299" s="56"/>
      <c r="C299" s="511" t="s">
        <v>241</v>
      </c>
      <c r="D299" s="25"/>
      <c r="E299" s="946">
        <f>+COUNTIF('Visual chart Edit'!$C$6:$C$520,'Visual chart'!C299)</f>
        <v>2</v>
      </c>
      <c r="F299" s="947"/>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67">
        <f t="shared" si="4"/>
        <v>141.40340599999999</v>
      </c>
      <c r="L299" s="968"/>
      <c r="M299" s="94">
        <f t="shared" si="3"/>
        <v>0</v>
      </c>
      <c r="N299" s="961">
        <f t="shared" si="5"/>
        <v>0</v>
      </c>
      <c r="O299" s="961"/>
      <c r="P299" s="133"/>
      <c r="Q299" s="133"/>
      <c r="R299" s="133"/>
      <c r="S299" s="146"/>
      <c r="T299" s="133"/>
      <c r="U299" s="146"/>
      <c r="V299" s="133"/>
      <c r="X299" s="23"/>
      <c r="AT299" s="30"/>
      <c r="BD299" s="510"/>
    </row>
    <row r="300" spans="1:56" s="13" customFormat="1" x14ac:dyDescent="0.25">
      <c r="A300" s="11"/>
      <c r="B300" s="56"/>
      <c r="C300" s="511" t="s">
        <v>239</v>
      </c>
      <c r="D300" s="25"/>
      <c r="E300" s="946">
        <f>+COUNTIF('Visual chart Edit'!$C$6:$C$520,'Visual chart'!C300)</f>
        <v>12</v>
      </c>
      <c r="F300" s="947"/>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3">
        <f t="shared" si="4"/>
        <v>730.1921769999999</v>
      </c>
      <c r="L300" s="963"/>
      <c r="M300" s="94">
        <f t="shared" si="3"/>
        <v>1</v>
      </c>
      <c r="N300" s="961">
        <f t="shared" si="5"/>
        <v>66.381106999999986</v>
      </c>
      <c r="O300" s="961"/>
      <c r="P300" s="133"/>
      <c r="Q300" s="133"/>
      <c r="R300" s="133"/>
      <c r="S300" s="146"/>
      <c r="T300" s="133"/>
      <c r="U300" s="146"/>
      <c r="V300" s="133"/>
      <c r="AT300" s="30"/>
      <c r="BD300" s="510"/>
    </row>
    <row r="301" spans="1:56" s="13" customFormat="1" x14ac:dyDescent="0.25">
      <c r="A301" s="11"/>
      <c r="B301" s="56"/>
      <c r="C301" s="511" t="s">
        <v>867</v>
      </c>
      <c r="D301" s="25"/>
      <c r="E301" s="946">
        <f>+COUNTIF('Visual chart Edit'!$C$6:$C$520,'Visual chart'!C301)</f>
        <v>1</v>
      </c>
      <c r="F301" s="947"/>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3">
        <f t="shared" si="4"/>
        <v>94.219902999999988</v>
      </c>
      <c r="L301" s="963"/>
      <c r="M301" s="94">
        <f t="shared" si="3"/>
        <v>0</v>
      </c>
      <c r="N301" s="961">
        <f t="shared" si="5"/>
        <v>0</v>
      </c>
      <c r="O301" s="961"/>
      <c r="P301" s="133"/>
      <c r="Q301" s="133"/>
      <c r="R301" s="133"/>
      <c r="S301" s="146"/>
      <c r="T301" s="133"/>
      <c r="U301" s="146"/>
      <c r="V301" s="133"/>
      <c r="AT301" s="30"/>
      <c r="BD301" s="510"/>
    </row>
    <row r="302" spans="1:56" s="13" customFormat="1" x14ac:dyDescent="0.25">
      <c r="A302" s="11"/>
      <c r="B302" s="56"/>
      <c r="C302" s="511" t="s">
        <v>869</v>
      </c>
      <c r="D302" s="25"/>
      <c r="E302" s="946">
        <f>+COUNTIF('Visual chart Edit'!$C$6:$C$520,'Visual chart'!C302)</f>
        <v>1</v>
      </c>
      <c r="F302" s="947"/>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3">
        <f t="shared" si="4"/>
        <v>69.228687000000008</v>
      </c>
      <c r="L302" s="963"/>
      <c r="M302" s="94">
        <f t="shared" si="3"/>
        <v>0</v>
      </c>
      <c r="N302" s="961">
        <f t="shared" si="5"/>
        <v>0</v>
      </c>
      <c r="O302" s="961"/>
      <c r="P302" s="133"/>
      <c r="Q302" s="133"/>
      <c r="R302" s="133"/>
      <c r="S302" s="146"/>
      <c r="T302" s="133"/>
      <c r="U302" s="146"/>
      <c r="V302" s="133"/>
      <c r="AT302" s="30"/>
      <c r="BD302" s="510"/>
    </row>
    <row r="303" spans="1:56" s="13" customFormat="1" x14ac:dyDescent="0.25">
      <c r="A303" s="11"/>
      <c r="B303" s="56"/>
      <c r="C303" s="511" t="s">
        <v>361</v>
      </c>
      <c r="D303" s="25"/>
      <c r="E303" s="946">
        <f>+COUNTIF('Visual chart Edit'!$C$6:$C$520,'Visual chart'!C303)</f>
        <v>2</v>
      </c>
      <c r="F303" s="947"/>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3">
        <f t="shared" si="4"/>
        <v>156.26409399999997</v>
      </c>
      <c r="L303" s="963"/>
      <c r="M303" s="94">
        <f t="shared" si="3"/>
        <v>0</v>
      </c>
      <c r="N303" s="961">
        <f t="shared" si="5"/>
        <v>0</v>
      </c>
      <c r="O303" s="961"/>
      <c r="P303" s="133"/>
      <c r="Q303" s="133"/>
      <c r="R303" s="133"/>
      <c r="S303" s="146"/>
      <c r="T303" s="133"/>
      <c r="U303" s="146"/>
      <c r="V303" s="133"/>
      <c r="AT303" s="30"/>
      <c r="BD303" s="510"/>
    </row>
    <row r="304" spans="1:56" s="13" customFormat="1" x14ac:dyDescent="0.25">
      <c r="A304" s="11"/>
      <c r="B304" s="56"/>
      <c r="C304" s="511" t="s">
        <v>871</v>
      </c>
      <c r="D304" s="25"/>
      <c r="E304" s="946">
        <f>+COUNTIF('Visual chart Edit'!$C$6:$C$520,'Visual chart'!C304)</f>
        <v>1</v>
      </c>
      <c r="F304" s="947"/>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3">
        <f t="shared" si="4"/>
        <v>81.494626999999994</v>
      </c>
      <c r="L304" s="963"/>
      <c r="M304" s="94">
        <f t="shared" si="3"/>
        <v>0</v>
      </c>
      <c r="N304" s="961">
        <f t="shared" si="5"/>
        <v>0</v>
      </c>
      <c r="O304" s="961"/>
      <c r="P304" s="133"/>
      <c r="Q304" s="133"/>
      <c r="R304" s="133"/>
      <c r="S304" s="146"/>
      <c r="T304" s="133"/>
      <c r="U304" s="146"/>
      <c r="V304" s="133"/>
      <c r="AT304" s="30"/>
      <c r="BD304" s="510"/>
    </row>
    <row r="305" spans="1:67" s="13" customFormat="1" x14ac:dyDescent="0.25">
      <c r="A305" s="11"/>
      <c r="B305" s="56"/>
      <c r="C305" s="511" t="s">
        <v>244</v>
      </c>
      <c r="D305" s="25"/>
      <c r="E305" s="946">
        <f>+COUNTIF('Visual chart Edit'!$C$6:$C$520,'Visual chart'!C305)</f>
        <v>9</v>
      </c>
      <c r="F305" s="947"/>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3">
        <f t="shared" si="4"/>
        <v>597.42996299999982</v>
      </c>
      <c r="L305" s="963"/>
      <c r="M305" s="94">
        <f t="shared" si="3"/>
        <v>0</v>
      </c>
      <c r="N305" s="961">
        <f t="shared" si="5"/>
        <v>0</v>
      </c>
      <c r="O305" s="961"/>
      <c r="P305" s="133"/>
      <c r="Q305" s="133"/>
      <c r="R305" s="133"/>
      <c r="S305" s="146"/>
      <c r="T305" s="133"/>
      <c r="U305" s="146"/>
      <c r="V305" s="133"/>
      <c r="AT305" s="30"/>
      <c r="BD305" s="510"/>
    </row>
    <row r="306" spans="1:67" s="13" customFormat="1" x14ac:dyDescent="0.25">
      <c r="A306" s="11"/>
      <c r="B306" s="56"/>
      <c r="C306" s="511" t="s">
        <v>906</v>
      </c>
      <c r="D306" s="25"/>
      <c r="E306" s="946">
        <f>+COUNTIF('Visual chart Edit'!$C$6:$C$520,'Visual chart'!C306)</f>
        <v>0</v>
      </c>
      <c r="F306" s="947"/>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3">
        <f t="shared" si="4"/>
        <v>0</v>
      </c>
      <c r="L306" s="963"/>
      <c r="M306" s="94">
        <f t="shared" si="3"/>
        <v>0</v>
      </c>
      <c r="N306" s="961">
        <f t="shared" si="5"/>
        <v>0</v>
      </c>
      <c r="O306" s="961"/>
      <c r="P306" s="133"/>
      <c r="Q306" s="133"/>
      <c r="R306" s="133"/>
      <c r="S306" s="146"/>
      <c r="T306" s="133"/>
      <c r="U306" s="146"/>
      <c r="V306" s="133"/>
      <c r="AT306" s="30"/>
      <c r="BD306" s="510"/>
    </row>
    <row r="307" spans="1:67" s="13" customFormat="1" x14ac:dyDescent="0.25">
      <c r="A307" s="11"/>
      <c r="B307" s="56"/>
      <c r="C307" s="511" t="s">
        <v>870</v>
      </c>
      <c r="D307" s="25"/>
      <c r="E307" s="946">
        <f>+COUNTIF('Visual chart Edit'!$C$6:$C$520,'Visual chart'!C307)</f>
        <v>1</v>
      </c>
      <c r="F307" s="947"/>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3">
        <f t="shared" si="4"/>
        <v>78.132046999999986</v>
      </c>
      <c r="L307" s="963"/>
      <c r="M307" s="94">
        <f t="shared" si="3"/>
        <v>0</v>
      </c>
      <c r="N307" s="961">
        <f t="shared" si="5"/>
        <v>0</v>
      </c>
      <c r="O307" s="961"/>
      <c r="P307" s="133"/>
      <c r="Q307" s="133"/>
      <c r="R307" s="133"/>
      <c r="S307" s="146"/>
      <c r="T307" s="133"/>
      <c r="U307" s="146"/>
      <c r="V307" s="133"/>
      <c r="AT307" s="30"/>
      <c r="BD307" s="510"/>
    </row>
    <row r="308" spans="1:67" s="13" customFormat="1" x14ac:dyDescent="0.25">
      <c r="A308" s="11"/>
      <c r="B308" s="56"/>
      <c r="C308" s="511" t="s">
        <v>248</v>
      </c>
      <c r="D308" s="25"/>
      <c r="E308" s="946">
        <f>+COUNTIF('Visual chart Edit'!$C$6:$C$520,'Visual chart'!C308)</f>
        <v>0</v>
      </c>
      <c r="F308" s="947"/>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3">
        <f t="shared" si="4"/>
        <v>0</v>
      </c>
      <c r="L308" s="963"/>
      <c r="M308" s="94">
        <f t="shared" si="3"/>
        <v>0</v>
      </c>
      <c r="N308" s="961">
        <f t="shared" si="5"/>
        <v>0</v>
      </c>
      <c r="O308" s="961"/>
      <c r="P308" s="133"/>
      <c r="Q308" s="133"/>
      <c r="R308" s="133"/>
      <c r="S308" s="146"/>
      <c r="T308" s="133"/>
      <c r="U308" s="146"/>
      <c r="V308" s="133"/>
      <c r="AT308" s="30"/>
      <c r="BD308" s="510"/>
    </row>
    <row r="309" spans="1:67" s="13" customFormat="1" x14ac:dyDescent="0.25">
      <c r="A309" s="11"/>
      <c r="B309" s="56"/>
      <c r="C309" s="511" t="s">
        <v>868</v>
      </c>
      <c r="D309" s="25"/>
      <c r="E309" s="946">
        <f>+COUNTIF('Visual chart Edit'!$C$6:$C$520,'Visual chart'!C309)</f>
        <v>2</v>
      </c>
      <c r="F309" s="947"/>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3">
        <f t="shared" si="4"/>
        <v>172.25855799999999</v>
      </c>
      <c r="L309" s="963"/>
      <c r="M309" s="94">
        <f t="shared" si="3"/>
        <v>0</v>
      </c>
      <c r="N309" s="961">
        <f t="shared" si="5"/>
        <v>0</v>
      </c>
      <c r="O309" s="961"/>
      <c r="P309" s="133"/>
      <c r="Q309" s="133"/>
      <c r="R309" s="133"/>
      <c r="S309" s="146"/>
      <c r="T309" s="133"/>
      <c r="U309" s="146"/>
      <c r="V309" s="133"/>
      <c r="AT309" s="30"/>
      <c r="BD309" s="510"/>
    </row>
    <row r="310" spans="1:67" s="13" customFormat="1" x14ac:dyDescent="0.25">
      <c r="A310" s="11"/>
      <c r="B310" s="56"/>
      <c r="C310" s="511" t="s">
        <v>247</v>
      </c>
      <c r="D310" s="25"/>
      <c r="E310" s="946">
        <f>+COUNTIF('Visual chart Edit'!$C$6:$C$520,'Visual chart'!C310)</f>
        <v>2</v>
      </c>
      <c r="F310" s="947"/>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3">
        <f t="shared" si="4"/>
        <v>89.909625000000005</v>
      </c>
      <c r="L310" s="963"/>
      <c r="M310" s="94">
        <f t="shared" si="3"/>
        <v>1</v>
      </c>
      <c r="N310" s="961">
        <f t="shared" si="5"/>
        <v>89.909625000000005</v>
      </c>
      <c r="O310" s="961"/>
      <c r="P310" s="133"/>
      <c r="Q310" s="133"/>
      <c r="R310" s="133"/>
      <c r="S310" s="146"/>
      <c r="T310" s="133"/>
      <c r="U310" s="146"/>
      <c r="V310" s="133"/>
      <c r="AT310" s="30"/>
      <c r="BD310" s="510"/>
    </row>
    <row r="311" spans="1:67" s="13" customFormat="1" x14ac:dyDescent="0.25">
      <c r="A311" s="11"/>
      <c r="B311" s="56"/>
      <c r="C311" s="511" t="s">
        <v>238</v>
      </c>
      <c r="D311" s="25"/>
      <c r="E311" s="946">
        <f>+COUNTIF('Visual chart Edit'!$C$6:$C$520,'Visual chart'!C311)</f>
        <v>3</v>
      </c>
      <c r="F311" s="947"/>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3">
        <f t="shared" si="4"/>
        <v>258.38783699999999</v>
      </c>
      <c r="L311" s="963"/>
      <c r="M311" s="94">
        <f t="shared" si="3"/>
        <v>0</v>
      </c>
      <c r="N311" s="961">
        <f t="shared" si="5"/>
        <v>0</v>
      </c>
      <c r="O311" s="961"/>
      <c r="P311" s="133"/>
      <c r="Q311" s="133"/>
      <c r="R311" s="133"/>
      <c r="S311" s="146"/>
      <c r="T311" s="133"/>
      <c r="U311" s="146"/>
      <c r="V311" s="133"/>
      <c r="AT311" s="30"/>
      <c r="BD311" s="510"/>
    </row>
    <row r="312" spans="1:67" s="13" customFormat="1" x14ac:dyDescent="0.25">
      <c r="A312" s="11"/>
      <c r="B312" s="56"/>
      <c r="C312" s="511" t="s">
        <v>362</v>
      </c>
      <c r="D312" s="25"/>
      <c r="E312" s="946">
        <f>+COUNTIF('Visual chart Edit'!$C$6:$C$520,'Visual chart'!C312)</f>
        <v>1</v>
      </c>
      <c r="F312" s="947"/>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3">
        <f t="shared" si="4"/>
        <v>0</v>
      </c>
      <c r="L312" s="963"/>
      <c r="M312" s="94">
        <f t="shared" si="3"/>
        <v>1</v>
      </c>
      <c r="N312" s="961">
        <f t="shared" si="5"/>
        <v>89.909625000000005</v>
      </c>
      <c r="O312" s="961"/>
      <c r="P312" s="133"/>
      <c r="Q312" s="133"/>
      <c r="R312" s="133"/>
      <c r="S312" s="146"/>
      <c r="T312" s="133"/>
      <c r="U312" s="146"/>
      <c r="V312" s="133"/>
      <c r="AT312" s="30"/>
      <c r="BD312" s="510"/>
    </row>
    <row r="313" spans="1:67" s="13" customFormat="1" x14ac:dyDescent="0.25">
      <c r="A313" s="11"/>
      <c r="B313" s="56"/>
      <c r="C313" s="511" t="s">
        <v>652</v>
      </c>
      <c r="D313" s="25"/>
      <c r="E313" s="946">
        <f>+COUNTIF('Visual chart Edit'!$C$6:$C$520,'Visual chart'!C313)</f>
        <v>2</v>
      </c>
      <c r="F313" s="947"/>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3">
        <f t="shared" si="4"/>
        <v>201.93601800000002</v>
      </c>
      <c r="L313" s="963"/>
      <c r="M313" s="94">
        <f t="shared" si="3"/>
        <v>0</v>
      </c>
      <c r="N313" s="961">
        <f t="shared" si="5"/>
        <v>0</v>
      </c>
      <c r="O313" s="961"/>
      <c r="P313" s="133"/>
      <c r="Q313" s="133"/>
      <c r="R313" s="133"/>
      <c r="S313" s="146"/>
      <c r="T313" s="133"/>
      <c r="U313" s="146"/>
      <c r="V313" s="133"/>
      <c r="AT313" s="30"/>
      <c r="BD313" s="510"/>
    </row>
    <row r="314" spans="1:67" s="13" customFormat="1" x14ac:dyDescent="0.25">
      <c r="A314" s="11"/>
      <c r="B314" s="56"/>
      <c r="C314" s="511" t="s">
        <v>357</v>
      </c>
      <c r="D314" s="25"/>
      <c r="E314" s="946">
        <f>+COUNTIF('Visual chart Edit'!$C$6:$C$520,'Visual chart'!C314)</f>
        <v>0</v>
      </c>
      <c r="F314" s="947"/>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3">
        <f t="shared" si="4"/>
        <v>0</v>
      </c>
      <c r="L314" s="963"/>
      <c r="M314" s="94">
        <f t="shared" si="3"/>
        <v>0</v>
      </c>
      <c r="N314" s="961">
        <f t="shared" si="5"/>
        <v>0</v>
      </c>
      <c r="O314" s="961"/>
      <c r="P314" s="133"/>
      <c r="Q314" s="133"/>
      <c r="R314" s="133"/>
      <c r="S314" s="146"/>
      <c r="T314" s="133"/>
      <c r="U314" s="146"/>
      <c r="V314" s="133"/>
      <c r="AT314" s="30"/>
      <c r="BD314" s="510"/>
    </row>
    <row r="315" spans="1:67" s="13" customFormat="1" x14ac:dyDescent="0.25">
      <c r="A315" s="11"/>
      <c r="B315" s="56"/>
      <c r="C315" s="511" t="s">
        <v>653</v>
      </c>
      <c r="D315" s="25"/>
      <c r="E315" s="946">
        <f>+COUNTIF('Visual chart Edit'!$C$6:$C$520,'Visual chart'!C315)</f>
        <v>1</v>
      </c>
      <c r="F315" s="947"/>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3">
        <f t="shared" si="4"/>
        <v>129.110961</v>
      </c>
      <c r="L315" s="963"/>
      <c r="M315" s="94">
        <f t="shared" si="3"/>
        <v>0</v>
      </c>
      <c r="N315" s="961">
        <f t="shared" si="5"/>
        <v>0</v>
      </c>
      <c r="O315" s="961"/>
      <c r="P315" s="133"/>
      <c r="Q315" s="133"/>
      <c r="R315" s="133"/>
      <c r="S315" s="146"/>
      <c r="T315" s="133"/>
      <c r="U315" s="146"/>
      <c r="V315" s="133"/>
      <c r="AT315" s="30"/>
      <c r="BD315" s="510"/>
    </row>
    <row r="316" spans="1:67" s="13" customFormat="1" x14ac:dyDescent="0.25">
      <c r="A316" s="11"/>
      <c r="B316" s="56"/>
      <c r="C316" s="511" t="s">
        <v>654</v>
      </c>
      <c r="D316" s="25"/>
      <c r="E316" s="946">
        <f>+COUNTIF('Visual chart Edit'!$C$6:$C$520,'Visual chart'!C316)</f>
        <v>5</v>
      </c>
      <c r="F316" s="947"/>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3">
        <f t="shared" si="4"/>
        <v>574.40749200000005</v>
      </c>
      <c r="L316" s="963"/>
      <c r="M316" s="94">
        <f t="shared" si="3"/>
        <v>1</v>
      </c>
      <c r="N316" s="961">
        <f t="shared" si="5"/>
        <v>143.60187300000001</v>
      </c>
      <c r="O316" s="961"/>
      <c r="P316" s="133"/>
      <c r="Q316" s="133"/>
      <c r="R316" s="133"/>
      <c r="S316" s="146"/>
      <c r="T316" s="133"/>
      <c r="U316" s="146"/>
      <c r="V316" s="133"/>
      <c r="AT316" s="30"/>
      <c r="BD316" s="510"/>
    </row>
    <row r="317" spans="1:67" s="23" customFormat="1" ht="15.75" customHeight="1" thickBot="1" x14ac:dyDescent="0.25">
      <c r="A317" s="46"/>
      <c r="B317" s="58"/>
      <c r="C317" s="952" t="s">
        <v>19</v>
      </c>
      <c r="D317" s="953"/>
      <c r="E317" s="965">
        <f>SUM(E288:F316)</f>
        <v>485</v>
      </c>
      <c r="F317" s="966"/>
      <c r="G317" s="632"/>
      <c r="H317" s="633">
        <f>+SUM(H288:H316)</f>
        <v>481</v>
      </c>
      <c r="I317" s="634">
        <f>SUM(I288:I316)</f>
        <v>4</v>
      </c>
      <c r="J317" s="633">
        <f>SUM(J288:J316)</f>
        <v>459</v>
      </c>
      <c r="K317" s="964">
        <f t="shared" ref="K317" si="6">SUM(K288:K316)</f>
        <v>20851.822086999997</v>
      </c>
      <c r="L317" s="964"/>
      <c r="M317" s="634">
        <f>+SUM(M288:M316)</f>
        <v>26</v>
      </c>
      <c r="N317" s="962">
        <f>+SUM(N288:N316)</f>
        <v>1360.4565090000001</v>
      </c>
      <c r="O317" s="96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AC9:AC1048576 AC1:AC7 D23">
    <cfRule type="cellIs" dxfId="148" priority="6" operator="equal">
      <formula>"WIP"</formula>
    </cfRule>
  </conditionalFormatting>
  <conditionalFormatting sqref="G1:G7 O1:O7 Q1:Q7 Y1:Y7 U1:U9 W1:W9 Y9">
    <cfRule type="cellIs" dxfId="146" priority="583" operator="equal">
      <formula>"C"</formula>
    </cfRule>
    <cfRule type="cellIs" dxfId="145"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4" priority="598" operator="equal">
      <formula>"DRY"</formula>
    </cfRule>
    <cfRule type="cellIs" dxfId="141" priority="596" operator="equal">
      <formula>"SANDY"</formula>
    </cfRule>
    <cfRule type="cellIs" dxfId="140" priority="595" operator="equal">
      <formula>"WFR"</formula>
    </cfRule>
    <cfRule type="cellIs" dxfId="139" priority="597" operator="equal">
      <formula>"DFR"</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39" operator="equal">
      <formula>"C"</formula>
    </cfRule>
    <cfRule type="cellIs" dxfId="131" priority="40" operator="equal">
      <formula>"WIP"</formula>
    </cfRule>
  </conditionalFormatting>
  <conditionalFormatting sqref="O9:O1048576">
    <cfRule type="cellIs" dxfId="130" priority="37" operator="equal">
      <formula>"C"</formula>
    </cfRule>
    <cfRule type="cellIs" dxfId="129" priority="38" operator="equal">
      <formula>"WIP"</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7 E1:E1048576 AC9:AC1048576 D23">
    <cfRule type="cellIs" dxfId="116" priority="5" operator="equal">
      <formula>"C"</formula>
    </cfRule>
  </conditionalFormatting>
  <conditionalFormatting sqref="AE1:AE1048576">
    <cfRule type="cellIs" dxfId="115" priority="21" operator="equal">
      <formula>"C"</formula>
    </cfRule>
    <cfRule type="cellIs" dxfId="114" priority="22" operator="equal">
      <formula>"WIP"</formula>
    </cfRule>
  </conditionalFormatting>
  <conditionalFormatting sqref="AG1:AG1048576">
    <cfRule type="cellIs" dxfId="113" priority="19" operator="equal">
      <formula>"C"</formula>
    </cfRule>
    <cfRule type="cellIs" dxfId="112" priority="20" operator="equal">
      <formula>"WIP"</formula>
    </cfRule>
  </conditionalFormatting>
  <conditionalFormatting sqref="AI1:AI1048576">
    <cfRule type="cellIs" dxfId="111" priority="18" operator="equal">
      <formula>"WIP"</formula>
    </cfRule>
    <cfRule type="cellIs" dxfId="110" priority="17" operator="equal">
      <formula>"C"</formula>
    </cfRule>
  </conditionalFormatting>
  <conditionalFormatting sqref="AK1:AK1048576">
    <cfRule type="cellIs" dxfId="109" priority="16" operator="equal">
      <formula>"WIP"</formula>
    </cfRule>
    <cfRule type="cellIs" dxfId="108" priority="15" operator="equal">
      <formula>"C"</formula>
    </cfRule>
  </conditionalFormatting>
  <conditionalFormatting sqref="AM1:AM1048576">
    <cfRule type="cellIs" dxfId="107" priority="13" operator="equal">
      <formula>"C"</formula>
    </cfRule>
    <cfRule type="cellIs" dxfId="106" priority="14" operator="equal">
      <formula>"WIP"</formula>
    </cfRule>
  </conditionalFormatting>
  <conditionalFormatting sqref="AO1:AO1048576">
    <cfRule type="cellIs" dxfId="105" priority="12" operator="equal">
      <formula>"WIP"</formula>
    </cfRule>
    <cfRule type="cellIs" dxfId="104" priority="11" operator="equal">
      <formula>"C"</formula>
    </cfRule>
  </conditionalFormatting>
  <conditionalFormatting sqref="AQ1:AQ1048576">
    <cfRule type="cellIs" dxfId="103" priority="10" operator="equal">
      <formula>"WIP"</formula>
    </cfRule>
    <cfRule type="cellIs" dxfId="102" priority="9" operator="equal">
      <formula>"C"</formula>
    </cfRule>
  </conditionalFormatting>
  <conditionalFormatting sqref="AS24:AS26">
    <cfRule type="cellIs" dxfId="101" priority="531" operator="equal">
      <formula>"C"</formula>
    </cfRule>
    <cfRule type="cellIs" dxfId="100" priority="532" operator="equal">
      <formula>"WIP"</formula>
    </cfRule>
  </conditionalFormatting>
  <conditionalFormatting sqref="AS35">
    <cfRule type="cellIs" dxfId="99" priority="530" operator="equal">
      <formula>"WIP"</formula>
    </cfRule>
    <cfRule type="cellIs" dxfId="98" priority="529" operator="equal">
      <formula>"C"</formula>
    </cfRule>
  </conditionalFormatting>
  <conditionalFormatting sqref="AS37">
    <cfRule type="cellIs" dxfId="97" priority="536" operator="equal">
      <formula>"WIP"</formula>
    </cfRule>
    <cfRule type="cellIs" dxfId="96" priority="535" operator="equal">
      <formula>"C"</formula>
    </cfRule>
  </conditionalFormatting>
  <conditionalFormatting sqref="AS46">
    <cfRule type="cellIs" dxfId="95" priority="528" operator="equal">
      <formula>"WIP"</formula>
    </cfRule>
    <cfRule type="cellIs" dxfId="94" priority="527" operator="equal">
      <formula>"C"</formula>
    </cfRule>
  </conditionalFormatting>
  <conditionalFormatting sqref="AS48">
    <cfRule type="cellIs" dxfId="93" priority="538" operator="equal">
      <formula>"WIP"</formula>
    </cfRule>
    <cfRule type="cellIs" dxfId="92" priority="537" operator="equal">
      <formula>"C"</formula>
    </cfRule>
  </conditionalFormatting>
  <conditionalFormatting sqref="AS57">
    <cfRule type="cellIs" dxfId="91" priority="526" operator="equal">
      <formula>"WIP"</formula>
    </cfRule>
    <cfRule type="cellIs" dxfId="90" priority="525" operator="equal">
      <formula>"C"</formula>
    </cfRule>
  </conditionalFormatting>
  <conditionalFormatting sqref="AS59">
    <cfRule type="cellIs" dxfId="89" priority="539" operator="equal">
      <formula>"C"</formula>
    </cfRule>
    <cfRule type="cellIs" dxfId="88" priority="540" operator="equal">
      <formula>"WIP"</formula>
    </cfRule>
  </conditionalFormatting>
  <conditionalFormatting sqref="AS68">
    <cfRule type="cellIs" dxfId="87" priority="523" operator="equal">
      <formula>"C"</formula>
    </cfRule>
    <cfRule type="cellIs" dxfId="86" priority="524" operator="equal">
      <formula>"WIP"</formula>
    </cfRule>
  </conditionalFormatting>
  <conditionalFormatting sqref="AS70">
    <cfRule type="cellIs" dxfId="85" priority="542" operator="equal">
      <formula>"WIP"</formula>
    </cfRule>
    <cfRule type="cellIs" dxfId="84" priority="541" operator="equal">
      <formula>"C"</formula>
    </cfRule>
  </conditionalFormatting>
  <conditionalFormatting sqref="AS79">
    <cfRule type="cellIs" dxfId="83" priority="521" operator="equal">
      <formula>"C"</formula>
    </cfRule>
    <cfRule type="cellIs" dxfId="82" priority="522" operator="equal">
      <formula>"WIP"</formula>
    </cfRule>
  </conditionalFormatting>
  <conditionalFormatting sqref="AS81">
    <cfRule type="cellIs" dxfId="81" priority="544" operator="equal">
      <formula>"WIP"</formula>
    </cfRule>
    <cfRule type="cellIs" dxfId="80" priority="543" operator="equal">
      <formula>"C"</formula>
    </cfRule>
  </conditionalFormatting>
  <conditionalFormatting sqref="AS90">
    <cfRule type="cellIs" dxfId="79" priority="519" operator="equal">
      <formula>"C"</formula>
    </cfRule>
    <cfRule type="cellIs" dxfId="78" priority="520" operator="equal">
      <formula>"WIP"</formula>
    </cfRule>
  </conditionalFormatting>
  <conditionalFormatting sqref="AS92">
    <cfRule type="cellIs" dxfId="77" priority="546" operator="equal">
      <formula>"WIP"</formula>
    </cfRule>
    <cfRule type="cellIs" dxfId="76" priority="545" operator="equal">
      <formula>"C"</formula>
    </cfRule>
  </conditionalFormatting>
  <conditionalFormatting sqref="AS101">
    <cfRule type="cellIs" dxfId="75" priority="518" operator="equal">
      <formula>"WIP"</formula>
    </cfRule>
    <cfRule type="cellIs" dxfId="74" priority="517" operator="equal">
      <formula>"C"</formula>
    </cfRule>
  </conditionalFormatting>
  <conditionalFormatting sqref="AS103">
    <cfRule type="cellIs" dxfId="73" priority="548" operator="equal">
      <formula>"WIP"</formula>
    </cfRule>
    <cfRule type="cellIs" dxfId="72" priority="547" operator="equal">
      <formula>"C"</formula>
    </cfRule>
  </conditionalFormatting>
  <conditionalFormatting sqref="AS112">
    <cfRule type="cellIs" dxfId="71" priority="515" operator="equal">
      <formula>"C"</formula>
    </cfRule>
    <cfRule type="cellIs" dxfId="70" priority="516" operator="equal">
      <formula>"WIP"</formula>
    </cfRule>
  </conditionalFormatting>
  <conditionalFormatting sqref="AS114">
    <cfRule type="cellIs" dxfId="69" priority="550" operator="equal">
      <formula>"WIP"</formula>
    </cfRule>
    <cfRule type="cellIs" dxfId="68" priority="549" operator="equal">
      <formula>"C"</formula>
    </cfRule>
  </conditionalFormatting>
  <conditionalFormatting sqref="AS123">
    <cfRule type="cellIs" dxfId="67" priority="514" operator="equal">
      <formula>"WIP"</formula>
    </cfRule>
    <cfRule type="cellIs" dxfId="66" priority="513" operator="equal">
      <formula>"C"</formula>
    </cfRule>
  </conditionalFormatting>
  <conditionalFormatting sqref="AS125">
    <cfRule type="cellIs" dxfId="65" priority="552" operator="equal">
      <formula>"WIP"</formula>
    </cfRule>
    <cfRule type="cellIs" dxfId="64" priority="551" operator="equal">
      <formula>"C"</formula>
    </cfRule>
  </conditionalFormatting>
  <conditionalFormatting sqref="AS134">
    <cfRule type="cellIs" dxfId="63" priority="511" operator="equal">
      <formula>"C"</formula>
    </cfRule>
    <cfRule type="cellIs" dxfId="62" priority="512" operator="equal">
      <formula>"WIP"</formula>
    </cfRule>
  </conditionalFormatting>
  <conditionalFormatting sqref="AS136">
    <cfRule type="cellIs" dxfId="61" priority="554" operator="equal">
      <formula>"WIP"</formula>
    </cfRule>
    <cfRule type="cellIs" dxfId="60" priority="553" operator="equal">
      <formula>"C"</formula>
    </cfRule>
  </conditionalFormatting>
  <conditionalFormatting sqref="AS145">
    <cfRule type="cellIs" dxfId="59" priority="470" operator="equal">
      <formula>"WIP"</formula>
    </cfRule>
    <cfRule type="cellIs" dxfId="58" priority="469" operator="equal">
      <formula>"C"</formula>
    </cfRule>
  </conditionalFormatting>
  <conditionalFormatting sqref="AS147">
    <cfRule type="cellIs" dxfId="57" priority="557" operator="equal">
      <formula>"C"</formula>
    </cfRule>
    <cfRule type="cellIs" dxfId="56" priority="558" operator="equal">
      <formula>"WIP"</formula>
    </cfRule>
  </conditionalFormatting>
  <conditionalFormatting sqref="AS155">
    <cfRule type="cellIs" dxfId="55" priority="428" operator="equal">
      <formula>"WIP"</formula>
    </cfRule>
    <cfRule type="cellIs" dxfId="54" priority="427" operator="equal">
      <formula>"C"</formula>
    </cfRule>
  </conditionalFormatting>
  <conditionalFormatting sqref="AS157">
    <cfRule type="cellIs" dxfId="53" priority="560" operator="equal">
      <formula>"WIP"</formula>
    </cfRule>
    <cfRule type="cellIs" dxfId="52" priority="559" operator="equal">
      <formula>"C"</formula>
    </cfRule>
  </conditionalFormatting>
  <conditionalFormatting sqref="AS166">
    <cfRule type="cellIs" dxfId="51" priority="385" operator="equal">
      <formula>"C"</formula>
    </cfRule>
    <cfRule type="cellIs" dxfId="50" priority="386" operator="equal">
      <formula>"WIP"</formula>
    </cfRule>
  </conditionalFormatting>
  <conditionalFormatting sqref="AS168">
    <cfRule type="cellIs" dxfId="49" priority="561" operator="equal">
      <formula>"C"</formula>
    </cfRule>
    <cfRule type="cellIs" dxfId="48" priority="562" operator="equal">
      <formula>"WIP"</formula>
    </cfRule>
  </conditionalFormatting>
  <conditionalFormatting sqref="AS177">
    <cfRule type="cellIs" dxfId="47" priority="344" operator="equal">
      <formula>"WIP"</formula>
    </cfRule>
    <cfRule type="cellIs" dxfId="46" priority="343" operator="equal">
      <formula>"C"</formula>
    </cfRule>
  </conditionalFormatting>
  <conditionalFormatting sqref="AS179">
    <cfRule type="cellIs" dxfId="45" priority="563" operator="equal">
      <formula>"C"</formula>
    </cfRule>
    <cfRule type="cellIs" dxfId="44" priority="564" operator="equal">
      <formula>"WIP"</formula>
    </cfRule>
  </conditionalFormatting>
  <conditionalFormatting sqref="AS188">
    <cfRule type="cellIs" dxfId="43" priority="302" operator="equal">
      <formula>"WIP"</formula>
    </cfRule>
    <cfRule type="cellIs" dxfId="42" priority="301" operator="equal">
      <formula>"C"</formula>
    </cfRule>
  </conditionalFormatting>
  <conditionalFormatting sqref="AS190">
    <cfRule type="cellIs" dxfId="41" priority="565" operator="equal">
      <formula>"C"</formula>
    </cfRule>
    <cfRule type="cellIs" dxfId="40" priority="566" operator="equal">
      <formula>"WIP"</formula>
    </cfRule>
  </conditionalFormatting>
  <conditionalFormatting sqref="AS199">
    <cfRule type="cellIs" dxfId="39" priority="259" operator="equal">
      <formula>"C"</formula>
    </cfRule>
    <cfRule type="cellIs" dxfId="38" priority="260" operator="equal">
      <formula>"WIP"</formula>
    </cfRule>
  </conditionalFormatting>
  <conditionalFormatting sqref="AS201">
    <cfRule type="cellIs" dxfId="37" priority="567" operator="equal">
      <formula>"C"</formula>
    </cfRule>
    <cfRule type="cellIs" dxfId="36" priority="568" operator="equal">
      <formula>"WIP"</formula>
    </cfRule>
  </conditionalFormatting>
  <conditionalFormatting sqref="AS210">
    <cfRule type="cellIs" dxfId="35" priority="218" operator="equal">
      <formula>"WIP"</formula>
    </cfRule>
    <cfRule type="cellIs" dxfId="34" priority="217" operator="equal">
      <formula>"C"</formula>
    </cfRule>
  </conditionalFormatting>
  <conditionalFormatting sqref="AS212">
    <cfRule type="cellIs" dxfId="33" priority="570" operator="equal">
      <formula>"WIP"</formula>
    </cfRule>
    <cfRule type="cellIs" dxfId="32" priority="569" operator="equal">
      <formula>"C"</formula>
    </cfRule>
  </conditionalFormatting>
  <conditionalFormatting sqref="AS221">
    <cfRule type="cellIs" dxfId="31" priority="176" operator="equal">
      <formula>"WIP"</formula>
    </cfRule>
    <cfRule type="cellIs" dxfId="30" priority="175" operator="equal">
      <formula>"C"</formula>
    </cfRule>
  </conditionalFormatting>
  <conditionalFormatting sqref="AS223">
    <cfRule type="cellIs" dxfId="29" priority="571" operator="equal">
      <formula>"C"</formula>
    </cfRule>
    <cfRule type="cellIs" dxfId="28" priority="572" operator="equal">
      <formula>"WIP"</formula>
    </cfRule>
  </conditionalFormatting>
  <conditionalFormatting sqref="AS232">
    <cfRule type="cellIs" dxfId="27" priority="134" operator="equal">
      <formula>"WIP"</formula>
    </cfRule>
    <cfRule type="cellIs" dxfId="26" priority="133" operator="equal">
      <formula>"C"</formula>
    </cfRule>
  </conditionalFormatting>
  <conditionalFormatting sqref="AS234">
    <cfRule type="cellIs" dxfId="25" priority="573" operator="equal">
      <formula>"C"</formula>
    </cfRule>
    <cfRule type="cellIs" dxfId="24" priority="574" operator="equal">
      <formula>"WIP"</formula>
    </cfRule>
  </conditionalFormatting>
  <conditionalFormatting sqref="AS243">
    <cfRule type="cellIs" dxfId="23" priority="92" operator="equal">
      <formula>"WIP"</formula>
    </cfRule>
    <cfRule type="cellIs" dxfId="22" priority="91" operator="equal">
      <formula>"C"</formula>
    </cfRule>
  </conditionalFormatting>
  <conditionalFormatting sqref="AS245">
    <cfRule type="cellIs" dxfId="21" priority="575" operator="equal">
      <formula>"C"</formula>
    </cfRule>
    <cfRule type="cellIs" dxfId="20" priority="576" operator="equal">
      <formula>"WIP"</formula>
    </cfRule>
  </conditionalFormatting>
  <conditionalFormatting sqref="AS254">
    <cfRule type="cellIs" dxfId="19" priority="50" operator="equal">
      <formula>"WIP"</formula>
    </cfRule>
    <cfRule type="cellIs" dxfId="18" priority="49" operator="equal">
      <formula>"C"</formula>
    </cfRule>
  </conditionalFormatting>
  <conditionalFormatting sqref="AS256">
    <cfRule type="cellIs" dxfId="17" priority="577" operator="equal">
      <formula>"C"</formula>
    </cfRule>
    <cfRule type="cellIs" dxfId="16" priority="578" operator="equal">
      <formula>"WIP"</formula>
    </cfRule>
  </conditionalFormatting>
  <conditionalFormatting sqref="AS265">
    <cfRule type="cellIs" dxfId="15" priority="7" operator="equal">
      <formula>"C"</formula>
    </cfRule>
    <cfRule type="cellIs" dxfId="14" priority="8" operator="equal">
      <formula>"WIP"</formula>
    </cfRule>
  </conditionalFormatting>
  <conditionalFormatting sqref="AS267">
    <cfRule type="cellIs" dxfId="13" priority="579" operator="equal">
      <formula>"C"</formula>
    </cfRule>
    <cfRule type="cellIs" dxfId="12" priority="580" operator="equal">
      <formula>"WIP"</formula>
    </cfRule>
  </conditionalFormatting>
  <conditionalFormatting sqref="AT1">
    <cfRule type="cellIs" dxfId="8" priority="588" operator="equal">
      <formula>"WFR"</formula>
    </cfRule>
    <cfRule type="cellIs" dxfId="7" priority="590" operator="equal">
      <formula>"DFR"</formula>
    </cfRule>
    <cfRule type="cellIs" dxfId="6" priority="591" operator="equal">
      <formula>"DRY"</formula>
    </cfRule>
    <cfRule type="cellIs" dxfId="5" priority="589" operator="equal">
      <formula>"SANDY"</formula>
    </cfRule>
  </conditionalFormatting>
  <conditionalFormatting sqref="BO25:BO367">
    <cfRule type="duplicateValues" dxfId="4"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6" t="s">
        <v>656</v>
      </c>
      <c r="C3" s="996"/>
      <c r="D3" s="996"/>
      <c r="E3" s="996"/>
      <c r="F3" s="996"/>
      <c r="G3" s="996"/>
      <c r="H3" s="996"/>
      <c r="I3" s="996"/>
      <c r="J3" s="996"/>
    </row>
    <row r="4" spans="1:14" x14ac:dyDescent="0.25">
      <c r="A4" s="428" t="s">
        <v>303</v>
      </c>
      <c r="B4" s="997" t="s">
        <v>292</v>
      </c>
      <c r="C4" s="997"/>
      <c r="D4" s="997"/>
      <c r="E4" s="997"/>
      <c r="F4" s="997"/>
      <c r="G4" s="997"/>
      <c r="H4" s="997"/>
      <c r="I4" s="997"/>
      <c r="J4" s="997"/>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Compiled'!$C$6:$C$815,0),"B")="B","","E")</f>
        <v>E</v>
      </c>
      <c r="M7" s="426" t="str">
        <f>+IFERROR(VLOOKUP(B7,Tackwelding!$B$6:$G$322,6,FALSE),"")</f>
        <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Compiled'!$C$6:$C$815,0),"B")="B","","E")</f>
        <v>E</v>
      </c>
      <c r="M8" s="426" t="str">
        <f>+IFERROR(VLOOKUP(B8,Tackwelding!$B$6:$G$322,6,FALSE),"")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Compiled'!$C$6:$C$815,0),"B")="B","","E")</f>
        <v>E</v>
      </c>
      <c r="M9" s="426" t="str">
        <f>+IFERROR(VLOOKUP(B9,Tackwelding!$B$6:$G$322,6,FALSE),"")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Compiled'!$C$6:$C$815,0),"B")="B","","E")</f>
        <v>E</v>
      </c>
      <c r="M10" s="426" t="str">
        <f>+IFERROR(VLOOKUP(B10,Tackwelding!$B$6:$G$322,6,FALSE),"")</f>
        <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Compiled'!$C$6:$C$815,0),"B")="B","","E")</f>
        <v>E</v>
      </c>
      <c r="M11" s="426" t="str">
        <f>+IFERROR(VLOOKUP(B11,Tackwelding!$B$6:$G$322,6,FALSE),"")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Compiled'!$C$6:$C$815,0),"B")="B","","E")</f>
        <v>E</v>
      </c>
      <c r="M12" s="426" t="str">
        <f>+IFERROR(VLOOKUP(B12,Tackwelding!$B$6:$G$322,6,FALSE),"")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Compiled'!$C$6:$C$815,0),"B")="B","","E")</f>
        <v>E</v>
      </c>
      <c r="M13" s="426" t="str">
        <f>+IFERROR(VLOOKUP(B13,Tackwelding!$B$6:$G$322,6,FALSE),"")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Compiled'!$C$6:$C$815,0),"B")="B","","E")</f>
        <v>E</v>
      </c>
      <c r="M14" s="426" t="str">
        <f>+IFERROR(VLOOKUP(B14,Tackwelding!$B$6:$G$322,6,FALSE),"")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Compiled'!$C$6:$C$815,0),"B")="B","","E")</f>
        <v>E</v>
      </c>
      <c r="M15" s="426" t="str">
        <f>+IFERROR(VLOOKUP(B15,Tackwelding!$B$6:$G$322,6,FALSE),"")</f>
        <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Compiled'!$C$6:$C$815,0),"B")="B","","E")</f>
        <v>E</v>
      </c>
      <c r="M16" s="426" t="str">
        <f>+IFERROR(VLOOKUP(B16,Tackwelding!$B$6:$G$322,6,FALSE),"")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Compiled'!$C$6:$C$815,0),"B")="B","","E")</f>
        <v>E</v>
      </c>
      <c r="M17" s="426" t="str">
        <f>+IFERROR(VLOOKUP(B17,Tackwelding!$B$6:$G$322,6,FALSE),"")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Compiled'!$C$6:$C$815,0),"B")="B","","E")</f>
        <v>E</v>
      </c>
      <c r="M18" s="426" t="str">
        <f>+IFERROR(VLOOKUP(B18,Tackwelding!$B$6:$G$322,6,FALSE),"")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Compiled'!$C$6:$C$815,0),"B")="B","","E")</f>
        <v>E</v>
      </c>
      <c r="M19" s="426" t="str">
        <f>+IFERROR(VLOOKUP(B19,Tackwelding!$B$6:$G$322,6,FALSE),"")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Compiled'!$C$6:$C$815,0),"B")="B","","E")</f>
        <v>E</v>
      </c>
      <c r="M20" s="426" t="str">
        <f>+IFERROR(VLOOKUP(B20,Tackwelding!$B$6:$G$322,6,FALSE),"")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Compiled'!$C$6:$C$815,0),"B")="B","","E")</f>
        <v>E</v>
      </c>
      <c r="M21" s="426" t="str">
        <f>+IFERROR(VLOOKUP(B21,Tackwelding!$B$6:$G$322,6,FALSE),"")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Compiled'!$C$6:$C$815,0),"B")="B","","E")</f>
        <v>E</v>
      </c>
      <c r="M22" s="426" t="str">
        <f>+IFERROR(VLOOKUP(B22,Tackwelding!$B$6:$G$322,6,FALSE),"")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Compiled'!$C$6:$C$815,0),"B")="B","","E")</f>
        <v>E</v>
      </c>
      <c r="M23" s="426" t="str">
        <f>+IFERROR(VLOOKUP(B23,Tackwelding!$B$6:$G$322,6,FALSE),"")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Compiled'!$C$6:$C$815,0),"B")="B","","E")</f>
        <v>E</v>
      </c>
      <c r="M24" s="426" t="str">
        <f>+IFERROR(VLOOKUP(B24,Tackwelding!$B$6:$G$322,6,FALSE),"")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Compiled'!$C$6:$C$815,0),"B")="B","","E")</f>
        <v>E</v>
      </c>
      <c r="M25" s="426" t="str">
        <f>+IFERROR(VLOOKUP(B25,Tackwelding!$B$6:$G$322,6,FALSE),"")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Compiled'!$C$6:$C$815,0),"B")="B","","E")</f>
        <v>E</v>
      </c>
      <c r="M26" s="426" t="str">
        <f>+IFERROR(VLOOKUP(B26,Tackwelding!$B$6:$G$322,6,FALSE),"")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Compiled'!$C$6:$C$815,0),"B")="B","","E")</f>
        <v>E</v>
      </c>
      <c r="M27" s="426" t="str">
        <f>+IFERROR(VLOOKUP(B27,Tackwelding!$B$6:$G$322,6,FALSE),"")</f>
        <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Compiled'!$C$6:$C$815,0),"B")="B","","E")</f>
        <v>E</v>
      </c>
      <c r="M28" s="426" t="str">
        <f>+IFERROR(VLOOKUP(B28,Tackwelding!$B$6:$G$322,6,FALSE),"")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Compiled'!$C$6:$C$815,0),"B")="B","","E")</f>
        <v>E</v>
      </c>
      <c r="M29" s="426" t="str">
        <f>+IFERROR(VLOOKUP(B29,Tackwelding!$B$6:$G$322,6,FALSE),"")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Compiled'!$C$6:$C$815,0),"B")="B","","E")</f>
        <v>E</v>
      </c>
      <c r="M30" s="426" t="str">
        <f>+IFERROR(VLOOKUP(B30,Tackwelding!$B$6:$G$322,6,FALSE),"")</f>
        <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Compiled'!$C$6:$C$815,0),"B")="B","","E")</f>
        <v>E</v>
      </c>
      <c r="M31" s="426" t="str">
        <f>+IFERROR(VLOOKUP(B31,Tackwelding!$B$6:$G$322,6,FALSE),"")</f>
        <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Compiled'!$C$6:$C$815,0),"B")="B","","E")</f>
        <v>E</v>
      </c>
      <c r="M32" s="426" t="str">
        <f>+IFERROR(VLOOKUP(B32,Tackwelding!$B$6:$G$322,6,FALSE),"")</f>
        <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Compiled'!$C$6:$C$815,0),"B")="B","","E")</f>
        <v>E</v>
      </c>
      <c r="M33" s="426" t="str">
        <f>+IFERROR(VLOOKUP(B33,Tackwelding!$B$6:$G$322,6,FALSE),"")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Compiled'!$C$6:$C$815,0),"B")="B","","E")</f>
        <v>E</v>
      </c>
      <c r="M34" s="426" t="str">
        <f>+IFERROR(VLOOKUP(B34,Tackwelding!$B$6:$G$322,6,FALSE),"")</f>
        <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Compiled'!$C$6:$C$815,0),"B")="B","","E")</f>
        <v>E</v>
      </c>
      <c r="M35" s="426" t="str">
        <f>+IFERROR(VLOOKUP(B35,Tackwelding!$B$6:$G$322,6,FALSE),"")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Compiled'!$C$6:$C$815,0),"B")="B","","E")</f>
        <v>E</v>
      </c>
      <c r="M36" s="426" t="str">
        <f>+IFERROR(VLOOKUP(B36,Tackwelding!$B$6:$G$322,6,FALSE),"")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Compiled'!$C$6:$C$815,0),"B")="B","","E")</f>
        <v>E</v>
      </c>
      <c r="M37" s="426" t="str">
        <f>+IFERROR(VLOOKUP(B37,Tackwelding!$B$6:$G$322,6,FALSE),"")</f>
        <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Compiled'!$C$6:$C$815,0),"B")="B","","E")</f>
        <v>E</v>
      </c>
      <c r="M38" s="426" t="str">
        <f>+IFERROR(VLOOKUP(B38,Tackwelding!$B$6:$G$322,6,FALSE),"")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Compiled'!$C$6:$C$815,0),"B")="B","","E")</f>
        <v>E</v>
      </c>
      <c r="M39" s="426" t="str">
        <f>+IFERROR(VLOOKUP(B39,Tackwelding!$B$6:$G$322,6,FALSE),"")</f>
        <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Compiled'!$C$6:$C$815,0),"B")="B","","E")</f>
        <v>E</v>
      </c>
      <c r="M40" s="426" t="str">
        <f>+IFERROR(VLOOKUP(B40,Tackwelding!$B$6:$G$322,6,FALSE),"")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Compiled'!$C$6:$C$815,0),"B")="B","","E")</f>
        <v>E</v>
      </c>
      <c r="M41" s="426" t="str">
        <f>+IFERROR(VLOOKUP(B41,Tackwelding!$B$6:$G$322,6,FALSE),"")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Compiled'!$C$6:$C$815,0),"B")="B","","E")</f>
        <v>E</v>
      </c>
      <c r="M42" s="426" t="str">
        <f>+IFERROR(VLOOKUP(B42,Tackwelding!$B$6:$G$322,6,FALSE),"")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Compiled'!$C$6:$C$815,0),"B")="B","","E")</f>
        <v>E</v>
      </c>
      <c r="M43" s="426" t="str">
        <f>+IFERROR(VLOOKUP(B43,Tackwelding!$B$6:$G$322,6,FALSE),"")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Compiled'!$C$6:$C$815,0),"B")="B","","E")</f>
        <v/>
      </c>
      <c r="M44" s="426" t="str">
        <f>+IFERROR(VLOOKUP(B44,Tackwelding!$B$6:$G$322,6,FALSE),"")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Compiled'!$C$6:$C$815,0),"B")="B","","E")</f>
        <v/>
      </c>
      <c r="M45" s="426" t="str">
        <f>+IFERROR(VLOOKUP(B45,Tackwelding!$B$6:$G$322,6,FALSE),"")</f>
        <v/>
      </c>
    </row>
    <row r="46" spans="1:13" x14ac:dyDescent="0.25">
      <c r="A46" s="426">
        <v>40</v>
      </c>
      <c r="B46" s="426" t="s">
        <v>153</v>
      </c>
      <c r="C46" s="426" t="s">
        <v>232</v>
      </c>
      <c r="H46" s="426" t="str">
        <f t="shared" si="0"/>
        <v>,,,</v>
      </c>
      <c r="I46" s="429">
        <v>414.4</v>
      </c>
      <c r="K46" s="426" t="str">
        <f>+IFERROR(VLOOKUP(B46,Foundation!$C$8:$E$696,3,FALSE),"")</f>
        <v>ROW</v>
      </c>
      <c r="L46" s="426" t="str">
        <f>+IF(IFERROR(MATCH(B46,'Erection Compiled'!$C$6:$C$815,0),"B")="B","","E")</f>
        <v/>
      </c>
      <c r="M46" s="426" t="str">
        <f>+IFERROR(VLOOKUP(B46,Tackwelding!$B$6:$G$322,6,FALSE),"")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Compiled'!$C$6:$C$815,0),"B")="B","","E")</f>
        <v>E</v>
      </c>
      <c r="M47" s="426" t="str">
        <f>+IFERROR(VLOOKUP(B47,Tackwelding!$B$6:$G$322,6,FALSE),"")</f>
        <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Compiled'!$C$6:$C$815,0),"B")="B","","E")</f>
        <v>E</v>
      </c>
      <c r="M48" s="426" t="str">
        <f>+IFERROR(VLOOKUP(B48,Tackwelding!$B$6:$G$322,6,FALSE),"")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Compiled'!$C$6:$C$815,0),"B")="B","","E")</f>
        <v/>
      </c>
      <c r="M49" s="426" t="str">
        <f>+IFERROR(VLOOKUP(B49,Tackwelding!$B$6:$G$322,6,FALSE),"")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Compiled'!$C$6:$C$815,0),"B")="B","","E")</f>
        <v>E</v>
      </c>
      <c r="M50" s="426" t="str">
        <f>+IFERROR(VLOOKUP(B50,Tackwelding!$B$6:$G$322,6,FALSE),"")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Compiled'!$C$6:$C$815,0),"B")="B","","E")</f>
        <v>E</v>
      </c>
      <c r="M51" s="426" t="str">
        <f>+IFERROR(VLOOKUP(B51,Tackwelding!$B$6:$G$322,6,FALSE),"")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Compiled'!$C$6:$C$815,0),"B")="B","","E")</f>
        <v/>
      </c>
      <c r="M52" s="426" t="str">
        <f>+IFERROR(VLOOKUP(B52,Tackwelding!$B$6:$G$322,6,FALSE),"")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Compiled'!$C$6:$C$815,0),"B")="B","","E")</f>
        <v>E</v>
      </c>
      <c r="M53" s="426" t="str">
        <f>+IFERROR(VLOOKUP(B53,Tackwelding!$B$6:$G$322,6,FALSE),"")</f>
        <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Compiled'!$C$6:$C$815,0),"B")="B","","E")</f>
        <v/>
      </c>
      <c r="M54" s="426" t="str">
        <f>+IFERROR(VLOOKUP(B54,Tackwelding!$B$6:$G$322,6,FALSE),"")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Compiled'!$C$6:$C$815,0),"B")="B","","E")</f>
        <v>E</v>
      </c>
      <c r="M55" s="426" t="str">
        <f>+IFERROR(VLOOKUP(B55,Tackwelding!$B$6:$G$322,6,FALSE),"")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Compiled'!$C$6:$C$815,0),"B")="B","","E")</f>
        <v>E</v>
      </c>
      <c r="M56" s="426" t="str">
        <f>+IFERROR(VLOOKUP(B56,Tackwelding!$B$6:$G$322,6,FALSE),"")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Compiled'!$C$6:$C$815,0),"B")="B","","E")</f>
        <v>E</v>
      </c>
      <c r="M57" s="426" t="str">
        <f>+IFERROR(VLOOKUP(B57,Tackwelding!$B$6:$G$322,6,FALSE),"")</f>
        <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Compiled'!$C$6:$C$815,0),"B")="B","","E")</f>
        <v>E</v>
      </c>
      <c r="M58" s="426" t="str">
        <f>+IFERROR(VLOOKUP(B58,Tackwelding!$B$6:$G$322,6,FALSE),"")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Compiled'!$C$6:$C$815,0),"B")="B","","E")</f>
        <v>E</v>
      </c>
      <c r="M59" s="426" t="str">
        <f>+IFERROR(VLOOKUP(B59,Tackwelding!$B$6:$G$322,6,FALSE),"")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Compiled'!$C$6:$C$815,0),"B")="B","","E")</f>
        <v>E</v>
      </c>
      <c r="M60" s="426" t="str">
        <f>+IFERROR(VLOOKUP(B60,Tackwelding!$B$6:$G$322,6,FALSE),"")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Compiled'!$C$6:$C$815,0),"B")="B","","E")</f>
        <v>E</v>
      </c>
      <c r="M61" s="426" t="str">
        <f>+IFERROR(VLOOKUP(B61,Tackwelding!$B$6:$G$322,6,FALSE),"")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Compiled'!$C$6:$C$815,0),"B")="B","","E")</f>
        <v>E</v>
      </c>
      <c r="M62" s="426" t="str">
        <f>+IFERROR(VLOOKUP(B62,Tackwelding!$B$6:$G$322,6,FALSE),"")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Compiled'!$C$6:$C$815,0),"B")="B","","E")</f>
        <v>E</v>
      </c>
      <c r="M63" s="426" t="str">
        <f>+IFERROR(VLOOKUP(B63,Tackwelding!$B$6:$G$322,6,FALSE),"")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Compiled'!$C$6:$C$815,0),"B")="B","","E")</f>
        <v>E</v>
      </c>
      <c r="M64" s="426" t="str">
        <f>+IFERROR(VLOOKUP(B64,Tackwelding!$B$6:$G$322,6,FALSE),"")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Compiled'!$C$6:$C$815,0),"B")="B","","E")</f>
        <v>E</v>
      </c>
      <c r="M65" s="426" t="str">
        <f>+IFERROR(VLOOKUP(B65,Tackwelding!$B$6:$G$322,6,FALSE),"")</f>
        <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Compiled'!$C$6:$C$815,0),"B")="B","","E")</f>
        <v>E</v>
      </c>
      <c r="M66" s="426" t="str">
        <f>+IFERROR(VLOOKUP(B66,Tackwelding!$B$6:$G$322,6,FALSE),"")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Compiled'!$C$6:$C$815,0),"B")="B","","E")</f>
        <v>E</v>
      </c>
      <c r="M67" s="426" t="str">
        <f>+IFERROR(VLOOKUP(B67,Tackwelding!$B$6:$G$322,6,FALSE),"")</f>
        <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Compiled'!$C$6:$C$815,0),"B")="B","","E")</f>
        <v>E</v>
      </c>
      <c r="M68" s="426" t="str">
        <f>+IFERROR(VLOOKUP(B68,Tackwelding!$B$6:$G$322,6,FALSE),"")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Compiled'!$C$6:$C$815,0),"B")="B","","E")</f>
        <v>E</v>
      </c>
      <c r="M69" s="426" t="str">
        <f>+IFERROR(VLOOKUP(B69,Tackwelding!$B$6:$G$322,6,FALSE),"")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Compiled'!$C$6:$C$815,0),"B")="B","","E")</f>
        <v>E</v>
      </c>
      <c r="M70" s="426" t="str">
        <f>+IFERROR(VLOOKUP(B70,Tackwelding!$B$6:$G$322,6,FALSE),"")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Compiled'!$C$6:$C$815,0),"B")="B","","E")</f>
        <v>E</v>
      </c>
      <c r="M71" s="426" t="str">
        <f>+IFERROR(VLOOKUP(B71,Tackwelding!$B$6:$G$322,6,FALSE),"")</f>
        <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Compiled'!$C$6:$C$815,0),"B")="B","","E")</f>
        <v>E</v>
      </c>
      <c r="M72" s="426" t="str">
        <f>+IFERROR(VLOOKUP(B72,Tackwelding!$B$6:$G$322,6,FALSE),"")</f>
        <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Compiled'!$C$6:$C$815,0),"B")="B","","E")</f>
        <v>E</v>
      </c>
      <c r="M73" s="426" t="str">
        <f>+IFERROR(VLOOKUP(B73,Tackwelding!$B$6:$G$322,6,FALSE),"")</f>
        <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Compiled'!$C$6:$C$815,0),"B")="B","","E")</f>
        <v>E</v>
      </c>
      <c r="M74" s="426" t="str">
        <f>+IFERROR(VLOOKUP(B74,Tackwelding!$B$6:$G$322,6,FALSE),"")</f>
        <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Compiled'!$C$6:$C$815,0),"B")="B","","E")</f>
        <v>E</v>
      </c>
      <c r="M75" s="426" t="str">
        <f>+IFERROR(VLOOKUP(B75,Tackwelding!$B$6:$G$322,6,FALSE),"")</f>
        <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Compiled'!$C$6:$C$815,0),"B")="B","","E")</f>
        <v>E</v>
      </c>
      <c r="M76" s="426" t="str">
        <f>+IFERROR(VLOOKUP(B76,Tackwelding!$B$6:$G$322,6,FALSE),"")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Compiled'!$C$6:$C$815,0),"B")="B","","E")</f>
        <v>E</v>
      </c>
      <c r="M77" s="426" t="str">
        <f>+IFERROR(VLOOKUP(B77,Tackwelding!$B$6:$G$322,6,FALSE),"")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Compiled'!$C$6:$C$815,0),"B")="B","","E")</f>
        <v>E</v>
      </c>
      <c r="M78" s="426" t="str">
        <f>+IFERROR(VLOOKUP(B78,Tackwelding!$B$6:$G$322,6,FALSE),"")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Compiled'!$C$6:$C$815,0),"B")="B","","E")</f>
        <v>E</v>
      </c>
      <c r="M79" s="426" t="str">
        <f>+IFERROR(VLOOKUP(B79,Tackwelding!$B$6:$G$322,6,FALSE),"")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Compiled'!$C$6:$C$815,0),"B")="B","","E")</f>
        <v>E</v>
      </c>
      <c r="M80" s="426" t="str">
        <f>+IFERROR(VLOOKUP(B80,Tackwelding!$B$6:$G$322,6,FALSE),"")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Compiled'!$C$6:$C$815,0),"B")="B","","E")</f>
        <v>E</v>
      </c>
      <c r="M81" s="426" t="str">
        <f>+IFERROR(VLOOKUP(B81,Tackwelding!$B$6:$G$322,6,FALSE),"")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Compiled'!$C$6:$C$815,0),"B")="B","","E")</f>
        <v>E</v>
      </c>
      <c r="M82" s="426" t="str">
        <f>+IFERROR(VLOOKUP(B82,Tackwelding!$B$6:$G$322,6,FALSE),"")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Compiled'!$C$6:$C$815,0),"B")="B","","E")</f>
        <v>E</v>
      </c>
      <c r="M83" s="426" t="str">
        <f>+IFERROR(VLOOKUP(B83,Tackwelding!$B$6:$G$322,6,FALSE),"")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Compiled'!$C$6:$C$815,0),"B")="B","","E")</f>
        <v>E</v>
      </c>
      <c r="M84" s="426" t="str">
        <f>+IFERROR(VLOOKUP(B84,Tackwelding!$B$6:$G$322,6,FALSE),"")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Compiled'!$C$6:$C$815,0),"B")="B","","E")</f>
        <v>E</v>
      </c>
      <c r="M85" s="426" t="str">
        <f>+IFERROR(VLOOKUP(B85,Tackwelding!$B$6:$G$322,6,FALSE),"")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Compiled'!$C$6:$C$815,0),"B")="B","","E")</f>
        <v/>
      </c>
      <c r="M86" s="426" t="str">
        <f>+IFERROR(VLOOKUP(B86,Tackwelding!$B$6:$G$322,6,FALSE),"")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Compiled'!$C$6:$C$815,0),"B")="B","","E")</f>
        <v>E</v>
      </c>
      <c r="M87" s="426" t="str">
        <f>+IFERROR(VLOOKUP(B87,Tackwelding!$B$6:$G$322,6,FALSE),"")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Compiled'!$C$6:$C$815,0),"B")="B","","E")</f>
        <v>E</v>
      </c>
      <c r="M88" s="426" t="str">
        <f>+IFERROR(VLOOKUP(B88,Tackwelding!$B$6:$G$322,6,FALSE),"")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Compiled'!$C$6:$C$815,0),"B")="B","","E")</f>
        <v>E</v>
      </c>
      <c r="M89" s="426" t="str">
        <f>+IFERROR(VLOOKUP(B89,Tackwelding!$B$6:$G$322,6,FALSE),"")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Compiled'!$C$6:$C$815,0),"B")="B","","E")</f>
        <v>E</v>
      </c>
      <c r="M90" s="426" t="str">
        <f>+IFERROR(VLOOKUP(B90,Tackwelding!$B$6:$G$322,6,FALSE),"")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Compiled'!$C$6:$C$815,0),"B")="B","","E")</f>
        <v>E</v>
      </c>
      <c r="M91" s="426" t="str">
        <f>+IFERROR(VLOOKUP(B91,Tackwelding!$B$6:$G$322,6,FALSE),"")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Compiled'!$C$6:$C$815,0),"B")="B","","E")</f>
        <v>E</v>
      </c>
      <c r="M92" s="426" t="str">
        <f>+IFERROR(VLOOKUP(B92,Tackwelding!$B$6:$G$322,6,FALSE),"")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Compiled'!$C$6:$C$815,0),"B")="B","","E")</f>
        <v/>
      </c>
      <c r="M93" s="426" t="str">
        <f>+IFERROR(VLOOKUP(B93,Tackwelding!$B$6:$G$322,6,FALSE),"")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Compiled'!$C$6:$C$815,0),"B")="B","","E")</f>
        <v>E</v>
      </c>
      <c r="M94" s="426" t="str">
        <f>+IFERROR(VLOOKUP(B94,Tackwelding!$B$6:$G$322,6,FALSE),"")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Compiled'!$C$6:$C$815,0),"B")="B","","E")</f>
        <v>E</v>
      </c>
      <c r="M95" s="426" t="str">
        <f>+IFERROR(VLOOKUP(B95,Tackwelding!$B$6:$G$322,6,FALSE),"")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Compiled'!$C$6:$C$815,0),"B")="B","","E")</f>
        <v>E</v>
      </c>
      <c r="M96" s="426" t="str">
        <f>+IFERROR(VLOOKUP(B96,Tackwelding!$B$6:$G$322,6,FALSE),"")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Compiled'!$C$6:$C$815,0),"B")="B","","E")</f>
        <v>E</v>
      </c>
      <c r="M97" s="426" t="str">
        <f>+IFERROR(VLOOKUP(B97,Tackwelding!$B$6:$G$322,6,FALSE),"")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Compiled'!$C$6:$C$815,0),"B")="B","","E")</f>
        <v>E</v>
      </c>
      <c r="M98" s="426" t="str">
        <f>+IFERROR(VLOOKUP(B98,Tackwelding!$B$6:$G$322,6,FALSE),"")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Compiled'!$C$6:$C$815,0),"B")="B","","E")</f>
        <v>E</v>
      </c>
      <c r="M99" s="426" t="str">
        <f>+IFERROR(VLOOKUP(B99,Tackwelding!$B$6:$G$322,6,FALSE),"")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Compiled'!$C$6:$C$815,0),"B")="B","","E")</f>
        <v>E</v>
      </c>
      <c r="M100" s="426" t="str">
        <f>+IFERROR(VLOOKUP(B100,Tackwelding!$B$6:$G$322,6,FALSE),"")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Compiled'!$C$6:$C$815,0),"B")="B","","E")</f>
        <v>E</v>
      </c>
      <c r="M101" s="426" t="str">
        <f>+IFERROR(VLOOKUP(B101,Tackwelding!$B$6:$G$322,6,FALSE),"")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Compiled'!$C$6:$C$815,0),"B")="B","","E")</f>
        <v/>
      </c>
      <c r="M102" s="426" t="str">
        <f>+IFERROR(VLOOKUP(B102,Tackwelding!$B$6:$G$322,6,FALSE),"")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Compiled'!$C$6:$C$815,0),"B")="B","","E")</f>
        <v>E</v>
      </c>
      <c r="M103" s="426" t="str">
        <f>+IFERROR(VLOOKUP(B103,Tackwelding!$B$6:$G$322,6,FALSE),"")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Compiled'!$C$6:$C$815,0),"B")="B","","E")</f>
        <v>E</v>
      </c>
      <c r="M104" s="426" t="str">
        <f>+IFERROR(VLOOKUP(B104,Tackwelding!$B$6:$G$322,6,FALSE),"")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Compiled'!$C$6:$C$815,0),"B")="B","","E")</f>
        <v>E</v>
      </c>
      <c r="M105" s="426" t="str">
        <f>+IFERROR(VLOOKUP(B105,Tackwelding!$B$6:$G$322,6,FALSE),"")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Compiled'!$C$6:$C$815,0),"B")="B","","E")</f>
        <v>E</v>
      </c>
      <c r="M106" s="426" t="str">
        <f>+IFERROR(VLOOKUP(B106,Tackwelding!$B$6:$G$322,6,FALSE),"")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Compiled'!$C$6:$C$815,0),"B")="B","","E")</f>
        <v>E</v>
      </c>
      <c r="M107" s="426" t="str">
        <f>+IFERROR(VLOOKUP(B107,Tackwelding!$B$6:$G$322,6,FALSE),"")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Compiled'!$C$6:$C$815,0),"B")="B","","E")</f>
        <v>E</v>
      </c>
      <c r="M108" s="426" t="str">
        <f>+IFERROR(VLOOKUP(B108,Tackwelding!$B$6:$G$322,6,FALSE),"")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Compiled'!$C$6:$C$815,0),"B")="B","","E")</f>
        <v>E</v>
      </c>
      <c r="M109" s="426" t="str">
        <f>+IFERROR(VLOOKUP(B109,Tackwelding!$B$6:$G$322,6,FALSE),"")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Compiled'!$C$6:$C$815,0),"B")="B","","E")</f>
        <v>E</v>
      </c>
      <c r="M110" s="426" t="str">
        <f>+IFERROR(VLOOKUP(B110,Tackwelding!$B$6:$G$322,6,FALSE),"")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Compiled'!$C$6:$C$815,0),"B")="B","","E")</f>
        <v>E</v>
      </c>
      <c r="M111" s="426" t="str">
        <f>+IFERROR(VLOOKUP(B111,Tackwelding!$B$6:$G$322,6,FALSE),"")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Compiled'!$C$6:$C$815,0),"B")="B","","E")</f>
        <v>E</v>
      </c>
      <c r="M112" s="426" t="str">
        <f>+IFERROR(VLOOKUP(B112,Tackwelding!$B$6:$G$322,6,FALSE),"")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Compiled'!$C$6:$C$815,0),"B")="B","","E")</f>
        <v>E</v>
      </c>
      <c r="M113" s="426" t="str">
        <f>+IFERROR(VLOOKUP(B113,Tackwelding!$B$6:$G$322,6,FALSE),"")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Compiled'!$C$6:$C$815,0),"B")="B","","E")</f>
        <v>E</v>
      </c>
      <c r="M114" s="426" t="str">
        <f>+IFERROR(VLOOKUP(B114,Tackwelding!$B$6:$G$322,6,FALSE),"")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Compiled'!$C$6:$C$815,0),"B")="B","","E")</f>
        <v>E</v>
      </c>
      <c r="M115" s="426" t="str">
        <f>+IFERROR(VLOOKUP(B115,Tackwelding!$B$6:$G$322,6,FALSE),"")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Compiled'!$C$6:$C$815,0),"B")="B","","E")</f>
        <v>E</v>
      </c>
      <c r="M116" s="426" t="str">
        <f>+IFERROR(VLOOKUP(B116,Tackwelding!$B$6:$G$322,6,FALSE),"")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Compiled'!$C$6:$C$815,0),"B")="B","","E")</f>
        <v>E</v>
      </c>
      <c r="M117" s="426" t="str">
        <f>+IFERROR(VLOOKUP(B117,Tackwelding!$B$6:$G$322,6,FALSE),"")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Compiled'!$C$6:$C$815,0),"B")="B","","E")</f>
        <v>E</v>
      </c>
      <c r="M118" s="426" t="str">
        <f>+IFERROR(VLOOKUP(B118,Tackwelding!$B$6:$G$322,6,FALSE),"")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Compiled'!$C$6:$C$815,0),"B")="B","","E")</f>
        <v>E</v>
      </c>
      <c r="M119" s="426" t="str">
        <f>+IFERROR(VLOOKUP(B119,Tackwelding!$B$6:$G$322,6,FALSE),"")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Compiled'!$C$6:$C$815,0),"B")="B","","E")</f>
        <v>E</v>
      </c>
      <c r="M120" s="426" t="str">
        <f>+IFERROR(VLOOKUP(B120,Tackwelding!$B$6:$G$322,6,FALSE),"")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Compiled'!$C$6:$C$815,0),"B")="B","","E")</f>
        <v>E</v>
      </c>
      <c r="M121" s="426" t="str">
        <f>+IFERROR(VLOOKUP(B121,Tackwelding!$B$6:$G$322,6,FALSE),"")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Compiled'!$C$6:$C$815,0),"B")="B","","E")</f>
        <v>E</v>
      </c>
      <c r="M122" s="426" t="str">
        <f>+IFERROR(VLOOKUP(B122,Tackwelding!$B$6:$G$322,6,FALSE),"")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Compiled'!$C$6:$C$815,0),"B")="B","","E")</f>
        <v>E</v>
      </c>
      <c r="M123" s="426" t="str">
        <f>+IFERROR(VLOOKUP(B123,Tackwelding!$B$6:$G$322,6,FALSE),"")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Compiled'!$C$6:$C$815,0),"B")="B","","E")</f>
        <v>E</v>
      </c>
      <c r="M124" s="426" t="str">
        <f>+IFERROR(VLOOKUP(B124,Tackwelding!$B$6:$G$322,6,FALSE),"")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Compiled'!$C$6:$C$815,0),"B")="B","","E")</f>
        <v>E</v>
      </c>
      <c r="M125" s="426" t="str">
        <f>+IFERROR(VLOOKUP(B125,Tackwelding!$B$6:$G$322,6,FALSE),"")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Compiled'!$C$6:$C$815,0),"B")="B","","E")</f>
        <v>E</v>
      </c>
      <c r="M126" s="426" t="str">
        <f>+IFERROR(VLOOKUP(B126,Tackwelding!$B$6:$G$322,6,FALSE),"")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Compiled'!$C$6:$C$815,0),"B")="B","","E")</f>
        <v>E</v>
      </c>
      <c r="M127" s="426" t="str">
        <f>+IFERROR(VLOOKUP(B127,Tackwelding!$B$6:$G$322,6,FALSE),"")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Compiled'!$C$6:$C$815,0),"B")="B","","E")</f>
        <v/>
      </c>
      <c r="M128" s="426" t="str">
        <f>+IFERROR(VLOOKUP(B128,Tackwelding!$B$6:$G$322,6,FALSE),"")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Compiled'!$C$6:$C$815,0),"B")="B","","E")</f>
        <v>E</v>
      </c>
      <c r="M129" s="426" t="str">
        <f>+IFERROR(VLOOKUP(B129,Tackwelding!$B$6:$G$322,6,FALSE),"")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Compiled'!$C$6:$C$815,0),"B")="B","","E")</f>
        <v>E</v>
      </c>
      <c r="M130" s="426" t="str">
        <f>+IFERROR(VLOOKUP(B130,Tackwelding!$B$6:$G$322,6,FALSE),"")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Compiled'!$C$6:$C$815,0),"B")="B","","E")</f>
        <v>E</v>
      </c>
      <c r="M131" s="426" t="str">
        <f>+IFERROR(VLOOKUP(B131,Tackwelding!$B$6:$G$322,6,FALSE),"")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Compiled'!$C$6:$C$815,0),"B")="B","","E")</f>
        <v/>
      </c>
      <c r="M132" s="426" t="str">
        <f>+IFERROR(VLOOKUP(B132,Tackwelding!$B$6:$G$322,6,FALSE),"")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Compiled'!$C$6:$C$815,0),"B")="B","","E")</f>
        <v/>
      </c>
      <c r="M133" s="426" t="str">
        <f>+IFERROR(VLOOKUP(B133,Tackwelding!$B$6:$G$322,6,FALSE),"")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Compiled'!$C$6:$C$815,0),"B")="B","","E")</f>
        <v>E</v>
      </c>
      <c r="M134" s="426" t="str">
        <f>+IFERROR(VLOOKUP(B134,Tackwelding!$B$6:$G$322,6,FALSE),"")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Compiled'!$C$6:$C$815,0),"B")="B","","E")</f>
        <v>E</v>
      </c>
      <c r="M135" s="426" t="str">
        <f>+IFERROR(VLOOKUP(B135,Tackwelding!$B$6:$G$322,6,FALSE),"")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Compiled'!$C$6:$C$815,0),"B")="B","","E")</f>
        <v>E</v>
      </c>
      <c r="M136" s="426" t="str">
        <f>+IFERROR(VLOOKUP(B136,Tackwelding!$B$6:$G$322,6,FALSE),"")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Compiled'!$C$6:$C$815,0),"B")="B","","E")</f>
        <v/>
      </c>
      <c r="M137" s="426" t="str">
        <f>+IFERROR(VLOOKUP(B137,Tackwelding!$B$6:$G$322,6,FALSE),"")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Compiled'!$C$6:$C$815,0),"B")="B","","E")</f>
        <v/>
      </c>
      <c r="M138" s="426" t="str">
        <f>+IFERROR(VLOOKUP(B138,Tackwelding!$B$6:$G$322,6,FALSE),"")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Compiled'!$C$6:$C$815,0),"B")="B","","E")</f>
        <v/>
      </c>
      <c r="M139" s="426" t="str">
        <f>+IFERROR(VLOOKUP(B139,Tackwelding!$B$6:$G$322,6,FALSE),"")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Compiled'!$C$6:$C$815,0),"B")="B","","E")</f>
        <v/>
      </c>
      <c r="M140" s="426" t="str">
        <f>+IFERROR(VLOOKUP(B140,Tackwelding!$B$6:$G$322,6,FALSE),"")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Compiled'!$C$6:$C$815,0),"B")="B","","E")</f>
        <v/>
      </c>
      <c r="M141" s="426" t="str">
        <f>+IFERROR(VLOOKUP(B141,Tackwelding!$B$6:$G$322,6,FALSE),"")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Compiled'!$C$6:$C$815,0),"B")="B","","E")</f>
        <v/>
      </c>
      <c r="M142" s="426" t="str">
        <f>+IFERROR(VLOOKUP(B142,Tackwelding!$B$6:$G$322,6,FALSE),"")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Compiled'!$C$6:$C$815,0),"B")="B","","E")</f>
        <v/>
      </c>
      <c r="M143" s="426" t="str">
        <f>+IFERROR(VLOOKUP(B143,Tackwelding!$B$6:$G$322,6,FALSE),"")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Compiled'!$C$6:$C$815,0),"B")="B","","E")</f>
        <v>E</v>
      </c>
      <c r="M144" s="426" t="str">
        <f>+IFERROR(VLOOKUP(B144,Tackwelding!$B$6:$G$322,6,FALSE),"")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Compiled'!$C$6:$C$815,0),"B")="B","","E")</f>
        <v>E</v>
      </c>
      <c r="M145" s="426" t="str">
        <f>+IFERROR(VLOOKUP(B145,Tackwelding!$B$6:$G$322,6,FALSE),"")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Compiled'!$C$6:$C$815,0),"B")="B","","E")</f>
        <v/>
      </c>
      <c r="M146" s="426" t="str">
        <f>+IFERROR(VLOOKUP(B146,Tackwelding!$B$6:$G$322,6,FALSE),"")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Compiled'!$C$6:$C$815,0),"B")="B","","E")</f>
        <v>E</v>
      </c>
      <c r="M147" s="426" t="str">
        <f>+IFERROR(VLOOKUP(B147,Tackwelding!$B$6:$G$322,6,FALSE),"")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Compiled'!$C$6:$C$815,0),"B")="B","","E")</f>
        <v>E</v>
      </c>
      <c r="M148" s="426" t="str">
        <f>+IFERROR(VLOOKUP(B148,Tackwelding!$B$6:$G$322,6,FALSE),"")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Compiled'!$C$6:$C$815,0),"B")="B","","E")</f>
        <v>E</v>
      </c>
      <c r="M149" s="426" t="str">
        <f>+IFERROR(VLOOKUP(B149,Tackwelding!$B$6:$G$322,6,FALSE),"")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Compiled'!$C$6:$C$815,0),"B")="B","","E")</f>
        <v/>
      </c>
      <c r="M150" s="426" t="str">
        <f>+IFERROR(VLOOKUP(B150,Tackwelding!$B$6:$G$322,6,FALSE),"")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Compiled'!$C$6:$C$815,0),"B")="B","","E")</f>
        <v/>
      </c>
      <c r="M151" s="426" t="str">
        <f>+IFERROR(VLOOKUP(B151,Tackwelding!$B$6:$G$322,6,FALSE),"")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Compiled'!$C$6:$C$815,0),"B")="B","","E")</f>
        <v/>
      </c>
      <c r="M152" s="426" t="str">
        <f>+IFERROR(VLOOKUP(B152,Tackwelding!$B$6:$G$322,6,FALSE),"")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Compiled'!$C$6:$C$815,0),"B")="B","","E")</f>
        <v>E</v>
      </c>
      <c r="M153" s="426" t="str">
        <f>+IFERROR(VLOOKUP(B153,Tackwelding!$B$6:$G$322,6,FALSE),"")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Compiled'!$C$6:$C$815,0),"B")="B","","E")</f>
        <v/>
      </c>
      <c r="M154" s="426" t="str">
        <f>+IFERROR(VLOOKUP(B154,Tackwelding!$B$6:$G$322,6,FALSE),"")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Compiled'!$C$6:$C$815,0),"B")="B","","E")</f>
        <v>E</v>
      </c>
      <c r="M155" s="426" t="str">
        <f>+IFERROR(VLOOKUP(B155,Tackwelding!$B$6:$G$322,6,FALSE),"")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Compiled'!$C$6:$C$815,0),"B")="B","","E")</f>
        <v/>
      </c>
      <c r="M156" s="426" t="str">
        <f>+IFERROR(VLOOKUP(B156,Tackwelding!$B$6:$G$322,6,FALSE),"")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Compiled'!$C$6:$C$815,0),"B")="B","","E")</f>
        <v>E</v>
      </c>
      <c r="M157" s="426" t="str">
        <f>+IFERROR(VLOOKUP(B157,Tackwelding!$B$6:$G$322,6,FALSE),"")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Compiled'!$C$6:$C$815,0),"B")="B","","E")</f>
        <v>E</v>
      </c>
      <c r="M158" s="426" t="str">
        <f>+IFERROR(VLOOKUP(B158,Tackwelding!$B$6:$G$322,6,FALSE),"")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Compiled'!$C$6:$C$815,0),"B")="B","","E")</f>
        <v>E</v>
      </c>
      <c r="M159" s="426" t="str">
        <f>+IFERROR(VLOOKUP(B159,Tackwelding!$B$6:$G$322,6,FALSE),"")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Compiled'!$C$6:$C$815,0),"B")="B","","E")</f>
        <v>E</v>
      </c>
      <c r="M160" s="426" t="str">
        <f>+IFERROR(VLOOKUP(B160,Tackwelding!$B$6:$G$322,6,FALSE),"")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Compiled'!$C$6:$C$815,0),"B")="B","","E")</f>
        <v>E</v>
      </c>
      <c r="M161" s="426" t="str">
        <f>+IFERROR(VLOOKUP(B161,Tackwelding!$B$6:$G$322,6,FALSE),"")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Compiled'!$C$6:$C$815,0),"B")="B","","E")</f>
        <v>E</v>
      </c>
      <c r="M162" s="426" t="str">
        <f>+IFERROR(VLOOKUP(B162,Tackwelding!$B$6:$G$322,6,FALSE),"")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Compiled'!$C$6:$C$815,0),"B")="B","","E")</f>
        <v>E</v>
      </c>
      <c r="M163" s="426" t="str">
        <f>+IFERROR(VLOOKUP(B163,Tackwelding!$B$6:$G$322,6,FALSE),"")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Compiled'!$C$6:$C$815,0),"B")="B","","E")</f>
        <v>E</v>
      </c>
      <c r="M164" s="426" t="str">
        <f>+IFERROR(VLOOKUP(B164,Tackwelding!$B$6:$G$322,6,FALSE),"")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Compiled'!$C$6:$C$815,0),"B")="B","","E")</f>
        <v>E</v>
      </c>
      <c r="M165" s="426" t="str">
        <f>+IFERROR(VLOOKUP(B165,Tackwelding!$B$6:$G$322,6,FALSE),"")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Compiled'!$C$6:$C$815,0),"B")="B","","E")</f>
        <v>E</v>
      </c>
      <c r="M166" s="426" t="str">
        <f>+IFERROR(VLOOKUP(B166,Tackwelding!$B$6:$G$322,6,FALSE),"")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Compiled'!$C$6:$C$815,0),"B")="B","","E")</f>
        <v/>
      </c>
      <c r="M167" s="426" t="str">
        <f>+IFERROR(VLOOKUP(B167,Tackwelding!$B$6:$G$322,6,FALSE),"")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Compiled'!$C$6:$C$815,0),"B")="B","","E")</f>
        <v>E</v>
      </c>
      <c r="M168" s="426" t="str">
        <f>+IFERROR(VLOOKUP(B168,Tackwelding!$B$6:$G$322,6,FALSE),"")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Compiled'!$C$6:$C$815,0),"B")="B","","E")</f>
        <v>E</v>
      </c>
      <c r="M169" s="426" t="str">
        <f>+IFERROR(VLOOKUP(B169,Tackwelding!$B$6:$G$322,6,FALSE),"")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Compiled'!$C$6:$C$815,0),"B")="B","","E")</f>
        <v>E</v>
      </c>
      <c r="M170" s="426" t="str">
        <f>+IFERROR(VLOOKUP(B170,Tackwelding!$B$6:$G$322,6,FALSE),"")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Compiled'!$C$6:$C$815,0),"B")="B","","E")</f>
        <v>E</v>
      </c>
      <c r="M171" s="426" t="str">
        <f>+IFERROR(VLOOKUP(B171,Tackwelding!$B$6:$G$322,6,FALSE),"")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Compiled'!$C$6:$C$815,0),"B")="B","","E")</f>
        <v>E</v>
      </c>
      <c r="M172" s="426" t="str">
        <f>+IFERROR(VLOOKUP(B172,Tackwelding!$B$6:$G$322,6,FALSE),"")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Compiled'!$C$6:$C$815,0),"B")="B","","E")</f>
        <v>E</v>
      </c>
      <c r="M173" s="426" t="str">
        <f>+IFERROR(VLOOKUP(B173,Tackwelding!$B$6:$G$322,6,FALSE),"")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Compiled'!$C$6:$C$815,0),"B")="B","","E")</f>
        <v>E</v>
      </c>
      <c r="M174" s="426" t="str">
        <f>+IFERROR(VLOOKUP(B174,Tackwelding!$B$6:$G$322,6,FALSE),"")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Compiled'!$C$6:$C$815,0),"B")="B","","E")</f>
        <v>E</v>
      </c>
      <c r="M175" s="426" t="str">
        <f>+IFERROR(VLOOKUP(B175,Tackwelding!$B$6:$G$322,6,FALSE),"")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Compiled'!$C$6:$C$815,0),"B")="B","","E")</f>
        <v>E</v>
      </c>
      <c r="M176" s="426" t="str">
        <f>+IFERROR(VLOOKUP(B176,Tackwelding!$B$6:$G$322,6,FALSE),"")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Compiled'!$C$6:$C$815,0),"B")="B","","E")</f>
        <v>E</v>
      </c>
      <c r="M177" s="426" t="str">
        <f>+IFERROR(VLOOKUP(B177,Tackwelding!$B$6:$G$322,6,FALSE),"")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Compiled'!$C$6:$C$815,0),"B")="B","","E")</f>
        <v>E</v>
      </c>
      <c r="M178" s="426" t="str">
        <f>+IFERROR(VLOOKUP(B178,Tackwelding!$B$6:$G$322,6,FALSE),"")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Compiled'!$C$6:$C$815,0),"B")="B","","E")</f>
        <v>E</v>
      </c>
      <c r="M179" s="426" t="str">
        <f>+IFERROR(VLOOKUP(B179,Tackwelding!$B$6:$G$322,6,FALSE),"")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Compiled'!$C$6:$C$815,0),"B")="B","","E")</f>
        <v>E</v>
      </c>
      <c r="M180" s="426" t="str">
        <f>+IFERROR(VLOOKUP(B180,Tackwelding!$B$6:$G$322,6,FALSE),"")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Compiled'!$C$6:$C$815,0),"B")="B","","E")</f>
        <v>E</v>
      </c>
      <c r="M181" s="426" t="str">
        <f>+IFERROR(VLOOKUP(B181,Tackwelding!$B$6:$G$322,6,FALSE),"")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Compiled'!$C$6:$C$815,0),"B")="B","","E")</f>
        <v>E</v>
      </c>
      <c r="M182" s="426" t="str">
        <f>+IFERROR(VLOOKUP(B182,Tackwelding!$B$6:$G$322,6,FALSE),"")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Compiled'!$C$6:$C$815,0),"B")="B","","E")</f>
        <v>E</v>
      </c>
      <c r="M183" s="426" t="str">
        <f>+IFERROR(VLOOKUP(B183,Tackwelding!$B$6:$G$322,6,FALSE),"")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Compiled'!$C$6:$C$815,0),"B")="B","","E")</f>
        <v>E</v>
      </c>
      <c r="M184" s="426" t="str">
        <f>+IFERROR(VLOOKUP(B184,Tackwelding!$B$6:$G$322,6,FALSE),"")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Compiled'!$C$6:$C$815,0),"B")="B","","E")</f>
        <v>E</v>
      </c>
      <c r="M185" s="426" t="str">
        <f>+IFERROR(VLOOKUP(B185,Tackwelding!$B$6:$G$322,6,FALSE),"")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Compiled'!$C$6:$C$815,0),"B")="B","","E")</f>
        <v>E</v>
      </c>
      <c r="M186" s="426" t="str">
        <f>+IFERROR(VLOOKUP(B186,Tackwelding!$B$6:$G$322,6,FALSE),"")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Compiled'!$C$6:$C$815,0),"B")="B","","E")</f>
        <v>E</v>
      </c>
      <c r="M187" s="426" t="str">
        <f>+IFERROR(VLOOKUP(B187,Tackwelding!$B$6:$G$322,6,FALSE),"")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Compiled'!$C$6:$C$815,0),"B")="B","","E")</f>
        <v>E</v>
      </c>
      <c r="M188" s="426" t="str">
        <f>+IFERROR(VLOOKUP(B188,Tackwelding!$B$6:$G$322,6,FALSE),"")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Compiled'!$C$6:$C$815,0),"B")="B","","E")</f>
        <v>E</v>
      </c>
      <c r="M189" s="426" t="str">
        <f>+IFERROR(VLOOKUP(B189,Tackwelding!$B$6:$G$322,6,FALSE),"")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Compiled'!$C$6:$C$815,0),"B")="B","","E")</f>
        <v>E</v>
      </c>
      <c r="M190" s="426" t="str">
        <f>+IFERROR(VLOOKUP(B190,Tackwelding!$B$6:$G$322,6,FALSE),"")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Compiled'!$C$6:$C$815,0),"B")="B","","E")</f>
        <v>E</v>
      </c>
      <c r="M191" s="426" t="str">
        <f>+IFERROR(VLOOKUP(B191,Tackwelding!$B$6:$G$322,6,FALSE),"")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Compiled'!$C$6:$C$815,0),"B")="B","","E")</f>
        <v>E</v>
      </c>
      <c r="M192" s="426" t="str">
        <f>+IFERROR(VLOOKUP(B192,Tackwelding!$B$6:$G$322,6,FALSE),"")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Compiled'!$C$6:$C$815,0),"B")="B","","E")</f>
        <v>E</v>
      </c>
      <c r="M193" s="426" t="str">
        <f>+IFERROR(VLOOKUP(B193,Tackwelding!$B$6:$G$322,6,FALSE),"")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Compiled'!$C$6:$C$815,0),"B")="B","","E")</f>
        <v>E</v>
      </c>
      <c r="M194" s="426" t="str">
        <f>+IFERROR(VLOOKUP(B194,Tackwelding!$B$6:$G$322,6,FALSE),"")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Compiled'!$C$6:$C$815,0),"B")="B","","E")</f>
        <v>E</v>
      </c>
      <c r="M195" s="426" t="str">
        <f>+IFERROR(VLOOKUP(B195,Tackwelding!$B$6:$G$322,6,FALSE),"")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Compiled'!$C$6:$C$815,0),"B")="B","","E")</f>
        <v>E</v>
      </c>
      <c r="M196" s="426" t="str">
        <f>+IFERROR(VLOOKUP(B196,Tackwelding!$B$6:$G$322,6,FALSE),"")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Compiled'!$C$6:$C$815,0),"B")="B","","E")</f>
        <v>E</v>
      </c>
      <c r="M197" s="426" t="str">
        <f>+IFERROR(VLOOKUP(B197,Tackwelding!$B$6:$G$322,6,FALSE),"")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Compiled'!$C$6:$C$815,0),"B")="B","","E")</f>
        <v>E</v>
      </c>
      <c r="M198" s="426" t="str">
        <f>+IFERROR(VLOOKUP(B198,Tackwelding!$B$6:$G$322,6,FALSE),"")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Compiled'!$C$6:$C$815,0),"B")="B","","E")</f>
        <v>E</v>
      </c>
      <c r="M199" s="426" t="str">
        <f>+IFERROR(VLOOKUP(B199,Tackwelding!$B$6:$G$322,6,FALSE),"")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Compiled'!$C$6:$C$815,0),"B")="B","","E")</f>
        <v>E</v>
      </c>
      <c r="M200" s="426" t="str">
        <f>+IFERROR(VLOOKUP(B200,Tackwelding!$B$6:$G$322,6,FALSE),"")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Compiled'!$C$6:$C$815,0),"B")="B","","E")</f>
        <v>E</v>
      </c>
      <c r="M201" s="426" t="str">
        <f>+IFERROR(VLOOKUP(B201,Tackwelding!$B$6:$G$322,6,FALSE),"")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Compiled'!$C$6:$C$815,0),"B")="B","","E")</f>
        <v>E</v>
      </c>
      <c r="M202" s="426" t="str">
        <f>+IFERROR(VLOOKUP(B202,Tackwelding!$B$6:$G$322,6,FALSE),"")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Compiled'!$C$6:$C$815,0),"B")="B","","E")</f>
        <v>E</v>
      </c>
      <c r="M203" s="426" t="str">
        <f>+IFERROR(VLOOKUP(B203,Tackwelding!$B$6:$G$322,6,FALSE),"")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Compiled'!$C$6:$C$815,0),"B")="B","","E")</f>
        <v>E</v>
      </c>
      <c r="M204" s="426" t="str">
        <f>+IFERROR(VLOOKUP(B204,Tackwelding!$B$6:$G$322,6,FALSE),"")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Compiled'!$C$6:$C$815,0),"B")="B","","E")</f>
        <v>E</v>
      </c>
      <c r="M205" s="426" t="str">
        <f>+IFERROR(VLOOKUP(B205,Tackwelding!$B$6:$G$322,6,FALSE),"")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Compiled'!$C$6:$C$815,0),"B")="B","","E")</f>
        <v>E</v>
      </c>
      <c r="M206" s="426" t="str">
        <f>+IFERROR(VLOOKUP(B206,Tackwelding!$B$6:$G$322,6,FALSE),"")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Compiled'!$C$6:$C$815,0),"B")="B","","E")</f>
        <v>E</v>
      </c>
      <c r="M207" s="426" t="str">
        <f>+IFERROR(VLOOKUP(B207,Tackwelding!$B$6:$G$322,6,FALSE),"")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Compiled'!$C$6:$C$815,0),"B")="B","","E")</f>
        <v>E</v>
      </c>
      <c r="M208" s="426" t="str">
        <f>+IFERROR(VLOOKUP(B208,Tackwelding!$B$6:$G$322,6,FALSE),"")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Compiled'!$C$6:$C$815,0),"B")="B","","E")</f>
        <v>E</v>
      </c>
      <c r="M209" s="426" t="str">
        <f>+IFERROR(VLOOKUP(B209,Tackwelding!$B$6:$G$322,6,FALSE),"")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Compiled'!$C$6:$C$815,0),"B")="B","","E")</f>
        <v>E</v>
      </c>
      <c r="M210" s="426" t="str">
        <f>+IFERROR(VLOOKUP(B210,Tackwelding!$B$6:$G$322,6,FALSE),"")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Compiled'!$C$6:$C$815,0),"B")="B","","E")</f>
        <v>E</v>
      </c>
      <c r="M211" s="426" t="str">
        <f>+IFERROR(VLOOKUP(B211,Tackwelding!$B$6:$G$322,6,FALSE),"")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Compiled'!$C$6:$C$815,0),"B")="B","","E")</f>
        <v>E</v>
      </c>
      <c r="M212" s="426" t="str">
        <f>+IFERROR(VLOOKUP(B212,Tackwelding!$B$6:$G$322,6,FALSE),"")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Compiled'!$C$6:$C$815,0),"B")="B","","E")</f>
        <v>E</v>
      </c>
      <c r="M213" s="426" t="str">
        <f>+IFERROR(VLOOKUP(B213,Tackwelding!$B$6:$G$322,6,FALSE),"")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Compiled'!$C$6:$C$815,0),"B")="B","","E")</f>
        <v>E</v>
      </c>
      <c r="M214" s="426" t="str">
        <f>+IFERROR(VLOOKUP(B214,Tackwelding!$B$6:$G$322,6,FALSE),"")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Compiled'!$C$6:$C$815,0),"B")="B","","E")</f>
        <v>E</v>
      </c>
      <c r="M215" s="426" t="str">
        <f>+IFERROR(VLOOKUP(B215,Tackwelding!$B$6:$G$322,6,FALSE),"")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Compiled'!$C$6:$C$815,0),"B")="B","","E")</f>
        <v>E</v>
      </c>
      <c r="M216" s="426" t="str">
        <f>+IFERROR(VLOOKUP(B216,Tackwelding!$B$6:$G$322,6,FALSE),"")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Compiled'!$C$6:$C$815,0),"B")="B","","E")</f>
        <v>E</v>
      </c>
      <c r="M217" s="426" t="str">
        <f>+IFERROR(VLOOKUP(B217,Tackwelding!$B$6:$G$322,6,FALSE),"")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Compiled'!$C$6:$C$815,0),"B")="B","","E")</f>
        <v>E</v>
      </c>
      <c r="M218" s="426" t="str">
        <f>+IFERROR(VLOOKUP(B218,Tackwelding!$B$6:$G$322,6,FALSE),"")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Compiled'!$C$6:$C$815,0),"B")="B","","E")</f>
        <v>E</v>
      </c>
      <c r="M219" s="426" t="str">
        <f>+IFERROR(VLOOKUP(B219,Tackwelding!$B$6:$G$322,6,FALSE),"")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Compiled'!$C$6:$C$815,0),"B")="B","","E")</f>
        <v>E</v>
      </c>
      <c r="M220" s="426" t="str">
        <f>+IFERROR(VLOOKUP(B220,Tackwelding!$B$6:$G$322,6,FALSE),"")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Compiled'!$C$6:$C$815,0),"B")="B","","E")</f>
        <v>E</v>
      </c>
      <c r="M221" s="426" t="str">
        <f>+IFERROR(VLOOKUP(B221,Tackwelding!$B$6:$G$322,6,FALSE),"")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Compiled'!$C$6:$C$815,0),"B")="B","","E")</f>
        <v>E</v>
      </c>
      <c r="M222" s="426" t="str">
        <f>+IFERROR(VLOOKUP(B222,Tackwelding!$B$6:$G$322,6,FALSE),"")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Compiled'!$C$6:$C$815,0),"B")="B","","E")</f>
        <v>E</v>
      </c>
      <c r="M223" s="426" t="str">
        <f>+IFERROR(VLOOKUP(B223,Tackwelding!$B$6:$G$322,6,FALSE),"")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Compiled'!$C$6:$C$815,0),"B")="B","","E")</f>
        <v>E</v>
      </c>
      <c r="M224" s="426" t="str">
        <f>+IFERROR(VLOOKUP(B224,Tackwelding!$B$6:$G$322,6,FALSE),"")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Compiled'!$C$6:$C$815,0),"B")="B","","E")</f>
        <v>E</v>
      </c>
      <c r="M225" s="426" t="str">
        <f>+IFERROR(VLOOKUP(B225,Tackwelding!$B$6:$G$322,6,FALSE),"")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Compiled'!$C$6:$C$815,0),"B")="B","","E")</f>
        <v>E</v>
      </c>
      <c r="M226" s="426" t="str">
        <f>+IFERROR(VLOOKUP(B226,Tackwelding!$B$6:$G$322,6,FALSE),"")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Compiled'!$C$6:$C$815,0),"B")="B","","E")</f>
        <v>E</v>
      </c>
      <c r="M227" s="426" t="str">
        <f>+IFERROR(VLOOKUP(B227,Tackwelding!$B$6:$G$322,6,FALSE),"")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Compiled'!$C$6:$C$815,0),"B")="B","","E")</f>
        <v>E</v>
      </c>
      <c r="M228" s="426" t="str">
        <f>+IFERROR(VLOOKUP(B228,Tackwelding!$B$6:$G$322,6,FALSE),"")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Compiled'!$C$6:$C$815,0),"B")="B","","E")</f>
        <v>E</v>
      </c>
      <c r="M229" s="426" t="str">
        <f>+IFERROR(VLOOKUP(B229,Tackwelding!$B$6:$G$322,6,FALSE),"")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Compiled'!$C$6:$C$815,0),"B")="B","","E")</f>
        <v>E</v>
      </c>
      <c r="M230" s="426" t="str">
        <f>+IFERROR(VLOOKUP(B230,Tackwelding!$B$6:$G$322,6,FALSE),"")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Compiled'!$C$6:$C$815,0),"B")="B","","E")</f>
        <v>E</v>
      </c>
      <c r="M231" s="426" t="str">
        <f>+IFERROR(VLOOKUP(B231,Tackwelding!$B$6:$G$322,6,FALSE),"")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Compiled'!$C$6:$C$815,0),"B")="B","","E")</f>
        <v>E</v>
      </c>
      <c r="M232" s="426" t="str">
        <f>+IFERROR(VLOOKUP(B232,Tackwelding!$B$6:$G$322,6,FALSE),"")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Compiled'!$C$6:$C$815,0),"B")="B","","E")</f>
        <v>E</v>
      </c>
      <c r="M233" s="426" t="str">
        <f>+IFERROR(VLOOKUP(B233,Tackwelding!$B$6:$G$322,6,FALSE),"")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Compiled'!$C$6:$C$815,0),"B")="B","","E")</f>
        <v>E</v>
      </c>
      <c r="M234" s="426" t="str">
        <f>+IFERROR(VLOOKUP(B234,Tackwelding!$B$6:$G$322,6,FALSE),"")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Compiled'!$C$6:$C$815,0),"B")="B","","E")</f>
        <v>E</v>
      </c>
      <c r="M235" s="426" t="str">
        <f>+IFERROR(VLOOKUP(B235,Tackwelding!$B$6:$G$322,6,FALSE),"")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Compiled'!$C$6:$C$815,0),"B")="B","","E")</f>
        <v>E</v>
      </c>
      <c r="M236" s="426" t="str">
        <f>+IFERROR(VLOOKUP(B236,Tackwelding!$B$6:$G$322,6,FALSE),"")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Compiled'!$C$6:$C$815,0),"B")="B","","E")</f>
        <v>E</v>
      </c>
      <c r="M237" s="426" t="str">
        <f>+IFERROR(VLOOKUP(B237,Tackwelding!$B$6:$G$322,6,FALSE),"")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Compiled'!$C$6:$C$815,0),"B")="B","","E")</f>
        <v>E</v>
      </c>
      <c r="M238" s="426" t="str">
        <f>+IFERROR(VLOOKUP(B238,Tackwelding!$B$6:$G$322,6,FALSE),"")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Compiled'!$C$6:$C$815,0),"B")="B","","E")</f>
        <v>E</v>
      </c>
      <c r="M239" s="426" t="str">
        <f>+IFERROR(VLOOKUP(B239,Tackwelding!$B$6:$G$322,6,FALSE),"")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Compiled'!$C$6:$C$815,0),"B")="B","","E")</f>
        <v>E</v>
      </c>
      <c r="M240" s="426" t="str">
        <f>+IFERROR(VLOOKUP(B240,Tackwelding!$B$6:$G$322,6,FALSE),"")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Compiled'!$C$6:$C$815,0),"B")="B","","E")</f>
        <v>E</v>
      </c>
      <c r="M241" s="426" t="str">
        <f>+IFERROR(VLOOKUP(B241,Tackwelding!$B$6:$G$322,6,FALSE),"")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Compiled'!$C$6:$C$815,0),"B")="B","","E")</f>
        <v>E</v>
      </c>
      <c r="M242" s="426" t="str">
        <f>+IFERROR(VLOOKUP(B242,Tackwelding!$B$6:$G$322,6,FALSE),"")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Compiled'!$C$6:$C$815,0),"B")="B","","E")</f>
        <v>E</v>
      </c>
      <c r="M243" s="426" t="str">
        <f>+IFERROR(VLOOKUP(B243,Tackwelding!$B$6:$G$322,6,FALSE),"")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Compiled'!$C$6:$C$815,0),"B")="B","","E")</f>
        <v>E</v>
      </c>
      <c r="M244" s="426" t="str">
        <f>+IFERROR(VLOOKUP(B244,Tackwelding!$B$6:$G$322,6,FALSE),"")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Compiled'!$C$6:$C$815,0),"B")="B","","E")</f>
        <v>E</v>
      </c>
      <c r="M245" s="426" t="str">
        <f>+IFERROR(VLOOKUP(B245,Tackwelding!$B$6:$G$322,6,FALSE),"")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Compiled'!$C$6:$C$815,0),"B")="B","","E")</f>
        <v>E</v>
      </c>
      <c r="M246" s="426" t="str">
        <f>+IFERROR(VLOOKUP(B246,Tackwelding!$B$6:$G$322,6,FALSE),"")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Compiled'!$C$6:$C$815,0),"B")="B","","E")</f>
        <v>E</v>
      </c>
      <c r="M247" s="426" t="str">
        <f>+IFERROR(VLOOKUP(B247,Tackwelding!$B$6:$G$322,6,FALSE),"")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Compiled'!$C$6:$C$815,0),"B")="B","","E")</f>
        <v>E</v>
      </c>
      <c r="M248" s="426" t="str">
        <f>+IFERROR(VLOOKUP(B248,Tackwelding!$B$6:$G$322,6,FALSE),"")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Compiled'!$C$6:$C$815,0),"B")="B","","E")</f>
        <v>E</v>
      </c>
      <c r="M249" s="426" t="str">
        <f>+IFERROR(VLOOKUP(B249,Tackwelding!$B$6:$G$322,6,FALSE),"")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Compiled'!$C$6:$C$815,0),"B")="B","","E")</f>
        <v>E</v>
      </c>
      <c r="M250" s="426" t="str">
        <f>+IFERROR(VLOOKUP(B250,Tackwelding!$B$6:$G$322,6,FALSE),"")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Compiled'!$C$6:$C$815,0),"B")="B","","E")</f>
        <v>E</v>
      </c>
      <c r="M251" s="426" t="str">
        <f>+IFERROR(VLOOKUP(B251,Tackwelding!$B$6:$G$322,6,FALSE),"")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Compiled'!$C$6:$C$815,0),"B")="B","","E")</f>
        <v>E</v>
      </c>
      <c r="M252" s="426" t="str">
        <f>+IFERROR(VLOOKUP(B252,Tackwelding!$B$6:$G$322,6,FALSE),"")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Compiled'!$C$6:$C$815,0),"B")="B","","E")</f>
        <v>E</v>
      </c>
      <c r="M253" s="426" t="str">
        <f>+IFERROR(VLOOKUP(B253,Tackwelding!$B$6:$G$322,6,FALSE),"")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Compiled'!$C$6:$C$815,0),"B")="B","","E")</f>
        <v>E</v>
      </c>
      <c r="M254" s="426" t="str">
        <f>+IFERROR(VLOOKUP(B254,Tackwelding!$B$6:$G$322,6,FALSE),"")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Compiled'!$C$6:$C$815,0),"B")="B","","E")</f>
        <v>E</v>
      </c>
      <c r="M255" s="426" t="str">
        <f>+IFERROR(VLOOKUP(B255,Tackwelding!$B$6:$G$322,6,FALSE),"")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Compiled'!$C$6:$C$815,0),"B")="B","","E")</f>
        <v>E</v>
      </c>
      <c r="M256" s="426" t="str">
        <f>+IFERROR(VLOOKUP(B256,Tackwelding!$B$6:$G$322,6,FALSE),"")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Compiled'!$C$6:$C$815,0),"B")="B","","E")</f>
        <v>E</v>
      </c>
      <c r="M257" s="426" t="str">
        <f>+IFERROR(VLOOKUP(B257,Tackwelding!$B$6:$G$322,6,FALSE),"")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Compiled'!$C$6:$C$815,0),"B")="B","","E")</f>
        <v>E</v>
      </c>
      <c r="M258" s="426" t="str">
        <f>+IFERROR(VLOOKUP(B258,Tackwelding!$B$6:$G$322,6,FALSE),"")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Compiled'!$C$6:$C$815,0),"B")="B","","E")</f>
        <v>E</v>
      </c>
      <c r="M259" s="426" t="str">
        <f>+IFERROR(VLOOKUP(B259,Tackwelding!$B$6:$G$322,6,FALSE),"")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Compiled'!$C$6:$C$815,0),"B")="B","","E")</f>
        <v>E</v>
      </c>
      <c r="M260" s="426" t="str">
        <f>+IFERROR(VLOOKUP(B260,Tackwelding!$B$6:$G$322,6,FALSE),"")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Compiled'!$C$6:$C$815,0),"B")="B","","E")</f>
        <v>E</v>
      </c>
      <c r="M261" s="426" t="str">
        <f>+IFERROR(VLOOKUP(B261,Tackwelding!$B$6:$G$322,6,FALSE),"")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Compiled'!$C$6:$C$815,0),"B")="B","","E")</f>
        <v>E</v>
      </c>
      <c r="M262" s="426" t="str">
        <f>+IFERROR(VLOOKUP(B262,Tackwelding!$B$6:$G$322,6,FALSE),"")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Compiled'!$C$6:$C$815,0),"B")="B","","E")</f>
        <v>E</v>
      </c>
      <c r="M263" s="426" t="str">
        <f>+IFERROR(VLOOKUP(B263,Tackwelding!$B$6:$G$322,6,FALSE),"")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Compiled'!$C$6:$C$815,0),"B")="B","","E")</f>
        <v>E</v>
      </c>
      <c r="M264" s="426" t="str">
        <f>+IFERROR(VLOOKUP(B264,Tackwelding!$B$6:$G$322,6,FALSE),"")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Compiled'!$C$6:$C$815,0),"B")="B","","E")</f>
        <v>E</v>
      </c>
      <c r="M265" s="426" t="str">
        <f>+IFERROR(VLOOKUP(B265,Tackwelding!$B$6:$G$322,6,FALSE),"")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Compiled'!$C$6:$C$815,0),"B")="B","","E")</f>
        <v>E</v>
      </c>
      <c r="M266" s="426" t="str">
        <f>+IFERROR(VLOOKUP(B266,Tackwelding!$B$6:$G$322,6,FALSE),"")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Compiled'!$C$6:$C$815,0),"B")="B","","E")</f>
        <v>E</v>
      </c>
      <c r="M267" s="426" t="str">
        <f>+IFERROR(VLOOKUP(B267,Tackwelding!$B$6:$G$322,6,FALSE),"")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Compiled'!$C$6:$C$815,0),"B")="B","","E")</f>
        <v>E</v>
      </c>
      <c r="M268" s="426" t="str">
        <f>+IFERROR(VLOOKUP(B268,Tackwelding!$B$6:$G$322,6,FALSE),"")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Compiled'!$C$6:$C$815,0),"B")="B","","E")</f>
        <v>E</v>
      </c>
      <c r="M269" s="426" t="str">
        <f>+IFERROR(VLOOKUP(B269,Tackwelding!$B$6:$G$322,6,FALSE),"")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Compiled'!$C$6:$C$815,0),"B")="B","","E")</f>
        <v>E</v>
      </c>
      <c r="M270" s="426" t="str">
        <f>+IFERROR(VLOOKUP(B270,Tackwelding!$B$6:$G$322,6,FALSE),"")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Compiled'!$C$6:$C$815,0),"B")="B","","E")</f>
        <v>E</v>
      </c>
      <c r="M271" s="426" t="str">
        <f>+IFERROR(VLOOKUP(B271,Tackwelding!$B$6:$G$322,6,FALSE),"")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Compiled'!$C$6:$C$815,0),"B")="B","","E")</f>
        <v>E</v>
      </c>
      <c r="M272" s="426" t="str">
        <f>+IFERROR(VLOOKUP(B272,Tackwelding!$B$6:$G$322,6,FALSE),"")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Compiled'!$C$6:$C$815,0),"B")="B","","E")</f>
        <v>E</v>
      </c>
      <c r="M273" s="426" t="str">
        <f>+IFERROR(VLOOKUP(B273,Tackwelding!$B$6:$G$322,6,FALSE),"")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Compiled'!$C$6:$C$815,0),"B")="B","","E")</f>
        <v>E</v>
      </c>
      <c r="M274" s="426" t="str">
        <f>+IFERROR(VLOOKUP(B274,Tackwelding!$B$6:$G$322,6,FALSE),"")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Compiled'!$C$6:$C$815,0),"B")="B","","E")</f>
        <v>E</v>
      </c>
      <c r="M275" s="426" t="str">
        <f>+IFERROR(VLOOKUP(B275,Tackwelding!$B$6:$G$322,6,FALSE),"")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Compiled'!$C$6:$C$815,0),"B")="B","","E")</f>
        <v>E</v>
      </c>
      <c r="M276" s="426" t="str">
        <f>+IFERROR(VLOOKUP(B276,Tackwelding!$B$6:$G$322,6,FALSE),"")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Compiled'!$C$6:$C$815,0),"B")="B","","E")</f>
        <v>E</v>
      </c>
      <c r="M277" s="426" t="str">
        <f>+IFERROR(VLOOKUP(B277,Tackwelding!$B$6:$G$322,6,FALSE),"")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Compiled'!$C$6:$C$815,0),"B")="B","","E")</f>
        <v>E</v>
      </c>
      <c r="M278" s="426" t="str">
        <f>+IFERROR(VLOOKUP(B278,Tackwelding!$B$6:$G$322,6,FALSE),"")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Compiled'!$C$6:$C$815,0),"B")="B","","E")</f>
        <v>E</v>
      </c>
      <c r="M279" s="426" t="str">
        <f>+IFERROR(VLOOKUP(B279,Tackwelding!$B$6:$G$322,6,FALSE),"")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Compiled'!$C$6:$C$815,0),"B")="B","","E")</f>
        <v>E</v>
      </c>
      <c r="M280" s="426" t="str">
        <f>+IFERROR(VLOOKUP(B280,Tackwelding!$B$6:$G$322,6,FALSE),"")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Compiled'!$C$6:$C$815,0),"B")="B","","E")</f>
        <v>E</v>
      </c>
      <c r="M281" s="426" t="str">
        <f>+IFERROR(VLOOKUP(B281,Tackwelding!$B$6:$G$322,6,FALSE),"")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Compiled'!$C$6:$C$815,0),"B")="B","","E")</f>
        <v>E</v>
      </c>
      <c r="M282" s="426" t="str">
        <f>+IFERROR(VLOOKUP(B282,Tackwelding!$B$6:$G$322,6,FALSE),"")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Compiled'!$C$6:$C$815,0),"B")="B","","E")</f>
        <v>E</v>
      </c>
      <c r="M283" s="426" t="str">
        <f>+IFERROR(VLOOKUP(B283,Tackwelding!$B$6:$G$322,6,FALSE),"")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Compiled'!$C$6:$C$815,0),"B")="B","","E")</f>
        <v>E</v>
      </c>
      <c r="M284" s="426" t="str">
        <f>+IFERROR(VLOOKUP(B284,Tackwelding!$B$6:$G$322,6,FALSE),"")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Compiled'!$C$6:$C$815,0),"B")="B","","E")</f>
        <v>E</v>
      </c>
      <c r="M285" s="426" t="str">
        <f>+IFERROR(VLOOKUP(B285,Tackwelding!$B$6:$G$322,6,FALSE),"")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Compiled'!$C$6:$C$815,0),"B")="B","","E")</f>
        <v>E</v>
      </c>
      <c r="M286" s="426" t="str">
        <f>+IFERROR(VLOOKUP(B286,Tackwelding!$B$6:$G$322,6,FALSE),"")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Compiled'!$C$6:$C$815,0),"B")="B","","E")</f>
        <v>E</v>
      </c>
      <c r="M287" s="426" t="str">
        <f>+IFERROR(VLOOKUP(B287,Tackwelding!$B$6:$G$322,6,FALSE),"")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Compiled'!$C$6:$C$815,0),"B")="B","","E")</f>
        <v>E</v>
      </c>
      <c r="M288" s="426" t="str">
        <f>+IFERROR(VLOOKUP(B288,Tackwelding!$B$6:$G$322,6,FALSE),"")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Compiled'!$C$6:$C$815,0),"B")="B","","E")</f>
        <v>E</v>
      </c>
      <c r="M289" s="426" t="str">
        <f>+IFERROR(VLOOKUP(B289,Tackwelding!$B$6:$G$322,6,FALSE),"")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Compiled'!$C$6:$C$815,0),"B")="B","","E")</f>
        <v>E</v>
      </c>
      <c r="M290" s="426" t="str">
        <f>+IFERROR(VLOOKUP(B290,Tackwelding!$B$6:$G$322,6,FALSE),"")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Compiled'!$C$6:$C$815,0),"B")="B","","E")</f>
        <v>E</v>
      </c>
      <c r="M291" s="426" t="str">
        <f>+IFERROR(VLOOKUP(B291,Tackwelding!$B$6:$G$322,6,FALSE),"")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Compiled'!$C$6:$C$815,0),"B")="B","","E")</f>
        <v>E</v>
      </c>
      <c r="M292" s="426" t="str">
        <f>+IFERROR(VLOOKUP(B292,Tackwelding!$B$6:$G$322,6,FALSE),"")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Compiled'!$C$6:$C$815,0),"B")="B","","E")</f>
        <v>E</v>
      </c>
      <c r="M293" s="426" t="str">
        <f>+IFERROR(VLOOKUP(B293,Tackwelding!$B$6:$G$322,6,FALSE),"")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Compiled'!$C$6:$C$815,0),"B")="B","","E")</f>
        <v>E</v>
      </c>
      <c r="M294" s="426" t="str">
        <f>+IFERROR(VLOOKUP(B294,Tackwelding!$B$6:$G$322,6,FALSE),"")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Compiled'!$C$6:$C$815,0),"B")="B","","E")</f>
        <v>E</v>
      </c>
      <c r="M295" s="426" t="str">
        <f>+IFERROR(VLOOKUP(B295,Tackwelding!$B$6:$G$322,6,FALSE),"")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Compiled'!$C$6:$C$815,0),"B")="B","","E")</f>
        <v>E</v>
      </c>
      <c r="M296" s="426" t="str">
        <f>+IFERROR(VLOOKUP(B296,Tackwelding!$B$6:$G$322,6,FALSE),"")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Compiled'!$C$6:$C$815,0),"B")="B","","E")</f>
        <v>E</v>
      </c>
      <c r="M297" s="426" t="str">
        <f>+IFERROR(VLOOKUP(B297,Tackwelding!$B$6:$G$322,6,FALSE),"")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Compiled'!$C$6:$C$815,0),"B")="B","","E")</f>
        <v>E</v>
      </c>
      <c r="M298" s="426" t="str">
        <f>+IFERROR(VLOOKUP(B298,Tackwelding!$B$6:$G$322,6,FALSE),"")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Compiled'!$C$6:$C$815,0),"B")="B","","E")</f>
        <v>E</v>
      </c>
      <c r="M299" s="426" t="str">
        <f>+IFERROR(VLOOKUP(B299,Tackwelding!$B$6:$G$322,6,FALSE),"")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Compiled'!$C$6:$C$815,0),"B")="B","","E")</f>
        <v>E</v>
      </c>
      <c r="M300" s="426" t="str">
        <f>+IFERROR(VLOOKUP(B300,Tackwelding!$B$6:$G$322,6,FALSE),"")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Compiled'!$C$6:$C$815,0),"B")="B","","E")</f>
        <v>E</v>
      </c>
      <c r="M301" s="426" t="str">
        <f>+IFERROR(VLOOKUP(B301,Tackwelding!$B$6:$G$322,6,FALSE),"")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Compiled'!$C$6:$C$815,0),"B")="B","","E")</f>
        <v>E</v>
      </c>
      <c r="M302" s="426" t="str">
        <f>+IFERROR(VLOOKUP(B302,Tackwelding!$B$6:$G$322,6,FALSE),"")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Compiled'!$C$6:$C$815,0),"B")="B","","E")</f>
        <v>E</v>
      </c>
      <c r="M303" s="426" t="str">
        <f>+IFERROR(VLOOKUP(B303,Tackwelding!$B$6:$G$322,6,FALSE),"")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Compiled'!$C$6:$C$815,0),"B")="B","","E")</f>
        <v>E</v>
      </c>
      <c r="M304" s="426" t="str">
        <f>+IFERROR(VLOOKUP(B304,Tackwelding!$B$6:$G$322,6,FALSE),"")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Compiled'!$C$6:$C$815,0),"B")="B","","E")</f>
        <v>E</v>
      </c>
      <c r="M305" s="426" t="str">
        <f>+IFERROR(VLOOKUP(B305,Tackwelding!$B$6:$G$322,6,FALSE),"")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Compiled'!$C$6:$C$815,0),"B")="B","","E")</f>
        <v>E</v>
      </c>
      <c r="M306" s="426" t="str">
        <f>+IFERROR(VLOOKUP(B306,Tackwelding!$B$6:$G$322,6,FALSE),"")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Compiled'!$C$6:$C$815,0),"B")="B","","E")</f>
        <v>E</v>
      </c>
      <c r="M307" s="426" t="str">
        <f>+IFERROR(VLOOKUP(B307,Tackwelding!$B$6:$G$322,6,FALSE),"")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Compiled'!$C$6:$C$815,0),"B")="B","","E")</f>
        <v>E</v>
      </c>
      <c r="M308" s="426" t="str">
        <f>+IFERROR(VLOOKUP(B308,Tackwelding!$B$6:$G$322,6,FALSE),"")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Compiled'!$C$6:$C$815,0),"B")="B","","E")</f>
        <v>E</v>
      </c>
      <c r="M309" s="426" t="str">
        <f>+IFERROR(VLOOKUP(B309,Tackwelding!$B$6:$G$322,6,FALSE),"")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Compiled'!$C$6:$C$815,0),"B")="B","","E")</f>
        <v>E</v>
      </c>
      <c r="M310" s="426" t="str">
        <f>+IFERROR(VLOOKUP(B310,Tackwelding!$B$6:$G$322,6,FALSE),"")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Compiled'!$C$6:$C$815,0),"B")="B","","E")</f>
        <v>E</v>
      </c>
      <c r="M311" s="426" t="str">
        <f>+IFERROR(VLOOKUP(B311,Tackwelding!$B$6:$G$322,6,FALSE),"")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Compiled'!$C$6:$C$815,0),"B")="B","","E")</f>
        <v>E</v>
      </c>
      <c r="M312" s="426" t="str">
        <f>+IFERROR(VLOOKUP(B312,Tackwelding!$B$6:$G$322,6,FALSE),"")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Compiled'!$C$6:$C$815,0),"B")="B","","E")</f>
        <v>E</v>
      </c>
      <c r="M313" s="426" t="str">
        <f>+IFERROR(VLOOKUP(B313,Tackwelding!$B$6:$G$322,6,FALSE),"")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Compiled'!$C$6:$C$815,0),"B")="B","","E")</f>
        <v>E</v>
      </c>
      <c r="M314" s="426" t="str">
        <f>+IFERROR(VLOOKUP(B314,Tackwelding!$B$6:$G$322,6,FALSE),"")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Compiled'!$C$6:$C$815,0),"B")="B","","E")</f>
        <v>E</v>
      </c>
      <c r="M315" s="426" t="str">
        <f>+IFERROR(VLOOKUP(B315,Tackwelding!$B$6:$G$322,6,FALSE),"")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Compiled'!$C$6:$C$815,0),"B")="B","","E")</f>
        <v>E</v>
      </c>
      <c r="M316" s="426" t="str">
        <f>+IFERROR(VLOOKUP(B316,Tackwelding!$B$6:$G$322,6,FALSE),"")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Compiled'!$C$6:$C$815,0),"B")="B","","E")</f>
        <v>E</v>
      </c>
      <c r="M317" s="426" t="str">
        <f>+IFERROR(VLOOKUP(B317,Tackwelding!$B$6:$G$322,6,FALSE),"")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Compiled'!$C$6:$C$815,0),"B")="B","","E")</f>
        <v>E</v>
      </c>
      <c r="M318" s="426" t="str">
        <f>+IFERROR(VLOOKUP(B318,Tackwelding!$B$6:$G$322,6,FALSE),"")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Compiled'!$C$6:$C$815,0),"B")="B","","E")</f>
        <v>E</v>
      </c>
      <c r="M319" s="426" t="str">
        <f>+IFERROR(VLOOKUP(B319,Tackwelding!$B$6:$G$322,6,FALSE),"")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Compiled'!$C$6:$C$815,0),"B")="B","","E")</f>
        <v>E</v>
      </c>
      <c r="M320" s="426" t="str">
        <f>+IFERROR(VLOOKUP(B320,Tackwelding!$B$6:$G$322,6,FALSE),"")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Compiled'!$C$6:$C$815,0),"B")="B","","E")</f>
        <v>E</v>
      </c>
      <c r="M321" s="426" t="str">
        <f>+IFERROR(VLOOKUP(B321,Tackwelding!$B$6:$G$322,6,FALSE),"")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Compiled'!$C$6:$C$815,0),"B")="B","","E")</f>
        <v>E</v>
      </c>
      <c r="M322" s="426" t="str">
        <f>+IFERROR(VLOOKUP(B322,Tackwelding!$B$6:$G$322,6,FALSE),"")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Compiled'!$C$6:$C$815,0),"B")="B","","E")</f>
        <v>E</v>
      </c>
      <c r="M323" s="426" t="str">
        <f>+IFERROR(VLOOKUP(B323,Tackwelding!$B$6:$G$322,6,FALSE),"")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Compiled'!$C$6:$C$815,0),"B")="B","","E")</f>
        <v>E</v>
      </c>
      <c r="M324" s="426" t="str">
        <f>+IFERROR(VLOOKUP(B324,Tackwelding!$B$6:$G$322,6,FALSE),"")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Compiled'!$C$6:$C$815,0),"B")="B","","E")</f>
        <v>E</v>
      </c>
      <c r="M325" s="426" t="str">
        <f>+IFERROR(VLOOKUP(B325,Tackwelding!$B$6:$G$322,6,FALSE),"")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Compiled'!$C$6:$C$815,0),"B")="B","","E")</f>
        <v>E</v>
      </c>
      <c r="M326" s="426" t="str">
        <f>+IFERROR(VLOOKUP(B326,Tackwelding!$B$6:$G$322,6,FALSE),"")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Compiled'!$C$6:$C$815,0),"B")="B","","E")</f>
        <v>E</v>
      </c>
      <c r="M327" s="426" t="str">
        <f>+IFERROR(VLOOKUP(B327,Tackwelding!$B$6:$G$322,6,FALSE),"")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Compiled'!$C$6:$C$815,0),"B")="B","","E")</f>
        <v>E</v>
      </c>
      <c r="M328" s="426" t="str">
        <f>+IFERROR(VLOOKUP(B328,Tackwelding!$B$6:$G$322,6,FALSE),"")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Compiled'!$C$6:$C$815,0),"B")="B","","E")</f>
        <v>E</v>
      </c>
      <c r="M329" s="426" t="str">
        <f>+IFERROR(VLOOKUP(B329,Tackwelding!$B$6:$G$322,6,FALSE),"")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Compiled'!$C$6:$C$815,0),"B")="B","","E")</f>
        <v>E</v>
      </c>
      <c r="M330" s="426" t="str">
        <f>+IFERROR(VLOOKUP(B330,Tackwelding!$B$6:$G$322,6,FALSE),"")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Compiled'!$C$6:$C$815,0),"B")="B","","E")</f>
        <v>E</v>
      </c>
      <c r="M331" s="426" t="str">
        <f>+IFERROR(VLOOKUP(B331,Tackwelding!$B$6:$G$322,6,FALSE),"")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Compiled'!$C$6:$C$815,0),"B")="B","","E")</f>
        <v>E</v>
      </c>
      <c r="M332" s="426" t="str">
        <f>+IFERROR(VLOOKUP(B332,Tackwelding!$B$6:$G$322,6,FALSE),"")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Compiled'!$C$6:$C$815,0),"B")="B","","E")</f>
        <v>E</v>
      </c>
      <c r="M333" s="426" t="str">
        <f>+IFERROR(VLOOKUP(B333,Tackwelding!$B$6:$G$322,6,FALSE),"")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Compiled'!$C$6:$C$815,0),"B")="B","","E")</f>
        <v>E</v>
      </c>
      <c r="M334" s="426" t="str">
        <f>+IFERROR(VLOOKUP(B334,Tackwelding!$B$6:$G$322,6,FALSE),"")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Compiled'!$C$6:$C$815,0),"B")="B","","E")</f>
        <v>E</v>
      </c>
      <c r="M335" s="426" t="str">
        <f>+IFERROR(VLOOKUP(B335,Tackwelding!$B$6:$G$322,6,FALSE),"")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Compiled'!$C$6:$C$815,0),"B")="B","","E")</f>
        <v>E</v>
      </c>
      <c r="M336" s="426" t="str">
        <f>+IFERROR(VLOOKUP(B336,Tackwelding!$B$6:$G$322,6,FALSE),"")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Compiled'!$C$6:$C$815,0),"B")="B","","E")</f>
        <v>E</v>
      </c>
      <c r="M337" s="426" t="str">
        <f>+IFERROR(VLOOKUP(B337,Tackwelding!$B$6:$G$322,6,FALSE),"")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Compiled'!$C$6:$C$815,0),"B")="B","","E")</f>
        <v>E</v>
      </c>
      <c r="M338" s="426" t="str">
        <f>+IFERROR(VLOOKUP(B338,Tackwelding!$B$6:$G$322,6,FALSE),"")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Compiled'!$C$6:$C$815,0),"B")="B","","E")</f>
        <v>E</v>
      </c>
      <c r="M339" s="426" t="str">
        <f>+IFERROR(VLOOKUP(B339,Tackwelding!$B$6:$G$322,6,FALSE),"")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Compiled'!$C$6:$C$815,0),"B")="B","","E")</f>
        <v>E</v>
      </c>
      <c r="M340" s="426" t="str">
        <f>+IFERROR(VLOOKUP(B340,Tackwelding!$B$6:$G$322,6,FALSE),"")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Compiled'!$C$6:$C$815,0),"B")="B","","E")</f>
        <v>E</v>
      </c>
      <c r="M341" s="426" t="str">
        <f>+IFERROR(VLOOKUP(B341,Tackwelding!$B$6:$G$322,6,FALSE),"")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Compiled'!$C$6:$C$815,0),"B")="B","","E")</f>
        <v>E</v>
      </c>
      <c r="M342" s="426" t="str">
        <f>+IFERROR(VLOOKUP(B342,Tackwelding!$B$6:$G$322,6,FALSE),"")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Compiled'!$C$6:$C$815,0),"B")="B","","E")</f>
        <v>E</v>
      </c>
      <c r="M343" s="426" t="str">
        <f>+IFERROR(VLOOKUP(B343,Tackwelding!$B$6:$G$322,6,FALSE),"")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Compiled'!$C$6:$C$815,0),"B")="B","","E")</f>
        <v>E</v>
      </c>
      <c r="M344" s="426" t="str">
        <f>+IFERROR(VLOOKUP(B344,Tackwelding!$B$6:$G$322,6,FALSE),"")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Compiled'!$C$6:$C$815,0),"B")="B","","E")</f>
        <v>E</v>
      </c>
      <c r="M345" s="426" t="str">
        <f>+IFERROR(VLOOKUP(B345,Tackwelding!$B$6:$G$322,6,FALSE),"")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Compiled'!$C$6:$C$815,0),"B")="B","","E")</f>
        <v>E</v>
      </c>
      <c r="M346" s="426" t="str">
        <f>+IFERROR(VLOOKUP(B346,Tackwelding!$B$6:$G$322,6,FALSE),"")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Compiled'!$C$6:$C$815,0),"B")="B","","E")</f>
        <v>E</v>
      </c>
      <c r="M347" s="426" t="str">
        <f>+IFERROR(VLOOKUP(B347,Tackwelding!$B$6:$G$322,6,FALSE),"")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Compiled'!$C$6:$C$815,0),"B")="B","","E")</f>
        <v>E</v>
      </c>
      <c r="M348" s="426" t="str">
        <f>+IFERROR(VLOOKUP(B348,Tackwelding!$B$6:$G$322,6,FALSE),"")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Compiled'!$C$6:$C$815,0),"B")="B","","E")</f>
        <v>E</v>
      </c>
      <c r="M349" s="426" t="str">
        <f>+IFERROR(VLOOKUP(B349,Tackwelding!$B$6:$G$322,6,FALSE),"")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Compiled'!$C$6:$C$815,0),"B")="B","","E")</f>
        <v>E</v>
      </c>
      <c r="M350" s="426" t="str">
        <f>+IFERROR(VLOOKUP(B350,Tackwelding!$B$6:$G$322,6,FALSE),"")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Compiled'!$C$6:$C$815,0),"B")="B","","E")</f>
        <v>E</v>
      </c>
      <c r="M351" s="426" t="str">
        <f>+IFERROR(VLOOKUP(B351,Tackwelding!$B$6:$G$322,6,FALSE),"")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Compiled'!$C$6:$C$815,0),"B")="B","","E")</f>
        <v>E</v>
      </c>
      <c r="M352" s="426" t="str">
        <f>+IFERROR(VLOOKUP(B352,Tackwelding!$B$6:$G$322,6,FALSE),"")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Compiled'!$C$6:$C$815,0),"B")="B","","E")</f>
        <v>E</v>
      </c>
      <c r="M353" s="426" t="str">
        <f>+IFERROR(VLOOKUP(B353,Tackwelding!$B$6:$G$322,6,FALSE),"")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Compiled'!$C$6:$C$815,0),"B")="B","","E")</f>
        <v>E</v>
      </c>
      <c r="M354" s="426" t="str">
        <f>+IFERROR(VLOOKUP(B354,Tackwelding!$B$6:$G$322,6,FALSE),"")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Compiled'!$C$6:$C$815,0),"B")="B","","E")</f>
        <v>E</v>
      </c>
      <c r="M355" s="426" t="str">
        <f>+IFERROR(VLOOKUP(B355,Tackwelding!$B$6:$G$322,6,FALSE),"")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Compiled'!$C$6:$C$815,0),"B")="B","","E")</f>
        <v>E</v>
      </c>
      <c r="M356" s="426" t="str">
        <f>+IFERROR(VLOOKUP(B356,Tackwelding!$B$6:$G$322,6,FALSE),"")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Compiled'!$C$6:$C$815,0),"B")="B","","E")</f>
        <v>E</v>
      </c>
      <c r="M357" s="426" t="str">
        <f>+IFERROR(VLOOKUP(B357,Tackwelding!$B$6:$G$322,6,FALSE),"")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Compiled'!$C$6:$C$815,0),"B")="B","","E")</f>
        <v>E</v>
      </c>
      <c r="M358" s="426" t="str">
        <f>+IFERROR(VLOOKUP(B358,Tackwelding!$B$6:$G$322,6,FALSE),"")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Compiled'!$C$6:$C$815,0),"B")="B","","E")</f>
        <v>E</v>
      </c>
      <c r="M359" s="426" t="str">
        <f>+IFERROR(VLOOKUP(B359,Tackwelding!$B$6:$G$322,6,FALSE),"")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Compiled'!$C$6:$C$815,0),"B")="B","","E")</f>
        <v>E</v>
      </c>
      <c r="M360" s="426" t="str">
        <f>+IFERROR(VLOOKUP(B360,Tackwelding!$B$6:$G$322,6,FALSE),"")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Compiled'!$C$6:$C$815,0),"B")="B","","E")</f>
        <v>E</v>
      </c>
      <c r="M361" s="426" t="str">
        <f>+IFERROR(VLOOKUP(B361,Tackwelding!$B$6:$G$322,6,FALSE),"")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Compiled'!$C$6:$C$815,0),"B")="B","","E")</f>
        <v>E</v>
      </c>
      <c r="M362" s="426" t="str">
        <f>+IFERROR(VLOOKUP(B362,Tackwelding!$B$6:$G$322,6,FALSE),"")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Compiled'!$C$6:$C$815,0),"B")="B","","E")</f>
        <v>E</v>
      </c>
      <c r="M363" s="426" t="str">
        <f>+IFERROR(VLOOKUP(B363,Tackwelding!$B$6:$G$322,6,FALSE),"")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Compiled'!$C$6:$C$815,0),"B")="B","","E")</f>
        <v>E</v>
      </c>
      <c r="M364" s="426" t="str">
        <f>+IFERROR(VLOOKUP(B364,Tackwelding!$B$6:$G$322,6,FALSE),"")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Compiled'!$C$6:$C$815,0),"B")="B","","E")</f>
        <v>E</v>
      </c>
      <c r="M365" s="426" t="str">
        <f>+IFERROR(VLOOKUP(B365,Tackwelding!$B$6:$G$322,6,FALSE),"")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Compiled'!$C$6:$C$815,0),"B")="B","","E")</f>
        <v>E</v>
      </c>
      <c r="M366" s="426" t="str">
        <f>+IFERROR(VLOOKUP(B366,Tackwelding!$B$6:$G$322,6,FALSE),"")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Compiled'!$C$6:$C$815,0),"B")="B","","E")</f>
        <v>E</v>
      </c>
      <c r="M367" s="426" t="str">
        <f>+IFERROR(VLOOKUP(B367,Tackwelding!$B$6:$G$322,6,FALSE),"")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Compiled'!$C$6:$C$815,0),"B")="B","","E")</f>
        <v>E</v>
      </c>
      <c r="M368" s="426" t="str">
        <f>+IFERROR(VLOOKUP(B368,Tackwelding!$B$6:$G$322,6,FALSE),"")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Compiled'!$C$6:$C$815,0),"B")="B","","E")</f>
        <v>E</v>
      </c>
      <c r="M369" s="426" t="str">
        <f>+IFERROR(VLOOKUP(B369,Tackwelding!$B$6:$G$322,6,FALSE),"")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Compiled'!$C$6:$C$815,0),"B")="B","","E")</f>
        <v>E</v>
      </c>
      <c r="M370" s="426" t="str">
        <f>+IFERROR(VLOOKUP(B370,Tackwelding!$B$6:$G$322,6,FALSE),"")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Compiled'!$C$6:$C$815,0),"B")="B","","E")</f>
        <v>E</v>
      </c>
      <c r="M371" s="426" t="str">
        <f>+IFERROR(VLOOKUP(B371,Tackwelding!$B$6:$G$322,6,FALSE),"")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Compiled'!$C$6:$C$815,0),"B")="B","","E")</f>
        <v>E</v>
      </c>
      <c r="M372" s="426" t="str">
        <f>+IFERROR(VLOOKUP(B372,Tackwelding!$B$6:$G$322,6,FALSE),"")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Compiled'!$C$6:$C$815,0),"B")="B","","E")</f>
        <v>E</v>
      </c>
      <c r="M373" s="426" t="str">
        <f>+IFERROR(VLOOKUP(B373,Tackwelding!$B$6:$G$322,6,FALSE),"")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Compiled'!$C$6:$C$815,0),"B")="B","","E")</f>
        <v>E</v>
      </c>
      <c r="M374" s="426" t="str">
        <f>+IFERROR(VLOOKUP(B374,Tackwelding!$B$6:$G$322,6,FALSE),"")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Compiled'!$C$6:$C$815,0),"B")="B","","E")</f>
        <v>E</v>
      </c>
      <c r="M375" s="426" t="str">
        <f>+IFERROR(VLOOKUP(B375,Tackwelding!$B$6:$G$322,6,FALSE),"")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Compiled'!$C$6:$C$815,0),"B")="B","","E")</f>
        <v>E</v>
      </c>
      <c r="M376" s="426" t="str">
        <f>+IFERROR(VLOOKUP(B376,Tackwelding!$B$6:$G$322,6,FALSE),"")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Compiled'!$C$6:$C$815,0),"B")="B","","E")</f>
        <v>E</v>
      </c>
      <c r="M377" s="426" t="str">
        <f>+IFERROR(VLOOKUP(B377,Tackwelding!$B$6:$G$322,6,FALSE),"")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Compiled'!$C$6:$C$815,0),"B")="B","","E")</f>
        <v>E</v>
      </c>
      <c r="M378" s="426" t="str">
        <f>+IFERROR(VLOOKUP(B378,Tackwelding!$B$6:$G$322,6,FALSE),"")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Compiled'!$C$6:$C$815,0),"B")="B","","E")</f>
        <v>E</v>
      </c>
      <c r="M379" s="426" t="str">
        <f>+IFERROR(VLOOKUP(B379,Tackwelding!$B$6:$G$322,6,FALSE),"")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Compiled'!$C$6:$C$815,0),"B")="B","","E")</f>
        <v>E</v>
      </c>
      <c r="M380" s="426" t="str">
        <f>+IFERROR(VLOOKUP(B380,Tackwelding!$B$6:$G$322,6,FALSE),"")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Compiled'!$C$6:$C$815,0),"B")="B","","E")</f>
        <v>E</v>
      </c>
      <c r="M381" s="426" t="str">
        <f>+IFERROR(VLOOKUP(B381,Tackwelding!$B$6:$G$322,6,FALSE),"")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Compiled'!$C$6:$C$815,0),"B")="B","","E")</f>
        <v>E</v>
      </c>
      <c r="M382" s="426" t="str">
        <f>+IFERROR(VLOOKUP(B382,Tackwelding!$B$6:$G$322,6,FALSE),"")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Compiled'!$C$6:$C$815,0),"B")="B","","E")</f>
        <v>E</v>
      </c>
      <c r="M383" s="426" t="str">
        <f>+IFERROR(VLOOKUP(B383,Tackwelding!$B$6:$G$322,6,FALSE),"")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Compiled'!$C$6:$C$815,0),"B")="B","","E")</f>
        <v>E</v>
      </c>
      <c r="M384" s="426" t="str">
        <f>+IFERROR(VLOOKUP(B384,Tackwelding!$B$6:$G$322,6,FALSE),"")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Compiled'!$C$6:$C$815,0),"B")="B","","E")</f>
        <v>E</v>
      </c>
      <c r="M385" s="426" t="str">
        <f>+IFERROR(VLOOKUP(B385,Tackwelding!$B$6:$G$322,6,FALSE),"")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Compiled'!$C$6:$C$815,0),"B")="B","","E")</f>
        <v>E</v>
      </c>
      <c r="M386" s="426" t="str">
        <f>+IFERROR(VLOOKUP(B386,Tackwelding!$B$6:$G$322,6,FALSE),"")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Compiled'!$C$6:$C$815,0),"B")="B","","E")</f>
        <v>E</v>
      </c>
      <c r="M387" s="426" t="str">
        <f>+IFERROR(VLOOKUP(B387,Tackwelding!$B$6:$G$322,6,FALSE),"")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Compiled'!$C$6:$C$815,0),"B")="B","","E")</f>
        <v>E</v>
      </c>
      <c r="M388" s="426" t="str">
        <f>+IFERROR(VLOOKUP(B388,Tackwelding!$B$6:$G$322,6,FALSE),"")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Compiled'!$C$6:$C$815,0),"B")="B","","E")</f>
        <v>E</v>
      </c>
      <c r="M389" s="426" t="str">
        <f>+IFERROR(VLOOKUP(B389,Tackwelding!$B$6:$G$322,6,FALSE),"")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Compiled'!$C$6:$C$815,0),"B")="B","","E")</f>
        <v>E</v>
      </c>
      <c r="M390" s="426" t="str">
        <f>+IFERROR(VLOOKUP(B390,Tackwelding!$B$6:$G$322,6,FALSE),"")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Compiled'!$C$6:$C$815,0),"B")="B","","E")</f>
        <v>E</v>
      </c>
      <c r="M391" s="426" t="str">
        <f>+IFERROR(VLOOKUP(B391,Tackwelding!$B$6:$G$322,6,FALSE),"")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Compiled'!$C$6:$C$815,0),"B")="B","","E")</f>
        <v>E</v>
      </c>
      <c r="M392" s="426" t="str">
        <f>+IFERROR(VLOOKUP(B392,Tackwelding!$B$6:$G$322,6,FALSE),"")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Compiled'!$C$6:$C$815,0),"B")="B","","E")</f>
        <v>E</v>
      </c>
      <c r="M393" s="426" t="str">
        <f>+IFERROR(VLOOKUP(B393,Tackwelding!$B$6:$G$322,6,FALSE),"")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Compiled'!$C$6:$C$815,0),"B")="B","","E")</f>
        <v>E</v>
      </c>
      <c r="M394" s="426" t="str">
        <f>+IFERROR(VLOOKUP(B394,Tackwelding!$B$6:$G$322,6,FALSE),"")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Compiled'!$C$6:$C$815,0),"B")="B","","E")</f>
        <v>E</v>
      </c>
      <c r="M395" s="426" t="str">
        <f>+IFERROR(VLOOKUP(B395,Tackwelding!$B$6:$G$322,6,FALSE),"")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Compiled'!$C$6:$C$815,0),"B")="B","","E")</f>
        <v>E</v>
      </c>
      <c r="M396" s="426" t="str">
        <f>+IFERROR(VLOOKUP(B396,Tackwelding!$B$6:$G$322,6,FALSE),"")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Compiled'!$C$6:$C$815,0),"B")="B","","E")</f>
        <v>E</v>
      </c>
      <c r="M397" s="426" t="str">
        <f>+IFERROR(VLOOKUP(B397,Tackwelding!$B$6:$G$322,6,FALSE),"")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Compiled'!$C$6:$C$815,0),"B")="B","","E")</f>
        <v>E</v>
      </c>
      <c r="M398" s="426" t="str">
        <f>+IFERROR(VLOOKUP(B398,Tackwelding!$B$6:$G$322,6,FALSE),"")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Compiled'!$C$6:$C$815,0),"B")="B","","E")</f>
        <v>E</v>
      </c>
      <c r="M399" s="426" t="str">
        <f>+IFERROR(VLOOKUP(B399,Tackwelding!$B$6:$G$322,6,FALSE),"")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Compiled'!$C$6:$C$815,0),"B")="B","","E")</f>
        <v>E</v>
      </c>
      <c r="M400" s="426" t="str">
        <f>+IFERROR(VLOOKUP(B400,Tackwelding!$B$6:$G$322,6,FALSE),"")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Compiled'!$C$6:$C$815,0),"B")="B","","E")</f>
        <v>E</v>
      </c>
      <c r="M401" s="426" t="str">
        <f>+IFERROR(VLOOKUP(B401,Tackwelding!$B$6:$G$322,6,FALSE),"")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Compiled'!$C$6:$C$815,0),"B")="B","","E")</f>
        <v>E</v>
      </c>
      <c r="M402" s="426" t="str">
        <f>+IFERROR(VLOOKUP(B402,Tackwelding!$B$6:$G$322,6,FALSE),"")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Compiled'!$C$6:$C$815,0),"B")="B","","E")</f>
        <v>E</v>
      </c>
      <c r="M403" s="426" t="str">
        <f>+IFERROR(VLOOKUP(B403,Tackwelding!$B$6:$G$322,6,FALSE),"")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Compiled'!$C$6:$C$815,0),"B")="B","","E")</f>
        <v>E</v>
      </c>
      <c r="M404" s="426" t="str">
        <f>+IFERROR(VLOOKUP(B404,Tackwelding!$B$6:$G$322,6,FALSE),"")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Compiled'!$C$6:$C$815,0),"B")="B","","E")</f>
        <v>E</v>
      </c>
      <c r="M405" s="426" t="str">
        <f>+IFERROR(VLOOKUP(B405,Tackwelding!$B$6:$G$322,6,FALSE),"")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Compiled'!$C$6:$C$815,0),"B")="B","","E")</f>
        <v>E</v>
      </c>
      <c r="M406" s="426" t="str">
        <f>+IFERROR(VLOOKUP(B406,Tackwelding!$B$6:$G$322,6,FALSE),"")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Compiled'!$C$6:$C$815,0),"B")="B","","E")</f>
        <v>E</v>
      </c>
      <c r="M407" s="426" t="str">
        <f>+IFERROR(VLOOKUP(B407,Tackwelding!$B$6:$G$322,6,FALSE),"")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Compiled'!$C$6:$C$815,0),"B")="B","","E")</f>
        <v>E</v>
      </c>
      <c r="M408" s="426" t="str">
        <f>+IFERROR(VLOOKUP(B408,Tackwelding!$B$6:$G$322,6,FALSE),"")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Compiled'!$C$6:$C$815,0),"B")="B","","E")</f>
        <v>E</v>
      </c>
      <c r="M409" s="426" t="str">
        <f>+IFERROR(VLOOKUP(B409,Tackwelding!$B$6:$G$322,6,FALSE),"")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Compiled'!$C$6:$C$815,0),"B")="B","","E")</f>
        <v>E</v>
      </c>
      <c r="M410" s="426" t="str">
        <f>+IFERROR(VLOOKUP(B410,Tackwelding!$B$6:$G$322,6,FALSE),"")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Compiled'!$C$6:$C$815,0),"B")="B","","E")</f>
        <v>E</v>
      </c>
      <c r="M411" s="426" t="str">
        <f>+IFERROR(VLOOKUP(B411,Tackwelding!$B$6:$G$322,6,FALSE),"")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Compiled'!$C$6:$C$815,0),"B")="B","","E")</f>
        <v>E</v>
      </c>
      <c r="M412" s="426" t="str">
        <f>+IFERROR(VLOOKUP(B412,Tackwelding!$B$6:$G$322,6,FALSE),"")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Compiled'!$C$6:$C$815,0),"B")="B","","E")</f>
        <v>E</v>
      </c>
      <c r="M413" s="426" t="str">
        <f>+IFERROR(VLOOKUP(B413,Tackwelding!$B$6:$G$322,6,FALSE),"")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Compiled'!$C$6:$C$815,0),"B")="B","","E")</f>
        <v>E</v>
      </c>
      <c r="M414" s="426" t="str">
        <f>+IFERROR(VLOOKUP(B414,Tackwelding!$B$6:$G$322,6,FALSE),"")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Compiled'!$C$6:$C$815,0),"B")="B","","E")</f>
        <v>E</v>
      </c>
      <c r="M415" s="426" t="str">
        <f>+IFERROR(VLOOKUP(B415,Tackwelding!$B$6:$G$322,6,FALSE),"")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Compiled'!$C$6:$C$815,0),"B")="B","","E")</f>
        <v>E</v>
      </c>
      <c r="M416" s="426" t="str">
        <f>+IFERROR(VLOOKUP(B416,Tackwelding!$B$6:$G$322,6,FALSE),"")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Compiled'!$C$6:$C$815,0),"B")="B","","E")</f>
        <v>E</v>
      </c>
      <c r="M417" s="426" t="str">
        <f>+IFERROR(VLOOKUP(B417,Tackwelding!$B$6:$G$322,6,FALSE),"")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Compiled'!$C$6:$C$815,0),"B")="B","","E")</f>
        <v>E</v>
      </c>
      <c r="M418" s="426" t="str">
        <f>+IFERROR(VLOOKUP(B418,Tackwelding!$B$6:$G$322,6,FALSE),"")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Compiled'!$C$6:$C$815,0),"B")="B","","E")</f>
        <v>E</v>
      </c>
      <c r="M419" s="426" t="str">
        <f>+IFERROR(VLOOKUP(B419,Tackwelding!$B$6:$G$322,6,FALSE),"")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Compiled'!$C$6:$C$815,0),"B")="B","","E")</f>
        <v>E</v>
      </c>
      <c r="M420" s="426" t="str">
        <f>+IFERROR(VLOOKUP(B420,Tackwelding!$B$6:$G$322,6,FALSE),"")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Compiled'!$C$6:$C$815,0),"B")="B","","E")</f>
        <v>E</v>
      </c>
      <c r="M421" s="426" t="str">
        <f>+IFERROR(VLOOKUP(B421,Tackwelding!$B$6:$G$322,6,FALSE),"")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Compiled'!$C$6:$C$815,0),"B")="B","","E")</f>
        <v>E</v>
      </c>
      <c r="M422" s="426" t="str">
        <f>+IFERROR(VLOOKUP(B422,Tackwelding!$B$6:$G$322,6,FALSE),"")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Compiled'!$C$6:$C$815,0),"B")="B","","E")</f>
        <v>E</v>
      </c>
      <c r="M423" s="426" t="str">
        <f>+IFERROR(VLOOKUP(B423,Tackwelding!$B$6:$G$322,6,FALSE),"")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Compiled'!$C$6:$C$815,0),"B")="B","","E")</f>
        <v>E</v>
      </c>
      <c r="M424" s="426" t="str">
        <f>+IFERROR(VLOOKUP(B424,Tackwelding!$B$6:$G$322,6,FALSE),"")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Compiled'!$C$6:$C$815,0),"B")="B","","E")</f>
        <v>E</v>
      </c>
      <c r="M425" s="426" t="str">
        <f>+IFERROR(VLOOKUP(B425,Tackwelding!$B$6:$G$322,6,FALSE),"")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Compiled'!$C$6:$C$815,0),"B")="B","","E")</f>
        <v>E</v>
      </c>
      <c r="M426" s="426" t="str">
        <f>+IFERROR(VLOOKUP(B426,Tackwelding!$B$6:$G$322,6,FALSE),"")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Compiled'!$C$6:$C$815,0),"B")="B","","E")</f>
        <v>E</v>
      </c>
      <c r="M427" s="426" t="str">
        <f>+IFERROR(VLOOKUP(B427,Tackwelding!$B$6:$G$322,6,FALSE),"")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Compiled'!$C$6:$C$815,0),"B")="B","","E")</f>
        <v>E</v>
      </c>
      <c r="M428" s="426" t="str">
        <f>+IFERROR(VLOOKUP(B428,Tackwelding!$B$6:$G$322,6,FALSE),"")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Compiled'!$C$6:$C$815,0),"B")="B","","E")</f>
        <v>E</v>
      </c>
      <c r="M429" s="426" t="str">
        <f>+IFERROR(VLOOKUP(B429,Tackwelding!$B$6:$G$322,6,FALSE),"")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Compiled'!$C$6:$C$815,0),"B")="B","","E")</f>
        <v>E</v>
      </c>
      <c r="M430" s="426" t="str">
        <f>+IFERROR(VLOOKUP(B430,Tackwelding!$B$6:$G$322,6,FALSE),"")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Compiled'!$C$6:$C$815,0),"B")="B","","E")</f>
        <v>E</v>
      </c>
      <c r="M431" s="426" t="str">
        <f>+IFERROR(VLOOKUP(B431,Tackwelding!$B$6:$G$322,6,FALSE),"")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Compiled'!$C$6:$C$815,0),"B")="B","","E")</f>
        <v>E</v>
      </c>
      <c r="M432" s="426" t="str">
        <f>+IFERROR(VLOOKUP(B432,Tackwelding!$B$6:$G$322,6,FALSE),"")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Compiled'!$C$6:$C$815,0),"B")="B","","E")</f>
        <v>E</v>
      </c>
      <c r="M433" s="426" t="str">
        <f>+IFERROR(VLOOKUP(B433,Tackwelding!$B$6:$G$322,6,FALSE),"")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Compiled'!$C$6:$C$815,0),"B")="B","","E")</f>
        <v>E</v>
      </c>
      <c r="M434" s="426" t="str">
        <f>+IFERROR(VLOOKUP(B434,Tackwelding!$B$6:$G$322,6,FALSE),"")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Compiled'!$C$6:$C$815,0),"B")="B","","E")</f>
        <v>E</v>
      </c>
      <c r="M435" s="426" t="str">
        <f>+IFERROR(VLOOKUP(B435,Tackwelding!$B$6:$G$322,6,FALSE),"")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Compiled'!$C$6:$C$815,0),"B")="B","","E")</f>
        <v>E</v>
      </c>
      <c r="M436" s="426" t="str">
        <f>+IFERROR(VLOOKUP(B436,Tackwelding!$B$6:$G$322,6,FALSE),"")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Compiled'!$C$6:$C$815,0),"B")="B","","E")</f>
        <v>E</v>
      </c>
      <c r="M437" s="426" t="str">
        <f>+IFERROR(VLOOKUP(B437,Tackwelding!$B$6:$G$322,6,FALSE),"")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Compiled'!$C$6:$C$815,0),"B")="B","","E")</f>
        <v>E</v>
      </c>
      <c r="M438" s="426" t="str">
        <f>+IFERROR(VLOOKUP(B438,Tackwelding!$B$6:$G$322,6,FALSE),"")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Compiled'!$C$6:$C$815,0),"B")="B","","E")</f>
        <v>E</v>
      </c>
      <c r="M439" s="426" t="str">
        <f>+IFERROR(VLOOKUP(B439,Tackwelding!$B$6:$G$322,6,FALSE),"")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Compiled'!$C$6:$C$815,0),"B")="B","","E")</f>
        <v>E</v>
      </c>
      <c r="M440" s="426" t="str">
        <f>+IFERROR(VLOOKUP(B440,Tackwelding!$B$6:$G$322,6,FALSE),"")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Compiled'!$C$6:$C$815,0),"B")="B","","E")</f>
        <v>E</v>
      </c>
      <c r="M441" s="426" t="str">
        <f>+IFERROR(VLOOKUP(B441,Tackwelding!$B$6:$G$322,6,FALSE),"")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Compiled'!$C$6:$C$815,0),"B")="B","","E")</f>
        <v>E</v>
      </c>
      <c r="M442" s="426" t="str">
        <f>+IFERROR(VLOOKUP(B442,Tackwelding!$B$6:$G$322,6,FALSE),"")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Compiled'!$C$6:$C$815,0),"B")="B","","E")</f>
        <v>E</v>
      </c>
      <c r="M443" s="426" t="str">
        <f>+IFERROR(VLOOKUP(B443,Tackwelding!$B$6:$G$322,6,FALSE),"")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Compiled'!$C$6:$C$815,0),"B")="B","","E")</f>
        <v>E</v>
      </c>
      <c r="M444" s="426" t="str">
        <f>+IFERROR(VLOOKUP(B444,Tackwelding!$B$6:$G$322,6,FALSE),"")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Compiled'!$C$6:$C$815,0),"B")="B","","E")</f>
        <v>E</v>
      </c>
      <c r="M445" s="426" t="str">
        <f>+IFERROR(VLOOKUP(B445,Tackwelding!$B$6:$G$322,6,FALSE),"")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Compiled'!$C$6:$C$815,0),"B")="B","","E")</f>
        <v>E</v>
      </c>
      <c r="M446" s="426" t="str">
        <f>+IFERROR(VLOOKUP(B446,Tackwelding!$B$6:$G$322,6,FALSE),"")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Compiled'!$C$6:$C$815,0),"B")="B","","E")</f>
        <v>E</v>
      </c>
      <c r="M447" s="426" t="str">
        <f>+IFERROR(VLOOKUP(B447,Tackwelding!$B$6:$G$322,6,FALSE),"")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Compiled'!$C$6:$C$815,0),"B")="B","","E")</f>
        <v>E</v>
      </c>
      <c r="M448" s="426" t="str">
        <f>+IFERROR(VLOOKUP(B448,Tackwelding!$B$6:$G$322,6,FALSE),"")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Compiled'!$C$6:$C$815,0),"B")="B","","E")</f>
        <v>E</v>
      </c>
      <c r="M449" s="426" t="str">
        <f>+IFERROR(VLOOKUP(B449,Tackwelding!$B$6:$G$322,6,FALSE),"")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Compiled'!$C$6:$C$815,0),"B")="B","","E")</f>
        <v>E</v>
      </c>
      <c r="M450" s="426" t="str">
        <f>+IFERROR(VLOOKUP(B450,Tackwelding!$B$6:$G$322,6,FALSE),"")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Compiled'!$C$6:$C$815,0),"B")="B","","E")</f>
        <v>E</v>
      </c>
      <c r="M451" s="426" t="str">
        <f>+IFERROR(VLOOKUP(B451,Tackwelding!$B$6:$G$322,6,FALSE),"")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Compiled'!$C$6:$C$815,0),"B")="B","","E")</f>
        <v>E</v>
      </c>
      <c r="M452" s="426" t="str">
        <f>+IFERROR(VLOOKUP(B452,Tackwelding!$B$6:$G$322,6,FALSE),"")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Compiled'!$C$6:$C$815,0),"B")="B","","E")</f>
        <v>E</v>
      </c>
      <c r="M453" s="426" t="str">
        <f>+IFERROR(VLOOKUP(B453,Tackwelding!$B$6:$G$322,6,FALSE),"")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Compiled'!$C$6:$C$815,0),"B")="B","","E")</f>
        <v>E</v>
      </c>
      <c r="M454" s="426" t="str">
        <f>+IFERROR(VLOOKUP(B454,Tackwelding!$B$6:$G$322,6,FALSE),"")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Compiled'!$C$6:$C$815,0),"B")="B","","E")</f>
        <v>E</v>
      </c>
      <c r="M455" s="426" t="str">
        <f>+IFERROR(VLOOKUP(B455,Tackwelding!$B$6:$G$322,6,FALSE),"")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Compiled'!$C$6:$C$815,0),"B")="B","","E")</f>
        <v>E</v>
      </c>
      <c r="M456" s="426" t="str">
        <f>+IFERROR(VLOOKUP(B456,Tackwelding!$B$6:$G$322,6,FALSE),"")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Compiled'!$C$6:$C$815,0),"B")="B","","E")</f>
        <v>E</v>
      </c>
      <c r="M457" s="426" t="str">
        <f>+IFERROR(VLOOKUP(B457,Tackwelding!$B$6:$G$322,6,FALSE),"")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Compiled'!$C$6:$C$815,0),"B")="B","","E")</f>
        <v>E</v>
      </c>
      <c r="M458" s="426" t="str">
        <f>+IFERROR(VLOOKUP(B458,Tackwelding!$B$6:$G$322,6,FALSE),"")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Compiled'!$C$6:$C$815,0),"B")="B","","E")</f>
        <v>E</v>
      </c>
      <c r="M459" s="426" t="str">
        <f>+IFERROR(VLOOKUP(B459,Tackwelding!$B$6:$G$322,6,FALSE),"")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Compiled'!$C$6:$C$815,0),"B")="B","","E")</f>
        <v>E</v>
      </c>
      <c r="M460" s="426" t="str">
        <f>+IFERROR(VLOOKUP(B460,Tackwelding!$B$6:$G$322,6,FALSE),"")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Compiled'!$C$6:$C$815,0),"B")="B","","E")</f>
        <v>E</v>
      </c>
      <c r="M461" s="426" t="str">
        <f>+IFERROR(VLOOKUP(B461,Tackwelding!$B$6:$G$322,6,FALSE),"")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Compiled'!$C$6:$C$815,0),"B")="B","","E")</f>
        <v>E</v>
      </c>
      <c r="M462" s="426" t="str">
        <f>+IFERROR(VLOOKUP(B462,Tackwelding!$B$6:$G$322,6,FALSE),"")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Compiled'!$C$6:$C$815,0),"B")="B","","E")</f>
        <v>E</v>
      </c>
      <c r="M463" s="426" t="str">
        <f>+IFERROR(VLOOKUP(B463,Tackwelding!$B$6:$G$322,6,FALSE),"")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Compiled'!$C$6:$C$815,0),"B")="B","","E")</f>
        <v>E</v>
      </c>
      <c r="M464" s="426" t="str">
        <f>+IFERROR(VLOOKUP(B464,Tackwelding!$B$6:$G$322,6,FALSE),"")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Compiled'!$C$6:$C$815,0),"B")="B","","E")</f>
        <v>E</v>
      </c>
      <c r="M465" s="426" t="str">
        <f>+IFERROR(VLOOKUP(B465,Tackwelding!$B$6:$G$322,6,FALSE),"")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Compiled'!$C$6:$C$815,0),"B")="B","","E")</f>
        <v>E</v>
      </c>
      <c r="M466" s="426" t="str">
        <f>+IFERROR(VLOOKUP(B466,Tackwelding!$B$6:$G$322,6,FALSE),"")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Compiled'!$C$6:$C$815,0),"B")="B","","E")</f>
        <v>E</v>
      </c>
      <c r="M467" s="426" t="str">
        <f>+IFERROR(VLOOKUP(B467,Tackwelding!$B$6:$G$322,6,FALSE),"")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Compiled'!$C$6:$C$815,0),"B")="B","","E")</f>
        <v>E</v>
      </c>
      <c r="M468" s="426" t="str">
        <f>+IFERROR(VLOOKUP(B468,Tackwelding!$B$6:$G$322,6,FALSE),"")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Compiled'!$C$6:$C$815,0),"B")="B","","E")</f>
        <v>E</v>
      </c>
      <c r="M469" s="426" t="str">
        <f>+IFERROR(VLOOKUP(B469,Tackwelding!$B$6:$G$322,6,FALSE),"")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Compiled'!$C$6:$C$815,0),"B")="B","","E")</f>
        <v>E</v>
      </c>
      <c r="M470" s="426" t="str">
        <f>+IFERROR(VLOOKUP(B470,Tackwelding!$B$6:$G$322,6,FALSE),"")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Compiled'!$C$6:$C$815,0),"B")="B","","E")</f>
        <v>E</v>
      </c>
      <c r="M471" s="426" t="str">
        <f>+IFERROR(VLOOKUP(B471,Tackwelding!$B$6:$G$322,6,FALSE),"")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Compiled'!$C$6:$C$815,0),"B")="B","","E")</f>
        <v>E</v>
      </c>
      <c r="M472" s="426" t="str">
        <f>+IFERROR(VLOOKUP(B472,Tackwelding!$B$6:$G$322,6,FALSE),"")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Compiled'!$C$6:$C$815,0),"B")="B","","E")</f>
        <v>E</v>
      </c>
      <c r="M473" s="426" t="str">
        <f>+IFERROR(VLOOKUP(B473,Tackwelding!$B$6:$G$322,6,FALSE),"")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Compiled'!$C$6:$C$815,0),"B")="B","","E")</f>
        <v>E</v>
      </c>
      <c r="M474" s="426" t="str">
        <f>+IFERROR(VLOOKUP(B474,Tackwelding!$B$6:$G$322,6,FALSE),"")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Compiled'!$C$6:$C$815,0),"B")="B","","E")</f>
        <v>E</v>
      </c>
      <c r="M475" s="426" t="str">
        <f>+IFERROR(VLOOKUP(B475,Tackwelding!$B$6:$G$322,6,FALSE),"")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Compiled'!$C$6:$C$815,0),"B")="B","","E")</f>
        <v>E</v>
      </c>
      <c r="M476" s="426" t="str">
        <f>+IFERROR(VLOOKUP(B476,Tackwelding!$B$6:$G$322,6,FALSE),"")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Compiled'!$C$6:$C$815,0),"B")="B","","E")</f>
        <v>E</v>
      </c>
      <c r="M477" s="426" t="str">
        <f>+IFERROR(VLOOKUP(B477,Tackwelding!$B$6:$G$322,6,FALSE),"")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Compiled'!$C$6:$C$815,0),"B")="B","","E")</f>
        <v>E</v>
      </c>
      <c r="M478" s="426" t="str">
        <f>+IFERROR(VLOOKUP(B478,Tackwelding!$B$6:$G$322,6,FALSE),"")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Compiled'!$C$6:$C$815,0),"B")="B","","E")</f>
        <v>E</v>
      </c>
      <c r="M479" s="426" t="str">
        <f>+IFERROR(VLOOKUP(B479,Tackwelding!$B$6:$G$322,6,FALSE),"")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Compiled'!$C$6:$C$815,0),"B")="B","","E")</f>
        <v>E</v>
      </c>
      <c r="M480" s="426" t="str">
        <f>+IFERROR(VLOOKUP(B480,Tackwelding!$B$6:$G$322,6,FALSE),"")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Compiled'!$C$6:$C$815,0),"B")="B","","E")</f>
        <v>E</v>
      </c>
      <c r="M481" s="426" t="str">
        <f>+IFERROR(VLOOKUP(B481,Tackwelding!$B$6:$G$322,6,FALSE),"")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Compiled'!$C$6:$C$815,0),"B")="B","","E")</f>
        <v>E</v>
      </c>
      <c r="M482" s="426" t="str">
        <f>+IFERROR(VLOOKUP(B482,Tackwelding!$B$6:$G$322,6,FALSE),"")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Compiled'!$C$6:$C$815,0),"B")="B","","E")</f>
        <v>E</v>
      </c>
      <c r="M483" s="426" t="str">
        <f>+IFERROR(VLOOKUP(B483,Tackwelding!$B$6:$G$322,6,FALSE),"")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Compiled'!$C$6:$C$815,0),"B")="B","","E")</f>
        <v>E</v>
      </c>
      <c r="M484" s="426" t="str">
        <f>+IFERROR(VLOOKUP(B484,Tackwelding!$B$6:$G$322,6,FALSE),"")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Compiled'!$C$6:$C$815,0),"B")="B","","E")</f>
        <v>E</v>
      </c>
      <c r="M485" s="426" t="str">
        <f>+IFERROR(VLOOKUP(B485,Tackwelding!$B$6:$G$322,6,FALSE),"")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Compiled'!$C$6:$C$815,0),"B")="B","","E")</f>
        <v>E</v>
      </c>
      <c r="M486" s="426" t="str">
        <f>+IFERROR(VLOOKUP(B486,Tackwelding!$B$6:$G$322,6,FALSE),"")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Compiled'!$C$6:$C$815,0),"B")="B","","E")</f>
        <v>E</v>
      </c>
      <c r="M487" s="426" t="str">
        <f>+IFERROR(VLOOKUP(B487,Tackwelding!$B$6:$G$322,6,FALSE),"")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Compiled'!$C$6:$C$815,0),"B")="B","","E")</f>
        <v>E</v>
      </c>
      <c r="M488" s="426" t="str">
        <f>+IFERROR(VLOOKUP(B488,Tackwelding!$B$6:$G$322,6,FALSE),"")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Compiled'!$C$6:$C$815,0),"B")="B","","E")</f>
        <v>E</v>
      </c>
      <c r="M489" s="426" t="str">
        <f>+IFERROR(VLOOKUP(B489,Tackwelding!$B$6:$G$322,6,FALSE),"")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Compiled'!$C$6:$C$815,0),"B")="B","","E")</f>
        <v>E</v>
      </c>
      <c r="M490" s="426" t="str">
        <f>+IFERROR(VLOOKUP(B490,Tackwelding!$B$6:$G$322,6,FALSE),"")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Compiled'!$C$6:$C$815,0),"B")="B","","E")</f>
        <v>E</v>
      </c>
      <c r="M491" s="426" t="str">
        <f>+IFERROR(VLOOKUP(B491,Tackwelding!$B$6:$G$322,6,FALSE),"")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999" t="s">
        <v>1246</v>
      </c>
      <c r="B3" s="999"/>
      <c r="C3" s="999"/>
      <c r="D3" s="999"/>
      <c r="E3" s="999"/>
      <c r="F3" s="999"/>
      <c r="G3" s="999"/>
      <c r="H3" s="999"/>
      <c r="I3" s="999"/>
      <c r="J3" s="999"/>
      <c r="K3" s="999"/>
      <c r="L3" s="999"/>
      <c r="M3" s="999"/>
      <c r="N3" s="999"/>
      <c r="O3" s="999"/>
    </row>
    <row r="4" spans="1:15" ht="38.25" customHeight="1" x14ac:dyDescent="0.2">
      <c r="A4" s="998" t="s">
        <v>303</v>
      </c>
      <c r="B4" s="998" t="s">
        <v>1195</v>
      </c>
      <c r="C4" s="1000" t="s">
        <v>4</v>
      </c>
      <c r="D4" s="1000" t="s">
        <v>1247</v>
      </c>
      <c r="E4" s="1000" t="s">
        <v>1248</v>
      </c>
      <c r="F4" s="1000" t="s">
        <v>1249</v>
      </c>
      <c r="G4" s="1000"/>
      <c r="H4" s="1000"/>
      <c r="I4" s="1000"/>
      <c r="J4" s="998" t="s">
        <v>1250</v>
      </c>
      <c r="K4" s="998"/>
      <c r="L4" s="998" t="s">
        <v>1262</v>
      </c>
      <c r="M4" s="998"/>
      <c r="N4" s="998" t="s">
        <v>1263</v>
      </c>
      <c r="O4" s="998"/>
    </row>
    <row r="5" spans="1:15" ht="26.25" customHeight="1" x14ac:dyDescent="0.2">
      <c r="A5" s="998"/>
      <c r="B5" s="998"/>
      <c r="C5" s="1000"/>
      <c r="D5" s="1000"/>
      <c r="E5" s="1000"/>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3" priority="1"/>
  </conditionalFormatting>
  <conditionalFormatting sqref="B112:B124 C124:C125">
    <cfRule type="expression" dxfId="2" priority="10767" stopIfTrue="1">
      <formula>IF(#REF!="TEN",TRUE,FALSE)</formula>
    </cfRule>
  </conditionalFormatting>
  <conditionalFormatting sqref="L161:L198">
    <cfRule type="expression" dxfId="1"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1" t="s">
        <v>1590</v>
      </c>
      <c r="B2" s="1001"/>
      <c r="C2" s="1001"/>
      <c r="D2" s="1001"/>
      <c r="E2" s="1001"/>
      <c r="F2" s="1001"/>
    </row>
    <row r="3" spans="1:14" s="600" customFormat="1" x14ac:dyDescent="0.25">
      <c r="A3" s="467" t="s">
        <v>303</v>
      </c>
      <c r="B3" s="467" t="s">
        <v>1530</v>
      </c>
      <c r="C3" s="468" t="s">
        <v>1288</v>
      </c>
      <c r="D3" s="468" t="s">
        <v>1523</v>
      </c>
      <c r="E3" s="468" t="s">
        <v>1276</v>
      </c>
      <c r="F3" s="468" t="s">
        <v>1277</v>
      </c>
    </row>
    <row r="4" spans="1:14" x14ac:dyDescent="0.25">
      <c r="A4" s="463">
        <v>1</v>
      </c>
      <c r="B4" s="1002" t="s">
        <v>295</v>
      </c>
      <c r="C4" s="461" t="s">
        <v>1272</v>
      </c>
      <c r="D4" s="461" t="s">
        <v>1273</v>
      </c>
      <c r="E4" s="461" t="s">
        <v>1278</v>
      </c>
      <c r="F4" s="463">
        <v>7082518194</v>
      </c>
    </row>
    <row r="5" spans="1:14" x14ac:dyDescent="0.25">
      <c r="A5" s="463">
        <v>2</v>
      </c>
      <c r="B5" s="1003"/>
      <c r="C5" s="462" t="s">
        <v>1524</v>
      </c>
      <c r="D5" s="461" t="s">
        <v>1656</v>
      </c>
      <c r="E5" s="461" t="s">
        <v>1279</v>
      </c>
      <c r="F5" s="463">
        <v>9451783340</v>
      </c>
    </row>
    <row r="6" spans="1:14" x14ac:dyDescent="0.25">
      <c r="A6" s="463">
        <v>3</v>
      </c>
      <c r="B6" s="1003"/>
      <c r="C6" s="462" t="s">
        <v>1525</v>
      </c>
      <c r="D6" s="462" t="s">
        <v>1655</v>
      </c>
      <c r="E6" s="654"/>
      <c r="F6" s="463"/>
    </row>
    <row r="7" spans="1:14" x14ac:dyDescent="0.25">
      <c r="A7" s="463">
        <v>4</v>
      </c>
      <c r="B7" s="1003"/>
      <c r="C7" s="462" t="s">
        <v>1518</v>
      </c>
      <c r="D7" s="462" t="s">
        <v>1281</v>
      </c>
      <c r="E7" s="461" t="s">
        <v>1280</v>
      </c>
      <c r="F7" s="463">
        <v>8295788759</v>
      </c>
    </row>
    <row r="8" spans="1:14" x14ac:dyDescent="0.25">
      <c r="A8" s="463">
        <v>5</v>
      </c>
      <c r="B8" s="1003"/>
      <c r="C8" s="462" t="s">
        <v>1521</v>
      </c>
      <c r="D8" s="462" t="s">
        <v>1519</v>
      </c>
      <c r="E8" s="461" t="s">
        <v>1526</v>
      </c>
      <c r="F8" s="463">
        <v>6005356903</v>
      </c>
      <c r="N8" s="641"/>
    </row>
    <row r="9" spans="1:14" x14ac:dyDescent="0.25">
      <c r="A9" s="463">
        <v>6</v>
      </c>
      <c r="B9" s="1003"/>
      <c r="C9" s="462" t="s">
        <v>1529</v>
      </c>
      <c r="D9" s="462" t="s">
        <v>1520</v>
      </c>
      <c r="E9" s="461" t="s">
        <v>1527</v>
      </c>
      <c r="F9" s="463">
        <v>9998643264</v>
      </c>
    </row>
    <row r="10" spans="1:14" x14ac:dyDescent="0.25">
      <c r="A10" s="463">
        <v>7</v>
      </c>
      <c r="B10" s="1002" t="s">
        <v>292</v>
      </c>
      <c r="C10" s="461" t="s">
        <v>1272</v>
      </c>
      <c r="D10" s="461" t="s">
        <v>1273</v>
      </c>
      <c r="E10" s="461" t="s">
        <v>1278</v>
      </c>
      <c r="F10" s="463">
        <v>7082518194</v>
      </c>
    </row>
    <row r="11" spans="1:14" x14ac:dyDescent="0.25">
      <c r="A11" s="463">
        <v>8</v>
      </c>
      <c r="B11" s="1003"/>
      <c r="C11" s="462" t="s">
        <v>1524</v>
      </c>
      <c r="D11" s="461" t="s">
        <v>1656</v>
      </c>
      <c r="E11" s="461" t="s">
        <v>1279</v>
      </c>
      <c r="F11" s="463">
        <v>9451783340</v>
      </c>
    </row>
    <row r="12" spans="1:14" x14ac:dyDescent="0.25">
      <c r="A12" s="463">
        <v>9</v>
      </c>
      <c r="B12" s="1003"/>
      <c r="C12" s="462" t="s">
        <v>1528</v>
      </c>
      <c r="D12" s="462" t="s">
        <v>1655</v>
      </c>
      <c r="E12" s="654"/>
      <c r="F12" s="463"/>
    </row>
    <row r="13" spans="1:14" x14ac:dyDescent="0.25">
      <c r="A13" s="463">
        <v>10</v>
      </c>
      <c r="B13" s="1003"/>
      <c r="C13" s="462" t="s">
        <v>1518</v>
      </c>
      <c r="D13" s="462" t="s">
        <v>1281</v>
      </c>
      <c r="E13" s="461" t="s">
        <v>1280</v>
      </c>
      <c r="F13" s="463">
        <v>8295788759</v>
      </c>
    </row>
    <row r="14" spans="1:14" x14ac:dyDescent="0.25">
      <c r="A14" s="463">
        <v>11</v>
      </c>
      <c r="B14" s="1003"/>
      <c r="C14" s="462" t="s">
        <v>1521</v>
      </c>
      <c r="D14" s="462" t="s">
        <v>1519</v>
      </c>
      <c r="E14" s="461" t="s">
        <v>1526</v>
      </c>
      <c r="F14" s="463">
        <v>6005356903</v>
      </c>
    </row>
    <row r="15" spans="1:14" x14ac:dyDescent="0.25">
      <c r="A15" s="463">
        <v>12</v>
      </c>
      <c r="B15" s="1003"/>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2026-02-05T12:53:05Z</dcterms:modified>
</cp:coreProperties>
</file>